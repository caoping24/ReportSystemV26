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bookViews>
    <workbookView xWindow="-120" yWindow="-16320" windowWidth="29040" windowHeight="15720" tabRatio="967"/>
  </bookViews>
  <sheets>
    <sheet name="第一页" sheetId="1" r:id="rId1"/>
    <sheet name="第二页反应工序" sheetId="2" r:id="rId2"/>
    <sheet name="第三页反应液分析数据" sheetId="5" r:id="rId3"/>
    <sheet name="第四页闪蒸工序" sheetId="3" r:id="rId4"/>
    <sheet name="第五页一次结晶工序" sheetId="6" r:id="rId5"/>
    <sheet name="第六页产品分析指标" sheetId="7" r:id="rId6"/>
    <sheet name="第七页产品收率分析表" sheetId="8" r:id="rId7"/>
    <sheet name="第八页周汇总数据" sheetId="15" r:id="rId8"/>
    <sheet name="第九页低蒸工序" sheetId="9" r:id="rId9"/>
    <sheet name="第十页脱色工序" sheetId="16" r:id="rId10"/>
    <sheet name="第十一页二次结晶工序" sheetId="10" r:id="rId11"/>
    <sheet name="第十二页产品原料单耗" sheetId="12" r:id="rId12"/>
  </sheets>
  <definedNames>
    <definedName name="_xlnm.Print_Area" localSheetId="2"><![CDATA[第三页反应液分析数据!$A$2:$H$11]]></definedName>
  </definedNames>
  <calcPr calcId="191029"/>
  <extLst>
    <ext uri="{140A7094-0E35-4892-8432-C4D2E57EDEB5}">
      <x15:workbookPr xmlns:x15="http://schemas.microsoft.com/office/spreadsheetml/2010/11/main" chartTrackingRefBase="1"/>
    </ext>
  </extLst>
</workbook>
</file>

<file path=xl/calcChain.xml><?xml version="1.0" encoding="utf-8"?>
<calcChain xmlns="http://schemas.openxmlformats.org/spreadsheetml/2006/main">
  <c r="M20" i="15" l="1"/>
  <c r="M18" i="15"/>
  <c r="M17" i="15"/>
  <c r="M15" i="15"/>
  <c r="M14" i="15"/>
  <c r="M13" i="15"/>
  <c r="M12" i="15"/>
  <c r="M10" i="15"/>
  <c r="M9" i="15"/>
  <c r="E8" i="7"/>
  <c r="E7" i="7"/>
  <c r="E10" i="5"/>
  <c r="F10" i="5"/>
  <c r="G10" i="5"/>
  <c r="D10" i="5"/>
  <c r="C10" i="5"/>
  <c r="D13" i="16"/>
  <c r="E13" i="16"/>
  <c r="C13" i="16"/>
  <c r="M8" i="15"/>
  <c r="I8" i="6"/>
  <c r="J8" i="6" s="1"/>
  <c r="I9" i="6"/>
  <c r="J9" i="6" s="1"/>
  <c r="I7" i="6"/>
  <c r="J7" i="6" s="1"/>
  <c r="E8" i="6"/>
  <c r="F8" i="6" s="1"/>
  <c r="E9" i="6"/>
  <c r="F9" i="6"/>
  <c r="E7" i="6"/>
  <c r="F7" i="6" s="1"/>
  <c r="H32" i="1"/>
  <c r="H27" i="1"/>
  <c r="H28" i="1"/>
  <c r="H29" i="1"/>
  <c r="H30" i="1"/>
  <c r="H31" i="1"/>
  <c r="H26" i="1"/>
  <c r="H5" i="1"/>
  <c r="H25" i="1"/>
  <c r="H19" i="1"/>
  <c r="H18" i="1"/>
  <c r="H17" i="1"/>
  <c r="H16" i="1"/>
  <c r="H15" i="1"/>
  <c r="H14" i="1"/>
  <c r="H13" i="1"/>
  <c r="H12" i="1"/>
  <c r="H10" i="1"/>
  <c r="H9" i="1"/>
  <c r="H8" i="1"/>
  <c r="H7" i="1"/>
  <c r="H6" i="1"/>
  <c r="E6" i="7" l="1"/>
  <c r="E7" i="9"/>
</calcChain>
</file>

<file path=xl/comments1.xml><?xml version="1.0" encoding="utf-8"?>
<comments xmlns="http://schemas.openxmlformats.org/spreadsheetml/2006/main">
  <authors>
    <author>熊茂盛</author>
  </authors>
  <commentLis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=FT-05141当周累计/当周实际运行时间，下同</t>
        </r>
      </text>
    </comment>
    <comment ref="D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=FT-05142当周累计/当周实际运行时间，下同</t>
        </r>
      </text>
    </comment>
    <comment ref="E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=FT-05213当周累计/当周实际运行时间，下同</t>
        </r>
      </text>
    </comment>
    <comment ref="F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=AT-05140当周记录的平均值，下同</t>
        </r>
      </text>
    </comment>
    <comment ref="G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=PT-05311当周运行记录的平均值，下同</t>
        </r>
      </text>
    </comment>
    <comment ref="H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=TT-05312当周记录的平均值，下同</t>
        </r>
      </text>
    </comment>
    <comment ref="I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=TT-05300当周运行记录的平均值，下同</t>
        </r>
      </text>
    </comment>
    <comment ref="J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=PT-05317当周运行记录的平均值，下同</t>
        </r>
      </text>
    </comment>
    <comment ref="K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=TT-05316当周运行记录的平均值，下同</t>
        </r>
      </text>
    </comment>
  </commentList>
</comments>
</file>

<file path=xl/comments2.xml><?xml version="1.0" encoding="utf-8"?>
<comments xmlns="http://schemas.openxmlformats.org/spreadsheetml/2006/main">
  <authors>
    <author>熊茂盛</author>
  </authors>
  <commentLis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C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=当月检测数据平均值，下同</t>
        </r>
      </text>
    </comment>
    <comment ref="G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=FT-05411该月累计值/实际运行时间，其他同</t>
        </r>
      </text>
    </comment>
    <comment ref="C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两周值做减法所得，下同</t>
        </r>
      </text>
    </comment>
  </commentList>
</comments>
</file>

<file path=xl/comments3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作为参考数据，手工填写，其他同</t>
        </r>
      </text>
    </commen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D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E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F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G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H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=PT-07145当周记录数据平均值，下同</t>
        </r>
      </text>
    </comment>
    <comment ref="I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=TT-07152当周记录数据平均值，下同</t>
        </r>
      </text>
    </comment>
    <comment ref="C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参考数据，手工填写，其他同</t>
        </r>
      </text>
    </comment>
  </commentList>
</comments>
</file>

<file path=xl/comments4.xml><?xml version="1.0" encoding="utf-8"?>
<comments xmlns="http://schemas.openxmlformats.org/spreadsheetml/2006/main">
  <authors>
    <author>熊茂盛</author>
  </authors>
  <commentLis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 xml:space="preserve">=本年度检测数据取平均值，其他同</t>
        </r>
      </text>
    </comment>
    <comment ref="E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F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G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 xml:space="preserve">=本年度检测数据取平均值，其他同</t>
        </r>
      </text>
    </comment>
    <comment ref="I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J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C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G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G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</commentList>
</comments>
</file>

<file path=xl/comments5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D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E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E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E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</commentList>
</comments>
</file>

<file path=xl/comments6.xml><?xml version="1.0" encoding="utf-8"?>
<comments xmlns="http://schemas.openxmlformats.org/spreadsheetml/2006/main">
  <authors>
    <author>熊茂盛</author>
  </authors>
  <commentLis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=FT-07122当周累计量/实际运行时间</t>
        </r>
      </text>
    </comment>
    <comment ref="D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=FT-07122当周累计量/实际运行时间</t>
        </r>
      </text>
    </comment>
    <comment ref="E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计算得出=进料总量/出料总量</t>
        </r>
      </text>
    </comment>
    <comment ref="F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AT-07137每次出料记录的平均值</t>
        </r>
      </text>
    </comment>
    <comment ref="G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=FT-07126当周累计值/实际运行时间</t>
        </r>
      </text>
    </comment>
    <comment ref="C1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D1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E1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G1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</commentList>
</comments>
</file>

<file path=xl/comments7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当周活性炭总用量/脱色液总量（FT-06524当周累计量），下同</t>
        </r>
      </text>
    </comment>
    <comment ref="D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=当周检测值取平均值，下同</t>
        </r>
      </text>
    </comment>
    <comment ref="C1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</t>
        </r>
      </text>
    </comment>
    <comment ref="D1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</t>
        </r>
      </text>
    </comment>
    <comment ref="E1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当周检测值取平均值</t>
        </r>
      </text>
    </comment>
    <comment ref="E1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当周检测值取平均值</t>
        </r>
      </text>
    </comment>
  </commentList>
</comments>
</file>

<file path=xl/comments8.xml><?xml version="1.0" encoding="utf-8"?>
<comments xmlns="http://schemas.openxmlformats.org/spreadsheetml/2006/main">
  <authors>
    <author>熊茂盛</author>
  </authors>
  <commentList>
    <comment ref="C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手工填</t>
        </r>
      </text>
    </comment>
    <comment ref="C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FT-08523，当周累积量</t>
        </r>
      </text>
    </commen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当月检测值取平均，下同</t>
        </r>
      </text>
    </comment>
    <comment ref="C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当周检测值取平均，下同</t>
        </r>
      </text>
    </commen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当周检测值取平均，下同</t>
        </r>
      </text>
    </comment>
  </commentList>
</comments>
</file>

<file path=xl/sharedStrings.xml><?xml version="1.0" encoding="utf-8"?>
<sst xmlns="http://schemas.openxmlformats.org/spreadsheetml/2006/main" count="404" uniqueCount="216">
  <si>
    <t xml:space="preserve">设计参数</t>
    <phoneticPr fontId="1" type="noConversion"/>
  </si>
  <si>
    <t xml:space="preserve">反应器
入口温度</t>
    <phoneticPr fontId="1" type="noConversion"/>
  </si>
  <si>
    <t xml:space="preserve">羟基
流量</t>
    <phoneticPr fontId="1" type="noConversion"/>
  </si>
  <si>
    <t xml:space="preserve">反应器
入口压力</t>
    <phoneticPr fontId="1" type="noConversion"/>
  </si>
  <si>
    <t xml:space="preserve">反应器
出口温度</t>
    <phoneticPr fontId="1" type="noConversion"/>
  </si>
  <si>
    <t xml:space="preserve">反应器
温度</t>
    <phoneticPr fontId="1" type="noConversion"/>
  </si>
  <si>
    <t xml:space="preserve">气氨
流量</t>
    <phoneticPr fontId="1" type="noConversion"/>
  </si>
  <si>
    <t xml:space="preserve">配比蒸汽
流量</t>
    <phoneticPr fontId="1" type="noConversion"/>
  </si>
  <si>
    <t xml:space="preserve">平均配比
摩尔比</t>
    <phoneticPr fontId="1" type="noConversion"/>
  </si>
  <si>
    <t xml:space="preserve">m3/h</t>
    <phoneticPr fontId="1" type="noConversion"/>
  </si>
  <si>
    <t xml:space="preserve">kg/h</t>
    <phoneticPr fontId="1" type="noConversion"/>
  </si>
  <si>
    <t xml:space="preserve">/</t>
    <phoneticPr fontId="1" type="noConversion"/>
  </si>
  <si>
    <t xml:space="preserve">℃</t>
    <phoneticPr fontId="1" type="noConversion"/>
  </si>
  <si>
    <t xml:space="preserve">Mpa</t>
  </si>
  <si>
    <t xml:space="preserve">Mpa</t>
    <phoneticPr fontId="1" type="noConversion"/>
  </si>
  <si>
    <t xml:space="preserve">项目</t>
    <phoneticPr fontId="1" type="noConversion"/>
  </si>
  <si>
    <t xml:space="preserve">上上周参数</t>
    <phoneticPr fontId="1" type="noConversion"/>
  </si>
  <si>
    <t xml:space="preserve">上周参数</t>
    <phoneticPr fontId="1" type="noConversion"/>
  </si>
  <si>
    <t xml:space="preserve">本周参数</t>
    <phoneticPr fontId="1" type="noConversion"/>
  </si>
  <si>
    <t xml:space="preserve">反应器
出口压力</t>
    <phoneticPr fontId="1" type="noConversion"/>
  </si>
  <si>
    <t xml:space="preserve">二乙腈含量</t>
    <phoneticPr fontId="1" type="noConversion"/>
  </si>
  <si>
    <t xml:space="preserve">色谱法</t>
    <phoneticPr fontId="1" type="noConversion"/>
  </si>
  <si>
    <t xml:space="preserve">化分法
（%）</t>
    <phoneticPr fontId="1" type="noConversion"/>
  </si>
  <si>
    <t xml:space="preserve">色谱法
（%）</t>
    <phoneticPr fontId="1" type="noConversion"/>
  </si>
  <si>
    <t xml:space="preserve">百分比
（%）</t>
    <phoneticPr fontId="1" type="noConversion"/>
  </si>
  <si>
    <t xml:space="preserve">浓度
（g/L）</t>
    <phoneticPr fontId="1" type="noConversion"/>
  </si>
  <si>
    <t xml:space="preserve">项 目</t>
    <phoneticPr fontId="1" type="noConversion"/>
  </si>
  <si>
    <t xml:space="preserve">pH值</t>
    <phoneticPr fontId="1" type="noConversion"/>
  </si>
  <si>
    <t xml:space="preserve">硫酸用量
（kg/h）</t>
    <phoneticPr fontId="1" type="noConversion"/>
  </si>
  <si>
    <t xml:space="preserve">上周平均</t>
    <phoneticPr fontId="1" type="noConversion"/>
  </si>
  <si>
    <t xml:space="preserve">本周平均</t>
    <phoneticPr fontId="1" type="noConversion"/>
  </si>
  <si>
    <t xml:space="preserve">差值</t>
    <phoneticPr fontId="1" type="noConversion"/>
  </si>
  <si>
    <t xml:space="preserve">mg/L</t>
    <phoneticPr fontId="1" type="noConversion"/>
  </si>
  <si>
    <t xml:space="preserve">COD</t>
    <phoneticPr fontId="1" type="noConversion"/>
  </si>
  <si>
    <t xml:space="preserve">指标</t>
    <phoneticPr fontId="1" type="noConversion"/>
  </si>
  <si>
    <t xml:space="preserve">单位</t>
    <phoneticPr fontId="1" type="noConversion"/>
  </si>
  <si>
    <t xml:space="preserve">TCN/总腈</t>
    <phoneticPr fontId="1" type="noConversion"/>
  </si>
  <si>
    <t xml:space="preserve">NH3-N/氨氮</t>
    <phoneticPr fontId="1" type="noConversion"/>
  </si>
  <si>
    <t xml:space="preserve">HCHO/甲醛</t>
    <phoneticPr fontId="1" type="noConversion"/>
  </si>
  <si>
    <t xml:space="preserve">pH</t>
    <phoneticPr fontId="1" type="noConversion"/>
  </si>
  <si>
    <t xml:space="preserve">大生产数据</t>
    <phoneticPr fontId="1" type="noConversion"/>
  </si>
  <si>
    <t xml:space="preserve">上上周平均</t>
    <phoneticPr fontId="1" type="noConversion"/>
  </si>
  <si>
    <t xml:space="preserve">农科数据</t>
    <phoneticPr fontId="1" type="noConversion"/>
  </si>
  <si>
    <t xml:space="preserve">低蒸压力</t>
    <phoneticPr fontId="1" type="noConversion"/>
  </si>
  <si>
    <t xml:space="preserve">低蒸温度</t>
    <phoneticPr fontId="1" type="noConversion"/>
  </si>
  <si>
    <t xml:space="preserve">%</t>
    <phoneticPr fontId="1" type="noConversion"/>
  </si>
  <si>
    <t xml:space="preserve">水分含量</t>
    <phoneticPr fontId="1" type="noConversion"/>
  </si>
  <si>
    <t xml:space="preserve">综合含量</t>
    <phoneticPr fontId="1" type="noConversion"/>
  </si>
  <si>
    <t xml:space="preserve">未知物含量</t>
    <phoneticPr fontId="1" type="noConversion"/>
  </si>
  <si>
    <t xml:space="preserve">化学分析法</t>
    <phoneticPr fontId="1" type="noConversion"/>
  </si>
  <si>
    <t xml:space="preserve">备注</t>
    <phoneticPr fontId="1" type="noConversion"/>
  </si>
  <si>
    <t xml:space="preserve">上上周</t>
    <phoneticPr fontId="1" type="noConversion"/>
  </si>
  <si>
    <t xml:space="preserve">上周</t>
    <phoneticPr fontId="1" type="noConversion"/>
  </si>
  <si>
    <t xml:space="preserve">本周</t>
    <phoneticPr fontId="1" type="noConversion"/>
  </si>
  <si>
    <t xml:space="preserve">设计值</t>
    <phoneticPr fontId="1" type="noConversion"/>
  </si>
  <si>
    <t xml:space="preserve">进料量</t>
    <phoneticPr fontId="1" type="noConversion"/>
  </si>
  <si>
    <t xml:space="preserve">出料量</t>
    <phoneticPr fontId="1" type="noConversion"/>
  </si>
  <si>
    <t xml:space="preserve">浓缩比</t>
    <phoneticPr fontId="1" type="noConversion"/>
  </si>
  <si>
    <t xml:space="preserve">出料比重</t>
    <phoneticPr fontId="1" type="noConversion"/>
  </si>
  <si>
    <t xml:space="preserve">g/L</t>
    <phoneticPr fontId="1" type="noConversion"/>
  </si>
  <si>
    <t xml:space="preserve">蒸汽用量</t>
    <phoneticPr fontId="1" type="noConversion"/>
  </si>
  <si>
    <t xml:space="preserve">t/h</t>
    <phoneticPr fontId="1" type="noConversion"/>
  </si>
  <si>
    <t xml:space="preserve">无</t>
    <phoneticPr fontId="1" type="noConversion"/>
  </si>
  <si>
    <t xml:space="preserve">本周数据</t>
    <phoneticPr fontId="1" type="noConversion"/>
  </si>
  <si>
    <t xml:space="preserve">低蒸运行参数</t>
    <phoneticPr fontId="1" type="noConversion"/>
  </si>
  <si>
    <t xml:space="preserve">低蒸母液分析：送检频次，一天一次；管反反应液一天三次</t>
    <phoneticPr fontId="1" type="noConversion"/>
  </si>
  <si>
    <t xml:space="preserve">硫铵含量</t>
    <phoneticPr fontId="1" type="noConversion"/>
  </si>
  <si>
    <t xml:space="preserve">羟基乙腈含量</t>
    <phoneticPr fontId="1" type="noConversion"/>
  </si>
  <si>
    <t xml:space="preserve">m3</t>
    <phoneticPr fontId="1" type="noConversion"/>
  </si>
  <si>
    <t xml:space="preserve">二次母液
分析数据</t>
    <phoneticPr fontId="1" type="noConversion"/>
  </si>
  <si>
    <t xml:space="preserve">脱色前</t>
    <phoneticPr fontId="1" type="noConversion"/>
  </si>
  <si>
    <t xml:space="preserve">脱色后</t>
    <phoneticPr fontId="1" type="noConversion"/>
  </si>
  <si>
    <t xml:space="preserve">差 值</t>
    <phoneticPr fontId="1" type="noConversion"/>
  </si>
  <si>
    <t xml:space="preserve">上 周</t>
    <phoneticPr fontId="1" type="noConversion"/>
  </si>
  <si>
    <t xml:space="preserve">本 周</t>
    <phoneticPr fontId="1" type="noConversion"/>
  </si>
  <si>
    <t xml:space="preserve">kg/t</t>
    <phoneticPr fontId="1" type="noConversion"/>
  </si>
  <si>
    <t xml:space="preserve">活性炭单耗</t>
    <phoneticPr fontId="1" type="noConversion"/>
  </si>
  <si>
    <t xml:space="preserve">脱色
消耗</t>
    <phoneticPr fontId="1" type="noConversion"/>
  </si>
  <si>
    <t xml:space="preserve">透光率</t>
    <phoneticPr fontId="1" type="noConversion"/>
  </si>
  <si>
    <t xml:space="preserve">型号</t>
    <phoneticPr fontId="1" type="noConversion"/>
  </si>
  <si>
    <t xml:space="preserve">t</t>
    <phoneticPr fontId="1" type="noConversion"/>
  </si>
  <si>
    <t xml:space="preserve">t/t</t>
    <phoneticPr fontId="1" type="noConversion"/>
  </si>
  <si>
    <t xml:space="preserve">m3/t</t>
    <phoneticPr fontId="1" type="noConversion"/>
  </si>
  <si>
    <t xml:space="preserve">日期</t>
    <phoneticPr fontId="1" type="noConversion"/>
  </si>
  <si>
    <t xml:space="preserve">星期</t>
    <phoneticPr fontId="1" type="noConversion"/>
  </si>
  <si>
    <t xml:space="preserve">五</t>
    <phoneticPr fontId="1" type="noConversion"/>
  </si>
  <si>
    <t xml:space="preserve">六</t>
    <phoneticPr fontId="1" type="noConversion"/>
  </si>
  <si>
    <t xml:space="preserve">日</t>
    <phoneticPr fontId="1" type="noConversion"/>
  </si>
  <si>
    <t xml:space="preserve">一</t>
    <phoneticPr fontId="1" type="noConversion"/>
  </si>
  <si>
    <t xml:space="preserve">二</t>
    <phoneticPr fontId="1" type="noConversion"/>
  </si>
  <si>
    <t xml:space="preserve">三</t>
    <phoneticPr fontId="1" type="noConversion"/>
  </si>
  <si>
    <t xml:space="preserve">四</t>
    <phoneticPr fontId="1" type="noConversion"/>
  </si>
  <si>
    <t xml:space="preserve">本周
平均</t>
    <phoneticPr fontId="1" type="noConversion"/>
  </si>
  <si>
    <t xml:space="preserve">上周
平均</t>
    <phoneticPr fontId="1" type="noConversion"/>
  </si>
  <si>
    <t xml:space="preserve">两周
差值</t>
    <phoneticPr fontId="1" type="noConversion"/>
  </si>
  <si>
    <t xml:space="preserve">一、反应液</t>
    <phoneticPr fontId="1" type="noConversion"/>
  </si>
  <si>
    <t xml:space="preserve">二、产品</t>
    <phoneticPr fontId="1" type="noConversion"/>
  </si>
  <si>
    <t xml:space="preserve">二乙腈</t>
    <phoneticPr fontId="1" type="noConversion"/>
  </si>
  <si>
    <t xml:space="preserve">折百产量</t>
    <phoneticPr fontId="1" type="noConversion"/>
  </si>
  <si>
    <t xml:space="preserve">羟基乙腈
单耗</t>
    <phoneticPr fontId="1" type="noConversion"/>
  </si>
  <si>
    <t xml:space="preserve">液氨
单耗</t>
    <phoneticPr fontId="1" type="noConversion"/>
  </si>
  <si>
    <t xml:space="preserve">硫酸
单耗</t>
    <phoneticPr fontId="1" type="noConversion"/>
  </si>
  <si>
    <t xml:space="preserve">总蒸汽
单耗</t>
    <phoneticPr fontId="1" type="noConversion"/>
  </si>
  <si>
    <t xml:space="preserve">反应蒸汽
单耗</t>
    <phoneticPr fontId="1" type="noConversion"/>
  </si>
  <si>
    <t xml:space="preserve">低蒸蒸汽
单耗</t>
    <phoneticPr fontId="1" type="noConversion"/>
  </si>
  <si>
    <t xml:space="preserve">废液
外排</t>
    <phoneticPr fontId="1" type="noConversion"/>
  </si>
  <si>
    <t xml:space="preserve">废水
外排</t>
    <phoneticPr fontId="1" type="noConversion"/>
  </si>
  <si>
    <t xml:space="preserve">收率</t>
    <phoneticPr fontId="1" type="noConversion"/>
  </si>
  <si>
    <t xml:space="preserve">一次结晶</t>
    <phoneticPr fontId="1" type="noConversion"/>
  </si>
  <si>
    <t xml:space="preserve">二次结晶</t>
    <phoneticPr fontId="1" type="noConversion"/>
  </si>
  <si>
    <t xml:space="preserve">本周</t>
  </si>
  <si>
    <t xml:space="preserve">上周数据</t>
    <phoneticPr fontId="1" type="noConversion"/>
  </si>
  <si>
    <t xml:space="preserve">三、收率</t>
    <phoneticPr fontId="1" type="noConversion"/>
  </si>
  <si>
    <t xml:space="preserve">四、废液</t>
    <phoneticPr fontId="1" type="noConversion"/>
  </si>
  <si>
    <t xml:space="preserve">周报-反应液分析数据表</t>
  </si>
  <si>
    <t xml:space="preserve">周报-反应工序控制参数表</t>
    <phoneticPr fontId="1" type="noConversion"/>
  </si>
  <si>
    <t xml:space="preserve">周报-闪蒸废水分析数据表</t>
    <phoneticPr fontId="1" type="noConversion"/>
  </si>
  <si>
    <t xml:space="preserve">周报-结晶工序数据分析表</t>
    <phoneticPr fontId="1" type="noConversion"/>
  </si>
  <si>
    <t xml:space="preserve">周报-产品指标分析表</t>
    <phoneticPr fontId="1" type="noConversion"/>
  </si>
  <si>
    <t xml:space="preserve">周报-产品收率数据分析表</t>
    <phoneticPr fontId="1" type="noConversion"/>
  </si>
  <si>
    <t xml:space="preserve">周报-汇总数据分析表</t>
    <phoneticPr fontId="1" type="noConversion"/>
  </si>
  <si>
    <t xml:space="preserve">周报-低蒸数据分析表</t>
    <phoneticPr fontId="1" type="noConversion"/>
  </si>
  <si>
    <t xml:space="preserve">周报-脱色工序数据分析表</t>
    <phoneticPr fontId="1" type="noConversion"/>
  </si>
  <si>
    <t xml:space="preserve">周报-二次结晶数据分析表</t>
    <phoneticPr fontId="1" type="noConversion"/>
  </si>
  <si>
    <t xml:space="preserve">周报-产品原料/动力/排放单耗数据分析表</t>
    <phoneticPr fontId="1" type="noConversion"/>
  </si>
  <si>
    <t xml:space="preserve">二乙睛中试车间周报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</si>
  <si>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</si>
  <si>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</si>
  <si>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评价</t>
    <phoneticPr fontId="1" type="noConversion"/>
  </si>
  <si>
    <t xml:space="preserve">一、产品</t>
    <phoneticPr fontId="1" type="noConversion"/>
  </si>
  <si>
    <t xml:space="preserve">二、原料消耗</t>
    <phoneticPr fontId="1" type="noConversion"/>
  </si>
  <si>
    <t xml:space="preserve">羟基消耗</t>
  </si>
  <si>
    <t xml:space="preserve">氨消耗</t>
    <phoneticPr fontId="1" type="noConversion"/>
  </si>
  <si>
    <t xml:space="preserve">硫酸消耗</t>
    <phoneticPr fontId="1" type="noConversion"/>
  </si>
  <si>
    <t xml:space="preserve">三、工艺指标</t>
    <phoneticPr fontId="1" type="noConversion"/>
  </si>
  <si>
    <t xml:space="preserve">配料单元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</si>
  <si>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</si>
  <si>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</si>
  <si>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反应单元</t>
    <phoneticPr fontId="1" type="noConversion"/>
  </si>
  <si>
    <t xml:space="preserve">氨腈摩尔比</t>
    <phoneticPr fontId="1" type="noConversion"/>
  </si>
  <si>
    <t xml:space="preserve">反应时间</t>
    <phoneticPr fontId="1" type="noConversion"/>
  </si>
  <si>
    <t xml:space="preserve">s</t>
    <phoneticPr fontId="1" type="noConversion"/>
  </si>
  <si>
    <t xml:space="preserve">反应压力</t>
    <phoneticPr fontId="1" type="noConversion"/>
  </si>
  <si>
    <t xml:space="preserve">羟基加热温度</t>
    <phoneticPr fontId="1" type="noConversion"/>
  </si>
  <si>
    <t xml:space="preserve">氨汽混合温度</t>
  </si>
  <si>
    <t xml:space="preserve">管反热点温度</t>
  </si>
  <si>
    <t xml:space="preserve">结晶单元</t>
    <phoneticPr fontId="1" type="noConversion"/>
  </si>
  <si>
    <t xml:space="preserve">预冷器结晶温度</t>
  </si>
  <si>
    <t xml:space="preserve">一次结晶温度</t>
  </si>
  <si>
    <t xml:space="preserve">降膜蒸发温度</t>
  </si>
  <si>
    <t xml:space="preserve">二次结晶温度</t>
  </si>
  <si>
    <t xml:space="preserve">反应液组成</t>
    <phoneticPr fontId="1" type="noConversion"/>
  </si>
  <si>
    <t xml:space="preserve">--</t>
    <phoneticPr fontId="1" type="noConversion"/>
  </si>
  <si>
    <t xml:space="preserve">羟基乙腈残余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</si>
  <si>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</si>
  <si>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</si>
  <si>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废液排放</t>
    <phoneticPr fontId="1" type="noConversion"/>
  </si>
  <si>
    <t xml:space="preserve">单位产品排放量</t>
    <phoneticPr fontId="1" type="noConversion"/>
  </si>
  <si>
    <t xml:space="preserve">m³/t</t>
    <phoneticPr fontId="1" type="noConversion"/>
  </si>
  <si>
    <t xml:space="preserve">废液组成</t>
    <phoneticPr fontId="1" type="noConversion"/>
  </si>
  <si>
    <t xml:space="preserve">羟基乙腈</t>
    <phoneticPr fontId="1" type="noConversion"/>
  </si>
  <si>
    <t xml:space="preserve">硫铵</t>
    <phoneticPr fontId="1" type="noConversion"/>
  </si>
  <si>
    <t xml:space="preserve">其它</t>
    <phoneticPr fontId="1" type="noConversion"/>
  </si>
  <si>
    <t xml:space="preserve">%</t>
  </si>
  <si>
    <t xml:space="preserve">水分</t>
    <phoneticPr fontId="1" type="noConversion"/>
  </si>
  <si>
    <t xml:space="preserve">五、其他</t>
    <phoneticPr fontId="1" type="noConversion"/>
  </si>
  <si>
    <t xml:space="preserve">≤1427</t>
    <phoneticPr fontId="1" type="noConversion"/>
  </si>
  <si>
    <t xml:space="preserve">215±5</t>
  </si>
  <si>
    <t xml:space="preserve">200±10</t>
  </si>
  <si>
    <t xml:space="preserve">417±5</t>
  </si>
  <si>
    <t xml:space="preserve">(0.530±0.005):1</t>
  </si>
  <si>
    <t xml:space="preserve">0.75±0.05</t>
  </si>
  <si>
    <t xml:space="preserve">90±2</t>
  </si>
  <si>
    <t xml:space="preserve">145±2</t>
  </si>
  <si>
    <t xml:space="preserve">168±2</t>
  </si>
  <si>
    <t xml:space="preserve">≤45</t>
    <phoneticPr fontId="1" type="noConversion"/>
  </si>
  <si>
    <t xml:space="preserve">≤20</t>
    <phoneticPr fontId="1" type="noConversion"/>
  </si>
  <si>
    <t xml:space="preserve">48±2</t>
  </si>
  <si>
    <t xml:space="preserve">≤20</t>
  </si>
  <si>
    <t xml:space="preserve">/</t>
  </si>
  <si>
    <t xml:space="preserve">≤0.38</t>
  </si>
  <si>
    <t xml:space="preserve">合格</t>
    <phoneticPr fontId="1" type="noConversion"/>
  </si>
  <si>
    <t xml:space="preserve">上上 周</t>
    <phoneticPr fontId="1" type="noConversion"/>
  </si>
  <si>
    <t xml:space="preserve">产量</t>
    <phoneticPr fontId="1" type="noConversion"/>
  </si>
  <si>
    <t xml:space="preserve">kg</t>
    <phoneticPr fontId="1" type="noConversion"/>
  </si>
  <si>
    <t xml:space="preserve">脱盐水
单耗</t>
    <phoneticPr fontId="1" type="noConversion"/>
  </si>
  <si>
    <t xml:space="preserve">KWh/t</t>
    <phoneticPr fontId="1" type="noConversion"/>
  </si>
  <si>
    <t xml:space="preserve">电能
单耗</t>
    <phoneticPr fontId="1" type="noConversion"/>
  </si>
  <si>
    <r>
      <t xml:space="preserve">900</t>
    </r>
    <r>
      <rPr>
        <sz val="10"/>
        <color rgb="FF00B050"/>
        <rFont val="SimSun"/>
        <charset val="134"/>
        <b/>
      </rPr>
      <t xml:space="preserve">～</t>
    </r>
    <r>
      <rPr>
        <sz val="10"/>
        <color rgb="FF00B050"/>
        <rFont val="等线"/>
        <family val="3"/>
        <charset val="134"/>
        <b/>
      </rPr>
      <t xml:space="preserve">1200</t>
    </r>
    <phoneticPr fontId="1" type="noConversion"/>
  </si>
  <si>
    <r>
      <t xml:space="preserve">2500</t>
    </r>
    <r>
      <rPr>
        <sz val="10"/>
        <color rgb="FF00B050"/>
        <rFont val="SimSun"/>
        <charset val="134"/>
        <b/>
      </rPr>
      <t xml:space="preserve">～</t>
    </r>
    <r>
      <rPr>
        <sz val="10"/>
        <color rgb="FF00B050"/>
        <rFont val="等线"/>
        <family val="3"/>
        <charset val="134"/>
        <b/>
      </rPr>
      <t xml:space="preserve">3000</t>
    </r>
    <phoneticPr fontId="1" type="noConversion"/>
  </si>
  <si>
    <r>
      <t xml:space="preserve">30</t>
    </r>
    <r>
      <rPr>
        <sz val="10"/>
        <color rgb="FF00B050"/>
        <rFont val="SimSun"/>
        <charset val="134"/>
        <b/>
      </rPr>
      <t xml:space="preserve">～</t>
    </r>
    <r>
      <rPr>
        <sz val="10"/>
        <color rgb="FF00B050"/>
        <rFont val="等线"/>
        <family val="3"/>
        <charset val="134"/>
        <b/>
      </rPr>
      <t xml:space="preserve">50</t>
    </r>
    <phoneticPr fontId="1" type="noConversion"/>
  </si>
  <si>
    <t xml:space="preserve">1.农科数据人工填写</t>
    <phoneticPr fontId="1" type="noConversion"/>
  </si>
  <si>
    <t xml:space="preserve">备注</t>
    <phoneticPr fontId="1" type="noConversion"/>
  </si>
  <si>
    <t xml:space="preserve">平均</t>
    <phoneticPr fontId="1" type="noConversion"/>
  </si>
  <si>
    <t xml:space="preserve">二乙腈含 量</t>
    <phoneticPr fontId="1" type="noConversion"/>
  </si>
  <si>
    <t xml:space="preserve">羟基乙腈残 余</t>
    <phoneticPr fontId="1" type="noConversion"/>
  </si>
  <si>
    <r>
      <t xml:space="preserve">25000</t>
    </r>
    <r>
      <rPr>
        <sz val="8"/>
        <color rgb="FF00B050"/>
        <rFont val="SimSun"/>
        <charset val="134"/>
        <b/>
      </rPr>
      <t xml:space="preserve">～</t>
    </r>
    <r>
      <rPr>
        <sz val="8"/>
        <color rgb="FF00B050"/>
        <rFont val="等线"/>
        <family val="3"/>
        <charset val="134"/>
        <b/>
      </rPr>
      <t xml:space="preserve">30000</t>
    </r>
    <phoneticPr fontId="1" type="noConversion"/>
  </si>
  <si>
    <t xml:space="preserve">单位</t>
    <phoneticPr fontId="1" type="noConversion"/>
  </si>
  <si>
    <t xml:space="preserve">班产量(kg)</t>
    <phoneticPr fontId="1" type="noConversion"/>
  </si>
  <si>
    <t xml:space="preserve">收率(%)</t>
    <phoneticPr fontId="1" type="noConversion"/>
  </si>
  <si>
    <t xml:space="preserve">固液比范围</t>
    <phoneticPr fontId="1" type="noConversion"/>
  </si>
  <si>
    <t xml:space="preserve">累计外排废液</t>
    <phoneticPr fontId="1" type="noConversion"/>
  </si>
  <si>
    <t xml:space="preserve">外排废液
m3/t产品</t>
    <phoneticPr fontId="1" type="noConversion"/>
  </si>
  <si>
    <t xml:space="preserve">(吨产品原料/动力及排放单耗)</t>
    <phoneticPr fontId="1" type="noConversion"/>
  </si>
  <si>
    <t xml:space="preserve">项目</t>
    <phoneticPr fontId="1" type="noConversion"/>
  </si>
  <si>
    <t xml:space="preserve">二乙腈(%)</t>
    <phoneticPr fontId="1" type="noConversion"/>
  </si>
  <si>
    <t xml:space="preserve">羟基乙腈
(g/L)</t>
    <phoneticPr fontId="1" type="noConversion"/>
  </si>
  <si>
    <t xml:space="preserve">硫铵含量
(g/L)</t>
    <phoneticPr fontId="1" type="noConversion"/>
  </si>
  <si>
    <t xml:space="preserve">2026-05-18</t>
  </si>
  <si>
    <t xml:space="preserve">2026年21周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</si>
  <si>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</si>
  <si>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</si>
  <si>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</si>
  <si>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</si>
  <si>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2026-05-23</t>
  </si>
  <si>
    <t xml:space="preserve">2026-05-24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</si>
</sst>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;[Red]0.00"/>
    <numFmt numFmtId="177" formatCode="0.000;[Red]0.000"/>
    <numFmt numFmtId="178" formatCode="0.00_ "/>
    <numFmt numFmtId="179" formatCode="0.000_ "/>
    <numFmt numFmtId="180" formatCode="\+0.00;\-0.00;0"/>
  </numFmts>
  <fonts count="2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10"/>
      <color rgb="FFFF0000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4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i/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0"/>
      <color rgb="FF00B050"/>
      <name val="等线"/>
      <family val="3"/>
      <charset val="134"/>
      <scheme val="minor"/>
    </font>
    <font>
      <b/>
      <sz val="10"/>
      <color rgb="FF00B050"/>
      <name val="等线"/>
      <family val="2"/>
      <scheme val="minor"/>
    </font>
    <font>
      <b/>
      <sz val="10"/>
      <color rgb="FF00B050"/>
      <name val="SimSun"/>
      <charset val="134"/>
    </font>
    <font>
      <b/>
      <sz val="10"/>
      <color rgb="FF00B050"/>
      <name val="等线"/>
      <family val="3"/>
      <charset val="134"/>
    </font>
    <font>
      <sz val="9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b/>
      <sz val="8"/>
      <color rgb="FF00B050"/>
      <name val="等线"/>
      <family val="2"/>
      <scheme val="minor"/>
    </font>
    <font>
      <b/>
      <sz val="8"/>
      <color rgb="FF00B050"/>
      <name val="SimSun"/>
      <charset val="134"/>
    </font>
    <font>
      <b/>
      <sz val="8"/>
      <color rgb="FF00B050"/>
      <name val="等线"/>
      <family val="3"/>
      <charset val="134"/>
    </font>
    <font>
      <sz val="14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</fills>
  <borders count="90">
    <border>
      <left/>
      <right/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tted">
        <color auto="1"/>
      </left>
      <right style="medium">
        <color indexed="64"/>
      </right>
      <top/>
      <bottom style="dotted">
        <color auto="1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indexed="64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medium">
        <color indexed="64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thin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dotted">
        <color auto="1"/>
      </right>
      <top style="dotted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medium">
        <color indexed="64"/>
      </bottom>
      <diagonal/>
    </border>
    <border>
      <left/>
      <right style="thin">
        <color auto="1"/>
      </right>
      <top style="dotted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dotted">
        <color auto="1"/>
      </bottom>
      <diagonal/>
    </border>
    <border>
      <left/>
      <right style="medium">
        <color indexed="64"/>
      </right>
      <top style="dotted">
        <color auto="1"/>
      </top>
      <bottom style="dotted">
        <color auto="1"/>
      </bottom>
      <diagonal/>
    </border>
    <border>
      <left/>
      <right style="medium">
        <color indexed="64"/>
      </right>
      <top style="dotted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otted">
        <color auto="1"/>
      </left>
      <right style="medium">
        <color indexed="64"/>
      </right>
      <top style="thin">
        <color auto="1"/>
      </top>
      <bottom style="dotted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1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12" fillId="4" borderId="17" xfId="0" applyFont="1" applyFill="1" applyBorder="1" applyAlignment="1">
      <alignment vertical="center"/>
    </xf>
    <xf numFmtId="0" fontId="12" fillId="4" borderId="8" xfId="0" applyFont="1" applyFill="1" applyBorder="1" applyAlignment="1">
      <alignment vertical="center"/>
    </xf>
    <xf numFmtId="0" fontId="12" fillId="4" borderId="8" xfId="0" applyFont="1" applyFill="1" applyBorder="1" applyAlignment="1">
      <alignment horizontal="right" vertical="center"/>
    </xf>
    <xf numFmtId="0" fontId="11" fillId="0" borderId="12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178" fontId="3" fillId="0" borderId="12" xfId="0" applyNumberFormat="1" applyFont="1" applyBorder="1" applyAlignment="1">
      <alignment horizontal="center" vertical="center"/>
    </xf>
    <xf numFmtId="178" fontId="3" fillId="0" borderId="10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3" fillId="0" borderId="12" xfId="0" quotePrefix="1" applyFont="1" applyBorder="1" applyAlignment="1">
      <alignment horizontal="center" vertical="center"/>
    </xf>
    <xf numFmtId="0" fontId="3" fillId="0" borderId="12" xfId="0" quotePrefix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179" fontId="14" fillId="0" borderId="12" xfId="0" applyNumberFormat="1" applyFont="1" applyBorder="1" applyAlignment="1">
      <alignment horizontal="center" vertical="center"/>
    </xf>
    <xf numFmtId="179" fontId="13" fillId="0" borderId="12" xfId="0" quotePrefix="1" applyNumberFormat="1" applyFont="1" applyBorder="1" applyAlignment="1">
      <alignment horizontal="center" vertical="center"/>
    </xf>
    <xf numFmtId="179" fontId="14" fillId="0" borderId="25" xfId="0" applyNumberFormat="1" applyFont="1" applyBorder="1" applyAlignment="1">
      <alignment horizontal="center" vertical="center"/>
    </xf>
    <xf numFmtId="179" fontId="15" fillId="0" borderId="12" xfId="0" applyNumberFormat="1" applyFont="1" applyBorder="1" applyAlignment="1">
      <alignment horizontal="center" vertical="center"/>
    </xf>
    <xf numFmtId="179" fontId="15" fillId="0" borderId="25" xfId="0" applyNumberFormat="1" applyFont="1" applyBorder="1" applyAlignment="1">
      <alignment horizontal="center" vertical="center"/>
    </xf>
    <xf numFmtId="178" fontId="2" fillId="0" borderId="12" xfId="0" applyNumberFormat="1" applyFont="1" applyBorder="1" applyAlignment="1">
      <alignment horizontal="center" vertical="center"/>
    </xf>
    <xf numFmtId="178" fontId="0" fillId="0" borderId="12" xfId="0" applyNumberFormat="1" applyBorder="1" applyAlignment="1">
      <alignment horizontal="center" vertical="center"/>
    </xf>
    <xf numFmtId="178" fontId="2" fillId="2" borderId="12" xfId="0" applyNumberFormat="1" applyFont="1" applyFill="1" applyBorder="1" applyAlignment="1">
      <alignment horizontal="center" vertical="center"/>
    </xf>
    <xf numFmtId="178" fontId="0" fillId="2" borderId="12" xfId="0" applyNumberFormat="1" applyFill="1" applyBorder="1" applyAlignment="1">
      <alignment horizontal="center" vertical="center"/>
    </xf>
    <xf numFmtId="176" fontId="16" fillId="2" borderId="12" xfId="0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179" fontId="2" fillId="0" borderId="3" xfId="0" applyNumberFormat="1" applyFont="1" applyBorder="1" applyAlignment="1">
      <alignment horizontal="center" vertical="center"/>
    </xf>
    <xf numFmtId="179" fontId="2" fillId="0" borderId="4" xfId="0" applyNumberFormat="1" applyFont="1" applyBorder="1" applyAlignment="1">
      <alignment horizontal="center" vertical="center"/>
    </xf>
    <xf numFmtId="179" fontId="2" fillId="0" borderId="6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7" fontId="2" fillId="0" borderId="49" xfId="0" applyNumberFormat="1" applyFont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179" fontId="2" fillId="0" borderId="51" xfId="0" applyNumberFormat="1" applyFont="1" applyBorder="1" applyAlignment="1">
      <alignment horizontal="center" vertical="center"/>
    </xf>
    <xf numFmtId="179" fontId="2" fillId="0" borderId="7" xfId="0" applyNumberFormat="1" applyFont="1" applyBorder="1" applyAlignment="1">
      <alignment horizontal="center" vertical="center"/>
    </xf>
    <xf numFmtId="179" fontId="2" fillId="0" borderId="49" xfId="0" applyNumberFormat="1" applyFont="1" applyBorder="1" applyAlignment="1">
      <alignment horizontal="center" vertical="center"/>
    </xf>
    <xf numFmtId="179" fontId="4" fillId="3" borderId="53" xfId="0" applyNumberFormat="1" applyFont="1" applyFill="1" applyBorder="1" applyAlignment="1">
      <alignment horizontal="center" vertical="center"/>
    </xf>
    <xf numFmtId="179" fontId="4" fillId="3" borderId="54" xfId="0" applyNumberFormat="1" applyFont="1" applyFill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79" fontId="2" fillId="0" borderId="52" xfId="0" applyNumberFormat="1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9" fontId="2" fillId="0" borderId="5" xfId="0" applyNumberFormat="1" applyFont="1" applyBorder="1" applyAlignment="1">
      <alignment horizontal="center" vertical="center"/>
    </xf>
    <xf numFmtId="179" fontId="2" fillId="0" borderId="55" xfId="0" applyNumberFormat="1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176" fontId="16" fillId="0" borderId="12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2" borderId="51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/>
    </xf>
    <xf numFmtId="179" fontId="2" fillId="0" borderId="44" xfId="0" applyNumberFormat="1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179" fontId="2" fillId="0" borderId="69" xfId="0" applyNumberFormat="1" applyFont="1" applyBorder="1" applyAlignment="1">
      <alignment horizontal="center" vertical="center"/>
    </xf>
    <xf numFmtId="179" fontId="2" fillId="0" borderId="47" xfId="0" applyNumberFormat="1" applyFont="1" applyBorder="1" applyAlignment="1">
      <alignment horizontal="center" vertical="center"/>
    </xf>
    <xf numFmtId="179" fontId="2" fillId="0" borderId="74" xfId="0" applyNumberFormat="1" applyFont="1" applyBorder="1" applyAlignment="1">
      <alignment horizontal="center" vertical="center"/>
    </xf>
    <xf numFmtId="179" fontId="2" fillId="0" borderId="48" xfId="0" applyNumberFormat="1" applyFont="1" applyBorder="1" applyAlignment="1">
      <alignment horizontal="center" vertical="center"/>
    </xf>
    <xf numFmtId="177" fontId="2" fillId="0" borderId="44" xfId="0" applyNumberFormat="1" applyFont="1" applyBorder="1" applyAlignment="1">
      <alignment horizontal="center" vertical="center"/>
    </xf>
    <xf numFmtId="180" fontId="2" fillId="0" borderId="75" xfId="0" applyNumberFormat="1" applyFont="1" applyBorder="1" applyAlignment="1">
      <alignment horizontal="center" vertical="center"/>
    </xf>
    <xf numFmtId="180" fontId="2" fillId="0" borderId="74" xfId="0" applyNumberFormat="1" applyFont="1" applyBorder="1" applyAlignment="1">
      <alignment horizontal="center" vertical="center"/>
    </xf>
    <xf numFmtId="180" fontId="2" fillId="0" borderId="48" xfId="0" applyNumberFormat="1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2" fillId="2" borderId="12" xfId="0" applyFont="1" applyFill="1" applyBorder="1" applyAlignment="1">
      <alignment horizontal="center" vertical="center"/>
    </xf>
    <xf numFmtId="179" fontId="2" fillId="0" borderId="79" xfId="0" applyNumberFormat="1" applyFont="1" applyBorder="1" applyAlignment="1">
      <alignment horizontal="center" vertical="center"/>
    </xf>
    <xf numFmtId="179" fontId="2" fillId="0" borderId="80" xfId="0" applyNumberFormat="1" applyFont="1" applyBorder="1" applyAlignment="1">
      <alignment horizontal="center" vertical="center"/>
    </xf>
    <xf numFmtId="179" fontId="2" fillId="0" borderId="81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179" fontId="2" fillId="0" borderId="43" xfId="0" applyNumberFormat="1" applyFont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179" fontId="5" fillId="3" borderId="84" xfId="0" applyNumberFormat="1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179" fontId="2" fillId="0" borderId="45" xfId="0" applyNumberFormat="1" applyFont="1" applyBorder="1" applyAlignment="1">
      <alignment horizontal="center" vertical="center"/>
    </xf>
    <xf numFmtId="178" fontId="21" fillId="0" borderId="12" xfId="0" applyNumberFormat="1" applyFont="1" applyBorder="1" applyAlignment="1">
      <alignment horizontal="center" vertical="center"/>
    </xf>
    <xf numFmtId="178" fontId="21" fillId="2" borderId="12" xfId="0" applyNumberFormat="1" applyFont="1" applyFill="1" applyBorder="1" applyAlignment="1">
      <alignment horizontal="center" vertical="center"/>
    </xf>
    <xf numFmtId="180" fontId="3" fillId="0" borderId="20" xfId="0" applyNumberFormat="1" applyFont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3" fillId="0" borderId="82" xfId="0" applyFont="1" applyBorder="1" applyAlignment="1">
      <alignment horizontal="center" vertical="center"/>
    </xf>
    <xf numFmtId="178" fontId="3" fillId="0" borderId="82" xfId="0" applyNumberFormat="1" applyFont="1" applyBorder="1" applyAlignment="1">
      <alignment horizontal="center" vertical="center"/>
    </xf>
    <xf numFmtId="180" fontId="3" fillId="0" borderId="83" xfId="0" applyNumberFormat="1" applyFont="1" applyBorder="1" applyAlignment="1">
      <alignment horizontal="center" vertical="center"/>
    </xf>
    <xf numFmtId="0" fontId="2" fillId="0" borderId="88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/>
    </xf>
    <xf numFmtId="178" fontId="3" fillId="0" borderId="20" xfId="0" applyNumberFormat="1" applyFont="1" applyBorder="1" applyAlignment="1">
      <alignment horizontal="center" vertical="center"/>
    </xf>
    <xf numFmtId="178" fontId="3" fillId="0" borderId="83" xfId="0" applyNumberFormat="1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4" borderId="17" xfId="0" applyFont="1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4" borderId="41" xfId="0" applyFill="1" applyBorder="1" applyAlignment="1">
      <alignment horizontal="center" vertical="center"/>
    </xf>
    <xf numFmtId="0" fontId="0" fillId="4" borderId="17" xfId="0" applyFill="1" applyBorder="1"/>
    <xf numFmtId="0" fontId="0" fillId="4" borderId="9" xfId="0" applyFill="1" applyBorder="1"/>
    <xf numFmtId="0" fontId="21" fillId="2" borderId="21" xfId="0" applyFont="1" applyFill="1" applyBorder="1" applyAlignment="1">
      <alignment horizontal="center" vertical="center"/>
    </xf>
    <xf numFmtId="0" fontId="0" fillId="4" borderId="19" xfId="0" applyFill="1" applyBorder="1"/>
    <xf numFmtId="178" fontId="0" fillId="0" borderId="20" xfId="0" applyNumberFormat="1" applyBorder="1" applyAlignment="1">
      <alignment horizontal="center" vertical="center"/>
    </xf>
    <xf numFmtId="178" fontId="0" fillId="2" borderId="20" xfId="0" applyNumberFormat="1" applyFill="1" applyBorder="1" applyAlignment="1">
      <alignment horizontal="center" vertical="center"/>
    </xf>
    <xf numFmtId="178" fontId="2" fillId="0" borderId="70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179" fontId="3" fillId="0" borderId="12" xfId="0" applyNumberFormat="1" applyFont="1" applyBorder="1" applyAlignment="1">
      <alignment horizontal="center" vertical="center"/>
    </xf>
    <xf numFmtId="179" fontId="3" fillId="0" borderId="82" xfId="0" applyNumberFormat="1" applyFont="1" applyBorder="1" applyAlignment="1">
      <alignment horizontal="center" vertical="center"/>
    </xf>
    <xf numFmtId="0" fontId="3" fillId="0" borderId="8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89" xfId="0" applyFont="1" applyBorder="1" applyAlignment="1">
      <alignment horizontal="center" vertical="center"/>
    </xf>
    <xf numFmtId="178" fontId="3" fillId="0" borderId="60" xfId="0" applyNumberFormat="1" applyFont="1" applyBorder="1" applyAlignment="1">
      <alignment horizontal="center" vertical="center"/>
    </xf>
    <xf numFmtId="178" fontId="3" fillId="0" borderId="58" xfId="0" applyNumberFormat="1" applyFont="1" applyBorder="1" applyAlignment="1">
      <alignment horizontal="center" vertical="center"/>
    </xf>
    <xf numFmtId="178" fontId="3" fillId="0" borderId="59" xfId="0" applyNumberFormat="1" applyFont="1" applyBorder="1" applyAlignment="1">
      <alignment horizontal="center" vertical="center"/>
    </xf>
    <xf numFmtId="178" fontId="3" fillId="0" borderId="64" xfId="0" applyNumberFormat="1" applyFont="1" applyBorder="1" applyAlignment="1">
      <alignment horizontal="center" vertical="center"/>
    </xf>
    <xf numFmtId="178" fontId="3" fillId="0" borderId="65" xfId="0" applyNumberFormat="1" applyFont="1" applyBorder="1" applyAlignment="1">
      <alignment horizontal="center" vertical="center"/>
    </xf>
    <xf numFmtId="178" fontId="3" fillId="0" borderId="67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10" fillId="0" borderId="5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178" fontId="3" fillId="0" borderId="58" xfId="0" applyNumberFormat="1" applyFont="1" applyBorder="1" applyAlignment="1">
      <alignment vertical="center"/>
    </xf>
    <xf numFmtId="178" fontId="3" fillId="0" borderId="63" xfId="0" applyNumberFormat="1" applyFont="1" applyBorder="1" applyAlignment="1">
      <alignment horizontal="center" vertical="center"/>
    </xf>
    <xf numFmtId="178" fontId="10" fillId="0" borderId="56" xfId="0" applyNumberFormat="1" applyFont="1" applyBorder="1" applyAlignment="1">
      <alignment horizontal="center" vertical="center"/>
    </xf>
    <xf numFmtId="178" fontId="3" fillId="0" borderId="37" xfId="0" applyNumberFormat="1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178" fontId="3" fillId="0" borderId="39" xfId="0" applyNumberFormat="1" applyFont="1" applyBorder="1" applyAlignment="1">
      <alignment horizontal="center" vertical="center"/>
    </xf>
    <xf numFmtId="178" fontId="3" fillId="0" borderId="68" xfId="0" applyNumberFormat="1" applyFont="1" applyBorder="1" applyAlignment="1">
      <alignment horizontal="center" vertical="center"/>
    </xf>
    <xf numFmtId="178" fontId="10" fillId="0" borderId="66" xfId="0" applyNumberFormat="1" applyFont="1" applyBorder="1" applyAlignment="1">
      <alignment horizontal="center" vertical="center"/>
    </xf>
    <xf numFmtId="178" fontId="3" fillId="0" borderId="40" xfId="0" applyNumberFormat="1" applyFont="1" applyBorder="1" applyAlignment="1">
      <alignment horizontal="center" vertical="center"/>
    </xf>
    <xf numFmtId="178" fontId="3" fillId="2" borderId="51" xfId="0" applyNumberFormat="1" applyFont="1" applyFill="1" applyBorder="1" applyAlignment="1">
      <alignment horizontal="center" vertical="center"/>
    </xf>
    <xf numFmtId="178" fontId="3" fillId="2" borderId="7" xfId="0" applyNumberFormat="1" applyFont="1" applyFill="1" applyBorder="1" applyAlignment="1">
      <alignment horizontal="center" vertical="center"/>
    </xf>
    <xf numFmtId="178" fontId="3" fillId="0" borderId="55" xfId="0" applyNumberFormat="1" applyFont="1" applyBorder="1" applyAlignment="1">
      <alignment horizontal="center" vertical="center"/>
    </xf>
    <xf numFmtId="178" fontId="3" fillId="0" borderId="6" xfId="0" applyNumberFormat="1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178" fontId="3" fillId="2" borderId="43" xfId="0" applyNumberFormat="1" applyFont="1" applyFill="1" applyBorder="1" applyAlignment="1">
      <alignment horizontal="center" vertical="center"/>
    </xf>
    <xf numFmtId="178" fontId="3" fillId="0" borderId="49" xfId="0" applyNumberFormat="1" applyFont="1" applyBorder="1" applyAlignment="1">
      <alignment horizontal="center" vertical="center"/>
    </xf>
    <xf numFmtId="178" fontId="3" fillId="0" borderId="3" xfId="0" applyNumberFormat="1" applyFont="1" applyBorder="1" applyAlignment="1">
      <alignment horizontal="center" vertical="center"/>
    </xf>
    <xf numFmtId="178" fontId="3" fillId="0" borderId="44" xfId="0" applyNumberFormat="1" applyFont="1" applyBorder="1" applyAlignment="1">
      <alignment horizontal="center" vertical="center"/>
    </xf>
    <xf numFmtId="178" fontId="3" fillId="2" borderId="69" xfId="0" applyNumberFormat="1" applyFont="1" applyFill="1" applyBorder="1" applyAlignment="1">
      <alignment horizontal="center" vertical="center"/>
    </xf>
    <xf numFmtId="178" fontId="3" fillId="2" borderId="47" xfId="0" applyNumberFormat="1" applyFont="1" applyFill="1" applyBorder="1" applyAlignment="1">
      <alignment horizontal="center" vertical="center"/>
    </xf>
    <xf numFmtId="178" fontId="3" fillId="2" borderId="48" xfId="0" applyNumberFormat="1" applyFont="1" applyFill="1" applyBorder="1" applyAlignment="1">
      <alignment horizontal="center" vertical="center"/>
    </xf>
    <xf numFmtId="176" fontId="16" fillId="2" borderId="20" xfId="0" applyNumberFormat="1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/>
    </xf>
    <xf numFmtId="0" fontId="8" fillId="0" borderId="72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2" fillId="4" borderId="4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71" xfId="0" applyFont="1" applyBorder="1" applyAlignment="1">
      <alignment horizontal="center" vertical="center"/>
    </xf>
    <xf numFmtId="0" fontId="9" fillId="0" borderId="72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2" fillId="0" borderId="85" xfId="0" applyFont="1" applyBorder="1" applyAlignment="1">
      <alignment horizontal="left" vertical="center"/>
    </xf>
    <xf numFmtId="0" fontId="2" fillId="0" borderId="86" xfId="0" applyFont="1" applyBorder="1" applyAlignment="1">
      <alignment horizontal="left" vertical="center"/>
    </xf>
    <xf numFmtId="0" fontId="2" fillId="0" borderId="87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83" xfId="0" applyFont="1" applyBorder="1" applyAlignment="1">
      <alignment horizontal="center" vertical="center"/>
    </xf>
    <xf numFmtId="0" fontId="9" fillId="0" borderId="76" xfId="0" applyFont="1" applyBorder="1" applyAlignment="1">
      <alignment horizontal="center" vertical="center"/>
    </xf>
    <xf numFmtId="0" fontId="9" fillId="0" borderId="77" xfId="0" applyFont="1" applyBorder="1" applyAlignment="1">
      <alignment horizontal="center" vertical="center"/>
    </xf>
    <xf numFmtId="0" fontId="9" fillId="0" borderId="78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" fillId="0" borderId="86" xfId="0" applyFont="1" applyBorder="1" applyAlignment="1">
      <alignment horizontal="center" vertical="center"/>
    </xf>
    <xf numFmtId="0" fontId="2" fillId="0" borderId="87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2" fillId="2" borderId="21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178" fontId="0" fillId="0" borderId="12" xfId="0" applyNumberFormat="1" applyBorder="1" applyAlignment="1">
      <alignment horizontal="center" vertical="center"/>
    </xf>
    <xf numFmtId="0" fontId="3" fillId="0" borderId="85" xfId="0" applyFont="1" applyBorder="1" applyAlignment="1">
      <alignment horizontal="left" vertical="center"/>
    </xf>
    <xf numFmtId="0" fontId="3" fillId="0" borderId="86" xfId="0" applyFont="1" applyBorder="1" applyAlignment="1">
      <alignment horizontal="left" vertical="center"/>
    </xf>
    <xf numFmtId="0" fontId="3" fillId="0" borderId="87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20" fillId="4" borderId="46" xfId="0" applyFont="1" applyFill="1" applyBorder="1" applyAlignment="1">
      <alignment horizontal="center" vertical="center"/>
    </xf>
    <xf numFmtId="31" fontId="20" fillId="4" borderId="9" xfId="0" applyNumberFormat="1" applyFont="1" applyFill="1" applyBorder="1" applyAlignment="1">
      <alignment horizontal="center" vertical="center"/>
    </xf>
    <xf numFmtId="0" fontId="20" fillId="4" borderId="42" xfId="0" applyFont="1" applyFill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0" fontId="21" fillId="4" borderId="41" xfId="0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21" fillId="4" borderId="42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4" borderId="17" xfId="0" applyFont="1" applyFill="1" applyBorder="1" applyAlignment="1">
      <alignment horizontal="center" vertical="center"/>
    </xf>
    <xf numFmtId="0" fontId="20" fillId="4" borderId="8" xfId="0" applyFont="1" applyFill="1" applyBorder="1" applyAlignment="1">
      <alignment horizontal="center" vertical="center"/>
    </xf>
    <xf numFmtId="0" fontId="20" fillId="4" borderId="18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</cellXfs>
  <cellStyles count="1">
    <cellStyle name="常规" xfId="0" builtinId="0"/>
  </cellStyles>
  <dxfs count="4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theme" Target="theme/theme1.xml" /><Relationship Id="rId14" Type="http://schemas.openxmlformats.org/officeDocument/2006/relationships/styles" Target="styles.xml" /><Relationship Id="rId15" Type="http://schemas.openxmlformats.org/officeDocument/2006/relationships/sharedStrings" Target="sharedStrings.xml" /><Relationship Id="rId16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5.vml" /><Relationship Id="rId2" Type="http://schemas.openxmlformats.org/officeDocument/2006/relationships/comments" Target="../comments5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6.vml" /><Relationship Id="rId2" Type="http://schemas.openxmlformats.org/officeDocument/2006/relationships/comments" Target="../comments6.x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Relationship Id="rId2" Type="http://schemas.openxmlformats.org/officeDocument/2006/relationships/vmlDrawing" Target="../drawings/vmlDrawing7.vml" /><Relationship Id="rId3" Type="http://schemas.openxmlformats.org/officeDocument/2006/relationships/comments" Target="../comments7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8.vml" /><Relationship Id="rId2" Type="http://schemas.openxmlformats.org/officeDocument/2006/relationships/comments" Target="../comments8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K35"/>
  <sheetViews>
    <sheetView tabSelected="1" zoomScaleNormal="100" workbookViewId="0">
      <selection activeCell="B33" sqref="B33:B35"/>
    </sheetView>
  </sheetViews>
  <sheetFormatPr defaultRowHeight="18.5" customHeight="1"/>
  <cols>
    <col min="1" max="1" width="1.83203125" customWidth="1"/>
    <col min="2" max="2" width="12.1640625" bestFit="1" customWidth="1"/>
    <col min="3" max="3" width="10.1640625" bestFit="1" customWidth="1"/>
    <col min="4" max="4" width="14.08203125" bestFit="1" customWidth="1"/>
    <col min="5" max="5" width="7.25" bestFit="1" customWidth="1"/>
    <col min="6" max="7" width="19.4140625" bestFit="1" customWidth="1"/>
    <col min="8" max="8" width="7.5" bestFit="1" customWidth="1"/>
    <col min="9" max="9" width="2.25" bestFit="1" customWidth="1"/>
    <col min="10" max="10" width="7.25" bestFit="1" customWidth="1"/>
    <col min="16" max="16" width="11.58203125" customWidth="1"/>
  </cols>
  <sheetData>
    <row r="1" spans="2:10" ht="14.5" thickBot="1"/>
    <row r="2" spans="2:10" ht="21">
      <c r="B2" s="155" t="s">
        <v>125</v>
      </c>
      <c r="C2" s="156"/>
      <c r="D2" s="156"/>
      <c r="E2" s="156"/>
      <c r="F2" s="156"/>
      <c r="G2" s="156"/>
      <c r="H2" s="156"/>
      <c r="I2" s="156"/>
      <c r="J2" s="157"/>
    </row>
    <row r="3" spans="2:10" ht="14">
      <c r="B3" s="7"/>
      <c r="C3" s="8"/>
      <c r="D3" s="8"/>
      <c r="E3" s="8"/>
      <c r="F3" s="8"/>
      <c r="G3" s="9" t="s">
        <v>208</v>
      </c>
      <c r="H3" s="158" t="s">
        <v>209</v>
      </c>
      <c r="I3" s="158"/>
      <c r="J3" s="159"/>
    </row>
    <row r="4" spans="2:10" ht="21">
      <c r="B4" s="151" t="s">
        <v>15</v>
      </c>
      <c r="C4" s="152"/>
      <c r="D4" s="153"/>
      <c r="E4" s="10" t="s">
        <v>35</v>
      </c>
      <c r="F4" s="10" t="s">
        <v>126</v>
      </c>
      <c r="G4" s="10" t="s">
        <v>127</v>
      </c>
      <c r="H4" s="160" t="s">
        <v>128</v>
      </c>
      <c r="I4" s="153"/>
      <c r="J4" s="11" t="s">
        <v>50</v>
      </c>
    </row>
    <row r="5" spans="2:10" ht="14">
      <c r="B5" s="12" t="s">
        <v>129</v>
      </c>
      <c r="C5" s="154" t="s">
        <v>107</v>
      </c>
      <c r="D5" s="154"/>
      <c r="E5" s="13" t="s">
        <v>45</v>
      </c>
      <c r="F5" s="21">
        <v>90</v>
      </c>
      <c r="G5" s="24">
        <v>70</v>
      </c>
      <c r="H5" s="14">
        <f>(G5-F5)/F5*100</f>
        <v>-22.222222222222221</v>
      </c>
      <c r="I5" s="15" t="s">
        <v>45</v>
      </c>
      <c r="J5" s="16"/>
    </row>
    <row r="6" spans="2:10" ht="14">
      <c r="B6" s="161" t="s">
        <v>130</v>
      </c>
      <c r="C6" s="154" t="s">
        <v>131</v>
      </c>
      <c r="D6" s="154"/>
      <c r="E6" s="13" t="s">
        <v>75</v>
      </c>
      <c r="F6" s="21" t="s">
        <v>166</v>
      </c>
      <c r="G6" s="24"/>
      <c r="H6" s="5" t="str">
        <f>IF($G6="","",IF(AND($G6&gt;=0,$G6&lt;=1427),"合格","不合格"))</f>
        <v/>
      </c>
      <c r="I6" s="17" t="s">
        <v>11</v>
      </c>
      <c r="J6" s="16"/>
    </row>
    <row r="7" spans="2:10" ht="14">
      <c r="B7" s="162"/>
      <c r="C7" s="154" t="s">
        <v>132</v>
      </c>
      <c r="D7" s="154"/>
      <c r="E7" s="13" t="s">
        <v>75</v>
      </c>
      <c r="F7" s="21" t="s">
        <v>167</v>
      </c>
      <c r="G7" s="24"/>
      <c r="H7" s="5" t="str">
        <f>IF($G7="","",IF(AND($G7&gt;=210,$G7&lt;=220),"合格","不合格"))</f>
        <v/>
      </c>
      <c r="I7" s="17" t="s">
        <v>11</v>
      </c>
      <c r="J7" s="16"/>
    </row>
    <row r="8" spans="2:10" ht="14">
      <c r="B8" s="163"/>
      <c r="C8" s="154" t="s">
        <v>133</v>
      </c>
      <c r="D8" s="154"/>
      <c r="E8" s="13" t="s">
        <v>75</v>
      </c>
      <c r="F8" s="21" t="s">
        <v>168</v>
      </c>
      <c r="G8" s="24"/>
      <c r="H8" s="5" t="str">
        <f>IF($G8="","",IF(AND($G8&gt;=190,$G8&lt;=210),"合格","不合格"))</f>
        <v/>
      </c>
      <c r="I8" s="17" t="s">
        <v>11</v>
      </c>
      <c r="J8" s="16"/>
    </row>
    <row r="9" spans="2:10" ht="14">
      <c r="B9" s="161" t="s">
        <v>134</v>
      </c>
      <c r="C9" s="13" t="s">
        <v>135</v>
      </c>
      <c r="D9" s="13" t="s">
        <v>136</v>
      </c>
      <c r="E9" s="13" t="s">
        <v>137</v>
      </c>
      <c r="F9" s="21" t="s">
        <v>169</v>
      </c>
      <c r="G9" s="24">
        <v>415.1131591796875</v>
      </c>
      <c r="H9" s="5" t="str">
        <f>IF($G9="","",IF(AND($G9&gt;=412,$G9&lt;=422),"合格","不合格"))</f>
        <v/>
      </c>
      <c r="I9" s="17" t="s">
        <v>11</v>
      </c>
      <c r="J9" s="16"/>
    </row>
    <row r="10" spans="2:10" ht="14">
      <c r="B10" s="162"/>
      <c r="C10" s="154" t="s">
        <v>138</v>
      </c>
      <c r="D10" s="13" t="s">
        <v>139</v>
      </c>
      <c r="E10" s="17" t="s">
        <v>11</v>
      </c>
      <c r="F10" s="21" t="s">
        <v>170</v>
      </c>
      <c r="G10" s="24">
        <v>0.5414935946464539</v>
      </c>
      <c r="H10" s="5" t="str">
        <f>IF($G10="","",IF(AND($G10&gt;=0.525,$G10&lt;=0.5357),"合格","不合格"))</f>
        <v/>
      </c>
      <c r="I10" s="17" t="s">
        <v>11</v>
      </c>
      <c r="J10" s="16"/>
    </row>
    <row r="11" spans="2:10" ht="14">
      <c r="B11" s="162"/>
      <c r="C11" s="154"/>
      <c r="D11" s="13" t="s">
        <v>140</v>
      </c>
      <c r="E11" s="13" t="s">
        <v>141</v>
      </c>
      <c r="F11" s="21">
        <v>46.63</v>
      </c>
      <c r="G11" s="24">
        <v>46.29100036621094</v>
      </c>
      <c r="H11" s="5" t="s">
        <v>181</v>
      </c>
      <c r="I11" s="17" t="s">
        <v>11</v>
      </c>
      <c r="J11" s="16"/>
    </row>
    <row r="12" spans="2:10" ht="14">
      <c r="B12" s="162"/>
      <c r="C12" s="154"/>
      <c r="D12" s="13" t="s">
        <v>142</v>
      </c>
      <c r="E12" s="13" t="s">
        <v>14</v>
      </c>
      <c r="F12" s="21" t="s">
        <v>171</v>
      </c>
      <c r="G12" s="24">
        <v>0.740480363368988</v>
      </c>
      <c r="H12" s="5" t="str">
        <f>IF($G12="","",IF(AND($G12&gt;=0.745,$G12&lt;=0.755),"合格","不合格"))</f>
        <v/>
      </c>
      <c r="I12" s="17" t="s">
        <v>11</v>
      </c>
      <c r="J12" s="16"/>
    </row>
    <row r="13" spans="2:10" ht="14">
      <c r="B13" s="162"/>
      <c r="C13" s="154"/>
      <c r="D13" s="13" t="s">
        <v>143</v>
      </c>
      <c r="E13" s="13" t="s">
        <v>12</v>
      </c>
      <c r="F13" s="21" t="s">
        <v>172</v>
      </c>
      <c r="G13" s="24">
        <v>90.49840545654297</v>
      </c>
      <c r="H13" s="5" t="str">
        <f>IF($G13="","",IF(AND($G13&gt;=88,$G13&lt;=92),"合格","不合格"))</f>
        <v/>
      </c>
      <c r="I13" s="17" t="s">
        <v>11</v>
      </c>
      <c r="J13" s="16"/>
    </row>
    <row r="14" spans="2:10" ht="14">
      <c r="B14" s="162"/>
      <c r="C14" s="154"/>
      <c r="D14" s="13" t="s">
        <v>144</v>
      </c>
      <c r="E14" s="13" t="s">
        <v>12</v>
      </c>
      <c r="F14" s="21" t="s">
        <v>173</v>
      </c>
      <c r="G14" s="24">
        <v>140.86734008789062</v>
      </c>
      <c r="H14" s="5" t="str">
        <f>IF($G14="","",IF(AND($G14&gt;=143,$G14&lt;=147),"合格","不合格"))</f>
        <v/>
      </c>
      <c r="I14" s="17" t="s">
        <v>11</v>
      </c>
      <c r="J14" s="16"/>
    </row>
    <row r="15" spans="2:10" ht="14">
      <c r="B15" s="162"/>
      <c r="C15" s="154"/>
      <c r="D15" s="13" t="s">
        <v>145</v>
      </c>
      <c r="E15" s="13" t="s">
        <v>12</v>
      </c>
      <c r="F15" s="21" t="s">
        <v>174</v>
      </c>
      <c r="G15" s="24">
        <v>163.21975708007812</v>
      </c>
      <c r="H15" s="5" t="str">
        <f>IF($G15="","",IF(AND($G15&gt;=166,$G15&lt;=170),"合格","不合格"))</f>
        <v/>
      </c>
      <c r="I15" s="17" t="s">
        <v>11</v>
      </c>
      <c r="J15" s="16"/>
    </row>
    <row r="16" spans="2:10" ht="14">
      <c r="B16" s="162"/>
      <c r="C16" s="154" t="s">
        <v>146</v>
      </c>
      <c r="D16" s="13" t="s">
        <v>147</v>
      </c>
      <c r="E16" s="13" t="s">
        <v>12</v>
      </c>
      <c r="F16" s="21" t="s">
        <v>175</v>
      </c>
      <c r="G16" s="24">
        <v>46.086517333984375</v>
      </c>
      <c r="H16" s="5" t="str">
        <f>IF($G16="","",IF(AND($G16&gt;=0,$G16&lt;=45),"合格","不合格"))</f>
        <v/>
      </c>
      <c r="I16" s="17" t="s">
        <v>11</v>
      </c>
      <c r="J16" s="16"/>
    </row>
    <row r="17" spans="2:10" ht="14">
      <c r="B17" s="162"/>
      <c r="C17" s="154"/>
      <c r="D17" s="13" t="s">
        <v>148</v>
      </c>
      <c r="E17" s="13" t="s">
        <v>12</v>
      </c>
      <c r="F17" s="21" t="s">
        <v>176</v>
      </c>
      <c r="G17" s="24">
        <v>20.27452278137207</v>
      </c>
      <c r="H17" s="5" t="str">
        <f>IF($G17="","",IF(AND($G17&gt;=0,$G17&lt;=20),"合格","不合格"))</f>
        <v/>
      </c>
      <c r="I17" s="17" t="s">
        <v>11</v>
      </c>
      <c r="J17" s="16"/>
    </row>
    <row r="18" spans="2:10" ht="14">
      <c r="B18" s="162"/>
      <c r="C18" s="154"/>
      <c r="D18" s="13" t="s">
        <v>149</v>
      </c>
      <c r="E18" s="13" t="s">
        <v>12</v>
      </c>
      <c r="F18" s="21" t="s">
        <v>177</v>
      </c>
      <c r="G18" s="24">
        <v>50.27126693725586</v>
      </c>
      <c r="H18" s="5" t="str">
        <f>IF($G18="","",IF(AND($G18&gt;=46,$G18&lt;=50),"合格","不合格"))</f>
        <v/>
      </c>
      <c r="I18" s="17" t="s">
        <v>11</v>
      </c>
      <c r="J18" s="16"/>
    </row>
    <row r="19" spans="2:10" ht="14">
      <c r="B19" s="162"/>
      <c r="C19" s="154"/>
      <c r="D19" s="13" t="s">
        <v>150</v>
      </c>
      <c r="E19" s="13" t="s">
        <v>12</v>
      </c>
      <c r="F19" s="21" t="s">
        <v>178</v>
      </c>
      <c r="G19" s="24">
        <v>19.305192947387695</v>
      </c>
      <c r="H19" s="5" t="str">
        <f>IF($G19="","",IF(AND($G19&gt;=0,$G19&lt;=20),"合格","不合格"))</f>
        <v/>
      </c>
      <c r="I19" s="17" t="s">
        <v>11</v>
      </c>
      <c r="J19" s="16"/>
    </row>
    <row r="20" spans="2:10" ht="14">
      <c r="B20" s="162"/>
      <c r="C20" s="154" t="s">
        <v>151</v>
      </c>
      <c r="D20" s="13" t="s">
        <v>20</v>
      </c>
      <c r="E20" s="13" t="s">
        <v>45</v>
      </c>
      <c r="F20" s="22" t="s">
        <v>179</v>
      </c>
      <c r="G20" s="24"/>
      <c r="H20" s="18" t="s">
        <v>152</v>
      </c>
      <c r="I20" s="17" t="s">
        <v>11</v>
      </c>
      <c r="J20" s="16"/>
    </row>
    <row r="21" spans="2:10" ht="14">
      <c r="B21" s="162"/>
      <c r="C21" s="154"/>
      <c r="D21" s="13" t="s">
        <v>153</v>
      </c>
      <c r="E21" s="13" t="s">
        <v>45</v>
      </c>
      <c r="F21" s="22" t="s">
        <v>179</v>
      </c>
      <c r="G21" s="24"/>
      <c r="H21" s="18" t="s">
        <v>152</v>
      </c>
      <c r="I21" s="17" t="s">
        <v>11</v>
      </c>
      <c r="J21" s="16"/>
    </row>
    <row r="22" spans="2:10" ht="14">
      <c r="B22" s="162"/>
      <c r="C22" s="154"/>
      <c r="D22" s="13" t="s">
        <v>27</v>
      </c>
      <c r="E22" s="17" t="s">
        <v>11</v>
      </c>
      <c r="F22" s="22" t="s">
        <v>179</v>
      </c>
      <c r="G22" s="24"/>
      <c r="H22" s="18" t="s">
        <v>152</v>
      </c>
      <c r="I22" s="17" t="s">
        <v>11</v>
      </c>
      <c r="J22" s="16"/>
    </row>
    <row r="23" spans="2:10" ht="14">
      <c r="B23" s="162"/>
      <c r="C23" s="154"/>
      <c r="D23" s="13" t="s">
        <v>154</v>
      </c>
      <c r="E23" s="13" t="s">
        <v>137</v>
      </c>
      <c r="F23" s="22" t="s">
        <v>179</v>
      </c>
      <c r="G23" s="24"/>
      <c r="H23" s="18" t="s">
        <v>152</v>
      </c>
      <c r="I23" s="17" t="s">
        <v>11</v>
      </c>
      <c r="J23" s="16"/>
    </row>
    <row r="24" spans="2:10" ht="14">
      <c r="B24" s="163"/>
      <c r="C24" s="154"/>
      <c r="D24" s="13" t="s">
        <v>155</v>
      </c>
      <c r="E24" s="13" t="s">
        <v>137</v>
      </c>
      <c r="F24" s="22" t="s">
        <v>179</v>
      </c>
      <c r="G24" s="24"/>
      <c r="H24" s="18" t="s">
        <v>152</v>
      </c>
      <c r="I24" s="17" t="s">
        <v>11</v>
      </c>
      <c r="J24" s="16"/>
    </row>
    <row r="25" spans="2:10" ht="14">
      <c r="B25" s="167" t="s">
        <v>113</v>
      </c>
      <c r="C25" s="13" t="s">
        <v>156</v>
      </c>
      <c r="D25" s="13" t="s">
        <v>157</v>
      </c>
      <c r="E25" s="13" t="s">
        <v>158</v>
      </c>
      <c r="F25" s="21" t="s">
        <v>180</v>
      </c>
      <c r="G25" s="24"/>
      <c r="H25" s="5" t="str">
        <f>IF($G25="","",IF(AND($G25&gt;=0,$G25&lt;=0.38),"合格","不合格"))</f>
        <v/>
      </c>
      <c r="I25" s="17" t="s">
        <v>11</v>
      </c>
      <c r="J25" s="16"/>
    </row>
    <row r="26" spans="2:10" ht="14">
      <c r="B26" s="167"/>
      <c r="C26" s="154" t="s">
        <v>159</v>
      </c>
      <c r="D26" s="13" t="s">
        <v>160</v>
      </c>
      <c r="E26" s="13" t="s">
        <v>45</v>
      </c>
      <c r="F26" s="21">
        <v>7</v>
      </c>
      <c r="G26" s="24"/>
      <c r="H26" s="14">
        <f>(G26-F26)</f>
        <v>-7</v>
      </c>
      <c r="I26" s="17" t="s">
        <v>45</v>
      </c>
      <c r="J26" s="16"/>
    </row>
    <row r="27" spans="2:10" ht="14">
      <c r="B27" s="167"/>
      <c r="C27" s="154"/>
      <c r="D27" s="13" t="s">
        <v>161</v>
      </c>
      <c r="E27" s="13" t="s">
        <v>45</v>
      </c>
      <c r="F27" s="21">
        <v>15</v>
      </c>
      <c r="G27" s="24"/>
      <c r="H27" s="14">
        <f t="shared" ref="H27:H31" si="0">(G27-F27)</f>
        <v>-15</v>
      </c>
      <c r="I27" s="17" t="s">
        <v>45</v>
      </c>
      <c r="J27" s="16"/>
    </row>
    <row r="28" spans="2:10" ht="14">
      <c r="B28" s="167"/>
      <c r="C28" s="154"/>
      <c r="D28" s="13" t="s">
        <v>97</v>
      </c>
      <c r="E28" s="13" t="s">
        <v>45</v>
      </c>
      <c r="F28" s="21">
        <v>4</v>
      </c>
      <c r="G28" s="24"/>
      <c r="H28" s="14">
        <f t="shared" si="0"/>
        <v>-4</v>
      </c>
      <c r="I28" s="17" t="s">
        <v>45</v>
      </c>
      <c r="J28" s="16"/>
    </row>
    <row r="29" spans="2:10" ht="14">
      <c r="B29" s="167"/>
      <c r="C29" s="154"/>
      <c r="D29" s="13" t="s">
        <v>154</v>
      </c>
      <c r="E29" s="13" t="s">
        <v>45</v>
      </c>
      <c r="F29" s="21">
        <v>7</v>
      </c>
      <c r="G29" s="24"/>
      <c r="H29" s="14">
        <f t="shared" si="0"/>
        <v>-7</v>
      </c>
      <c r="I29" s="17" t="s">
        <v>45</v>
      </c>
      <c r="J29" s="16"/>
    </row>
    <row r="30" spans="2:10" ht="14">
      <c r="B30" s="167"/>
      <c r="C30" s="154"/>
      <c r="D30" s="13" t="s">
        <v>155</v>
      </c>
      <c r="E30" s="13" t="s">
        <v>45</v>
      </c>
      <c r="F30" s="21">
        <v>7</v>
      </c>
      <c r="G30" s="24"/>
      <c r="H30" s="14">
        <f t="shared" si="0"/>
        <v>-7</v>
      </c>
      <c r="I30" s="17" t="s">
        <v>45</v>
      </c>
      <c r="J30" s="16"/>
    </row>
    <row r="31" spans="2:10" ht="14">
      <c r="B31" s="167"/>
      <c r="C31" s="154"/>
      <c r="D31" s="13" t="s">
        <v>162</v>
      </c>
      <c r="E31" s="13" t="s">
        <v>163</v>
      </c>
      <c r="F31" s="21">
        <v>10</v>
      </c>
      <c r="G31" s="24"/>
      <c r="H31" s="14">
        <f t="shared" si="0"/>
        <v>-10</v>
      </c>
      <c r="I31" s="17" t="s">
        <v>45</v>
      </c>
      <c r="J31" s="16"/>
    </row>
    <row r="32" spans="2:10" ht="14.5" thickBot="1">
      <c r="B32" s="161"/>
      <c r="C32" s="168"/>
      <c r="D32" s="20" t="s">
        <v>164</v>
      </c>
      <c r="E32" s="20" t="s">
        <v>45</v>
      </c>
      <c r="F32" s="23">
        <v>50</v>
      </c>
      <c r="G32" s="25"/>
      <c r="H32" s="14">
        <f>(G32-F32)</f>
        <v>-50</v>
      </c>
      <c r="I32" s="17" t="s">
        <v>45</v>
      </c>
      <c r="J32" s="19"/>
    </row>
    <row r="33" spans="2:10" ht="14">
      <c r="B33" s="164" t="s">
        <v>165</v>
      </c>
      <c r="C33" s="169"/>
      <c r="D33" s="170"/>
      <c r="E33" s="170"/>
      <c r="F33" s="170"/>
      <c r="G33" s="170"/>
      <c r="H33" s="170"/>
      <c r="I33" s="170"/>
      <c r="J33" s="171"/>
    </row>
    <row r="34" spans="2:10" ht="14">
      <c r="B34" s="165"/>
      <c r="C34" s="172"/>
      <c r="D34" s="173"/>
      <c r="E34" s="173"/>
      <c r="F34" s="173"/>
      <c r="G34" s="173"/>
      <c r="H34" s="173"/>
      <c r="I34" s="173"/>
      <c r="J34" s="174"/>
    </row>
    <row r="35" spans="2:10" ht="14.5" thickBot="1">
      <c r="B35" s="166"/>
      <c r="C35" s="175"/>
      <c r="D35" s="176"/>
      <c r="E35" s="176"/>
      <c r="F35" s="176"/>
      <c r="G35" s="176"/>
      <c r="H35" s="176"/>
      <c r="I35" s="176"/>
      <c r="J35" s="177"/>
    </row>
  </sheetData>
  <sheetCalcPr fullCalcOnLoad="1"/>
  <mergeCells count="17">
    <mergeCell ref="B6:B8"/>
    <mergeCell ref="C6:D6"/>
    <mergeCell ref="C7:D7"/>
    <mergeCell ref="C8:D8"/>
    <mergeCell ref="B33:B35"/>
    <mergeCell ref="B9:B24"/>
    <mergeCell ref="C10:C15"/>
    <mergeCell ref="C16:C19"/>
    <mergeCell ref="C20:C24"/>
    <mergeCell ref="B25:B32"/>
    <mergeCell ref="C26:C32"/>
    <mergeCell ref="C33:J35"/>
    <mergeCell ref="B4:D4"/>
    <mergeCell ref="C5:D5"/>
    <mergeCell ref="B2:J2"/>
    <mergeCell ref="H3:J3"/>
    <mergeCell ref="H4:I4"/>
  </mergeCells>
  <phoneticPr fontId="1" type="noConversion"/>
  <conditionalFormatting sqref="H5">
    <cfRule type="cellIs" dxfId="40" priority="29" aboveAverage="1" operator="equal">
      <formula>0</formula>
    </cfRule>
    <cfRule type="cellIs" dxfId="39" priority="30" aboveAverage="1" operator="lessThan">
      <formula>0</formula>
    </cfRule>
    <cfRule type="cellIs" dxfId="38" priority="31" aboveAverage="1" operator="greaterThan">
      <formula>0</formula>
    </cfRule>
  </conditionalFormatting>
  <conditionalFormatting sqref="H6:H19">
    <cfRule type="cellIs" dxfId="37" priority="32" aboveAverage="1" operator="equal">
      <formula>"合格"</formula>
    </cfRule>
    <cfRule type="cellIs" dxfId="36" priority="33" aboveAverage="1" operator="equal">
      <formula>"不合格"</formula>
    </cfRule>
    <cfRule type="containsText" dxfId="35" priority="34" aboveAverage="1" operator="containsText" text="不合格">
      <formula>NOT(ISERROR(SEARCH("不合格",H6)))</formula>
    </cfRule>
    <cfRule type="cellIs" dxfId="34" priority="35" aboveAverage="1" operator="equal">
      <formula>"合格"</formula>
    </cfRule>
  </conditionalFormatting>
  <conditionalFormatting sqref="H25">
    <cfRule type="cellIs" dxfId="33" priority="25" aboveAverage="1" operator="equal">
      <formula>"合格"</formula>
    </cfRule>
    <cfRule type="cellIs" dxfId="32" priority="26" aboveAverage="1" operator="equal">
      <formula>"不合格"</formula>
    </cfRule>
    <cfRule type="containsText" dxfId="31" priority="27" aboveAverage="1" operator="containsText" text="不合格">
      <formula>NOT(ISERROR(SEARCH("不合格",H25)))</formula>
    </cfRule>
    <cfRule type="cellIs" dxfId="30" priority="28" aboveAverage="1" operator="equal">
      <formula>"合格"</formula>
    </cfRule>
  </conditionalFormatting>
  <conditionalFormatting sqref="H26:H31">
    <cfRule type="cellIs" dxfId="29" priority="23" aboveAverage="1" operator="greaterThan">
      <formula>0</formula>
    </cfRule>
    <cfRule type="cellIs" dxfId="28" priority="24" aboveAverage="1" operator="lessThan">
      <formula>0</formula>
    </cfRule>
  </conditionalFormatting>
  <conditionalFormatting sqref="H26:H32">
    <cfRule type="cellIs" dxfId="27" priority="1" aboveAverage="1" operator="equal">
      <formula>0</formula>
    </cfRule>
  </conditionalFormatting>
  <conditionalFormatting sqref="H32">
    <cfRule type="cellIs" dxfId="26" priority="2" aboveAverage="1" operator="lessThan">
      <formula>0</formula>
    </cfRule>
    <cfRule type="cellIs" dxfId="25" priority="3" aboveAverage="1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L12"/>
  <sheetViews>
    <sheetView workbookViewId="0">
      <selection activeCell="B9" sqref="B9"/>
    </sheetView>
  </sheetViews>
  <sheetFormatPr defaultColWidth="9" defaultRowHeight="13"/>
  <cols>
    <col min="1" max="1" width="1.58203125" style="2" customWidth="1"/>
    <col min="2" max="11" width="9.58203125" style="2" customWidth="1"/>
  </cols>
  <sheetData>
    <row r="1" spans="2:11" ht="13.5" thickBot="1"/>
    <row r="2" spans="2:11" ht="24" customHeight="1">
      <c r="B2" s="178" t="s">
        <v>115</v>
      </c>
      <c r="C2" s="179"/>
      <c r="D2" s="179"/>
      <c r="E2" s="179"/>
      <c r="F2" s="179"/>
      <c r="G2" s="179"/>
      <c r="H2" s="179"/>
      <c r="I2" s="179"/>
      <c r="J2" s="179"/>
      <c r="K2" s="180"/>
    </row>
    <row r="3" spans="2:11" ht="24" customHeight="1">
      <c r="B3" s="181"/>
      <c r="C3" s="182"/>
      <c r="D3" s="182"/>
      <c r="E3" s="182"/>
      <c r="F3" s="182"/>
      <c r="G3" s="182"/>
      <c r="H3" s="244" t="s">
        <v>208</v>
      </c>
      <c r="I3" s="244"/>
      <c r="J3" s="244" t="s">
        <v>209</v>
      </c>
      <c r="K3" s="248"/>
    </row>
    <row r="4" spans="2:11" ht="24" customHeight="1">
      <c r="B4" s="54" t="s">
        <v>15</v>
      </c>
      <c r="C4" s="111" t="s">
        <v>6</v>
      </c>
      <c r="D4" s="111" t="s">
        <v>7</v>
      </c>
      <c r="E4" s="111" t="s">
        <v>2</v>
      </c>
      <c r="F4" s="111" t="s">
        <v>8</v>
      </c>
      <c r="G4" s="111" t="s">
        <v>3</v>
      </c>
      <c r="H4" s="111" t="s">
        <v>1</v>
      </c>
      <c r="I4" s="111" t="s">
        <v>5</v>
      </c>
      <c r="J4" s="111" t="s">
        <v>19</v>
      </c>
      <c r="K4" s="112" t="s">
        <v>4</v>
      </c>
    </row>
    <row r="5" spans="2:11" ht="24" customHeight="1">
      <c r="B5" s="54" t="s">
        <v>35</v>
      </c>
      <c r="C5" s="4" t="s">
        <v>10</v>
      </c>
      <c r="D5" s="4" t="s">
        <v>9</v>
      </c>
      <c r="E5" s="4" t="s">
        <v>9</v>
      </c>
      <c r="F5" s="4" t="s">
        <v>11</v>
      </c>
      <c r="G5" s="4" t="s">
        <v>14</v>
      </c>
      <c r="H5" s="4" t="s">
        <v>12</v>
      </c>
      <c r="I5" s="4" t="s">
        <v>12</v>
      </c>
      <c r="J5" s="4" t="s">
        <v>13</v>
      </c>
      <c r="K5" s="50" t="s">
        <v>12</v>
      </c>
    </row>
    <row r="6" spans="2:11" ht="24" customHeight="1">
      <c r="B6" s="56" t="s">
        <v>0</v>
      </c>
      <c r="C6" s="52">
        <v>21.7</v>
      </c>
      <c r="D6" s="53">
        <v>1.93</v>
      </c>
      <c r="E6" s="53">
        <v>0.33</v>
      </c>
      <c r="F6" s="53">
        <v>0.51500000000000001</v>
      </c>
      <c r="G6" s="53">
        <v>1.2</v>
      </c>
      <c r="H6" s="53">
        <v>170</v>
      </c>
      <c r="I6" s="53">
        <v>183</v>
      </c>
      <c r="J6" s="53">
        <v>1</v>
      </c>
      <c r="K6" s="57">
        <v>150</v>
      </c>
    </row>
    <row r="7" spans="2:11" ht="24" customHeight="1">
      <c r="B7" s="54" t="s">
        <v>16</v>
      </c>
      <c r="C7" s="40">
        <v>20.154823303222656</v>
      </c>
      <c r="D7" s="32"/>
      <c r="E7" s="32">
        <v>0.2995539903640747</v>
      </c>
      <c r="F7" s="32">
        <v>0.5301589965820312</v>
      </c>
      <c r="G7" s="32">
        <v>0.7332417368888855</v>
      </c>
      <c r="H7" s="32">
        <v>149.66818237304688</v>
      </c>
      <c r="I7" s="32">
        <v>162.6601104736328</v>
      </c>
      <c r="J7" s="33"/>
      <c r="K7" s="58"/>
    </row>
    <row r="8" spans="2:11" ht="24" customHeight="1">
      <c r="B8" s="54" t="s">
        <v>17</v>
      </c>
      <c r="C8" s="40">
        <v>20.017465591430664</v>
      </c>
      <c r="D8" s="32"/>
      <c r="E8" s="32">
        <v>0.2999595105648041</v>
      </c>
      <c r="F8" s="32">
        <v>0.5299854278564453</v>
      </c>
      <c r="G8" s="32">
        <v>0.738366425037384</v>
      </c>
      <c r="H8" s="32">
        <v>149.73141479492188</v>
      </c>
      <c r="I8" s="32">
        <v>162.94338989257812</v>
      </c>
      <c r="J8" s="33"/>
      <c r="K8" s="58"/>
    </row>
    <row r="9" spans="2:11" ht="24" customHeight="1" thickBot="1">
      <c r="B9" s="59" t="s">
        <v>18</v>
      </c>
      <c r="C9" s="60">
        <v>19.847545623779297</v>
      </c>
      <c r="D9" s="61"/>
      <c r="E9" s="61">
        <v>0.30234336853027344</v>
      </c>
      <c r="F9" s="61">
        <v>0.5294967889785767</v>
      </c>
      <c r="G9" s="61">
        <v>0.740480363368988</v>
      </c>
      <c r="H9" s="61">
        <v>149.47555541992188</v>
      </c>
      <c r="I9" s="61">
        <v>163.21975708007812</v>
      </c>
      <c r="J9" s="62"/>
      <c r="K9" s="63"/>
    </row>
    <row r="10" spans="2:11" ht="20.15" customHeight="1"/>
    <row r="11" spans="2:11" ht="20.15" customHeight="1"/>
    <row r="12" spans="2:11" ht="20.15" customHeight="1"/>
  </sheetData>
  <mergeCells count="4">
    <mergeCell ref="B2:K2"/>
    <mergeCell ref="H3:I3"/>
    <mergeCell ref="J3:K3"/>
    <mergeCell ref="B3:G3"/>
  </mergeCells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H10"/>
  <sheetViews>
    <sheetView zoomScaleNormal="100" zoomScaleSheetLayoutView="130" workbookViewId="0">
      <selection activeCell="B10" sqref="B10"/>
    </sheetView>
  </sheetViews>
  <sheetFormatPr defaultColWidth="9" defaultRowHeight="24" customHeight="1"/>
  <cols>
    <col min="1" max="1" width="3" style="2" customWidth="1"/>
    <col min="2" max="7" width="9.58203125" style="2" customWidth="1"/>
    <col min="8" max="8" width="3.83203125" style="2" customWidth="1"/>
  </cols>
  <sheetData>
    <row r="1" spans="2:7" ht="24" customHeight="1" thickBot="1"/>
    <row r="2" spans="2:7" ht="24" customHeight="1">
      <c r="B2" s="187" t="s">
        <v>114</v>
      </c>
      <c r="C2" s="188"/>
      <c r="D2" s="188"/>
      <c r="E2" s="188"/>
      <c r="F2" s="188"/>
      <c r="G2" s="189"/>
    </row>
    <row r="3" spans="2:7" ht="24" customHeight="1">
      <c r="B3" s="98"/>
      <c r="C3" s="99"/>
      <c r="D3" s="247" t="s">
        <v>208</v>
      </c>
      <c r="E3" s="245"/>
      <c r="F3" s="245" t="s">
        <v>209</v>
      </c>
      <c r="G3" s="246"/>
    </row>
    <row r="4" spans="2:7" ht="24" customHeight="1">
      <c r="B4" s="185" t="s">
        <v>26</v>
      </c>
      <c r="C4" s="183" t="s">
        <v>194</v>
      </c>
      <c r="D4" s="183"/>
      <c r="E4" s="184" t="s">
        <v>195</v>
      </c>
      <c r="F4" s="184"/>
      <c r="G4" s="50" t="s">
        <v>27</v>
      </c>
    </row>
    <row r="5" spans="2:7" ht="24" customHeight="1">
      <c r="B5" s="186"/>
      <c r="C5" s="68" t="s">
        <v>22</v>
      </c>
      <c r="D5" s="69" t="s">
        <v>23</v>
      </c>
      <c r="E5" s="69" t="s">
        <v>24</v>
      </c>
      <c r="F5" s="69" t="s">
        <v>25</v>
      </c>
      <c r="G5" s="70" t="s">
        <v>28</v>
      </c>
    </row>
    <row r="6" spans="2:7" ht="24" customHeight="1">
      <c r="B6" s="56" t="s">
        <v>0</v>
      </c>
      <c r="C6" s="52">
        <v>33.1</v>
      </c>
      <c r="D6" s="53">
        <v>29.1</v>
      </c>
      <c r="E6" s="53">
        <v>1.6</v>
      </c>
      <c r="F6" s="53">
        <v>17.600000000000001</v>
      </c>
      <c r="G6" s="57">
        <v>6.28</v>
      </c>
    </row>
    <row r="7" spans="2:7" ht="24" customHeight="1">
      <c r="B7" s="54" t="s">
        <v>41</v>
      </c>
      <c r="C7" s="36"/>
      <c r="D7" s="35"/>
      <c r="E7" s="35"/>
      <c r="F7" s="35"/>
      <c r="G7" s="64"/>
    </row>
    <row r="8" spans="2:7" ht="24" customHeight="1">
      <c r="B8" s="54" t="s">
        <v>29</v>
      </c>
      <c r="C8" s="36">
        <v>33.645259857177734</v>
      </c>
      <c r="D8" s="35"/>
      <c r="E8" s="35"/>
      <c r="F8" s="35">
        <v>14.084210395812988</v>
      </c>
      <c r="G8" s="64">
        <v>6.860525608062744</v>
      </c>
    </row>
    <row r="9" spans="2:7" ht="24" customHeight="1">
      <c r="B9" s="54" t="s">
        <v>30</v>
      </c>
      <c r="C9" s="36"/>
      <c r="D9" s="35"/>
      <c r="E9" s="35"/>
      <c r="F9" s="35"/>
      <c r="G9" s="64"/>
    </row>
    <row r="10" spans="2:7" ht="24" customHeight="1" thickBot="1">
      <c r="B10" s="59" t="s">
        <v>31</v>
      </c>
      <c r="C10" s="65">
        <f>C9-C8</f>
        <v>0</v>
      </c>
      <c r="D10" s="66">
        <f t="shared" ref="D10" si="0">D9-D8</f>
        <v>0</v>
      </c>
      <c r="E10" s="66">
        <f>E9-E8</f>
        <v>0</v>
      </c>
      <c r="F10" s="66">
        <f>F9-F8</f>
        <v>0</v>
      </c>
      <c r="G10" s="67">
        <f>G9-G8</f>
        <v>0</v>
      </c>
    </row>
  </sheetData>
  <mergeCells count="6">
    <mergeCell ref="C4:D4"/>
    <mergeCell ref="E4:F4"/>
    <mergeCell ref="B4:B5"/>
    <mergeCell ref="B2:G2"/>
    <mergeCell ref="F3:G3"/>
    <mergeCell ref="D3:E3"/>
  </mergeCells>
  <phoneticPr fontId="1" type="noConversion"/>
  <conditionalFormatting sqref="C10:G10">
    <cfRule type="cellIs" dxfId="24" priority="1" aboveAverage="1" operator="equal">
      <formula>0</formula>
    </cfRule>
    <cfRule type="cellIs" dxfId="23" priority="2" aboveAverage="1" operator="greaterThan">
      <formula>0</formula>
    </cfRule>
    <cfRule type="cellIs" dxfId="22" priority="3" aboveAverage="1" operator="lessThan">
      <formula>0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J12"/>
  <sheetViews>
    <sheetView workbookViewId="0">
      <selection activeCell="B11" sqref="B11"/>
    </sheetView>
  </sheetViews>
  <sheetFormatPr defaultColWidth="9" defaultRowHeight="24" customHeight="1"/>
  <cols>
    <col min="1" max="1" width="2.33203125" style="2" customWidth="1"/>
    <col min="2" max="9" width="9.58203125" style="2" customWidth="1"/>
  </cols>
  <sheetData>
    <row r="1" spans="2:9" ht="24" customHeight="1" thickBot="1"/>
    <row r="2" spans="2:9" ht="24" customHeight="1">
      <c r="B2" s="190" t="s">
        <v>116</v>
      </c>
      <c r="C2" s="191"/>
      <c r="D2" s="191"/>
      <c r="E2" s="191"/>
      <c r="F2" s="191"/>
      <c r="G2" s="191"/>
      <c r="H2" s="191"/>
      <c r="I2" s="192"/>
    </row>
    <row r="3" spans="2:9" ht="24" customHeight="1">
      <c r="B3" s="100"/>
      <c r="C3" s="101"/>
      <c r="D3" s="101"/>
      <c r="E3" s="101"/>
      <c r="F3" s="245" t="s">
        <v>208</v>
      </c>
      <c r="G3" s="245"/>
      <c r="H3" s="245" t="s">
        <v>209</v>
      </c>
      <c r="I3" s="246"/>
    </row>
    <row r="4" spans="2:9" ht="24" customHeight="1">
      <c r="B4" s="75" t="s">
        <v>34</v>
      </c>
      <c r="C4" s="5" t="s">
        <v>33</v>
      </c>
      <c r="D4" s="5" t="s">
        <v>36</v>
      </c>
      <c r="E4" s="5" t="s">
        <v>37</v>
      </c>
      <c r="F4" s="5" t="s">
        <v>38</v>
      </c>
      <c r="G4" s="5" t="s">
        <v>39</v>
      </c>
      <c r="H4" s="5" t="s">
        <v>43</v>
      </c>
      <c r="I4" s="16" t="s">
        <v>44</v>
      </c>
    </row>
    <row r="5" spans="2:9" ht="24" customHeight="1">
      <c r="B5" s="54" t="s">
        <v>35</v>
      </c>
      <c r="C5" s="4" t="s">
        <v>32</v>
      </c>
      <c r="D5" s="4" t="s">
        <v>32</v>
      </c>
      <c r="E5" s="4" t="s">
        <v>32</v>
      </c>
      <c r="F5" s="4" t="s">
        <v>32</v>
      </c>
      <c r="G5" s="4" t="s">
        <v>11</v>
      </c>
      <c r="H5" s="4" t="s">
        <v>14</v>
      </c>
      <c r="I5" s="50" t="s">
        <v>12</v>
      </c>
    </row>
    <row r="6" spans="2:9" ht="24" customHeight="1">
      <c r="B6" s="56" t="s">
        <v>40</v>
      </c>
      <c r="C6" s="71" t="s">
        <v>196</v>
      </c>
      <c r="D6" s="37" t="s">
        <v>188</v>
      </c>
      <c r="E6" s="37" t="s">
        <v>189</v>
      </c>
      <c r="F6" s="37" t="s">
        <v>190</v>
      </c>
      <c r="G6" s="37">
        <v>9.5</v>
      </c>
      <c r="H6" s="37" t="s">
        <v>11</v>
      </c>
      <c r="I6" s="76" t="s">
        <v>11</v>
      </c>
    </row>
    <row r="7" spans="2:9" ht="24" customHeight="1">
      <c r="B7" s="54" t="s">
        <v>41</v>
      </c>
      <c r="C7" s="38">
        <v>64.06400299072266</v>
      </c>
      <c r="D7" s="39">
        <v>1878</v>
      </c>
      <c r="E7" s="39">
        <v>1941</v>
      </c>
      <c r="F7" s="39">
        <v>47.900001525878906</v>
      </c>
      <c r="G7" s="39">
        <v>9.5</v>
      </c>
      <c r="H7" s="39">
        <v>0.0790596455335617</v>
      </c>
      <c r="I7" s="77">
        <v>0</v>
      </c>
    </row>
    <row r="8" spans="2:9" ht="24" customHeight="1">
      <c r="B8" s="54" t="s">
        <v>29</v>
      </c>
      <c r="C8" s="40">
        <v>59612</v>
      </c>
      <c r="D8" s="32">
        <v>1325</v>
      </c>
      <c r="E8" s="32">
        <v>817</v>
      </c>
      <c r="F8" s="32">
        <v>53.400001525878906</v>
      </c>
      <c r="G8" s="32">
        <v>9.050000190734863</v>
      </c>
      <c r="H8" s="32">
        <v>0.08945818990468979</v>
      </c>
      <c r="I8" s="58">
        <v>0</v>
      </c>
    </row>
    <row r="9" spans="2:9" ht="24" customHeight="1">
      <c r="B9" s="54" t="s">
        <v>30</v>
      </c>
      <c r="C9" s="40"/>
      <c r="D9" s="32"/>
      <c r="E9" s="32"/>
      <c r="F9" s="32"/>
      <c r="G9" s="32"/>
      <c r="H9" s="32">
        <v>0.08681106567382812</v>
      </c>
      <c r="I9" s="58">
        <v>0</v>
      </c>
    </row>
    <row r="10" spans="2:9" ht="24" customHeight="1">
      <c r="B10" s="78" t="s">
        <v>42</v>
      </c>
      <c r="C10" s="41"/>
      <c r="D10" s="42"/>
      <c r="E10" s="42"/>
      <c r="F10" s="42"/>
      <c r="G10" s="42"/>
      <c r="H10" s="42"/>
      <c r="I10" s="79"/>
    </row>
    <row r="11" spans="2:9" ht="24" customHeight="1" thickBot="1">
      <c r="B11" s="59" t="s">
        <v>50</v>
      </c>
      <c r="C11" s="193" t="s">
        <v>191</v>
      </c>
      <c r="D11" s="194"/>
      <c r="E11" s="194"/>
      <c r="F11" s="194"/>
      <c r="G11" s="194"/>
      <c r="H11" s="194"/>
      <c r="I11" s="195"/>
    </row>
    <row r="12" spans="2:9" ht="24" customHeight="1">
      <c r="B12" s="1"/>
      <c r="C12" s="1"/>
      <c r="D12" s="1"/>
      <c r="E12" s="1"/>
      <c r="F12" s="1"/>
      <c r="G12" s="1"/>
    </row>
  </sheetData>
  <mergeCells count="4">
    <mergeCell ref="B2:I2"/>
    <mergeCell ref="C11:I11"/>
    <mergeCell ref="F3:G3"/>
    <mergeCell ref="H3:I3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K10"/>
  <sheetViews>
    <sheetView zoomScaleNormal="100" workbookViewId="0">
      <selection activeCell="B10" sqref="B10"/>
    </sheetView>
  </sheetViews>
  <sheetFormatPr defaultColWidth="9.58203125" defaultRowHeight="24" customHeight="1"/>
  <cols>
    <col min="1" max="1" width="2.6640625" style="2" customWidth="1"/>
    <col min="2" max="9" width="9.58203125" style="2"/>
  </cols>
  <sheetData>
    <row r="1" spans="2:10" ht="24" customHeight="1" thickBot="1"/>
    <row r="2" spans="2:10" ht="24" customHeight="1">
      <c r="B2" s="200" t="s">
        <v>117</v>
      </c>
      <c r="C2" s="201"/>
      <c r="D2" s="201"/>
      <c r="E2" s="201"/>
      <c r="F2" s="201"/>
      <c r="G2" s="201"/>
      <c r="H2" s="201"/>
      <c r="I2" s="201"/>
      <c r="J2" s="202"/>
    </row>
    <row r="3" spans="2:10" ht="24" customHeight="1">
      <c r="B3" s="204"/>
      <c r="C3" s="203"/>
      <c r="D3" s="203"/>
      <c r="E3" s="203"/>
      <c r="F3" s="203"/>
      <c r="G3" s="249" t="s">
        <v>208</v>
      </c>
      <c r="H3" s="249"/>
      <c r="I3" s="249" t="s">
        <v>209</v>
      </c>
      <c r="J3" s="250"/>
    </row>
    <row r="4" spans="2:10" ht="24" customHeight="1">
      <c r="B4" s="185" t="s">
        <v>15</v>
      </c>
      <c r="C4" s="196" t="s">
        <v>108</v>
      </c>
      <c r="D4" s="196"/>
      <c r="E4" s="196"/>
      <c r="F4" s="196"/>
      <c r="G4" s="196" t="s">
        <v>109</v>
      </c>
      <c r="H4" s="196"/>
      <c r="I4" s="196"/>
      <c r="J4" s="197"/>
    </row>
    <row r="5" spans="2:10" ht="24" customHeight="1">
      <c r="B5" s="186"/>
      <c r="C5" s="4" t="s">
        <v>20</v>
      </c>
      <c r="D5" s="4" t="s">
        <v>46</v>
      </c>
      <c r="E5" s="4" t="s">
        <v>47</v>
      </c>
      <c r="F5" s="4" t="s">
        <v>48</v>
      </c>
      <c r="G5" s="4" t="s">
        <v>20</v>
      </c>
      <c r="H5" s="4" t="s">
        <v>46</v>
      </c>
      <c r="I5" s="4" t="s">
        <v>47</v>
      </c>
      <c r="J5" s="50" t="s">
        <v>48</v>
      </c>
    </row>
    <row r="6" spans="2:10" ht="24" customHeight="1">
      <c r="B6" s="54" t="s">
        <v>197</v>
      </c>
      <c r="C6" s="4" t="s">
        <v>45</v>
      </c>
      <c r="D6" s="4" t="s">
        <v>45</v>
      </c>
      <c r="E6" s="4" t="s">
        <v>45</v>
      </c>
      <c r="F6" s="4" t="s">
        <v>45</v>
      </c>
      <c r="G6" s="4" t="s">
        <v>45</v>
      </c>
      <c r="H6" s="4" t="s">
        <v>45</v>
      </c>
      <c r="I6" s="4" t="s">
        <v>45</v>
      </c>
      <c r="J6" s="50" t="s">
        <v>45</v>
      </c>
    </row>
    <row r="7" spans="2:10" ht="24" customHeight="1">
      <c r="B7" s="54" t="s">
        <v>51</v>
      </c>
      <c r="C7" s="43">
        <v>79.32333374023438</v>
      </c>
      <c r="D7" s="44">
        <v>17.176250457763672</v>
      </c>
      <c r="E7" s="44">
        <f>C7+D7</f>
        <v>0</v>
      </c>
      <c r="F7" s="44">
        <f>100-E7</f>
        <v>100</v>
      </c>
      <c r="G7" s="44">
        <v>62.96125030517578</v>
      </c>
      <c r="H7" s="44">
        <v>9.842500686645508</v>
      </c>
      <c r="I7" s="44">
        <f>G7+H7</f>
        <v>0</v>
      </c>
      <c r="J7" s="72">
        <f>100-I7</f>
        <v>100</v>
      </c>
    </row>
    <row r="8" spans="2:10" ht="24" customHeight="1">
      <c r="B8" s="54" t="s">
        <v>52</v>
      </c>
      <c r="C8" s="45">
        <v>75.65750885009766</v>
      </c>
      <c r="D8" s="40">
        <v>22.45749855041504</v>
      </c>
      <c r="E8" s="40">
        <f t="shared" ref="E8:E9" si="0">C8+D8</f>
        <v>0</v>
      </c>
      <c r="F8" s="40">
        <f t="shared" ref="F8:F9" si="1">100-E8</f>
        <v>100</v>
      </c>
      <c r="G8" s="40">
        <v>82.89500427246094</v>
      </c>
      <c r="H8" s="40">
        <v>11.729999542236328</v>
      </c>
      <c r="I8" s="40">
        <f t="shared" ref="I8:I9" si="2">G8+H8</f>
        <v>0</v>
      </c>
      <c r="J8" s="73">
        <f t="shared" ref="J8:J9" si="3">100-I8</f>
        <v>100</v>
      </c>
    </row>
    <row r="9" spans="2:10" ht="24" customHeight="1">
      <c r="B9" s="54" t="s">
        <v>110</v>
      </c>
      <c r="C9" s="46"/>
      <c r="D9" s="47"/>
      <c r="E9" s="47">
        <f t="shared" si="0"/>
        <v>0</v>
      </c>
      <c r="F9" s="47">
        <f t="shared" si="1"/>
        <v>100</v>
      </c>
      <c r="G9" s="47"/>
      <c r="H9" s="47"/>
      <c r="I9" s="47">
        <f t="shared" si="2"/>
        <v>0</v>
      </c>
      <c r="J9" s="74">
        <f t="shared" si="3"/>
        <v>100</v>
      </c>
    </row>
    <row r="10" spans="2:10" ht="24" customHeight="1" thickBot="1">
      <c r="B10" s="59" t="s">
        <v>192</v>
      </c>
      <c r="C10" s="198"/>
      <c r="D10" s="198"/>
      <c r="E10" s="198"/>
      <c r="F10" s="198"/>
      <c r="G10" s="198"/>
      <c r="H10" s="198"/>
      <c r="I10" s="198"/>
      <c r="J10" s="199"/>
    </row>
  </sheetData>
  <sheetCalcPr fullCalcOnLoad="1"/>
  <mergeCells count="8">
    <mergeCell ref="C4:F4"/>
    <mergeCell ref="G4:J4"/>
    <mergeCell ref="C10:J10"/>
    <mergeCell ref="B2:J2"/>
    <mergeCell ref="B4:B5"/>
    <mergeCell ref="G3:H3"/>
    <mergeCell ref="I3:J3"/>
    <mergeCell ref="B3:F3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G11"/>
  <sheetViews>
    <sheetView zoomScaleNormal="100" workbookViewId="0">
      <selection activeCell="B8" sqref="B8"/>
    </sheetView>
  </sheetViews>
  <sheetFormatPr defaultColWidth="9" defaultRowHeight="24" customHeight="1"/>
  <cols>
    <col min="1" max="1" width="2.58203125" style="1" customWidth="1"/>
    <col min="2" max="6" width="9.58203125" style="1" customWidth="1"/>
    <col min="7" max="7" width="12.58203125" style="1" customWidth="1"/>
    <col min="8" max="22" width="9" style="1"/>
    <col min="23" max="23" width="8.6640625" style="1" bestFit="1" customWidth="1"/>
  </cols>
  <sheetData>
    <row r="1" spans="2:6" ht="24" customHeight="1" thickBot="1"/>
    <row r="2" spans="2:6" ht="24" customHeight="1">
      <c r="B2" s="190" t="s">
        <v>118</v>
      </c>
      <c r="C2" s="191"/>
      <c r="D2" s="191"/>
      <c r="E2" s="191"/>
      <c r="F2" s="192"/>
    </row>
    <row r="3" spans="2:6" ht="24" customHeight="1">
      <c r="B3" s="102"/>
      <c r="C3" s="245" t="s">
        <v>208</v>
      </c>
      <c r="D3" s="245"/>
      <c r="E3" s="245" t="s">
        <v>209</v>
      </c>
      <c r="F3" s="246"/>
    </row>
    <row r="4" spans="2:6" ht="24" customHeight="1">
      <c r="B4" s="206" t="s">
        <v>15</v>
      </c>
      <c r="C4" s="5" t="s">
        <v>49</v>
      </c>
      <c r="D4" s="5" t="s">
        <v>21</v>
      </c>
      <c r="E4" s="5" t="s">
        <v>31</v>
      </c>
      <c r="F4" s="207" t="s">
        <v>50</v>
      </c>
    </row>
    <row r="5" spans="2:6" ht="24" customHeight="1">
      <c r="B5" s="206"/>
      <c r="C5" s="5" t="s">
        <v>45</v>
      </c>
      <c r="D5" s="5" t="s">
        <v>45</v>
      </c>
      <c r="E5" s="5" t="s">
        <v>45</v>
      </c>
      <c r="F5" s="207"/>
    </row>
    <row r="6" spans="2:6" ht="24" customHeight="1">
      <c r="B6" s="75" t="s">
        <v>51</v>
      </c>
      <c r="C6" s="113" t="e">
        <v>#NUM!</v>
      </c>
      <c r="D6" s="113" t="e">
        <v>#NUM!</v>
      </c>
      <c r="E6" s="113">
        <f>C6-D6</f>
        <v>0</v>
      </c>
      <c r="F6" s="16"/>
    </row>
    <row r="7" spans="2:6" ht="24" customHeight="1">
      <c r="B7" s="75" t="s">
        <v>52</v>
      </c>
      <c r="C7" s="113">
        <v>76.05550384521484</v>
      </c>
      <c r="D7" s="113">
        <v>0</v>
      </c>
      <c r="E7" s="113">
        <f>C7-D7</f>
        <v>0</v>
      </c>
      <c r="F7" s="16"/>
    </row>
    <row r="8" spans="2:6" ht="24" customHeight="1" thickBot="1">
      <c r="B8" s="87" t="s">
        <v>53</v>
      </c>
      <c r="C8" s="114"/>
      <c r="D8" s="114"/>
      <c r="E8" s="114">
        <f>C8-D8</f>
        <v>0</v>
      </c>
      <c r="F8" s="115"/>
    </row>
    <row r="11" spans="2:6" ht="24" customHeight="1">
      <c r="D11" s="205"/>
      <c r="E11" s="205"/>
      <c r="F11" s="205"/>
    </row>
  </sheetData>
  <mergeCells count="6">
    <mergeCell ref="D11:F11"/>
    <mergeCell ref="B4:B5"/>
    <mergeCell ref="F4:F5"/>
    <mergeCell ref="B2:F2"/>
    <mergeCell ref="C3:D3"/>
    <mergeCell ref="E3:F3"/>
  </mergeCells>
  <phoneticPr fontId="1" type="noConversion"/>
  <conditionalFormatting sqref="E6:E8">
    <cfRule type="cellIs" dxfId="21" priority="1" aboveAverage="1" operator="greaterThan">
      <formula>0</formula>
    </cfRule>
    <cfRule type="cellIs" dxfId="20" priority="2" aboveAverage="1" operator="lessThan">
      <formula>0</formula>
    </cfRule>
    <cfRule type="cellIs" dxfId="19" priority="3" aboveAverage="1" operator="equal">
      <formula>0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F8"/>
  <sheetViews>
    <sheetView zoomScaleNormal="100" workbookViewId="0">
      <selection activeCell="B7" sqref="B7"/>
    </sheetView>
  </sheetViews>
  <sheetFormatPr defaultColWidth="9" defaultRowHeight="13"/>
  <cols>
    <col min="1" max="1" width="2" style="2" customWidth="1"/>
    <col min="2" max="6" width="9.58203125" style="2" customWidth="1"/>
  </cols>
  <sheetData>
    <row r="1" spans="2:5" ht="24" customHeight="1" thickBot="1"/>
    <row r="2" spans="2:5" ht="24" customHeight="1">
      <c r="B2" s="190" t="s">
        <v>119</v>
      </c>
      <c r="C2" s="191"/>
      <c r="D2" s="191"/>
      <c r="E2" s="192"/>
    </row>
    <row r="3" spans="2:5" ht="24" customHeight="1">
      <c r="B3" s="251" t="s">
        <v>208</v>
      </c>
      <c r="C3" s="252"/>
      <c r="D3" s="252" t="s">
        <v>209</v>
      </c>
      <c r="E3" s="253"/>
    </row>
    <row r="4" spans="2:5" ht="24" customHeight="1">
      <c r="B4" s="80" t="s">
        <v>193</v>
      </c>
      <c r="C4" s="4" t="s">
        <v>41</v>
      </c>
      <c r="D4" s="4" t="s">
        <v>29</v>
      </c>
      <c r="E4" s="50" t="s">
        <v>30</v>
      </c>
    </row>
    <row r="5" spans="2:5" ht="24" customHeight="1">
      <c r="B5" s="81" t="s">
        <v>199</v>
      </c>
      <c r="C5" s="38" t="e">
        <v>#NUM!</v>
      </c>
      <c r="D5" s="39">
        <v>76.05550384521484</v>
      </c>
      <c r="E5" s="77"/>
    </row>
    <row r="6" spans="2:5" ht="24" customHeight="1">
      <c r="B6" s="80" t="s">
        <v>198</v>
      </c>
      <c r="C6" s="47">
        <v>1614.7000732421875</v>
      </c>
      <c r="D6" s="34">
        <v>2193.0849609375</v>
      </c>
      <c r="E6" s="82"/>
    </row>
    <row r="7" spans="2:5" ht="24" customHeight="1" thickBot="1">
      <c r="B7" s="59" t="s">
        <v>192</v>
      </c>
      <c r="C7" s="208"/>
      <c r="D7" s="208"/>
      <c r="E7" s="209"/>
    </row>
    <row r="8" spans="2:5" ht="24" customHeight="1"/>
  </sheetData>
  <mergeCells count="4">
    <mergeCell ref="C7:E7"/>
    <mergeCell ref="B2:E2"/>
    <mergeCell ref="B3:C3"/>
    <mergeCell ref="D3:E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N21"/>
  <sheetViews>
    <sheetView zoomScale="85" zoomScaleNormal="85" workbookViewId="0">
      <selection activeCell="B20" sqref="B20"/>
    </sheetView>
  </sheetViews>
  <sheetFormatPr defaultColWidth="9" defaultRowHeight="24" customHeight="1"/>
  <cols>
    <col min="1" max="1" width="1.83203125" style="2" customWidth="1"/>
    <col min="2" max="13" width="9.58203125" style="2" customWidth="1"/>
  </cols>
  <sheetData>
    <row r="1" spans="2:13" ht="24" customHeight="1" thickBot="1"/>
    <row r="2" spans="2:13" ht="24" customHeight="1">
      <c r="B2" s="190" t="s">
        <v>120</v>
      </c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2"/>
    </row>
    <row r="3" spans="2:13" ht="24" customHeight="1">
      <c r="B3" s="219"/>
      <c r="C3" s="220"/>
      <c r="D3" s="220"/>
      <c r="E3" s="220"/>
      <c r="F3" s="220"/>
      <c r="G3" s="220"/>
      <c r="H3" s="220"/>
      <c r="I3" s="221"/>
      <c r="J3" s="254" t="s">
        <v>208</v>
      </c>
      <c r="K3" s="255"/>
      <c r="L3" s="254" t="s">
        <v>209</v>
      </c>
      <c r="M3" s="256"/>
    </row>
    <row r="4" spans="2:13" ht="24" customHeight="1">
      <c r="B4" s="213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5"/>
    </row>
    <row r="5" spans="2:13" ht="24" customHeight="1">
      <c r="B5" s="206" t="s">
        <v>83</v>
      </c>
      <c r="C5" s="216"/>
      <c r="D5" s="96" t="s">
        <v>208</v>
      </c>
      <c r="E5" s="96" t="s">
        <v>210</v>
      </c>
      <c r="F5" s="96" t="s">
        <v>211</v>
      </c>
      <c r="G5" s="96" t="s">
        <v>212</v>
      </c>
      <c r="H5" s="96" t="s">
        <v>213</v>
      </c>
      <c r="I5" s="96" t="s">
        <v>214</v>
      </c>
      <c r="J5" s="96" t="s">
        <v>215</v>
      </c>
      <c r="K5" s="183" t="s">
        <v>93</v>
      </c>
      <c r="L5" s="183" t="s">
        <v>92</v>
      </c>
      <c r="M5" s="217" t="s">
        <v>94</v>
      </c>
    </row>
    <row r="6" spans="2:13" ht="24" customHeight="1">
      <c r="B6" s="206" t="s">
        <v>84</v>
      </c>
      <c r="C6" s="216"/>
      <c r="D6" s="5" t="s">
        <v>88</v>
      </c>
      <c r="E6" s="5" t="s">
        <v>89</v>
      </c>
      <c r="F6" s="5" t="s">
        <v>90</v>
      </c>
      <c r="G6" s="5" t="s">
        <v>91</v>
      </c>
      <c r="H6" s="5" t="s">
        <v>85</v>
      </c>
      <c r="I6" s="5" t="s">
        <v>86</v>
      </c>
      <c r="J6" s="5" t="s">
        <v>87</v>
      </c>
      <c r="K6" s="216"/>
      <c r="L6" s="216"/>
      <c r="M6" s="218"/>
    </row>
    <row r="7" spans="2:13" ht="24" customHeight="1">
      <c r="B7" s="210" t="s">
        <v>95</v>
      </c>
      <c r="C7" s="211"/>
      <c r="D7" s="211"/>
      <c r="E7" s="211"/>
      <c r="F7" s="211"/>
      <c r="G7" s="211"/>
      <c r="H7" s="211"/>
      <c r="I7" s="211"/>
      <c r="J7" s="211"/>
      <c r="K7" s="211"/>
      <c r="L7" s="211"/>
      <c r="M7" s="212"/>
    </row>
    <row r="8" spans="2:13" ht="24" customHeight="1">
      <c r="B8" s="75" t="s">
        <v>20</v>
      </c>
      <c r="C8" s="5" t="s">
        <v>45</v>
      </c>
      <c r="D8" s="83"/>
      <c r="E8" s="83"/>
      <c r="F8" s="83"/>
      <c r="G8" s="83"/>
      <c r="H8" s="83"/>
      <c r="I8" s="83"/>
      <c r="J8" s="83"/>
      <c r="K8" s="83">
        <v>33.645259857177734</v>
      </c>
      <c r="L8" s="83"/>
      <c r="M8" s="85">
        <f>L8-K8</f>
        <v>0</v>
      </c>
    </row>
    <row r="9" spans="2:13" ht="24" customHeight="1">
      <c r="B9" s="105" t="s">
        <v>67</v>
      </c>
      <c r="C9" s="31" t="s">
        <v>59</v>
      </c>
      <c r="D9" s="84"/>
      <c r="E9" s="84"/>
      <c r="F9" s="84"/>
      <c r="G9" s="84"/>
      <c r="H9" s="84"/>
      <c r="I9" s="84"/>
      <c r="J9" s="84"/>
      <c r="K9" s="84"/>
      <c r="L9" s="84"/>
      <c r="M9" s="85">
        <f>L9-K9</f>
        <v>0</v>
      </c>
    </row>
    <row r="10" spans="2:13" ht="24" customHeight="1">
      <c r="B10" s="75" t="s">
        <v>39</v>
      </c>
      <c r="C10" s="5" t="s">
        <v>11</v>
      </c>
      <c r="D10" s="83"/>
      <c r="E10" s="83"/>
      <c r="F10" s="83"/>
      <c r="G10" s="83"/>
      <c r="H10" s="83"/>
      <c r="I10" s="83"/>
      <c r="J10" s="83"/>
      <c r="K10" s="83">
        <v>6.860525608062744</v>
      </c>
      <c r="L10" s="83"/>
      <c r="M10" s="85">
        <f>L10-K10</f>
        <v>0</v>
      </c>
    </row>
    <row r="11" spans="2:13" ht="24" customHeight="1">
      <c r="B11" s="210" t="s">
        <v>96</v>
      </c>
      <c r="C11" s="211"/>
      <c r="D11" s="211"/>
      <c r="E11" s="211"/>
      <c r="F11" s="211"/>
      <c r="G11" s="211"/>
      <c r="H11" s="211"/>
      <c r="I11" s="211"/>
      <c r="J11" s="211"/>
      <c r="K11" s="211"/>
      <c r="L11" s="211"/>
      <c r="M11" s="212"/>
    </row>
    <row r="12" spans="2:13" ht="24" customHeight="1">
      <c r="B12" s="75" t="s">
        <v>20</v>
      </c>
      <c r="C12" s="5" t="s">
        <v>45</v>
      </c>
      <c r="D12" s="83">
        <v>0</v>
      </c>
      <c r="E12" s="83">
        <v>0</v>
      </c>
      <c r="F12" s="83">
        <v>0</v>
      </c>
      <c r="G12" s="83">
        <v>0</v>
      </c>
      <c r="H12" s="83">
        <v>0</v>
      </c>
      <c r="I12" s="83">
        <v>0</v>
      </c>
      <c r="J12" s="83">
        <v>0</v>
      </c>
      <c r="K12" s="83">
        <v>76.05550384521484</v>
      </c>
      <c r="L12" s="83"/>
      <c r="M12" s="85">
        <f>L12-K12</f>
        <v>0</v>
      </c>
    </row>
    <row r="13" spans="2:13" ht="24" customHeight="1">
      <c r="B13" s="86" t="s">
        <v>46</v>
      </c>
      <c r="C13" s="31" t="s">
        <v>45</v>
      </c>
      <c r="D13" s="84">
        <v>0</v>
      </c>
      <c r="E13" s="84">
        <v>0</v>
      </c>
      <c r="F13" s="84">
        <v>0</v>
      </c>
      <c r="G13" s="84">
        <v>0</v>
      </c>
      <c r="H13" s="84">
        <v>0</v>
      </c>
      <c r="I13" s="84">
        <v>0</v>
      </c>
      <c r="J13" s="84">
        <v>0</v>
      </c>
      <c r="K13" s="84">
        <v>21.970233917236328</v>
      </c>
      <c r="L13" s="84"/>
      <c r="M13" s="85">
        <f>L13-K13</f>
        <v>0</v>
      </c>
    </row>
    <row r="14" spans="2:13" ht="24" customHeight="1">
      <c r="B14" s="75" t="s">
        <v>47</v>
      </c>
      <c r="C14" s="5" t="s">
        <v>45</v>
      </c>
      <c r="D14" s="83">
        <v>0</v>
      </c>
      <c r="E14" s="83">
        <v>0</v>
      </c>
      <c r="F14" s="83">
        <v>0</v>
      </c>
      <c r="G14" s="83">
        <v>0</v>
      </c>
      <c r="H14" s="83">
        <v>0</v>
      </c>
      <c r="I14" s="83">
        <v>0</v>
      </c>
      <c r="J14" s="83">
        <v>0</v>
      </c>
      <c r="K14" s="83">
        <v>98.02574157714844</v>
      </c>
      <c r="L14" s="83"/>
      <c r="M14" s="85">
        <f>L14-K14</f>
        <v>0</v>
      </c>
    </row>
    <row r="15" spans="2:13" ht="24" customHeight="1">
      <c r="B15" s="86" t="s">
        <v>48</v>
      </c>
      <c r="C15" s="31" t="s">
        <v>45</v>
      </c>
      <c r="D15" s="84">
        <v>100</v>
      </c>
      <c r="E15" s="84">
        <v>100</v>
      </c>
      <c r="F15" s="84">
        <v>100</v>
      </c>
      <c r="G15" s="84">
        <v>100</v>
      </c>
      <c r="H15" s="84">
        <v>100</v>
      </c>
      <c r="I15" s="84">
        <v>100</v>
      </c>
      <c r="J15" s="84">
        <v>100</v>
      </c>
      <c r="K15" s="84">
        <v>1.9742584228515625</v>
      </c>
      <c r="L15" s="84">
        <v>100</v>
      </c>
      <c r="M15" s="85">
        <f>L15-K15</f>
        <v>0</v>
      </c>
    </row>
    <row r="16" spans="2:13" ht="24" customHeight="1">
      <c r="B16" s="210" t="s">
        <v>112</v>
      </c>
      <c r="C16" s="211"/>
      <c r="D16" s="211"/>
      <c r="E16" s="211"/>
      <c r="F16" s="211"/>
      <c r="G16" s="211"/>
      <c r="H16" s="211"/>
      <c r="I16" s="211"/>
      <c r="J16" s="211"/>
      <c r="K16" s="211"/>
      <c r="L16" s="211"/>
      <c r="M16" s="212"/>
    </row>
    <row r="17" spans="2:13" ht="24" customHeight="1">
      <c r="B17" s="86" t="s">
        <v>183</v>
      </c>
      <c r="C17" s="31" t="s">
        <v>184</v>
      </c>
      <c r="D17" s="84">
        <v>0</v>
      </c>
      <c r="E17" s="84">
        <v>0</v>
      </c>
      <c r="F17" s="84">
        <v>0</v>
      </c>
      <c r="G17" s="84">
        <v>0</v>
      </c>
      <c r="H17" s="84">
        <v>0</v>
      </c>
      <c r="I17" s="84">
        <v>0</v>
      </c>
      <c r="J17" s="84">
        <v>0</v>
      </c>
      <c r="K17" s="84">
        <v>2193.0849609375</v>
      </c>
      <c r="L17" s="84"/>
      <c r="M17" s="85">
        <f>L17-K17</f>
        <v>0</v>
      </c>
    </row>
    <row r="18" spans="2:13" ht="24" customHeight="1">
      <c r="B18" s="75" t="s">
        <v>98</v>
      </c>
      <c r="C18" s="5" t="s">
        <v>80</v>
      </c>
      <c r="D18" s="83">
        <v>0</v>
      </c>
      <c r="E18" s="83">
        <v>0</v>
      </c>
      <c r="F18" s="83">
        <v>0</v>
      </c>
      <c r="G18" s="83">
        <v>0</v>
      </c>
      <c r="H18" s="83">
        <v>0</v>
      </c>
      <c r="I18" s="83">
        <v>0</v>
      </c>
      <c r="J18" s="83">
        <v>0</v>
      </c>
      <c r="K18" s="83">
        <v>1671.453369140625</v>
      </c>
      <c r="L18" s="83"/>
      <c r="M18" s="85">
        <f>L18-K18</f>
        <v>0</v>
      </c>
    </row>
    <row r="19" spans="2:13" ht="24" customHeight="1">
      <c r="B19" s="210" t="s">
        <v>113</v>
      </c>
      <c r="C19" s="211"/>
      <c r="D19" s="211"/>
      <c r="E19" s="211"/>
      <c r="F19" s="211"/>
      <c r="G19" s="211"/>
      <c r="H19" s="211"/>
      <c r="I19" s="211"/>
      <c r="J19" s="211"/>
      <c r="K19" s="211"/>
      <c r="L19" s="211"/>
      <c r="M19" s="212"/>
    </row>
    <row r="20" spans="2:13" ht="24" customHeight="1" thickBot="1">
      <c r="B20" s="87" t="s">
        <v>20</v>
      </c>
      <c r="C20" s="88" t="s">
        <v>45</v>
      </c>
      <c r="D20" s="89"/>
      <c r="E20" s="89"/>
      <c r="F20" s="89"/>
      <c r="G20" s="89"/>
      <c r="H20" s="89"/>
      <c r="I20" s="89"/>
      <c r="J20" s="89"/>
      <c r="K20" s="89"/>
      <c r="L20" s="89"/>
      <c r="M20" s="90">
        <f>L20-K20</f>
        <v>0</v>
      </c>
    </row>
    <row r="21" spans="2:13" ht="24" customHeight="1">
      <c r="D21" s="1"/>
    </row>
  </sheetData>
  <mergeCells count="14">
    <mergeCell ref="B7:M7"/>
    <mergeCell ref="B11:M11"/>
    <mergeCell ref="B16:M16"/>
    <mergeCell ref="B19:M19"/>
    <mergeCell ref="B2:M2"/>
    <mergeCell ref="B4:M4"/>
    <mergeCell ref="B5:C5"/>
    <mergeCell ref="K5:K6"/>
    <mergeCell ref="L5:L6"/>
    <mergeCell ref="M5:M6"/>
    <mergeCell ref="B6:C6"/>
    <mergeCell ref="J3:K3"/>
    <mergeCell ref="L3:M3"/>
    <mergeCell ref="B3:I3"/>
  </mergeCells>
  <phoneticPr fontId="1" type="noConversion"/>
  <conditionalFormatting sqref="M8:M10">
    <cfRule type="cellIs" dxfId="18" priority="29" aboveAverage="1" operator="lessThan">
      <formula>0</formula>
    </cfRule>
    <cfRule type="cellIs" dxfId="17" priority="51" aboveAverage="1" operator="equal">
      <formula>0</formula>
    </cfRule>
    <cfRule type="cellIs" dxfId="16" priority="52" aboveAverage="1" operator="lessThan">
      <formula>0</formula>
    </cfRule>
    <cfRule type="cellIs" dxfId="15" priority="53" aboveAverage="1" operator="greaterThan">
      <formula>0</formula>
    </cfRule>
  </conditionalFormatting>
  <conditionalFormatting sqref="M12:M15">
    <cfRule type="cellIs" dxfId="14" priority="13" aboveAverage="1" operator="lessThan">
      <formula>0</formula>
    </cfRule>
    <cfRule type="cellIs" dxfId="13" priority="14" aboveAverage="1" operator="equal">
      <formula>0</formula>
    </cfRule>
    <cfRule type="cellIs" dxfId="12" priority="15" aboveAverage="1" operator="lessThan">
      <formula>0</formula>
    </cfRule>
    <cfRule type="cellIs" dxfId="11" priority="16" aboveAverage="1" operator="greaterThan">
      <formula>0</formula>
    </cfRule>
  </conditionalFormatting>
  <conditionalFormatting sqref="M17:M18">
    <cfRule type="cellIs" dxfId="10" priority="5" aboveAverage="1" operator="lessThan">
      <formula>0</formula>
    </cfRule>
    <cfRule type="cellIs" dxfId="9" priority="6" aboveAverage="1" operator="equal">
      <formula>0</formula>
    </cfRule>
    <cfRule type="cellIs" dxfId="8" priority="7" aboveAverage="1" operator="lessThan">
      <formula>0</formula>
    </cfRule>
    <cfRule type="cellIs" dxfId="7" priority="8" aboveAverage="1" operator="greaterThan">
      <formula>0</formula>
    </cfRule>
  </conditionalFormatting>
  <conditionalFormatting sqref="M20">
    <cfRule type="cellIs" dxfId="6" priority="1" aboveAverage="1" operator="lessThan">
      <formula>0</formula>
    </cfRule>
    <cfRule type="cellIs" dxfId="5" priority="2" aboveAverage="1" operator="equal">
      <formula>0</formula>
    </cfRule>
    <cfRule type="cellIs" dxfId="4" priority="3" aboveAverage="1" operator="lessThan">
      <formula>0</formula>
    </cfRule>
    <cfRule type="cellIs" dxfId="3" priority="4" aboveAverage="1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H14"/>
  <sheetViews>
    <sheetView zoomScaleNormal="100" workbookViewId="0">
      <selection activeCell="B14" sqref="B14"/>
    </sheetView>
  </sheetViews>
  <sheetFormatPr defaultColWidth="9" defaultRowHeight="24" customHeight="1"/>
  <cols>
    <col min="1" max="1" width="1.33203125" style="2" customWidth="1"/>
    <col min="2" max="7" width="9.58203125" style="2" customWidth="1"/>
  </cols>
  <sheetData>
    <row r="1" spans="2:7" ht="24" customHeight="1" thickBot="1"/>
    <row r="2" spans="2:7" ht="24" customHeight="1">
      <c r="B2" s="190" t="s">
        <v>121</v>
      </c>
      <c r="C2" s="191"/>
      <c r="D2" s="191"/>
      <c r="E2" s="191"/>
      <c r="F2" s="191"/>
      <c r="G2" s="192"/>
    </row>
    <row r="3" spans="2:7" ht="24" customHeight="1">
      <c r="B3" s="181"/>
      <c r="C3" s="182"/>
      <c r="D3" s="244" t="s">
        <v>208</v>
      </c>
      <c r="E3" s="244"/>
      <c r="F3" s="244" t="s">
        <v>209</v>
      </c>
      <c r="G3" s="248"/>
    </row>
    <row r="4" spans="2:7" ht="24" customHeight="1">
      <c r="B4" s="222" t="s">
        <v>64</v>
      </c>
      <c r="C4" s="223"/>
      <c r="D4" s="223"/>
      <c r="E4" s="223"/>
      <c r="F4" s="223"/>
      <c r="G4" s="224"/>
    </row>
    <row r="5" spans="2:7" ht="24" customHeight="1">
      <c r="B5" s="116" t="s">
        <v>34</v>
      </c>
      <c r="C5" s="117" t="s">
        <v>55</v>
      </c>
      <c r="D5" s="117" t="s">
        <v>56</v>
      </c>
      <c r="E5" s="117" t="s">
        <v>57</v>
      </c>
      <c r="F5" s="117" t="s">
        <v>58</v>
      </c>
      <c r="G5" s="118" t="s">
        <v>60</v>
      </c>
    </row>
    <row r="6" spans="2:7" ht="24" customHeight="1">
      <c r="B6" s="75" t="s">
        <v>35</v>
      </c>
      <c r="C6" s="5" t="s">
        <v>9</v>
      </c>
      <c r="D6" s="5" t="s">
        <v>9</v>
      </c>
      <c r="E6" s="5" t="s">
        <v>11</v>
      </c>
      <c r="F6" s="5" t="s">
        <v>59</v>
      </c>
      <c r="G6" s="16" t="s">
        <v>61</v>
      </c>
    </row>
    <row r="7" spans="2:7" ht="24" customHeight="1">
      <c r="B7" s="75" t="s">
        <v>54</v>
      </c>
      <c r="C7" s="48">
        <v>0.16600000000000001</v>
      </c>
      <c r="D7" s="48">
        <v>0.04</v>
      </c>
      <c r="E7" s="49">
        <f>C7/D7</f>
        <v>4.1500000000000004</v>
      </c>
      <c r="F7" s="48">
        <v>1.17</v>
      </c>
      <c r="G7" s="51" t="s">
        <v>62</v>
      </c>
    </row>
    <row r="8" spans="2:7" ht="24" customHeight="1">
      <c r="B8" s="75" t="s">
        <v>111</v>
      </c>
      <c r="C8" s="119">
        <v>0</v>
      </c>
      <c r="D8" s="120">
        <v>0.08068516850471497</v>
      </c>
      <c r="E8" s="120">
        <v>0</v>
      </c>
      <c r="F8" s="120">
        <v>0.050000082701444626</v>
      </c>
      <c r="G8" s="121">
        <v>0.3702690303325653</v>
      </c>
    </row>
    <row r="9" spans="2:7" ht="24" customHeight="1">
      <c r="B9" s="75" t="s">
        <v>63</v>
      </c>
      <c r="C9" s="122">
        <v>0</v>
      </c>
      <c r="D9" s="123">
        <v>0.09688179194927216</v>
      </c>
      <c r="E9" s="123">
        <v>0</v>
      </c>
      <c r="F9" s="123">
        <v>0.05000000074505806</v>
      </c>
      <c r="G9" s="124">
        <v>0.37026867270469666</v>
      </c>
    </row>
    <row r="10" spans="2:7" ht="24" customHeight="1">
      <c r="B10" s="225" t="s">
        <v>65</v>
      </c>
      <c r="C10" s="226"/>
      <c r="D10" s="226"/>
      <c r="E10" s="226"/>
      <c r="F10" s="227"/>
      <c r="G10" s="228"/>
    </row>
    <row r="11" spans="2:7" ht="24" customHeight="1">
      <c r="B11" s="75" t="s">
        <v>34</v>
      </c>
      <c r="C11" s="125" t="s">
        <v>20</v>
      </c>
      <c r="D11" s="96" t="s">
        <v>67</v>
      </c>
      <c r="E11" s="5" t="s">
        <v>66</v>
      </c>
      <c r="F11" s="126"/>
      <c r="G11" s="127"/>
    </row>
    <row r="12" spans="2:7" ht="24" customHeight="1">
      <c r="B12" s="75" t="s">
        <v>35</v>
      </c>
      <c r="C12" s="5" t="s">
        <v>45</v>
      </c>
      <c r="D12" s="5" t="s">
        <v>59</v>
      </c>
      <c r="E12" s="5" t="s">
        <v>59</v>
      </c>
      <c r="F12" s="126"/>
      <c r="G12" s="127"/>
    </row>
    <row r="13" spans="2:7" ht="24" customHeight="1">
      <c r="B13" s="128" t="s">
        <v>29</v>
      </c>
      <c r="C13" s="129">
        <v>4.871428489685059</v>
      </c>
      <c r="D13" s="120"/>
      <c r="E13" s="130">
        <v>129.50714111328125</v>
      </c>
      <c r="F13" s="131"/>
      <c r="G13" s="132"/>
    </row>
    <row r="14" spans="2:7" ht="24" customHeight="1" thickBot="1">
      <c r="B14" s="133" t="s">
        <v>30</v>
      </c>
      <c r="C14" s="134"/>
      <c r="D14" s="134"/>
      <c r="E14" s="135"/>
      <c r="F14" s="136"/>
      <c r="G14" s="137"/>
    </row>
  </sheetData>
  <mergeCells count="6">
    <mergeCell ref="B2:G2"/>
    <mergeCell ref="B4:G4"/>
    <mergeCell ref="B10:G10"/>
    <mergeCell ref="D3:E3"/>
    <mergeCell ref="F3:G3"/>
    <mergeCell ref="B3:C3"/>
  </mergeCells>
  <phoneticPr fontId="1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F13"/>
  <sheetViews>
    <sheetView zoomScaleNormal="100" workbookViewId="0">
      <selection activeCell="B13" sqref="B13"/>
    </sheetView>
  </sheetViews>
  <sheetFormatPr defaultColWidth="9" defaultRowHeight="24" customHeight="1"/>
  <cols>
    <col min="1" max="1" width="2.25" style="1" customWidth="1"/>
    <col min="2" max="5" width="9.58203125" style="1" customWidth="1"/>
    <col min="6" max="6" width="12.58203125" style="1" customWidth="1"/>
  </cols>
  <sheetData>
    <row r="1" spans="2:5" ht="24" customHeight="1" thickBot="1"/>
    <row r="2" spans="2:5" ht="24" customHeight="1">
      <c r="B2" s="200" t="s">
        <v>122</v>
      </c>
      <c r="C2" s="201"/>
      <c r="D2" s="201"/>
      <c r="E2" s="202"/>
    </row>
    <row r="3" spans="2:5" ht="24" customHeight="1">
      <c r="B3" s="257" t="s">
        <v>208</v>
      </c>
      <c r="C3" s="258"/>
      <c r="D3" s="258" t="s">
        <v>209</v>
      </c>
      <c r="E3" s="259"/>
    </row>
    <row r="4" spans="2:5" ht="24" customHeight="1">
      <c r="B4" s="229" t="s">
        <v>77</v>
      </c>
      <c r="C4" s="5" t="s">
        <v>76</v>
      </c>
      <c r="D4" s="5" t="s">
        <v>78</v>
      </c>
      <c r="E4" s="207" t="s">
        <v>79</v>
      </c>
    </row>
    <row r="5" spans="2:5" ht="24" customHeight="1">
      <c r="B5" s="230"/>
      <c r="C5" s="5" t="s">
        <v>75</v>
      </c>
      <c r="D5" s="5" t="s">
        <v>11</v>
      </c>
      <c r="E5" s="207"/>
    </row>
    <row r="6" spans="2:5" ht="24" customHeight="1">
      <c r="B6" s="86" t="s">
        <v>73</v>
      </c>
      <c r="C6" s="138"/>
      <c r="D6" s="139">
        <v>9.7714262008667</v>
      </c>
      <c r="E6" s="57">
        <v>301</v>
      </c>
    </row>
    <row r="7" spans="2:5" ht="24" customHeight="1">
      <c r="B7" s="75" t="s">
        <v>74</v>
      </c>
      <c r="C7" s="140"/>
      <c r="D7" s="141"/>
      <c r="E7" s="142">
        <v>301</v>
      </c>
    </row>
    <row r="8" spans="2:5" ht="24" customHeight="1">
      <c r="B8" s="231"/>
      <c r="C8" s="232"/>
      <c r="D8" s="232"/>
      <c r="E8" s="233"/>
    </row>
    <row r="9" spans="2:5" ht="24" customHeight="1">
      <c r="B9" s="229" t="s">
        <v>69</v>
      </c>
      <c r="C9" s="5" t="s">
        <v>97</v>
      </c>
      <c r="D9" s="5" t="s">
        <v>160</v>
      </c>
      <c r="E9" s="16" t="s">
        <v>161</v>
      </c>
    </row>
    <row r="10" spans="2:5" ht="24" customHeight="1">
      <c r="B10" s="230"/>
      <c r="C10" s="5" t="s">
        <v>45</v>
      </c>
      <c r="D10" s="5" t="s">
        <v>59</v>
      </c>
      <c r="E10" s="16" t="s">
        <v>59</v>
      </c>
    </row>
    <row r="11" spans="2:5" ht="24" customHeight="1">
      <c r="B11" s="86" t="s">
        <v>70</v>
      </c>
      <c r="C11" s="138"/>
      <c r="D11" s="139"/>
      <c r="E11" s="143"/>
    </row>
    <row r="12" spans="2:5" ht="24" customHeight="1">
      <c r="B12" s="75" t="s">
        <v>71</v>
      </c>
      <c r="C12" s="144"/>
      <c r="D12" s="145"/>
      <c r="E12" s="146"/>
    </row>
    <row r="13" spans="2:5" ht="24" customHeight="1" thickBot="1">
      <c r="B13" s="87" t="s">
        <v>72</v>
      </c>
      <c r="C13" s="147">
        <f>C12-C11</f>
        <v>0</v>
      </c>
      <c r="D13" s="148">
        <f t="shared" ref="D13:E13" si="0">D12-D11</f>
        <v>0</v>
      </c>
      <c r="E13" s="149">
        <f t="shared" si="0"/>
        <v>0</v>
      </c>
    </row>
  </sheetData>
  <mergeCells count="7">
    <mergeCell ref="B2:E2"/>
    <mergeCell ref="B4:B5"/>
    <mergeCell ref="E4:E5"/>
    <mergeCell ref="B9:B10"/>
    <mergeCell ref="B8:E8"/>
    <mergeCell ref="B3:C3"/>
    <mergeCell ref="D3:E3"/>
  </mergeCells>
  <phoneticPr fontId="1" type="noConversion"/>
  <conditionalFormatting sqref="C13:E13">
    <cfRule type="cellIs" dxfId="2" priority="1" aboveAverage="1" operator="equal">
      <formula>0</formula>
    </cfRule>
    <cfRule type="cellIs" dxfId="1" priority="2" aboveAverage="1" operator="lessThan">
      <formula>0</formula>
    </cfRule>
    <cfRule type="cellIs" dxfId="0" priority="3" aboveAverage="1" operator="greaterThan">
      <formula>0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G9"/>
  <sheetViews>
    <sheetView workbookViewId="0">
      <selection activeCell="B9" sqref="B9"/>
    </sheetView>
  </sheetViews>
  <sheetFormatPr defaultRowHeight="24" customHeight="1"/>
  <cols>
    <col min="1" max="1" width="2.58203125" customWidth="1"/>
    <col min="2" max="6" width="9.58203125" customWidth="1"/>
  </cols>
  <sheetData>
    <row r="1" spans="2:6" ht="24" customHeight="1" thickBot="1"/>
    <row r="2" spans="2:6" ht="24" customHeight="1">
      <c r="B2" s="190" t="s">
        <v>123</v>
      </c>
      <c r="C2" s="191"/>
      <c r="D2" s="191"/>
      <c r="E2" s="191"/>
      <c r="F2" s="192"/>
    </row>
    <row r="3" spans="2:6" ht="24" customHeight="1">
      <c r="B3" s="103"/>
      <c r="C3" s="245" t="s">
        <v>208</v>
      </c>
      <c r="D3" s="245"/>
      <c r="E3" s="245" t="s">
        <v>209</v>
      </c>
      <c r="F3" s="246"/>
    </row>
    <row r="4" spans="2:6" s="1" customFormat="1" ht="24" customHeight="1">
      <c r="B4" s="54" t="s">
        <v>200</v>
      </c>
      <c r="C4" s="234"/>
      <c r="D4" s="234"/>
      <c r="E4" s="234"/>
      <c r="F4" s="91" t="s">
        <v>45</v>
      </c>
    </row>
    <row r="5" spans="2:6" s="1" customFormat="1" ht="24" customHeight="1">
      <c r="B5" s="92" t="s">
        <v>201</v>
      </c>
      <c r="C5" s="234">
        <v>0</v>
      </c>
      <c r="D5" s="234"/>
      <c r="E5" s="234"/>
      <c r="F5" s="93" t="s">
        <v>68</v>
      </c>
    </row>
    <row r="6" spans="2:6" s="3" customFormat="1" ht="27" customHeight="1">
      <c r="B6" s="110" t="s">
        <v>204</v>
      </c>
      <c r="C6" s="6" t="s">
        <v>205</v>
      </c>
      <c r="D6" s="69" t="s">
        <v>206</v>
      </c>
      <c r="E6" s="6" t="s">
        <v>207</v>
      </c>
      <c r="F6" s="55" t="s">
        <v>202</v>
      </c>
    </row>
    <row r="7" spans="2:6" ht="24" customHeight="1">
      <c r="B7" s="75" t="s">
        <v>41</v>
      </c>
      <c r="C7" s="14">
        <v>4.435714244842529</v>
      </c>
      <c r="D7" s="14"/>
      <c r="E7" s="14">
        <v>123.73714447021484</v>
      </c>
      <c r="F7" s="94">
        <v>0.0002711129782255739</v>
      </c>
    </row>
    <row r="8" spans="2:6" ht="24" customHeight="1">
      <c r="B8" s="75" t="s">
        <v>29</v>
      </c>
      <c r="C8" s="14">
        <v>4.871428489685059</v>
      </c>
      <c r="D8" s="14"/>
      <c r="E8" s="14">
        <v>129.50714111328125</v>
      </c>
      <c r="F8" s="94">
        <v>0.00028692177147604525</v>
      </c>
    </row>
    <row r="9" spans="2:6" ht="24" customHeight="1" thickBot="1">
      <c r="B9" s="87" t="s">
        <v>30</v>
      </c>
      <c r="C9" s="89"/>
      <c r="D9" s="89"/>
      <c r="E9" s="89"/>
      <c r="F9" s="95"/>
    </row>
  </sheetData>
  <mergeCells count="5">
    <mergeCell ref="C4:E4"/>
    <mergeCell ref="C5:E5"/>
    <mergeCell ref="B2:F2"/>
    <mergeCell ref="C3:D3"/>
    <mergeCell ref="E3:F3"/>
  </mergeCells>
  <phoneticPr fontId="1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M11"/>
  <sheetViews>
    <sheetView zoomScaleNormal="100" workbookViewId="0">
      <selection activeCell="B11" sqref="B11"/>
    </sheetView>
  </sheetViews>
  <sheetFormatPr defaultRowHeight="24" customHeight="1"/>
  <cols>
    <col min="1" max="1" width="2.33203125" customWidth="1"/>
    <col min="2" max="12" width="9.58203125" customWidth="1"/>
  </cols>
  <sheetData>
    <row r="1" spans="2:12" ht="24" customHeight="1" thickBot="1"/>
    <row r="2" spans="2:12" ht="24" customHeight="1">
      <c r="B2" s="238" t="s">
        <v>124</v>
      </c>
      <c r="C2" s="239"/>
      <c r="D2" s="239"/>
      <c r="E2" s="239"/>
      <c r="F2" s="239"/>
      <c r="G2" s="239"/>
      <c r="H2" s="239"/>
      <c r="I2" s="239"/>
      <c r="J2" s="239"/>
      <c r="K2" s="239"/>
      <c r="L2" s="240"/>
    </row>
    <row r="3" spans="2:12" ht="24" customHeight="1">
      <c r="B3" s="241"/>
      <c r="C3" s="242"/>
      <c r="D3" s="242"/>
      <c r="E3" s="242"/>
      <c r="F3" s="242"/>
      <c r="G3" s="242"/>
      <c r="H3" s="242"/>
      <c r="I3" s="242"/>
      <c r="J3" s="242"/>
      <c r="K3" s="242"/>
      <c r="L3" s="243"/>
    </row>
    <row r="4" spans="2:12" ht="24" customHeight="1">
      <c r="B4" s="106"/>
      <c r="C4" s="104"/>
      <c r="D4" s="104"/>
      <c r="E4" s="104"/>
      <c r="F4" s="104"/>
      <c r="G4" s="104"/>
      <c r="H4" s="260"/>
      <c r="I4" s="245" t="s">
        <v>208</v>
      </c>
      <c r="J4" s="245"/>
      <c r="K4" s="245" t="s">
        <v>209</v>
      </c>
      <c r="L4" s="246"/>
    </row>
    <row r="5" spans="2:12" ht="24" customHeight="1">
      <c r="B5" s="185" t="s">
        <v>15</v>
      </c>
      <c r="C5" s="68" t="s">
        <v>99</v>
      </c>
      <c r="D5" s="69" t="s">
        <v>100</v>
      </c>
      <c r="E5" s="69" t="s">
        <v>101</v>
      </c>
      <c r="F5" s="69" t="s">
        <v>102</v>
      </c>
      <c r="G5" s="69" t="s">
        <v>103</v>
      </c>
      <c r="H5" s="69" t="s">
        <v>104</v>
      </c>
      <c r="I5" s="69" t="s">
        <v>185</v>
      </c>
      <c r="J5" s="69" t="s">
        <v>187</v>
      </c>
      <c r="K5" s="69" t="s">
        <v>106</v>
      </c>
      <c r="L5" s="70" t="s">
        <v>105</v>
      </c>
    </row>
    <row r="6" spans="2:12" ht="24" customHeight="1">
      <c r="B6" s="186"/>
      <c r="C6" s="4" t="s">
        <v>81</v>
      </c>
      <c r="D6" s="4" t="s">
        <v>81</v>
      </c>
      <c r="E6" s="4" t="s">
        <v>82</v>
      </c>
      <c r="F6" s="4" t="s">
        <v>82</v>
      </c>
      <c r="G6" s="4" t="s">
        <v>82</v>
      </c>
      <c r="H6" s="4" t="s">
        <v>82</v>
      </c>
      <c r="I6" s="4" t="s">
        <v>82</v>
      </c>
      <c r="J6" s="4" t="s">
        <v>186</v>
      </c>
      <c r="K6" s="4" t="s">
        <v>82</v>
      </c>
      <c r="L6" s="50" t="s">
        <v>82</v>
      </c>
    </row>
    <row r="7" spans="2:12" s="1" customFormat="1" ht="24" customHeight="1">
      <c r="B7" s="97" t="s">
        <v>42</v>
      </c>
      <c r="C7" s="30">
        <v>1.4630000000000001</v>
      </c>
      <c r="D7" s="30">
        <v>0.25</v>
      </c>
      <c r="E7" s="30">
        <v>0.1</v>
      </c>
      <c r="F7" s="30" t="s">
        <v>11</v>
      </c>
      <c r="G7" s="30" t="s">
        <v>11</v>
      </c>
      <c r="H7" s="30" t="s">
        <v>11</v>
      </c>
      <c r="I7" s="30" t="s">
        <v>11</v>
      </c>
      <c r="J7" s="30" t="s">
        <v>11</v>
      </c>
      <c r="K7" s="30">
        <v>3</v>
      </c>
      <c r="L7" s="150">
        <v>0.57499999999999996</v>
      </c>
    </row>
    <row r="8" spans="2:12" s="1" customFormat="1" ht="24" customHeight="1">
      <c r="B8" s="54" t="s">
        <v>182</v>
      </c>
      <c r="C8" s="26">
        <v>23.678165435791016</v>
      </c>
      <c r="D8" s="26">
        <v>1.562457799911499</v>
      </c>
      <c r="E8" s="26">
        <v>1.2011922597885132</v>
      </c>
      <c r="F8" s="26">
        <v>0</v>
      </c>
      <c r="G8" s="26">
        <v>0.004313688725233078</v>
      </c>
      <c r="H8" s="26">
        <v>0</v>
      </c>
      <c r="I8" s="26"/>
      <c r="J8" s="26"/>
      <c r="K8" s="27"/>
      <c r="L8" s="107"/>
    </row>
    <row r="9" spans="2:12" s="1" customFormat="1" ht="24" customHeight="1">
      <c r="B9" s="97" t="s">
        <v>73</v>
      </c>
      <c r="C9" s="28"/>
      <c r="D9" s="28"/>
      <c r="E9" s="28"/>
      <c r="F9" s="28"/>
      <c r="G9" s="28"/>
      <c r="H9" s="28"/>
      <c r="I9" s="28"/>
      <c r="J9" s="28"/>
      <c r="K9" s="29"/>
      <c r="L9" s="108"/>
    </row>
    <row r="10" spans="2:12" s="1" customFormat="1" ht="24" customHeight="1">
      <c r="B10" s="54" t="s">
        <v>74</v>
      </c>
      <c r="C10" s="26"/>
      <c r="D10" s="26"/>
      <c r="E10" s="26"/>
      <c r="F10" s="26"/>
      <c r="G10" s="26"/>
      <c r="H10" s="26"/>
      <c r="I10" s="26"/>
      <c r="J10" s="26"/>
      <c r="K10" s="27"/>
      <c r="L10" s="107"/>
    </row>
    <row r="11" spans="2:12" ht="24" customHeight="1" thickBot="1">
      <c r="B11" s="109" t="s">
        <v>50</v>
      </c>
      <c r="C11" s="235" t="s">
        <v>203</v>
      </c>
      <c r="D11" s="236"/>
      <c r="E11" s="236"/>
      <c r="F11" s="236"/>
      <c r="G11" s="236"/>
      <c r="H11" s="236"/>
      <c r="I11" s="236"/>
      <c r="J11" s="236"/>
      <c r="K11" s="236"/>
      <c r="L11" s="237"/>
    </row>
  </sheetData>
  <mergeCells count="5">
    <mergeCell ref="C11:L11"/>
    <mergeCell ref="B2:L3"/>
    <mergeCell ref="B5:B6"/>
    <mergeCell ref="K4:L4"/>
    <mergeCell ref="I4:J4"/>
  </mergeCells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12</vt:i4>
      </vt:variant>
      <vt:variant>
        <vt:lpstr>命名范围</vt:lpstr>
      </vt:variant>
      <vt:variant>
        <vt:i4>1</vt:i4>
      </vt:variant>
    </vt:vector>
  </HeadingPairs>
  <TitlesOfParts>
    <vt:vector baseType="lpstr" size="13">
      <vt:lpstr>第一页</vt:lpstr>
      <vt:lpstr>第二页反应工序</vt:lpstr>
      <vt:lpstr>第三页反应液分析数据</vt:lpstr>
      <vt:lpstr>第四页闪蒸工序</vt:lpstr>
      <vt:lpstr>第五页一次结晶工序</vt:lpstr>
      <vt:lpstr>第六页产品分析指标</vt:lpstr>
      <vt:lpstr>第七页产品收率分析表</vt:lpstr>
      <vt:lpstr>第八页周汇总数据</vt:lpstr>
      <vt:lpstr>第九页低蒸工序</vt:lpstr>
      <vt:lpstr>第十页脱色工序</vt:lpstr>
      <vt:lpstr>第十一页二次结晶工序</vt:lpstr>
      <vt:lpstr>第十二页产品原料单耗</vt:lpstr>
      <vt:lpstr>第三页反应液分析数据!Print_Area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:creator>熊茂盛</dc:creator>
  <cp:lastModifiedBy>平 曹</cp:lastModifiedBy>
  <dcterms:modified xsi:type="dcterms:W3CDTF">2026-05-14T02:33:02Z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