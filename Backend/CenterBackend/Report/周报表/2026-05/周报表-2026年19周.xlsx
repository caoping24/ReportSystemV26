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bookViews>
    <workbookView xWindow="-120" yWindow="-16320" windowWidth="29040" windowHeight="15720" tabRatio="967"/>
  </bookViews>
  <sheets>
    <sheet name="第一页" sheetId="1" r:id="rId1"/>
    <sheet name="第二页反应工序" sheetId="2" r:id="rId2"/>
    <sheet name="第三页反应液分析数据" sheetId="5" r:id="rId3"/>
    <sheet name="第四页闪蒸工序" sheetId="3" r:id="rId4"/>
    <sheet name="第五页一次结晶工序" sheetId="6" r:id="rId5"/>
    <sheet name="第六页产品分析指标" sheetId="7" r:id="rId6"/>
    <sheet name="第七页产品收率分析表" sheetId="8" r:id="rId7"/>
    <sheet name="第八页周汇总数据" sheetId="15" r:id="rId8"/>
    <sheet name="第九页低蒸工序" sheetId="9" r:id="rId9"/>
    <sheet name="第十页脱色工序" sheetId="16" r:id="rId10"/>
    <sheet name="第十一页二次结晶工序" sheetId="10" r:id="rId11"/>
    <sheet name="第十二页产品原料单耗" sheetId="12" r:id="rId12"/>
    <sheet name="第十三页周核心指标完成情况" sheetId="14" r:id="rId13"/>
  </sheets>
  <definedNames>
    <definedName name="_xlnm.Print_Area" localSheetId="2"><![CDATA[第三页反应液分析数据!$A$1:$H$10]]></definedName>
  </definedName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H32" i="1" l="1"/>
  <c r="H31" i="1"/>
  <c r="H30" i="1"/>
  <c r="H29" i="1"/>
  <c r="H28" i="1"/>
  <c r="H27" i="1"/>
  <c r="H26" i="1"/>
  <c r="H25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  <c r="M8" i="15"/>
  <c r="G9" i="5" l="1"/>
  <c r="F9" i="5"/>
  <c r="E9" i="5"/>
  <c r="D9" i="5"/>
  <c r="C9" i="5"/>
  <c r="E8" i="7" l="1"/>
  <c r="E7" i="7"/>
  <c r="E6" i="7"/>
  <c r="M20" i="15"/>
  <c r="M18" i="15"/>
  <c r="M14" i="15"/>
  <c r="M13" i="15"/>
  <c r="M12" i="15"/>
  <c r="M10" i="15"/>
  <c r="M9" i="15"/>
  <c r="E7" i="9"/>
  <c r="M15" i="15" l="1"/>
</calcChain>
</file>

<file path=xl/comments1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=FT-05141当周累计/当周实际运行时间，下同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=FT-05142当周累计/当周实际运行时间，下同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=FT-05213当周累计/当周实际运行时间，下同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=AT-05140当周记录的平均值，下同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=PT-05311当周运行记录的平均值，下同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=TT-05312当周记录的平均值，下同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=TT-05300当周运行记录的平均值，下同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=PT-05317当周运行记录的平均值，下同</t>
        </r>
      </text>
    </comment>
    <comment ref="K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=TT-05316当周运行记录的平均值，下同</t>
        </r>
      </text>
    </comment>
  </commentList>
</comments>
</file>

<file path=xl/comments2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=当月检测数据平均值，下同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=FT-05411该月累计值/实际运行时间，其他同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两周值做减法所得，下同</t>
        </r>
      </text>
    </comment>
  </commentList>
</comments>
</file>

<file path=xl/comments3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作为参考数据，手工填写，其他同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=PT-07145当周记录数据平均值，下同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=TT-07152当周记录数据平均值，下同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参考数据，手工填写，其他同</t>
        </r>
      </text>
    </comment>
  </commentList>
</comments>
</file>

<file path=xl/comments4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</commentList>
</comments>
</file>

<file path=xl/comments5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</commentList>
</comments>
</file>

<file path=xl/comments6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折干产量 = 当月累产量/当月班数，其他同</t>
        </r>
      </text>
    </comment>
  </commentList>
</comments>
</file>

<file path=xl/comments7.xml><?xml version="1.0" encoding="utf-8"?>
<comments xmlns="http://schemas.openxmlformats.org/spreadsheetml/2006/main">
  <authors>
    <author>熊茂盛</author>
  </authors>
  <commentLis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D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E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计算得出=进料总量/出料总量</t>
        </r>
      </text>
    </comment>
    <comment ref="F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AT-07137每次出料记录的平均值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=FT-07126当周累计值/实际运行时间</t>
        </r>
      </text>
    </comment>
    <comment ref="C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G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</commentList>
</comments>
</file>

<file path=xl/comments8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当周活性炭总用量/脱色液总量（FT-06524当周累计量），下同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=当周检测值取平均值，下同</t>
        </r>
      </text>
    </comment>
    <comment ref="C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D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E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  <comment ref="E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</commentList>
</comments>
</file>

<file path=xl/comments9.xml><?xml version="1.0" encoding="utf-8"?>
<comments xmlns="http://schemas.openxmlformats.org/spreadsheetml/2006/main">
  <authors>
    <author>熊茂盛</author>
  </authors>
  <commentList>
    <comment ref="C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手工填</t>
        </r>
      </text>
    </comment>
    <comment ref="C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FT-08523，当周累积量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当月检测值取平均，下同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</commentList>
</comments>
</file>

<file path=xl/sharedStrings.xml><?xml version="1.0" encoding="utf-8"?>
<sst xmlns="http://schemas.openxmlformats.org/spreadsheetml/2006/main" count="435" uniqueCount="249">
  <si>
    <t xml:space="preserve">设计参数</t>
    <phoneticPr fontId="1" type="noConversion"/>
  </si>
  <si>
    <t xml:space="preserve">时间</t>
    <phoneticPr fontId="1" type="noConversion"/>
  </si>
  <si>
    <t xml:space="preserve">反应器
入口温度</t>
    <phoneticPr fontId="1" type="noConversion"/>
  </si>
  <si>
    <t xml:space="preserve">羟基
流量</t>
    <phoneticPr fontId="1" type="noConversion"/>
  </si>
  <si>
    <t xml:space="preserve">反应器
入口压力</t>
    <phoneticPr fontId="1" type="noConversion"/>
  </si>
  <si>
    <t xml:space="preserve">反应器
出口温度</t>
    <phoneticPr fontId="1" type="noConversion"/>
  </si>
  <si>
    <t xml:space="preserve">反应器
温度</t>
    <phoneticPr fontId="1" type="noConversion"/>
  </si>
  <si>
    <t xml:space="preserve">气氨
流量</t>
    <phoneticPr fontId="1" type="noConversion"/>
  </si>
  <si>
    <t xml:space="preserve">配比蒸汽
流量</t>
    <phoneticPr fontId="1" type="noConversion"/>
  </si>
  <si>
    <t xml:space="preserve">平均配比
摩尔比</t>
    <phoneticPr fontId="1" type="noConversion"/>
  </si>
  <si>
    <t xml:space="preserve">m3/h</t>
    <phoneticPr fontId="1" type="noConversion"/>
  </si>
  <si>
    <t xml:space="preserve">kg/h</t>
    <phoneticPr fontId="1" type="noConversion"/>
  </si>
  <si>
    <t xml:space="preserve">/</t>
    <phoneticPr fontId="1" type="noConversion"/>
  </si>
  <si>
    <t xml:space="preserve">℃</t>
    <phoneticPr fontId="1" type="noConversion"/>
  </si>
  <si>
    <t xml:space="preserve">Mpa</t>
  </si>
  <si>
    <t xml:space="preserve">Mpa</t>
    <phoneticPr fontId="1" type="noConversion"/>
  </si>
  <si>
    <t xml:space="preserve">项目</t>
    <phoneticPr fontId="1" type="noConversion"/>
  </si>
  <si>
    <t xml:space="preserve">上上周参数</t>
    <phoneticPr fontId="1" type="noConversion"/>
  </si>
  <si>
    <t xml:space="preserve">上周参数</t>
    <phoneticPr fontId="1" type="noConversion"/>
  </si>
  <si>
    <t xml:space="preserve">本周参数</t>
    <phoneticPr fontId="1" type="noConversion"/>
  </si>
  <si>
    <t xml:space="preserve">反应器
出口压力</t>
    <phoneticPr fontId="1" type="noConversion"/>
  </si>
  <si>
    <t xml:space="preserve">二乙腈含量</t>
    <phoneticPr fontId="1" type="noConversion"/>
  </si>
  <si>
    <t xml:space="preserve">二乙腈含量
（%）</t>
    <phoneticPr fontId="1" type="noConversion"/>
  </si>
  <si>
    <t xml:space="preserve">色谱法</t>
    <phoneticPr fontId="1" type="noConversion"/>
  </si>
  <si>
    <t xml:space="preserve">化分法
（%）</t>
    <phoneticPr fontId="1" type="noConversion"/>
  </si>
  <si>
    <t xml:space="preserve">色谱法
（%）</t>
    <phoneticPr fontId="1" type="noConversion"/>
  </si>
  <si>
    <t xml:space="preserve">二乙腈
含 量</t>
    <phoneticPr fontId="1" type="noConversion"/>
  </si>
  <si>
    <t xml:space="preserve">羟基乙腈
残 余</t>
    <phoneticPr fontId="1" type="noConversion"/>
  </si>
  <si>
    <t xml:space="preserve">百分比
（%）</t>
    <phoneticPr fontId="1" type="noConversion"/>
  </si>
  <si>
    <t xml:space="preserve">浓度
（g/L）</t>
    <phoneticPr fontId="1" type="noConversion"/>
  </si>
  <si>
    <t xml:space="preserve">项 目</t>
    <phoneticPr fontId="1" type="noConversion"/>
  </si>
  <si>
    <t xml:space="preserve">pH值</t>
    <phoneticPr fontId="1" type="noConversion"/>
  </si>
  <si>
    <t xml:space="preserve">硫酸用量
（kg/h）</t>
    <phoneticPr fontId="1" type="noConversion"/>
  </si>
  <si>
    <t xml:space="preserve">本月平均</t>
    <phoneticPr fontId="1" type="noConversion"/>
  </si>
  <si>
    <t xml:space="preserve">上周平均</t>
    <phoneticPr fontId="1" type="noConversion"/>
  </si>
  <si>
    <t xml:space="preserve">本周平均</t>
    <phoneticPr fontId="1" type="noConversion"/>
  </si>
  <si>
    <t xml:space="preserve">差值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</si>
  <si>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</si>
  <si>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</si>
  <si>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指标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</si>
  <si>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</si>
  <si>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</si>
  <si>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</si>
  <si>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</si>
  <si>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</si>
  <si>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大生产数据</t>
    <phoneticPr fontId="1" type="noConversion"/>
  </si>
  <si>
    <t xml:space="preserve">上上周平均</t>
    <phoneticPr fontId="1" type="noConversion"/>
  </si>
  <si>
    <t xml:space="preserve">农科数据</t>
    <phoneticPr fontId="1" type="noConversion"/>
  </si>
  <si>
    <t xml:space="preserve">低蒸压力</t>
    <phoneticPr fontId="1" type="noConversion"/>
  </si>
  <si>
    <t xml:space="preserve">低蒸温度</t>
    <phoneticPr fontId="1" type="noConversion"/>
  </si>
  <si>
    <t xml:space="preserve">备注：分析密度，每24小时白班送检一次。</t>
    <phoneticPr fontId="1" type="noConversion"/>
  </si>
  <si>
    <r>
      <t xml:space="preserve">25000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30000</t>
    </r>
    <phoneticPr fontId="1" type="noConversion"/>
  </si>
  <si>
    <r>
      <t xml:space="preserve">900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1200</t>
    </r>
    <phoneticPr fontId="1" type="noConversion"/>
  </si>
  <si>
    <r>
      <t xml:space="preserve">2500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</t>
    </r>
    <phoneticPr fontId="1" type="noConversion"/>
  </si>
  <si>
    <r>
      <t xml:space="preserve">30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50</t>
    </r>
    <phoneticPr fontId="1" type="noConversion"/>
  </si>
  <si>
    <t xml:space="preserve">月份</t>
    <phoneticPr fontId="1" type="noConversion"/>
  </si>
  <si>
    <t xml:space="preserve">%</t>
    <phoneticPr fontId="1" type="noConversion"/>
  </si>
  <si>
    <t xml:space="preserve">水分含量</t>
    <phoneticPr fontId="1" type="noConversion"/>
  </si>
  <si>
    <t xml:space="preserve">综合含量</t>
    <phoneticPr fontId="1" type="noConversion"/>
  </si>
  <si>
    <t xml:space="preserve">未知物含量</t>
    <phoneticPr fontId="1" type="noConversion"/>
  </si>
  <si>
    <t xml:space="preserve">本年度平均</t>
    <phoneticPr fontId="1" type="noConversion"/>
  </si>
  <si>
    <t xml:space="preserve">化学分析法</t>
    <phoneticPr fontId="1" type="noConversion"/>
  </si>
  <si>
    <t xml:space="preserve">备注</t>
    <phoneticPr fontId="1" type="noConversion"/>
  </si>
  <si>
    <t xml:space="preserve">上上周</t>
    <phoneticPr fontId="1" type="noConversion"/>
  </si>
  <si>
    <t xml:space="preserve">上周</t>
    <phoneticPr fontId="1" type="noConversion"/>
  </si>
  <si>
    <t xml:space="preserve">本周</t>
    <phoneticPr fontId="1" type="noConversion"/>
  </si>
  <si>
    <t xml:space="preserve">平
均</t>
    <phoneticPr fontId="1" type="noConversion"/>
  </si>
  <si>
    <t xml:space="preserve">1月</t>
    <phoneticPr fontId="1" type="noConversion"/>
  </si>
  <si>
    <t xml:space="preserve">2月</t>
    <phoneticPr fontId="1" type="noConversion"/>
  </si>
  <si>
    <t xml:space="preserve">3月</t>
    <phoneticPr fontId="1" type="noConversion"/>
  </si>
  <si>
    <t xml:space="preserve">4月</t>
    <phoneticPr fontId="1" type="noConversion"/>
  </si>
  <si>
    <t xml:space="preserve">5月</t>
    <phoneticPr fontId="1" type="noConversion"/>
  </si>
  <si>
    <t xml:space="preserve">6月</t>
    <phoneticPr fontId="1" type="noConversion"/>
  </si>
  <si>
    <t xml:space="preserve">7月</t>
    <phoneticPr fontId="1" type="noConversion"/>
  </si>
  <si>
    <t xml:space="preserve">8月</t>
    <phoneticPr fontId="1" type="noConversion"/>
  </si>
  <si>
    <t xml:space="preserve">9月</t>
    <phoneticPr fontId="1" type="noConversion"/>
  </si>
  <si>
    <t xml:space="preserve">10月</t>
    <phoneticPr fontId="1" type="noConversion"/>
  </si>
  <si>
    <t xml:space="preserve">11月</t>
    <phoneticPr fontId="1" type="noConversion"/>
  </si>
  <si>
    <t xml:space="preserve">12月</t>
    <phoneticPr fontId="1" type="noConversion"/>
  </si>
  <si>
    <t xml:space="preserve">收
率
（%）</t>
    <phoneticPr fontId="1" type="noConversion"/>
  </si>
  <si>
    <t xml:space="preserve">班
产
量
（t）</t>
    <phoneticPr fontId="1" type="noConversion"/>
  </si>
  <si>
    <t xml:space="preserve">设计值</t>
    <phoneticPr fontId="1" type="noConversion"/>
  </si>
  <si>
    <t xml:space="preserve">进料量</t>
    <phoneticPr fontId="1" type="noConversion"/>
  </si>
  <si>
    <t xml:space="preserve">出料量</t>
    <phoneticPr fontId="1" type="noConversion"/>
  </si>
  <si>
    <t xml:space="preserve">浓缩比</t>
    <phoneticPr fontId="1" type="noConversion"/>
  </si>
  <si>
    <t xml:space="preserve">出料比重</t>
    <phoneticPr fontId="1" type="noConversion"/>
  </si>
  <si>
    <t xml:space="preserve">g/L</t>
    <phoneticPr fontId="1" type="noConversion"/>
  </si>
  <si>
    <t xml:space="preserve">蒸汽用量</t>
    <phoneticPr fontId="1" type="noConversion"/>
  </si>
  <si>
    <t xml:space="preserve">t/h</t>
    <phoneticPr fontId="1" type="noConversion"/>
  </si>
  <si>
    <t xml:space="preserve">无</t>
    <phoneticPr fontId="1" type="noConversion"/>
  </si>
  <si>
    <t xml:space="preserve">本周数据</t>
    <phoneticPr fontId="1" type="noConversion"/>
  </si>
  <si>
    <t xml:space="preserve">低蒸运行参数</t>
    <phoneticPr fontId="1" type="noConversion"/>
  </si>
  <si>
    <t xml:space="preserve">低蒸母液分析：送检频次，一天一次；管反反应液一天三次</t>
    <phoneticPr fontId="1" type="noConversion"/>
  </si>
  <si>
    <t xml:space="preserve">硫铵含量</t>
    <phoneticPr fontId="1" type="noConversion"/>
  </si>
  <si>
    <t xml:space="preserve">羟基乙腈含量</t>
    <phoneticPr fontId="1" type="noConversion"/>
  </si>
  <si>
    <t xml:space="preserve">硫铵含量
（g/L）</t>
    <phoneticPr fontId="1" type="noConversion"/>
  </si>
  <si>
    <t xml:space="preserve">羟基乙腈含量
（g/L）</t>
    <phoneticPr fontId="1" type="noConversion"/>
  </si>
  <si>
    <t xml:space="preserve">外排废液
m3废液/t产品</t>
    <phoneticPr fontId="1" type="noConversion"/>
  </si>
  <si>
    <t xml:space="preserve">本周固液比控制范围：</t>
    <phoneticPr fontId="1" type="noConversion"/>
  </si>
  <si>
    <t xml:space="preserve">本周累计外排废液量：</t>
    <phoneticPr fontId="1" type="noConversion"/>
  </si>
  <si>
    <t xml:space="preserve">m3</t>
    <phoneticPr fontId="1" type="noConversion"/>
  </si>
  <si>
    <t xml:space="preserve">二次母液
分析数据</t>
    <phoneticPr fontId="1" type="noConversion"/>
  </si>
  <si>
    <t xml:space="preserve">脱色前</t>
    <phoneticPr fontId="1" type="noConversion"/>
  </si>
  <si>
    <t xml:space="preserve">脱色后</t>
    <phoneticPr fontId="1" type="noConversion"/>
  </si>
  <si>
    <t xml:space="preserve">差 值</t>
    <phoneticPr fontId="1" type="noConversion"/>
  </si>
  <si>
    <t xml:space="preserve">上 周</t>
    <phoneticPr fontId="1" type="noConversion"/>
  </si>
  <si>
    <t xml:space="preserve">本 周</t>
    <phoneticPr fontId="1" type="noConversion"/>
  </si>
  <si>
    <t xml:space="preserve">kg/t</t>
    <phoneticPr fontId="1" type="noConversion"/>
  </si>
  <si>
    <t xml:space="preserve">活性炭单耗</t>
    <phoneticPr fontId="1" type="noConversion"/>
  </si>
  <si>
    <t xml:space="preserve">脱色
消耗</t>
    <phoneticPr fontId="1" type="noConversion"/>
  </si>
  <si>
    <t xml:space="preserve">透光率</t>
    <phoneticPr fontId="1" type="noConversion"/>
  </si>
  <si>
    <t xml:space="preserve">型号</t>
    <phoneticPr fontId="1" type="noConversion"/>
  </si>
  <si>
    <t xml:space="preserve">                指标
对比项目</t>
    <phoneticPr fontId="1" type="noConversion"/>
  </si>
  <si>
    <t xml:space="preserve">t</t>
    <phoneticPr fontId="1" type="noConversion"/>
  </si>
  <si>
    <t xml:space="preserve">t/t</t>
    <phoneticPr fontId="1" type="noConversion"/>
  </si>
  <si>
    <t xml:space="preserve">m3/t</t>
    <phoneticPr fontId="1" type="noConversion"/>
  </si>
  <si>
    <t xml:space="preserve">吨产品原料/动力及排放单耗</t>
    <phoneticPr fontId="1" type="noConversion"/>
  </si>
  <si>
    <t xml:space="preserve">日期</t>
    <phoneticPr fontId="1" type="noConversion"/>
  </si>
  <si>
    <t xml:space="preserve">星期</t>
    <phoneticPr fontId="1" type="noConversion"/>
  </si>
  <si>
    <t xml:space="preserve">五</t>
    <phoneticPr fontId="1" type="noConversion"/>
  </si>
  <si>
    <t xml:space="preserve">六</t>
    <phoneticPr fontId="1" type="noConversion"/>
  </si>
  <si>
    <t xml:space="preserve">日</t>
    <phoneticPr fontId="1" type="noConversion"/>
  </si>
  <si>
    <t xml:space="preserve">一</t>
    <phoneticPr fontId="1" type="noConversion"/>
  </si>
  <si>
    <t xml:space="preserve">二</t>
    <phoneticPr fontId="1" type="noConversion"/>
  </si>
  <si>
    <t xml:space="preserve">三</t>
    <phoneticPr fontId="1" type="noConversion"/>
  </si>
  <si>
    <t xml:space="preserve">四</t>
    <phoneticPr fontId="1" type="noConversion"/>
  </si>
  <si>
    <t xml:space="preserve">本周
平均</t>
    <phoneticPr fontId="1" type="noConversion"/>
  </si>
  <si>
    <t xml:space="preserve">上周
平均</t>
    <phoneticPr fontId="1" type="noConversion"/>
  </si>
  <si>
    <t xml:space="preserve">两周
差值</t>
    <phoneticPr fontId="1" type="noConversion"/>
  </si>
  <si>
    <t xml:space="preserve">一、反应液</t>
    <phoneticPr fontId="1" type="noConversion"/>
  </si>
  <si>
    <t xml:space="preserve">二、产品</t>
    <phoneticPr fontId="1" type="noConversion"/>
  </si>
  <si>
    <t xml:space="preserve">二乙腈</t>
    <phoneticPr fontId="1" type="noConversion"/>
  </si>
  <si>
    <t xml:space="preserve">折百产量</t>
    <phoneticPr fontId="1" type="noConversion"/>
  </si>
  <si>
    <t xml:space="preserve">2025年第（44）周</t>
    <phoneticPr fontId="1" type="noConversion"/>
  </si>
  <si>
    <t xml:space="preserve">班次</t>
    <phoneticPr fontId="1" type="noConversion"/>
  </si>
  <si>
    <t xml:space="preserve">1号</t>
    <phoneticPr fontId="1" type="noConversion"/>
  </si>
  <si>
    <t xml:space="preserve">2号</t>
    <phoneticPr fontId="1" type="noConversion"/>
  </si>
  <si>
    <t xml:space="preserve">3号</t>
    <phoneticPr fontId="1" type="noConversion"/>
  </si>
  <si>
    <t xml:space="preserve">4号</t>
    <phoneticPr fontId="1" type="noConversion"/>
  </si>
  <si>
    <t xml:space="preserve">5号</t>
    <phoneticPr fontId="1" type="noConversion"/>
  </si>
  <si>
    <t xml:space="preserve">6号</t>
    <phoneticPr fontId="1" type="noConversion"/>
  </si>
  <si>
    <t xml:space="preserve">7号</t>
    <phoneticPr fontId="1" type="noConversion"/>
  </si>
  <si>
    <t xml:space="preserve">白</t>
    <phoneticPr fontId="1" type="noConversion"/>
  </si>
  <si>
    <t xml:space="preserve">夜</t>
    <phoneticPr fontId="1" type="noConversion"/>
  </si>
  <si>
    <t xml:space="preserve">羟基乙腈
单耗</t>
    <phoneticPr fontId="1" type="noConversion"/>
  </si>
  <si>
    <t xml:space="preserve">液氨
单耗</t>
    <phoneticPr fontId="1" type="noConversion"/>
  </si>
  <si>
    <t xml:space="preserve">硫酸
单耗</t>
    <phoneticPr fontId="1" type="noConversion"/>
  </si>
  <si>
    <t xml:space="preserve">总蒸汽
单耗</t>
    <phoneticPr fontId="1" type="noConversion"/>
  </si>
  <si>
    <t xml:space="preserve">反应蒸汽
单耗</t>
    <phoneticPr fontId="1" type="noConversion"/>
  </si>
  <si>
    <t xml:space="preserve">低蒸蒸汽
单耗</t>
    <phoneticPr fontId="1" type="noConversion"/>
  </si>
  <si>
    <t xml:space="preserve">废液
外排</t>
    <phoneticPr fontId="1" type="noConversion"/>
  </si>
  <si>
    <t xml:space="preserve">废水
外排</t>
    <phoneticPr fontId="1" type="noConversion"/>
  </si>
  <si>
    <t xml:space="preserve">0，5150±0.05</t>
    <phoneticPr fontId="1" type="noConversion"/>
  </si>
  <si>
    <t xml:space="preserve">410±5g/L</t>
    <phoneticPr fontId="1" type="noConversion"/>
  </si>
  <si>
    <t xml:space="preserve">168±2℃</t>
    <phoneticPr fontId="1" type="noConversion"/>
  </si>
  <si>
    <t xml:space="preserve">≤20℃</t>
    <phoneticPr fontId="1" type="noConversion"/>
  </si>
  <si>
    <t xml:space="preserve">氨/腈摩尔比
合格率（%）</t>
    <phoneticPr fontId="1" type="noConversion"/>
  </si>
  <si>
    <t xml:space="preserve">羟基浓度
合格率（%）</t>
    <phoneticPr fontId="1" type="noConversion"/>
  </si>
  <si>
    <t xml:space="preserve">氨化反应温度
合格率（%）</t>
    <phoneticPr fontId="1" type="noConversion"/>
  </si>
  <si>
    <t xml:space="preserve">一次结晶出料
温度合格率（%）</t>
    <phoneticPr fontId="1" type="noConversion"/>
  </si>
  <si>
    <t xml:space="preserve">核心工艺指标合格率
（%）</t>
    <phoneticPr fontId="1" type="noConversion"/>
  </si>
  <si>
    <t xml:space="preserve">实际产量</t>
    <phoneticPr fontId="1" type="noConversion"/>
  </si>
  <si>
    <t xml:space="preserve">kg/班</t>
    <phoneticPr fontId="1" type="noConversion"/>
  </si>
  <si>
    <t xml:space="preserve">收率</t>
    <phoneticPr fontId="1" type="noConversion"/>
  </si>
  <si>
    <t xml:space="preserve">本月平均</t>
    <phoneticPr fontId="1" type="noConversion"/>
  </si>
  <si>
    <t xml:space="preserve">一次结晶</t>
    <phoneticPr fontId="1" type="noConversion"/>
  </si>
  <si>
    <t xml:space="preserve">二次结晶</t>
    <phoneticPr fontId="1" type="noConversion"/>
  </si>
  <si>
    <t xml:space="preserve">本周</t>
  </si>
  <si>
    <t xml:space="preserve">上周数据</t>
    <phoneticPr fontId="1" type="noConversion"/>
  </si>
  <si>
    <t xml:space="preserve">                             指标
 时间</t>
    <phoneticPr fontId="1" type="noConversion"/>
  </si>
  <si>
    <t xml:space="preserve">三、收率</t>
    <phoneticPr fontId="1" type="noConversion"/>
  </si>
  <si>
    <t xml:space="preserve">四、废液</t>
    <phoneticPr fontId="1" type="noConversion"/>
  </si>
  <si>
    <t xml:space="preserve">周报-反应液分析数据表</t>
  </si>
  <si>
    <t xml:space="preserve">周报-反应工序控制参数表</t>
    <phoneticPr fontId="1" type="noConversion"/>
  </si>
  <si>
    <t xml:space="preserve">周报-闪蒸废水分析数据表</t>
    <phoneticPr fontId="1" type="noConversion"/>
  </si>
  <si>
    <t xml:space="preserve">周报-结晶工序数据分析表</t>
    <phoneticPr fontId="1" type="noConversion"/>
  </si>
  <si>
    <t xml:space="preserve">周报-产品指标分析表</t>
    <phoneticPr fontId="1" type="noConversion"/>
  </si>
  <si>
    <t xml:space="preserve">周报-产品收率数据分析表</t>
    <phoneticPr fontId="1" type="noConversion"/>
  </si>
  <si>
    <t xml:space="preserve">周报-汇总数据分析表</t>
    <phoneticPr fontId="1" type="noConversion"/>
  </si>
  <si>
    <t xml:space="preserve">周报-低蒸数据分析表</t>
    <phoneticPr fontId="1" type="noConversion"/>
  </si>
  <si>
    <t xml:space="preserve">周报-脱色工序数据分析表</t>
    <phoneticPr fontId="1" type="noConversion"/>
  </si>
  <si>
    <t xml:space="preserve">周报-二次结晶数据分析表</t>
    <phoneticPr fontId="1" type="noConversion"/>
  </si>
  <si>
    <t xml:space="preserve">周报-产品原料/动力/排放单耗数据分析表</t>
    <phoneticPr fontId="1" type="noConversion"/>
  </si>
  <si>
    <t xml:space="preserve">周报-核心指标分析汇总表</t>
    <phoneticPr fontId="1" type="noConversion"/>
  </si>
  <si>
    <t xml:space="preserve">核心指标完成情况汇总表</t>
    <phoneticPr fontId="1" type="noConversion"/>
  </si>
  <si>
    <t xml:space="preserve">二乙睛中试车间周报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</si>
  <si>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</si>
  <si>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</si>
  <si>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</si>
  <si>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一、产品</t>
    <phoneticPr fontId="1" type="noConversion"/>
  </si>
  <si>
    <t xml:space="preserve">二、原料消耗</t>
    <phoneticPr fontId="1" type="noConversion"/>
  </si>
  <si>
    <t xml:space="preserve">羟基消耗</t>
  </si>
  <si>
    <t xml:space="preserve">氨消耗</t>
    <phoneticPr fontId="1" type="noConversion"/>
  </si>
  <si>
    <t xml:space="preserve">硫酸消耗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</si>
  <si>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</si>
  <si>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</si>
  <si>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</si>
  <si>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</si>
  <si>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反应单元</t>
    <phoneticPr fontId="1" type="noConversion"/>
  </si>
  <si>
    <t xml:space="preserve">氨腈摩尔比</t>
    <phoneticPr fontId="1" type="noConversion"/>
  </si>
  <si>
    <t xml:space="preserve">反应时间</t>
    <phoneticPr fontId="1" type="noConversion"/>
  </si>
  <si>
    <t xml:space="preserve">s</t>
    <phoneticPr fontId="1" type="noConversion"/>
  </si>
  <si>
    <t xml:space="preserve">反应压力</t>
    <phoneticPr fontId="1" type="noConversion"/>
  </si>
  <si>
    <t xml:space="preserve">羟基加热温度</t>
    <phoneticPr fontId="1" type="noConversion"/>
  </si>
  <si>
    <t xml:space="preserve">氨汽混合温度</t>
  </si>
  <si>
    <t xml:space="preserve">管反热点温度</t>
  </si>
  <si>
    <t xml:space="preserve">结晶单元</t>
    <phoneticPr fontId="1" type="noConversion"/>
  </si>
  <si>
    <t xml:space="preserve">预冷器结晶温度</t>
  </si>
  <si>
    <t xml:space="preserve">一次结晶温度</t>
  </si>
  <si>
    <t xml:space="preserve">降膜蒸发温度</t>
  </si>
  <si>
    <t xml:space="preserve">二次结晶温度</t>
  </si>
  <si>
    <t xml:space="preserve">反应液组成</t>
    <phoneticPr fontId="1" type="noConversion"/>
  </si>
  <si>
    <t xml:space="preserve">--</t>
    <phoneticPr fontId="1" type="noConversion"/>
  </si>
  <si>
    <t xml:space="preserve">羟基乙腈残余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</si>
  <si>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</si>
  <si>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</si>
  <si>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</si>
  <si>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</si>
  <si>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</si>
  <si>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废液组成</t>
    <phoneticPr fontId="1" type="noConversion"/>
  </si>
  <si>
    <t xml:space="preserve">羟基乙腈</t>
    <phoneticPr fontId="1" type="noConversion"/>
  </si>
  <si>
    <t xml:space="preserve">硫铵</t>
    <phoneticPr fontId="1" type="noConversion"/>
  </si>
  <si>
    <t xml:space="preserve">其它</t>
    <phoneticPr fontId="1" type="noConversion"/>
  </si>
  <si>
    <t xml:space="preserve">%</t>
  </si>
  <si>
    <t xml:space="preserve">水分</t>
    <phoneticPr fontId="1" type="noConversion"/>
  </si>
  <si>
    <t xml:space="preserve">五、其他</t>
    <phoneticPr fontId="1" type="noConversion"/>
  </si>
  <si>
    <t xml:space="preserve">≤1427</t>
    <phoneticPr fontId="1" type="noConversion"/>
  </si>
  <si>
    <t xml:space="preserve">215±5</t>
  </si>
  <si>
    <t xml:space="preserve">200±10</t>
  </si>
  <si>
    <t xml:space="preserve">417±5</t>
  </si>
  <si>
    <t xml:space="preserve">(0.530±0.005):1</t>
  </si>
  <si>
    <t xml:space="preserve">0.75±0.05</t>
  </si>
  <si>
    <t xml:space="preserve">90±2</t>
  </si>
  <si>
    <t xml:space="preserve">145±2</t>
  </si>
  <si>
    <t xml:space="preserve">168±2</t>
  </si>
  <si>
    <t xml:space="preserve">≤45</t>
    <phoneticPr fontId="1" type="noConversion"/>
  </si>
  <si>
    <t xml:space="preserve">≤20</t>
    <phoneticPr fontId="1" type="noConversion"/>
  </si>
  <si>
    <t xml:space="preserve">48±2</t>
  </si>
  <si>
    <t xml:space="preserve">≤20</t>
  </si>
  <si>
    <t xml:space="preserve">/</t>
  </si>
  <si>
    <t xml:space="preserve">≤0.38</t>
  </si>
  <si>
    <t xml:space="preserve">2026-05-04</t>
  </si>
  <si>
    <t xml:space="preserve">2026年19周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</si>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</sst>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;[Red]0.00"/>
    <numFmt numFmtId="177" formatCode="0.0000;[Red]0.0000"/>
    <numFmt numFmtId="178" formatCode="0.0;[Red]0.0"/>
    <numFmt numFmtId="179" formatCode="0.000;[Red]0.000"/>
    <numFmt numFmtId="180" formatCode="0.00_ "/>
    <numFmt numFmtId="181" formatCode="0.000_ "/>
  </numFmts>
  <fonts count="2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FF0000"/>
      <name val="SimSun"/>
      <charset val="134"/>
    </font>
    <font>
      <sz val="10"/>
      <color rgb="FFFF0000"/>
      <name val="等线"/>
      <family val="3"/>
      <charset val="134"/>
    </font>
    <font>
      <sz val="12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i/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23" xfId="0" applyFont="1" applyBorder="1" applyAlignment="1">
      <alignment wrapText="1"/>
    </xf>
    <xf numFmtId="0" fontId="3" fillId="0" borderId="2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176" fontId="3" fillId="0" borderId="23" xfId="0" applyNumberFormat="1" applyFont="1" applyBorder="1" applyAlignment="1">
      <alignment horizontal="center" vertical="center"/>
    </xf>
    <xf numFmtId="0" fontId="0" fillId="0" borderId="23" xfId="0" applyBorder="1"/>
    <xf numFmtId="0" fontId="2" fillId="0" borderId="23" xfId="0" applyFont="1" applyBorder="1" applyAlignment="1">
      <alignment horizontal="center" vertical="center" wrapText="1"/>
    </xf>
    <xf numFmtId="176" fontId="2" fillId="2" borderId="23" xfId="0" applyNumberFormat="1" applyFon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16" fillId="5" borderId="38" xfId="0" applyFont="1" applyFill="1" applyBorder="1" applyAlignment="1">
      <alignment vertical="center"/>
    </xf>
    <xf numFmtId="0" fontId="16" fillId="5" borderId="17" xfId="0" applyFont="1" applyFill="1" applyBorder="1" applyAlignment="1">
      <alignment vertical="center"/>
    </xf>
    <xf numFmtId="0" fontId="16" fillId="5" borderId="17" xfId="0" applyFont="1" applyFill="1" applyBorder="1" applyAlignment="1">
      <alignment horizontal="right" vertical="center"/>
    </xf>
    <xf numFmtId="0" fontId="15" fillId="0" borderId="23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7" fillId="0" borderId="42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/>
    </xf>
    <xf numFmtId="180" fontId="3" fillId="0" borderId="23" xfId="0" applyNumberFormat="1" applyFont="1" applyBorder="1" applyAlignment="1">
      <alignment horizontal="center" vertical="center"/>
    </xf>
    <xf numFmtId="180" fontId="3" fillId="0" borderId="21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7" fillId="0" borderId="23" xfId="0" quotePrefix="1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181" fontId="18" fillId="0" borderId="23" xfId="0" applyNumberFormat="1" applyFont="1" applyBorder="1" applyAlignment="1">
      <alignment horizontal="center" vertical="center"/>
    </xf>
    <xf numFmtId="181" fontId="17" fillId="0" borderId="23" xfId="0" quotePrefix="1" applyNumberFormat="1" applyFont="1" applyBorder="1" applyAlignment="1">
      <alignment horizontal="center" vertical="center"/>
    </xf>
    <xf numFmtId="181" fontId="18" fillId="0" borderId="46" xfId="0" applyNumberFormat="1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39" xfId="0" applyFont="1" applyFill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2" fillId="0" borderId="23" xfId="0" applyFont="1" applyBorder="1" applyAlignment="1">
      <alignment wrapText="1"/>
    </xf>
    <xf numFmtId="0" fontId="3" fillId="0" borderId="23" xfId="0" applyFont="1" applyBorder="1"/>
    <xf numFmtId="0" fontId="9" fillId="0" borderId="23" xfId="0" applyFont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57" fontId="2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181" fontId="19" fillId="0" borderId="23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1" fontId="19" fillId="0" borderId="46" xfId="0" applyNumberFormat="1" applyFont="1" applyBorder="1" applyAlignment="1">
      <alignment horizontal="center" vertical="center"/>
    </xf>
  </cellXfs>
  <cellStyles count="1">
    <cellStyle name="常规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B2F71291-1F75-4376-A4AC-6EA46708AB7D}"/>
            </a:ext>
          </a:extLst>
        </xdr:cNvPr>
        <xdr:cNvCxnSpPr/>
      </xdr:nvCxnSpPr>
      <xdr:spPr>
        <a:xfrm>
          <a:off x="200025" y="4191000"/>
          <a:ext cx="15430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19050</xdr:rowOff>
    </xdr:from>
    <xdr:to>
      <xdr:col>2</xdr:col>
      <xdr:colOff>0</xdr:colOff>
      <xdr:row>6</xdr:row>
      <xdr:rowOff>9525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7A4DC0B-C9A8-4E24-FBF6-5E83BB9F00E9}"/>
            </a:ext>
          </a:extLst>
        </xdr:cNvPr>
        <xdr:cNvCxnSpPr/>
      </xdr:nvCxnSpPr>
      <xdr:spPr>
        <a:xfrm>
          <a:off x="1381125" y="1371600"/>
          <a:ext cx="952500" cy="68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comments" Target="../comments5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comments" Target="../comments6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comments" Target="../comments7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Relationship Id="rId2" Type="http://schemas.openxmlformats.org/officeDocument/2006/relationships/vmlDrawing" Target="../drawings/vmlDrawing8.vml" /><Relationship Id="rId3" Type="http://schemas.openxmlformats.org/officeDocument/2006/relationships/comments" Target="../comments8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vmlDrawing" Target="../drawings/vmlDrawing9.vml" /><Relationship Id="rId3" Type="http://schemas.openxmlformats.org/officeDocument/2006/relationships/comments" Target="../comments9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Q13" sqref="Q13"/>
    </sheetView>
  </sheetViews>
  <sheetFormatPr defaultRowHeight="18.5" customHeight="1"/>
  <cols>
    <col min="1" max="1" width="1.83203125" customWidth="1"/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7.25" bestFit="1" customWidth="1"/>
    <col min="16" max="16" width="11.58203125" customWidth="1"/>
  </cols>
  <sheetData>
    <row r="1" spans="2:10" ht="14.5" thickBot="1"/>
    <row r="2" spans="2:10" ht="21">
      <c r="B2" s="107" t="s">
        <v>185</v>
      </c>
      <c r="C2" s="108"/>
      <c r="D2" s="108"/>
      <c r="E2" s="108"/>
      <c r="F2" s="108"/>
      <c r="G2" s="108"/>
      <c r="H2" s="108"/>
      <c r="I2" s="108"/>
      <c r="J2" s="109"/>
    </row>
    <row r="3" spans="2:10" ht="14">
      <c r="B3" s="72"/>
      <c r="C3" s="73"/>
      <c r="D3" s="73"/>
      <c r="E3" s="73"/>
      <c r="F3" s="73"/>
      <c r="G3" s="74" t="s">
        <v>241</v>
      </c>
      <c r="H3" s="110" t="s">
        <v>242</v>
      </c>
      <c r="I3" s="110"/>
      <c r="J3" s="111"/>
    </row>
    <row r="4" spans="2:10" ht="21">
      <c r="B4" s="112" t="s">
        <v>16</v>
      </c>
      <c r="C4" s="113"/>
      <c r="D4" s="114"/>
      <c r="E4" s="75" t="s">
        <v>40</v>
      </c>
      <c r="F4" s="75" t="s">
        <v>186</v>
      </c>
      <c r="G4" s="75" t="s">
        <v>187</v>
      </c>
      <c r="H4" s="115" t="s">
        <v>188</v>
      </c>
      <c r="I4" s="114"/>
      <c r="J4" s="76" t="s">
        <v>62</v>
      </c>
    </row>
    <row r="5" spans="2:10" ht="14">
      <c r="B5" s="77" t="s">
        <v>189</v>
      </c>
      <c r="C5" s="92" t="s">
        <v>163</v>
      </c>
      <c r="D5" s="92"/>
      <c r="E5" s="78" t="s">
        <v>56</v>
      </c>
      <c r="F5" s="86">
        <v>90</v>
      </c>
      <c r="G5" s="169">
        <v>94.66666412353516</v>
      </c>
      <c r="H5" s="79">
        <f>(G5-F5)/F5*100</f>
        <v>-100</v>
      </c>
      <c r="I5" s="80" t="s">
        <v>56</v>
      </c>
      <c r="J5" s="81"/>
    </row>
    <row r="6" spans="2:10" ht="14">
      <c r="B6" s="89" t="s">
        <v>190</v>
      </c>
      <c r="C6" s="92" t="s">
        <v>191</v>
      </c>
      <c r="D6" s="92"/>
      <c r="E6" s="78" t="s">
        <v>107</v>
      </c>
      <c r="F6" s="86" t="s">
        <v>226</v>
      </c>
      <c r="G6" s="169">
        <v>0</v>
      </c>
      <c r="H6" s="51" t="str">
        <f>IF($G6="","",IF(AND($G6&gt;=0,$G6&lt;=1427),"合格","不合格"))</f>
        <v/>
      </c>
      <c r="I6" s="82" t="s">
        <v>12</v>
      </c>
      <c r="J6" s="81"/>
    </row>
    <row r="7" spans="2:10" ht="14">
      <c r="B7" s="90"/>
      <c r="C7" s="92" t="s">
        <v>192</v>
      </c>
      <c r="D7" s="92"/>
      <c r="E7" s="78" t="s">
        <v>107</v>
      </c>
      <c r="F7" s="86" t="s">
        <v>227</v>
      </c>
      <c r="G7" s="169">
        <v>0</v>
      </c>
      <c r="H7" s="51" t="str">
        <f>IF($G7="","",IF(AND($G7&gt;=210,$G7&lt;=220),"合格","不合格"))</f>
        <v/>
      </c>
      <c r="I7" s="82" t="s">
        <v>12</v>
      </c>
      <c r="J7" s="81"/>
    </row>
    <row r="8" spans="2:10" ht="14">
      <c r="B8" s="91"/>
      <c r="C8" s="92" t="s">
        <v>193</v>
      </c>
      <c r="D8" s="92"/>
      <c r="E8" s="78" t="s">
        <v>107</v>
      </c>
      <c r="F8" s="86" t="s">
        <v>228</v>
      </c>
      <c r="G8" s="169">
        <v>0</v>
      </c>
      <c r="H8" s="51" t="str">
        <f>IF($G8="","",IF(AND($G8&gt;=190,$G8&lt;=210),"合格","不合格"))</f>
        <v/>
      </c>
      <c r="I8" s="82" t="s">
        <v>12</v>
      </c>
      <c r="J8" s="81"/>
    </row>
    <row r="9" spans="2:10" ht="14">
      <c r="B9" s="89" t="s">
        <v>194</v>
      </c>
      <c r="C9" s="78" t="s">
        <v>195</v>
      </c>
      <c r="D9" s="78" t="s">
        <v>196</v>
      </c>
      <c r="E9" s="78" t="s">
        <v>197</v>
      </c>
      <c r="F9" s="86" t="s">
        <v>229</v>
      </c>
      <c r="G9" s="169">
        <v>415.6184997558594</v>
      </c>
      <c r="H9" s="51" t="str">
        <f>IF($G9="","",IF(AND($G9&gt;=412,$G9&lt;=422),"合格","不合格"))</f>
        <v/>
      </c>
      <c r="I9" s="82" t="s">
        <v>12</v>
      </c>
      <c r="J9" s="81"/>
    </row>
    <row r="10" spans="2:10" ht="14">
      <c r="B10" s="90"/>
      <c r="C10" s="92" t="s">
        <v>198</v>
      </c>
      <c r="D10" s="78" t="s">
        <v>199</v>
      </c>
      <c r="E10" s="82" t="s">
        <v>12</v>
      </c>
      <c r="F10" s="86" t="s">
        <v>230</v>
      </c>
      <c r="G10" s="169"/>
      <c r="H10" s="51" t="str">
        <f>IF($G10="","",IF(AND($G10&gt;=0.525,$G10&lt;=0.5357),"合格","不合格"))</f>
        <v/>
      </c>
      <c r="I10" s="82" t="s">
        <v>12</v>
      </c>
      <c r="J10" s="81"/>
    </row>
    <row r="11" spans="2:10" ht="14">
      <c r="B11" s="90"/>
      <c r="C11" s="92"/>
      <c r="D11" s="78" t="s">
        <v>200</v>
      </c>
      <c r="E11" s="78" t="s">
        <v>201</v>
      </c>
      <c r="F11" s="86">
        <v>46.63</v>
      </c>
      <c r="G11" s="169"/>
      <c r="H11" s="51"/>
      <c r="I11" s="82" t="s">
        <v>12</v>
      </c>
      <c r="J11" s="81"/>
    </row>
    <row r="12" spans="2:10" ht="14">
      <c r="B12" s="90"/>
      <c r="C12" s="92"/>
      <c r="D12" s="78" t="s">
        <v>202</v>
      </c>
      <c r="E12" s="78" t="s">
        <v>15</v>
      </c>
      <c r="F12" s="86" t="s">
        <v>231</v>
      </c>
      <c r="G12" s="169">
        <v>0.4675937294960022</v>
      </c>
      <c r="H12" s="51" t="str">
        <f>IF($G12="","",IF(AND($G12&gt;=0.745,$G12&lt;=0.755),"合格","不合格"))</f>
        <v/>
      </c>
      <c r="I12" s="82" t="s">
        <v>12</v>
      </c>
      <c r="J12" s="81"/>
    </row>
    <row r="13" spans="2:10" ht="14">
      <c r="B13" s="90"/>
      <c r="C13" s="92"/>
      <c r="D13" s="78" t="s">
        <v>203</v>
      </c>
      <c r="E13" s="78" t="s">
        <v>13</v>
      </c>
      <c r="F13" s="86" t="s">
        <v>232</v>
      </c>
      <c r="G13" s="169">
        <v>92.9828109741211</v>
      </c>
      <c r="H13" s="51" t="str">
        <f>IF($G13="","",IF(AND($G13&gt;=88,$G13&lt;=92),"合格","不合格"))</f>
        <v/>
      </c>
      <c r="I13" s="82" t="s">
        <v>12</v>
      </c>
      <c r="J13" s="81"/>
    </row>
    <row r="14" spans="2:10" ht="14">
      <c r="B14" s="90"/>
      <c r="C14" s="92"/>
      <c r="D14" s="78" t="s">
        <v>204</v>
      </c>
      <c r="E14" s="78" t="s">
        <v>13</v>
      </c>
      <c r="F14" s="86" t="s">
        <v>233</v>
      </c>
      <c r="G14" s="169">
        <v>150.52804565429688</v>
      </c>
      <c r="H14" s="51" t="str">
        <f>IF($G14="","",IF(AND($G14&gt;=143,$G14&lt;=147),"合格","不合格"))</f>
        <v/>
      </c>
      <c r="I14" s="82" t="s">
        <v>12</v>
      </c>
      <c r="J14" s="81"/>
    </row>
    <row r="15" spans="2:10" ht="14">
      <c r="B15" s="90"/>
      <c r="C15" s="92"/>
      <c r="D15" s="78" t="s">
        <v>205</v>
      </c>
      <c r="E15" s="78" t="s">
        <v>13</v>
      </c>
      <c r="F15" s="86" t="s">
        <v>234</v>
      </c>
      <c r="G15" s="169">
        <v>165.41043090820312</v>
      </c>
      <c r="H15" s="51" t="str">
        <f>IF($G15="","",IF(AND($G15&gt;=166,$G15&lt;=170),"合格","不合格"))</f>
        <v/>
      </c>
      <c r="I15" s="82" t="s">
        <v>12</v>
      </c>
      <c r="J15" s="81"/>
    </row>
    <row r="16" spans="2:10" ht="14">
      <c r="B16" s="90"/>
      <c r="C16" s="92" t="s">
        <v>206</v>
      </c>
      <c r="D16" s="78" t="s">
        <v>207</v>
      </c>
      <c r="E16" s="78" t="s">
        <v>13</v>
      </c>
      <c r="F16" s="86" t="s">
        <v>235</v>
      </c>
      <c r="G16" s="169">
        <v>47.917972564697266</v>
      </c>
      <c r="H16" s="51" t="str">
        <f>IF($G16="","",IF(AND($G16&gt;=0,$G16&lt;=45),"合格","不合格"))</f>
        <v/>
      </c>
      <c r="I16" s="82" t="s">
        <v>12</v>
      </c>
      <c r="J16" s="81"/>
    </row>
    <row r="17" spans="2:10" ht="14">
      <c r="B17" s="90"/>
      <c r="C17" s="92"/>
      <c r="D17" s="78" t="s">
        <v>208</v>
      </c>
      <c r="E17" s="78" t="s">
        <v>13</v>
      </c>
      <c r="F17" s="86" t="s">
        <v>236</v>
      </c>
      <c r="G17" s="169">
        <v>19.939241409301758</v>
      </c>
      <c r="H17" s="51" t="str">
        <f>IF($G17="","",IF(AND($G17&gt;=0,$G17&lt;=20),"合格","不合格"))</f>
        <v/>
      </c>
      <c r="I17" s="82" t="s">
        <v>12</v>
      </c>
      <c r="J17" s="81"/>
    </row>
    <row r="18" spans="2:10" ht="14">
      <c r="B18" s="90"/>
      <c r="C18" s="92"/>
      <c r="D18" s="78" t="s">
        <v>209</v>
      </c>
      <c r="E18" s="78" t="s">
        <v>13</v>
      </c>
      <c r="F18" s="86" t="s">
        <v>237</v>
      </c>
      <c r="G18" s="169"/>
      <c r="H18" s="51" t="str">
        <f>IF($G18="","",IF(AND($G18&gt;=46,$G18&lt;=50),"合格","不合格"))</f>
        <v/>
      </c>
      <c r="I18" s="82" t="s">
        <v>12</v>
      </c>
      <c r="J18" s="81"/>
    </row>
    <row r="19" spans="2:10" ht="14">
      <c r="B19" s="90"/>
      <c r="C19" s="92"/>
      <c r="D19" s="78" t="s">
        <v>210</v>
      </c>
      <c r="E19" s="78" t="s">
        <v>13</v>
      </c>
      <c r="F19" s="86" t="s">
        <v>238</v>
      </c>
      <c r="G19" s="169">
        <v>25.393146514892578</v>
      </c>
      <c r="H19" s="51" t="str">
        <f>IF($G19="","",IF(AND($G19&gt;=0,$G19&lt;=20),"合格","不合格"))</f>
        <v/>
      </c>
      <c r="I19" s="82" t="s">
        <v>12</v>
      </c>
      <c r="J19" s="81"/>
    </row>
    <row r="20" spans="2:10" ht="14">
      <c r="B20" s="90"/>
      <c r="C20" s="92" t="s">
        <v>211</v>
      </c>
      <c r="D20" s="78" t="s">
        <v>21</v>
      </c>
      <c r="E20" s="78" t="s">
        <v>56</v>
      </c>
      <c r="F20" s="87" t="s">
        <v>239</v>
      </c>
      <c r="G20" s="169">
        <v>12</v>
      </c>
      <c r="H20" s="83" t="s">
        <v>212</v>
      </c>
      <c r="I20" s="82" t="s">
        <v>12</v>
      </c>
      <c r="J20" s="81"/>
    </row>
    <row r="21" spans="2:10" ht="14">
      <c r="B21" s="90"/>
      <c r="C21" s="92"/>
      <c r="D21" s="78" t="s">
        <v>213</v>
      </c>
      <c r="E21" s="78" t="s">
        <v>56</v>
      </c>
      <c r="F21" s="87" t="s">
        <v>239</v>
      </c>
      <c r="G21" s="169">
        <v>24</v>
      </c>
      <c r="H21" s="83" t="s">
        <v>212</v>
      </c>
      <c r="I21" s="82" t="s">
        <v>12</v>
      </c>
      <c r="J21" s="81"/>
    </row>
    <row r="22" spans="2:10" ht="14">
      <c r="B22" s="90"/>
      <c r="C22" s="92"/>
      <c r="D22" s="78" t="s">
        <v>31</v>
      </c>
      <c r="E22" s="82" t="s">
        <v>12</v>
      </c>
      <c r="F22" s="87" t="s">
        <v>239</v>
      </c>
      <c r="G22" s="169">
        <v>48</v>
      </c>
      <c r="H22" s="83" t="s">
        <v>212</v>
      </c>
      <c r="I22" s="82" t="s">
        <v>12</v>
      </c>
      <c r="J22" s="81"/>
    </row>
    <row r="23" spans="2:10" ht="14">
      <c r="B23" s="90"/>
      <c r="C23" s="92"/>
      <c r="D23" s="78" t="s">
        <v>214</v>
      </c>
      <c r="E23" s="78" t="s">
        <v>197</v>
      </c>
      <c r="F23" s="87" t="s">
        <v>239</v>
      </c>
      <c r="G23" s="169">
        <v>36</v>
      </c>
      <c r="H23" s="83" t="s">
        <v>212</v>
      </c>
      <c r="I23" s="82" t="s">
        <v>12</v>
      </c>
      <c r="J23" s="81"/>
    </row>
    <row r="24" spans="2:10" ht="14">
      <c r="B24" s="91"/>
      <c r="C24" s="92"/>
      <c r="D24" s="78" t="s">
        <v>215</v>
      </c>
      <c r="E24" s="78" t="s">
        <v>197</v>
      </c>
      <c r="F24" s="87" t="s">
        <v>239</v>
      </c>
      <c r="G24" s="169">
        <v>42</v>
      </c>
      <c r="H24" s="83" t="s">
        <v>212</v>
      </c>
      <c r="I24" s="82" t="s">
        <v>12</v>
      </c>
      <c r="J24" s="81"/>
    </row>
    <row r="25" spans="2:10" ht="14">
      <c r="B25" s="105" t="s">
        <v>171</v>
      </c>
      <c r="C25" s="78" t="s">
        <v>216</v>
      </c>
      <c r="D25" s="78" t="s">
        <v>217</v>
      </c>
      <c r="E25" s="78" t="s">
        <v>218</v>
      </c>
      <c r="F25" s="86" t="s">
        <v>240</v>
      </c>
      <c r="G25" s="169">
        <v>0</v>
      </c>
      <c r="H25" s="51" t="str">
        <f>IF($G25="","",IF(AND($G25&gt;=0,$G25&lt;=0.38),"合格","不合格"))</f>
        <v/>
      </c>
      <c r="I25" s="82" t="s">
        <v>12</v>
      </c>
      <c r="J25" s="81"/>
    </row>
    <row r="26" spans="2:10" ht="15.5">
      <c r="B26" s="105"/>
      <c r="C26" s="92" t="s">
        <v>219</v>
      </c>
      <c r="D26" s="78" t="s">
        <v>220</v>
      </c>
      <c r="E26" s="78" t="s">
        <v>56</v>
      </c>
      <c r="F26" s="86">
        <v>7</v>
      </c>
      <c r="G26" s="169"/>
      <c r="H26" s="170" t="str">
        <f>IF($G26="","",IF(AND($G26&gt;=0,$G26&lt;=7),"↓","↑"))</f>
        <v/>
      </c>
      <c r="I26" s="82" t="s">
        <v>12</v>
      </c>
      <c r="J26" s="81"/>
    </row>
    <row r="27" spans="2:10" ht="15.5">
      <c r="B27" s="105"/>
      <c r="C27" s="92"/>
      <c r="D27" s="78" t="s">
        <v>221</v>
      </c>
      <c r="E27" s="78" t="s">
        <v>56</v>
      </c>
      <c r="F27" s="86">
        <v>15</v>
      </c>
      <c r="G27" s="169"/>
      <c r="H27" s="170" t="str">
        <f>IF($G27="","",IF(AND($G27&gt;=0,$G27&lt;=15),"↓","↑"))</f>
        <v/>
      </c>
      <c r="I27" s="82" t="s">
        <v>12</v>
      </c>
      <c r="J27" s="81"/>
    </row>
    <row r="28" spans="2:10" ht="15.5">
      <c r="B28" s="105"/>
      <c r="C28" s="92"/>
      <c r="D28" s="78" t="s">
        <v>131</v>
      </c>
      <c r="E28" s="78" t="s">
        <v>56</v>
      </c>
      <c r="F28" s="86">
        <v>4</v>
      </c>
      <c r="G28" s="169"/>
      <c r="H28" s="170" t="str">
        <f>IF($G28="","",IF(AND($G28&gt;=0,$G28&lt;=4),"↓","↑"))</f>
        <v/>
      </c>
      <c r="I28" s="82" t="s">
        <v>12</v>
      </c>
      <c r="J28" s="81"/>
    </row>
    <row r="29" spans="2:10" ht="15.5">
      <c r="B29" s="105"/>
      <c r="C29" s="92"/>
      <c r="D29" s="78" t="s">
        <v>214</v>
      </c>
      <c r="E29" s="78" t="s">
        <v>56</v>
      </c>
      <c r="F29" s="86">
        <v>7</v>
      </c>
      <c r="G29" s="169"/>
      <c r="H29" s="170" t="str">
        <f t="shared" ref="H29:H34" si="0">IF($G29="","",IF(AND($G29&gt;=0,$G29&lt;=7),"↓","↑"))</f>
        <v/>
      </c>
      <c r="I29" s="82" t="s">
        <v>12</v>
      </c>
      <c r="J29" s="81"/>
    </row>
    <row r="30" spans="2:10" ht="15.5">
      <c r="B30" s="105"/>
      <c r="C30" s="92"/>
      <c r="D30" s="78" t="s">
        <v>215</v>
      </c>
      <c r="E30" s="78" t="s">
        <v>56</v>
      </c>
      <c r="F30" s="86">
        <v>7</v>
      </c>
      <c r="G30" s="169"/>
      <c r="H30" s="170" t="str">
        <f t="shared" si="0"/>
        <v/>
      </c>
      <c r="I30" s="82" t="s">
        <v>12</v>
      </c>
      <c r="J30" s="81"/>
    </row>
    <row r="31" spans="2:10" ht="15.5">
      <c r="B31" s="105"/>
      <c r="C31" s="92"/>
      <c r="D31" s="78" t="s">
        <v>222</v>
      </c>
      <c r="E31" s="78" t="s">
        <v>223</v>
      </c>
      <c r="F31" s="86">
        <v>10</v>
      </c>
      <c r="G31" s="169"/>
      <c r="H31" s="170" t="str">
        <f>IF($G31="","",IF(AND($G31&gt;=0,$G31&lt;=10),"↓","↑"))</f>
        <v/>
      </c>
      <c r="I31" s="82" t="s">
        <v>12</v>
      </c>
      <c r="J31" s="81"/>
    </row>
    <row r="32" spans="2:10" ht="16" thickBot="1">
      <c r="B32" s="89"/>
      <c r="C32" s="106"/>
      <c r="D32" s="85" t="s">
        <v>224</v>
      </c>
      <c r="E32" s="85" t="s">
        <v>56</v>
      </c>
      <c r="F32" s="88">
        <v>50</v>
      </c>
      <c r="G32" s="171"/>
      <c r="H32" s="170" t="str">
        <f>IF($G32="","",IF(AND($G32&gt;=0,$G32&lt;=50),"↓","↑"))</f>
        <v/>
      </c>
      <c r="I32" s="82" t="s">
        <v>12</v>
      </c>
      <c r="J32" s="84"/>
    </row>
    <row r="33" spans="2:10" ht="14">
      <c r="B33" s="93" t="s">
        <v>225</v>
      </c>
      <c r="C33" s="96"/>
      <c r="D33" s="97"/>
      <c r="E33" s="97"/>
      <c r="F33" s="97"/>
      <c r="G33" s="97"/>
      <c r="H33" s="97"/>
      <c r="I33" s="97"/>
      <c r="J33" s="98"/>
    </row>
    <row r="34" spans="2:10" ht="14">
      <c r="B34" s="94"/>
      <c r="C34" s="99"/>
      <c r="D34" s="100"/>
      <c r="E34" s="100"/>
      <c r="F34" s="100"/>
      <c r="G34" s="100"/>
      <c r="H34" s="100"/>
      <c r="I34" s="100"/>
      <c r="J34" s="101"/>
    </row>
    <row r="35" spans="2:10" ht="14.5" thickBot="1">
      <c r="B35" s="95"/>
      <c r="C35" s="102"/>
      <c r="D35" s="103"/>
      <c r="E35" s="103"/>
      <c r="F35" s="103"/>
      <c r="G35" s="103"/>
      <c r="H35" s="103"/>
      <c r="I35" s="103"/>
      <c r="J35" s="104"/>
    </row>
  </sheetData>
  <sheetCalcPr fullCalcOnLoad="1"/>
  <mergeCells count="17">
    <mergeCell ref="B4:D4"/>
    <mergeCell ref="C5:D5"/>
    <mergeCell ref="B2:J2"/>
    <mergeCell ref="H3:J3"/>
    <mergeCell ref="H4:I4"/>
    <mergeCell ref="B6:B8"/>
    <mergeCell ref="C6:D6"/>
    <mergeCell ref="C7:D7"/>
    <mergeCell ref="C8:D8"/>
    <mergeCell ref="B33:B35"/>
    <mergeCell ref="B9:B24"/>
    <mergeCell ref="C10:C15"/>
    <mergeCell ref="C16:C19"/>
    <mergeCell ref="C20:C24"/>
    <mergeCell ref="B25:B32"/>
    <mergeCell ref="C26:C32"/>
    <mergeCell ref="C33:J35"/>
  </mergeCells>
  <phoneticPr fontId="1" type="noConversion"/>
  <conditionalFormatting sqref="H5">
    <cfRule type="cellIs" dxfId="10" priority="5" aboveAverage="1" operator="equal">
      <formula>0</formula>
    </cfRule>
    <cfRule type="cellIs" dxfId="9" priority="6" aboveAverage="1" operator="lessThan">
      <formula>0</formula>
    </cfRule>
    <cfRule type="cellIs" dxfId="8" priority="7" aboveAverage="1" operator="greaterThan">
      <formula>0</formula>
    </cfRule>
  </conditionalFormatting>
  <conditionalFormatting sqref="H6:H19">
    <cfRule type="cellIs" dxfId="7" priority="8" aboveAverage="1" operator="equal">
      <formula>"合格"</formula>
    </cfRule>
    <cfRule type="cellIs" dxfId="6" priority="9" aboveAverage="1" operator="equal">
      <formula>"不合格"</formula>
    </cfRule>
    <cfRule type="containsText" dxfId="5" priority="10" aboveAverage="1" operator="containsText" text="不合格">
      <formula>NOT(ISERROR(SEARCH("不合格",H6)))</formula>
    </cfRule>
    <cfRule type="cellIs" dxfId="4" priority="11" aboveAverage="1" operator="equal">
      <formula>"合格"</formula>
    </cfRule>
  </conditionalFormatting>
  <conditionalFormatting sqref="H25:H32">
    <cfRule type="cellIs" dxfId="3" priority="1" aboveAverage="1" operator="equal">
      <formula>"合格"</formula>
    </cfRule>
    <cfRule type="cellIs" dxfId="2" priority="2" aboveAverage="1" operator="equal">
      <formula>"不合格"</formula>
    </cfRule>
    <cfRule type="containsText" dxfId="1" priority="3" aboveAverage="1" operator="containsText" text="不合格">
      <formula>NOT(ISERROR(SEARCH("不合格",H25)))</formula>
    </cfRule>
    <cfRule type="cellIs" dxfId="0" priority="4" aboveAverage="1" operator="equal">
      <formula>"合格"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L12"/>
  <sheetViews>
    <sheetView workbookViewId="0">
      <selection activeCell="C6" sqref="C6:K6"/>
    </sheetView>
  </sheetViews>
  <sheetFormatPr defaultColWidth="9" defaultRowHeight="13"/>
  <cols>
    <col min="1" max="1" width="1.58203125" style="2" customWidth="1"/>
    <col min="2" max="10" width="9" style="2"/>
  </cols>
  <sheetData>
    <row r="2" spans="2:11" ht="27.75" customHeight="1">
      <c r="B2" s="118" t="s">
        <v>173</v>
      </c>
      <c r="C2" s="118"/>
      <c r="D2" s="118"/>
      <c r="E2" s="118"/>
      <c r="F2" s="118"/>
      <c r="G2" s="118"/>
      <c r="H2" s="118"/>
      <c r="I2" s="118"/>
      <c r="J2" s="118"/>
      <c r="K2" s="118"/>
    </row>
    <row r="3" spans="2:11" ht="15" customHeight="1">
      <c r="B3" s="116"/>
      <c r="C3" s="117"/>
      <c r="D3" s="117"/>
      <c r="E3" s="117"/>
      <c r="F3" s="117"/>
      <c r="G3" s="117"/>
      <c r="H3" s="117"/>
      <c r="I3" s="117"/>
      <c r="J3" s="117"/>
      <c r="K3" s="117"/>
    </row>
    <row r="4" spans="2:11" ht="30" customHeight="1">
      <c r="B4" s="10" t="s">
        <v>16</v>
      </c>
      <c r="C4" s="11" t="s">
        <v>7</v>
      </c>
      <c r="D4" s="11" t="s">
        <v>8</v>
      </c>
      <c r="E4" s="11" t="s">
        <v>3</v>
      </c>
      <c r="F4" s="11" t="s">
        <v>9</v>
      </c>
      <c r="G4" s="11" t="s">
        <v>4</v>
      </c>
      <c r="H4" s="11" t="s">
        <v>2</v>
      </c>
      <c r="I4" s="11" t="s">
        <v>6</v>
      </c>
      <c r="J4" s="12" t="s">
        <v>20</v>
      </c>
      <c r="K4" s="12" t="s">
        <v>5</v>
      </c>
    </row>
    <row r="5" spans="2:11" ht="25" customHeight="1">
      <c r="B5" s="56" t="s">
        <v>241</v>
      </c>
      <c r="C5" s="57" t="s">
        <v>11</v>
      </c>
      <c r="D5" s="57" t="s">
        <v>10</v>
      </c>
      <c r="E5" s="57" t="s">
        <v>10</v>
      </c>
      <c r="F5" s="57" t="s">
        <v>12</v>
      </c>
      <c r="G5" s="57" t="s">
        <v>15</v>
      </c>
      <c r="H5" s="57" t="s">
        <v>13</v>
      </c>
      <c r="I5" s="57" t="s">
        <v>13</v>
      </c>
      <c r="J5" s="9" t="s">
        <v>14</v>
      </c>
      <c r="K5" s="9" t="s">
        <v>13</v>
      </c>
    </row>
    <row r="6" spans="2:11" ht="25" customHeight="1">
      <c r="B6" s="13" t="s">
        <v>0</v>
      </c>
      <c r="C6" s="20">
        <v>21.7</v>
      </c>
      <c r="D6" s="20">
        <v>1.93</v>
      </c>
      <c r="E6" s="20">
        <v>0.33</v>
      </c>
      <c r="F6" s="20">
        <v>0.51500000000000001</v>
      </c>
      <c r="G6" s="20">
        <v>1.2</v>
      </c>
      <c r="H6" s="20">
        <v>170</v>
      </c>
      <c r="I6" s="20">
        <v>183</v>
      </c>
      <c r="J6" s="20">
        <v>1</v>
      </c>
      <c r="K6" s="20">
        <v>150</v>
      </c>
    </row>
    <row r="7" spans="2:11" ht="25" customHeight="1">
      <c r="B7" s="4" t="s">
        <v>17</v>
      </c>
      <c r="C7" s="5"/>
      <c r="D7" s="5"/>
      <c r="E7" s="5"/>
      <c r="F7" s="14"/>
      <c r="G7" s="5"/>
      <c r="H7" s="16"/>
      <c r="I7" s="5"/>
      <c r="J7" s="18"/>
      <c r="K7" s="18"/>
    </row>
    <row r="8" spans="2:11" ht="25" customHeight="1">
      <c r="B8" s="4" t="s">
        <v>18</v>
      </c>
      <c r="C8" s="5">
        <v>0</v>
      </c>
      <c r="D8" s="5">
        <v>2.889244556427002</v>
      </c>
      <c r="E8" s="5">
        <v>0.35962551832199097</v>
      </c>
      <c r="F8" s="14">
        <v>0.5598268508911133</v>
      </c>
      <c r="G8" s="5">
        <v>0.8581018447875977</v>
      </c>
      <c r="H8" s="16">
        <v>150.42137145996094</v>
      </c>
      <c r="I8" s="5">
        <v>165.30128479003906</v>
      </c>
      <c r="J8" s="18"/>
      <c r="K8" s="18"/>
    </row>
    <row r="9" spans="2:11" ht="25" customHeight="1">
      <c r="B9" s="7" t="s">
        <v>19</v>
      </c>
      <c r="C9" s="8">
        <v>0</v>
      </c>
      <c r="D9" s="8">
        <v>2.931260824203491</v>
      </c>
      <c r="E9" s="8">
        <v>0.35979440808296204</v>
      </c>
      <c r="F9" s="15">
        <v>0.560134768486023</v>
      </c>
      <c r="G9" s="8">
        <v>0.8577095866203308</v>
      </c>
      <c r="H9" s="17">
        <v>150.52804565429688</v>
      </c>
      <c r="I9" s="8">
        <v>165.41043090820312</v>
      </c>
      <c r="J9" s="19"/>
      <c r="K9" s="19"/>
    </row>
    <row r="10" spans="2:11" ht="20.15" customHeight="1"/>
    <row r="11" spans="2:11" ht="20.15" customHeight="1"/>
    <row r="12" spans="2:11" ht="20.15" customHeight="1"/>
  </sheetData>
  <mergeCells count="2">
    <mergeCell ref="B3:K3"/>
    <mergeCell ref="B2:K2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9"/>
  <sheetViews>
    <sheetView zoomScaleNormal="100" zoomScaleSheetLayoutView="130" workbookViewId="0">
      <selection activeCell="C5" sqref="C5"/>
    </sheetView>
  </sheetViews>
  <sheetFormatPr defaultColWidth="9" defaultRowHeight="13"/>
  <cols>
    <col min="1" max="1" width="3" style="2" customWidth="1"/>
    <col min="2" max="7" width="11.25" style="2" customWidth="1"/>
    <col min="8" max="8" width="3.83203125" style="2" customWidth="1"/>
  </cols>
  <sheetData>
    <row r="2" spans="2:7" ht="17.5">
      <c r="B2" s="119" t="s">
        <v>172</v>
      </c>
      <c r="C2" s="120"/>
      <c r="D2" s="120"/>
      <c r="E2" s="120"/>
      <c r="F2" s="120"/>
      <c r="G2" s="121"/>
    </row>
    <row r="3" spans="2:7" ht="25.25" customHeight="1">
      <c r="B3" s="3" t="s">
        <v>30</v>
      </c>
      <c r="C3" s="122" t="s">
        <v>26</v>
      </c>
      <c r="D3" s="123"/>
      <c r="E3" s="124" t="s">
        <v>27</v>
      </c>
      <c r="F3" s="125"/>
      <c r="G3" s="48" t="s">
        <v>31</v>
      </c>
    </row>
    <row r="4" spans="2:7" ht="26">
      <c r="B4" s="53"/>
      <c r="C4" s="54" t="s">
        <v>24</v>
      </c>
      <c r="D4" s="54" t="s">
        <v>25</v>
      </c>
      <c r="E4" s="54" t="s">
        <v>28</v>
      </c>
      <c r="F4" s="54" t="s">
        <v>29</v>
      </c>
      <c r="G4" s="49" t="s">
        <v>32</v>
      </c>
    </row>
    <row r="5" spans="2:7" ht="16.5" customHeight="1">
      <c r="B5" s="55" t="s">
        <v>241</v>
      </c>
      <c r="C5" s="20">
        <v>33.1</v>
      </c>
      <c r="D5" s="20">
        <v>29.1</v>
      </c>
      <c r="E5" s="20">
        <v>1.6</v>
      </c>
      <c r="F5" s="20">
        <v>17.600000000000001</v>
      </c>
      <c r="G5" s="20">
        <v>6.28</v>
      </c>
    </row>
    <row r="6" spans="2:7" ht="16.5" customHeight="1">
      <c r="B6" s="3" t="s">
        <v>34</v>
      </c>
      <c r="C6" s="25"/>
      <c r="D6" s="25"/>
      <c r="E6" s="25"/>
      <c r="F6" s="25"/>
      <c r="G6" s="28"/>
    </row>
    <row r="7" spans="2:7" ht="16.5" customHeight="1">
      <c r="B7" s="3" t="s">
        <v>35</v>
      </c>
      <c r="C7" s="25">
        <v>12</v>
      </c>
      <c r="D7" s="25">
        <v>18</v>
      </c>
      <c r="E7" s="25">
        <v>24</v>
      </c>
      <c r="F7" s="25">
        <v>30</v>
      </c>
      <c r="G7" s="28">
        <v>48</v>
      </c>
    </row>
    <row r="8" spans="2:7" ht="16.5" customHeight="1">
      <c r="B8" s="3" t="s">
        <v>164</v>
      </c>
      <c r="C8" s="25">
        <v>12</v>
      </c>
      <c r="D8" s="25">
        <v>18</v>
      </c>
      <c r="E8" s="25">
        <v>24</v>
      </c>
      <c r="F8" s="25">
        <v>30</v>
      </c>
      <c r="G8" s="28">
        <v>48</v>
      </c>
    </row>
    <row r="9" spans="2:7" ht="16.5" customHeight="1">
      <c r="B9" s="48" t="s">
        <v>36</v>
      </c>
      <c r="C9" s="28">
        <f>C7-C6</f>
        <v>0</v>
      </c>
      <c r="D9" s="28">
        <f>D7-D6</f>
        <v>0</v>
      </c>
      <c r="E9" s="28">
        <f>E7-E6</f>
        <v>0</v>
      </c>
      <c r="F9" s="28">
        <f>F7-F6</f>
        <v>0</v>
      </c>
      <c r="G9" s="28">
        <f>G7-G6</f>
        <v>0</v>
      </c>
    </row>
  </sheetData>
  <mergeCells count="3">
    <mergeCell ref="B2:G2"/>
    <mergeCell ref="C3:D3"/>
    <mergeCell ref="E3:F3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12"/>
  <sheetViews>
    <sheetView workbookViewId="0">
      <selection activeCell="K6" sqref="K6"/>
    </sheetView>
  </sheetViews>
  <sheetFormatPr defaultColWidth="9" defaultRowHeight="17.15" customHeight="1"/>
  <cols>
    <col min="1" max="1" width="2.33203125" style="2" customWidth="1"/>
    <col min="2" max="2" width="9.1640625" style="2" bestFit="1" customWidth="1"/>
    <col min="3" max="9" width="10.75" style="2" customWidth="1"/>
  </cols>
  <sheetData>
    <row r="2" spans="2:9" ht="17.15" customHeight="1">
      <c r="B2" s="129" t="s">
        <v>174</v>
      </c>
      <c r="C2" s="129"/>
      <c r="D2" s="129"/>
      <c r="E2" s="129"/>
      <c r="F2" s="129"/>
      <c r="G2" s="129"/>
      <c r="H2" s="129"/>
      <c r="I2" s="129"/>
    </row>
    <row r="3" spans="2:9" ht="17.15" customHeight="1">
      <c r="B3" s="116"/>
      <c r="C3" s="117"/>
      <c r="D3" s="117"/>
      <c r="E3" s="117"/>
      <c r="F3" s="117"/>
      <c r="G3" s="117"/>
      <c r="H3" s="117"/>
      <c r="I3" s="117"/>
    </row>
    <row r="4" spans="2:9" ht="17.15" customHeight="1">
      <c r="B4" s="29" t="s">
        <v>39</v>
      </c>
      <c r="C4" s="30" t="s">
        <v>38</v>
      </c>
      <c r="D4" s="30" t="s">
        <v>41</v>
      </c>
      <c r="E4" s="30" t="s">
        <v>42</v>
      </c>
      <c r="F4" s="30" t="s">
        <v>43</v>
      </c>
      <c r="G4" s="30" t="s">
        <v>44</v>
      </c>
      <c r="H4" s="30" t="s">
        <v>48</v>
      </c>
      <c r="I4" s="31" t="s">
        <v>49</v>
      </c>
    </row>
    <row r="5" spans="2:9" ht="17.15" customHeight="1">
      <c r="B5" s="4" t="s">
        <v>40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12</v>
      </c>
      <c r="H5" s="5" t="s">
        <v>15</v>
      </c>
      <c r="I5" s="6" t="s">
        <v>13</v>
      </c>
    </row>
    <row r="6" spans="2:9" ht="17.15" customHeight="1">
      <c r="B6" s="13" t="s">
        <v>45</v>
      </c>
      <c r="C6" s="20" t="s">
        <v>51</v>
      </c>
      <c r="D6" s="20" t="s">
        <v>52</v>
      </c>
      <c r="E6" s="20" t="s">
        <v>53</v>
      </c>
      <c r="F6" s="20" t="s">
        <v>54</v>
      </c>
      <c r="G6" s="20">
        <v>9.5</v>
      </c>
      <c r="H6" s="20" t="s">
        <v>12</v>
      </c>
      <c r="I6" s="37" t="s">
        <v>12</v>
      </c>
    </row>
    <row r="7" spans="2:9" ht="17.15" customHeight="1">
      <c r="B7" s="4" t="s">
        <v>46</v>
      </c>
      <c r="C7" s="5"/>
      <c r="D7" s="5"/>
      <c r="E7" s="5"/>
      <c r="F7" s="5"/>
      <c r="G7" s="5"/>
      <c r="H7" s="5"/>
      <c r="I7" s="6"/>
    </row>
    <row r="8" spans="2:9" ht="17.15" customHeight="1">
      <c r="B8" s="4" t="s">
        <v>34</v>
      </c>
      <c r="C8" s="5"/>
      <c r="D8" s="5"/>
      <c r="E8" s="5"/>
      <c r="F8" s="5"/>
      <c r="G8" s="5"/>
      <c r="H8" s="5">
        <v>-66.943359375</v>
      </c>
      <c r="I8" s="6">
        <v>45.85210037231445</v>
      </c>
    </row>
    <row r="9" spans="2:9" ht="17.15" customHeight="1">
      <c r="B9" s="4" t="s">
        <v>35</v>
      </c>
      <c r="C9" s="5">
        <v>18</v>
      </c>
      <c r="D9" s="5">
        <v>24</v>
      </c>
      <c r="E9" s="5">
        <v>30</v>
      </c>
      <c r="F9" s="5">
        <v>36</v>
      </c>
      <c r="G9" s="5">
        <v>42</v>
      </c>
      <c r="H9" s="5">
        <v>-70.75489044189453</v>
      </c>
      <c r="I9" s="6">
        <v>46.68205261230469</v>
      </c>
    </row>
    <row r="10" spans="2:9" ht="17.15" customHeight="1">
      <c r="B10" s="33" t="s">
        <v>47</v>
      </c>
      <c r="C10" s="34">
        <v>41118</v>
      </c>
      <c r="D10" s="34">
        <v>1104</v>
      </c>
      <c r="E10" s="34">
        <v>3571</v>
      </c>
      <c r="F10" s="34">
        <v>80</v>
      </c>
      <c r="G10" s="34">
        <v>9.36</v>
      </c>
      <c r="H10" s="35" t="s">
        <v>12</v>
      </c>
      <c r="I10" s="36" t="s">
        <v>12</v>
      </c>
    </row>
    <row r="11" spans="2:9" ht="17.15" customHeight="1">
      <c r="B11" s="126" t="s">
        <v>50</v>
      </c>
      <c r="C11" s="127"/>
      <c r="D11" s="127"/>
      <c r="E11" s="127"/>
      <c r="F11" s="127"/>
      <c r="G11" s="127"/>
      <c r="H11" s="127"/>
      <c r="I11" s="128"/>
    </row>
    <row r="12" spans="2:9" ht="17.15" customHeight="1">
      <c r="B12" s="1"/>
      <c r="C12" s="1"/>
      <c r="D12" s="1"/>
      <c r="E12" s="1"/>
      <c r="F12" s="1"/>
      <c r="G12" s="1"/>
    </row>
  </sheetData>
  <mergeCells count="3">
    <mergeCell ref="B3:I3"/>
    <mergeCell ref="B11:I11"/>
    <mergeCell ref="B2:I2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8"/>
  <sheetViews>
    <sheetView zoomScale="115" zoomScaleNormal="115" workbookViewId="0">
      <selection activeCell="M8" sqref="M8"/>
    </sheetView>
  </sheetViews>
  <sheetFormatPr defaultColWidth="9" defaultRowHeight="13"/>
  <cols>
    <col min="1" max="1" width="2.25" style="2" customWidth="1"/>
    <col min="2" max="3" width="9.4140625" style="2" bestFit="1" customWidth="1"/>
    <col min="4" max="5" width="7.83203125" style="2" bestFit="1" customWidth="1"/>
    <col min="6" max="7" width="9.4140625" style="2" bestFit="1" customWidth="1"/>
    <col min="8" max="9" width="7.83203125" style="2" bestFit="1" customWidth="1"/>
    <col min="10" max="10" width="9.4140625" style="2" bestFit="1" customWidth="1"/>
  </cols>
  <sheetData>
    <row r="2" spans="2:10" ht="30" customHeight="1">
      <c r="B2" s="131" t="s">
        <v>175</v>
      </c>
      <c r="C2" s="131"/>
      <c r="D2" s="131"/>
      <c r="E2" s="131"/>
      <c r="F2" s="131"/>
      <c r="G2" s="131"/>
      <c r="H2" s="131"/>
      <c r="I2" s="131"/>
      <c r="J2" s="131"/>
    </row>
    <row r="3" spans="2:10" ht="15" customHeight="1">
      <c r="B3" s="131"/>
      <c r="C3" s="131"/>
      <c r="D3" s="131"/>
      <c r="E3" s="131"/>
      <c r="F3" s="131"/>
      <c r="G3" s="131"/>
      <c r="H3" s="131"/>
      <c r="I3" s="131"/>
      <c r="J3" s="131"/>
    </row>
    <row r="4" spans="2:10" ht="25" customHeight="1">
      <c r="B4" s="130" t="s">
        <v>55</v>
      </c>
      <c r="C4" s="130" t="s">
        <v>165</v>
      </c>
      <c r="D4" s="130"/>
      <c r="E4" s="130"/>
      <c r="F4" s="130"/>
      <c r="G4" s="130" t="s">
        <v>166</v>
      </c>
      <c r="H4" s="130"/>
      <c r="I4" s="130"/>
      <c r="J4" s="130"/>
    </row>
    <row r="5" spans="2:10" ht="25" customHeight="1">
      <c r="B5" s="130"/>
      <c r="C5" s="48" t="s">
        <v>21</v>
      </c>
      <c r="D5" s="48" t="s">
        <v>57</v>
      </c>
      <c r="E5" s="48" t="s">
        <v>58</v>
      </c>
      <c r="F5" s="48" t="s">
        <v>59</v>
      </c>
      <c r="G5" s="48" t="s">
        <v>21</v>
      </c>
      <c r="H5" s="48" t="s">
        <v>57</v>
      </c>
      <c r="I5" s="48" t="s">
        <v>58</v>
      </c>
      <c r="J5" s="48" t="s">
        <v>59</v>
      </c>
    </row>
    <row r="6" spans="2:10" ht="25" customHeight="1">
      <c r="B6" s="130"/>
      <c r="C6" s="48">
        <v>21.08304214477539</v>
      </c>
      <c r="D6" s="48">
        <v>22.97793197631836</v>
      </c>
      <c r="E6" s="48" t="s">
        <v>56</v>
      </c>
      <c r="F6" s="48" t="s">
        <v>56</v>
      </c>
      <c r="G6" s="48">
        <v>31.074913024902344</v>
      </c>
      <c r="H6" s="48">
        <v>33.0720100402832</v>
      </c>
      <c r="I6" s="48" t="s">
        <v>56</v>
      </c>
      <c r="J6" s="48" t="s">
        <v>56</v>
      </c>
    </row>
    <row r="7" spans="2:10" ht="25" customHeight="1">
      <c r="B7" s="58" t="s">
        <v>60</v>
      </c>
      <c r="C7" s="48"/>
      <c r="D7" s="48"/>
      <c r="E7" s="48"/>
      <c r="F7" s="48"/>
      <c r="G7" s="48"/>
      <c r="H7" s="48"/>
      <c r="I7" s="48"/>
      <c r="J7" s="48"/>
    </row>
    <row r="8" spans="2:10" ht="25" customHeight="1">
      <c r="B8" s="48" t="s">
        <v>64</v>
      </c>
      <c r="C8" s="48">
        <v>92.5</v>
      </c>
      <c r="D8" s="48">
        <v>4</v>
      </c>
      <c r="E8" s="48"/>
      <c r="F8" s="48"/>
      <c r="G8" s="48">
        <v>95.5</v>
      </c>
      <c r="H8" s="48">
        <v>95</v>
      </c>
      <c r="I8" s="48"/>
      <c r="J8" s="48"/>
    </row>
    <row r="9" spans="2:10" ht="25" customHeight="1">
      <c r="B9" s="48" t="s">
        <v>167</v>
      </c>
      <c r="C9" s="48"/>
      <c r="D9" s="48"/>
      <c r="E9" s="48"/>
      <c r="F9" s="48"/>
      <c r="G9" s="48"/>
      <c r="H9" s="48"/>
      <c r="I9" s="48"/>
      <c r="J9" s="48"/>
    </row>
    <row r="10" spans="2:10" ht="25" customHeight="1"/>
    <row r="11" spans="2:10" ht="25" customHeight="1"/>
    <row r="17" ht="14.15" customHeight="1"/>
    <row r="18" ht="14.15" customHeight="1"/>
  </sheetData>
  <mergeCells count="4">
    <mergeCell ref="C4:F4"/>
    <mergeCell ref="G4:J4"/>
    <mergeCell ref="B4:B6"/>
    <mergeCell ref="B2:J3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11"/>
  <sheetViews>
    <sheetView zoomScale="70" zoomScaleNormal="70" workbookViewId="0">
      <selection activeCell="J6" sqref="J6"/>
    </sheetView>
  </sheetViews>
  <sheetFormatPr defaultColWidth="9" defaultRowHeight="14"/>
  <cols>
    <col min="1" max="1" width="2.58203125" style="1" customWidth="1"/>
    <col min="2" max="2" width="9" style="1"/>
    <col min="3" max="4" width="40.08203125" style="1" bestFit="1" customWidth="1"/>
    <col min="5" max="5" width="9.58203125" style="1" bestFit="1" customWidth="1"/>
    <col min="6" max="6" width="6.83203125" style="1" bestFit="1" customWidth="1"/>
    <col min="7" max="7" width="12.58203125" style="1" customWidth="1"/>
    <col min="8" max="22" width="9" style="1"/>
    <col min="23" max="23" width="8.6640625" style="1" bestFit="1" customWidth="1"/>
  </cols>
  <sheetData>
    <row r="2" spans="2:6" ht="30" customHeight="1">
      <c r="B2" s="134" t="s">
        <v>176</v>
      </c>
      <c r="C2" s="135"/>
      <c r="D2" s="135"/>
      <c r="E2" s="135"/>
      <c r="F2" s="136"/>
    </row>
    <row r="3" spans="2:6" ht="15" customHeight="1">
      <c r="B3" s="137"/>
      <c r="C3" s="138"/>
      <c r="D3" s="138"/>
      <c r="E3" s="138"/>
      <c r="F3" s="139"/>
    </row>
    <row r="4" spans="2:6" ht="25" customHeight="1">
      <c r="B4" s="133" t="s">
        <v>16</v>
      </c>
      <c r="C4" s="59" t="s">
        <v>61</v>
      </c>
      <c r="D4" s="59" t="s">
        <v>23</v>
      </c>
      <c r="E4" s="59" t="s">
        <v>36</v>
      </c>
      <c r="F4" s="133" t="s">
        <v>62</v>
      </c>
    </row>
    <row r="5" spans="2:6" ht="25" customHeight="1">
      <c r="B5" s="133"/>
      <c r="C5" s="59" t="s">
        <v>56</v>
      </c>
      <c r="D5" s="59" t="s">
        <v>56</v>
      </c>
      <c r="E5" s="59" t="s">
        <v>56</v>
      </c>
      <c r="F5" s="133"/>
    </row>
    <row r="6" spans="2:6" ht="25" customHeight="1">
      <c r="B6" s="59" t="s">
        <v>63</v>
      </c>
      <c r="C6" s="59"/>
      <c r="D6" s="59"/>
      <c r="E6" s="59">
        <f>C6-D6</f>
        <v>0</v>
      </c>
      <c r="F6" s="59"/>
    </row>
    <row r="7" spans="2:6" ht="25" customHeight="1">
      <c r="B7" s="59" t="s">
        <v>64</v>
      </c>
      <c r="C7" s="59">
        <v>94.66666412353516</v>
      </c>
      <c r="D7" s="59">
        <v>51.66666793823242</v>
      </c>
      <c r="E7" s="59">
        <f>C7-D7</f>
        <v>0</v>
      </c>
      <c r="F7" s="59"/>
    </row>
    <row r="8" spans="2:6" ht="25" customHeight="1">
      <c r="B8" s="60" t="s">
        <v>65</v>
      </c>
      <c r="C8" s="60">
        <v>94.66666412353516</v>
      </c>
      <c r="D8" s="60">
        <v>51.66666793823242</v>
      </c>
      <c r="E8" s="60">
        <f>C8-D8</f>
        <v>0</v>
      </c>
      <c r="F8" s="60"/>
    </row>
    <row r="11" spans="2:6">
      <c r="D11" s="132"/>
      <c r="E11" s="132"/>
      <c r="F11" s="132"/>
    </row>
  </sheetData>
  <mergeCells count="4">
    <mergeCell ref="D11:F11"/>
    <mergeCell ref="B4:B5"/>
    <mergeCell ref="F4:F5"/>
    <mergeCell ref="B2:F3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Q7"/>
  <sheetViews>
    <sheetView workbookViewId="0">
      <selection activeCell="R29" sqref="R29"/>
    </sheetView>
  </sheetViews>
  <sheetFormatPr defaultColWidth="9" defaultRowHeight="13"/>
  <cols>
    <col min="1" max="1" width="2" style="2" customWidth="1"/>
    <col min="2" max="2" width="16.1640625" style="2" customWidth="1"/>
    <col min="3" max="3" width="15.6640625" style="2" bestFit="1" customWidth="1"/>
    <col min="4" max="14" width="6.58203125" style="2" customWidth="1"/>
    <col min="15" max="16" width="7.58203125" style="2" customWidth="1"/>
  </cols>
  <sheetData>
    <row r="2" spans="2:16" ht="30" customHeight="1">
      <c r="B2" s="129" t="s">
        <v>177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</row>
    <row r="3" spans="2:16" ht="15" customHeight="1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</row>
    <row r="4" spans="2:16" ht="60" customHeight="1">
      <c r="B4" s="44" t="s">
        <v>66</v>
      </c>
      <c r="C4" s="22" t="s">
        <v>67</v>
      </c>
      <c r="D4" s="22" t="s">
        <v>68</v>
      </c>
      <c r="E4" s="22" t="s">
        <v>69</v>
      </c>
      <c r="F4" s="22" t="s">
        <v>70</v>
      </c>
      <c r="G4" s="22" t="s">
        <v>71</v>
      </c>
      <c r="H4" s="22" t="s">
        <v>72</v>
      </c>
      <c r="I4" s="22" t="s">
        <v>73</v>
      </c>
      <c r="J4" s="22" t="s">
        <v>74</v>
      </c>
      <c r="K4" s="22" t="s">
        <v>75</v>
      </c>
      <c r="L4" s="22" t="s">
        <v>76</v>
      </c>
      <c r="M4" s="22" t="s">
        <v>77</v>
      </c>
      <c r="N4" s="22" t="s">
        <v>78</v>
      </c>
      <c r="O4" s="22" t="s">
        <v>34</v>
      </c>
      <c r="P4" s="23" t="s">
        <v>35</v>
      </c>
    </row>
    <row r="5" spans="2:16" ht="60" customHeight="1">
      <c r="B5" s="61" t="s">
        <v>79</v>
      </c>
      <c r="C5" s="25">
        <v>26.80645179748535</v>
      </c>
      <c r="D5" s="25">
        <v>26.806455612182617</v>
      </c>
      <c r="E5" s="25">
        <v>26.806455612182617</v>
      </c>
      <c r="F5" s="25">
        <v>94.66666412353516</v>
      </c>
      <c r="G5" s="25">
        <v>94.66666412353516</v>
      </c>
      <c r="H5" s="25"/>
      <c r="I5" s="25"/>
      <c r="J5" s="25"/>
      <c r="K5" s="25"/>
      <c r="L5" s="25"/>
      <c r="M5" s="25"/>
      <c r="N5" s="25"/>
      <c r="O5" s="25">
        <v>94.66666412353516</v>
      </c>
      <c r="P5" s="26">
        <v>94.66666412353516</v>
      </c>
    </row>
    <row r="6" spans="2:16" ht="60" customHeight="1">
      <c r="B6" s="62" t="s">
        <v>80</v>
      </c>
      <c r="C6" s="45">
        <v>620</v>
      </c>
      <c r="D6" s="45">
        <v>620</v>
      </c>
      <c r="E6" s="45">
        <v>615.2307739257812</v>
      </c>
      <c r="F6" s="45">
        <v>900</v>
      </c>
      <c r="G6" s="45">
        <v>900</v>
      </c>
      <c r="H6" s="45"/>
      <c r="I6" s="45"/>
      <c r="J6" s="45"/>
      <c r="K6" s="45"/>
      <c r="L6" s="45"/>
      <c r="M6" s="45"/>
      <c r="N6" s="45"/>
      <c r="O6" s="45">
        <v>900</v>
      </c>
      <c r="P6" s="46">
        <v>900</v>
      </c>
    </row>
    <row r="7" spans="2:16" ht="25" customHeight="1"/>
  </sheetData>
  <mergeCells count="1">
    <mergeCell ref="B2:P3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N25"/>
  <sheetViews>
    <sheetView zoomScale="85" zoomScaleNormal="85" workbookViewId="0">
      <selection activeCell="R29" sqref="R29"/>
    </sheetView>
  </sheetViews>
  <sheetFormatPr defaultColWidth="9" defaultRowHeight="13"/>
  <cols>
    <col min="1" max="1" width="1.83203125" style="2" customWidth="1"/>
    <col min="2" max="2" width="10.58203125" style="2" customWidth="1"/>
    <col min="3" max="3" width="9" style="2"/>
    <col min="4" max="4" width="15.9140625" style="2" bestFit="1" customWidth="1"/>
    <col min="5" max="12" width="9" style="2"/>
  </cols>
  <sheetData>
    <row r="2" spans="2:13" ht="30" customHeight="1">
      <c r="B2" s="131" t="s">
        <v>178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2:13" ht="30" customHeight="1">
      <c r="B3" s="130" t="s">
        <v>133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</row>
    <row r="4" spans="2:13" ht="10" customHeight="1">
      <c r="B4" s="142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</row>
    <row r="5" spans="2:13" ht="20.15" customHeight="1">
      <c r="B5" s="130" t="s">
        <v>117</v>
      </c>
      <c r="C5" s="144"/>
      <c r="D5" s="51" t="s">
        <v>241</v>
      </c>
      <c r="E5" s="51" t="s">
        <v>243</v>
      </c>
      <c r="F5" s="51" t="s">
        <v>244</v>
      </c>
      <c r="G5" s="51" t="s">
        <v>245</v>
      </c>
      <c r="H5" s="51" t="s">
        <v>246</v>
      </c>
      <c r="I5" s="51" t="s">
        <v>247</v>
      </c>
      <c r="J5" s="51" t="s">
        <v>248</v>
      </c>
      <c r="K5" s="145" t="s">
        <v>127</v>
      </c>
      <c r="L5" s="145" t="s">
        <v>126</v>
      </c>
      <c r="M5" s="145" t="s">
        <v>128</v>
      </c>
    </row>
    <row r="6" spans="2:13" ht="20.15" customHeight="1">
      <c r="B6" s="130" t="s">
        <v>118</v>
      </c>
      <c r="C6" s="144"/>
      <c r="D6" s="51" t="s">
        <v>122</v>
      </c>
      <c r="E6" s="51" t="s">
        <v>123</v>
      </c>
      <c r="F6" s="51" t="s">
        <v>124</v>
      </c>
      <c r="G6" s="51" t="s">
        <v>125</v>
      </c>
      <c r="H6" s="51" t="s">
        <v>119</v>
      </c>
      <c r="I6" s="51" t="s">
        <v>120</v>
      </c>
      <c r="J6" s="51" t="s">
        <v>121</v>
      </c>
      <c r="K6" s="144"/>
      <c r="L6" s="144"/>
      <c r="M6" s="144"/>
    </row>
    <row r="7" spans="2:13" ht="20.15" customHeight="1">
      <c r="B7" s="140" t="s">
        <v>129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</row>
    <row r="8" spans="2:13" ht="20.15" customHeight="1">
      <c r="B8" s="51" t="s">
        <v>21</v>
      </c>
      <c r="C8" s="51" t="s">
        <v>56</v>
      </c>
      <c r="D8" s="63">
        <v>105.8379135131836</v>
      </c>
      <c r="E8" s="51">
        <v>105.8379135131836</v>
      </c>
      <c r="F8" s="51">
        <v>105.8379135131836</v>
      </c>
      <c r="G8" s="51">
        <v>105.8379135131836</v>
      </c>
      <c r="H8" s="51">
        <v>105.8379135131836</v>
      </c>
      <c r="I8" s="51">
        <v>105.8379135131836</v>
      </c>
      <c r="J8" s="51">
        <v>106.04689025878906</v>
      </c>
      <c r="K8" s="51">
        <v>105.41993713378906</v>
      </c>
      <c r="L8" s="51">
        <v>105.8587646484375</v>
      </c>
      <c r="M8" s="51">
        <f>K8-L8</f>
        <v>0</v>
      </c>
    </row>
    <row r="9" spans="2:13" ht="20.15" customHeight="1">
      <c r="B9" s="51" t="s">
        <v>94</v>
      </c>
      <c r="C9" s="51" t="s">
        <v>86</v>
      </c>
      <c r="D9" s="63">
        <v>0</v>
      </c>
      <c r="E9" s="51">
        <v>0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f t="shared" ref="M9:M10" si="0">K9-L9</f>
        <v>0</v>
      </c>
    </row>
    <row r="10" spans="2:13" ht="20.15" customHeight="1">
      <c r="B10" s="51" t="s">
        <v>44</v>
      </c>
      <c r="C10" s="51" t="s">
        <v>12</v>
      </c>
      <c r="D10" s="63">
        <v>143.08541870117188</v>
      </c>
      <c r="E10" s="51">
        <v>143.08541870117188</v>
      </c>
      <c r="F10" s="51">
        <v>143.08541870117188</v>
      </c>
      <c r="G10" s="51">
        <v>143.08541870117188</v>
      </c>
      <c r="H10" s="51">
        <v>143.08541870117188</v>
      </c>
      <c r="I10" s="51">
        <v>143.08541870117188</v>
      </c>
      <c r="J10" s="51">
        <v>143.09490966796875</v>
      </c>
      <c r="K10" s="51">
        <v>143.06640625</v>
      </c>
      <c r="L10" s="51">
        <v>143.0863494873047</v>
      </c>
      <c r="M10" s="51">
        <f t="shared" si="0"/>
        <v>0</v>
      </c>
    </row>
    <row r="11" spans="2:13" ht="20.15" customHeight="1">
      <c r="B11" s="140" t="s">
        <v>130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</row>
    <row r="12" spans="2:13" ht="20.15" customHeight="1">
      <c r="B12" s="51" t="s">
        <v>21</v>
      </c>
      <c r="C12" s="51" t="s">
        <v>56</v>
      </c>
      <c r="D12" s="51">
        <v>94.66666412353516</v>
      </c>
      <c r="E12" s="51">
        <v>0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94.66666412353516</v>
      </c>
      <c r="L12" s="51">
        <v>94.66666412353516</v>
      </c>
      <c r="M12" s="51">
        <f>K12-L12</f>
        <v>0</v>
      </c>
    </row>
    <row r="13" spans="2:13" ht="20.15" customHeight="1">
      <c r="B13" s="51" t="s">
        <v>57</v>
      </c>
      <c r="C13" s="51" t="s">
        <v>56</v>
      </c>
      <c r="D13" s="51">
        <v>65.44444274902344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65.44444274902344</v>
      </c>
      <c r="L13" s="51">
        <v>65.44444274902344</v>
      </c>
      <c r="M13" s="51">
        <f t="shared" ref="M13:M15" si="1">K13-L13</f>
        <v>0</v>
      </c>
    </row>
    <row r="14" spans="2:13" ht="20.15" customHeight="1">
      <c r="B14" s="51" t="s">
        <v>58</v>
      </c>
      <c r="C14" s="51" t="s">
        <v>56</v>
      </c>
      <c r="D14" s="51">
        <v>6.777777671813965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6.777777671813965</v>
      </c>
      <c r="L14" s="51">
        <v>6.777777671813965</v>
      </c>
      <c r="M14" s="51">
        <f t="shared" si="1"/>
        <v>0</v>
      </c>
    </row>
    <row r="15" spans="2:13" ht="20.15" customHeight="1">
      <c r="B15" s="51" t="s">
        <v>59</v>
      </c>
      <c r="C15" s="51" t="s">
        <v>56</v>
      </c>
      <c r="D15" s="51">
        <v>900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93.22222137451172</v>
      </c>
      <c r="L15" s="51">
        <v>93.22222137451172</v>
      </c>
      <c r="M15" s="51">
        <f t="shared" si="1"/>
        <v>0</v>
      </c>
    </row>
    <row r="16" spans="2:13" ht="20.15" customHeight="1">
      <c r="B16" s="140" t="s">
        <v>170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</row>
    <row r="17" spans="2:13" ht="20.15" customHeight="1">
      <c r="B17" s="51" t="s">
        <v>131</v>
      </c>
      <c r="C17" s="51" t="s">
        <v>56</v>
      </c>
      <c r="D17" s="51">
        <v>852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900</v>
      </c>
      <c r="L17" s="51">
        <v>900</v>
      </c>
      <c r="M17" s="51"/>
    </row>
    <row r="18" spans="2:13" ht="20.15" customHeight="1">
      <c r="B18" s="51" t="s">
        <v>132</v>
      </c>
      <c r="C18" s="51" t="s">
        <v>113</v>
      </c>
      <c r="D18" s="51"/>
      <c r="E18" s="51"/>
      <c r="F18" s="51"/>
      <c r="G18" s="51"/>
      <c r="H18" s="51"/>
      <c r="I18" s="51"/>
      <c r="J18" s="51"/>
      <c r="K18" s="51">
        <v>852</v>
      </c>
      <c r="L18" s="51">
        <v>852</v>
      </c>
      <c r="M18" s="51">
        <f>K18-L18</f>
        <v>0</v>
      </c>
    </row>
    <row r="19" spans="2:13" ht="20.15" customHeight="1">
      <c r="B19" s="140" t="s">
        <v>171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</row>
    <row r="20" spans="2:13" ht="20.15" customHeight="1">
      <c r="B20" s="51" t="s">
        <v>21</v>
      </c>
      <c r="C20" s="51" t="s">
        <v>56</v>
      </c>
      <c r="D20" s="63"/>
      <c r="E20" s="51"/>
      <c r="F20" s="51"/>
      <c r="G20" s="51"/>
      <c r="H20" s="51"/>
      <c r="I20" s="51"/>
      <c r="J20" s="51"/>
      <c r="K20" s="51"/>
      <c r="L20" s="51"/>
      <c r="M20" s="51">
        <f>K20-L20</f>
        <v>0</v>
      </c>
    </row>
    <row r="21" spans="2:13" ht="20.15" customHeight="1">
      <c r="D21" s="1"/>
    </row>
    <row r="22" spans="2:13" ht="20.15" customHeight="1"/>
    <row r="23" spans="2:13" ht="20.15" customHeight="1"/>
    <row r="24" spans="2:13" ht="20.15" customHeight="1"/>
    <row r="25" spans="2:13" ht="20.15" customHeight="1"/>
  </sheetData>
  <mergeCells count="12">
    <mergeCell ref="B7:M7"/>
    <mergeCell ref="B11:M11"/>
    <mergeCell ref="B16:M16"/>
    <mergeCell ref="B19:M19"/>
    <mergeCell ref="B2:M2"/>
    <mergeCell ref="B3:M3"/>
    <mergeCell ref="B4:M4"/>
    <mergeCell ref="B5:C5"/>
    <mergeCell ref="K5:K6"/>
    <mergeCell ref="L5:L6"/>
    <mergeCell ref="M5:M6"/>
    <mergeCell ref="B6:C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14"/>
  <sheetViews>
    <sheetView workbookViewId="0">
      <selection activeCell="C13" sqref="C13:D13"/>
    </sheetView>
  </sheetViews>
  <sheetFormatPr defaultColWidth="9" defaultRowHeight="13"/>
  <cols>
    <col min="1" max="1" width="1.33203125" style="2" customWidth="1"/>
    <col min="2" max="2" width="9" style="2"/>
    <col min="3" max="3" width="35.1640625" style="2" bestFit="1" customWidth="1"/>
    <col min="4" max="7" width="12.58203125" style="2" customWidth="1"/>
  </cols>
  <sheetData>
    <row r="2" spans="2:7" ht="30" customHeight="1">
      <c r="B2" s="131" t="s">
        <v>179</v>
      </c>
      <c r="C2" s="131"/>
      <c r="D2" s="131"/>
      <c r="E2" s="131"/>
      <c r="F2" s="131"/>
      <c r="G2" s="131"/>
    </row>
    <row r="3" spans="2:7" ht="15" customHeight="1">
      <c r="B3" s="130"/>
      <c r="C3" s="130"/>
      <c r="D3" s="130"/>
      <c r="E3" s="130"/>
      <c r="F3" s="130"/>
      <c r="G3" s="130"/>
    </row>
    <row r="4" spans="2:7" ht="15.75" customHeight="1">
      <c r="B4" s="130" t="s">
        <v>91</v>
      </c>
      <c r="C4" s="130"/>
      <c r="D4" s="130"/>
      <c r="E4" s="130"/>
      <c r="F4" s="130"/>
      <c r="G4" s="130"/>
    </row>
    <row r="5" spans="2:7" ht="25" customHeight="1">
      <c r="B5" s="48" t="s">
        <v>39</v>
      </c>
      <c r="C5" s="48" t="s">
        <v>82</v>
      </c>
      <c r="D5" s="48" t="s">
        <v>83</v>
      </c>
      <c r="E5" s="48" t="s">
        <v>84</v>
      </c>
      <c r="F5" s="48" t="s">
        <v>85</v>
      </c>
      <c r="G5" s="48" t="s">
        <v>87</v>
      </c>
    </row>
    <row r="6" spans="2:7" ht="25" customHeight="1">
      <c r="B6" s="48" t="s">
        <v>40</v>
      </c>
      <c r="C6" s="48" t="s">
        <v>10</v>
      </c>
      <c r="D6" s="48" t="s">
        <v>10</v>
      </c>
      <c r="E6" s="48" t="s">
        <v>12</v>
      </c>
      <c r="F6" s="48" t="s">
        <v>86</v>
      </c>
      <c r="G6" s="48" t="s">
        <v>88</v>
      </c>
    </row>
    <row r="7" spans="2:7" ht="25" customHeight="1">
      <c r="B7" s="48" t="s">
        <v>81</v>
      </c>
      <c r="C7" s="48">
        <v>0.16600000000000001</v>
      </c>
      <c r="D7" s="48">
        <v>0.04</v>
      </c>
      <c r="E7" s="64">
        <f>C7/D7</f>
        <v>4.1500000000000004</v>
      </c>
      <c r="F7" s="48">
        <v>1.17</v>
      </c>
      <c r="G7" s="48" t="s">
        <v>89</v>
      </c>
    </row>
    <row r="8" spans="2:7" ht="25" customHeight="1">
      <c r="B8" s="48" t="s">
        <v>168</v>
      </c>
      <c r="C8" s="48">
        <v>0</v>
      </c>
      <c r="D8" s="48">
        <v>3734.96240234375</v>
      </c>
      <c r="E8" s="64">
        <v>0</v>
      </c>
      <c r="F8" s="48">
        <v>1.7189762592315674</v>
      </c>
      <c r="G8" s="48">
        <v>1205.16015625</v>
      </c>
    </row>
    <row r="9" spans="2:7" ht="25" customHeight="1">
      <c r="B9" s="48" t="s">
        <v>90</v>
      </c>
      <c r="C9" s="48">
        <v>0</v>
      </c>
      <c r="D9" s="48">
        <v>6932.23681640625</v>
      </c>
      <c r="E9" s="64">
        <v>0</v>
      </c>
      <c r="F9" s="48">
        <v>3.745662212371826</v>
      </c>
      <c r="G9" s="48">
        <v>1169.6160888671875</v>
      </c>
    </row>
    <row r="10" spans="2:7" ht="15.75" customHeight="1">
      <c r="B10" s="130" t="s">
        <v>92</v>
      </c>
      <c r="C10" s="130"/>
      <c r="D10" s="130"/>
      <c r="E10" s="130"/>
      <c r="F10" s="130"/>
      <c r="G10" s="130"/>
    </row>
    <row r="11" spans="2:7" ht="25" customHeight="1">
      <c r="B11" s="48" t="s">
        <v>39</v>
      </c>
      <c r="C11" s="130" t="s">
        <v>21</v>
      </c>
      <c r="D11" s="130"/>
      <c r="E11" s="48" t="s">
        <v>94</v>
      </c>
      <c r="F11" s="59"/>
      <c r="G11" s="48" t="s">
        <v>93</v>
      </c>
    </row>
    <row r="12" spans="2:7" ht="25" customHeight="1">
      <c r="B12" s="48" t="s">
        <v>40</v>
      </c>
      <c r="C12" s="130" t="s">
        <v>56</v>
      </c>
      <c r="D12" s="130"/>
      <c r="E12" s="48" t="s">
        <v>86</v>
      </c>
      <c r="F12" s="59"/>
      <c r="G12" s="48" t="s">
        <v>86</v>
      </c>
    </row>
    <row r="13" spans="2:7" ht="25" customHeight="1">
      <c r="B13" s="48" t="s">
        <v>34</v>
      </c>
      <c r="C13" s="130"/>
      <c r="D13" s="130"/>
      <c r="E13" s="48"/>
      <c r="F13" s="59"/>
      <c r="G13" s="48"/>
    </row>
    <row r="14" spans="2:7" ht="25" customHeight="1">
      <c r="B14" s="48" t="s">
        <v>35</v>
      </c>
      <c r="C14" s="130"/>
      <c r="D14" s="130"/>
      <c r="E14" s="48"/>
      <c r="F14" s="59"/>
      <c r="G14" s="48"/>
    </row>
  </sheetData>
  <mergeCells count="8">
    <mergeCell ref="C13:D13"/>
    <mergeCell ref="C14:D14"/>
    <mergeCell ref="B3:G3"/>
    <mergeCell ref="B2:G2"/>
    <mergeCell ref="B4:G4"/>
    <mergeCell ref="B10:G10"/>
    <mergeCell ref="C11:D11"/>
    <mergeCell ref="C12:D12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8"/>
  <sheetViews>
    <sheetView workbookViewId="0">
      <selection activeCell="C7" sqref="C7"/>
    </sheetView>
  </sheetViews>
  <sheetFormatPr defaultColWidth="9" defaultRowHeight="14"/>
  <cols>
    <col min="1" max="1" width="2.25" style="1" customWidth="1"/>
    <col min="2" max="5" width="19.58203125" style="1" customWidth="1"/>
    <col min="6" max="6" width="12.58203125" style="1" customWidth="1"/>
  </cols>
  <sheetData>
    <row r="2" spans="2:5" ht="30" customHeight="1">
      <c r="B2" s="129" t="s">
        <v>180</v>
      </c>
      <c r="C2" s="129"/>
      <c r="D2" s="129"/>
      <c r="E2" s="129"/>
    </row>
    <row r="3" spans="2:5" ht="15" customHeight="1">
      <c r="B3" s="132"/>
      <c r="C3" s="132"/>
      <c r="D3" s="132"/>
      <c r="E3" s="132"/>
    </row>
    <row r="4" spans="2:5" ht="25" customHeight="1">
      <c r="B4" s="146" t="s">
        <v>109</v>
      </c>
      <c r="C4" s="21" t="s">
        <v>108</v>
      </c>
      <c r="D4" s="21" t="s">
        <v>110</v>
      </c>
      <c r="E4" s="148" t="s">
        <v>111</v>
      </c>
    </row>
    <row r="5" spans="2:5" ht="25" customHeight="1">
      <c r="B5" s="147"/>
      <c r="C5" s="39" t="s">
        <v>107</v>
      </c>
      <c r="D5" s="39" t="s">
        <v>12</v>
      </c>
      <c r="E5" s="149"/>
    </row>
    <row r="6" spans="2:5" ht="25" customHeight="1">
      <c r="B6" s="27" t="s">
        <v>105</v>
      </c>
      <c r="C6" s="39"/>
      <c r="D6" s="39"/>
      <c r="E6" s="40">
        <v>301</v>
      </c>
    </row>
    <row r="7" spans="2:5" ht="25" customHeight="1">
      <c r="B7" s="41" t="s">
        <v>106</v>
      </c>
      <c r="C7" s="42"/>
      <c r="D7" s="42"/>
      <c r="E7" s="43">
        <v>301</v>
      </c>
    </row>
    <row r="8" spans="2:5" ht="15" customHeight="1">
      <c r="B8" s="150"/>
      <c r="C8" s="151"/>
      <c r="D8" s="151"/>
      <c r="E8" s="152"/>
    </row>
    <row r="9" spans="2:5" ht="25" customHeight="1">
      <c r="B9" s="146" t="s">
        <v>101</v>
      </c>
      <c r="C9" s="21" t="s">
        <v>21</v>
      </c>
      <c r="D9" s="21" t="s">
        <v>94</v>
      </c>
      <c r="E9" s="38" t="s">
        <v>93</v>
      </c>
    </row>
    <row r="10" spans="2:5" ht="25" customHeight="1">
      <c r="B10" s="147"/>
      <c r="C10" s="39" t="s">
        <v>56</v>
      </c>
      <c r="D10" s="39" t="s">
        <v>86</v>
      </c>
      <c r="E10" s="40" t="s">
        <v>86</v>
      </c>
    </row>
    <row r="11" spans="2:5" ht="25" customHeight="1">
      <c r="B11" s="27" t="s">
        <v>102</v>
      </c>
      <c r="C11" s="39"/>
      <c r="D11" s="39"/>
      <c r="E11" s="40"/>
    </row>
    <row r="12" spans="2:5" ht="25" customHeight="1">
      <c r="B12" s="27" t="s">
        <v>103</v>
      </c>
      <c r="C12" s="39"/>
      <c r="D12" s="39"/>
      <c r="E12" s="40"/>
    </row>
    <row r="13" spans="2:5" ht="25" customHeight="1">
      <c r="B13" s="41" t="s">
        <v>104</v>
      </c>
      <c r="C13" s="42"/>
      <c r="D13" s="42"/>
      <c r="E13" s="43"/>
    </row>
    <row r="18" ht="14.15" customHeight="1"/>
  </sheetData>
  <mergeCells count="6">
    <mergeCell ref="B2:E2"/>
    <mergeCell ref="B3:E3"/>
    <mergeCell ref="B4:B5"/>
    <mergeCell ref="E4:E5"/>
    <mergeCell ref="B9:B10"/>
    <mergeCell ref="B8:E8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10"/>
  <sheetViews>
    <sheetView workbookViewId="0">
      <selection activeCell="R29" sqref="R29"/>
    </sheetView>
  </sheetViews>
  <sheetFormatPr defaultRowHeight="14"/>
  <cols>
    <col min="1" max="1" width="2.58203125" customWidth="1"/>
    <col min="2" max="2" width="20.25" customWidth="1"/>
    <col min="3" max="5" width="15.58203125" customWidth="1"/>
    <col min="6" max="6" width="12.9140625" bestFit="1" customWidth="1"/>
  </cols>
  <sheetData>
    <row r="2" spans="2:6" ht="30" customHeight="1">
      <c r="B2" s="129" t="s">
        <v>181</v>
      </c>
      <c r="C2" s="129"/>
      <c r="D2" s="129"/>
      <c r="E2" s="129"/>
    </row>
    <row r="3" spans="2:6" ht="15" customHeight="1">
      <c r="B3" s="153"/>
      <c r="C3" s="153"/>
      <c r="D3" s="153"/>
      <c r="E3" s="153"/>
    </row>
    <row r="4" spans="2:6" s="1" customFormat="1" ht="25" customHeight="1">
      <c r="B4" s="3" t="s">
        <v>98</v>
      </c>
      <c r="C4" s="154"/>
      <c r="D4" s="155"/>
      <c r="E4" s="156"/>
      <c r="F4" s="23" t="s">
        <v>56</v>
      </c>
    </row>
    <row r="5" spans="2:6" s="1" customFormat="1" ht="25" customHeight="1">
      <c r="B5" s="24" t="s">
        <v>99</v>
      </c>
      <c r="C5" s="157">
        <v>900</v>
      </c>
      <c r="D5" s="158"/>
      <c r="E5" s="159"/>
      <c r="F5" s="47" t="s">
        <v>100</v>
      </c>
    </row>
    <row r="6" spans="2:6" s="32" customFormat="1" ht="40.25" customHeight="1">
      <c r="B6" s="50" t="s">
        <v>169</v>
      </c>
      <c r="C6" s="65" t="s">
        <v>22</v>
      </c>
      <c r="D6" s="65" t="s">
        <v>96</v>
      </c>
      <c r="E6" s="65" t="s">
        <v>95</v>
      </c>
      <c r="F6" s="65" t="s">
        <v>97</v>
      </c>
    </row>
    <row r="7" spans="2:6" ht="40.25" customHeight="1">
      <c r="B7" s="48" t="s">
        <v>33</v>
      </c>
      <c r="C7" s="66"/>
      <c r="D7" s="66"/>
      <c r="E7" s="66"/>
      <c r="F7" s="66">
        <v>0.0006019083666615188</v>
      </c>
    </row>
    <row r="8" spans="2:6" ht="40.25" customHeight="1">
      <c r="B8" s="51" t="s">
        <v>34</v>
      </c>
      <c r="C8" s="66"/>
      <c r="D8" s="66"/>
      <c r="E8" s="66"/>
      <c r="F8" s="66"/>
    </row>
    <row r="9" spans="2:6" ht="40.25" customHeight="1">
      <c r="B9" s="51" t="s">
        <v>35</v>
      </c>
      <c r="C9" s="66"/>
      <c r="D9" s="66"/>
      <c r="E9" s="66"/>
      <c r="F9" s="66">
        <v>0.0006019083666615188</v>
      </c>
    </row>
    <row r="10" spans="2:6">
      <c r="B10" s="52"/>
      <c r="C10" s="160"/>
      <c r="D10" s="160"/>
      <c r="E10" s="160"/>
      <c r="F10" s="160"/>
    </row>
  </sheetData>
  <mergeCells count="5">
    <mergeCell ref="B2:E2"/>
    <mergeCell ref="B3:E3"/>
    <mergeCell ref="C4:E4"/>
    <mergeCell ref="C5:E5"/>
    <mergeCell ref="C10:F10"/>
  </mergeCells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0"/>
  <sheetViews>
    <sheetView topLeftCell="D1" zoomScale="70" zoomScaleNormal="70" workbookViewId="0">
      <selection activeCell="R29" sqref="R29"/>
    </sheetView>
  </sheetViews>
  <sheetFormatPr defaultRowHeight="14"/>
  <cols>
    <col min="1" max="1" width="2.33203125" customWidth="1"/>
    <col min="2" max="2" width="12.58203125" customWidth="1"/>
    <col min="3" max="10" width="10.58203125" customWidth="1"/>
  </cols>
  <sheetData>
    <row r="2" spans="2:10" ht="30" customHeight="1">
      <c r="B2" s="131" t="s">
        <v>182</v>
      </c>
      <c r="C2" s="131"/>
      <c r="D2" s="131"/>
      <c r="E2" s="131"/>
      <c r="F2" s="131"/>
      <c r="G2" s="131"/>
      <c r="H2" s="131"/>
      <c r="I2" s="131"/>
      <c r="J2" s="131"/>
    </row>
    <row r="3" spans="2:10" ht="25" customHeight="1">
      <c r="B3" s="163" t="s">
        <v>116</v>
      </c>
      <c r="C3" s="163"/>
      <c r="D3" s="163"/>
      <c r="E3" s="163"/>
      <c r="F3" s="163"/>
      <c r="G3" s="163"/>
      <c r="H3" s="163"/>
      <c r="I3" s="163"/>
      <c r="J3" s="163"/>
    </row>
    <row r="4" spans="2:10" ht="15" customHeight="1">
      <c r="B4" s="67"/>
      <c r="C4" s="67"/>
      <c r="D4" s="67"/>
      <c r="E4" s="67"/>
      <c r="F4" s="67"/>
      <c r="G4" s="67"/>
      <c r="H4" s="67"/>
      <c r="I4" s="67"/>
      <c r="J4" s="67"/>
    </row>
    <row r="5" spans="2:10" ht="30" customHeight="1">
      <c r="B5" s="161" t="s">
        <v>112</v>
      </c>
      <c r="C5" s="68" t="s">
        <v>144</v>
      </c>
      <c r="D5" s="68" t="s">
        <v>145</v>
      </c>
      <c r="E5" s="68" t="s">
        <v>146</v>
      </c>
      <c r="F5" s="68" t="s">
        <v>147</v>
      </c>
      <c r="G5" s="68" t="s">
        <v>148</v>
      </c>
      <c r="H5" s="68" t="s">
        <v>149</v>
      </c>
      <c r="I5" s="68" t="s">
        <v>151</v>
      </c>
      <c r="J5" s="68" t="s">
        <v>150</v>
      </c>
    </row>
    <row r="6" spans="2:10" ht="25" customHeight="1">
      <c r="B6" s="162"/>
      <c r="C6" s="48" t="s">
        <v>114</v>
      </c>
      <c r="D6" s="48" t="s">
        <v>114</v>
      </c>
      <c r="E6" s="48" t="s">
        <v>115</v>
      </c>
      <c r="F6" s="48" t="s">
        <v>115</v>
      </c>
      <c r="G6" s="48" t="s">
        <v>115</v>
      </c>
      <c r="H6" s="48" t="s">
        <v>115</v>
      </c>
      <c r="I6" s="48" t="s">
        <v>115</v>
      </c>
      <c r="J6" s="48" t="s">
        <v>115</v>
      </c>
    </row>
    <row r="7" spans="2:10" s="1" customFormat="1" ht="25" customHeight="1">
      <c r="B7" s="58" t="s">
        <v>47</v>
      </c>
      <c r="C7" s="69">
        <v>1.4630000000000001</v>
      </c>
      <c r="D7" s="69">
        <v>0.25</v>
      </c>
      <c r="E7" s="69">
        <v>0.1</v>
      </c>
      <c r="F7" s="69" t="s">
        <v>12</v>
      </c>
      <c r="G7" s="69" t="s">
        <v>12</v>
      </c>
      <c r="H7" s="69" t="s">
        <v>12</v>
      </c>
      <c r="I7" s="70">
        <v>3</v>
      </c>
      <c r="J7" s="70">
        <v>0.57499999999999996</v>
      </c>
    </row>
    <row r="8" spans="2:10" s="1" customFormat="1" ht="25" customHeight="1">
      <c r="B8" s="48" t="s">
        <v>33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59">
        <v>0</v>
      </c>
      <c r="J8" s="59">
        <v>0</v>
      </c>
    </row>
    <row r="9" spans="2:10" s="1" customFormat="1" ht="25" customHeight="1">
      <c r="B9" s="58" t="s">
        <v>105</v>
      </c>
      <c r="C9" s="58">
        <v>0</v>
      </c>
      <c r="D9" s="58">
        <v>0</v>
      </c>
      <c r="E9" s="58">
        <v>0</v>
      </c>
      <c r="F9" s="58">
        <v>0</v>
      </c>
      <c r="G9" s="58">
        <v>0</v>
      </c>
      <c r="H9" s="58">
        <v>0</v>
      </c>
      <c r="I9" s="60">
        <v>0</v>
      </c>
      <c r="J9" s="60">
        <v>0</v>
      </c>
    </row>
    <row r="10" spans="2:10" s="1" customFormat="1" ht="25" customHeight="1">
      <c r="B10" s="48" t="s">
        <v>106</v>
      </c>
      <c r="C10" s="48">
        <v>0</v>
      </c>
      <c r="D10" s="48">
        <v>0</v>
      </c>
      <c r="E10" s="48">
        <v>0</v>
      </c>
      <c r="F10" s="48">
        <v>0</v>
      </c>
      <c r="G10" s="48">
        <v>0</v>
      </c>
      <c r="H10" s="48">
        <v>0</v>
      </c>
      <c r="I10" s="59">
        <v>0</v>
      </c>
      <c r="J10" s="59">
        <v>0</v>
      </c>
    </row>
  </sheetData>
  <mergeCells count="3">
    <mergeCell ref="B5:B6"/>
    <mergeCell ref="B3:J3"/>
    <mergeCell ref="B2:J2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S30"/>
  <sheetViews>
    <sheetView zoomScale="85" zoomScaleNormal="85" workbookViewId="0">
      <selection activeCell="R29" sqref="R29"/>
    </sheetView>
  </sheetViews>
  <sheetFormatPr defaultColWidth="9" defaultRowHeight="13"/>
  <cols>
    <col min="1" max="1" width="2.25" style="2" customWidth="1"/>
    <col min="2" max="2" width="10" style="2" bestFit="1" customWidth="1"/>
    <col min="3" max="9" width="5.58203125" style="2" customWidth="1"/>
    <col min="10" max="11" width="8.58203125" style="2" customWidth="1"/>
    <col min="12" max="12" width="16" style="2" bestFit="1" customWidth="1"/>
    <col min="13" max="13" width="10.58203125" style="2" customWidth="1"/>
    <col min="14" max="15" width="6.58203125" style="2" customWidth="1"/>
    <col min="16" max="17" width="5.58203125" style="2" customWidth="1"/>
    <col min="18" max="18" width="21.75" style="2" customWidth="1"/>
  </cols>
  <sheetData>
    <row r="2" spans="2:18" ht="30" customHeight="1">
      <c r="B2" s="131" t="s">
        <v>183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</row>
    <row r="3" spans="2:18" ht="30" customHeight="1">
      <c r="B3" s="167" t="s">
        <v>184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</row>
    <row r="4" spans="2:18" ht="10" customHeight="1">
      <c r="B4" s="142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</row>
    <row r="5" spans="2:18" ht="15.65" customHeight="1">
      <c r="B5" s="48" t="s">
        <v>117</v>
      </c>
      <c r="C5" s="130" t="s">
        <v>134</v>
      </c>
      <c r="D5" s="168" t="s">
        <v>156</v>
      </c>
      <c r="E5" s="130"/>
      <c r="F5" s="168" t="s">
        <v>157</v>
      </c>
      <c r="G5" s="130"/>
      <c r="H5" s="168" t="s">
        <v>158</v>
      </c>
      <c r="I5" s="130"/>
      <c r="J5" s="168" t="s">
        <v>159</v>
      </c>
      <c r="K5" s="130"/>
      <c r="L5" s="168" t="s">
        <v>160</v>
      </c>
      <c r="M5" s="130" t="s">
        <v>161</v>
      </c>
      <c r="N5" s="130" t="s">
        <v>132</v>
      </c>
      <c r="O5" s="130"/>
      <c r="P5" s="130" t="s">
        <v>163</v>
      </c>
      <c r="Q5" s="130"/>
      <c r="R5" s="130" t="s">
        <v>62</v>
      </c>
    </row>
    <row r="6" spans="2:18" ht="15.65" customHeight="1">
      <c r="B6" s="166">
        <v>45992</v>
      </c>
      <c r="C6" s="130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</row>
    <row r="7" spans="2:18" ht="14">
      <c r="B7" s="133" t="s">
        <v>241</v>
      </c>
      <c r="C7" s="133"/>
      <c r="D7" s="130" t="s">
        <v>152</v>
      </c>
      <c r="E7" s="133"/>
      <c r="F7" s="130" t="s">
        <v>153</v>
      </c>
      <c r="G7" s="133"/>
      <c r="H7" s="130" t="s">
        <v>154</v>
      </c>
      <c r="I7" s="133"/>
      <c r="J7" s="130" t="s">
        <v>155</v>
      </c>
      <c r="K7" s="133"/>
      <c r="L7" s="133"/>
      <c r="M7" s="48" t="s">
        <v>162</v>
      </c>
      <c r="N7" s="130" t="s">
        <v>162</v>
      </c>
      <c r="O7" s="133"/>
      <c r="P7" s="130" t="s">
        <v>56</v>
      </c>
      <c r="Q7" s="133"/>
      <c r="R7" s="133"/>
    </row>
    <row r="8" spans="2:18" ht="15.65" customHeight="1">
      <c r="B8" s="164" t="s">
        <v>241</v>
      </c>
      <c r="C8" s="71" t="s">
        <v>142</v>
      </c>
      <c r="D8" s="71"/>
      <c r="E8" s="164">
        <v>0</v>
      </c>
      <c r="F8" s="71">
        <v>0</v>
      </c>
      <c r="G8" s="164">
        <v>16.66699981689453</v>
      </c>
      <c r="H8" s="71"/>
      <c r="I8" s="164">
        <v>300</v>
      </c>
      <c r="J8" s="71">
        <v>282</v>
      </c>
      <c r="K8" s="164">
        <v>94</v>
      </c>
      <c r="L8" s="164"/>
      <c r="M8" s="48"/>
      <c r="N8" s="48"/>
      <c r="O8" s="130"/>
      <c r="P8" s="48"/>
      <c r="Q8" s="130"/>
      <c r="R8" s="130"/>
    </row>
    <row r="9" spans="2:18" ht="15.65" customHeight="1">
      <c r="B9" s="165"/>
      <c r="C9" s="71" t="s">
        <v>143</v>
      </c>
      <c r="D9" s="71"/>
      <c r="E9" s="165">
        <v>0</v>
      </c>
      <c r="F9" s="71">
        <v>0</v>
      </c>
      <c r="G9" s="165">
        <v>100</v>
      </c>
      <c r="H9" s="71"/>
      <c r="I9" s="133">
        <v>600</v>
      </c>
      <c r="J9" s="71">
        <v>570</v>
      </c>
      <c r="K9" s="133">
        <v>95</v>
      </c>
      <c r="L9" s="133"/>
      <c r="M9" s="48"/>
      <c r="N9" s="48"/>
      <c r="O9" s="133"/>
      <c r="P9" s="48"/>
      <c r="Q9" s="133"/>
      <c r="R9" s="133"/>
    </row>
    <row r="10" spans="2:18" ht="15.65" customHeight="1">
      <c r="B10" s="130" t="s">
        <v>243</v>
      </c>
      <c r="C10" s="48" t="s">
        <v>142</v>
      </c>
      <c r="D10" s="48"/>
      <c r="E10" s="130">
        <v>0</v>
      </c>
      <c r="F10" s="48">
        <v>0</v>
      </c>
      <c r="G10" s="130">
        <v>16.66699981689453</v>
      </c>
      <c r="H10" s="48"/>
      <c r="I10" s="130">
        <v>0</v>
      </c>
      <c r="J10" s="48">
        <v>0</v>
      </c>
      <c r="K10" s="130">
        <v>0</v>
      </c>
      <c r="L10" s="130"/>
      <c r="M10" s="48"/>
      <c r="N10" s="48"/>
      <c r="O10" s="130"/>
      <c r="P10" s="48"/>
      <c r="Q10" s="130"/>
      <c r="R10" s="130"/>
    </row>
    <row r="11" spans="2:18" ht="15.65" customHeight="1">
      <c r="B11" s="133"/>
      <c r="C11" s="48" t="s">
        <v>143</v>
      </c>
      <c r="D11" s="48"/>
      <c r="E11" s="133">
        <v>0</v>
      </c>
      <c r="F11" s="48">
        <v>0</v>
      </c>
      <c r="G11" s="133">
        <v>100</v>
      </c>
      <c r="H11" s="48"/>
      <c r="I11" s="133">
        <v>0</v>
      </c>
      <c r="J11" s="48">
        <v>0</v>
      </c>
      <c r="K11" s="133">
        <v>0</v>
      </c>
      <c r="L11" s="133"/>
      <c r="M11" s="48"/>
      <c r="N11" s="48"/>
      <c r="O11" s="133"/>
      <c r="P11" s="48"/>
      <c r="Q11" s="133"/>
      <c r="R11" s="133"/>
    </row>
    <row r="12" spans="2:18" ht="15.65" customHeight="1">
      <c r="B12" s="164" t="s">
        <v>244</v>
      </c>
      <c r="C12" s="71" t="s">
        <v>142</v>
      </c>
      <c r="D12" s="71"/>
      <c r="E12" s="164">
        <v>0</v>
      </c>
      <c r="F12" s="71">
        <v>0</v>
      </c>
      <c r="G12" s="164">
        <v>16.66699981689453</v>
      </c>
      <c r="H12" s="71"/>
      <c r="I12" s="164">
        <v>0</v>
      </c>
      <c r="J12" s="71">
        <v>0</v>
      </c>
      <c r="K12" s="164">
        <v>0</v>
      </c>
      <c r="L12" s="164"/>
      <c r="M12" s="48"/>
      <c r="N12" s="48"/>
      <c r="O12" s="130"/>
      <c r="P12" s="48"/>
      <c r="Q12" s="130"/>
      <c r="R12" s="130"/>
    </row>
    <row r="13" spans="2:18" ht="15.65" customHeight="1">
      <c r="B13" s="165"/>
      <c r="C13" s="71" t="s">
        <v>143</v>
      </c>
      <c r="D13" s="71"/>
      <c r="E13" s="165">
        <v>0</v>
      </c>
      <c r="F13" s="71">
        <v>0</v>
      </c>
      <c r="G13" s="165">
        <v>100</v>
      </c>
      <c r="H13" s="71"/>
      <c r="I13" s="133">
        <v>0</v>
      </c>
      <c r="J13" s="71">
        <v>0</v>
      </c>
      <c r="K13" s="133">
        <v>0</v>
      </c>
      <c r="L13" s="133"/>
      <c r="M13" s="48"/>
      <c r="N13" s="48"/>
      <c r="O13" s="133"/>
      <c r="P13" s="48"/>
      <c r="Q13" s="133"/>
      <c r="R13" s="133"/>
    </row>
    <row r="14" spans="2:18" ht="15.65" customHeight="1">
      <c r="B14" s="130" t="s">
        <v>245</v>
      </c>
      <c r="C14" s="48" t="s">
        <v>142</v>
      </c>
      <c r="D14" s="48"/>
      <c r="E14" s="130">
        <v>0</v>
      </c>
      <c r="F14" s="48">
        <v>0</v>
      </c>
      <c r="G14" s="130">
        <v>16.66699981689453</v>
      </c>
      <c r="H14" s="48"/>
      <c r="I14" s="130">
        <v>0</v>
      </c>
      <c r="J14" s="48">
        <v>0</v>
      </c>
      <c r="K14" s="130">
        <v>0</v>
      </c>
      <c r="L14" s="130"/>
      <c r="M14" s="48"/>
      <c r="N14" s="48"/>
      <c r="O14" s="130"/>
      <c r="P14" s="48"/>
      <c r="Q14" s="130"/>
      <c r="R14" s="130"/>
    </row>
    <row r="15" spans="2:18" ht="15.65" customHeight="1">
      <c r="B15" s="133"/>
      <c r="C15" s="48" t="s">
        <v>143</v>
      </c>
      <c r="D15" s="48"/>
      <c r="E15" s="133">
        <v>0</v>
      </c>
      <c r="F15" s="48">
        <v>0</v>
      </c>
      <c r="G15" s="133">
        <v>100</v>
      </c>
      <c r="H15" s="48"/>
      <c r="I15" s="133">
        <v>0</v>
      </c>
      <c r="J15" s="48">
        <v>0</v>
      </c>
      <c r="K15" s="133">
        <v>0</v>
      </c>
      <c r="L15" s="133"/>
      <c r="M15" s="48"/>
      <c r="N15" s="48"/>
      <c r="O15" s="133"/>
      <c r="P15" s="48"/>
      <c r="Q15" s="133"/>
      <c r="R15" s="133"/>
    </row>
    <row r="16" spans="2:18" ht="15.65" customHeight="1">
      <c r="B16" s="164" t="s">
        <v>246</v>
      </c>
      <c r="C16" s="71" t="s">
        <v>142</v>
      </c>
      <c r="D16" s="71"/>
      <c r="E16" s="164">
        <v>0</v>
      </c>
      <c r="F16" s="71">
        <v>0</v>
      </c>
      <c r="G16" s="164">
        <v>16.66699981689453</v>
      </c>
      <c r="H16" s="71"/>
      <c r="I16" s="164">
        <v>0</v>
      </c>
      <c r="J16" s="71">
        <v>0</v>
      </c>
      <c r="K16" s="164">
        <v>0</v>
      </c>
      <c r="L16" s="164"/>
      <c r="M16" s="48"/>
      <c r="N16" s="48"/>
      <c r="O16" s="130"/>
      <c r="P16" s="48"/>
      <c r="Q16" s="48"/>
      <c r="R16" s="130"/>
    </row>
    <row r="17" spans="2:18" ht="15.65" customHeight="1">
      <c r="B17" s="165"/>
      <c r="C17" s="71" t="s">
        <v>143</v>
      </c>
      <c r="D17" s="71"/>
      <c r="E17" s="165">
        <v>0</v>
      </c>
      <c r="F17" s="71">
        <v>0</v>
      </c>
      <c r="G17" s="165">
        <v>100</v>
      </c>
      <c r="H17" s="71"/>
      <c r="I17" s="133">
        <v>0</v>
      </c>
      <c r="J17" s="71">
        <v>0</v>
      </c>
      <c r="K17" s="133">
        <v>0</v>
      </c>
      <c r="L17" s="133"/>
      <c r="M17" s="48"/>
      <c r="N17" s="48"/>
      <c r="O17" s="133"/>
      <c r="P17" s="48"/>
      <c r="Q17" s="48"/>
      <c r="R17" s="133"/>
    </row>
    <row r="18" spans="2:18" ht="15.65" customHeight="1">
      <c r="B18" s="130" t="s">
        <v>247</v>
      </c>
      <c r="C18" s="48" t="s">
        <v>142</v>
      </c>
      <c r="D18" s="48"/>
      <c r="E18" s="130">
        <v>0</v>
      </c>
      <c r="F18" s="48">
        <v>0</v>
      </c>
      <c r="G18" s="130">
        <v>16.66699981689453</v>
      </c>
      <c r="H18" s="48"/>
      <c r="I18" s="130">
        <v>0</v>
      </c>
      <c r="J18" s="48">
        <v>0</v>
      </c>
      <c r="K18" s="130">
        <v>0</v>
      </c>
      <c r="L18" s="130"/>
      <c r="M18" s="48"/>
      <c r="N18" s="48"/>
      <c r="O18" s="130"/>
      <c r="P18" s="48"/>
      <c r="Q18" s="130"/>
      <c r="R18" s="130"/>
    </row>
    <row r="19" spans="2:18" ht="15.65" customHeight="1">
      <c r="B19" s="133"/>
      <c r="C19" s="48" t="s">
        <v>143</v>
      </c>
      <c r="D19" s="48"/>
      <c r="E19" s="133">
        <v>0</v>
      </c>
      <c r="F19" s="48">
        <v>0</v>
      </c>
      <c r="G19" s="133">
        <v>100</v>
      </c>
      <c r="H19" s="48"/>
      <c r="I19" s="133">
        <v>0</v>
      </c>
      <c r="J19" s="48">
        <v>0</v>
      </c>
      <c r="K19" s="133">
        <v>0</v>
      </c>
      <c r="L19" s="133"/>
      <c r="M19" s="48"/>
      <c r="N19" s="48"/>
      <c r="O19" s="133"/>
      <c r="P19" s="48"/>
      <c r="Q19" s="133"/>
      <c r="R19" s="133"/>
    </row>
    <row r="20" spans="2:18" ht="15.65" customHeight="1">
      <c r="B20" s="164" t="s">
        <v>248</v>
      </c>
      <c r="C20" s="71" t="s">
        <v>142</v>
      </c>
      <c r="D20" s="71"/>
      <c r="E20" s="164">
        <v>0</v>
      </c>
      <c r="F20" s="71">
        <v>0</v>
      </c>
      <c r="G20" s="164">
        <v>16.66699981689453</v>
      </c>
      <c r="H20" s="71"/>
      <c r="I20" s="164">
        <v>0</v>
      </c>
      <c r="J20" s="71">
        <v>0</v>
      </c>
      <c r="K20" s="164">
        <v>0</v>
      </c>
      <c r="L20" s="164"/>
      <c r="M20" s="48"/>
      <c r="N20" s="48"/>
      <c r="O20" s="130"/>
      <c r="P20" s="48"/>
      <c r="Q20" s="130"/>
      <c r="R20" s="130"/>
    </row>
    <row r="21" spans="2:18" ht="15.65" customHeight="1">
      <c r="B21" s="165"/>
      <c r="C21" s="71" t="s">
        <v>143</v>
      </c>
      <c r="D21" s="71"/>
      <c r="E21" s="165">
        <v>0</v>
      </c>
      <c r="F21" s="71">
        <v>0</v>
      </c>
      <c r="G21" s="165">
        <v>100</v>
      </c>
      <c r="H21" s="71"/>
      <c r="I21" s="133">
        <v>0</v>
      </c>
      <c r="J21" s="71">
        <v>0</v>
      </c>
      <c r="K21" s="133">
        <v>0</v>
      </c>
      <c r="L21" s="133"/>
      <c r="M21" s="48"/>
      <c r="N21" s="48"/>
      <c r="O21" s="133"/>
      <c r="P21" s="48"/>
      <c r="Q21" s="133"/>
      <c r="R21" s="133"/>
    </row>
    <row r="22" spans="2:18" ht="15.65" customHeight="1"/>
    <row r="23" spans="2:18" ht="15.65" customHeight="1"/>
    <row r="24" spans="2:18" ht="15.65" customHeight="1"/>
    <row r="25" spans="2:18" ht="15.65" customHeight="1"/>
    <row r="26" spans="2:18" ht="15.65" customHeight="1"/>
    <row r="27" spans="2:18" ht="15.65" customHeight="1"/>
    <row r="28" spans="2:18" ht="15.65" customHeight="1"/>
    <row r="29" spans="2:18" ht="15.65" customHeight="1"/>
    <row r="30" spans="2:18" ht="15.65" customHeight="1"/>
  </sheetData>
  <mergeCells count="82">
    <mergeCell ref="K20:K21"/>
    <mergeCell ref="I20:I21"/>
    <mergeCell ref="I14:I15"/>
    <mergeCell ref="I18:I19"/>
    <mergeCell ref="I16:I17"/>
    <mergeCell ref="K16:K17"/>
    <mergeCell ref="K14:K15"/>
    <mergeCell ref="K18:K19"/>
    <mergeCell ref="Q14:Q15"/>
    <mergeCell ref="Q18:Q19"/>
    <mergeCell ref="Q20:Q21"/>
    <mergeCell ref="L14:L15"/>
    <mergeCell ref="L16:L17"/>
    <mergeCell ref="L18:L19"/>
    <mergeCell ref="O14:O15"/>
    <mergeCell ref="O18:O19"/>
    <mergeCell ref="O16:O17"/>
    <mergeCell ref="O20:O21"/>
    <mergeCell ref="L20:L21"/>
    <mergeCell ref="K10:K11"/>
    <mergeCell ref="L10:L11"/>
    <mergeCell ref="O10:O11"/>
    <mergeCell ref="O12:O13"/>
    <mergeCell ref="L12:L13"/>
    <mergeCell ref="K12:K13"/>
    <mergeCell ref="R14:R15"/>
    <mergeCell ref="R16:R17"/>
    <mergeCell ref="R18:R19"/>
    <mergeCell ref="R20:R21"/>
    <mergeCell ref="M5:M6"/>
    <mergeCell ref="N5:O6"/>
    <mergeCell ref="N7:O7"/>
    <mergeCell ref="O8:O9"/>
    <mergeCell ref="P5:Q6"/>
    <mergeCell ref="P7:Q7"/>
    <mergeCell ref="Q8:Q9"/>
    <mergeCell ref="Q10:Q11"/>
    <mergeCell ref="Q12:Q13"/>
    <mergeCell ref="R5:R7"/>
    <mergeCell ref="R10:R11"/>
    <mergeCell ref="R12:R13"/>
    <mergeCell ref="B4:R4"/>
    <mergeCell ref="B3:R3"/>
    <mergeCell ref="B2:R2"/>
    <mergeCell ref="R8:R9"/>
    <mergeCell ref="C5:C7"/>
    <mergeCell ref="D5:E6"/>
    <mergeCell ref="D7:E7"/>
    <mergeCell ref="I8:I9"/>
    <mergeCell ref="K8:K9"/>
    <mergeCell ref="L8:L9"/>
    <mergeCell ref="J5:K6"/>
    <mergeCell ref="J7:K7"/>
    <mergeCell ref="L5:L7"/>
    <mergeCell ref="F5:G6"/>
    <mergeCell ref="F7:G7"/>
    <mergeCell ref="H5:I6"/>
    <mergeCell ref="E20:E21"/>
    <mergeCell ref="G8:G9"/>
    <mergeCell ref="G10:G11"/>
    <mergeCell ref="G12:G13"/>
    <mergeCell ref="G14:G15"/>
    <mergeCell ref="G16:G17"/>
    <mergeCell ref="G18:G19"/>
    <mergeCell ref="G20:G21"/>
    <mergeCell ref="E8:E9"/>
    <mergeCell ref="E10:E11"/>
    <mergeCell ref="E12:E13"/>
    <mergeCell ref="E14:E15"/>
    <mergeCell ref="E16:E17"/>
    <mergeCell ref="B20:B21"/>
    <mergeCell ref="B6:B7"/>
    <mergeCell ref="B8:B9"/>
    <mergeCell ref="B10:B11"/>
    <mergeCell ref="B12:B13"/>
    <mergeCell ref="H7:I7"/>
    <mergeCell ref="B14:B15"/>
    <mergeCell ref="B16:B17"/>
    <mergeCell ref="B18:B19"/>
    <mergeCell ref="I10:I11"/>
    <mergeCell ref="I12:I13"/>
    <mergeCell ref="E18:E19"/>
  </mergeCells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13</vt:i4>
      </vt:variant>
      <vt:variant>
        <vt:lpstr>命名范围</vt:lpstr>
      </vt:variant>
      <vt:variant>
        <vt:i4>1</vt:i4>
      </vt:variant>
    </vt:vector>
  </HeadingPairs>
  <TitlesOfParts>
    <vt:vector baseType="lpstr" size="14">
      <vt:lpstr>第一页</vt:lpstr>
      <vt:lpstr>第二页反应工序</vt:lpstr>
      <vt:lpstr>第三页反应液分析数据</vt:lpstr>
      <vt:lpstr>第四页闪蒸工序</vt:lpstr>
      <vt:lpstr>第五页一次结晶工序</vt:lpstr>
      <vt:lpstr>第六页产品分析指标</vt:lpstr>
      <vt:lpstr>第七页产品收率分析表</vt:lpstr>
      <vt:lpstr>第八页周汇总数据</vt:lpstr>
      <vt:lpstr>第九页低蒸工序</vt:lpstr>
      <vt:lpstr>第十页脱色工序</vt:lpstr>
      <vt:lpstr>第十一页二次结晶工序</vt:lpstr>
      <vt:lpstr>第十二页产品原料单耗</vt:lpstr>
      <vt:lpstr>第十三页周核心指标完成情况</vt:lpstr>
      <vt:lpstr>第三页反应液分析数据!Print_Area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平 曹</cp:lastModifiedBy>
  <dcterms:modified xsi:type="dcterms:W3CDTF">2026-05-12T01:18:42Z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