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bookViews>
    <workbookView xWindow="-120" yWindow="-16320" windowWidth="29040" windowHeight="15720" tabRatio="967" activeTab="11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<![CDATA[第三页反应液分析数据!$A$1:$H$1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D13" i="16" l="1"/>
  <c r="E13" i="16"/>
  <c r="C13" i="16"/>
  <c r="M20" i="15"/>
  <c r="M18" i="15"/>
  <c r="M17" i="15"/>
  <c r="M15" i="15"/>
  <c r="M14" i="15"/>
  <c r="M13" i="15"/>
  <c r="M12" i="15"/>
  <c r="M9" i="15"/>
  <c r="M10" i="15"/>
  <c r="M8" i="15"/>
  <c r="I8" i="6"/>
  <c r="J8" i="6" s="1"/>
  <c r="I9" i="6"/>
  <c r="J9" i="6" s="1"/>
  <c r="I7" i="6"/>
  <c r="J7" i="6" s="1"/>
  <c r="E8" i="6"/>
  <c r="F8" i="6" s="1"/>
  <c r="E9" i="6"/>
  <c r="F9" i="6"/>
  <c r="E7" i="6"/>
  <c r="F7" i="6" s="1"/>
  <c r="H32" i="1"/>
  <c r="H27" i="1"/>
  <c r="H28" i="1"/>
  <c r="H29" i="1"/>
  <c r="H30" i="1"/>
  <c r="H31" i="1"/>
  <c r="H26" i="1"/>
  <c r="H5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G9" i="5" l="1"/>
  <c r="F9" i="5"/>
  <c r="E9" i="5"/>
  <c r="D9" i="5"/>
  <c r="C9" i="5"/>
  <c r="E8" i="7" l="1"/>
  <c r="E7" i="7"/>
  <c r="E6" i="7"/>
  <c r="E7" i="9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<sst xmlns="http://schemas.openxmlformats.org/spreadsheetml/2006/main" count="431" uniqueCount="241">
  <si>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</si>
  <si>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</si>
  <si>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</si>
  <si>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</si>
  <si>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</si>
  <si>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</si>
  <si>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</si>
  <si>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</si>
  <si>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</si>
  <si>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</si>
  <si>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</si>
  <si>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</si>
  <si>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</si>
  <si>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</si>
  <si>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</si>
  <si>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</si>
  <si>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</si>
  <si>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</si>
  <si>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</si>
  <si>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</si>
  <si>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</si>
  <si>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</si>
  <si>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</si>
  <si>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</si>
  <si>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</si>
  <si>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</si>
  <si>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</si>
  <si>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</si>
  <si>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</si>
  <si>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</si>
  <si>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</si>
  <si>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</si>
  <si>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</si>
  <si>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</si>
  <si>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</si>
  <si>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</si>
  <si>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</si>
  <si>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</si>
  <si>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</si>
  <si>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</si>
  <si>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</si>
  <si>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</si>
  <si>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</si>
  <si>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</si>
  <si>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</si>
  <si>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</si>
  <si>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</si>
  <si>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</si>
  <si>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</si>
  <si>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</si>
  <si>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</si>
  <si>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</si>
  <si>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</si>
  <si>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</si>
  <si>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</si>
  <si>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</si>
  <si>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</si>
  <si>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</si>
  <si>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</si>
  <si>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</si>
  <si>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</si>
  <si>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</si>
  <si>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</si>
  <si>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</si>
  <si>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</si>
  <si>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收
率
（%）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</si>
  <si>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</si>
  <si>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</si>
  <si>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</si>
  <si>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</si>
  <si>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</si>
  <si>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</si>
  <si>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</si>
  <si>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</si>
  <si>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</si>
  <si>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</si>
  <si>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</si>
  <si>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</si>
  <si>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</si>
  <si>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</si>
  <si>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</si>
  <si>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</si>
  <si>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</si>
  <si>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</si>
  <si>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</si>
  <si>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</si>
  <si>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</si>
  <si>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</si>
  <si>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</si>
  <si>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</si>
  <si>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</si>
  <si>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</si>
  <si>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</si>
  <si>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</si>
  <si>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</si>
  <si>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</si>
  <si>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</si>
  <si>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</si>
  <si>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</si>
  <si>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</si>
  <si>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</si>
  <si>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</si>
  <si>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</si>
  <si>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</si>
  <si>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</si>
  <si>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</si>
  <si>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</si>
  <si>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</si>
  <si>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</si>
  <si>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</si>
  <si>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</si>
  <si>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</si>
  <si>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</si>
  <si>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</si>
  <si>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</si>
  <si>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</si>
  <si>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</si>
  <si>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</si>
  <si>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</si>
  <si>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</si>
  <si>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</si>
  <si>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</si>
  <si>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</si>
  <si>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</si>
  <si>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</si>
  <si>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</si>
  <si>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</si>
  <si>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</si>
  <si>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</si>
  <si>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</si>
  <si>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</si>
  <si>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</si>
  <si>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</si>
  <si>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</si>
  <si>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</si>
  <si>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</si>
  <si>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</si>
  <si>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</si>
  <si>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</si>
  <si>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</si>
  <si>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</si>
  <si>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</si>
  <si>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</si>
  <si>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</si>
  <si>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</si>
  <si>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</si>
  <si>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</si>
  <si>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</si>
  <si>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</si>
  <si>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</si>
  <si>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</si>
  <si>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</si>
  <si>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上周数据</t>
    <phoneticPr fontId="1" type="noConversion"/>
  </si>
  <si>
    <t xml:space="preserve">                             指标
 时间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</si>
  <si>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</si>
  <si>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</si>
  <si>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周报-反应液分析数据表</t>
  </si>
  <si>
    <t xml:space="preserve">周报-反应工序控制参数表</t>
    <phoneticPr fontId="1" type="noConversion"/>
  </si>
  <si>
    <t xml:space="preserve">周报-闪蒸废水分析数据表</t>
    <phoneticPr fontId="1" type="noConversion"/>
  </si>
  <si>
    <t xml:space="preserve">周报-结晶工序数据分析表</t>
    <phoneticPr fontId="1" type="noConversion"/>
  </si>
  <si>
    <t xml:space="preserve">周报-产品指标分析表</t>
    <phoneticPr fontId="1" type="noConversion"/>
  </si>
  <si>
    <t xml:space="preserve">周报-产品收率数据分析表</t>
    <phoneticPr fontId="1" type="noConversion"/>
  </si>
  <si>
    <t xml:space="preserve">周报-汇总数据分析表</t>
    <phoneticPr fontId="1" type="noConversion"/>
  </si>
  <si>
    <t xml:space="preserve">周报-低蒸数据分析表</t>
    <phoneticPr fontId="1" type="noConversion"/>
  </si>
  <si>
    <t xml:space="preserve">周报-脱色工序数据分析表</t>
    <phoneticPr fontId="1" type="noConversion"/>
  </si>
  <si>
    <t xml:space="preserve">周报-二次结晶数据分析表</t>
    <phoneticPr fontId="1" type="noConversion"/>
  </si>
  <si>
    <t xml:space="preserve">周报-产品原料/动力/排放单耗数据分析表</t>
    <phoneticPr fontId="1" type="noConversion"/>
  </si>
  <si>
    <t xml:space="preserve">周报-核心指标分析汇总表</t>
    <phoneticPr fontId="1" type="noConversion"/>
  </si>
  <si>
    <t xml:space="preserve">核心指标完成情况汇总表</t>
    <phoneticPr fontId="1" type="noConversion"/>
  </si>
  <si>
    <t xml:space="preserve">二乙睛中试车间周报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</si>
  <si>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</si>
  <si>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</si>
  <si>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</si>
  <si>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一、产品</t>
    <phoneticPr fontId="1" type="noConversion"/>
  </si>
  <si>
    <t xml:space="preserve">二、原料消耗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</si>
  <si>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</si>
  <si>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</si>
  <si>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</si>
  <si>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</si>
  <si>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</si>
  <si>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</si>
  <si>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</si>
  <si>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</si>
  <si>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</si>
  <si>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</si>
  <si>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</si>
  <si>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反应压力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</si>
  <si>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</si>
  <si>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</si>
  <si>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</si>
  <si>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</si>
  <si>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</si>
  <si>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</si>
  <si>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</si>
  <si>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</si>
  <si>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反应液组成</t>
    <phoneticPr fontId="1" type="noConversion"/>
  </si>
  <si>
    <t xml:space="preserve">--</t>
    <phoneticPr fontId="1" type="noConversion"/>
  </si>
  <si>
    <t xml:space="preserve">羟基乙腈残余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</si>
  <si>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</si>
  <si>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</si>
  <si>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</si>
  <si>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</si>
  <si>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</si>
  <si>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废液组成</t>
    <phoneticPr fontId="1" type="noConversion"/>
  </si>
  <si>
    <t xml:space="preserve">羟基乙腈</t>
    <phoneticPr fontId="1" type="noConversion"/>
  </si>
  <si>
    <t xml:space="preserve">硫铵</t>
    <phoneticPr fontId="1" type="noConversion"/>
  </si>
  <si>
    <t xml:space="preserve">其它</t>
    <phoneticPr fontId="1" type="noConversion"/>
  </si>
  <si>
    <t xml:space="preserve">%</t>
  </si>
  <si>
    <t xml:space="preserve">水分</t>
    <phoneticPr fontId="1" type="noConversion"/>
  </si>
  <si>
    <t xml:space="preserve">五、其他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</si>
  <si>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</si>
  <si>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</si>
  <si>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</si>
  <si>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</si>
  <si>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</si>
  <si>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</si>
  <si>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</si>
  <si>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</si>
  <si>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</si>
  <si>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</si>
  <si>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≤20</t>
    <phoneticPr fontId="1" type="noConversion"/>
  </si>
  <si>
    <t xml:space="preserve">48±2</t>
  </si>
  <si>
    <t xml:space="preserve">≤20</t>
  </si>
  <si>
    <t xml:space="preserve">/</t>
  </si>
  <si>
    <t xml:space="preserve">≤0.38</t>
  </si>
  <si>
    <t xml:space="preserve">合格</t>
    <phoneticPr fontId="1" type="noConversion"/>
  </si>
  <si>
    <t xml:space="preserve">上上 周</t>
    <phoneticPr fontId="1" type="noConversion"/>
  </si>
  <si>
    <t xml:space="preserve">班
产
量
（kg）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</si>
  <si>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</si>
  <si>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</si>
  <si>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脱盐水
单耗</t>
    <phoneticPr fontId="1" type="noConversion"/>
  </si>
  <si>
    <t xml:space="preserve">KWh/t</t>
    <phoneticPr fontId="1" type="noConversion"/>
  </si>
  <si>
    <t xml:space="preserve">电能
单耗</t>
    <phoneticPr fontId="1" type="noConversion"/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</si>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</sst>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  <numFmt numFmtId="181" formatCode="0.000_ "/>
    <numFmt numFmtId="182" formatCode="\+0.00;\-0.00;0"/>
  </numFmts>
  <fonts count="2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0"/>
      <color rgb="FF00B05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indexed="64"/>
      </right>
      <top style="thin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2" xfId="0" applyFont="1" applyBorder="1" applyAlignment="1">
      <alignment wrapText="1"/>
    </xf>
    <xf numFmtId="0" fontId="3" fillId="0" borderId="22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0" fillId="0" borderId="22" xfId="0" applyBorder="1"/>
    <xf numFmtId="0" fontId="2" fillId="0" borderId="22" xfId="0" applyFont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/>
    </xf>
    <xf numFmtId="0" fontId="16" fillId="5" borderId="37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5" fillId="0" borderId="22" xfId="0" applyFont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7" fillId="0" borderId="41" xfId="0" applyFont="1" applyBorder="1" applyAlignment="1">
      <alignment horizontal="left" vertical="center"/>
    </xf>
    <xf numFmtId="0" fontId="17" fillId="0" borderId="22" xfId="0" applyFont="1" applyBorder="1" applyAlignment="1">
      <alignment horizontal="center" vertical="center"/>
    </xf>
    <xf numFmtId="180" fontId="3" fillId="0" borderId="22" xfId="0" applyNumberFormat="1" applyFont="1" applyBorder="1" applyAlignment="1">
      <alignment horizontal="center" vertical="center"/>
    </xf>
    <xf numFmtId="180" fontId="3" fillId="0" borderId="2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17" fillId="0" borderId="22" xfId="0" quotePrefix="1" applyFont="1" applyBorder="1" applyAlignment="1">
      <alignment horizontal="center" vertical="center"/>
    </xf>
    <xf numFmtId="0" fontId="3" fillId="0" borderId="22" xfId="0" quotePrefix="1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181" fontId="18" fillId="0" borderId="22" xfId="0" applyNumberFormat="1" applyFont="1" applyBorder="1" applyAlignment="1">
      <alignment horizontal="center" vertical="center"/>
    </xf>
    <xf numFmtId="181" fontId="17" fillId="0" borderId="22" xfId="0" quotePrefix="1" applyNumberFormat="1" applyFont="1" applyBorder="1" applyAlignment="1">
      <alignment horizontal="center" vertical="center"/>
    </xf>
    <xf numFmtId="181" fontId="18" fillId="0" borderId="45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181" fontId="19" fillId="0" borderId="45" xfId="0" applyNumberFormat="1" applyFont="1" applyBorder="1" applyAlignment="1">
      <alignment horizontal="center" vertical="center"/>
    </xf>
    <xf numFmtId="180" fontId="14" fillId="0" borderId="22" xfId="0" applyNumberFormat="1" applyFont="1" applyBorder="1" applyAlignment="1">
      <alignment horizontal="center" vertical="center"/>
    </xf>
    <xf numFmtId="182" fontId="3" fillId="0" borderId="22" xfId="0" applyNumberFormat="1" applyFont="1" applyBorder="1" applyAlignment="1">
      <alignment horizontal="center" vertical="center"/>
    </xf>
    <xf numFmtId="180" fontId="2" fillId="0" borderId="22" xfId="0" applyNumberFormat="1" applyFont="1" applyBorder="1" applyAlignment="1">
      <alignment horizontal="center" vertical="center"/>
    </xf>
    <xf numFmtId="180" fontId="0" fillId="0" borderId="22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2" fillId="2" borderId="22" xfId="0" applyNumberFormat="1" applyFont="1" applyFill="1" applyBorder="1" applyAlignment="1">
      <alignment horizontal="center" vertical="center"/>
    </xf>
    <xf numFmtId="180" fontId="0" fillId="2" borderId="22" xfId="0" applyNumberFormat="1" applyFill="1" applyBorder="1" applyAlignment="1">
      <alignment horizontal="center" vertical="center"/>
    </xf>
    <xf numFmtId="176" fontId="21" fillId="2" borderId="22" xfId="0" applyNumberFormat="1" applyFont="1" applyFill="1" applyBorder="1" applyAlignment="1">
      <alignment horizontal="center" vertical="center"/>
    </xf>
    <xf numFmtId="176" fontId="20" fillId="2" borderId="22" xfId="0" applyNumberFormat="1" applyFont="1" applyFill="1" applyBorder="1" applyAlignment="1">
      <alignment horizontal="center" vertical="center"/>
    </xf>
    <xf numFmtId="180" fontId="2" fillId="4" borderId="22" xfId="0" applyNumberFormat="1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180" fontId="14" fillId="2" borderId="22" xfId="0" applyNumberFormat="1" applyFont="1" applyFill="1" applyBorder="1" applyAlignment="1">
      <alignment horizontal="center" vertical="center"/>
    </xf>
    <xf numFmtId="180" fontId="3" fillId="2" borderId="22" xfId="0" applyNumberFormat="1" applyFont="1" applyFill="1" applyBorder="1" applyAlignment="1">
      <alignment horizontal="center" vertical="center"/>
    </xf>
    <xf numFmtId="182" fontId="3" fillId="2" borderId="22" xfId="0" applyNumberFormat="1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180" fontId="2" fillId="0" borderId="57" xfId="0" applyNumberFormat="1" applyFon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57" xfId="0" applyNumberForma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180" fontId="2" fillId="0" borderId="62" xfId="0" applyNumberFormat="1" applyFont="1" applyBorder="1" applyAlignment="1">
      <alignment horizontal="center" vertical="center"/>
    </xf>
    <xf numFmtId="180" fontId="2" fillId="0" borderId="64" xfId="0" applyNumberFormat="1" applyFont="1" applyBorder="1" applyAlignment="1">
      <alignment horizontal="center" vertical="center"/>
    </xf>
    <xf numFmtId="180" fontId="0" fillId="0" borderId="64" xfId="0" applyNumberFormat="1" applyBorder="1" applyAlignment="1">
      <alignment horizontal="center" vertical="center"/>
    </xf>
    <xf numFmtId="180" fontId="2" fillId="0" borderId="65" xfId="0" applyNumberFormat="1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63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176" fontId="21" fillId="0" borderId="57" xfId="0" applyNumberFormat="1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180" fontId="2" fillId="0" borderId="57" xfId="0" applyNumberFormat="1" applyFont="1" applyBorder="1" applyAlignment="1">
      <alignment vertical="center"/>
    </xf>
    <xf numFmtId="0" fontId="19" fillId="0" borderId="57" xfId="0" applyFont="1" applyBorder="1" applyAlignment="1">
      <alignment vertical="center"/>
    </xf>
    <xf numFmtId="180" fontId="0" fillId="2" borderId="5" xfId="0" applyNumberForma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20" fillId="2" borderId="72" xfId="0" applyFont="1" applyFill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20" fillId="0" borderId="74" xfId="0" applyFon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180" fontId="0" fillId="2" borderId="72" xfId="0" applyNumberFormat="1" applyFill="1" applyBorder="1" applyAlignment="1">
      <alignment horizontal="center" vertical="center"/>
    </xf>
    <xf numFmtId="180" fontId="0" fillId="0" borderId="72" xfId="0" applyNumberFormat="1" applyBorder="1" applyAlignment="1">
      <alignment horizontal="center" vertical="center"/>
    </xf>
    <xf numFmtId="0" fontId="0" fillId="2" borderId="77" xfId="0" applyFill="1" applyBorder="1" applyAlignment="1">
      <alignment horizontal="center" vertical="center"/>
    </xf>
    <xf numFmtId="180" fontId="0" fillId="2" borderId="78" xfId="0" applyNumberFormat="1" applyFill="1" applyBorder="1" applyAlignment="1">
      <alignment horizontal="center" vertical="center"/>
    </xf>
    <xf numFmtId="180" fontId="0" fillId="2" borderId="79" xfId="0" applyNumberFormat="1" applyFill="1" applyBorder="1" applyAlignment="1">
      <alignment horizontal="center" vertical="center"/>
    </xf>
    <xf numFmtId="181" fontId="3" fillId="0" borderId="22" xfId="0" applyNumberFormat="1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5" borderId="34" xfId="0" applyFont="1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3" fillId="0" borderId="22" xfId="0" applyFont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2" fillId="2" borderId="22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0" fontId="22" fillId="0" borderId="61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2" fillId="0" borderId="62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17" xfId="0" applyBorder="1"/>
    <xf numFmtId="180" fontId="0" fillId="0" borderId="27" xfId="0" applyNumberFormat="1" applyBorder="1" applyAlignment="1">
      <alignment horizontal="center" vertical="center"/>
    </xf>
    <xf numFmtId="180" fontId="0" fillId="0" borderId="28" xfId="0" applyNumberFormat="1" applyBorder="1" applyAlignment="1">
      <alignment horizontal="center" vertical="center"/>
    </xf>
    <xf numFmtId="180" fontId="0" fillId="0" borderId="24" xfId="0" applyNumberFormat="1" applyBorder="1" applyAlignment="1">
      <alignment horizontal="center" vertical="center"/>
    </xf>
    <xf numFmtId="180" fontId="0" fillId="0" borderId="16" xfId="0" applyNumberFormat="1" applyBorder="1" applyAlignment="1">
      <alignment horizontal="center" vertical="center"/>
    </xf>
    <xf numFmtId="180" fontId="0" fillId="0" borderId="26" xfId="0" applyNumberFormat="1" applyBorder="1" applyAlignment="1">
      <alignment horizontal="center" vertical="center"/>
    </xf>
    <xf numFmtId="180" fontId="0" fillId="0" borderId="19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2" fillId="0" borderId="22" xfId="0" applyFont="1" applyBorder="1" applyAlignment="1">
      <alignment wrapText="1"/>
    </xf>
    <xf numFmtId="0" fontId="3" fillId="0" borderId="22" xfId="0" applyFont="1" applyBorder="1"/>
    <xf numFmtId="0" fontId="9" fillId="0" borderId="22" xfId="0" applyFont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180" fontId="2" fillId="0" borderId="22" xfId="0" applyNumberFormat="1" applyFont="1" applyBorder="1" applyAlignment="1">
      <alignment horizontal="center" vertical="center"/>
    </xf>
    <xf numFmtId="180" fontId="0" fillId="0" borderId="22" xfId="0" applyNumberFormat="1" applyBorder="1" applyAlignment="1">
      <alignment horizontal="center" vertical="center"/>
    </xf>
    <xf numFmtId="180" fontId="2" fillId="4" borderId="22" xfId="0" applyNumberFormat="1" applyFont="1" applyFill="1" applyBorder="1" applyAlignment="1">
      <alignment horizontal="center" vertical="center"/>
    </xf>
    <xf numFmtId="57" fontId="2" fillId="0" borderId="22" xfId="0" applyNumberFormat="1" applyFont="1" applyBorder="1" applyAlignment="1">
      <alignment horizontal="center" vertical="center"/>
    </xf>
    <xf numFmtId="180" fontId="0" fillId="4" borderId="22" xfId="0" applyNumberForma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7.vml" /><Relationship Id="rId3" Type="http://schemas.openxmlformats.org/officeDocument/2006/relationships/comments" Target="../comments7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zoomScaleNormal="100" workbookViewId="0">
      <selection activeCell="L25" sqref="L25"/>
    </sheetView>
  </sheetViews>
  <sheetFormatPr defaultRowHeight="18.5" customHeight="1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48" t="s">
        <v>169</v>
      </c>
      <c r="C2" s="149"/>
      <c r="D2" s="149"/>
      <c r="E2" s="149"/>
      <c r="F2" s="149"/>
      <c r="G2" s="149"/>
      <c r="H2" s="149"/>
      <c r="I2" s="149"/>
      <c r="J2" s="150"/>
    </row>
    <row r="3" spans="2:10" ht="14">
      <c r="B3" s="61"/>
      <c r="C3" s="62"/>
      <c r="D3" s="62"/>
      <c r="E3" s="62"/>
      <c r="F3" s="62"/>
      <c r="G3" s="63" t="s">
        <v>233</v>
      </c>
      <c r="H3" s="151" t="s">
        <v>234</v>
      </c>
      <c r="I3" s="151"/>
      <c r="J3" s="152"/>
    </row>
    <row r="4" spans="2:10" ht="21">
      <c r="B4" s="145" t="s">
        <v>16</v>
      </c>
      <c r="C4" s="146"/>
      <c r="D4" s="147"/>
      <c r="E4" s="64" t="s">
        <v>39</v>
      </c>
      <c r="F4" s="64" t="s">
        <v>170</v>
      </c>
      <c r="G4" s="64" t="s">
        <v>171</v>
      </c>
      <c r="H4" s="153" t="s">
        <v>172</v>
      </c>
      <c r="I4" s="147"/>
      <c r="J4" s="65" t="s">
        <v>60</v>
      </c>
    </row>
    <row r="5" spans="2:10" ht="14">
      <c r="B5" s="66" t="s">
        <v>173</v>
      </c>
      <c r="C5" s="130" t="s">
        <v>148</v>
      </c>
      <c r="D5" s="130"/>
      <c r="E5" s="67" t="s">
        <v>55</v>
      </c>
      <c r="F5" s="75">
        <v>90</v>
      </c>
      <c r="G5" s="78">
        <v>94.66666412353516</v>
      </c>
      <c r="H5" s="68">
        <f>(G5-F5)/F5*100</f>
        <v>-22.222222222222221</v>
      </c>
      <c r="I5" s="69" t="s">
        <v>55</v>
      </c>
      <c r="J5" s="70"/>
    </row>
    <row r="6" spans="2:10" ht="14">
      <c r="B6" s="127" t="s">
        <v>174</v>
      </c>
      <c r="C6" s="130" t="s">
        <v>175</v>
      </c>
      <c r="D6" s="130"/>
      <c r="E6" s="67" t="s">
        <v>92</v>
      </c>
      <c r="F6" s="75" t="s">
        <v>210</v>
      </c>
      <c r="G6" s="78">
        <v>6.297865390777588</v>
      </c>
      <c r="H6" s="45" t="str">
        <f>IF($G6="","",IF(AND($G6&gt;=0,$G6&lt;=1427),"合格","不合格"))</f>
        <v/>
      </c>
      <c r="I6" s="71" t="s">
        <v>12</v>
      </c>
      <c r="J6" s="70"/>
    </row>
    <row r="7" spans="2:10" ht="14">
      <c r="B7" s="128"/>
      <c r="C7" s="130" t="s">
        <v>176</v>
      </c>
      <c r="D7" s="130"/>
      <c r="E7" s="67" t="s">
        <v>92</v>
      </c>
      <c r="F7" s="75" t="s">
        <v>211</v>
      </c>
      <c r="G7" s="78">
        <v>0.46439099311828613</v>
      </c>
      <c r="H7" s="45" t="str">
        <f>IF($G7="","",IF(AND($G7&gt;=210,$G7&lt;=220),"合格","不合格"))</f>
        <v/>
      </c>
      <c r="I7" s="71" t="s">
        <v>12</v>
      </c>
      <c r="J7" s="70"/>
    </row>
    <row r="8" spans="2:10" ht="14">
      <c r="B8" s="129"/>
      <c r="C8" s="130" t="s">
        <v>177</v>
      </c>
      <c r="D8" s="130"/>
      <c r="E8" s="67" t="s">
        <v>92</v>
      </c>
      <c r="F8" s="75" t="s">
        <v>212</v>
      </c>
      <c r="G8" s="78">
        <v>0.41271114349365234</v>
      </c>
      <c r="H8" s="45" t="str">
        <f>IF($G8="","",IF(AND($G8&gt;=190,$G8&lt;=210),"合格","不合格"))</f>
        <v/>
      </c>
      <c r="I8" s="71" t="s">
        <v>12</v>
      </c>
      <c r="J8" s="70"/>
    </row>
    <row r="9" spans="2:10" ht="14">
      <c r="B9" s="127" t="s">
        <v>178</v>
      </c>
      <c r="C9" s="67" t="s">
        <v>179</v>
      </c>
      <c r="D9" s="67" t="s">
        <v>180</v>
      </c>
      <c r="E9" s="67" t="s">
        <v>181</v>
      </c>
      <c r="F9" s="75" t="s">
        <v>213</v>
      </c>
      <c r="G9" s="78">
        <v>415.6184997558594</v>
      </c>
      <c r="H9" s="45" t="str">
        <f>IF($G9="","",IF(AND($G9&gt;=412,$G9&lt;=422),"合格","不合格"))</f>
        <v/>
      </c>
      <c r="I9" s="71" t="s">
        <v>12</v>
      </c>
      <c r="J9" s="70"/>
    </row>
    <row r="10" spans="2:10" ht="14">
      <c r="B10" s="128"/>
      <c r="C10" s="130" t="s">
        <v>182</v>
      </c>
      <c r="D10" s="67" t="s">
        <v>183</v>
      </c>
      <c r="E10" s="71" t="s">
        <v>12</v>
      </c>
      <c r="F10" s="75" t="s">
        <v>214</v>
      </c>
      <c r="G10" s="78"/>
      <c r="H10" s="45" t="str">
        <f>IF($G10="","",IF(AND($G10&gt;=0.525,$G10&lt;=0.5357),"合格","不合格"))</f>
        <v/>
      </c>
      <c r="I10" s="71" t="s">
        <v>12</v>
      </c>
      <c r="J10" s="70"/>
    </row>
    <row r="11" spans="2:10" ht="14">
      <c r="B11" s="128"/>
      <c r="C11" s="130"/>
      <c r="D11" s="67" t="s">
        <v>184</v>
      </c>
      <c r="E11" s="67" t="s">
        <v>185</v>
      </c>
      <c r="F11" s="75">
        <v>46.63</v>
      </c>
      <c r="G11" s="78">
        <v>35.362998962402344</v>
      </c>
      <c r="H11" s="45" t="s">
        <v>225</v>
      </c>
      <c r="I11" s="71" t="s">
        <v>12</v>
      </c>
      <c r="J11" s="70"/>
    </row>
    <row r="12" spans="2:10" ht="14">
      <c r="B12" s="128"/>
      <c r="C12" s="130"/>
      <c r="D12" s="67" t="s">
        <v>186</v>
      </c>
      <c r="E12" s="67" t="s">
        <v>15</v>
      </c>
      <c r="F12" s="75" t="s">
        <v>215</v>
      </c>
      <c r="G12" s="78">
        <v>0.4675937294960022</v>
      </c>
      <c r="H12" s="45" t="str">
        <f>IF($G12="","",IF(AND($G12&gt;=0.745,$G12&lt;=0.755),"合格","不合格"))</f>
        <v/>
      </c>
      <c r="I12" s="71" t="s">
        <v>12</v>
      </c>
      <c r="J12" s="70"/>
    </row>
    <row r="13" spans="2:10" ht="14">
      <c r="B13" s="128"/>
      <c r="C13" s="130"/>
      <c r="D13" s="67" t="s">
        <v>187</v>
      </c>
      <c r="E13" s="67" t="s">
        <v>13</v>
      </c>
      <c r="F13" s="75" t="s">
        <v>216</v>
      </c>
      <c r="G13" s="78">
        <v>92.9828109741211</v>
      </c>
      <c r="H13" s="45" t="str">
        <f>IF($G13="","",IF(AND($G13&gt;=88,$G13&lt;=92),"合格","不合格"))</f>
        <v/>
      </c>
      <c r="I13" s="71" t="s">
        <v>12</v>
      </c>
      <c r="J13" s="70"/>
    </row>
    <row r="14" spans="2:10" ht="14">
      <c r="B14" s="128"/>
      <c r="C14" s="130"/>
      <c r="D14" s="67" t="s">
        <v>188</v>
      </c>
      <c r="E14" s="67" t="s">
        <v>13</v>
      </c>
      <c r="F14" s="75" t="s">
        <v>217</v>
      </c>
      <c r="G14" s="78">
        <v>150.52804565429688</v>
      </c>
      <c r="H14" s="45" t="str">
        <f>IF($G14="","",IF(AND($G14&gt;=143,$G14&lt;=147),"合格","不合格"))</f>
        <v/>
      </c>
      <c r="I14" s="71" t="s">
        <v>12</v>
      </c>
      <c r="J14" s="70"/>
    </row>
    <row r="15" spans="2:10" ht="14">
      <c r="B15" s="128"/>
      <c r="C15" s="130"/>
      <c r="D15" s="67" t="s">
        <v>189</v>
      </c>
      <c r="E15" s="67" t="s">
        <v>13</v>
      </c>
      <c r="F15" s="75" t="s">
        <v>218</v>
      </c>
      <c r="G15" s="78">
        <v>165.41043090820312</v>
      </c>
      <c r="H15" s="45" t="str">
        <f>IF($G15="","",IF(AND($G15&gt;=166,$G15&lt;=170),"合格","不合格"))</f>
        <v/>
      </c>
      <c r="I15" s="71" t="s">
        <v>12</v>
      </c>
      <c r="J15" s="70"/>
    </row>
    <row r="16" spans="2:10" ht="14">
      <c r="B16" s="128"/>
      <c r="C16" s="130" t="s">
        <v>190</v>
      </c>
      <c r="D16" s="67" t="s">
        <v>191</v>
      </c>
      <c r="E16" s="67" t="s">
        <v>13</v>
      </c>
      <c r="F16" s="75" t="s">
        <v>219</v>
      </c>
      <c r="G16" s="78">
        <v>47.917972564697266</v>
      </c>
      <c r="H16" s="45" t="str">
        <f>IF($G16="","",IF(AND($G16&gt;=0,$G16&lt;=45),"合格","不合格"))</f>
        <v/>
      </c>
      <c r="I16" s="71" t="s">
        <v>12</v>
      </c>
      <c r="J16" s="70"/>
    </row>
    <row r="17" spans="2:10" ht="14">
      <c r="B17" s="128"/>
      <c r="C17" s="130"/>
      <c r="D17" s="67" t="s">
        <v>192</v>
      </c>
      <c r="E17" s="67" t="s">
        <v>13</v>
      </c>
      <c r="F17" s="75" t="s">
        <v>220</v>
      </c>
      <c r="G17" s="78">
        <v>19.939241409301758</v>
      </c>
      <c r="H17" s="45" t="str">
        <f>IF($G17="","",IF(AND($G17&gt;=0,$G17&lt;=20),"合格","不合格"))</f>
        <v/>
      </c>
      <c r="I17" s="71" t="s">
        <v>12</v>
      </c>
      <c r="J17" s="70"/>
    </row>
    <row r="18" spans="2:10" ht="14">
      <c r="B18" s="128"/>
      <c r="C18" s="130"/>
      <c r="D18" s="67" t="s">
        <v>193</v>
      </c>
      <c r="E18" s="67" t="s">
        <v>13</v>
      </c>
      <c r="F18" s="75" t="s">
        <v>221</v>
      </c>
      <c r="G18" s="78"/>
      <c r="H18" s="45" t="str">
        <f>IF($G18="","",IF(AND($G18&gt;=46,$G18&lt;=50),"合格","不合格"))</f>
        <v/>
      </c>
      <c r="I18" s="71" t="s">
        <v>12</v>
      </c>
      <c r="J18" s="70"/>
    </row>
    <row r="19" spans="2:10" ht="14">
      <c r="B19" s="128"/>
      <c r="C19" s="130"/>
      <c r="D19" s="67" t="s">
        <v>194</v>
      </c>
      <c r="E19" s="67" t="s">
        <v>13</v>
      </c>
      <c r="F19" s="75" t="s">
        <v>222</v>
      </c>
      <c r="G19" s="78">
        <v>25.393146514892578</v>
      </c>
      <c r="H19" s="45" t="str">
        <f>IF($G19="","",IF(AND($G19&gt;=0,$G19&lt;=20),"合格","不合格"))</f>
        <v/>
      </c>
      <c r="I19" s="71" t="s">
        <v>12</v>
      </c>
      <c r="J19" s="70"/>
    </row>
    <row r="20" spans="2:10" ht="14">
      <c r="B20" s="128"/>
      <c r="C20" s="130" t="s">
        <v>195</v>
      </c>
      <c r="D20" s="67" t="s">
        <v>21</v>
      </c>
      <c r="E20" s="67" t="s">
        <v>55</v>
      </c>
      <c r="F20" s="76" t="s">
        <v>223</v>
      </c>
      <c r="G20" s="78">
        <v>12</v>
      </c>
      <c r="H20" s="72" t="s">
        <v>196</v>
      </c>
      <c r="I20" s="71" t="s">
        <v>12</v>
      </c>
      <c r="J20" s="70"/>
    </row>
    <row r="21" spans="2:10" ht="14">
      <c r="B21" s="128"/>
      <c r="C21" s="130"/>
      <c r="D21" s="67" t="s">
        <v>197</v>
      </c>
      <c r="E21" s="67" t="s">
        <v>55</v>
      </c>
      <c r="F21" s="76" t="s">
        <v>223</v>
      </c>
      <c r="G21" s="78">
        <v>24</v>
      </c>
      <c r="H21" s="72" t="s">
        <v>196</v>
      </c>
      <c r="I21" s="71" t="s">
        <v>12</v>
      </c>
      <c r="J21" s="70"/>
    </row>
    <row r="22" spans="2:10" ht="14">
      <c r="B22" s="128"/>
      <c r="C22" s="130"/>
      <c r="D22" s="67" t="s">
        <v>31</v>
      </c>
      <c r="E22" s="71" t="s">
        <v>12</v>
      </c>
      <c r="F22" s="76" t="s">
        <v>223</v>
      </c>
      <c r="G22" s="78">
        <v>48</v>
      </c>
      <c r="H22" s="72" t="s">
        <v>196</v>
      </c>
      <c r="I22" s="71" t="s">
        <v>12</v>
      </c>
      <c r="J22" s="70"/>
    </row>
    <row r="23" spans="2:10" ht="14">
      <c r="B23" s="128"/>
      <c r="C23" s="130"/>
      <c r="D23" s="67" t="s">
        <v>198</v>
      </c>
      <c r="E23" s="67" t="s">
        <v>181</v>
      </c>
      <c r="F23" s="76" t="s">
        <v>223</v>
      </c>
      <c r="G23" s="78">
        <v>36</v>
      </c>
      <c r="H23" s="72" t="s">
        <v>196</v>
      </c>
      <c r="I23" s="71" t="s">
        <v>12</v>
      </c>
      <c r="J23" s="70"/>
    </row>
    <row r="24" spans="2:10" ht="14">
      <c r="B24" s="129"/>
      <c r="C24" s="130"/>
      <c r="D24" s="67" t="s">
        <v>199</v>
      </c>
      <c r="E24" s="67" t="s">
        <v>181</v>
      </c>
      <c r="F24" s="76" t="s">
        <v>223</v>
      </c>
      <c r="G24" s="78">
        <v>42</v>
      </c>
      <c r="H24" s="72" t="s">
        <v>196</v>
      </c>
      <c r="I24" s="71" t="s">
        <v>12</v>
      </c>
      <c r="J24" s="70"/>
    </row>
    <row r="25" spans="2:10" ht="14">
      <c r="B25" s="134" t="s">
        <v>155</v>
      </c>
      <c r="C25" s="67" t="s">
        <v>200</v>
      </c>
      <c r="D25" s="67" t="s">
        <v>201</v>
      </c>
      <c r="E25" s="67" t="s">
        <v>202</v>
      </c>
      <c r="F25" s="75" t="s">
        <v>224</v>
      </c>
      <c r="G25" s="78">
        <v>2.087376832962036</v>
      </c>
      <c r="H25" s="45" t="str">
        <f>IF($G25="","",IF(AND($G25&gt;=0,$G25&lt;=0.38),"合格","不合格"))</f>
        <v/>
      </c>
      <c r="I25" s="71" t="s">
        <v>12</v>
      </c>
      <c r="J25" s="70"/>
    </row>
    <row r="26" spans="2:10" ht="14">
      <c r="B26" s="134"/>
      <c r="C26" s="130" t="s">
        <v>203</v>
      </c>
      <c r="D26" s="67" t="s">
        <v>204</v>
      </c>
      <c r="E26" s="67" t="s">
        <v>55</v>
      </c>
      <c r="F26" s="75">
        <v>7</v>
      </c>
      <c r="G26" s="78">
        <v>88</v>
      </c>
      <c r="H26" s="68">
        <f>(G26-F26)</f>
        <v>-7</v>
      </c>
      <c r="I26" s="71" t="s">
        <v>55</v>
      </c>
      <c r="J26" s="70"/>
    </row>
    <row r="27" spans="2:10" ht="14">
      <c r="B27" s="134"/>
      <c r="C27" s="130"/>
      <c r="D27" s="67" t="s">
        <v>205</v>
      </c>
      <c r="E27" s="67" t="s">
        <v>55</v>
      </c>
      <c r="F27" s="75">
        <v>15</v>
      </c>
      <c r="G27" s="78">
        <v>77</v>
      </c>
      <c r="H27" s="68">
        <f t="shared" ref="H27:H31" si="0">(G27-F27)</f>
        <v>-15</v>
      </c>
      <c r="I27" s="71" t="s">
        <v>55</v>
      </c>
      <c r="J27" s="70"/>
    </row>
    <row r="28" spans="2:10" ht="14">
      <c r="B28" s="134"/>
      <c r="C28" s="130"/>
      <c r="D28" s="67" t="s">
        <v>116</v>
      </c>
      <c r="E28" s="67" t="s">
        <v>55</v>
      </c>
      <c r="F28" s="75">
        <v>4</v>
      </c>
      <c r="G28" s="78">
        <v>66</v>
      </c>
      <c r="H28" s="68">
        <f t="shared" si="0"/>
        <v>-4</v>
      </c>
      <c r="I28" s="71" t="s">
        <v>55</v>
      </c>
      <c r="J28" s="70"/>
    </row>
    <row r="29" spans="2:10" ht="14">
      <c r="B29" s="134"/>
      <c r="C29" s="130"/>
      <c r="D29" s="67" t="s">
        <v>198</v>
      </c>
      <c r="E29" s="67" t="s">
        <v>55</v>
      </c>
      <c r="F29" s="75">
        <v>7</v>
      </c>
      <c r="G29" s="78">
        <v>55</v>
      </c>
      <c r="H29" s="68">
        <f t="shared" si="0"/>
        <v>-7</v>
      </c>
      <c r="I29" s="71" t="s">
        <v>55</v>
      </c>
      <c r="J29" s="70"/>
    </row>
    <row r="30" spans="2:10" ht="14">
      <c r="B30" s="134"/>
      <c r="C30" s="130"/>
      <c r="D30" s="67" t="s">
        <v>199</v>
      </c>
      <c r="E30" s="67" t="s">
        <v>55</v>
      </c>
      <c r="F30" s="75">
        <v>7</v>
      </c>
      <c r="G30" s="78">
        <v>44</v>
      </c>
      <c r="H30" s="68">
        <f t="shared" si="0"/>
        <v>-7</v>
      </c>
      <c r="I30" s="71" t="s">
        <v>55</v>
      </c>
      <c r="J30" s="70"/>
    </row>
    <row r="31" spans="2:10" ht="14">
      <c r="B31" s="134"/>
      <c r="C31" s="130"/>
      <c r="D31" s="67" t="s">
        <v>206</v>
      </c>
      <c r="E31" s="67" t="s">
        <v>207</v>
      </c>
      <c r="F31" s="75">
        <v>10</v>
      </c>
      <c r="G31" s="78">
        <v>33</v>
      </c>
      <c r="H31" s="68">
        <f t="shared" si="0"/>
        <v>-10</v>
      </c>
      <c r="I31" s="71" t="s">
        <v>55</v>
      </c>
      <c r="J31" s="70"/>
    </row>
    <row r="32" spans="2:10" ht="14.5" thickBot="1">
      <c r="B32" s="127"/>
      <c r="C32" s="135"/>
      <c r="D32" s="74" t="s">
        <v>208</v>
      </c>
      <c r="E32" s="74" t="s">
        <v>55</v>
      </c>
      <c r="F32" s="77">
        <v>50</v>
      </c>
      <c r="G32" s="79">
        <v>22</v>
      </c>
      <c r="H32" s="68">
        <f>(G32-F32)</f>
        <v>-50</v>
      </c>
      <c r="I32" s="71" t="s">
        <v>55</v>
      </c>
      <c r="J32" s="73"/>
    </row>
    <row r="33" spans="2:10" ht="14">
      <c r="B33" s="131" t="s">
        <v>209</v>
      </c>
      <c r="C33" s="136"/>
      <c r="D33" s="137"/>
      <c r="E33" s="137"/>
      <c r="F33" s="137"/>
      <c r="G33" s="137"/>
      <c r="H33" s="137"/>
      <c r="I33" s="137"/>
      <c r="J33" s="138"/>
    </row>
    <row r="34" spans="2:10" ht="14">
      <c r="B34" s="132"/>
      <c r="C34" s="139"/>
      <c r="D34" s="140"/>
      <c r="E34" s="140"/>
      <c r="F34" s="140"/>
      <c r="G34" s="140"/>
      <c r="H34" s="140"/>
      <c r="I34" s="140"/>
      <c r="J34" s="141"/>
    </row>
    <row r="35" spans="2:10" ht="14.5" thickBot="1">
      <c r="B35" s="133"/>
      <c r="C35" s="142"/>
      <c r="D35" s="143"/>
      <c r="E35" s="143"/>
      <c r="F35" s="143"/>
      <c r="G35" s="143"/>
      <c r="H35" s="143"/>
      <c r="I35" s="143"/>
      <c r="J35" s="144"/>
    </row>
  </sheetData>
  <sheetCalcPr fullCalcOnLoad="1"/>
  <mergeCells count="17">
    <mergeCell ref="B4:D4"/>
    <mergeCell ref="C5:D5"/>
    <mergeCell ref="B2:J2"/>
    <mergeCell ref="H3:J3"/>
    <mergeCell ref="H4:I4"/>
    <mergeCell ref="B6:B8"/>
    <mergeCell ref="C6:D6"/>
    <mergeCell ref="C7:D7"/>
    <mergeCell ref="C8:D8"/>
    <mergeCell ref="B33:B35"/>
    <mergeCell ref="B9:B24"/>
    <mergeCell ref="C10:C15"/>
    <mergeCell ref="C16:C19"/>
    <mergeCell ref="C20:C24"/>
    <mergeCell ref="B25:B32"/>
    <mergeCell ref="C26:C32"/>
    <mergeCell ref="C33:J35"/>
  </mergeCells>
  <phoneticPr fontId="1" type="noConversion"/>
  <conditionalFormatting sqref="H5">
    <cfRule type="cellIs" dxfId="15" priority="29" aboveAverage="1" operator="equal">
      <formula>0</formula>
    </cfRule>
    <cfRule type="cellIs" dxfId="14" priority="30" aboveAverage="1" operator="lessThan">
      <formula>0</formula>
    </cfRule>
    <cfRule type="cellIs" dxfId="13" priority="31" aboveAverage="1" operator="greaterThan">
      <formula>0</formula>
    </cfRule>
  </conditionalFormatting>
  <conditionalFormatting sqref="H6:H19">
    <cfRule type="cellIs" dxfId="12" priority="32" aboveAverage="1" operator="equal">
      <formula>"合格"</formula>
    </cfRule>
    <cfRule type="cellIs" dxfId="11" priority="33" aboveAverage="1" operator="equal">
      <formula>"不合格"</formula>
    </cfRule>
    <cfRule type="containsText" dxfId="10" priority="34" aboveAverage="1" operator="containsText" text="不合格">
      <formula>NOT(ISERROR(SEARCH("不合格",H6)))</formula>
    </cfRule>
    <cfRule type="cellIs" dxfId="9" priority="35" aboveAverage="1" operator="equal">
      <formula>"合格"</formula>
    </cfRule>
  </conditionalFormatting>
  <conditionalFormatting sqref="H25">
    <cfRule type="cellIs" dxfId="8" priority="25" aboveAverage="1" operator="equal">
      <formula>"合格"</formula>
    </cfRule>
    <cfRule type="cellIs" dxfId="7" priority="26" aboveAverage="1" operator="equal">
      <formula>"不合格"</formula>
    </cfRule>
    <cfRule type="containsText" dxfId="6" priority="27" aboveAverage="1" operator="containsText" text="不合格">
      <formula>NOT(ISERROR(SEARCH("不合格",H25)))</formula>
    </cfRule>
    <cfRule type="cellIs" dxfId="5" priority="28" aboveAverage="1" operator="equal">
      <formula>"合格"</formula>
    </cfRule>
  </conditionalFormatting>
  <conditionalFormatting sqref="H26:H31">
    <cfRule type="cellIs" dxfId="4" priority="23" aboveAverage="1" operator="greaterThan">
      <formula>0</formula>
    </cfRule>
    <cfRule type="cellIs" dxfId="3" priority="24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0" width="9" style="2"/>
  </cols>
  <sheetData>
    <row r="2" spans="2:11" ht="27.75" customHeight="1">
      <c r="B2" s="156" t="s">
        <v>157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1" ht="15" customHeight="1">
      <c r="B3" s="154"/>
      <c r="C3" s="155"/>
      <c r="D3" s="155"/>
      <c r="E3" s="155"/>
      <c r="F3" s="155"/>
      <c r="G3" s="155"/>
      <c r="H3" s="155"/>
      <c r="I3" s="155"/>
      <c r="J3" s="155"/>
      <c r="K3" s="155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0" t="s">
        <v>233</v>
      </c>
      <c r="C5" s="51" t="s">
        <v>11</v>
      </c>
      <c r="D5" s="51" t="s">
        <v>10</v>
      </c>
      <c r="E5" s="51" t="s">
        <v>10</v>
      </c>
      <c r="F5" s="51" t="s">
        <v>12</v>
      </c>
      <c r="G5" s="51" t="s">
        <v>15</v>
      </c>
      <c r="H5" s="51" t="s">
        <v>13</v>
      </c>
      <c r="I5" s="51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/>
      <c r="D7" s="5"/>
      <c r="E7" s="5"/>
      <c r="F7" s="14"/>
      <c r="G7" s="5"/>
      <c r="H7" s="16"/>
      <c r="I7" s="5"/>
      <c r="J7" s="18"/>
      <c r="K7" s="18"/>
    </row>
    <row r="8" spans="2:11" ht="25" customHeight="1">
      <c r="B8" s="4" t="s">
        <v>18</v>
      </c>
      <c r="C8" s="5">
        <v>0</v>
      </c>
      <c r="D8" s="5">
        <v>2.889244556427002</v>
      </c>
      <c r="E8" s="5">
        <v>0.35962551832199097</v>
      </c>
      <c r="F8" s="14">
        <v>0.5598268508911133</v>
      </c>
      <c r="G8" s="5">
        <v>0.8581018447875977</v>
      </c>
      <c r="H8" s="16">
        <v>150.42137145996094</v>
      </c>
      <c r="I8" s="5">
        <v>165.30128479003906</v>
      </c>
      <c r="J8" s="18"/>
      <c r="K8" s="18"/>
    </row>
    <row r="9" spans="2:11" ht="25" customHeight="1">
      <c r="B9" s="7" t="s">
        <v>19</v>
      </c>
      <c r="C9" s="8">
        <v>0</v>
      </c>
      <c r="D9" s="8">
        <v>2.931260824203491</v>
      </c>
      <c r="E9" s="8">
        <v>0.35979440808296204</v>
      </c>
      <c r="F9" s="15">
        <v>0.560134768486023</v>
      </c>
      <c r="G9" s="8">
        <v>0.8577095866203308</v>
      </c>
      <c r="H9" s="17">
        <v>150.52804565429688</v>
      </c>
      <c r="I9" s="8">
        <v>165.41043090820312</v>
      </c>
      <c r="J9" s="19"/>
      <c r="K9" s="19"/>
    </row>
    <row r="10" spans="2:11" ht="20.15" customHeight="1"/>
    <row r="11" spans="2:11" ht="20.15" customHeight="1"/>
    <row r="12" spans="2:11" ht="20.15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9"/>
  <sheetViews>
    <sheetView zoomScaleNormal="100" zoomScaleSheetLayoutView="130" workbookViewId="0">
      <selection activeCell="B6" sqref="B6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</cols>
  <sheetData>
    <row r="2" spans="2:7" ht="17.5">
      <c r="B2" s="157" t="s">
        <v>156</v>
      </c>
      <c r="C2" s="158"/>
      <c r="D2" s="158"/>
      <c r="E2" s="158"/>
      <c r="F2" s="158"/>
      <c r="G2" s="159"/>
    </row>
    <row r="3" spans="2:7" ht="25.25" customHeight="1">
      <c r="B3" s="3" t="s">
        <v>30</v>
      </c>
      <c r="C3" s="160" t="s">
        <v>26</v>
      </c>
      <c r="D3" s="161"/>
      <c r="E3" s="162" t="s">
        <v>27</v>
      </c>
      <c r="F3" s="163"/>
      <c r="G3" s="42" t="s">
        <v>31</v>
      </c>
    </row>
    <row r="4" spans="2:7" ht="26">
      <c r="B4" s="47"/>
      <c r="C4" s="48" t="s">
        <v>24</v>
      </c>
      <c r="D4" s="48" t="s">
        <v>25</v>
      </c>
      <c r="E4" s="48" t="s">
        <v>28</v>
      </c>
      <c r="F4" s="48" t="s">
        <v>29</v>
      </c>
      <c r="G4" s="43" t="s">
        <v>32</v>
      </c>
    </row>
    <row r="5" spans="2:7" ht="16.5" customHeight="1">
      <c r="B5" s="49" t="s">
        <v>233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45</v>
      </c>
      <c r="C6" s="25"/>
      <c r="D6" s="25"/>
      <c r="E6" s="25"/>
      <c r="F6" s="25"/>
      <c r="G6" s="27"/>
    </row>
    <row r="7" spans="2:7" ht="16.5" customHeight="1">
      <c r="B7" s="3" t="s">
        <v>33</v>
      </c>
      <c r="C7" s="25"/>
      <c r="D7" s="25"/>
      <c r="E7" s="25"/>
      <c r="F7" s="25"/>
      <c r="G7" s="27"/>
    </row>
    <row r="8" spans="2:7" ht="16.5" customHeight="1">
      <c r="B8" s="3" t="s">
        <v>34</v>
      </c>
      <c r="C8" s="25">
        <v>12</v>
      </c>
      <c r="D8" s="25">
        <v>18</v>
      </c>
      <c r="E8" s="25">
        <v>24</v>
      </c>
      <c r="F8" s="25">
        <v>30</v>
      </c>
      <c r="G8" s="27">
        <v>48</v>
      </c>
    </row>
    <row r="9" spans="2:7" ht="16.5" customHeight="1">
      <c r="B9" s="42" t="s">
        <v>35</v>
      </c>
      <c r="C9" s="27">
        <f>C7-C6</f>
        <v>0</v>
      </c>
      <c r="D9" s="27">
        <f>D7-D6</f>
        <v>0</v>
      </c>
      <c r="E9" s="27">
        <f>E7-E6</f>
        <v>0</v>
      </c>
      <c r="F9" s="27">
        <f>F7-F6</f>
        <v>0</v>
      </c>
      <c r="G9" s="27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2"/>
  <sheetViews>
    <sheetView workbookViewId="0">
      <selection activeCell="K6" sqref="K6"/>
    </sheetView>
  </sheetViews>
  <sheetFormatPr defaultColWidth="9" defaultRowHeight="17.15" customHeight="1"/>
  <cols>
    <col min="1" max="1" width="2.33203125" style="2" customWidth="1"/>
    <col min="2" max="2" width="9.1640625" style="2" bestFit="1" customWidth="1"/>
    <col min="3" max="9" width="10.75" style="2" customWidth="1"/>
  </cols>
  <sheetData>
    <row r="2" spans="2:9" ht="17.15" customHeight="1">
      <c r="B2" s="167" t="s">
        <v>158</v>
      </c>
      <c r="C2" s="167"/>
      <c r="D2" s="167"/>
      <c r="E2" s="167"/>
      <c r="F2" s="167"/>
      <c r="G2" s="167"/>
      <c r="H2" s="167"/>
      <c r="I2" s="167"/>
    </row>
    <row r="3" spans="2:9" ht="17.15" customHeight="1">
      <c r="B3" s="154"/>
      <c r="C3" s="155"/>
      <c r="D3" s="155"/>
      <c r="E3" s="155"/>
      <c r="F3" s="155"/>
      <c r="G3" s="155"/>
      <c r="H3" s="155"/>
      <c r="I3" s="155"/>
    </row>
    <row r="4" spans="2:9" ht="17.15" customHeight="1">
      <c r="B4" s="28" t="s">
        <v>38</v>
      </c>
      <c r="C4" s="29" t="s">
        <v>37</v>
      </c>
      <c r="D4" s="29" t="s">
        <v>40</v>
      </c>
      <c r="E4" s="29" t="s">
        <v>41</v>
      </c>
      <c r="F4" s="29" t="s">
        <v>42</v>
      </c>
      <c r="G4" s="29" t="s">
        <v>43</v>
      </c>
      <c r="H4" s="29" t="s">
        <v>47</v>
      </c>
      <c r="I4" s="30" t="s">
        <v>48</v>
      </c>
    </row>
    <row r="5" spans="2:9" ht="17.15" customHeight="1">
      <c r="B5" s="4" t="s">
        <v>39</v>
      </c>
      <c r="C5" s="5" t="s">
        <v>36</v>
      </c>
      <c r="D5" s="5" t="s">
        <v>36</v>
      </c>
      <c r="E5" s="5" t="s">
        <v>36</v>
      </c>
      <c r="F5" s="5" t="s">
        <v>36</v>
      </c>
      <c r="G5" s="5" t="s">
        <v>12</v>
      </c>
      <c r="H5" s="5" t="s">
        <v>15</v>
      </c>
      <c r="I5" s="6" t="s">
        <v>13</v>
      </c>
    </row>
    <row r="6" spans="2:9" ht="17.15" customHeight="1">
      <c r="B6" s="13" t="s">
        <v>44</v>
      </c>
      <c r="C6" s="20" t="s">
        <v>50</v>
      </c>
      <c r="D6" s="20" t="s">
        <v>51</v>
      </c>
      <c r="E6" s="20" t="s">
        <v>52</v>
      </c>
      <c r="F6" s="20" t="s">
        <v>53</v>
      </c>
      <c r="G6" s="20">
        <v>9.5</v>
      </c>
      <c r="H6" s="20" t="s">
        <v>12</v>
      </c>
      <c r="I6" s="36" t="s">
        <v>12</v>
      </c>
    </row>
    <row r="7" spans="2:9" ht="17.15" customHeight="1">
      <c r="B7" s="4" t="s">
        <v>45</v>
      </c>
      <c r="C7" s="5"/>
      <c r="D7" s="5"/>
      <c r="E7" s="5"/>
      <c r="F7" s="5"/>
      <c r="G7" s="5"/>
      <c r="H7" s="5"/>
      <c r="I7" s="6"/>
    </row>
    <row r="8" spans="2:9" ht="17.15" customHeight="1">
      <c r="B8" s="4" t="s">
        <v>33</v>
      </c>
      <c r="C8" s="5"/>
      <c r="D8" s="5"/>
      <c r="E8" s="5"/>
      <c r="F8" s="5"/>
      <c r="G8" s="5"/>
      <c r="H8" s="5">
        <v>-66.943359375</v>
      </c>
      <c r="I8" s="6">
        <v>45.85210037231445</v>
      </c>
    </row>
    <row r="9" spans="2:9" ht="17.15" customHeight="1">
      <c r="B9" s="4" t="s">
        <v>34</v>
      </c>
      <c r="C9" s="5">
        <v>18</v>
      </c>
      <c r="D9" s="5">
        <v>24</v>
      </c>
      <c r="E9" s="5">
        <v>30</v>
      </c>
      <c r="F9" s="5">
        <v>36</v>
      </c>
      <c r="G9" s="5">
        <v>42</v>
      </c>
      <c r="H9" s="5">
        <v>-70.75489044189453</v>
      </c>
      <c r="I9" s="6">
        <v>46.68205261230469</v>
      </c>
    </row>
    <row r="10" spans="2:9" ht="17.15" customHeight="1">
      <c r="B10" s="32" t="s">
        <v>46</v>
      </c>
      <c r="C10" s="33">
        <v>41118</v>
      </c>
      <c r="D10" s="33">
        <v>1104</v>
      </c>
      <c r="E10" s="33">
        <v>3571</v>
      </c>
      <c r="F10" s="33">
        <v>80</v>
      </c>
      <c r="G10" s="33">
        <v>9.36</v>
      </c>
      <c r="H10" s="34" t="s">
        <v>12</v>
      </c>
      <c r="I10" s="35" t="s">
        <v>12</v>
      </c>
    </row>
    <row r="11" spans="2:9" ht="17.15" customHeight="1">
      <c r="B11" s="164" t="s">
        <v>49</v>
      </c>
      <c r="C11" s="165"/>
      <c r="D11" s="165"/>
      <c r="E11" s="165"/>
      <c r="F11" s="165"/>
      <c r="G11" s="165"/>
      <c r="H11" s="165"/>
      <c r="I11" s="166"/>
    </row>
    <row r="12" spans="2:9" ht="17.15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</cols>
  <sheetData>
    <row r="2" spans="2:10" ht="30" customHeight="1">
      <c r="B2" s="169" t="s">
        <v>159</v>
      </c>
      <c r="C2" s="169"/>
      <c r="D2" s="169"/>
      <c r="E2" s="169"/>
      <c r="F2" s="169"/>
      <c r="G2" s="169"/>
      <c r="H2" s="169"/>
      <c r="I2" s="169"/>
      <c r="J2" s="169"/>
    </row>
    <row r="3" spans="2:10" ht="15" customHeight="1">
      <c r="B3" s="169"/>
      <c r="C3" s="169"/>
      <c r="D3" s="169"/>
      <c r="E3" s="169"/>
      <c r="F3" s="169"/>
      <c r="G3" s="169"/>
      <c r="H3" s="169"/>
      <c r="I3" s="169"/>
      <c r="J3" s="169"/>
    </row>
    <row r="4" spans="2:10" ht="25" customHeight="1">
      <c r="B4" s="168" t="s">
        <v>54</v>
      </c>
      <c r="C4" s="168" t="s">
        <v>149</v>
      </c>
      <c r="D4" s="168"/>
      <c r="E4" s="168"/>
      <c r="F4" s="168"/>
      <c r="G4" s="168" t="s">
        <v>150</v>
      </c>
      <c r="H4" s="168"/>
      <c r="I4" s="168"/>
      <c r="J4" s="168"/>
    </row>
    <row r="5" spans="2:10" ht="25" customHeight="1">
      <c r="B5" s="168"/>
      <c r="C5" s="42" t="s">
        <v>21</v>
      </c>
      <c r="D5" s="42" t="s">
        <v>56</v>
      </c>
      <c r="E5" s="42" t="s">
        <v>57</v>
      </c>
      <c r="F5" s="42" t="s">
        <v>58</v>
      </c>
      <c r="G5" s="42" t="s">
        <v>21</v>
      </c>
      <c r="H5" s="42" t="s">
        <v>56</v>
      </c>
      <c r="I5" s="42" t="s">
        <v>57</v>
      </c>
      <c r="J5" s="42" t="s">
        <v>58</v>
      </c>
    </row>
    <row r="6" spans="2:10" ht="25" customHeight="1">
      <c r="B6" s="168"/>
      <c r="C6" s="42" t="s">
        <v>55</v>
      </c>
      <c r="D6" s="42" t="s">
        <v>55</v>
      </c>
      <c r="E6" s="42" t="s">
        <v>55</v>
      </c>
      <c r="F6" s="42" t="s">
        <v>55</v>
      </c>
      <c r="G6" s="42" t="s">
        <v>55</v>
      </c>
      <c r="H6" s="42" t="s">
        <v>55</v>
      </c>
      <c r="I6" s="42" t="s">
        <v>55</v>
      </c>
      <c r="J6" s="42" t="s">
        <v>55</v>
      </c>
    </row>
    <row r="7" spans="2:10" ht="25" customHeight="1">
      <c r="B7" s="42" t="s">
        <v>61</v>
      </c>
      <c r="C7" s="42"/>
      <c r="D7" s="42"/>
      <c r="E7" s="42">
        <f>C7+D7</f>
        <v>0</v>
      </c>
      <c r="F7" s="42">
        <f>100-E7</f>
        <v>100</v>
      </c>
      <c r="G7" s="42"/>
      <c r="H7" s="42"/>
      <c r="I7" s="42">
        <f>G7+H7</f>
        <v>0</v>
      </c>
      <c r="J7" s="42">
        <f>100-I7</f>
        <v>100</v>
      </c>
    </row>
    <row r="8" spans="2:10" ht="25" customHeight="1">
      <c r="B8" s="42" t="s">
        <v>62</v>
      </c>
      <c r="C8" s="42"/>
      <c r="D8" s="42"/>
      <c r="E8" s="42">
        <f t="shared" ref="E8:E9" si="0">C8+D8</f>
        <v>0</v>
      </c>
      <c r="F8" s="42">
        <f t="shared" ref="F8:F9" si="1">100-E8</f>
        <v>100</v>
      </c>
      <c r="G8" s="42"/>
      <c r="H8" s="42"/>
      <c r="I8" s="42">
        <f t="shared" ref="I8:I9" si="2">G8+H8</f>
        <v>0</v>
      </c>
      <c r="J8" s="42">
        <f t="shared" ref="J8:J9" si="3">100-I8</f>
        <v>100</v>
      </c>
    </row>
    <row r="9" spans="2:10" ht="25" customHeight="1">
      <c r="B9" s="42" t="s">
        <v>151</v>
      </c>
      <c r="C9" s="42">
        <v>92.5</v>
      </c>
      <c r="D9" s="42">
        <v>4</v>
      </c>
      <c r="E9" s="42">
        <f t="shared" si="0"/>
        <v>0</v>
      </c>
      <c r="F9" s="42">
        <f t="shared" si="1"/>
        <v>100</v>
      </c>
      <c r="G9" s="42">
        <v>95.5</v>
      </c>
      <c r="H9" s="42">
        <v>95</v>
      </c>
      <c r="I9" s="42">
        <f t="shared" si="2"/>
        <v>0</v>
      </c>
      <c r="J9" s="42">
        <f t="shared" si="3"/>
        <v>100</v>
      </c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</cols>
  <sheetData>
    <row r="2" spans="2:6" ht="30" customHeight="1">
      <c r="B2" s="172" t="s">
        <v>160</v>
      </c>
      <c r="C2" s="173"/>
      <c r="D2" s="173"/>
      <c r="E2" s="173"/>
      <c r="F2" s="174"/>
    </row>
    <row r="3" spans="2:6" ht="15" customHeight="1">
      <c r="B3" s="175"/>
      <c r="C3" s="176"/>
      <c r="D3" s="176"/>
      <c r="E3" s="176"/>
      <c r="F3" s="177"/>
    </row>
    <row r="4" spans="2:6" ht="25" customHeight="1">
      <c r="B4" s="171" t="s">
        <v>16</v>
      </c>
      <c r="C4" s="53" t="s">
        <v>59</v>
      </c>
      <c r="D4" s="53" t="s">
        <v>23</v>
      </c>
      <c r="E4" s="53" t="s">
        <v>35</v>
      </c>
      <c r="F4" s="171" t="s">
        <v>60</v>
      </c>
    </row>
    <row r="5" spans="2:6" ht="25" customHeight="1">
      <c r="B5" s="171"/>
      <c r="C5" s="53" t="s">
        <v>55</v>
      </c>
      <c r="D5" s="53" t="s">
        <v>55</v>
      </c>
      <c r="E5" s="53" t="s">
        <v>55</v>
      </c>
      <c r="F5" s="171"/>
    </row>
    <row r="6" spans="2:6" ht="25" customHeight="1">
      <c r="B6" s="53" t="s">
        <v>61</v>
      </c>
      <c r="C6" s="53"/>
      <c r="D6" s="53"/>
      <c r="E6" s="53">
        <f>C6-D6</f>
        <v>0</v>
      </c>
      <c r="F6" s="53"/>
    </row>
    <row r="7" spans="2:6" ht="25" customHeight="1">
      <c r="B7" s="53" t="s">
        <v>62</v>
      </c>
      <c r="C7" s="53"/>
      <c r="D7" s="53"/>
      <c r="E7" s="53">
        <f>C7-D7</f>
        <v>0</v>
      </c>
      <c r="F7" s="53"/>
    </row>
    <row r="8" spans="2:6" ht="25" customHeight="1">
      <c r="B8" s="54" t="s">
        <v>63</v>
      </c>
      <c r="C8" s="54">
        <v>94.66666412353516</v>
      </c>
      <c r="D8" s="54">
        <v>51.66666793823242</v>
      </c>
      <c r="E8" s="54">
        <f>C8-D8</f>
        <v>0</v>
      </c>
      <c r="F8" s="54"/>
    </row>
    <row r="11" spans="2:6">
      <c r="D11" s="170"/>
      <c r="E11" s="170"/>
      <c r="F11" s="170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7"/>
  <sheetViews>
    <sheetView workbookViewId="0">
      <selection activeCell="B6" sqref="B6"/>
    </sheetView>
  </sheetViews>
  <sheetFormatPr defaultColWidth="9" defaultRowHeight="13"/>
  <cols>
    <col min="1" max="1" width="2" style="2" customWidth="1"/>
    <col min="2" max="5" width="11.1640625" style="2" customWidth="1"/>
  </cols>
  <sheetData>
    <row r="2" spans="2:5" ht="30" customHeight="1">
      <c r="B2" s="172" t="s">
        <v>161</v>
      </c>
      <c r="C2" s="173"/>
      <c r="D2" s="173"/>
      <c r="E2" s="174"/>
    </row>
    <row r="3" spans="2:5" ht="15" customHeight="1">
      <c r="B3" s="175"/>
      <c r="C3" s="176"/>
      <c r="D3" s="176"/>
      <c r="E3" s="177"/>
    </row>
    <row r="4" spans="2:5" ht="60" customHeight="1">
      <c r="B4" s="38" t="s">
        <v>64</v>
      </c>
      <c r="C4" s="22" t="s">
        <v>45</v>
      </c>
      <c r="D4" s="22" t="s">
        <v>33</v>
      </c>
      <c r="E4" s="23" t="s">
        <v>34</v>
      </c>
    </row>
    <row r="5" spans="2:5" ht="60" customHeight="1">
      <c r="B5" s="55" t="s">
        <v>65</v>
      </c>
      <c r="C5" s="25"/>
      <c r="D5" s="25"/>
      <c r="E5" s="26">
        <v>94.66666412353516</v>
      </c>
    </row>
    <row r="6" spans="2:5" ht="60" customHeight="1">
      <c r="B6" s="56" t="s">
        <v>227</v>
      </c>
      <c r="C6" s="39"/>
      <c r="D6" s="39"/>
      <c r="E6" s="40">
        <v>900</v>
      </c>
    </row>
    <row r="7" spans="2:5" ht="25" customHeight="1"/>
  </sheetData>
  <mergeCells count="1">
    <mergeCell ref="B2:E3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5"/>
  <sheetViews>
    <sheetView zoomScale="85" zoomScaleNormal="85" workbookViewId="0">
      <selection activeCell="R9" sqref="R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10" width="15.6640625" style="2" customWidth="1"/>
    <col min="11" max="12" width="9" style="2"/>
  </cols>
  <sheetData>
    <row r="2" spans="2:13" ht="30" customHeight="1">
      <c r="B2" s="169" t="s">
        <v>162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</row>
    <row r="3" spans="2:13" ht="30" customHeight="1">
      <c r="B3" s="168" t="s">
        <v>118</v>
      </c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</row>
    <row r="4" spans="2:13" ht="10" customHeight="1">
      <c r="B4" s="180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</row>
    <row r="5" spans="2:13" ht="20.15" customHeight="1">
      <c r="B5" s="168" t="s">
        <v>102</v>
      </c>
      <c r="C5" s="182"/>
      <c r="D5" s="45" t="s">
        <v>233</v>
      </c>
      <c r="E5" s="45" t="s">
        <v>235</v>
      </c>
      <c r="F5" s="45" t="s">
        <v>236</v>
      </c>
      <c r="G5" s="45" t="s">
        <v>237</v>
      </c>
      <c r="H5" s="45" t="s">
        <v>238</v>
      </c>
      <c r="I5" s="45" t="s">
        <v>239</v>
      </c>
      <c r="J5" s="45" t="s">
        <v>240</v>
      </c>
      <c r="K5" s="183" t="s">
        <v>112</v>
      </c>
      <c r="L5" s="183" t="s">
        <v>111</v>
      </c>
      <c r="M5" s="183" t="s">
        <v>113</v>
      </c>
    </row>
    <row r="6" spans="2:13" ht="20.15" customHeight="1">
      <c r="B6" s="168" t="s">
        <v>103</v>
      </c>
      <c r="C6" s="182"/>
      <c r="D6" s="45" t="s">
        <v>107</v>
      </c>
      <c r="E6" s="45" t="s">
        <v>108</v>
      </c>
      <c r="F6" s="45" t="s">
        <v>109</v>
      </c>
      <c r="G6" s="45" t="s">
        <v>110</v>
      </c>
      <c r="H6" s="45" t="s">
        <v>104</v>
      </c>
      <c r="I6" s="45" t="s">
        <v>105</v>
      </c>
      <c r="J6" s="45" t="s">
        <v>106</v>
      </c>
      <c r="K6" s="182"/>
      <c r="L6" s="182"/>
      <c r="M6" s="182"/>
    </row>
    <row r="7" spans="2:13" ht="20.15" customHeight="1">
      <c r="B7" s="178" t="s">
        <v>114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</row>
    <row r="8" spans="2:13" ht="20.15" customHeight="1">
      <c r="B8" s="45" t="s">
        <v>21</v>
      </c>
      <c r="C8" s="45" t="s">
        <v>55</v>
      </c>
      <c r="D8" s="80">
        <v>12</v>
      </c>
      <c r="E8" s="68"/>
      <c r="F8" s="68"/>
      <c r="G8" s="68"/>
      <c r="H8" s="68"/>
      <c r="I8" s="68"/>
      <c r="J8" s="68"/>
      <c r="K8" s="68"/>
      <c r="L8" s="68">
        <v>12</v>
      </c>
      <c r="M8" s="81">
        <f>L8-K8</f>
        <v>0</v>
      </c>
    </row>
    <row r="9" spans="2:13" ht="20.15" customHeight="1">
      <c r="B9" s="91" t="s">
        <v>79</v>
      </c>
      <c r="C9" s="91" t="s">
        <v>71</v>
      </c>
      <c r="D9" s="92">
        <v>24</v>
      </c>
      <c r="E9" s="93"/>
      <c r="F9" s="93"/>
      <c r="G9" s="93"/>
      <c r="H9" s="93"/>
      <c r="I9" s="93"/>
      <c r="J9" s="93"/>
      <c r="K9" s="93"/>
      <c r="L9" s="93">
        <v>24</v>
      </c>
      <c r="M9" s="94">
        <f t="shared" ref="M9:M10" si="0">L9-K9</f>
        <v>0</v>
      </c>
    </row>
    <row r="10" spans="2:13" ht="20.15" customHeight="1">
      <c r="B10" s="45" t="s">
        <v>43</v>
      </c>
      <c r="C10" s="45" t="s">
        <v>12</v>
      </c>
      <c r="D10" s="80">
        <v>48</v>
      </c>
      <c r="E10" s="68"/>
      <c r="F10" s="68"/>
      <c r="G10" s="68"/>
      <c r="H10" s="68"/>
      <c r="I10" s="68"/>
      <c r="J10" s="68"/>
      <c r="K10" s="68"/>
      <c r="L10" s="68">
        <v>48</v>
      </c>
      <c r="M10" s="81">
        <f t="shared" si="0"/>
        <v>0</v>
      </c>
    </row>
    <row r="11" spans="2:13" ht="20.15" customHeight="1">
      <c r="B11" s="178" t="s">
        <v>115</v>
      </c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</row>
    <row r="12" spans="2:13" ht="20.15" customHeight="1">
      <c r="B12" s="45" t="s">
        <v>21</v>
      </c>
      <c r="C12" s="45" t="s">
        <v>55</v>
      </c>
      <c r="D12" s="68">
        <v>94.66666412353516</v>
      </c>
      <c r="E12" s="68">
        <v>0</v>
      </c>
      <c r="F12" s="68">
        <v>0</v>
      </c>
      <c r="G12" s="68">
        <v>0</v>
      </c>
      <c r="H12" s="68">
        <v>0</v>
      </c>
      <c r="I12" s="68">
        <v>0</v>
      </c>
      <c r="J12" s="68">
        <v>0</v>
      </c>
      <c r="K12" s="68"/>
      <c r="L12" s="68">
        <v>94.66666412353516</v>
      </c>
      <c r="M12" s="81">
        <f>L12-K12</f>
        <v>0</v>
      </c>
    </row>
    <row r="13" spans="2:13" ht="20.15" customHeight="1">
      <c r="B13" s="91" t="s">
        <v>56</v>
      </c>
      <c r="C13" s="91" t="s">
        <v>55</v>
      </c>
      <c r="D13" s="93">
        <v>65.44444274902344</v>
      </c>
      <c r="E13" s="93">
        <v>0</v>
      </c>
      <c r="F13" s="93">
        <v>0</v>
      </c>
      <c r="G13" s="93">
        <v>0</v>
      </c>
      <c r="H13" s="93">
        <v>0</v>
      </c>
      <c r="I13" s="93">
        <v>0</v>
      </c>
      <c r="J13" s="93">
        <v>0</v>
      </c>
      <c r="K13" s="93"/>
      <c r="L13" s="93">
        <v>65.44444274902344</v>
      </c>
      <c r="M13" s="94">
        <f>L13-K13</f>
        <v>0</v>
      </c>
    </row>
    <row r="14" spans="2:13" ht="20.15" customHeight="1">
      <c r="B14" s="45" t="s">
        <v>57</v>
      </c>
      <c r="C14" s="45" t="s">
        <v>55</v>
      </c>
      <c r="D14" s="68">
        <v>6.777777671813965</v>
      </c>
      <c r="E14" s="68">
        <v>0</v>
      </c>
      <c r="F14" s="68">
        <v>0</v>
      </c>
      <c r="G14" s="68">
        <v>0</v>
      </c>
      <c r="H14" s="68">
        <v>0</v>
      </c>
      <c r="I14" s="68">
        <v>0</v>
      </c>
      <c r="J14" s="68">
        <v>0</v>
      </c>
      <c r="K14" s="68"/>
      <c r="L14" s="68">
        <v>6.777777671813965</v>
      </c>
      <c r="M14" s="81">
        <f>L14-K14</f>
        <v>0</v>
      </c>
    </row>
    <row r="15" spans="2:13" ht="20.15" customHeight="1">
      <c r="B15" s="91" t="s">
        <v>58</v>
      </c>
      <c r="C15" s="91" t="s">
        <v>55</v>
      </c>
      <c r="D15" s="93">
        <v>93.22222137451172</v>
      </c>
      <c r="E15" s="93">
        <v>100</v>
      </c>
      <c r="F15" s="93">
        <v>100</v>
      </c>
      <c r="G15" s="93">
        <v>100</v>
      </c>
      <c r="H15" s="93">
        <v>100</v>
      </c>
      <c r="I15" s="93">
        <v>100</v>
      </c>
      <c r="J15" s="93">
        <v>100</v>
      </c>
      <c r="K15" s="93">
        <v>100</v>
      </c>
      <c r="L15" s="93">
        <v>93.22222137451172</v>
      </c>
      <c r="M15" s="94">
        <f>L15-K15</f>
        <v>0</v>
      </c>
    </row>
    <row r="16" spans="2:13" ht="20.15" customHeight="1">
      <c r="B16" s="178" t="s">
        <v>154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 ht="20.15" customHeight="1">
      <c r="B17" s="91" t="s">
        <v>228</v>
      </c>
      <c r="C17" s="91" t="s">
        <v>229</v>
      </c>
      <c r="D17" s="93">
        <v>900</v>
      </c>
      <c r="E17" s="93">
        <v>0</v>
      </c>
      <c r="F17" s="93">
        <v>0</v>
      </c>
      <c r="G17" s="93">
        <v>0</v>
      </c>
      <c r="H17" s="93">
        <v>0</v>
      </c>
      <c r="I17" s="93">
        <v>0</v>
      </c>
      <c r="J17" s="93">
        <v>0</v>
      </c>
      <c r="K17" s="93"/>
      <c r="L17" s="93">
        <v>900</v>
      </c>
      <c r="M17" s="94">
        <f>L17-K17</f>
        <v>0</v>
      </c>
    </row>
    <row r="18" spans="2:13" ht="20.15" customHeight="1">
      <c r="B18" s="45" t="s">
        <v>117</v>
      </c>
      <c r="C18" s="45" t="s">
        <v>98</v>
      </c>
      <c r="D18" s="68">
        <v>852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/>
      <c r="L18" s="68">
        <v>852</v>
      </c>
      <c r="M18" s="81">
        <f>L18-K18</f>
        <v>0</v>
      </c>
    </row>
    <row r="19" spans="2:13" ht="20.15" customHeight="1">
      <c r="B19" s="178" t="s">
        <v>155</v>
      </c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</row>
    <row r="20" spans="2:13" ht="20.15" customHeight="1">
      <c r="B20" s="45" t="s">
        <v>21</v>
      </c>
      <c r="C20" s="45" t="s">
        <v>55</v>
      </c>
      <c r="D20" s="80">
        <v>88</v>
      </c>
      <c r="E20" s="68"/>
      <c r="F20" s="68"/>
      <c r="G20" s="68"/>
      <c r="H20" s="68"/>
      <c r="I20" s="68"/>
      <c r="J20" s="68"/>
      <c r="K20" s="68"/>
      <c r="L20" s="68">
        <v>88</v>
      </c>
      <c r="M20" s="81">
        <f>L20-K20</f>
        <v>0</v>
      </c>
    </row>
    <row r="21" spans="2:13" ht="20.15" customHeight="1">
      <c r="D21" s="1"/>
    </row>
    <row r="22" spans="2:13" ht="20.15" customHeight="1"/>
    <row r="23" spans="2:13" ht="20.15" customHeight="1"/>
    <row r="24" spans="2:13" ht="20.15" customHeight="1"/>
    <row r="25" spans="2:13" ht="20.15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H14"/>
  <sheetViews>
    <sheetView zoomScaleNormal="100" workbookViewId="0">
      <selection activeCell="J12" sqref="J12"/>
    </sheetView>
  </sheetViews>
  <sheetFormatPr defaultColWidth="9" defaultRowHeight="13"/>
  <cols>
    <col min="1" max="1" width="1.33203125" style="2" customWidth="1"/>
    <col min="2" max="2" width="9" style="2"/>
    <col min="3" max="7" width="13.25" style="2" customWidth="1"/>
  </cols>
  <sheetData>
    <row r="1" spans="2:7" ht="13.5" thickBot="1"/>
    <row r="2" spans="2:7" ht="30" customHeight="1">
      <c r="B2" s="187" t="s">
        <v>163</v>
      </c>
      <c r="C2" s="188"/>
      <c r="D2" s="188"/>
      <c r="E2" s="188"/>
      <c r="F2" s="188"/>
      <c r="G2" s="189"/>
    </row>
    <row r="3" spans="2:7" ht="15" customHeight="1">
      <c r="B3" s="184"/>
      <c r="C3" s="185"/>
      <c r="D3" s="185"/>
      <c r="E3" s="185"/>
      <c r="F3" s="185"/>
      <c r="G3" s="186"/>
    </row>
    <row r="4" spans="2:7" ht="15.5">
      <c r="B4" s="190" t="s">
        <v>76</v>
      </c>
      <c r="C4" s="191"/>
      <c r="D4" s="191"/>
      <c r="E4" s="191"/>
      <c r="F4" s="191"/>
      <c r="G4" s="192"/>
    </row>
    <row r="5" spans="2:7" ht="25" customHeight="1">
      <c r="B5" s="104" t="s">
        <v>38</v>
      </c>
      <c r="C5" s="105" t="s">
        <v>67</v>
      </c>
      <c r="D5" s="105" t="s">
        <v>68</v>
      </c>
      <c r="E5" s="105" t="s">
        <v>69</v>
      </c>
      <c r="F5" s="105" t="s">
        <v>70</v>
      </c>
      <c r="G5" s="106" t="s">
        <v>72</v>
      </c>
    </row>
    <row r="6" spans="2:7" ht="25" customHeight="1">
      <c r="B6" s="104" t="s">
        <v>39</v>
      </c>
      <c r="C6" s="95" t="s">
        <v>10</v>
      </c>
      <c r="D6" s="95" t="s">
        <v>10</v>
      </c>
      <c r="E6" s="95" t="s">
        <v>12</v>
      </c>
      <c r="F6" s="95" t="s">
        <v>71</v>
      </c>
      <c r="G6" s="99" t="s">
        <v>73</v>
      </c>
    </row>
    <row r="7" spans="2:7" ht="25" customHeight="1">
      <c r="B7" s="104" t="s">
        <v>66</v>
      </c>
      <c r="C7" s="108">
        <v>0.16600000000000001</v>
      </c>
      <c r="D7" s="108">
        <v>0.04</v>
      </c>
      <c r="E7" s="109">
        <f>C7/D7</f>
        <v>4.1500000000000004</v>
      </c>
      <c r="F7" s="108">
        <v>1.17</v>
      </c>
      <c r="G7" s="110" t="s">
        <v>74</v>
      </c>
    </row>
    <row r="8" spans="2:7" ht="25" customHeight="1">
      <c r="B8" s="104" t="s">
        <v>152</v>
      </c>
      <c r="C8" s="96">
        <v>0</v>
      </c>
      <c r="D8" s="96">
        <v>3.7349624633789062</v>
      </c>
      <c r="E8" s="96">
        <v>0</v>
      </c>
      <c r="F8" s="96">
        <v>1.7189762592315674</v>
      </c>
      <c r="G8" s="100">
        <v>1205.16015625</v>
      </c>
    </row>
    <row r="9" spans="2:7" ht="25" customHeight="1">
      <c r="B9" s="104" t="s">
        <v>75</v>
      </c>
      <c r="C9" s="96">
        <v>0</v>
      </c>
      <c r="D9" s="96">
        <v>6.932236671447754</v>
      </c>
      <c r="E9" s="96">
        <v>0</v>
      </c>
      <c r="F9" s="96">
        <v>3.745662212371826</v>
      </c>
      <c r="G9" s="100">
        <v>1169.6160888671875</v>
      </c>
    </row>
    <row r="10" spans="2:7" ht="15.75" customHeight="1">
      <c r="B10" s="193" t="s">
        <v>77</v>
      </c>
      <c r="C10" s="194"/>
      <c r="D10" s="194"/>
      <c r="E10" s="194"/>
      <c r="F10" s="194"/>
      <c r="G10" s="195"/>
    </row>
    <row r="11" spans="2:7" ht="25" customHeight="1">
      <c r="B11" s="104" t="s">
        <v>38</v>
      </c>
      <c r="C11" s="112" t="s">
        <v>21</v>
      </c>
      <c r="D11" s="105" t="s">
        <v>79</v>
      </c>
      <c r="E11" s="105" t="s">
        <v>78</v>
      </c>
      <c r="F11" s="97"/>
      <c r="G11" s="106"/>
    </row>
    <row r="12" spans="2:7" ht="25" customHeight="1">
      <c r="B12" s="104" t="s">
        <v>39</v>
      </c>
      <c r="C12" s="95" t="s">
        <v>55</v>
      </c>
      <c r="D12" s="95" t="s">
        <v>71</v>
      </c>
      <c r="E12" s="95" t="s">
        <v>71</v>
      </c>
      <c r="F12" s="97"/>
      <c r="G12" s="99"/>
    </row>
    <row r="13" spans="2:7" ht="25" customHeight="1">
      <c r="B13" s="104" t="s">
        <v>33</v>
      </c>
      <c r="C13" s="111"/>
      <c r="D13" s="96"/>
      <c r="E13" s="96"/>
      <c r="F13" s="98"/>
      <c r="G13" s="100"/>
    </row>
    <row r="14" spans="2:7" ht="25" customHeight="1" thickBot="1">
      <c r="B14" s="107" t="s">
        <v>34</v>
      </c>
      <c r="C14" s="101">
        <v>18</v>
      </c>
      <c r="D14" s="101">
        <v>546</v>
      </c>
      <c r="E14" s="101">
        <v>13</v>
      </c>
      <c r="F14" s="102"/>
      <c r="G14" s="103"/>
    </row>
  </sheetData>
  <mergeCells count="4">
    <mergeCell ref="B3:G3"/>
    <mergeCell ref="B2:G2"/>
    <mergeCell ref="B4:G4"/>
    <mergeCell ref="B10:G10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F18"/>
  <sheetViews>
    <sheetView workbookViewId="0">
      <selection activeCell="J9" sqref="J9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</cols>
  <sheetData>
    <row r="1" spans="2:5" ht="14.5" thickBot="1"/>
    <row r="2" spans="2:5" ht="30" customHeight="1">
      <c r="B2" s="196" t="s">
        <v>164</v>
      </c>
      <c r="C2" s="197"/>
      <c r="D2" s="197"/>
      <c r="E2" s="198"/>
    </row>
    <row r="3" spans="2:5" ht="15" customHeight="1">
      <c r="B3" s="199"/>
      <c r="C3" s="170"/>
      <c r="D3" s="170"/>
      <c r="E3" s="200"/>
    </row>
    <row r="4" spans="2:5" ht="25" customHeight="1">
      <c r="B4" s="201" t="s">
        <v>94</v>
      </c>
      <c r="C4" s="21" t="s">
        <v>93</v>
      </c>
      <c r="D4" s="21" t="s">
        <v>95</v>
      </c>
      <c r="E4" s="203" t="s">
        <v>96</v>
      </c>
    </row>
    <row r="5" spans="2:5" ht="25" customHeight="1">
      <c r="B5" s="202"/>
      <c r="C5" s="37" t="s">
        <v>92</v>
      </c>
      <c r="D5" s="37" t="s">
        <v>12</v>
      </c>
      <c r="E5" s="204"/>
    </row>
    <row r="6" spans="2:5" ht="25" customHeight="1">
      <c r="B6" s="115" t="s">
        <v>90</v>
      </c>
      <c r="C6" s="113"/>
      <c r="D6" s="113"/>
      <c r="E6" s="116">
        <v>301</v>
      </c>
    </row>
    <row r="7" spans="2:5" ht="25" customHeight="1">
      <c r="B7" s="117" t="s">
        <v>91</v>
      </c>
      <c r="C7" s="85"/>
      <c r="D7" s="85">
        <v>5</v>
      </c>
      <c r="E7" s="118">
        <v>301</v>
      </c>
    </row>
    <row r="8" spans="2:5" ht="15" customHeight="1">
      <c r="B8" s="205"/>
      <c r="C8" s="206"/>
      <c r="D8" s="206"/>
      <c r="E8" s="207"/>
    </row>
    <row r="9" spans="2:5" ht="25" customHeight="1">
      <c r="B9" s="201" t="s">
        <v>86</v>
      </c>
      <c r="C9" s="21" t="s">
        <v>21</v>
      </c>
      <c r="D9" s="21" t="s">
        <v>79</v>
      </c>
      <c r="E9" s="119" t="s">
        <v>78</v>
      </c>
    </row>
    <row r="10" spans="2:5" ht="25" customHeight="1">
      <c r="B10" s="202"/>
      <c r="C10" s="37" t="s">
        <v>55</v>
      </c>
      <c r="D10" s="37" t="s">
        <v>71</v>
      </c>
      <c r="E10" s="120" t="s">
        <v>71</v>
      </c>
    </row>
    <row r="11" spans="2:5" ht="25" customHeight="1">
      <c r="B11" s="115" t="s">
        <v>87</v>
      </c>
      <c r="C11" s="113">
        <v>18</v>
      </c>
      <c r="D11" s="113">
        <v>66</v>
      </c>
      <c r="E11" s="121">
        <v>13</v>
      </c>
    </row>
    <row r="12" spans="2:5" ht="25" customHeight="1">
      <c r="B12" s="114" t="s">
        <v>88</v>
      </c>
      <c r="C12" s="84">
        <v>44</v>
      </c>
      <c r="D12" s="84">
        <v>123</v>
      </c>
      <c r="E12" s="122">
        <v>123</v>
      </c>
    </row>
    <row r="13" spans="2:5" ht="25" customHeight="1" thickBot="1">
      <c r="B13" s="123" t="s">
        <v>89</v>
      </c>
      <c r="C13" s="124">
        <f>C12-C11</f>
        <v>0</v>
      </c>
      <c r="D13" s="124">
        <f t="shared" ref="D13:E13" si="0">D12-D11</f>
        <v>0</v>
      </c>
      <c r="E13" s="125">
        <f t="shared" si="0"/>
        <v>0</v>
      </c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0"/>
  <sheetViews>
    <sheetView workbookViewId="0">
      <selection activeCell="K8" sqref="K8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167" t="s">
        <v>165</v>
      </c>
      <c r="C2" s="167"/>
      <c r="D2" s="167"/>
      <c r="E2" s="167"/>
    </row>
    <row r="3" spans="2:6" ht="15" customHeight="1">
      <c r="B3" s="208"/>
      <c r="C3" s="208"/>
      <c r="D3" s="208"/>
      <c r="E3" s="208"/>
    </row>
    <row r="4" spans="2:6" s="1" customFormat="1" ht="25" customHeight="1">
      <c r="B4" s="3" t="s">
        <v>83</v>
      </c>
      <c r="C4" s="209"/>
      <c r="D4" s="210"/>
      <c r="E4" s="211"/>
      <c r="F4" s="23" t="s">
        <v>55</v>
      </c>
    </row>
    <row r="5" spans="2:6" s="1" customFormat="1" ht="25" customHeight="1">
      <c r="B5" s="24" t="s">
        <v>84</v>
      </c>
      <c r="C5" s="212">
        <v>14.733795166015625</v>
      </c>
      <c r="D5" s="213"/>
      <c r="E5" s="214"/>
      <c r="F5" s="41" t="s">
        <v>85</v>
      </c>
    </row>
    <row r="6" spans="2:6" s="31" customFormat="1" ht="40.25" customHeight="1">
      <c r="B6" s="44" t="s">
        <v>153</v>
      </c>
      <c r="C6" s="57" t="s">
        <v>22</v>
      </c>
      <c r="D6" s="57" t="s">
        <v>81</v>
      </c>
      <c r="E6" s="57" t="s">
        <v>80</v>
      </c>
      <c r="F6" s="57" t="s">
        <v>82</v>
      </c>
    </row>
    <row r="7" spans="2:6" ht="40.25" customHeight="1">
      <c r="B7" s="45" t="s">
        <v>45</v>
      </c>
      <c r="C7" s="68"/>
      <c r="D7" s="68"/>
      <c r="E7" s="68"/>
      <c r="F7" s="126"/>
    </row>
    <row r="8" spans="2:6" ht="40.25" customHeight="1">
      <c r="B8" s="45" t="s">
        <v>33</v>
      </c>
      <c r="C8" s="68"/>
      <c r="D8" s="68"/>
      <c r="E8" s="68"/>
      <c r="F8" s="126"/>
    </row>
    <row r="9" spans="2:6" ht="40.25" customHeight="1">
      <c r="B9" s="45" t="s">
        <v>34</v>
      </c>
      <c r="C9" s="68">
        <v>18</v>
      </c>
      <c r="D9" s="68">
        <v>546</v>
      </c>
      <c r="E9" s="68">
        <v>13</v>
      </c>
      <c r="F9" s="126">
        <v>0.016370883211493492</v>
      </c>
    </row>
    <row r="10" spans="2:6">
      <c r="B10" s="46"/>
      <c r="C10" s="215"/>
      <c r="D10" s="215"/>
      <c r="E10" s="215"/>
      <c r="F10" s="215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M10"/>
  <sheetViews>
    <sheetView tabSelected="1" zoomScale="70" zoomScaleNormal="70" workbookViewId="0">
      <selection activeCell="V20" sqref="V20"/>
    </sheetView>
  </sheetViews>
  <sheetFormatPr defaultRowHeight="14"/>
  <cols>
    <col min="1" max="1" width="2.33203125" customWidth="1"/>
    <col min="2" max="2" width="12.58203125" customWidth="1"/>
    <col min="3" max="12" width="10.58203125" customWidth="1"/>
  </cols>
  <sheetData>
    <row r="2" spans="2:12" ht="30" customHeight="1">
      <c r="B2" s="169" t="s">
        <v>166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</row>
    <row r="3" spans="2:12" ht="25" customHeight="1">
      <c r="B3" s="218" t="s">
        <v>101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</row>
    <row r="4" spans="2:12" ht="15" customHeight="1"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</row>
    <row r="5" spans="2:12" ht="30" customHeight="1">
      <c r="B5" s="216" t="s">
        <v>97</v>
      </c>
      <c r="C5" s="59" t="s">
        <v>129</v>
      </c>
      <c r="D5" s="59" t="s">
        <v>130</v>
      </c>
      <c r="E5" s="59" t="s">
        <v>131</v>
      </c>
      <c r="F5" s="59" t="s">
        <v>132</v>
      </c>
      <c r="G5" s="59" t="s">
        <v>133</v>
      </c>
      <c r="H5" s="59" t="s">
        <v>134</v>
      </c>
      <c r="I5" s="59" t="s">
        <v>230</v>
      </c>
      <c r="J5" s="59" t="s">
        <v>232</v>
      </c>
      <c r="K5" s="59" t="s">
        <v>136</v>
      </c>
      <c r="L5" s="59" t="s">
        <v>135</v>
      </c>
    </row>
    <row r="6" spans="2:12" ht="25" customHeight="1">
      <c r="B6" s="217"/>
      <c r="C6" s="42" t="s">
        <v>99</v>
      </c>
      <c r="D6" s="42" t="s">
        <v>99</v>
      </c>
      <c r="E6" s="42" t="s">
        <v>100</v>
      </c>
      <c r="F6" s="42" t="s">
        <v>100</v>
      </c>
      <c r="G6" s="42" t="s">
        <v>100</v>
      </c>
      <c r="H6" s="42" t="s">
        <v>100</v>
      </c>
      <c r="I6" s="42" t="s">
        <v>100</v>
      </c>
      <c r="J6" s="42" t="s">
        <v>231</v>
      </c>
      <c r="K6" s="42" t="s">
        <v>100</v>
      </c>
      <c r="L6" s="42" t="s">
        <v>100</v>
      </c>
    </row>
    <row r="7" spans="2:12" s="1" customFormat="1" ht="25" customHeight="1">
      <c r="B7" s="52" t="s">
        <v>46</v>
      </c>
      <c r="C7" s="88">
        <v>1.4630000000000001</v>
      </c>
      <c r="D7" s="88">
        <v>0.25</v>
      </c>
      <c r="E7" s="88">
        <v>0.1</v>
      </c>
      <c r="F7" s="88" t="s">
        <v>12</v>
      </c>
      <c r="G7" s="88" t="s">
        <v>12</v>
      </c>
      <c r="H7" s="88" t="s">
        <v>12</v>
      </c>
      <c r="I7" s="88" t="s">
        <v>12</v>
      </c>
      <c r="J7" s="88" t="s">
        <v>12</v>
      </c>
      <c r="K7" s="89">
        <v>3</v>
      </c>
      <c r="L7" s="89">
        <v>0.57499999999999996</v>
      </c>
    </row>
    <row r="8" spans="2:12" s="1" customFormat="1" ht="25" customHeight="1">
      <c r="B8" s="42" t="s">
        <v>226</v>
      </c>
      <c r="C8" s="82">
        <v>6.297865390777588</v>
      </c>
      <c r="D8" s="82">
        <v>0.46439099311828613</v>
      </c>
      <c r="E8" s="82">
        <v>0.41271114349365234</v>
      </c>
      <c r="F8" s="82">
        <v>0.023474179208278656</v>
      </c>
      <c r="G8" s="82">
        <v>0.0011473451741039753</v>
      </c>
      <c r="H8" s="82">
        <v>-0.0306208785623312</v>
      </c>
      <c r="I8" s="82"/>
      <c r="J8" s="82">
        <v>2.087376832962036</v>
      </c>
      <c r="K8" s="83"/>
      <c r="L8" s="83"/>
    </row>
    <row r="9" spans="2:12" s="1" customFormat="1" ht="25" customHeight="1">
      <c r="B9" s="52" t="s">
        <v>90</v>
      </c>
      <c r="C9" s="86">
        <v>6.297865390777588</v>
      </c>
      <c r="D9" s="86">
        <v>0.46439099311828613</v>
      </c>
      <c r="E9" s="86">
        <v>0.41271114349365234</v>
      </c>
      <c r="F9" s="86">
        <v>0.023474179208278656</v>
      </c>
      <c r="G9" s="86">
        <v>0.0011473451741039753</v>
      </c>
      <c r="H9" s="86">
        <v>-0.0306208785623312</v>
      </c>
      <c r="I9" s="86"/>
      <c r="J9" s="86">
        <v>2.087376832962036</v>
      </c>
      <c r="K9" s="87"/>
      <c r="L9" s="87"/>
    </row>
    <row r="10" spans="2:12" s="1" customFormat="1" ht="25" customHeight="1">
      <c r="B10" s="42" t="s">
        <v>91</v>
      </c>
      <c r="C10" s="82">
        <v>6.297865390777588</v>
      </c>
      <c r="D10" s="82">
        <v>0.46439099311828613</v>
      </c>
      <c r="E10" s="82">
        <v>0.41271114349365234</v>
      </c>
      <c r="F10" s="82">
        <v>0.023474179208278656</v>
      </c>
      <c r="G10" s="82">
        <v>0.0011473451741039753</v>
      </c>
      <c r="H10" s="82">
        <v>-0.0306208785623312</v>
      </c>
      <c r="I10" s="82"/>
      <c r="J10" s="82">
        <v>2.087376832962036</v>
      </c>
      <c r="K10" s="83"/>
      <c r="L10" s="83"/>
    </row>
  </sheetData>
  <mergeCells count="3">
    <mergeCell ref="B5:B6"/>
    <mergeCell ref="B3:L3"/>
    <mergeCell ref="B2:L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S30"/>
  <sheetViews>
    <sheetView zoomScale="85" zoomScaleNormal="85" workbookViewId="0">
      <selection activeCell="V17" sqref="V17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</cols>
  <sheetData>
    <row r="2" spans="2:18" ht="30" customHeight="1">
      <c r="B2" s="169" t="s">
        <v>167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</row>
    <row r="3" spans="2:18" ht="30" customHeight="1">
      <c r="B3" s="226" t="s">
        <v>168</v>
      </c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</row>
    <row r="4" spans="2:18" ht="10" customHeight="1">
      <c r="B4" s="180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</row>
    <row r="5" spans="2:18" ht="15.65" customHeight="1">
      <c r="B5" s="42" t="s">
        <v>102</v>
      </c>
      <c r="C5" s="168" t="s">
        <v>119</v>
      </c>
      <c r="D5" s="227" t="s">
        <v>141</v>
      </c>
      <c r="E5" s="168"/>
      <c r="F5" s="227" t="s">
        <v>142</v>
      </c>
      <c r="G5" s="168"/>
      <c r="H5" s="227" t="s">
        <v>143</v>
      </c>
      <c r="I5" s="168"/>
      <c r="J5" s="227" t="s">
        <v>144</v>
      </c>
      <c r="K5" s="168"/>
      <c r="L5" s="227" t="s">
        <v>145</v>
      </c>
      <c r="M5" s="168" t="s">
        <v>146</v>
      </c>
      <c r="N5" s="168" t="s">
        <v>117</v>
      </c>
      <c r="O5" s="168"/>
      <c r="P5" s="168" t="s">
        <v>148</v>
      </c>
      <c r="Q5" s="168"/>
      <c r="R5" s="168" t="s">
        <v>60</v>
      </c>
    </row>
    <row r="6" spans="2:18" ht="15.65" customHeight="1">
      <c r="B6" s="224">
        <v>45992</v>
      </c>
      <c r="C6" s="168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</row>
    <row r="7" spans="2:18" ht="14">
      <c r="B7" s="171" t="s">
        <v>233</v>
      </c>
      <c r="C7" s="171"/>
      <c r="D7" s="168" t="s">
        <v>137</v>
      </c>
      <c r="E7" s="171"/>
      <c r="F7" s="168" t="s">
        <v>138</v>
      </c>
      <c r="G7" s="171"/>
      <c r="H7" s="168" t="s">
        <v>139</v>
      </c>
      <c r="I7" s="171"/>
      <c r="J7" s="168" t="s">
        <v>140</v>
      </c>
      <c r="K7" s="171"/>
      <c r="L7" s="171"/>
      <c r="M7" s="42" t="s">
        <v>147</v>
      </c>
      <c r="N7" s="168" t="s">
        <v>147</v>
      </c>
      <c r="O7" s="171"/>
      <c r="P7" s="168" t="s">
        <v>55</v>
      </c>
      <c r="Q7" s="171"/>
      <c r="R7" s="171"/>
    </row>
    <row r="8" spans="2:18" ht="15.65" customHeight="1">
      <c r="B8" s="219" t="s">
        <v>233</v>
      </c>
      <c r="C8" s="60" t="s">
        <v>127</v>
      </c>
      <c r="D8" s="90"/>
      <c r="E8" s="223">
        <v>0</v>
      </c>
      <c r="F8" s="90">
        <v>0</v>
      </c>
      <c r="G8" s="223">
        <v>16.66699981689453</v>
      </c>
      <c r="H8" s="90"/>
      <c r="I8" s="223">
        <v>300</v>
      </c>
      <c r="J8" s="90">
        <v>282</v>
      </c>
      <c r="K8" s="223">
        <v>94</v>
      </c>
      <c r="L8" s="223"/>
      <c r="M8" s="82"/>
      <c r="N8" s="82"/>
      <c r="O8" s="221"/>
      <c r="P8" s="82"/>
      <c r="Q8" s="221"/>
      <c r="R8" s="168"/>
    </row>
    <row r="9" spans="2:18" ht="15.65" customHeight="1">
      <c r="B9" s="220"/>
      <c r="C9" s="60" t="s">
        <v>128</v>
      </c>
      <c r="D9" s="90"/>
      <c r="E9" s="225">
        <v>0</v>
      </c>
      <c r="F9" s="90">
        <v>0</v>
      </c>
      <c r="G9" s="225">
        <v>100</v>
      </c>
      <c r="H9" s="90"/>
      <c r="I9" s="222">
        <v>600</v>
      </c>
      <c r="J9" s="90">
        <v>570</v>
      </c>
      <c r="K9" s="222">
        <v>95</v>
      </c>
      <c r="L9" s="222"/>
      <c r="M9" s="82"/>
      <c r="N9" s="82"/>
      <c r="O9" s="222"/>
      <c r="P9" s="82"/>
      <c r="Q9" s="222"/>
      <c r="R9" s="171"/>
    </row>
    <row r="10" spans="2:18" ht="15.65" customHeight="1">
      <c r="B10" s="168" t="s">
        <v>235</v>
      </c>
      <c r="C10" s="42" t="s">
        <v>127</v>
      </c>
      <c r="D10" s="82"/>
      <c r="E10" s="221">
        <v>0</v>
      </c>
      <c r="F10" s="82">
        <v>0</v>
      </c>
      <c r="G10" s="221">
        <v>16.66699981689453</v>
      </c>
      <c r="H10" s="82"/>
      <c r="I10" s="221">
        <v>0</v>
      </c>
      <c r="J10" s="82">
        <v>0</v>
      </c>
      <c r="K10" s="221">
        <v>0</v>
      </c>
      <c r="L10" s="221"/>
      <c r="M10" s="82"/>
      <c r="N10" s="82"/>
      <c r="O10" s="221"/>
      <c r="P10" s="82"/>
      <c r="Q10" s="221"/>
      <c r="R10" s="168"/>
    </row>
    <row r="11" spans="2:18" ht="15.65" customHeight="1">
      <c r="B11" s="171"/>
      <c r="C11" s="42" t="s">
        <v>128</v>
      </c>
      <c r="D11" s="82"/>
      <c r="E11" s="222">
        <v>0</v>
      </c>
      <c r="F11" s="82">
        <v>0</v>
      </c>
      <c r="G11" s="222">
        <v>100</v>
      </c>
      <c r="H11" s="82"/>
      <c r="I11" s="222">
        <v>0</v>
      </c>
      <c r="J11" s="82">
        <v>0</v>
      </c>
      <c r="K11" s="222">
        <v>0</v>
      </c>
      <c r="L11" s="222"/>
      <c r="M11" s="82"/>
      <c r="N11" s="82"/>
      <c r="O11" s="222"/>
      <c r="P11" s="82"/>
      <c r="Q11" s="222"/>
      <c r="R11" s="171"/>
    </row>
    <row r="12" spans="2:18" ht="15.65" customHeight="1">
      <c r="B12" s="219" t="s">
        <v>236</v>
      </c>
      <c r="C12" s="60" t="s">
        <v>127</v>
      </c>
      <c r="D12" s="90"/>
      <c r="E12" s="223">
        <v>0</v>
      </c>
      <c r="F12" s="90">
        <v>0</v>
      </c>
      <c r="G12" s="223">
        <v>16.66699981689453</v>
      </c>
      <c r="H12" s="90"/>
      <c r="I12" s="223">
        <v>0</v>
      </c>
      <c r="J12" s="90">
        <v>0</v>
      </c>
      <c r="K12" s="223">
        <v>0</v>
      </c>
      <c r="L12" s="223"/>
      <c r="M12" s="82"/>
      <c r="N12" s="82"/>
      <c r="O12" s="221"/>
      <c r="P12" s="82"/>
      <c r="Q12" s="221"/>
      <c r="R12" s="168"/>
    </row>
    <row r="13" spans="2:18" ht="15.65" customHeight="1">
      <c r="B13" s="220"/>
      <c r="C13" s="60" t="s">
        <v>128</v>
      </c>
      <c r="D13" s="90"/>
      <c r="E13" s="225">
        <v>0</v>
      </c>
      <c r="F13" s="90">
        <v>0</v>
      </c>
      <c r="G13" s="225">
        <v>100</v>
      </c>
      <c r="H13" s="90"/>
      <c r="I13" s="222">
        <v>0</v>
      </c>
      <c r="J13" s="90">
        <v>0</v>
      </c>
      <c r="K13" s="222">
        <v>0</v>
      </c>
      <c r="L13" s="222"/>
      <c r="M13" s="82"/>
      <c r="N13" s="82"/>
      <c r="O13" s="222"/>
      <c r="P13" s="82"/>
      <c r="Q13" s="222"/>
      <c r="R13" s="171"/>
    </row>
    <row r="14" spans="2:18" ht="15.65" customHeight="1">
      <c r="B14" s="168" t="s">
        <v>237</v>
      </c>
      <c r="C14" s="42" t="s">
        <v>127</v>
      </c>
      <c r="D14" s="82"/>
      <c r="E14" s="221">
        <v>0</v>
      </c>
      <c r="F14" s="82">
        <v>0</v>
      </c>
      <c r="G14" s="221">
        <v>16.66699981689453</v>
      </c>
      <c r="H14" s="82"/>
      <c r="I14" s="221">
        <v>0</v>
      </c>
      <c r="J14" s="82">
        <v>0</v>
      </c>
      <c r="K14" s="221">
        <v>0</v>
      </c>
      <c r="L14" s="221"/>
      <c r="M14" s="82"/>
      <c r="N14" s="82"/>
      <c r="O14" s="221"/>
      <c r="P14" s="82"/>
      <c r="Q14" s="221"/>
      <c r="R14" s="168"/>
    </row>
    <row r="15" spans="2:18" ht="15.65" customHeight="1">
      <c r="B15" s="171"/>
      <c r="C15" s="42" t="s">
        <v>128</v>
      </c>
      <c r="D15" s="82"/>
      <c r="E15" s="222">
        <v>0</v>
      </c>
      <c r="F15" s="82">
        <v>0</v>
      </c>
      <c r="G15" s="222">
        <v>100</v>
      </c>
      <c r="H15" s="82"/>
      <c r="I15" s="222">
        <v>0</v>
      </c>
      <c r="J15" s="82">
        <v>0</v>
      </c>
      <c r="K15" s="222">
        <v>0</v>
      </c>
      <c r="L15" s="222"/>
      <c r="M15" s="82"/>
      <c r="N15" s="82"/>
      <c r="O15" s="222"/>
      <c r="P15" s="82"/>
      <c r="Q15" s="222"/>
      <c r="R15" s="171"/>
    </row>
    <row r="16" spans="2:18" ht="15.65" customHeight="1">
      <c r="B16" s="219" t="s">
        <v>238</v>
      </c>
      <c r="C16" s="60" t="s">
        <v>127</v>
      </c>
      <c r="D16" s="90"/>
      <c r="E16" s="223">
        <v>0</v>
      </c>
      <c r="F16" s="90">
        <v>0</v>
      </c>
      <c r="G16" s="223">
        <v>16.66699981689453</v>
      </c>
      <c r="H16" s="90"/>
      <c r="I16" s="223">
        <v>0</v>
      </c>
      <c r="J16" s="90">
        <v>0</v>
      </c>
      <c r="K16" s="223">
        <v>0</v>
      </c>
      <c r="L16" s="223"/>
      <c r="M16" s="82"/>
      <c r="N16" s="82"/>
      <c r="O16" s="221"/>
      <c r="P16" s="82"/>
      <c r="Q16" s="82"/>
      <c r="R16" s="168"/>
    </row>
    <row r="17" spans="2:18" ht="15.65" customHeight="1">
      <c r="B17" s="220"/>
      <c r="C17" s="60" t="s">
        <v>128</v>
      </c>
      <c r="D17" s="90"/>
      <c r="E17" s="225">
        <v>0</v>
      </c>
      <c r="F17" s="90">
        <v>0</v>
      </c>
      <c r="G17" s="225">
        <v>100</v>
      </c>
      <c r="H17" s="90"/>
      <c r="I17" s="222">
        <v>0</v>
      </c>
      <c r="J17" s="90">
        <v>0</v>
      </c>
      <c r="K17" s="222">
        <v>0</v>
      </c>
      <c r="L17" s="222"/>
      <c r="M17" s="82"/>
      <c r="N17" s="82"/>
      <c r="O17" s="222"/>
      <c r="P17" s="82"/>
      <c r="Q17" s="82"/>
      <c r="R17" s="171"/>
    </row>
    <row r="18" spans="2:18" ht="15.65" customHeight="1">
      <c r="B18" s="168" t="s">
        <v>239</v>
      </c>
      <c r="C18" s="42" t="s">
        <v>127</v>
      </c>
      <c r="D18" s="82"/>
      <c r="E18" s="221">
        <v>0</v>
      </c>
      <c r="F18" s="82">
        <v>0</v>
      </c>
      <c r="G18" s="221">
        <v>16.66699981689453</v>
      </c>
      <c r="H18" s="82"/>
      <c r="I18" s="221">
        <v>0</v>
      </c>
      <c r="J18" s="82">
        <v>0</v>
      </c>
      <c r="K18" s="221">
        <v>0</v>
      </c>
      <c r="L18" s="221"/>
      <c r="M18" s="82"/>
      <c r="N18" s="82"/>
      <c r="O18" s="221"/>
      <c r="P18" s="82"/>
      <c r="Q18" s="221"/>
      <c r="R18" s="168"/>
    </row>
    <row r="19" spans="2:18" ht="15.65" customHeight="1">
      <c r="B19" s="171"/>
      <c r="C19" s="42" t="s">
        <v>128</v>
      </c>
      <c r="D19" s="82"/>
      <c r="E19" s="222">
        <v>0</v>
      </c>
      <c r="F19" s="82">
        <v>0</v>
      </c>
      <c r="G19" s="222">
        <v>100</v>
      </c>
      <c r="H19" s="82"/>
      <c r="I19" s="222">
        <v>0</v>
      </c>
      <c r="J19" s="82">
        <v>0</v>
      </c>
      <c r="K19" s="222">
        <v>0</v>
      </c>
      <c r="L19" s="222"/>
      <c r="M19" s="82"/>
      <c r="N19" s="82"/>
      <c r="O19" s="222"/>
      <c r="P19" s="82"/>
      <c r="Q19" s="222"/>
      <c r="R19" s="171"/>
    </row>
    <row r="20" spans="2:18" ht="15.65" customHeight="1">
      <c r="B20" s="219" t="s">
        <v>240</v>
      </c>
      <c r="C20" s="60" t="s">
        <v>127</v>
      </c>
      <c r="D20" s="90"/>
      <c r="E20" s="223">
        <v>0</v>
      </c>
      <c r="F20" s="90">
        <v>0</v>
      </c>
      <c r="G20" s="223">
        <v>16.66699981689453</v>
      </c>
      <c r="H20" s="90"/>
      <c r="I20" s="223">
        <v>0</v>
      </c>
      <c r="J20" s="90">
        <v>0</v>
      </c>
      <c r="K20" s="223">
        <v>0</v>
      </c>
      <c r="L20" s="223"/>
      <c r="M20" s="82"/>
      <c r="N20" s="82"/>
      <c r="O20" s="221"/>
      <c r="P20" s="82"/>
      <c r="Q20" s="221"/>
      <c r="R20" s="168"/>
    </row>
    <row r="21" spans="2:18" ht="15.65" customHeight="1">
      <c r="B21" s="220"/>
      <c r="C21" s="60" t="s">
        <v>128</v>
      </c>
      <c r="D21" s="90"/>
      <c r="E21" s="225">
        <v>0</v>
      </c>
      <c r="F21" s="90">
        <v>0</v>
      </c>
      <c r="G21" s="225">
        <v>100</v>
      </c>
      <c r="H21" s="90"/>
      <c r="I21" s="222">
        <v>0</v>
      </c>
      <c r="J21" s="90">
        <v>0</v>
      </c>
      <c r="K21" s="222">
        <v>0</v>
      </c>
      <c r="L21" s="222"/>
      <c r="M21" s="82"/>
      <c r="N21" s="82"/>
      <c r="O21" s="222"/>
      <c r="P21" s="82"/>
      <c r="Q21" s="222"/>
      <c r="R21" s="171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baseType="lpstr" size="14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2026-05-13T09:37:53Z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