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-120" yWindow="-16320" windowWidth="29040" windowHeight="15720" tabRatio="967"/>
  </bookViews>
  <sheets>
    <sheet name="第一页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能耗" sheetId="17" r:id="rId7"/>
  </sheets>
  <externalReferences>
    <externalReference r:id="rId8"/>
  </externalReferenc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G12" i="3" l="1"/>
  <c r="H12" i="3"/>
  <c r="M12" i="3"/>
  <c r="N12" i="3" s="1"/>
  <c r="H13" i="3"/>
  <c r="H14" i="3"/>
  <c r="G15" i="3"/>
  <c r="H15" i="3"/>
  <c r="M15" i="3"/>
  <c r="H16" i="3"/>
  <c r="H17" i="3"/>
  <c r="G6" i="3"/>
  <c r="H6" i="3"/>
  <c r="M6" i="3"/>
  <c r="N6" i="3" s="1"/>
  <c r="H7" i="3"/>
  <c r="H8" i="3"/>
  <c r="G9" i="3"/>
  <c r="H9" i="3"/>
  <c r="M9" i="3"/>
  <c r="H10" i="3"/>
  <c r="H11" i="3"/>
  <c r="G18" i="3"/>
  <c r="H18" i="3"/>
  <c r="M18" i="3"/>
  <c r="N18" i="3" s="1"/>
  <c r="H19" i="3"/>
  <c r="H20" i="3"/>
  <c r="G21" i="3"/>
  <c r="H21" i="3"/>
  <c r="I21" i="3"/>
  <c r="M21" i="3"/>
  <c r="N21" i="3" s="1"/>
  <c r="H22" i="3"/>
  <c r="H23" i="3"/>
  <c r="G24" i="3"/>
  <c r="H24" i="3"/>
  <c r="M24" i="3"/>
  <c r="N24" i="3" s="1"/>
  <c r="N27" i="3" s="1"/>
  <c r="H25" i="3"/>
  <c r="H26" i="3"/>
  <c r="G27" i="3"/>
  <c r="H27" i="3"/>
  <c r="M27" i="3"/>
  <c r="H28" i="3"/>
  <c r="H29" i="3"/>
  <c r="G30" i="3"/>
  <c r="H30" i="3"/>
  <c r="M30" i="3"/>
  <c r="N30" i="3" s="1"/>
  <c r="N33" i="3" s="1"/>
  <c r="H31" i="3"/>
  <c r="H32" i="3"/>
  <c r="G33" i="3"/>
  <c r="H33" i="3"/>
  <c r="M33" i="3"/>
  <c r="H34" i="3"/>
  <c r="H35" i="3"/>
  <c r="G36" i="3"/>
  <c r="H36" i="3"/>
  <c r="M36" i="3"/>
  <c r="N36" i="3"/>
  <c r="N39" i="3" s="1"/>
  <c r="H37" i="3"/>
  <c r="I36" i="3" s="1"/>
  <c r="H38" i="3"/>
  <c r="G39" i="3"/>
  <c r="H39" i="3"/>
  <c r="M39" i="3"/>
  <c r="H40" i="3"/>
  <c r="H41" i="3"/>
  <c r="G42" i="3"/>
  <c r="H42" i="3"/>
  <c r="M42" i="3"/>
  <c r="N42" i="3"/>
  <c r="H43" i="3"/>
  <c r="I42" i="3" s="1"/>
  <c r="H44" i="3"/>
  <c r="G45" i="3"/>
  <c r="H45" i="3"/>
  <c r="M45" i="3"/>
  <c r="N45" i="3"/>
  <c r="H46" i="3"/>
  <c r="H47" i="3"/>
  <c r="H32" i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N15" i="3" l="1"/>
  <c r="O21" i="3"/>
  <c r="O36" i="3"/>
  <c r="J36" i="3"/>
  <c r="O42" i="3"/>
  <c r="J42" i="3"/>
  <c r="I12" i="3"/>
  <c r="I27" i="3"/>
  <c r="O27" i="3" s="1"/>
  <c r="I18" i="3"/>
  <c r="O18" i="3" s="1"/>
  <c r="I33" i="3"/>
  <c r="O33" i="3" s="1"/>
  <c r="I30" i="3"/>
  <c r="I15" i="3"/>
  <c r="O15" i="3" s="1"/>
  <c r="I24" i="3"/>
  <c r="J24" i="3" s="1"/>
  <c r="J27" i="3" s="1"/>
  <c r="I39" i="3"/>
  <c r="O39" i="3" s="1"/>
  <c r="I45" i="3"/>
  <c r="O45" i="3" s="1"/>
  <c r="O12" i="3"/>
  <c r="J12" i="3"/>
  <c r="J15" i="3" s="1"/>
  <c r="Q12" i="3"/>
  <c r="N9" i="3"/>
  <c r="I9" i="3"/>
  <c r="O9" i="3" s="1"/>
  <c r="I6" i="3"/>
  <c r="O6" i="3" s="1"/>
  <c r="O30" i="3"/>
  <c r="J30" i="3"/>
  <c r="J33" i="3" s="1"/>
  <c r="J18" i="3" l="1"/>
  <c r="J21" i="3" s="1"/>
  <c r="J45" i="3"/>
  <c r="O24" i="3"/>
  <c r="J39" i="3"/>
  <c r="Q6" i="3"/>
  <c r="J6" i="3"/>
  <c r="J9" i="3" s="1"/>
  <c r="Q42" i="3"/>
  <c r="Q36" i="3"/>
  <c r="Q30" i="3"/>
  <c r="Q24" i="3"/>
  <c r="Q18" i="3" l="1"/>
</calcChain>
</file>

<file path=xl/sharedStrings.xml><?xml version="1.0" encoding="utf-8"?>
<sst xmlns="http://schemas.openxmlformats.org/spreadsheetml/2006/main" count="387" uniqueCount="132">
  <si>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</si>
  <si>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</si>
  <si>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</si>
  <si>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</si>
  <si>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</si>
  <si>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</si>
  <si>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</si>
  <si>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</si>
  <si>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</si>
  <si>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</si>
  <si>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</si>
  <si>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</si>
  <si>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</si>
  <si>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</si>
  <si>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</si>
  <si>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</si>
  <si>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</si>
  <si>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</si>
  <si>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</si>
  <si>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</si>
  <si>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</si>
  <si>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</si>
  <si>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</si>
  <si>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</si>
  <si>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</si>
  <si>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</si>
  <si>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</si>
  <si>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</si>
  <si>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</si>
  <si>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</si>
  <si>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</si>
  <si>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</si>
  <si>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</si>
  <si>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</si>
  <si>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</si>
  <si>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</si>
  <si>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</si>
  <si>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</si>
  <si>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</si>
  <si>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</si>
  <si>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</si>
  <si>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</si>
  <si>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</si>
  <si>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</si>
  <si>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</si>
  <si>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</si>
  <si>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</si>
  <si>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</si>
  <si>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</si>
  <si>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</si>
  <si>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</si>
  <si>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</si>
  <si>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</si>
  <si>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</si>
  <si>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</si>
  <si>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</si>
  <si>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</si>
  <si>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</si>
  <si>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</si>
  <si>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</si>
  <si>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</si>
  <si>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</si>
  <si>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</si>
  <si>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</si>
  <si>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</si>
  <si>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</si>
  <si>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</si>
  <si>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</si>
  <si>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</si>
  <si>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星期一</t>
    <phoneticPr fontId="1" type="noConversion"/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</si>
  <si>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</si>
  <si>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</si>
  <si>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</si>
  <si>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</si>
  <si>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</si>
  <si>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</si>
  <si>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</si>
  <si>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</si>
  <si>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</si>
  <si>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</si>
  <si>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</si>
  <si>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</si>
  <si>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</si>
  <si>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</si>
  <si>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</si>
  <si>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</si>
  <si>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</si>
  <si>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</si>
  <si>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</si>
  <si>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</si>
  <si>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</si>
  <si>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</si>
  <si>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</si>
  <si>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</si>
  <si>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</si>
  <si>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</si>
  <si>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</si>
  <si>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</si>
  <si>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</si>
  <si>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</si>
  <si>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</si>
  <si>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</si>
  <si>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</si>
  <si>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</si>
  <si>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</si>
  <si>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</si>
  <si>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</si>
  <si>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</si>
  <si>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</si>
  <si>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%</t>
    <phoneticPr fontId="1" type="noConversion"/>
  </si>
  <si>
    <t xml:space="preserve">废液中
二乙睛含量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</si>
  <si>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</si>
  <si>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</si>
  <si>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</si>
  <si>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</si>
  <si>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</si>
  <si>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</si>
  <si>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</si>
  <si>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</si>
  <si>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</si>
  <si>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</si>
  <si>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48±2</t>
  </si>
  <si>
    <t xml:space="preserve">≤20</t>
  </si>
  <si>
    <t xml:space="preserve">≤0.38</t>
  </si>
  <si>
    <t xml:space="preserve">2026-04-27</t>
  </si>
  <si>
    <t xml:space="preserve">2026年18周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</si>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</sst>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externalLink" Target="externalLinks/externalLink1.xml" /><Relationship Id="rId9" Type="http://schemas.openxmlformats.org/officeDocument/2006/relationships/theme" Target="theme/theme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3"/>
  <cols>
    <col min="1" max="1" width="1.83203125" customWidth="1"/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7.25" bestFit="1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54" t="s">
        <v>66</v>
      </c>
      <c r="C2" s="55"/>
      <c r="D2" s="55"/>
      <c r="E2" s="55"/>
      <c r="F2" s="55"/>
      <c r="G2" s="55"/>
      <c r="H2" s="55"/>
      <c r="I2" s="55"/>
      <c r="J2" s="56"/>
    </row>
    <row r="3" spans="2:10" ht="20.15" customHeight="1" x14ac:dyDescent="0.3">
      <c r="B3" s="11"/>
      <c r="C3" s="12"/>
      <c r="D3" s="12"/>
      <c r="E3" s="12"/>
      <c r="F3" s="12"/>
      <c r="G3" s="13" t="s">
        <v>124</v>
      </c>
      <c r="H3" s="57" t="s">
        <v>125</v>
      </c>
      <c r="I3" s="57"/>
      <c r="J3" s="58"/>
    </row>
    <row r="4" spans="2:10" ht="21" x14ac:dyDescent="0.3">
      <c r="B4" s="59" t="s">
        <v>3</v>
      </c>
      <c r="C4" s="60"/>
      <c r="D4" s="44"/>
      <c r="E4" s="6" t="s">
        <v>8</v>
      </c>
      <c r="F4" s="6" t="s">
        <v>27</v>
      </c>
      <c r="G4" s="6" t="s">
        <v>28</v>
      </c>
      <c r="H4" s="43" t="s">
        <v>64</v>
      </c>
      <c r="I4" s="44"/>
      <c r="J4" s="8" t="s">
        <v>14</v>
      </c>
    </row>
    <row r="5" spans="2:10" x14ac:dyDescent="0.3">
      <c r="B5" s="9" t="s">
        <v>40</v>
      </c>
      <c r="C5" s="48" t="s">
        <v>22</v>
      </c>
      <c r="D5" s="48"/>
      <c r="E5" s="5" t="s">
        <v>13</v>
      </c>
      <c r="F5" s="32">
        <v>90</v>
      </c>
      <c r="G5" s="17">
        <v>1830.0689697265625</v>
      </c>
      <c r="H5" s="3">
        <f>(G5-F5)/F5*100</f>
        <v>-100</v>
      </c>
      <c r="I5" s="15" t="s">
        <v>13</v>
      </c>
      <c r="J5" s="10"/>
    </row>
    <row r="6" spans="2:10" x14ac:dyDescent="0.3">
      <c r="B6" s="50" t="s">
        <v>29</v>
      </c>
      <c r="C6" s="48" t="s">
        <v>41</v>
      </c>
      <c r="D6" s="48"/>
      <c r="E6" s="5" t="s">
        <v>17</v>
      </c>
      <c r="F6" s="32" t="s">
        <v>111</v>
      </c>
      <c r="G6" s="17"/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51"/>
      <c r="C7" s="48" t="s">
        <v>42</v>
      </c>
      <c r="D7" s="48"/>
      <c r="E7" s="5" t="s">
        <v>17</v>
      </c>
      <c r="F7" s="32" t="s">
        <v>112</v>
      </c>
      <c r="G7" s="17"/>
      <c r="H7" s="2" t="str">
        <f>IF($G7="","",IF(AND($G7&gt;=210,$G7&lt;=220),"合格","不合格"))</f>
        <v/>
      </c>
      <c r="I7" s="7" t="s">
        <v>0</v>
      </c>
      <c r="J7" s="10"/>
    </row>
    <row r="8" spans="2:10" x14ac:dyDescent="0.3">
      <c r="B8" s="52"/>
      <c r="C8" s="48" t="s">
        <v>43</v>
      </c>
      <c r="D8" s="48"/>
      <c r="E8" s="5" t="s">
        <v>17</v>
      </c>
      <c r="F8" s="32" t="s">
        <v>113</v>
      </c>
      <c r="G8" s="17"/>
      <c r="H8" s="2" t="str">
        <f>IF($G8="","",IF(AND($G8&gt;=190,$G8&lt;=210),"合格","不合格"))</f>
        <v/>
      </c>
      <c r="I8" s="7" t="s">
        <v>0</v>
      </c>
      <c r="J8" s="10"/>
    </row>
    <row r="9" spans="2:10" x14ac:dyDescent="0.3">
      <c r="B9" s="50" t="s">
        <v>31</v>
      </c>
      <c r="C9" s="5" t="s">
        <v>32</v>
      </c>
      <c r="D9" s="5" t="s">
        <v>44</v>
      </c>
      <c r="E9" s="5" t="s">
        <v>45</v>
      </c>
      <c r="F9" s="32" t="s">
        <v>114</v>
      </c>
      <c r="G9" s="17">
        <v>414.263427734375</v>
      </c>
      <c r="H9" s="2" t="str">
        <f>IF($G9="","",IF(AND($G9&gt;=412,$G9&lt;=422),"合格","不合格"))</f>
        <v/>
      </c>
      <c r="I9" s="7" t="s">
        <v>0</v>
      </c>
      <c r="J9" s="10"/>
    </row>
    <row r="10" spans="2:10" x14ac:dyDescent="0.3">
      <c r="B10" s="51"/>
      <c r="C10" s="48" t="s">
        <v>33</v>
      </c>
      <c r="D10" s="5" t="s">
        <v>34</v>
      </c>
      <c r="E10" s="7" t="s">
        <v>0</v>
      </c>
      <c r="F10" s="32" t="s">
        <v>115</v>
      </c>
      <c r="G10" s="17">
        <v>0.5306732058525085</v>
      </c>
      <c r="H10" s="2" t="str">
        <f>IF($G10="","",IF(AND($G10&gt;=0.525,$G10&lt;=0.5357),"合格","不合格"))</f>
        <v/>
      </c>
      <c r="I10" s="7" t="s">
        <v>0</v>
      </c>
      <c r="J10" s="10"/>
    </row>
    <row r="11" spans="2:10" x14ac:dyDescent="0.3">
      <c r="B11" s="51"/>
      <c r="C11" s="48"/>
      <c r="D11" s="5" t="s">
        <v>47</v>
      </c>
      <c r="E11" s="5" t="s">
        <v>48</v>
      </c>
      <c r="F11" s="32">
        <v>46.63</v>
      </c>
      <c r="G11" s="17">
        <v>46.92499923706055</v>
      </c>
      <c r="H11" s="2" t="s">
        <v>30</v>
      </c>
      <c r="I11" s="7" t="s">
        <v>0</v>
      </c>
      <c r="J11" s="10"/>
    </row>
    <row r="12" spans="2:10" x14ac:dyDescent="0.3">
      <c r="B12" s="51"/>
      <c r="C12" s="48"/>
      <c r="D12" s="5" t="s">
        <v>63</v>
      </c>
      <c r="E12" s="5" t="s">
        <v>2</v>
      </c>
      <c r="F12" s="32" t="s">
        <v>116</v>
      </c>
      <c r="G12" s="17">
        <v>0.7302428483963013</v>
      </c>
      <c r="H12" s="2" t="str">
        <f>IF($G12="","",IF(AND($G12&gt;=0.745,$G12&lt;=0.755),"合格","不合格"))</f>
        <v/>
      </c>
      <c r="I12" s="7" t="s">
        <v>0</v>
      </c>
      <c r="J12" s="10"/>
    </row>
    <row r="13" spans="2:10" x14ac:dyDescent="0.3">
      <c r="B13" s="51"/>
      <c r="C13" s="48"/>
      <c r="D13" s="5" t="s">
        <v>56</v>
      </c>
      <c r="E13" s="5" t="s">
        <v>1</v>
      </c>
      <c r="F13" s="32" t="s">
        <v>117</v>
      </c>
      <c r="G13" s="17">
        <v>90.74639129638672</v>
      </c>
      <c r="H13" s="2" t="str">
        <f>IF($G13="","",IF(AND($G13&gt;=88,$G13&lt;=92),"合格","不合格"))</f>
        <v/>
      </c>
      <c r="I13" s="7" t="s">
        <v>0</v>
      </c>
      <c r="J13" s="10"/>
    </row>
    <row r="14" spans="2:10" x14ac:dyDescent="0.3">
      <c r="B14" s="51"/>
      <c r="C14" s="48"/>
      <c r="D14" s="5" t="s">
        <v>57</v>
      </c>
      <c r="E14" s="5" t="s">
        <v>1</v>
      </c>
      <c r="F14" s="32" t="s">
        <v>118</v>
      </c>
      <c r="G14" s="17">
        <v>139.63494873046875</v>
      </c>
      <c r="H14" s="2" t="str">
        <f>IF($G14="","",IF(AND($G14&gt;=143,$G14&lt;=147),"合格","不合格"))</f>
        <v/>
      </c>
      <c r="I14" s="7" t="s">
        <v>0</v>
      </c>
      <c r="J14" s="10"/>
    </row>
    <row r="15" spans="2:10" x14ac:dyDescent="0.3">
      <c r="B15" s="51"/>
      <c r="C15" s="48"/>
      <c r="D15" s="5" t="s">
        <v>58</v>
      </c>
      <c r="E15" s="5" t="s">
        <v>1</v>
      </c>
      <c r="F15" s="32" t="s">
        <v>119</v>
      </c>
      <c r="G15" s="17">
        <v>162.15167236328125</v>
      </c>
      <c r="H15" s="2" t="str">
        <f>IF($G15="","",IF(AND($G15&gt;=166,$G15&lt;=170),"合格","不合格"))</f>
        <v/>
      </c>
      <c r="I15" s="7" t="s">
        <v>0</v>
      </c>
      <c r="J15" s="10"/>
    </row>
    <row r="16" spans="2:10" x14ac:dyDescent="0.3">
      <c r="B16" s="51"/>
      <c r="C16" s="48" t="s">
        <v>35</v>
      </c>
      <c r="D16" s="5" t="s">
        <v>59</v>
      </c>
      <c r="E16" s="5" t="s">
        <v>1</v>
      </c>
      <c r="F16" s="32" t="s">
        <v>120</v>
      </c>
      <c r="G16" s="17">
        <v>47.36056900024414</v>
      </c>
      <c r="H16" s="2" t="str">
        <f>IF($G16="","",IF(AND($G16&gt;=0,$G16&lt;=45),"合格","不合格"))</f>
        <v/>
      </c>
      <c r="I16" s="7" t="s">
        <v>0</v>
      </c>
      <c r="J16" s="10"/>
    </row>
    <row r="17" spans="2:10" x14ac:dyDescent="0.3">
      <c r="B17" s="51"/>
      <c r="C17" s="48"/>
      <c r="D17" s="5" t="s">
        <v>60</v>
      </c>
      <c r="E17" s="5" t="s">
        <v>1</v>
      </c>
      <c r="F17" s="32" t="s">
        <v>36</v>
      </c>
      <c r="G17" s="17">
        <v>18.918249130249023</v>
      </c>
      <c r="H17" s="2" t="str">
        <f>IF($G17="","",IF(AND($G17&gt;=0,$G17&lt;=20),"合格","不合格"))</f>
        <v/>
      </c>
      <c r="I17" s="7" t="s">
        <v>0</v>
      </c>
      <c r="J17" s="10"/>
    </row>
    <row r="18" spans="2:10" x14ac:dyDescent="0.3">
      <c r="B18" s="51"/>
      <c r="C18" s="48"/>
      <c r="D18" s="5" t="s">
        <v>61</v>
      </c>
      <c r="E18" s="5" t="s">
        <v>1</v>
      </c>
      <c r="F18" s="32" t="s">
        <v>121</v>
      </c>
      <c r="G18" s="17"/>
      <c r="H18" s="2" t="str">
        <f>IF($G18="","",IF(AND($G18&gt;=46,$G18&lt;=50),"合格","不合格"))</f>
        <v/>
      </c>
      <c r="I18" s="7" t="s">
        <v>0</v>
      </c>
      <c r="J18" s="10"/>
    </row>
    <row r="19" spans="2:10" x14ac:dyDescent="0.3">
      <c r="B19" s="51"/>
      <c r="C19" s="48"/>
      <c r="D19" s="5" t="s">
        <v>62</v>
      </c>
      <c r="E19" s="5" t="s">
        <v>1</v>
      </c>
      <c r="F19" s="32" t="s">
        <v>122</v>
      </c>
      <c r="G19" s="17">
        <v>17.987382888793945</v>
      </c>
      <c r="H19" s="2" t="str">
        <f>IF($G19="","",IF(AND($G19&gt;=0,$G19&lt;=20),"合格","不合格"))</f>
        <v/>
      </c>
      <c r="I19" s="7" t="s">
        <v>0</v>
      </c>
      <c r="J19" s="10"/>
    </row>
    <row r="20" spans="2:10" x14ac:dyDescent="0.3">
      <c r="B20" s="51"/>
      <c r="C20" s="48" t="s">
        <v>37</v>
      </c>
      <c r="D20" s="5" t="s">
        <v>4</v>
      </c>
      <c r="E20" s="5" t="s">
        <v>13</v>
      </c>
      <c r="F20" s="18" t="s">
        <v>68</v>
      </c>
      <c r="G20" s="17">
        <v>33.25</v>
      </c>
      <c r="H20" s="4" t="s">
        <v>46</v>
      </c>
      <c r="I20" s="7" t="s">
        <v>0</v>
      </c>
      <c r="J20" s="10"/>
    </row>
    <row r="21" spans="2:10" x14ac:dyDescent="0.3">
      <c r="B21" s="51"/>
      <c r="C21" s="48"/>
      <c r="D21" s="5" t="s">
        <v>38</v>
      </c>
      <c r="E21" s="5" t="s">
        <v>13</v>
      </c>
      <c r="F21" s="18" t="s">
        <v>68</v>
      </c>
      <c r="G21" s="17"/>
      <c r="H21" s="4" t="s">
        <v>46</v>
      </c>
      <c r="I21" s="7" t="s">
        <v>0</v>
      </c>
      <c r="J21" s="10"/>
    </row>
    <row r="22" spans="2:10" x14ac:dyDescent="0.3">
      <c r="B22" s="51"/>
      <c r="C22" s="48"/>
      <c r="D22" s="5" t="s">
        <v>5</v>
      </c>
      <c r="E22" s="7" t="s">
        <v>0</v>
      </c>
      <c r="F22" s="18" t="s">
        <v>68</v>
      </c>
      <c r="G22" s="17">
        <v>7.1261115074157715</v>
      </c>
      <c r="H22" s="4" t="s">
        <v>46</v>
      </c>
      <c r="I22" s="7" t="s">
        <v>0</v>
      </c>
      <c r="J22" s="10"/>
    </row>
    <row r="23" spans="2:10" x14ac:dyDescent="0.3">
      <c r="B23" s="51"/>
      <c r="C23" s="48"/>
      <c r="D23" s="5" t="s">
        <v>49</v>
      </c>
      <c r="E23" s="5" t="s">
        <v>45</v>
      </c>
      <c r="F23" s="18" t="s">
        <v>68</v>
      </c>
      <c r="G23" s="17">
        <v>19.363750457763672</v>
      </c>
      <c r="H23" s="4" t="s">
        <v>46</v>
      </c>
      <c r="I23" s="7" t="s">
        <v>0</v>
      </c>
      <c r="J23" s="10"/>
    </row>
    <row r="24" spans="2:10" x14ac:dyDescent="0.3">
      <c r="B24" s="52"/>
      <c r="C24" s="48"/>
      <c r="D24" s="5" t="s">
        <v>50</v>
      </c>
      <c r="E24" s="5" t="s">
        <v>45</v>
      </c>
      <c r="F24" s="18" t="s">
        <v>68</v>
      </c>
      <c r="G24" s="17">
        <v>9.306249618530273</v>
      </c>
      <c r="H24" s="4" t="s">
        <v>46</v>
      </c>
      <c r="I24" s="7" t="s">
        <v>0</v>
      </c>
      <c r="J24" s="10"/>
    </row>
    <row r="25" spans="2:10" x14ac:dyDescent="0.3">
      <c r="B25" s="53" t="s">
        <v>26</v>
      </c>
      <c r="C25" s="5" t="s">
        <v>55</v>
      </c>
      <c r="D25" s="5" t="s">
        <v>65</v>
      </c>
      <c r="E25" s="5" t="s">
        <v>54</v>
      </c>
      <c r="F25" s="32" t="s">
        <v>123</v>
      </c>
      <c r="G25" s="17"/>
      <c r="H25" s="2" t="str">
        <f>IF($G25="","",IF(AND($G25&gt;=0,$G25&lt;=0.38),"合格","不合格"))</f>
        <v/>
      </c>
      <c r="I25" s="7" t="s">
        <v>0</v>
      </c>
      <c r="J25" s="10"/>
    </row>
    <row r="26" spans="2:10" x14ac:dyDescent="0.3">
      <c r="B26" s="53"/>
      <c r="C26" s="48" t="s">
        <v>39</v>
      </c>
      <c r="D26" s="5" t="s">
        <v>20</v>
      </c>
      <c r="E26" s="5" t="s">
        <v>13</v>
      </c>
      <c r="F26" s="32">
        <v>7</v>
      </c>
      <c r="G26" s="17"/>
      <c r="H26" s="3">
        <f>(G26-F26)</f>
        <v>-7</v>
      </c>
      <c r="I26" s="7" t="s">
        <v>13</v>
      </c>
      <c r="J26" s="10"/>
    </row>
    <row r="27" spans="2:10" x14ac:dyDescent="0.3">
      <c r="B27" s="53"/>
      <c r="C27" s="48"/>
      <c r="D27" s="5" t="s">
        <v>53</v>
      </c>
      <c r="E27" s="5" t="s">
        <v>13</v>
      </c>
      <c r="F27" s="32">
        <v>15</v>
      </c>
      <c r="G27" s="17"/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53"/>
      <c r="C28" s="48"/>
      <c r="D28" s="5" t="s">
        <v>21</v>
      </c>
      <c r="E28" s="5" t="s">
        <v>13</v>
      </c>
      <c r="F28" s="32">
        <v>4</v>
      </c>
      <c r="G28" s="17"/>
      <c r="H28" s="3">
        <f t="shared" si="0"/>
        <v>-4</v>
      </c>
      <c r="I28" s="7" t="s">
        <v>13</v>
      </c>
      <c r="J28" s="10"/>
    </row>
    <row r="29" spans="2:10" x14ac:dyDescent="0.3">
      <c r="B29" s="53"/>
      <c r="C29" s="48"/>
      <c r="D29" s="5" t="s">
        <v>49</v>
      </c>
      <c r="E29" s="5" t="s">
        <v>13</v>
      </c>
      <c r="F29" s="32">
        <v>7</v>
      </c>
      <c r="G29" s="17"/>
      <c r="H29" s="3">
        <f t="shared" si="0"/>
        <v>-7</v>
      </c>
      <c r="I29" s="7" t="s">
        <v>13</v>
      </c>
      <c r="J29" s="10"/>
    </row>
    <row r="30" spans="2:10" x14ac:dyDescent="0.3">
      <c r="B30" s="53"/>
      <c r="C30" s="48"/>
      <c r="D30" s="5" t="s">
        <v>50</v>
      </c>
      <c r="E30" s="5" t="s">
        <v>13</v>
      </c>
      <c r="F30" s="32">
        <v>7</v>
      </c>
      <c r="G30" s="17"/>
      <c r="H30" s="3">
        <f t="shared" si="0"/>
        <v>-7</v>
      </c>
      <c r="I30" s="7" t="s">
        <v>13</v>
      </c>
      <c r="J30" s="10"/>
    </row>
    <row r="31" spans="2:10" x14ac:dyDescent="0.3">
      <c r="B31" s="53"/>
      <c r="C31" s="48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50"/>
      <c r="C32" s="49"/>
      <c r="D32" s="16" t="s">
        <v>52</v>
      </c>
      <c r="E32" s="16" t="s">
        <v>13</v>
      </c>
      <c r="F32" s="33">
        <v>50</v>
      </c>
      <c r="G32" s="19"/>
      <c r="H32" s="3">
        <f>(G32-F32)</f>
        <v>-50</v>
      </c>
      <c r="I32" s="7" t="s">
        <v>13</v>
      </c>
      <c r="J32" s="14"/>
    </row>
    <row r="33" spans="2:10" x14ac:dyDescent="0.3">
      <c r="B33" s="45" t="s">
        <v>67</v>
      </c>
      <c r="C33" s="34"/>
      <c r="D33" s="35"/>
      <c r="E33" s="35"/>
      <c r="F33" s="35"/>
      <c r="G33" s="35"/>
      <c r="H33" s="35"/>
      <c r="I33" s="35"/>
      <c r="J33" s="36"/>
    </row>
    <row r="34" spans="2:10" x14ac:dyDescent="0.3">
      <c r="B34" s="46"/>
      <c r="C34" s="37"/>
      <c r="D34" s="38"/>
      <c r="E34" s="38"/>
      <c r="F34" s="38"/>
      <c r="G34" s="38"/>
      <c r="H34" s="38"/>
      <c r="I34" s="38"/>
      <c r="J34" s="39"/>
    </row>
    <row r="35" spans="2:10" ht="14.5" thickBot="1" x14ac:dyDescent="0.35">
      <c r="B35" s="47"/>
      <c r="C35" s="40"/>
      <c r="D35" s="41"/>
      <c r="E35" s="41"/>
      <c r="F35" s="41"/>
      <c r="G35" s="41"/>
      <c r="H35" s="41"/>
      <c r="I35" s="41"/>
      <c r="J35" s="42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4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70" t="s">
        <v>77</v>
      </c>
      <c r="C2" s="70"/>
      <c r="D2" s="70"/>
      <c r="E2" s="70"/>
      <c r="F2" s="70"/>
      <c r="G2" s="70"/>
      <c r="H2" s="70"/>
    </row>
    <row r="3" spans="2:8" ht="24" customHeight="1" x14ac:dyDescent="0.3">
      <c r="B3" s="67" t="s">
        <v>125</v>
      </c>
      <c r="C3" s="68"/>
      <c r="D3" s="68"/>
      <c r="E3" s="68"/>
      <c r="F3" s="68"/>
      <c r="G3" s="68"/>
      <c r="H3" s="69"/>
    </row>
    <row r="4" spans="2:8" ht="24" customHeight="1" x14ac:dyDescent="0.3">
      <c r="B4" s="48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48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124</v>
      </c>
      <c r="C6" s="22" t="s">
        <v>69</v>
      </c>
      <c r="D6" s="23"/>
      <c r="E6" s="23"/>
      <c r="F6" s="23"/>
      <c r="G6" s="23"/>
      <c r="H6" s="23"/>
    </row>
    <row r="7" spans="2:8" ht="24" customHeight="1" x14ac:dyDescent="0.3">
      <c r="B7" s="5" t="s">
        <v>126</v>
      </c>
      <c r="C7" s="5" t="s">
        <v>70</v>
      </c>
      <c r="D7" s="24">
        <v>69269</v>
      </c>
      <c r="E7" s="24">
        <v>1383</v>
      </c>
      <c r="F7" s="24">
        <v>441</v>
      </c>
      <c r="G7" s="24">
        <v>93.69999694824219</v>
      </c>
      <c r="H7" s="24">
        <v>8.369999885559082</v>
      </c>
    </row>
    <row r="8" spans="2:8" ht="24" customHeight="1" x14ac:dyDescent="0.3">
      <c r="B8" s="22" t="s">
        <v>127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128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129</v>
      </c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 t="s">
        <v>130</v>
      </c>
      <c r="C11" s="5" t="s">
        <v>74</v>
      </c>
      <c r="D11" s="24"/>
      <c r="E11" s="24"/>
      <c r="F11" s="24"/>
      <c r="G11" s="24"/>
      <c r="H11" s="24"/>
    </row>
    <row r="12" spans="2:8" ht="24" customHeight="1" x14ac:dyDescent="0.3">
      <c r="B12" s="22" t="s">
        <v>131</v>
      </c>
      <c r="C12" s="22" t="s">
        <v>75</v>
      </c>
      <c r="D12" s="23">
        <v>3.200000047683716</v>
      </c>
      <c r="E12" s="23"/>
      <c r="F12" s="23"/>
      <c r="G12" s="23"/>
      <c r="H12" s="23"/>
    </row>
    <row r="13" spans="2:8" ht="24" customHeight="1" x14ac:dyDescent="0.3">
      <c r="B13" s="65" t="s">
        <v>14</v>
      </c>
      <c r="C13" s="61" t="s">
        <v>76</v>
      </c>
      <c r="D13" s="61"/>
      <c r="E13" s="61"/>
      <c r="F13" s="61"/>
      <c r="G13" s="61"/>
      <c r="H13" s="62"/>
    </row>
    <row r="14" spans="2:8" ht="24" customHeight="1" x14ac:dyDescent="0.3">
      <c r="B14" s="66"/>
      <c r="C14" s="63"/>
      <c r="D14" s="63"/>
      <c r="E14" s="63"/>
      <c r="F14" s="63"/>
      <c r="G14" s="63"/>
      <c r="H14" s="64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71" t="s">
        <v>78</v>
      </c>
      <c r="C2" s="72"/>
      <c r="D2" s="72"/>
      <c r="E2" s="72"/>
      <c r="F2" s="72"/>
      <c r="G2" s="72"/>
      <c r="H2" s="72"/>
      <c r="I2" s="72"/>
      <c r="J2" s="73"/>
    </row>
    <row r="3" spans="2:10" ht="24" customHeight="1" x14ac:dyDescent="0.3">
      <c r="B3" s="67" t="s">
        <v>125</v>
      </c>
      <c r="C3" s="68"/>
      <c r="D3" s="68"/>
      <c r="E3" s="68"/>
      <c r="F3" s="68"/>
      <c r="G3" s="68"/>
      <c r="H3" s="68"/>
      <c r="I3" s="68"/>
      <c r="J3" s="69"/>
    </row>
    <row r="4" spans="2:10" ht="24" customHeight="1" x14ac:dyDescent="0.3">
      <c r="B4" s="48" t="s">
        <v>19</v>
      </c>
      <c r="C4" s="5" t="s">
        <v>3</v>
      </c>
      <c r="D4" s="48" t="s">
        <v>4</v>
      </c>
      <c r="E4" s="48"/>
      <c r="F4" s="48" t="s">
        <v>38</v>
      </c>
      <c r="G4" s="48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48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  <c r="I5" s="5" t="s">
        <v>79</v>
      </c>
      <c r="J5" s="5" t="s">
        <v>0</v>
      </c>
    </row>
    <row r="6" spans="2:10" ht="24" customHeight="1" x14ac:dyDescent="0.3">
      <c r="B6" s="22" t="s">
        <v>124</v>
      </c>
      <c r="C6" s="22" t="s">
        <v>69</v>
      </c>
      <c r="D6" s="23">
        <v>33.61333084106445</v>
      </c>
      <c r="E6" s="23"/>
      <c r="F6" s="23"/>
      <c r="G6" s="23">
        <v>13.470000267028809</v>
      </c>
      <c r="H6" s="23">
        <v>19.65999984741211</v>
      </c>
      <c r="I6" s="23">
        <v>11.960000038146973</v>
      </c>
      <c r="J6" s="23"/>
    </row>
    <row r="7" spans="2:10" ht="24" customHeight="1" x14ac:dyDescent="0.3">
      <c r="B7" s="5" t="s">
        <v>126</v>
      </c>
      <c r="C7" s="5" t="s">
        <v>70</v>
      </c>
      <c r="D7" s="24">
        <v>33.81999969482422</v>
      </c>
      <c r="E7" s="24"/>
      <c r="F7" s="24"/>
      <c r="G7" s="24">
        <v>12.923332214355469</v>
      </c>
      <c r="H7" s="24">
        <v>18.255001068115234</v>
      </c>
      <c r="I7" s="24">
        <v>8.600000381469727</v>
      </c>
      <c r="J7" s="24"/>
    </row>
    <row r="8" spans="2:10" ht="24" customHeight="1" x14ac:dyDescent="0.3">
      <c r="B8" s="22" t="s">
        <v>127</v>
      </c>
      <c r="C8" s="22" t="s">
        <v>71</v>
      </c>
      <c r="D8" s="23">
        <v>33.47999954223633</v>
      </c>
      <c r="E8" s="23"/>
      <c r="F8" s="23"/>
      <c r="G8" s="23">
        <v>15.693333625793457</v>
      </c>
      <c r="H8" s="23">
        <v>14.315000534057617</v>
      </c>
      <c r="I8" s="23">
        <v>8.870000839233398</v>
      </c>
      <c r="J8" s="23"/>
    </row>
    <row r="9" spans="2:10" ht="24" customHeight="1" x14ac:dyDescent="0.3">
      <c r="B9" s="5" t="s">
        <v>128</v>
      </c>
      <c r="C9" s="5" t="s">
        <v>72</v>
      </c>
      <c r="D9" s="24">
        <v>32.96333312988281</v>
      </c>
      <c r="E9" s="24"/>
      <c r="F9" s="24"/>
      <c r="G9" s="24">
        <v>14.080000877380371</v>
      </c>
      <c r="H9" s="24">
        <v>25.225000381469727</v>
      </c>
      <c r="I9" s="24">
        <v>7.795000076293945</v>
      </c>
      <c r="J9" s="24"/>
    </row>
    <row r="10" spans="2:10" ht="24" customHeight="1" x14ac:dyDescent="0.3">
      <c r="B10" s="22" t="s">
        <v>129</v>
      </c>
      <c r="C10" s="22" t="s">
        <v>73</v>
      </c>
      <c r="D10" s="23">
        <v>33.19499969482422</v>
      </c>
      <c r="E10" s="23"/>
      <c r="F10" s="23"/>
      <c r="G10" s="23">
        <v>16</v>
      </c>
      <c r="H10" s="23"/>
      <c r="I10" s="23"/>
      <c r="J10" s="23"/>
    </row>
    <row r="11" spans="2:10" ht="24" customHeight="1" x14ac:dyDescent="0.3">
      <c r="B11" s="5" t="s">
        <v>130</v>
      </c>
      <c r="C11" s="5" t="s">
        <v>74</v>
      </c>
      <c r="D11" s="24">
        <v>33.869998931884766</v>
      </c>
      <c r="E11" s="24"/>
      <c r="F11" s="24"/>
      <c r="G11" s="24">
        <v>14.170000076293945</v>
      </c>
      <c r="H11" s="24"/>
      <c r="I11" s="24"/>
      <c r="J11" s="24"/>
    </row>
    <row r="12" spans="2:10" ht="24" customHeight="1" x14ac:dyDescent="0.3">
      <c r="B12" s="22" t="s">
        <v>131</v>
      </c>
      <c r="C12" s="22" t="s">
        <v>75</v>
      </c>
      <c r="D12" s="23">
        <v>31.369998931884766</v>
      </c>
      <c r="E12" s="23"/>
      <c r="F12" s="23"/>
      <c r="G12" s="23">
        <v>1058.81494140625</v>
      </c>
      <c r="H12" s="23"/>
      <c r="I12" s="23"/>
      <c r="J12" s="23"/>
    </row>
    <row r="13" spans="2:10" ht="24" customHeight="1" x14ac:dyDescent="0.3">
      <c r="B13" s="48" t="s">
        <v>14</v>
      </c>
      <c r="C13" s="48" t="s">
        <v>76</v>
      </c>
      <c r="D13" s="48"/>
      <c r="E13" s="48"/>
      <c r="F13" s="48"/>
      <c r="G13" s="48"/>
      <c r="H13" s="48"/>
      <c r="I13" s="48"/>
      <c r="J13" s="48"/>
    </row>
    <row r="14" spans="2:10" ht="24" customHeight="1" x14ac:dyDescent="0.3">
      <c r="B14" s="48"/>
      <c r="C14" s="48"/>
      <c r="D14" s="48"/>
      <c r="E14" s="48"/>
      <c r="F14" s="48"/>
      <c r="G14" s="48"/>
      <c r="H14" s="48"/>
      <c r="I14" s="48"/>
      <c r="J14" s="48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49"/>
  <sheetViews>
    <sheetView zoomScaleNormal="100" workbookViewId="0">
      <selection activeCell="K12" sqref="K12:K14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20" bestFit="1" customWidth="1"/>
  </cols>
  <sheetData>
    <row r="2" spans="2:17" ht="24" customHeight="1" x14ac:dyDescent="0.3">
      <c r="B2" s="70" t="s">
        <v>97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</row>
    <row r="3" spans="2:17" ht="24" customHeight="1" x14ac:dyDescent="0.3">
      <c r="B3" s="48" t="s">
        <v>125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2:17" ht="24" customHeight="1" x14ac:dyDescent="0.3">
      <c r="B4" s="48" t="s">
        <v>19</v>
      </c>
      <c r="C4" s="5" t="s">
        <v>3</v>
      </c>
      <c r="D4" s="26" t="s">
        <v>102</v>
      </c>
      <c r="E4" s="26" t="s">
        <v>52</v>
      </c>
      <c r="F4" s="26" t="s">
        <v>23</v>
      </c>
      <c r="G4" s="5" t="s">
        <v>106</v>
      </c>
      <c r="H4" s="5" t="s">
        <v>82</v>
      </c>
      <c r="I4" s="5" t="s">
        <v>101</v>
      </c>
      <c r="J4" s="5" t="s">
        <v>100</v>
      </c>
      <c r="K4" s="26" t="s">
        <v>107</v>
      </c>
      <c r="L4" s="26" t="s">
        <v>83</v>
      </c>
      <c r="M4" s="5" t="s">
        <v>84</v>
      </c>
      <c r="N4" s="5" t="s">
        <v>85</v>
      </c>
      <c r="O4" s="5" t="s">
        <v>86</v>
      </c>
      <c r="P4" s="5" t="s">
        <v>88</v>
      </c>
      <c r="Q4" s="5" t="s">
        <v>87</v>
      </c>
    </row>
    <row r="5" spans="2:17" ht="24" customHeight="1" x14ac:dyDescent="0.3">
      <c r="B5" s="48"/>
      <c r="C5" s="5" t="s">
        <v>8</v>
      </c>
      <c r="D5" s="25" t="s">
        <v>104</v>
      </c>
      <c r="E5" s="5" t="s">
        <v>105</v>
      </c>
      <c r="F5" s="5" t="s">
        <v>103</v>
      </c>
      <c r="G5" s="5" t="s">
        <v>103</v>
      </c>
      <c r="H5" s="5" t="s">
        <v>103</v>
      </c>
      <c r="I5" s="5" t="s">
        <v>103</v>
      </c>
      <c r="J5" s="5" t="s">
        <v>103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5" t="s">
        <v>24</v>
      </c>
    </row>
    <row r="6" spans="2:17" ht="24" customHeight="1" x14ac:dyDescent="0.3">
      <c r="B6" s="81" t="s">
        <v>124</v>
      </c>
      <c r="C6" s="81" t="s">
        <v>69</v>
      </c>
      <c r="D6" s="27">
        <v>86.44000244140625</v>
      </c>
      <c r="E6" s="27">
        <v>11.350000381469727</v>
      </c>
      <c r="F6" s="27"/>
      <c r="G6" s="78">
        <f>F6+F7+F8</f>
        <v>0</v>
      </c>
      <c r="H6" s="28">
        <f>F6*D6/100</f>
        <v>0</v>
      </c>
      <c r="I6" s="75">
        <f>H6+H7+H8</f>
        <v>0</v>
      </c>
      <c r="J6" s="75">
        <f t="shared" ref="J6" si="0">I6</f>
        <v>0</v>
      </c>
      <c r="K6" s="75">
        <v>3.549293041229248</v>
      </c>
      <c r="L6" s="75">
        <v>409.3565979003906</v>
      </c>
      <c r="M6" s="75">
        <f>K6*L6/1000</f>
        <v>0</v>
      </c>
      <c r="N6" s="75">
        <f>M6+'[1]2025.12月 '!N190</f>
        <v>0</v>
      </c>
      <c r="O6" s="75" t="e">
        <f>I6/M6*1.2/10</f>
        <v>#DIV/0!</v>
      </c>
      <c r="P6" s="29" t="s">
        <v>98</v>
      </c>
      <c r="Q6" s="75" t="e">
        <f>(I6+I9)/(K6+K9)/L6*1.2*100</f>
        <v>#DIV/0!</v>
      </c>
    </row>
    <row r="7" spans="2:17" ht="24" customHeight="1" x14ac:dyDescent="0.3">
      <c r="B7" s="82"/>
      <c r="C7" s="82"/>
      <c r="D7" s="27"/>
      <c r="E7" s="27"/>
      <c r="F7" s="27"/>
      <c r="G7" s="79"/>
      <c r="H7" s="28">
        <f t="shared" ref="H7:H11" si="1">F7*D7/100</f>
        <v>0</v>
      </c>
      <c r="I7" s="76"/>
      <c r="J7" s="76"/>
      <c r="K7" s="76"/>
      <c r="L7" s="76"/>
      <c r="M7" s="76"/>
      <c r="N7" s="76"/>
      <c r="O7" s="76"/>
      <c r="P7" s="29" t="s">
        <v>98</v>
      </c>
      <c r="Q7" s="76"/>
    </row>
    <row r="8" spans="2:17" ht="24" customHeight="1" x14ac:dyDescent="0.3">
      <c r="B8" s="82"/>
      <c r="C8" s="82"/>
      <c r="D8" s="27"/>
      <c r="E8" s="27"/>
      <c r="F8" s="27"/>
      <c r="G8" s="80"/>
      <c r="H8" s="28">
        <f t="shared" si="1"/>
        <v>0</v>
      </c>
      <c r="I8" s="77"/>
      <c r="J8" s="77"/>
      <c r="K8" s="77"/>
      <c r="L8" s="77"/>
      <c r="M8" s="77"/>
      <c r="N8" s="77"/>
      <c r="O8" s="77"/>
      <c r="P8" s="29" t="s">
        <v>99</v>
      </c>
      <c r="Q8" s="76"/>
    </row>
    <row r="9" spans="2:17" ht="24" customHeight="1" x14ac:dyDescent="0.3">
      <c r="B9" s="82"/>
      <c r="C9" s="82"/>
      <c r="D9" s="27"/>
      <c r="E9" s="27"/>
      <c r="F9" s="27"/>
      <c r="G9" s="78">
        <f>F9+F10+F11</f>
        <v>0</v>
      </c>
      <c r="H9" s="28">
        <f>F9*D9/100</f>
        <v>0</v>
      </c>
      <c r="I9" s="75">
        <f>H9+H10+H11</f>
        <v>0</v>
      </c>
      <c r="J9" s="75">
        <f>J6+I9</f>
        <v>0</v>
      </c>
      <c r="K9" s="75">
        <v>3.599632740020752</v>
      </c>
      <c r="L9" s="75">
        <v>407.9818115234375</v>
      </c>
      <c r="M9" s="75">
        <f>K9*L9/1000</f>
        <v>0</v>
      </c>
      <c r="N9" s="75">
        <f>M9+N6</f>
        <v>0</v>
      </c>
      <c r="O9" s="75" t="e">
        <f>I9/M9*1.2/10</f>
        <v>#DIV/0!</v>
      </c>
      <c r="P9" s="29" t="s">
        <v>98</v>
      </c>
      <c r="Q9" s="76"/>
    </row>
    <row r="10" spans="2:17" ht="24" customHeight="1" x14ac:dyDescent="0.3">
      <c r="B10" s="82"/>
      <c r="C10" s="82"/>
      <c r="D10" s="27"/>
      <c r="E10" s="27"/>
      <c r="F10" s="27"/>
      <c r="G10" s="79"/>
      <c r="H10" s="28">
        <f t="shared" si="1"/>
        <v>0</v>
      </c>
      <c r="I10" s="76"/>
      <c r="J10" s="76"/>
      <c r="K10" s="76"/>
      <c r="L10" s="76"/>
      <c r="M10" s="76"/>
      <c r="N10" s="76"/>
      <c r="O10" s="76"/>
      <c r="P10" s="29" t="s">
        <v>98</v>
      </c>
      <c r="Q10" s="76"/>
    </row>
    <row r="11" spans="2:17" ht="24" customHeight="1" x14ac:dyDescent="0.3">
      <c r="B11" s="82"/>
      <c r="C11" s="82"/>
      <c r="D11" s="27"/>
      <c r="E11" s="27"/>
      <c r="F11" s="27"/>
      <c r="G11" s="80"/>
      <c r="H11" s="28">
        <f t="shared" si="1"/>
        <v>0</v>
      </c>
      <c r="I11" s="77"/>
      <c r="J11" s="77"/>
      <c r="K11" s="77"/>
      <c r="L11" s="77"/>
      <c r="M11" s="77"/>
      <c r="N11" s="77"/>
      <c r="O11" s="77"/>
      <c r="P11" s="29" t="s">
        <v>99</v>
      </c>
      <c r="Q11" s="77"/>
    </row>
    <row r="12" spans="2:17" ht="24" customHeight="1" x14ac:dyDescent="0.3">
      <c r="B12" s="49" t="s">
        <v>126</v>
      </c>
      <c r="C12" s="49" t="s">
        <v>70</v>
      </c>
      <c r="D12" s="30"/>
      <c r="E12" s="30"/>
      <c r="F12" s="30"/>
      <c r="G12" s="84">
        <f>F12+F13+F14</f>
        <v>0</v>
      </c>
      <c r="H12" s="31">
        <f>F12*D12/100</f>
        <v>0</v>
      </c>
      <c r="I12" s="87">
        <f>H12+H13+H14</f>
        <v>0</v>
      </c>
      <c r="J12" s="87">
        <f t="shared" ref="J12" si="2">I12</f>
        <v>0</v>
      </c>
      <c r="K12" s="87">
        <v>3.599691390991211</v>
      </c>
      <c r="L12" s="87">
        <v>410.2965393066406</v>
      </c>
      <c r="M12" s="87">
        <f>K12*L12/1000</f>
        <v>0</v>
      </c>
      <c r="N12" s="87">
        <f>M12+'[1]2025.12月 '!N196</f>
        <v>0</v>
      </c>
      <c r="O12" s="87" t="e">
        <f>I12/M12*1.2/10</f>
        <v>#DIV/0!</v>
      </c>
      <c r="P12" s="21" t="s">
        <v>98</v>
      </c>
      <c r="Q12" s="87" t="e">
        <f>(I12+I15)/(K12+K15)/L12*1.2*100</f>
        <v>#DIV/0!</v>
      </c>
    </row>
    <row r="13" spans="2:17" ht="24" customHeight="1" x14ac:dyDescent="0.3">
      <c r="B13" s="83"/>
      <c r="C13" s="83"/>
      <c r="D13" s="30"/>
      <c r="E13" s="30"/>
      <c r="F13" s="30"/>
      <c r="G13" s="85"/>
      <c r="H13" s="31">
        <f t="shared" ref="H13:H14" si="3">F13*D13/100</f>
        <v>0</v>
      </c>
      <c r="I13" s="88"/>
      <c r="J13" s="88"/>
      <c r="K13" s="88"/>
      <c r="L13" s="88"/>
      <c r="M13" s="88"/>
      <c r="N13" s="88"/>
      <c r="O13" s="88"/>
      <c r="P13" s="21" t="s">
        <v>98</v>
      </c>
      <c r="Q13" s="88"/>
    </row>
    <row r="14" spans="2:17" ht="24" customHeight="1" x14ac:dyDescent="0.3">
      <c r="B14" s="83"/>
      <c r="C14" s="83"/>
      <c r="D14" s="30"/>
      <c r="E14" s="30"/>
      <c r="F14" s="30"/>
      <c r="G14" s="86"/>
      <c r="H14" s="31">
        <f t="shared" si="3"/>
        <v>0</v>
      </c>
      <c r="I14" s="89"/>
      <c r="J14" s="89"/>
      <c r="K14" s="89"/>
      <c r="L14" s="89"/>
      <c r="M14" s="89"/>
      <c r="N14" s="89"/>
      <c r="O14" s="89"/>
      <c r="P14" s="21" t="s">
        <v>99</v>
      </c>
      <c r="Q14" s="88"/>
    </row>
    <row r="15" spans="2:17" ht="24" customHeight="1" x14ac:dyDescent="0.3">
      <c r="B15" s="83"/>
      <c r="C15" s="83"/>
      <c r="D15" s="30"/>
      <c r="E15" s="30"/>
      <c r="F15" s="30"/>
      <c r="G15" s="84">
        <f>F15+F16+F17</f>
        <v>0</v>
      </c>
      <c r="H15" s="31">
        <f>F15*D15/100</f>
        <v>0</v>
      </c>
      <c r="I15" s="87">
        <f>H15+H16+H17</f>
        <v>0</v>
      </c>
      <c r="J15" s="87">
        <f>J12+I15</f>
        <v>0</v>
      </c>
      <c r="K15" s="87">
        <v>3.599724531173706</v>
      </c>
      <c r="L15" s="87">
        <v>411.40875244140625</v>
      </c>
      <c r="M15" s="87">
        <f>K15*L15/1000</f>
        <v>0</v>
      </c>
      <c r="N15" s="87">
        <f>M15+N12</f>
        <v>0</v>
      </c>
      <c r="O15" s="87" t="e">
        <f>I15/M15*1.2/10</f>
        <v>#DIV/0!</v>
      </c>
      <c r="P15" s="21" t="s">
        <v>98</v>
      </c>
      <c r="Q15" s="88"/>
    </row>
    <row r="16" spans="2:17" ht="24" customHeight="1" x14ac:dyDescent="0.3">
      <c r="B16" s="83"/>
      <c r="C16" s="83"/>
      <c r="D16" s="30"/>
      <c r="E16" s="30"/>
      <c r="F16" s="30"/>
      <c r="G16" s="85"/>
      <c r="H16" s="31">
        <f t="shared" ref="H16:H17" si="4">F16*D16/100</f>
        <v>0</v>
      </c>
      <c r="I16" s="88"/>
      <c r="J16" s="88"/>
      <c r="K16" s="88"/>
      <c r="L16" s="88"/>
      <c r="M16" s="88"/>
      <c r="N16" s="88"/>
      <c r="O16" s="88"/>
      <c r="P16" s="21" t="s">
        <v>98</v>
      </c>
      <c r="Q16" s="88"/>
    </row>
    <row r="17" spans="2:17" ht="24" customHeight="1" x14ac:dyDescent="0.3">
      <c r="B17" s="83"/>
      <c r="C17" s="83"/>
      <c r="D17" s="30"/>
      <c r="E17" s="30"/>
      <c r="F17" s="30"/>
      <c r="G17" s="86"/>
      <c r="H17" s="31">
        <f t="shared" si="4"/>
        <v>0</v>
      </c>
      <c r="I17" s="89"/>
      <c r="J17" s="89"/>
      <c r="K17" s="89"/>
      <c r="L17" s="89"/>
      <c r="M17" s="89"/>
      <c r="N17" s="89"/>
      <c r="O17" s="89"/>
      <c r="P17" s="21" t="s">
        <v>99</v>
      </c>
      <c r="Q17" s="89"/>
    </row>
    <row r="18" spans="2:17" ht="24" customHeight="1" x14ac:dyDescent="0.3">
      <c r="B18" s="81" t="s">
        <v>127</v>
      </c>
      <c r="C18" s="81" t="s">
        <v>71</v>
      </c>
      <c r="D18" s="27"/>
      <c r="E18" s="27"/>
      <c r="F18" s="27"/>
      <c r="G18" s="78">
        <f>F18+F19+F20</f>
        <v>0</v>
      </c>
      <c r="H18" s="28">
        <f>F18*D18/100</f>
        <v>0</v>
      </c>
      <c r="I18" s="75">
        <f>H18+H19+H20</f>
        <v>0</v>
      </c>
      <c r="J18" s="75">
        <f t="shared" ref="J18" si="5">I18</f>
        <v>0</v>
      </c>
      <c r="K18" s="75">
        <v>3.6000585556030273</v>
      </c>
      <c r="L18" s="75">
        <v>410.4963684082031</v>
      </c>
      <c r="M18" s="75">
        <f>K18*L18/1000</f>
        <v>0</v>
      </c>
      <c r="N18" s="75">
        <f>M18+'[1]2025.12月 '!N202</f>
        <v>0</v>
      </c>
      <c r="O18" s="75" t="e">
        <f>I18/M18*1.2/10</f>
        <v>#DIV/0!</v>
      </c>
      <c r="P18" s="29" t="s">
        <v>98</v>
      </c>
      <c r="Q18" s="75" t="e">
        <f>(I18+I21)/(K18+K21)/L18*1.2*100</f>
        <v>#DIV/0!</v>
      </c>
    </row>
    <row r="19" spans="2:17" ht="24" customHeight="1" x14ac:dyDescent="0.3">
      <c r="B19" s="82"/>
      <c r="C19" s="82"/>
      <c r="D19" s="27"/>
      <c r="E19" s="27"/>
      <c r="F19" s="27"/>
      <c r="G19" s="79"/>
      <c r="H19" s="28">
        <f t="shared" ref="H19:H20" si="6">F19*D19/100</f>
        <v>0</v>
      </c>
      <c r="I19" s="76"/>
      <c r="J19" s="76"/>
      <c r="K19" s="76"/>
      <c r="L19" s="76"/>
      <c r="M19" s="76"/>
      <c r="N19" s="76"/>
      <c r="O19" s="76"/>
      <c r="P19" s="29" t="s">
        <v>98</v>
      </c>
      <c r="Q19" s="76"/>
    </row>
    <row r="20" spans="2:17" ht="24" customHeight="1" x14ac:dyDescent="0.3">
      <c r="B20" s="82"/>
      <c r="C20" s="82"/>
      <c r="D20" s="27"/>
      <c r="E20" s="27"/>
      <c r="F20" s="27"/>
      <c r="G20" s="80"/>
      <c r="H20" s="28">
        <f t="shared" si="6"/>
        <v>0</v>
      </c>
      <c r="I20" s="77"/>
      <c r="J20" s="77"/>
      <c r="K20" s="77"/>
      <c r="L20" s="77"/>
      <c r="M20" s="77"/>
      <c r="N20" s="77"/>
      <c r="O20" s="77"/>
      <c r="P20" s="29" t="s">
        <v>99</v>
      </c>
      <c r="Q20" s="76"/>
    </row>
    <row r="21" spans="2:17" ht="24" customHeight="1" x14ac:dyDescent="0.3">
      <c r="B21" s="82"/>
      <c r="C21" s="82"/>
      <c r="D21" s="27"/>
      <c r="E21" s="27"/>
      <c r="F21" s="27"/>
      <c r="G21" s="78">
        <f>F21+F22+F23</f>
        <v>0</v>
      </c>
      <c r="H21" s="28">
        <f>F21*D21/100</f>
        <v>0</v>
      </c>
      <c r="I21" s="75">
        <f>H21+H22+H23</f>
        <v>0</v>
      </c>
      <c r="J21" s="75">
        <f>J18+I21</f>
        <v>0</v>
      </c>
      <c r="K21" s="75">
        <v>3.599597692489624</v>
      </c>
      <c r="L21" s="75">
        <v>411.1789855957031</v>
      </c>
      <c r="M21" s="75">
        <f>K21*L21/1000</f>
        <v>0</v>
      </c>
      <c r="N21" s="75">
        <f>M21+N18</f>
        <v>0</v>
      </c>
      <c r="O21" s="75" t="e">
        <f>I21/M21*1.2/10</f>
        <v>#DIV/0!</v>
      </c>
      <c r="P21" s="29" t="s">
        <v>98</v>
      </c>
      <c r="Q21" s="76"/>
    </row>
    <row r="22" spans="2:17" ht="24" customHeight="1" x14ac:dyDescent="0.3">
      <c r="B22" s="82"/>
      <c r="C22" s="82"/>
      <c r="D22" s="27"/>
      <c r="E22" s="27"/>
      <c r="F22" s="27"/>
      <c r="G22" s="79"/>
      <c r="H22" s="28">
        <f t="shared" ref="H22:H23" si="7">F22*D22/100</f>
        <v>0</v>
      </c>
      <c r="I22" s="76"/>
      <c r="J22" s="76"/>
      <c r="K22" s="76"/>
      <c r="L22" s="76"/>
      <c r="M22" s="76"/>
      <c r="N22" s="76"/>
      <c r="O22" s="76"/>
      <c r="P22" s="29" t="s">
        <v>98</v>
      </c>
      <c r="Q22" s="76"/>
    </row>
    <row r="23" spans="2:17" ht="24" customHeight="1" x14ac:dyDescent="0.3">
      <c r="B23" s="82"/>
      <c r="C23" s="82"/>
      <c r="D23" s="27"/>
      <c r="E23" s="27"/>
      <c r="F23" s="27"/>
      <c r="G23" s="80"/>
      <c r="H23" s="28">
        <f t="shared" si="7"/>
        <v>0</v>
      </c>
      <c r="I23" s="77"/>
      <c r="J23" s="77"/>
      <c r="K23" s="77"/>
      <c r="L23" s="77"/>
      <c r="M23" s="77"/>
      <c r="N23" s="77"/>
      <c r="O23" s="77"/>
      <c r="P23" s="29" t="s">
        <v>99</v>
      </c>
      <c r="Q23" s="77"/>
    </row>
    <row r="24" spans="2:17" ht="24" customHeight="1" x14ac:dyDescent="0.3">
      <c r="B24" s="49" t="s">
        <v>128</v>
      </c>
      <c r="C24" s="49" t="s">
        <v>72</v>
      </c>
      <c r="D24" s="30"/>
      <c r="E24" s="30"/>
      <c r="F24" s="30"/>
      <c r="G24" s="84">
        <f>F24+F25+F26</f>
        <v>0</v>
      </c>
      <c r="H24" s="31">
        <f>F24*D24/100</f>
        <v>0</v>
      </c>
      <c r="I24" s="87">
        <f>H24+H25+H26</f>
        <v>0</v>
      </c>
      <c r="J24" s="87">
        <f t="shared" ref="J24" si="8">I24</f>
        <v>0</v>
      </c>
      <c r="K24" s="87">
        <v>3.6001758575439453</v>
      </c>
      <c r="L24" s="87">
        <v>416.6066589355469</v>
      </c>
      <c r="M24" s="87">
        <f>K24*L24/1000</f>
        <v>0</v>
      </c>
      <c r="N24" s="87">
        <f>M24+'[1]2025.12月 '!N208</f>
        <v>0</v>
      </c>
      <c r="O24" s="87" t="e">
        <f>I24/M24*1.2/10</f>
        <v>#DIV/0!</v>
      </c>
      <c r="P24" s="21" t="s">
        <v>98</v>
      </c>
      <c r="Q24" s="87" t="e">
        <f>(I24+I27)/(K24+K27)/L24*1.2*100</f>
        <v>#DIV/0!</v>
      </c>
    </row>
    <row r="25" spans="2:17" ht="24" customHeight="1" x14ac:dyDescent="0.3">
      <c r="B25" s="83"/>
      <c r="C25" s="83"/>
      <c r="D25" s="30"/>
      <c r="E25" s="30"/>
      <c r="F25" s="30"/>
      <c r="G25" s="85"/>
      <c r="H25" s="31">
        <f t="shared" ref="H25:H26" si="9">F25*D25/100</f>
        <v>0</v>
      </c>
      <c r="I25" s="88"/>
      <c r="J25" s="88"/>
      <c r="K25" s="88"/>
      <c r="L25" s="88"/>
      <c r="M25" s="88"/>
      <c r="N25" s="88"/>
      <c r="O25" s="88"/>
      <c r="P25" s="21" t="s">
        <v>98</v>
      </c>
      <c r="Q25" s="88"/>
    </row>
    <row r="26" spans="2:17" ht="24" customHeight="1" x14ac:dyDescent="0.3">
      <c r="B26" s="83"/>
      <c r="C26" s="83"/>
      <c r="D26" s="30"/>
      <c r="E26" s="30"/>
      <c r="F26" s="30"/>
      <c r="G26" s="86"/>
      <c r="H26" s="31">
        <f t="shared" si="9"/>
        <v>0</v>
      </c>
      <c r="I26" s="89"/>
      <c r="J26" s="89"/>
      <c r="K26" s="89"/>
      <c r="L26" s="89"/>
      <c r="M26" s="89"/>
      <c r="N26" s="89"/>
      <c r="O26" s="89"/>
      <c r="P26" s="21" t="s">
        <v>99</v>
      </c>
      <c r="Q26" s="88"/>
    </row>
    <row r="27" spans="2:17" ht="24" customHeight="1" x14ac:dyDescent="0.3">
      <c r="B27" s="83"/>
      <c r="C27" s="83"/>
      <c r="D27" s="30"/>
      <c r="E27" s="30"/>
      <c r="F27" s="30"/>
      <c r="G27" s="84">
        <f>F27+F28+F29</f>
        <v>0</v>
      </c>
      <c r="H27" s="31">
        <f>F27*D27/100</f>
        <v>0</v>
      </c>
      <c r="I27" s="87">
        <f>H27+H28+H29</f>
        <v>0</v>
      </c>
      <c r="J27" s="87">
        <f>J24+I27</f>
        <v>0</v>
      </c>
      <c r="K27" s="87">
        <v>3.599691390991211</v>
      </c>
      <c r="L27" s="87">
        <v>419.4543151855469</v>
      </c>
      <c r="M27" s="87">
        <f>K27*L27/1000</f>
        <v>0</v>
      </c>
      <c r="N27" s="87">
        <f>M27+N24</f>
        <v>0</v>
      </c>
      <c r="O27" s="87" t="e">
        <f>I27/M27*1.2/10</f>
        <v>#DIV/0!</v>
      </c>
      <c r="P27" s="21" t="s">
        <v>98</v>
      </c>
      <c r="Q27" s="88"/>
    </row>
    <row r="28" spans="2:17" ht="24" customHeight="1" x14ac:dyDescent="0.3">
      <c r="B28" s="83"/>
      <c r="C28" s="83"/>
      <c r="D28" s="30"/>
      <c r="E28" s="30"/>
      <c r="F28" s="30"/>
      <c r="G28" s="85"/>
      <c r="H28" s="31">
        <f t="shared" ref="H28:H29" si="10">F28*D28/100</f>
        <v>0</v>
      </c>
      <c r="I28" s="88"/>
      <c r="J28" s="88"/>
      <c r="K28" s="88"/>
      <c r="L28" s="88"/>
      <c r="M28" s="88"/>
      <c r="N28" s="88"/>
      <c r="O28" s="88"/>
      <c r="P28" s="21" t="s">
        <v>98</v>
      </c>
      <c r="Q28" s="88"/>
    </row>
    <row r="29" spans="2:17" ht="24" customHeight="1" x14ac:dyDescent="0.3">
      <c r="B29" s="83"/>
      <c r="C29" s="83"/>
      <c r="D29" s="30"/>
      <c r="E29" s="30"/>
      <c r="F29" s="30"/>
      <c r="G29" s="86"/>
      <c r="H29" s="31">
        <f t="shared" si="10"/>
        <v>0</v>
      </c>
      <c r="I29" s="89"/>
      <c r="J29" s="89"/>
      <c r="K29" s="89"/>
      <c r="L29" s="89"/>
      <c r="M29" s="89"/>
      <c r="N29" s="89"/>
      <c r="O29" s="89"/>
      <c r="P29" s="21" t="s">
        <v>99</v>
      </c>
      <c r="Q29" s="89"/>
    </row>
    <row r="30" spans="2:17" ht="24" customHeight="1" x14ac:dyDescent="0.3">
      <c r="B30" s="81" t="s">
        <v>129</v>
      </c>
      <c r="C30" s="81" t="s">
        <v>73</v>
      </c>
      <c r="D30" s="27">
        <v>84.52999877929688</v>
      </c>
      <c r="E30" s="27">
        <v>14.40999984741211</v>
      </c>
      <c r="F30" s="27">
        <v>418.5899963378906</v>
      </c>
      <c r="G30" s="78">
        <f>F30+F31+F32</f>
        <v>0</v>
      </c>
      <c r="H30" s="28">
        <f>F30*D30/100</f>
        <v>0</v>
      </c>
      <c r="I30" s="75">
        <f>H30+H31+H32</f>
        <v>0</v>
      </c>
      <c r="J30" s="75">
        <f t="shared" ref="J30" si="11">I30</f>
        <v>0</v>
      </c>
      <c r="K30" s="75">
        <v>3.5999374389648438</v>
      </c>
      <c r="L30" s="75">
        <v>418.4296875</v>
      </c>
      <c r="M30" s="75">
        <f>K30*L30/1000</f>
        <v>0</v>
      </c>
      <c r="N30" s="75">
        <f>M30+'[1]2025.12月 '!N214</f>
        <v>0</v>
      </c>
      <c r="O30" s="75" t="e">
        <f>I30/M30*1.2/10</f>
        <v>#DIV/0!</v>
      </c>
      <c r="P30" s="29" t="s">
        <v>98</v>
      </c>
      <c r="Q30" s="75" t="e">
        <f>(I30+I33)/(K30+K33)/L30*1.2*100</f>
        <v>#DIV/0!</v>
      </c>
    </row>
    <row r="31" spans="2:17" ht="24" customHeight="1" x14ac:dyDescent="0.3">
      <c r="B31" s="82"/>
      <c r="C31" s="82"/>
      <c r="D31" s="27">
        <v>85.72000122070312</v>
      </c>
      <c r="E31" s="27">
        <v>13.130000114440918</v>
      </c>
      <c r="F31" s="27">
        <v>451.3299865722656</v>
      </c>
      <c r="G31" s="79"/>
      <c r="H31" s="28">
        <f t="shared" ref="H31:H32" si="12">F31*D31/100</f>
        <v>0</v>
      </c>
      <c r="I31" s="76"/>
      <c r="J31" s="76"/>
      <c r="K31" s="76"/>
      <c r="L31" s="76"/>
      <c r="M31" s="76"/>
      <c r="N31" s="76"/>
      <c r="O31" s="76"/>
      <c r="P31" s="29" t="s">
        <v>98</v>
      </c>
      <c r="Q31" s="76"/>
    </row>
    <row r="32" spans="2:17" ht="24" customHeight="1" x14ac:dyDescent="0.3">
      <c r="B32" s="82"/>
      <c r="C32" s="82"/>
      <c r="D32" s="27"/>
      <c r="E32" s="27"/>
      <c r="F32" s="27"/>
      <c r="G32" s="80"/>
      <c r="H32" s="28">
        <f t="shared" si="12"/>
        <v>0</v>
      </c>
      <c r="I32" s="77"/>
      <c r="J32" s="77"/>
      <c r="K32" s="77"/>
      <c r="L32" s="77"/>
      <c r="M32" s="77"/>
      <c r="N32" s="77"/>
      <c r="O32" s="77"/>
      <c r="P32" s="29" t="s">
        <v>99</v>
      </c>
      <c r="Q32" s="76"/>
    </row>
    <row r="33" spans="2:17" ht="24" customHeight="1" x14ac:dyDescent="0.3">
      <c r="B33" s="82"/>
      <c r="C33" s="82"/>
      <c r="D33" s="27">
        <v>79.02999877929688</v>
      </c>
      <c r="E33" s="27">
        <v>19.75</v>
      </c>
      <c r="F33" s="27">
        <v>507.1400146484375</v>
      </c>
      <c r="G33" s="78">
        <f>F33+F34+F35</f>
        <v>0</v>
      </c>
      <c r="H33" s="28">
        <f>F33*D33/100</f>
        <v>0</v>
      </c>
      <c r="I33" s="75">
        <f>H33+H34+H35</f>
        <v>0</v>
      </c>
      <c r="J33" s="75">
        <f>J30+I33</f>
        <v>0</v>
      </c>
      <c r="K33" s="75">
        <v>3.599839925765991</v>
      </c>
      <c r="L33" s="75">
        <v>415.9498596191406</v>
      </c>
      <c r="M33" s="75">
        <f>K33*L33/1000</f>
        <v>0</v>
      </c>
      <c r="N33" s="75">
        <f>M33+N30</f>
        <v>0</v>
      </c>
      <c r="O33" s="75" t="e">
        <f>I33/M33*1.2/10</f>
        <v>#DIV/0!</v>
      </c>
      <c r="P33" s="29" t="s">
        <v>98</v>
      </c>
      <c r="Q33" s="76"/>
    </row>
    <row r="34" spans="2:17" ht="24" customHeight="1" x14ac:dyDescent="0.3">
      <c r="B34" s="82"/>
      <c r="C34" s="82"/>
      <c r="D34" s="27">
        <v>78.55000305175781</v>
      </c>
      <c r="E34" s="27">
        <v>20.149999618530273</v>
      </c>
      <c r="F34" s="27">
        <v>427.8900146484375</v>
      </c>
      <c r="G34" s="79"/>
      <c r="H34" s="28">
        <f t="shared" ref="H34:H35" si="13">F34*D34/100</f>
        <v>0</v>
      </c>
      <c r="I34" s="76"/>
      <c r="J34" s="76"/>
      <c r="K34" s="76"/>
      <c r="L34" s="76"/>
      <c r="M34" s="76"/>
      <c r="N34" s="76"/>
      <c r="O34" s="76"/>
      <c r="P34" s="29" t="s">
        <v>98</v>
      </c>
      <c r="Q34" s="76"/>
    </row>
    <row r="35" spans="2:17" ht="24" customHeight="1" x14ac:dyDescent="0.3">
      <c r="B35" s="82"/>
      <c r="C35" s="82"/>
      <c r="D35" s="27"/>
      <c r="E35" s="27"/>
      <c r="F35" s="27"/>
      <c r="G35" s="80"/>
      <c r="H35" s="28">
        <f t="shared" si="13"/>
        <v>0</v>
      </c>
      <c r="I35" s="77"/>
      <c r="J35" s="77"/>
      <c r="K35" s="77"/>
      <c r="L35" s="77"/>
      <c r="M35" s="77"/>
      <c r="N35" s="77"/>
      <c r="O35" s="77"/>
      <c r="P35" s="29" t="s">
        <v>99</v>
      </c>
      <c r="Q35" s="77"/>
    </row>
    <row r="36" spans="2:17" ht="24" customHeight="1" x14ac:dyDescent="0.3">
      <c r="B36" s="49" t="s">
        <v>130</v>
      </c>
      <c r="C36" s="49" t="s">
        <v>74</v>
      </c>
      <c r="D36" s="30">
        <v>87.58999633789062</v>
      </c>
      <c r="E36" s="30">
        <v>10.6899995803833</v>
      </c>
      <c r="F36" s="30">
        <v>565.1300048828125</v>
      </c>
      <c r="G36" s="84">
        <f>F36+F37+F38</f>
        <v>0</v>
      </c>
      <c r="H36" s="31">
        <f>F36*D36/100</f>
        <v>0</v>
      </c>
      <c r="I36" s="87">
        <f>H36+H37+H38</f>
        <v>0</v>
      </c>
      <c r="J36" s="87">
        <f t="shared" ref="J36" si="14">I36</f>
        <v>0</v>
      </c>
      <c r="K36" s="87">
        <v>3.599910259246826</v>
      </c>
      <c r="L36" s="87">
        <v>418.6750793457031</v>
      </c>
      <c r="M36" s="87">
        <f>K36*L36/1000</f>
        <v>0</v>
      </c>
      <c r="N36" s="87">
        <f>M36+'[1]2025.12月 '!N220</f>
        <v>0</v>
      </c>
      <c r="O36" s="87" t="e">
        <f>I36/M36*1.2/10</f>
        <v>#DIV/0!</v>
      </c>
      <c r="P36" s="21" t="s">
        <v>98</v>
      </c>
      <c r="Q36" s="87" t="e">
        <f>(I36+I39)/(K36+K39)/L36*1.2*100</f>
        <v>#DIV/0!</v>
      </c>
    </row>
    <row r="37" spans="2:17" ht="24" customHeight="1" x14ac:dyDescent="0.3">
      <c r="B37" s="83"/>
      <c r="C37" s="83"/>
      <c r="D37" s="30">
        <v>80.05999755859375</v>
      </c>
      <c r="E37" s="30">
        <v>17.760000228881836</v>
      </c>
      <c r="F37" s="30">
        <v>384.7699890136719</v>
      </c>
      <c r="G37" s="85"/>
      <c r="H37" s="31">
        <f t="shared" ref="H37:H38" si="15">F37*D37/100</f>
        <v>0</v>
      </c>
      <c r="I37" s="88"/>
      <c r="J37" s="88"/>
      <c r="K37" s="88"/>
      <c r="L37" s="88"/>
      <c r="M37" s="88"/>
      <c r="N37" s="88"/>
      <c r="O37" s="88"/>
      <c r="P37" s="21" t="s">
        <v>98</v>
      </c>
      <c r="Q37" s="88"/>
    </row>
    <row r="38" spans="2:17" ht="24" customHeight="1" x14ac:dyDescent="0.3">
      <c r="B38" s="83"/>
      <c r="C38" s="83"/>
      <c r="D38" s="30"/>
      <c r="E38" s="30"/>
      <c r="F38" s="30"/>
      <c r="G38" s="86"/>
      <c r="H38" s="31">
        <f t="shared" si="15"/>
        <v>0</v>
      </c>
      <c r="I38" s="89"/>
      <c r="J38" s="89"/>
      <c r="K38" s="89"/>
      <c r="L38" s="89"/>
      <c r="M38" s="89"/>
      <c r="N38" s="89"/>
      <c r="O38" s="89"/>
      <c r="P38" s="21" t="s">
        <v>99</v>
      </c>
      <c r="Q38" s="88"/>
    </row>
    <row r="39" spans="2:17" ht="24" customHeight="1" x14ac:dyDescent="0.3">
      <c r="B39" s="83"/>
      <c r="C39" s="83"/>
      <c r="D39" s="30">
        <v>83.27999877929688</v>
      </c>
      <c r="E39" s="30">
        <v>15.739999771118164</v>
      </c>
      <c r="F39" s="30">
        <v>385.1700134277344</v>
      </c>
      <c r="G39" s="84">
        <f>F39+F40+F41</f>
        <v>0</v>
      </c>
      <c r="H39" s="31">
        <f>F39*D39/100</f>
        <v>0</v>
      </c>
      <c r="I39" s="87">
        <f>H39+H40+H41</f>
        <v>0</v>
      </c>
      <c r="J39" s="87">
        <f>J36+I39</f>
        <v>0</v>
      </c>
      <c r="K39" s="87">
        <v>3.599902391433716</v>
      </c>
      <c r="L39" s="87">
        <v>416.0192565917969</v>
      </c>
      <c r="M39" s="87">
        <f>K39*L39/1000</f>
        <v>0</v>
      </c>
      <c r="N39" s="87">
        <f>M39+N36</f>
        <v>0</v>
      </c>
      <c r="O39" s="87" t="e">
        <f>I39/M39*1.2/10</f>
        <v>#DIV/0!</v>
      </c>
      <c r="P39" s="21" t="s">
        <v>98</v>
      </c>
      <c r="Q39" s="88"/>
    </row>
    <row r="40" spans="2:17" ht="24" customHeight="1" x14ac:dyDescent="0.3">
      <c r="B40" s="83"/>
      <c r="C40" s="83"/>
      <c r="D40" s="30">
        <v>88.43000030517578</v>
      </c>
      <c r="E40" s="30">
        <v>9.680000305175781</v>
      </c>
      <c r="F40" s="30">
        <v>518.469970703125</v>
      </c>
      <c r="G40" s="85"/>
      <c r="H40" s="31">
        <f t="shared" ref="H40:H41" si="16">F40*D40/100</f>
        <v>0</v>
      </c>
      <c r="I40" s="88"/>
      <c r="J40" s="88"/>
      <c r="K40" s="88"/>
      <c r="L40" s="88"/>
      <c r="M40" s="88"/>
      <c r="N40" s="88"/>
      <c r="O40" s="88"/>
      <c r="P40" s="21" t="s">
        <v>98</v>
      </c>
      <c r="Q40" s="88"/>
    </row>
    <row r="41" spans="2:17" ht="24" customHeight="1" x14ac:dyDescent="0.3">
      <c r="B41" s="83"/>
      <c r="C41" s="83"/>
      <c r="D41" s="30"/>
      <c r="E41" s="30"/>
      <c r="F41" s="30"/>
      <c r="G41" s="86"/>
      <c r="H41" s="31">
        <f t="shared" si="16"/>
        <v>0</v>
      </c>
      <c r="I41" s="89"/>
      <c r="J41" s="89"/>
      <c r="K41" s="89"/>
      <c r="L41" s="89"/>
      <c r="M41" s="89"/>
      <c r="N41" s="89"/>
      <c r="O41" s="89"/>
      <c r="P41" s="21" t="s">
        <v>99</v>
      </c>
      <c r="Q41" s="89"/>
    </row>
    <row r="42" spans="2:17" ht="24" customHeight="1" x14ac:dyDescent="0.3">
      <c r="B42" s="81" t="s">
        <v>131</v>
      </c>
      <c r="C42" s="81" t="s">
        <v>75</v>
      </c>
      <c r="D42" s="27"/>
      <c r="E42" s="27"/>
      <c r="F42" s="27"/>
      <c r="G42" s="78">
        <f>F42+F43+F44</f>
        <v>0</v>
      </c>
      <c r="H42" s="28">
        <f>F42*D42/100</f>
        <v>0</v>
      </c>
      <c r="I42" s="75">
        <f>H42+H43+H44</f>
        <v>0</v>
      </c>
      <c r="J42" s="75">
        <f t="shared" ref="J42" si="17">I42</f>
        <v>0</v>
      </c>
      <c r="K42" s="75">
        <v>3.6000819206237793</v>
      </c>
      <c r="L42" s="75">
        <v>417.3001708984375</v>
      </c>
      <c r="M42" s="75">
        <f>K42*L42/1000</f>
        <v>0</v>
      </c>
      <c r="N42" s="75">
        <f>M42+'[1]2025.12月 '!N226</f>
        <v>0</v>
      </c>
      <c r="O42" s="75" t="e">
        <f>I42/M42*1.2/10</f>
        <v>#DIV/0!</v>
      </c>
      <c r="P42" s="29" t="s">
        <v>98</v>
      </c>
      <c r="Q42" s="75" t="e">
        <f>(I42+I45)/(K42+K45)/L42*1.2*100</f>
        <v>#DIV/0!</v>
      </c>
    </row>
    <row r="43" spans="2:17" ht="24" customHeight="1" x14ac:dyDescent="0.3">
      <c r="B43" s="82"/>
      <c r="C43" s="82"/>
      <c r="D43" s="27"/>
      <c r="E43" s="27"/>
      <c r="F43" s="27"/>
      <c r="G43" s="79"/>
      <c r="H43" s="28">
        <f t="shared" ref="H43:H44" si="18">F43*D43/100</f>
        <v>0</v>
      </c>
      <c r="I43" s="76"/>
      <c r="J43" s="76"/>
      <c r="K43" s="76"/>
      <c r="L43" s="76"/>
      <c r="M43" s="76"/>
      <c r="N43" s="76"/>
      <c r="O43" s="76"/>
      <c r="P43" s="29" t="s">
        <v>98</v>
      </c>
      <c r="Q43" s="76"/>
    </row>
    <row r="44" spans="2:17" ht="24" customHeight="1" x14ac:dyDescent="0.3">
      <c r="B44" s="82"/>
      <c r="C44" s="82"/>
      <c r="D44" s="27"/>
      <c r="E44" s="27"/>
      <c r="F44" s="27"/>
      <c r="G44" s="80"/>
      <c r="H44" s="28">
        <f t="shared" si="18"/>
        <v>0</v>
      </c>
      <c r="I44" s="77"/>
      <c r="J44" s="77"/>
      <c r="K44" s="77"/>
      <c r="L44" s="77"/>
      <c r="M44" s="77"/>
      <c r="N44" s="77"/>
      <c r="O44" s="77"/>
      <c r="P44" s="29" t="s">
        <v>99</v>
      </c>
      <c r="Q44" s="76"/>
    </row>
    <row r="45" spans="2:17" ht="24" customHeight="1" x14ac:dyDescent="0.3">
      <c r="B45" s="82"/>
      <c r="C45" s="82"/>
      <c r="D45" s="27"/>
      <c r="E45" s="27"/>
      <c r="F45" s="27"/>
      <c r="G45" s="78">
        <f>F45+F46+F47</f>
        <v>0</v>
      </c>
      <c r="H45" s="28">
        <f>F45*D45/100</f>
        <v>0</v>
      </c>
      <c r="I45" s="75">
        <f>H45+H46+H47</f>
        <v>0</v>
      </c>
      <c r="J45" s="75">
        <f>J42+I45</f>
        <v>0</v>
      </c>
      <c r="K45" s="75">
        <v>0.5997655987739563</v>
      </c>
      <c r="L45" s="75">
        <v>419.5992736816406</v>
      </c>
      <c r="M45" s="75">
        <f>K45*L45/1000</f>
        <v>0</v>
      </c>
      <c r="N45" s="75">
        <f>M45+N42</f>
        <v>0</v>
      </c>
      <c r="O45" s="75" t="e">
        <f>I45/M45*1.2/10</f>
        <v>#DIV/0!</v>
      </c>
      <c r="P45" s="29" t="s">
        <v>98</v>
      </c>
      <c r="Q45" s="76"/>
    </row>
    <row r="46" spans="2:17" ht="24" customHeight="1" x14ac:dyDescent="0.3">
      <c r="B46" s="82"/>
      <c r="C46" s="82"/>
      <c r="D46" s="27"/>
      <c r="E46" s="27"/>
      <c r="F46" s="27"/>
      <c r="G46" s="79"/>
      <c r="H46" s="28">
        <f t="shared" ref="H46:H47" si="19">F46*D46/100</f>
        <v>0</v>
      </c>
      <c r="I46" s="76"/>
      <c r="J46" s="76"/>
      <c r="K46" s="76"/>
      <c r="L46" s="76"/>
      <c r="M46" s="76"/>
      <c r="N46" s="76"/>
      <c r="O46" s="76"/>
      <c r="P46" s="29" t="s">
        <v>98</v>
      </c>
      <c r="Q46" s="76"/>
    </row>
    <row r="47" spans="2:17" ht="24" customHeight="1" x14ac:dyDescent="0.3">
      <c r="B47" s="82"/>
      <c r="C47" s="82"/>
      <c r="D47" s="27"/>
      <c r="E47" s="27"/>
      <c r="F47" s="27"/>
      <c r="G47" s="80"/>
      <c r="H47" s="28">
        <f t="shared" si="19"/>
        <v>0</v>
      </c>
      <c r="I47" s="77"/>
      <c r="J47" s="77"/>
      <c r="K47" s="77"/>
      <c r="L47" s="77"/>
      <c r="M47" s="77"/>
      <c r="N47" s="77"/>
      <c r="O47" s="77"/>
      <c r="P47" s="29" t="s">
        <v>99</v>
      </c>
      <c r="Q47" s="77"/>
    </row>
    <row r="48" spans="2:17" ht="24" customHeight="1" x14ac:dyDescent="0.3">
      <c r="B48" s="48" t="s">
        <v>14</v>
      </c>
      <c r="C48" s="74" t="s">
        <v>76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</row>
    <row r="49" spans="2:17" ht="24" customHeight="1" x14ac:dyDescent="0.3">
      <c r="B49" s="48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</row>
  </sheetData>
  <sheetCalcPr fullCalcOnLoad="1"/>
  <mergeCells count="138">
    <mergeCell ref="B4:B5"/>
    <mergeCell ref="B2:Q2"/>
    <mergeCell ref="B3:Q3"/>
    <mergeCell ref="B48:B49"/>
    <mergeCell ref="G6:G8"/>
    <mergeCell ref="I6:I8"/>
    <mergeCell ref="J6:J8"/>
    <mergeCell ref="K6:K8"/>
    <mergeCell ref="L6:L8"/>
    <mergeCell ref="C6:C11"/>
    <mergeCell ref="B6:B11"/>
    <mergeCell ref="B12:B17"/>
    <mergeCell ref="C12:C17"/>
    <mergeCell ref="G12:G14"/>
    <mergeCell ref="I12:I14"/>
    <mergeCell ref="J12:J14"/>
    <mergeCell ref="K12:K14"/>
    <mergeCell ref="M6:M8"/>
    <mergeCell ref="N6:N8"/>
    <mergeCell ref="O6:O8"/>
    <mergeCell ref="Q6:Q11"/>
    <mergeCell ref="G9:G11"/>
    <mergeCell ref="I9:I11"/>
    <mergeCell ref="J9:J11"/>
    <mergeCell ref="K9:K11"/>
    <mergeCell ref="L9:L11"/>
    <mergeCell ref="M9:M11"/>
    <mergeCell ref="N9:N11"/>
    <mergeCell ref="O9:O11"/>
    <mergeCell ref="L15:L17"/>
    <mergeCell ref="L12:L14"/>
    <mergeCell ref="M12:M14"/>
    <mergeCell ref="N12:N14"/>
    <mergeCell ref="O12:O14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N24:N26"/>
    <mergeCell ref="O24:O26"/>
    <mergeCell ref="B24:B29"/>
    <mergeCell ref="C24:C29"/>
    <mergeCell ref="G24:G26"/>
    <mergeCell ref="I24:I26"/>
    <mergeCell ref="J24:J26"/>
    <mergeCell ref="M36:M38"/>
    <mergeCell ref="N36:N38"/>
    <mergeCell ref="Q36:Q41"/>
    <mergeCell ref="I33:I35"/>
    <mergeCell ref="J33:J35"/>
    <mergeCell ref="K33:K35"/>
    <mergeCell ref="L33:L35"/>
    <mergeCell ref="M33:M35"/>
    <mergeCell ref="N33:N35"/>
    <mergeCell ref="Q30:Q35"/>
    <mergeCell ref="J30:J32"/>
    <mergeCell ref="K30:K32"/>
    <mergeCell ref="L30:L32"/>
    <mergeCell ref="M30:M32"/>
    <mergeCell ref="N30:N32"/>
    <mergeCell ref="B42:B47"/>
    <mergeCell ref="C42:C47"/>
    <mergeCell ref="G42:G44"/>
    <mergeCell ref="I42:I44"/>
    <mergeCell ref="J42:J44"/>
    <mergeCell ref="O30:O32"/>
    <mergeCell ref="G33:G35"/>
    <mergeCell ref="O33:O35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B36:B41"/>
    <mergeCell ref="I36:I38"/>
    <mergeCell ref="J36:J38"/>
    <mergeCell ref="K36:K38"/>
    <mergeCell ref="L36:L38"/>
    <mergeCell ref="C48:Q49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  <mergeCell ref="O42:O4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26"/>
  <sheetViews>
    <sheetView zoomScaleNormal="100" workbookViewId="0">
      <selection sqref="A1:XFD1048576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71" t="s">
        <v>89</v>
      </c>
      <c r="C2" s="72"/>
      <c r="D2" s="72"/>
      <c r="E2" s="72"/>
      <c r="F2" s="72"/>
      <c r="G2" s="72"/>
      <c r="H2" s="72"/>
    </row>
    <row r="3" spans="2:8" ht="24" customHeight="1" x14ac:dyDescent="0.3">
      <c r="B3" s="67" t="s">
        <v>125</v>
      </c>
      <c r="C3" s="68"/>
      <c r="D3" s="68"/>
      <c r="E3" s="68"/>
      <c r="F3" s="68"/>
      <c r="G3" s="68"/>
      <c r="H3" s="68"/>
    </row>
    <row r="4" spans="2:8" ht="24" customHeight="1" x14ac:dyDescent="0.3">
      <c r="B4" s="48" t="s">
        <v>19</v>
      </c>
      <c r="C4" s="5" t="s">
        <v>3</v>
      </c>
      <c r="D4" s="48" t="s">
        <v>4</v>
      </c>
      <c r="E4" s="48"/>
      <c r="F4" s="48" t="s">
        <v>38</v>
      </c>
      <c r="G4" s="48"/>
      <c r="H4" s="5" t="s">
        <v>53</v>
      </c>
    </row>
    <row r="5" spans="2:8" ht="24" customHeight="1" x14ac:dyDescent="0.3">
      <c r="B5" s="48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</row>
    <row r="6" spans="2:8" ht="24" customHeight="1" x14ac:dyDescent="0.3">
      <c r="B6" s="22" t="s">
        <v>124</v>
      </c>
      <c r="C6" s="22" t="s">
        <v>69</v>
      </c>
      <c r="D6" s="23">
        <v>5.690000057220459</v>
      </c>
      <c r="E6" s="23"/>
      <c r="F6" s="23"/>
      <c r="G6" s="23"/>
      <c r="H6" s="23"/>
    </row>
    <row r="7" spans="2:8" ht="24" customHeight="1" x14ac:dyDescent="0.3">
      <c r="B7" s="5" t="s">
        <v>126</v>
      </c>
      <c r="C7" s="5" t="s">
        <v>70</v>
      </c>
      <c r="D7" s="24">
        <v>6.090000152587891</v>
      </c>
      <c r="E7" s="24"/>
      <c r="F7" s="24"/>
      <c r="G7" s="24"/>
      <c r="H7" s="24"/>
    </row>
    <row r="8" spans="2:8" ht="24" customHeight="1" x14ac:dyDescent="0.3">
      <c r="B8" s="22" t="s">
        <v>127</v>
      </c>
      <c r="C8" s="22" t="s">
        <v>71</v>
      </c>
      <c r="D8" s="23">
        <v>5.650000095367432</v>
      </c>
      <c r="E8" s="23"/>
      <c r="F8" s="23"/>
      <c r="G8" s="23"/>
      <c r="H8" s="23"/>
    </row>
    <row r="9" spans="2:8" ht="24" customHeight="1" x14ac:dyDescent="0.3">
      <c r="B9" s="5" t="s">
        <v>128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129</v>
      </c>
      <c r="C10" s="22" t="s">
        <v>73</v>
      </c>
      <c r="D10" s="23">
        <v>5.96999979019165</v>
      </c>
      <c r="E10" s="23"/>
      <c r="F10" s="23"/>
      <c r="G10" s="23"/>
      <c r="H10" s="23"/>
    </row>
    <row r="11" spans="2:8" ht="24" customHeight="1" x14ac:dyDescent="0.3">
      <c r="B11" s="5" t="s">
        <v>130</v>
      </c>
      <c r="C11" s="5" t="s">
        <v>74</v>
      </c>
      <c r="D11" s="24">
        <v>5.989999771118164</v>
      </c>
      <c r="E11" s="24"/>
      <c r="F11" s="24"/>
      <c r="G11" s="24"/>
      <c r="H11" s="24"/>
    </row>
    <row r="12" spans="2:8" ht="24" customHeight="1" x14ac:dyDescent="0.3">
      <c r="B12" s="22" t="s">
        <v>131</v>
      </c>
      <c r="C12" s="22" t="s">
        <v>75</v>
      </c>
      <c r="D12" s="23">
        <v>5.630000114440918</v>
      </c>
      <c r="E12" s="23"/>
      <c r="F12" s="23"/>
      <c r="G12" s="23"/>
      <c r="H12" s="23"/>
    </row>
    <row r="13" spans="2:8" ht="24" customHeight="1" x14ac:dyDescent="0.3">
      <c r="B13" s="48" t="s">
        <v>14</v>
      </c>
      <c r="C13" s="48" t="s">
        <v>76</v>
      </c>
      <c r="D13" s="48"/>
      <c r="E13" s="48"/>
      <c r="F13" s="48"/>
      <c r="G13" s="48"/>
      <c r="H13" s="48"/>
    </row>
    <row r="14" spans="2:8" ht="24" customHeight="1" x14ac:dyDescent="0.3">
      <c r="B14" s="48"/>
      <c r="C14" s="48"/>
      <c r="D14" s="48"/>
      <c r="E14" s="48"/>
      <c r="F14" s="48"/>
      <c r="G14" s="48"/>
      <c r="H14" s="48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5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7" width="12.4140625" style="20" customWidth="1"/>
  </cols>
  <sheetData>
    <row r="2" spans="2:17" ht="24" customHeight="1" x14ac:dyDescent="0.3">
      <c r="B2" s="71" t="s">
        <v>89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3"/>
    </row>
    <row r="3" spans="2:17" ht="24" customHeight="1" x14ac:dyDescent="0.3">
      <c r="B3" s="67" t="s">
        <v>125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9"/>
    </row>
    <row r="4" spans="2:17" ht="24" customHeight="1" x14ac:dyDescent="0.3">
      <c r="B4" s="5"/>
      <c r="C4" s="5"/>
      <c r="D4" s="48" t="s">
        <v>91</v>
      </c>
      <c r="E4" s="48"/>
      <c r="F4" s="48"/>
      <c r="G4" s="48"/>
      <c r="H4" s="48"/>
      <c r="I4" s="48"/>
      <c r="J4" s="48" t="s">
        <v>91</v>
      </c>
      <c r="K4" s="48"/>
      <c r="L4" s="48"/>
      <c r="M4" s="48"/>
      <c r="N4" s="48"/>
      <c r="O4" s="48"/>
      <c r="P4" s="96" t="s">
        <v>110</v>
      </c>
      <c r="Q4" s="48" t="s">
        <v>92</v>
      </c>
    </row>
    <row r="5" spans="2:17" ht="24" customHeight="1" x14ac:dyDescent="0.3">
      <c r="B5" s="48" t="s">
        <v>19</v>
      </c>
      <c r="C5" s="5" t="s">
        <v>3</v>
      </c>
      <c r="D5" s="48" t="s">
        <v>4</v>
      </c>
      <c r="E5" s="48"/>
      <c r="F5" s="48" t="s">
        <v>38</v>
      </c>
      <c r="G5" s="48"/>
      <c r="H5" s="5" t="s">
        <v>90</v>
      </c>
      <c r="I5" s="5" t="s">
        <v>18</v>
      </c>
      <c r="J5" s="48" t="s">
        <v>4</v>
      </c>
      <c r="K5" s="48"/>
      <c r="L5" s="48" t="s">
        <v>38</v>
      </c>
      <c r="M5" s="48"/>
      <c r="N5" s="5" t="s">
        <v>90</v>
      </c>
      <c r="O5" s="5" t="s">
        <v>18</v>
      </c>
      <c r="P5" s="97"/>
      <c r="Q5" s="48"/>
    </row>
    <row r="6" spans="2:17" ht="24" customHeight="1" x14ac:dyDescent="0.3">
      <c r="B6" s="48"/>
      <c r="C6" s="5" t="s">
        <v>8</v>
      </c>
      <c r="D6" s="25" t="s">
        <v>80</v>
      </c>
      <c r="E6" s="25" t="s">
        <v>81</v>
      </c>
      <c r="F6" s="5" t="s">
        <v>13</v>
      </c>
      <c r="G6" s="5" t="s">
        <v>15</v>
      </c>
      <c r="H6" s="5" t="s">
        <v>79</v>
      </c>
      <c r="I6" s="5" t="s">
        <v>13</v>
      </c>
      <c r="J6" s="25" t="s">
        <v>80</v>
      </c>
      <c r="K6" s="25" t="s">
        <v>81</v>
      </c>
      <c r="L6" s="5" t="s">
        <v>13</v>
      </c>
      <c r="M6" s="5" t="s">
        <v>15</v>
      </c>
      <c r="N6" s="5" t="s">
        <v>79</v>
      </c>
      <c r="O6" s="5" t="s">
        <v>13</v>
      </c>
      <c r="P6" s="5" t="s">
        <v>109</v>
      </c>
      <c r="Q6" s="5" t="s">
        <v>24</v>
      </c>
    </row>
    <row r="7" spans="2:17" ht="24" customHeight="1" x14ac:dyDescent="0.3">
      <c r="B7" s="22" t="s">
        <v>124</v>
      </c>
      <c r="C7" s="22" t="s">
        <v>69</v>
      </c>
      <c r="D7" s="23">
        <v>4.820000171661377</v>
      </c>
      <c r="E7" s="23"/>
      <c r="F7" s="23"/>
      <c r="G7" s="23">
        <v>44.34000015258789</v>
      </c>
      <c r="H7" s="23">
        <v>83.5</v>
      </c>
      <c r="I7" s="23">
        <v>1.399999976158142</v>
      </c>
      <c r="J7" s="23">
        <v>5.070000171661377</v>
      </c>
      <c r="K7" s="23"/>
      <c r="L7" s="23"/>
      <c r="M7" s="23">
        <v>43.88999938964844</v>
      </c>
      <c r="N7" s="23">
        <v>83.5</v>
      </c>
      <c r="O7" s="23">
        <v>0.25</v>
      </c>
      <c r="P7" s="23"/>
      <c r="Q7" s="23">
        <v>1</v>
      </c>
    </row>
    <row r="8" spans="2:17" ht="24" customHeight="1" x14ac:dyDescent="0.3">
      <c r="B8" s="5" t="s">
        <v>126</v>
      </c>
      <c r="C8" s="5" t="s">
        <v>70</v>
      </c>
      <c r="D8" s="24">
        <v>4.809999942779541</v>
      </c>
      <c r="E8" s="24"/>
      <c r="F8" s="24"/>
      <c r="G8" s="24">
        <v>60.43000030517578</v>
      </c>
      <c r="H8" s="24">
        <v>79.5199966430664</v>
      </c>
      <c r="I8" s="24"/>
      <c r="J8" s="24">
        <v>5.130000114440918</v>
      </c>
      <c r="K8" s="24"/>
      <c r="L8" s="24"/>
      <c r="M8" s="24">
        <v>53.029998779296875</v>
      </c>
      <c r="N8" s="24">
        <v>82.16999816894531</v>
      </c>
      <c r="O8" s="24">
        <v>1.6299999952316284</v>
      </c>
      <c r="P8" s="24"/>
      <c r="Q8" s="24"/>
    </row>
    <row r="9" spans="2:17" ht="24" customHeight="1" x14ac:dyDescent="0.3">
      <c r="B9" s="22" t="s">
        <v>127</v>
      </c>
      <c r="C9" s="22" t="s">
        <v>71</v>
      </c>
      <c r="D9" s="23">
        <v>4.75</v>
      </c>
      <c r="E9" s="23"/>
      <c r="F9" s="23"/>
      <c r="G9" s="23">
        <v>68.11000061035156</v>
      </c>
      <c r="H9" s="23">
        <v>96.75</v>
      </c>
      <c r="I9" s="23"/>
      <c r="J9" s="23">
        <v>4.489999771118164</v>
      </c>
      <c r="K9" s="23"/>
      <c r="L9" s="23"/>
      <c r="M9" s="23">
        <v>63.27000045776367</v>
      </c>
      <c r="N9" s="23">
        <v>96.75</v>
      </c>
      <c r="O9" s="23">
        <v>0.23999999463558197</v>
      </c>
      <c r="P9" s="23"/>
      <c r="Q9" s="23"/>
    </row>
    <row r="10" spans="2:17" ht="24" customHeight="1" x14ac:dyDescent="0.3">
      <c r="B10" s="5" t="s">
        <v>128</v>
      </c>
      <c r="C10" s="5" t="s">
        <v>72</v>
      </c>
      <c r="D10" s="24">
        <v>4.360000133514404</v>
      </c>
      <c r="E10" s="24"/>
      <c r="F10" s="24"/>
      <c r="G10" s="24">
        <v>79.08999633789062</v>
      </c>
      <c r="H10" s="24">
        <v>96.75</v>
      </c>
      <c r="I10" s="24"/>
      <c r="J10" s="24">
        <v>4.619999885559082</v>
      </c>
      <c r="K10" s="24"/>
      <c r="L10" s="24"/>
      <c r="M10" s="24">
        <v>70.4000015258789</v>
      </c>
      <c r="N10" s="24">
        <v>100.7300033569336</v>
      </c>
      <c r="O10" s="24">
        <v>0.20000000298023224</v>
      </c>
      <c r="P10" s="24"/>
      <c r="Q10" s="24"/>
    </row>
    <row r="11" spans="2:17" ht="24" customHeight="1" x14ac:dyDescent="0.3">
      <c r="B11" s="22" t="s">
        <v>129</v>
      </c>
      <c r="C11" s="22" t="s">
        <v>73</v>
      </c>
      <c r="D11" s="23">
        <v>4.579999923706055</v>
      </c>
      <c r="E11" s="23"/>
      <c r="F11" s="23"/>
      <c r="G11" s="23">
        <v>78.16999816894531</v>
      </c>
      <c r="H11" s="23">
        <v>129.88999938964844</v>
      </c>
      <c r="I11" s="23"/>
      <c r="J11" s="23"/>
      <c r="K11" s="23"/>
      <c r="L11" s="23"/>
      <c r="M11" s="23"/>
      <c r="N11" s="23"/>
      <c r="O11" s="23"/>
      <c r="P11" s="23"/>
      <c r="Q11" s="23"/>
    </row>
    <row r="12" spans="2:17" ht="24" customHeight="1" x14ac:dyDescent="0.3">
      <c r="B12" s="5" t="s">
        <v>130</v>
      </c>
      <c r="C12" s="5" t="s">
        <v>74</v>
      </c>
      <c r="D12" s="24">
        <v>4.539999961853027</v>
      </c>
      <c r="E12" s="24"/>
      <c r="F12" s="24"/>
      <c r="G12" s="24">
        <v>85.02999877929688</v>
      </c>
      <c r="H12" s="24">
        <v>153.74000549316406</v>
      </c>
      <c r="I12" s="24"/>
      <c r="J12" s="24">
        <v>4.699999809265137</v>
      </c>
      <c r="K12" s="24"/>
      <c r="L12" s="24"/>
      <c r="M12" s="24">
        <v>77.70999908447266</v>
      </c>
      <c r="N12" s="24">
        <v>143.13999938964844</v>
      </c>
      <c r="O12" s="24">
        <v>0.07000000029802322</v>
      </c>
      <c r="P12" s="24"/>
      <c r="Q12" s="24">
        <v>2</v>
      </c>
    </row>
    <row r="13" spans="2:17" ht="24" customHeight="1" x14ac:dyDescent="0.3">
      <c r="B13" s="22" t="s">
        <v>131</v>
      </c>
      <c r="C13" s="22" t="s">
        <v>75</v>
      </c>
      <c r="D13" s="23">
        <v>4.420000076293945</v>
      </c>
      <c r="E13" s="23"/>
      <c r="F13" s="23"/>
      <c r="G13" s="23">
        <v>86.4000015258789</v>
      </c>
      <c r="H13" s="23">
        <v>170.97000122070312</v>
      </c>
      <c r="I13" s="23">
        <v>0.07000000029802322</v>
      </c>
      <c r="J13" s="23">
        <v>4.539999961853027</v>
      </c>
      <c r="K13" s="23"/>
      <c r="L13" s="23"/>
      <c r="M13" s="23">
        <v>80.45999908447266</v>
      </c>
      <c r="N13" s="23">
        <v>176.27000427246094</v>
      </c>
      <c r="O13" s="23">
        <v>0.07000000029802322</v>
      </c>
      <c r="P13" s="23"/>
      <c r="Q13" s="23"/>
    </row>
    <row r="14" spans="2:17" ht="24" customHeight="1" x14ac:dyDescent="0.3">
      <c r="B14" s="48" t="s">
        <v>14</v>
      </c>
      <c r="C14" s="90" t="s">
        <v>76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</row>
    <row r="15" spans="2:17" ht="24" customHeight="1" x14ac:dyDescent="0.3">
      <c r="B15" s="48"/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</row>
  </sheetData>
  <mergeCells count="13">
    <mergeCell ref="Q4:Q5"/>
    <mergeCell ref="B2:Q2"/>
    <mergeCell ref="B3:Q3"/>
    <mergeCell ref="C14:Q15"/>
    <mergeCell ref="P4:P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4"/>
  <sheetViews>
    <sheetView zoomScaleNormal="100" workbookViewId="0">
      <selection activeCell="I5" sqref="A1:XFD1048576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70" t="s">
        <v>89</v>
      </c>
      <c r="C2" s="70"/>
      <c r="D2" s="70"/>
      <c r="E2" s="70"/>
      <c r="F2" s="70"/>
    </row>
    <row r="3" spans="2:6" ht="24" customHeight="1" x14ac:dyDescent="0.3">
      <c r="B3" s="48" t="s">
        <v>125</v>
      </c>
      <c r="C3" s="48"/>
      <c r="D3" s="48"/>
      <c r="E3" s="48"/>
      <c r="F3" s="48"/>
    </row>
    <row r="4" spans="2:6" ht="24" customHeight="1" x14ac:dyDescent="0.3">
      <c r="B4" s="48" t="s">
        <v>19</v>
      </c>
      <c r="C4" s="5" t="s">
        <v>3</v>
      </c>
      <c r="D4" s="25" t="s">
        <v>95</v>
      </c>
      <c r="E4" s="25" t="s">
        <v>96</v>
      </c>
      <c r="F4" s="25" t="s">
        <v>108</v>
      </c>
    </row>
    <row r="5" spans="2:6" ht="24" customHeight="1" x14ac:dyDescent="0.3">
      <c r="B5" s="48"/>
      <c r="C5" s="5" t="s">
        <v>8</v>
      </c>
      <c r="D5" s="25" t="s">
        <v>93</v>
      </c>
      <c r="E5" s="25" t="s">
        <v>93</v>
      </c>
      <c r="F5" s="25" t="s">
        <v>94</v>
      </c>
    </row>
    <row r="6" spans="2:6" ht="24" customHeight="1" x14ac:dyDescent="0.3">
      <c r="B6" s="22" t="s">
        <v>124</v>
      </c>
      <c r="C6" s="22" t="s">
        <v>69</v>
      </c>
      <c r="D6" s="23"/>
      <c r="E6" s="23"/>
      <c r="F6" s="23"/>
    </row>
    <row r="7" spans="2:6" ht="24" customHeight="1" x14ac:dyDescent="0.3">
      <c r="B7" s="5" t="s">
        <v>126</v>
      </c>
      <c r="C7" s="5" t="s">
        <v>70</v>
      </c>
      <c r="D7" s="24"/>
      <c r="E7" s="24"/>
      <c r="F7" s="24"/>
    </row>
    <row r="8" spans="2:6" ht="24" customHeight="1" x14ac:dyDescent="0.3">
      <c r="B8" s="22" t="s">
        <v>127</v>
      </c>
      <c r="C8" s="22" t="s">
        <v>71</v>
      </c>
      <c r="D8" s="23"/>
      <c r="E8" s="23"/>
      <c r="F8" s="23"/>
    </row>
    <row r="9" spans="2:6" ht="24" customHeight="1" x14ac:dyDescent="0.3">
      <c r="B9" s="5" t="s">
        <v>128</v>
      </c>
      <c r="C9" s="5" t="s">
        <v>72</v>
      </c>
      <c r="D9" s="24"/>
      <c r="E9" s="24"/>
      <c r="F9" s="24"/>
    </row>
    <row r="10" spans="2:6" ht="24" customHeight="1" x14ac:dyDescent="0.3">
      <c r="B10" s="22" t="s">
        <v>129</v>
      </c>
      <c r="C10" s="22" t="s">
        <v>73</v>
      </c>
      <c r="D10" s="23"/>
      <c r="E10" s="23"/>
      <c r="F10" s="23"/>
    </row>
    <row r="11" spans="2:6" ht="24" customHeight="1" x14ac:dyDescent="0.3">
      <c r="B11" s="5" t="s">
        <v>130</v>
      </c>
      <c r="C11" s="5" t="s">
        <v>74</v>
      </c>
      <c r="D11" s="24"/>
      <c r="E11" s="24"/>
      <c r="F11" s="24"/>
    </row>
    <row r="12" spans="2:6" ht="24" customHeight="1" x14ac:dyDescent="0.3">
      <c r="B12" s="22" t="s">
        <v>131</v>
      </c>
      <c r="C12" s="22" t="s">
        <v>75</v>
      </c>
      <c r="D12" s="23"/>
      <c r="E12" s="23"/>
      <c r="F12" s="23"/>
    </row>
    <row r="13" spans="2:6" ht="24" customHeight="1" x14ac:dyDescent="0.3">
      <c r="B13" s="48" t="s">
        <v>14</v>
      </c>
      <c r="C13" s="48" t="s">
        <v>76</v>
      </c>
      <c r="D13" s="48"/>
      <c r="E13" s="48"/>
      <c r="F13" s="48"/>
    </row>
    <row r="14" spans="2:6" ht="24" customHeight="1" x14ac:dyDescent="0.3">
      <c r="B14" s="48"/>
      <c r="C14" s="48"/>
      <c r="D14" s="48"/>
      <c r="E14" s="48"/>
      <c r="F14" s="48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7</vt:i4>
      </vt:variant>
    </vt:vector>
  </HeadingPairs>
  <TitlesOfParts>
    <vt:vector baseType="lpstr" size="7">
      <vt:lpstr>第一页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能耗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2026-05-25T07:52:53Z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