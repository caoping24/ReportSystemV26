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bookViews>
    <workbookView xWindow="14295" yWindow="-16200" windowWidth="14610" windowHeight="15585" tabRatio="967"/>
  </bookViews>
  <sheets>
    <sheet name="第一页周报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第七页能耗" sheetId="17" r:id="rId7"/>
    <sheet name="第八页废液检测" sheetId="18" r:id="rId8"/>
    <sheet name="曲线汇总" sheetId="19" r:id="rId9"/>
  </sheets>
  <definedNames>
    <definedName name="_xlnm.Print_Area" localSheetId="8"><![CDATA[曲线汇总!$A$1:$AD$550]]></definedName>
  </definedNam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14" i="1" l="1"/>
  <c r="H16" i="1"/>
  <c r="H18" i="1"/>
  <c r="H15" i="1"/>
  <c r="H12" i="1"/>
  <c r="H10" i="1"/>
  <c r="H8" i="1"/>
  <c r="H7" i="1"/>
  <c r="H6" i="1"/>
  <c r="U6" i="3"/>
  <c r="U5" i="3"/>
  <c r="G12" i="3"/>
  <c r="H12" i="3"/>
  <c r="M12" i="3"/>
  <c r="H13" i="3"/>
  <c r="H14" i="3"/>
  <c r="G15" i="3"/>
  <c r="H15" i="3"/>
  <c r="M15" i="3"/>
  <c r="H16" i="3"/>
  <c r="H17" i="3"/>
  <c r="G6" i="3"/>
  <c r="H6" i="3"/>
  <c r="M6" i="3"/>
  <c r="H7" i="3"/>
  <c r="H8" i="3"/>
  <c r="G9" i="3"/>
  <c r="H9" i="3"/>
  <c r="M9" i="3"/>
  <c r="H10" i="3"/>
  <c r="H11" i="3"/>
  <c r="G18" i="3"/>
  <c r="H18" i="3"/>
  <c r="M18" i="3"/>
  <c r="H19" i="3"/>
  <c r="H20" i="3"/>
  <c r="G21" i="3"/>
  <c r="H21" i="3"/>
  <c r="I21" i="3" s="1"/>
  <c r="M21" i="3"/>
  <c r="H22" i="3"/>
  <c r="H23" i="3"/>
  <c r="G24" i="3"/>
  <c r="H24" i="3"/>
  <c r="M24" i="3"/>
  <c r="H25" i="3"/>
  <c r="H26" i="3"/>
  <c r="G27" i="3"/>
  <c r="H27" i="3"/>
  <c r="M27" i="3"/>
  <c r="H28" i="3"/>
  <c r="H29" i="3"/>
  <c r="G30" i="3"/>
  <c r="H30" i="3"/>
  <c r="M30" i="3"/>
  <c r="H31" i="3"/>
  <c r="H32" i="3"/>
  <c r="G33" i="3"/>
  <c r="H33" i="3"/>
  <c r="M33" i="3"/>
  <c r="H34" i="3"/>
  <c r="H35" i="3"/>
  <c r="G36" i="3"/>
  <c r="H36" i="3"/>
  <c r="M36" i="3"/>
  <c r="N39" i="3"/>
  <c r="H37" i="3"/>
  <c r="H38" i="3"/>
  <c r="G39" i="3"/>
  <c r="H39" i="3"/>
  <c r="M39" i="3"/>
  <c r="H40" i="3"/>
  <c r="H41" i="3"/>
  <c r="G42" i="3"/>
  <c r="H42" i="3"/>
  <c r="M42" i="3"/>
  <c r="H43" i="3"/>
  <c r="H44" i="3"/>
  <c r="G45" i="3"/>
  <c r="H45" i="3"/>
  <c r="M45" i="3"/>
  <c r="N45" i="3" s="1"/>
  <c r="H46" i="3"/>
  <c r="H47" i="3"/>
  <c r="H32" i="1"/>
  <c r="H31" i="1"/>
  <c r="H30" i="1"/>
  <c r="H29" i="1"/>
  <c r="H28" i="1"/>
  <c r="H27" i="1"/>
  <c r="H26" i="1"/>
  <c r="H25" i="1"/>
  <c r="H19" i="1"/>
  <c r="H17" i="1"/>
  <c r="H13" i="1"/>
  <c r="H9" i="1"/>
  <c r="H5" i="1"/>
  <c r="N27" i="3" l="1"/>
  <c r="I36" i="3"/>
  <c r="I42" i="3"/>
  <c r="N33" i="3"/>
  <c r="N21" i="3"/>
  <c r="N15" i="3"/>
  <c r="O21" i="3"/>
  <c r="O36" i="3"/>
  <c r="J36" i="3"/>
  <c r="O42" i="3"/>
  <c r="J42" i="3"/>
  <c r="I12" i="3"/>
  <c r="Q12" i="3" s="1"/>
  <c r="I27" i="3"/>
  <c r="O27" i="3" s="1"/>
  <c r="I18" i="3"/>
  <c r="I33" i="3"/>
  <c r="O33" i="3" s="1"/>
  <c r="I30" i="3"/>
  <c r="Q30" i="3" s="1"/>
  <c r="I15" i="3"/>
  <c r="O15" i="3" s="1"/>
  <c r="I24" i="3"/>
  <c r="I39" i="3"/>
  <c r="O39" i="3" s="1"/>
  <c r="I45" i="3"/>
  <c r="O45" i="3" s="1"/>
  <c r="N9" i="3"/>
  <c r="I9" i="3"/>
  <c r="O9" i="3" s="1"/>
  <c r="I6" i="3"/>
  <c r="Q42" i="3" l="1"/>
  <c r="O18" i="3"/>
  <c r="Q18" i="3"/>
  <c r="J30" i="3"/>
  <c r="J33" i="3" s="1"/>
  <c r="J24" i="3"/>
  <c r="J27" i="3" s="1"/>
  <c r="Q24" i="3"/>
  <c r="Q36" i="3"/>
  <c r="O30" i="3"/>
  <c r="O6" i="3"/>
  <c r="Q6" i="3"/>
  <c r="J12" i="3"/>
  <c r="J15" i="3" s="1"/>
  <c r="O12" i="3"/>
  <c r="J18" i="3"/>
  <c r="J21" i="3" s="1"/>
  <c r="J45" i="3"/>
  <c r="O24" i="3"/>
  <c r="J39" i="3"/>
  <c r="J6" i="3"/>
  <c r="J9" i="3" s="1"/>
</calcChain>
</file>

<file path=xl/sharedStrings.xml><?xml version="1.0" encoding="utf-8"?>
<sst xmlns="http://schemas.openxmlformats.org/spreadsheetml/2006/main" count="561" uniqueCount="161">
  <si>
    <t xml:space="preserve">/</t>
    <phoneticPr fontId="1" type="noConversion"/>
  </si>
  <si>
    <t xml:space="preserve">℃</t>
    <phoneticPr fontId="1" type="noConversion"/>
  </si>
  <si>
    <t xml:space="preserve">Mpa</t>
    <phoneticPr fontId="1" type="noConversion"/>
  </si>
  <si>
    <t xml:space="preserve">项目</t>
    <phoneticPr fontId="1" type="noConversion"/>
  </si>
  <si>
    <t xml:space="preserve">二乙腈含量</t>
    <phoneticPr fontId="1" type="noConversion"/>
  </si>
  <si>
    <t xml:space="preserve">pH值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</si>
  <si>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</si>
  <si>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</si>
  <si>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</si>
  <si>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</si>
  <si>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</si>
  <si>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</si>
  <si>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</si>
  <si>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%</t>
    <phoneticPr fontId="1" type="noConversion"/>
  </si>
  <si>
    <t xml:space="preserve">备注</t>
    <phoneticPr fontId="1" type="noConversion"/>
  </si>
  <si>
    <t xml:space="preserve">g/L</t>
    <phoneticPr fontId="1" type="noConversion"/>
  </si>
  <si>
    <t xml:space="preserve">m3</t>
    <phoneticPr fontId="1" type="noConversion"/>
  </si>
  <si>
    <t xml:space="preserve">kg/t</t>
    <phoneticPr fontId="1" type="noConversion"/>
  </si>
  <si>
    <t xml:space="preserve">透光率</t>
    <phoneticPr fontId="1" type="noConversion"/>
  </si>
  <si>
    <t xml:space="preserve">日期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</si>
  <si>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</si>
  <si>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</si>
  <si>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收率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</si>
  <si>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</si>
  <si>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</si>
  <si>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%</t>
  </si>
  <si>
    <t xml:space="preserve">四、废液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</si>
  <si>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</si>
  <si>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</si>
  <si>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二、原料消耗</t>
    <phoneticPr fontId="1" type="noConversion"/>
  </si>
  <si>
    <t xml:space="preserve">合格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</si>
  <si>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</si>
  <si>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</si>
  <si>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</si>
  <si>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</si>
  <si>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结晶单元</t>
    <phoneticPr fontId="1" type="noConversion"/>
  </si>
  <si>
    <t xml:space="preserve">≤20</t>
    <phoneticPr fontId="1" type="noConversion"/>
  </si>
  <si>
    <t xml:space="preserve">反应液组成</t>
    <phoneticPr fontId="1" type="noConversion"/>
  </si>
  <si>
    <t xml:space="preserve">羟基乙腈残余</t>
    <phoneticPr fontId="1" type="noConversion"/>
  </si>
  <si>
    <t xml:space="preserve">废液组成</t>
    <phoneticPr fontId="1" type="noConversion"/>
  </si>
  <si>
    <t xml:space="preserve">一、产品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</si>
  <si>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</si>
  <si>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</si>
  <si>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</si>
  <si>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</si>
  <si>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</si>
  <si>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--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</si>
  <si>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</si>
  <si>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</si>
  <si>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</si>
  <si>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</si>
  <si>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其它</t>
    <phoneticPr fontId="1" type="noConversion"/>
  </si>
  <si>
    <t xml:space="preserve">水分</t>
    <phoneticPr fontId="1" type="noConversion"/>
  </si>
  <si>
    <t xml:space="preserve">硫铵</t>
    <phoneticPr fontId="1" type="noConversion"/>
  </si>
  <si>
    <t xml:space="preserve">m³/t</t>
    <phoneticPr fontId="1" type="noConversion"/>
  </si>
  <si>
    <t xml:space="preserve">废液排放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</si>
  <si>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</si>
  <si>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</si>
  <si>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</si>
  <si>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降膜蒸发温度</t>
  </si>
  <si>
    <t xml:space="preserve">二次结晶温度</t>
  </si>
  <si>
    <t xml:space="preserve">反应压力</t>
    <phoneticPr fontId="1" type="noConversion"/>
  </si>
  <si>
    <t xml:space="preserve">评价</t>
    <phoneticPr fontId="1" type="noConversion"/>
  </si>
  <si>
    <t xml:space="preserve">单位产品排放量</t>
    <phoneticPr fontId="1" type="noConversion"/>
  </si>
  <si>
    <t xml:space="preserve">二乙睛中试车间周报</t>
    <phoneticPr fontId="1" type="noConversion"/>
  </si>
  <si>
    <t xml:space="preserve">五、其他</t>
    <phoneticPr fontId="1" type="noConversion"/>
  </si>
  <si>
    <t xml:space="preserve">/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</si>
  <si>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</si>
  <si>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</si>
  <si>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</si>
  <si>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</si>
  <si>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</si>
  <si>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</si>
  <si>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统计每日平均值</t>
    <phoneticPr fontId="1" type="noConversion"/>
  </si>
  <si>
    <t xml:space="preserve">闪发器冷凝液检测数据</t>
    <phoneticPr fontId="1" type="noConversion"/>
  </si>
  <si>
    <t xml:space="preserve">反应液检测数据</t>
    <phoneticPr fontId="1" type="noConversion"/>
  </si>
  <si>
    <t xml:space="preserve">g/L</t>
  </si>
  <si>
    <t xml:space="preserve">化分（%）</t>
    <phoneticPr fontId="1" type="noConversion"/>
  </si>
  <si>
    <t xml:space="preserve">色谱（%）</t>
    <phoneticPr fontId="1" type="noConversion"/>
  </si>
  <si>
    <t xml:space="preserve">折百产量(Kg)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</si>
  <si>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</si>
  <si>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</si>
  <si>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</si>
  <si>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</si>
  <si>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总收率天%</t>
    <phoneticPr fontId="1" type="noConversion"/>
  </si>
  <si>
    <t xml:space="preserve">分类</t>
    <phoneticPr fontId="1" type="noConversion"/>
  </si>
  <si>
    <t xml:space="preserve">一次母液液检测数据</t>
    <phoneticPr fontId="1" type="noConversion"/>
  </si>
  <si>
    <t xml:space="preserve">硫铵</t>
  </si>
  <si>
    <t xml:space="preserve">母液脱色前检测数据</t>
    <phoneticPr fontId="1" type="noConversion"/>
  </si>
  <si>
    <t xml:space="preserve">活性炭消耗</t>
  </si>
  <si>
    <t xml:space="preserve">抄表(t)</t>
    <phoneticPr fontId="1" type="noConversion"/>
  </si>
  <si>
    <t xml:space="preserve">抄表(KWh)</t>
    <phoneticPr fontId="1" type="noConversion"/>
  </si>
  <si>
    <t xml:space="preserve">低压蒸汽消耗</t>
    <phoneticPr fontId="1" type="noConversion"/>
  </si>
  <si>
    <t xml:space="preserve">中压蒸汽消耗</t>
    <phoneticPr fontId="1" type="noConversion"/>
  </si>
  <si>
    <t xml:space="preserve">产量台账</t>
    <phoneticPr fontId="1" type="noConversion"/>
  </si>
  <si>
    <t xml:space="preserve">一次结晶</t>
    <phoneticPr fontId="7" type="noConversion"/>
  </si>
  <si>
    <t xml:space="preserve">二次结晶</t>
    <phoneticPr fontId="7" type="noConversion"/>
  </si>
  <si>
    <t xml:space="preserve">折百总累计</t>
    <phoneticPr fontId="1" type="noConversion"/>
  </si>
  <si>
    <t xml:space="preserve">折百累计</t>
    <phoneticPr fontId="1" type="noConversion"/>
  </si>
  <si>
    <t xml:space="preserve">含量</t>
    <phoneticPr fontId="1" type="noConversion"/>
  </si>
  <si>
    <t xml:space="preserve">Kg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</si>
  <si>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</si>
  <si>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</si>
  <si>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累计</t>
    <phoneticPr fontId="1" type="noConversion"/>
  </si>
  <si>
    <t xml:space="preserve">羟基用量</t>
    <phoneticPr fontId="1" type="noConversion"/>
  </si>
  <si>
    <t xml:space="preserve">电消耗</t>
    <phoneticPr fontId="1" type="noConversion"/>
  </si>
  <si>
    <t xml:space="preserve">≤1427</t>
    <phoneticPr fontId="1" type="noConversion"/>
  </si>
  <si>
    <t xml:space="preserve">417±5</t>
  </si>
  <si>
    <t xml:space="preserve">(0.530±0.005):1</t>
  </si>
  <si>
    <t xml:space="preserve">0.75±0.05</t>
  </si>
  <si>
    <t xml:space="preserve">90±2</t>
  </si>
  <si>
    <t xml:space="preserve">≤20</t>
  </si>
  <si>
    <t xml:space="preserve">≤0.38</t>
  </si>
  <si>
    <t xml:space="preserve">总产量</t>
    <phoneticPr fontId="1" type="noConversion"/>
  </si>
  <si>
    <t xml:space="preserve">总折百产量</t>
    <phoneticPr fontId="1" type="noConversion"/>
  </si>
  <si>
    <t xml:space="preserve">母液检测数据</t>
    <phoneticPr fontId="1" type="noConversion"/>
  </si>
  <si>
    <t xml:space="preserve">废液检测数据</t>
    <phoneticPr fontId="1" type="noConversion"/>
  </si>
  <si>
    <t xml:space="preserve">羟基乙腈</t>
  </si>
  <si>
    <t xml:space="preserve">二乙睛</t>
    <phoneticPr fontId="1" type="noConversion"/>
  </si>
  <si>
    <t xml:space="preserve">甘胺睛</t>
    <phoneticPr fontId="1" type="noConversion"/>
  </si>
  <si>
    <t xml:space="preserve">三乙睛</t>
    <phoneticPr fontId="1" type="noConversion"/>
  </si>
  <si>
    <t xml:space="preserve">其他</t>
    <phoneticPr fontId="1" type="noConversion"/>
  </si>
  <si>
    <t xml:space="preserve">废液检测</t>
    <phoneticPr fontId="1" type="noConversion"/>
  </si>
  <si>
    <t xml:space="preserve">星期一</t>
  </si>
  <si>
    <t xml:space="preserve">查看曲线</t>
  </si>
  <si>
    <r>
      <rPr>
        <sz val="14"/>
        <color theme="10"/>
        <rFont val="等线"/>
        <family val="2"/>
        <scheme val="minor"/>
      </rPr>
      <t xml:space="preserve">◀</t>
    </r>
    <r>
      <rPr>
        <sz val="14"/>
        <color theme="10"/>
        <rFont val="等线"/>
        <family val="3"/>
        <charset val="134"/>
        <scheme val="minor"/>
      </rPr>
      <t xml:space="preserve">返回首页</t>
    </r>
  </si>
  <si>
    <t xml:space="preserve">时间</t>
    <phoneticPr fontId="1" type="noConversion"/>
  </si>
  <si>
    <t xml:space="preserve">数据</t>
    <phoneticPr fontId="1" type="noConversion"/>
  </si>
  <si>
    <t xml:space="preserve">本周收率</t>
    <phoneticPr fontId="1" type="noConversion"/>
  </si>
  <si>
    <t xml:space="preserve">本周折百累计/本周用量累计/本周含量平均*1.2*100</t>
    <phoneticPr fontId="1" type="noConversion"/>
  </si>
  <si>
    <t xml:space="preserve">计算公式</t>
    <phoneticPr fontId="1" type="noConversion"/>
  </si>
  <si>
    <t xml:space="preserve">星期四</t>
    <phoneticPr fontId="1" type="noConversion"/>
  </si>
  <si>
    <t xml:space="preserve">星期四</t>
    <phoneticPr fontId="1" type="noConversion"/>
  </si>
  <si>
    <t xml:space="preserve">星期五</t>
    <phoneticPr fontId="1" type="noConversion"/>
  </si>
  <si>
    <t xml:space="preserve">本周用量累计*1000*本周含量平均/本周折百累计</t>
    <phoneticPr fontId="1" type="noConversion"/>
  </si>
  <si>
    <t xml:space="preserve">50±5</t>
    <phoneticPr fontId="1" type="noConversion"/>
  </si>
  <si>
    <t xml:space="preserve">一次结晶温度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</si>
  <si>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</si>
  <si>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</si>
  <si>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</si>
  <si>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</si>
  <si>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</si>
  <si>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140±2</t>
    <phoneticPr fontId="1" type="noConversion"/>
  </si>
  <si>
    <t xml:space="preserve">2026-07-09</t>
  </si>
  <si>
    <t xml:space="preserve">2026年28周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</si>
  <si>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</si>
  <si>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</si>
  <si>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</si>
  <si>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</si>
  <si>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</si>
  <si>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</si>
  <si>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羟基浓度(g/l)</t>
  </si>
  <si>
    <t xml:space="preserve">反应压力(MPa)</t>
  </si>
  <si>
    <t xml:space="preserve">羟基加热温度(°C)</t>
  </si>
  <si>
    <t xml:space="preserve">氨汽混合温度(°C)</t>
  </si>
  <si>
    <t xml:space="preserve">管反热点温度(°C)</t>
  </si>
  <si>
    <t xml:space="preserve">预冷器结晶温度(°C)</t>
  </si>
  <si>
    <t xml:space="preserve">一次结晶温度(°C)</t>
  </si>
  <si>
    <t xml:space="preserve">降膜蒸发温度(°C)</t>
  </si>
  <si>
    <t xml:space="preserve">二次结晶温度(°C)</t>
  </si>
  <si>
    <t xml:space="preserve">废液排放(m³/t)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</si>
</sst>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  <font>
      <b/>
      <sz val="11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等线"/>
      <family val="3"/>
      <charset val="134"/>
      <scheme val="minor"/>
    </font>
    <font>
      <u val="single"/>
      <sz val="11"/>
      <color theme="10"/>
      <name val="等线"/>
      <family val="2"/>
      <scheme val="minor"/>
    </font>
    <font>
      <sz val="14"/>
      <color theme="10"/>
      <name val="等线"/>
      <family val="3"/>
      <charset val="134"/>
      <scheme val="minor"/>
    </font>
    <font>
      <sz val="14"/>
      <color theme="10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179" fontId="11" fillId="2" borderId="5" xfId="0" applyNumberFormat="1" applyFont="1" applyFill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16" fillId="0" borderId="0" xfId="0" applyFont="1"/>
    <xf numFmtId="179" fontId="0" fillId="0" borderId="0" xfId="0" applyNumberFormat="1"/>
    <xf numFmtId="0" fontId="12" fillId="0" borderId="5" xfId="0" applyFont="1" applyBorder="1" applyAlignment="1">
      <alignment horizontal="center" vertical="center"/>
    </xf>
    <xf numFmtId="179" fontId="12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9" fontId="0" fillId="2" borderId="5" xfId="0" applyNumberFormat="1" applyFill="1" applyBorder="1" applyAlignment="1">
      <alignment horizontal="center" vertical="center"/>
    </xf>
    <xf numFmtId="179" fontId="16" fillId="0" borderId="0" xfId="0" applyNumberFormat="1" applyFont="1"/>
    <xf numFmtId="179" fontId="4" fillId="0" borderId="0" xfId="0" applyNumberFormat="1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9" fontId="4" fillId="2" borderId="8" xfId="0" applyNumberFormat="1" applyFont="1" applyFill="1" applyBorder="1" applyAlignment="1">
      <alignment horizontal="center" vertical="center"/>
    </xf>
    <xf numFmtId="179" fontId="4" fillId="2" borderId="36" xfId="0" applyNumberFormat="1" applyFont="1" applyFill="1" applyBorder="1" applyAlignment="1">
      <alignment horizontal="center" vertical="center"/>
    </xf>
    <xf numFmtId="179" fontId="4" fillId="2" borderId="31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calcChain" Target="calcChain.xml" /><Relationship Id="rId14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_rels/chart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Relationship Id="rId3" Type="http://schemas.openxmlformats.org/officeDocument/2006/relationships/themeOverride" Target="../theme/themeOverride2.xml" /></Relationships>
</file>

<file path=xl/charts/_rels/chart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1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1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</c:f>
          <c:strCache>
            <c:ptCount val="1"/>
            <c:pt idx="0">
              <c:v>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mpd="sng"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曲线汇总!$C$4:$C$10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曲线汇总!$D$4:$D$10</c:f>
              <c:numCache>
                <c:formatCode>0.000_ </c:formatCode>
                <c:ptCount val="7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4-8420-4119-950D-30F225A5A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4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曲线汇总!$C$52</c:f>
          <c:strCache>
            <c:ptCount val="1"/>
            <c:pt idx="0">
              <c:v>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  <a:noFill xmlns:a="http://schemas.openxmlformats.org/drawingml/2006/main"/>
                  <a:ln xmlns:a="http://schemas.openxmlformats.org/drawingml/2006/main">
                    <a:noFill/>
                  </a:ln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曲线汇总!$C$54:$C$60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曲线汇总!$D$54:$D$60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54"/>
          <c:min val="0.5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曲线汇总!$C$102</c:f>
          <c:strCache>
            <c:ptCount val="1"/>
            <c:pt idx="0">
              <c:v>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曲线汇总!$C$104:$C$110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曲线汇总!$D$104:$D$110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8"/>
          <c:min val="0.7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曲线汇总!$C$152</c:f>
          <c:strCache>
            <c:ptCount val="1"/>
            <c:pt idx="0">
              <c:v>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曲线汇总!$C$154:$C$160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曲线汇总!$D$154:$D$160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曲线汇总!$C$202</c:f>
          <c:strCache>
            <c:ptCount val="1"/>
            <c:pt idx="0">
              <c:v>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曲线汇总!$C$204:$C$210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曲线汇总!$D$204:$D$210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曲线汇总!$C$252</c:f>
          <c:strCache>
            <c:ptCount val="1"/>
            <c:pt idx="0">
              <c:v>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曲线汇总!$C$254:$C$260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曲线汇总!$D$254:$D$260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曲线汇总!$C$302</c:f>
          <c:strCache>
            <c:ptCount val="1"/>
            <c:pt idx="0">
              <c:v>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曲线汇总!$C$304:$C$310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曲线汇总!$D$304:$D$310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曲线汇总!$C$352</c:f>
          <c:strCache>
            <c:ptCount val="1"/>
            <c:pt idx="0">
              <c:v>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曲线汇总!$C$354:$C$360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曲线汇总!$D$354:$D$360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曲线汇总!$C$402</c:f>
          <c:strCache>
            <c:ptCount val="1"/>
            <c:pt idx="0">
              <c:v>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曲线汇总!$C$404:$C$410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曲线汇总!$D$404:$D$410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曲线汇总!$C$452</c:f>
          <c:strCache>
            <c:ptCount val="1"/>
            <c:pt idx="0">
              <c:v>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曲线汇总!$C$454:$C$460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曲线汇总!$D$454:$D$460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曲线汇总!$C$502</c:f>
          <c:strCache>
            <c:ptCount val="1"/>
            <c:pt idx="0">
              <c:v>11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曲线汇总!$C$504:$C$510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曲线汇总!$D$504:$D$510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5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0</xdr:rowOff>
    </xdr:from>
    <xdr:to>
      <xdr:col>28</xdr:col>
      <xdr:colOff>0</xdr:colOff>
      <xdr:row>44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1925FC-D17C-AE8B-6FDB-ED2528C96366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51</xdr:row>
      <xdr:rowOff>-1</xdr:rowOff>
    </xdr:from>
    <xdr:to>
      <xdr:col>28</xdr:col>
      <xdr:colOff>0</xdr:colOff>
      <xdr:row>97</xdr:row>
      <xdr:rowOff>176891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1F005-F195-4D60-B0BA-C98FB48EF91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</xdr:colOff>
      <xdr:row>101</xdr:row>
      <xdr:rowOff>-1</xdr:rowOff>
    </xdr:from>
    <xdr:to>
      <xdr:col>28</xdr:col>
      <xdr:colOff>0</xdr:colOff>
      <xdr:row>147</xdr:row>
      <xdr:rowOff>176892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F7820A5-E4EC-4F64-953D-3023966B8AE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</xdr:colOff>
      <xdr:row>151</xdr:row>
      <xdr:rowOff>0</xdr:rowOff>
    </xdr:from>
    <xdr:to>
      <xdr:col>28</xdr:col>
      <xdr:colOff>0</xdr:colOff>
      <xdr:row>198</xdr:row>
      <xdr:rowOff>-1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4FDC54-6052-4F8E-90EE-5E5F769997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</xdr:colOff>
      <xdr:row>201</xdr:row>
      <xdr:rowOff>0</xdr:rowOff>
    </xdr:from>
    <xdr:to>
      <xdr:col>28</xdr:col>
      <xdr:colOff>0</xdr:colOff>
      <xdr:row>248</xdr:row>
      <xdr:rowOff>-1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83A6442-C9BD-44FE-9F21-C13305F0548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251</xdr:row>
      <xdr:rowOff>0</xdr:rowOff>
    </xdr:from>
    <xdr:to>
      <xdr:col>27</xdr:col>
      <xdr:colOff>653141</xdr:colOff>
      <xdr:row>297</xdr:row>
      <xdr:rowOff>176891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EFAF2A9-5136-4C4D-8F9D-0E2AEC0E9F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</xdr:colOff>
      <xdr:row>301</xdr:row>
      <xdr:rowOff>0</xdr:rowOff>
    </xdr:from>
    <xdr:to>
      <xdr:col>28</xdr:col>
      <xdr:colOff>0</xdr:colOff>
      <xdr:row>348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6C292B4-2600-4D76-800D-F755A584419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</xdr:colOff>
      <xdr:row>351</xdr:row>
      <xdr:rowOff>0</xdr:rowOff>
    </xdr:from>
    <xdr:to>
      <xdr:col>28</xdr:col>
      <xdr:colOff>0</xdr:colOff>
      <xdr:row>398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444AD12-AFA6-4CAD-B355-EB3395FA179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</xdr:colOff>
      <xdr:row>401</xdr:row>
      <xdr:rowOff>-1</xdr:rowOff>
    </xdr:from>
    <xdr:to>
      <xdr:col>28</xdr:col>
      <xdr:colOff>0</xdr:colOff>
      <xdr:row>447</xdr:row>
      <xdr:rowOff>176891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93155BF-503C-4BD0-A73E-718E1EFBA72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</xdr:colOff>
      <xdr:row>451</xdr:row>
      <xdr:rowOff>-1</xdr:rowOff>
    </xdr:from>
    <xdr:to>
      <xdr:col>28</xdr:col>
      <xdr:colOff>0</xdr:colOff>
      <xdr:row>497</xdr:row>
      <xdr:rowOff>176892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DE00E2E-A46F-4EAC-921C-0D1679958E6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</xdr:colOff>
      <xdr:row>501</xdr:row>
      <xdr:rowOff>0</xdr:rowOff>
    </xdr:from>
    <xdr:to>
      <xdr:col>28</xdr:col>
      <xdr:colOff>0</xdr:colOff>
      <xdr:row>548</xdr:row>
      <xdr:rowOff>-1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2CD948B-3625-47EA-8D2B-853405DFC0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K35"/>
  <sheetViews>
    <sheetView tabSelected="1" zoomScaleNormal="100" workbookViewId="0">
      <selection activeCell="C7" sqref="C7:D7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70" t="s">
        <v>64</v>
      </c>
      <c r="C2" s="71"/>
      <c r="D2" s="71"/>
      <c r="E2" s="71"/>
      <c r="F2" s="71"/>
      <c r="G2" s="71"/>
      <c r="H2" s="71"/>
      <c r="I2" s="71"/>
      <c r="J2" s="72"/>
    </row>
    <row r="3" spans="2:10" ht="20.15" customHeight="1" x14ac:dyDescent="0.3">
      <c r="B3" s="11"/>
      <c r="C3" s="12"/>
      <c r="D3" s="12"/>
      <c r="E3" s="12"/>
      <c r="F3" s="12"/>
      <c r="G3" s="13" t="s">
        <v>143</v>
      </c>
      <c r="H3" s="73" t="s">
        <v>144</v>
      </c>
      <c r="I3" s="73"/>
      <c r="J3" s="74"/>
    </row>
    <row r="4" spans="2:10" ht="21" x14ac:dyDescent="0.3">
      <c r="B4" s="75" t="s">
        <v>3</v>
      </c>
      <c r="C4" s="76"/>
      <c r="D4" s="60"/>
      <c r="E4" s="6" t="s">
        <v>8</v>
      </c>
      <c r="F4" s="6" t="s">
        <v>27</v>
      </c>
      <c r="G4" s="6" t="s">
        <v>28</v>
      </c>
      <c r="H4" s="59" t="s">
        <v>62</v>
      </c>
      <c r="I4" s="60"/>
      <c r="J4" s="8" t="s">
        <v>14</v>
      </c>
    </row>
    <row r="5" spans="2:10" x14ac:dyDescent="0.3">
      <c r="B5" s="9" t="s">
        <v>40</v>
      </c>
      <c r="C5" s="64" t="s">
        <v>22</v>
      </c>
      <c r="D5" s="64"/>
      <c r="E5" s="5" t="s">
        <v>13</v>
      </c>
      <c r="F5" s="32">
        <v>90</v>
      </c>
      <c r="G5" s="17">
        <v>0</v>
      </c>
      <c r="H5" s="3">
        <f>(G5-F5)/F5*100</f>
        <v>-100</v>
      </c>
      <c r="I5" s="15" t="s">
        <v>13</v>
      </c>
      <c r="J5" s="10"/>
    </row>
    <row r="6" spans="2:10" x14ac:dyDescent="0.3">
      <c r="B6" s="66" t="s">
        <v>29</v>
      </c>
      <c r="C6" s="64" t="s">
        <v>41</v>
      </c>
      <c r="D6" s="64"/>
      <c r="E6" s="5" t="s">
        <v>17</v>
      </c>
      <c r="F6" s="32" t="s">
        <v>106</v>
      </c>
      <c r="G6" s="17">
        <v>0</v>
      </c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67"/>
      <c r="C7" s="64" t="s">
        <v>42</v>
      </c>
      <c r="D7" s="64"/>
      <c r="E7" s="5" t="s">
        <v>17</v>
      </c>
      <c r="F7" s="32" t="s">
        <v>137</v>
      </c>
      <c r="G7" s="17">
        <v>0</v>
      </c>
      <c r="H7" s="2" t="str">
        <f>IF($G7="","",IF(AND($G7&gt;=0,$G7&lt;=220),"合格","不合格"))</f>
        <v/>
      </c>
      <c r="I7" s="7" t="s">
        <v>0</v>
      </c>
      <c r="J7" s="10"/>
    </row>
    <row r="8" spans="2:10" x14ac:dyDescent="0.3">
      <c r="B8" s="68"/>
      <c r="C8" s="64" t="s">
        <v>43</v>
      </c>
      <c r="D8" s="64"/>
      <c r="E8" s="5" t="s">
        <v>17</v>
      </c>
      <c r="F8" s="32" t="s">
        <v>138</v>
      </c>
      <c r="G8" s="17">
        <v>0</v>
      </c>
      <c r="H8" s="2" t="str">
        <f>IF($G8="","",IF(AND($G8&gt;=0,$G8&lt;=200),"合格","不合格"))</f>
        <v/>
      </c>
      <c r="I8" s="7" t="s">
        <v>0</v>
      </c>
      <c r="J8" s="10"/>
    </row>
    <row r="9" spans="2:10" x14ac:dyDescent="0.3">
      <c r="B9" s="66" t="s">
        <v>31</v>
      </c>
      <c r="C9" s="5" t="s">
        <v>32</v>
      </c>
      <c r="D9" s="5" t="s">
        <v>44</v>
      </c>
      <c r="E9" s="5" t="s">
        <v>45</v>
      </c>
      <c r="F9" s="32" t="s">
        <v>107</v>
      </c>
      <c r="G9" s="17">
        <v>0</v>
      </c>
      <c r="H9" s="2" t="str">
        <f>IF($G9="","",IF(AND($G9&gt;=412,$G9&lt;=422),"合格","不合格"))</f>
        <v/>
      </c>
      <c r="I9" s="7" t="s">
        <v>0</v>
      </c>
      <c r="J9" s="39" t="s">
        <v>124</v>
      </c>
    </row>
    <row r="10" spans="2:10" x14ac:dyDescent="0.3">
      <c r="B10" s="67"/>
      <c r="C10" s="64" t="s">
        <v>33</v>
      </c>
      <c r="D10" s="5" t="s">
        <v>34</v>
      </c>
      <c r="E10" s="7" t="s">
        <v>0</v>
      </c>
      <c r="F10" s="32" t="s">
        <v>108</v>
      </c>
      <c r="G10" s="17">
        <v>0</v>
      </c>
      <c r="H10" s="2" t="str">
        <f>IF($G10="","",IF(AND($G10&gt;=0.525,$G10&lt;=0.535),"合格","不合格"))</f>
        <v/>
      </c>
      <c r="I10" s="7" t="s">
        <v>0</v>
      </c>
      <c r="J10" s="39" t="s">
        <v>124</v>
      </c>
    </row>
    <row r="11" spans="2:10" x14ac:dyDescent="0.3">
      <c r="B11" s="67"/>
      <c r="C11" s="64"/>
      <c r="D11" s="5" t="s">
        <v>47</v>
      </c>
      <c r="E11" s="5" t="s">
        <v>48</v>
      </c>
      <c r="F11" s="32">
        <v>46.63</v>
      </c>
      <c r="G11" s="17">
        <v>46.652650905808386</v>
      </c>
      <c r="H11" s="2" t="s">
        <v>30</v>
      </c>
      <c r="I11" s="7" t="s">
        <v>0</v>
      </c>
      <c r="J11" s="10"/>
    </row>
    <row r="12" spans="2:10" x14ac:dyDescent="0.3">
      <c r="B12" s="67"/>
      <c r="C12" s="64"/>
      <c r="D12" s="5" t="s">
        <v>61</v>
      </c>
      <c r="E12" s="5" t="s">
        <v>2</v>
      </c>
      <c r="F12" s="32" t="s">
        <v>109</v>
      </c>
      <c r="G12" s="17">
        <v>0</v>
      </c>
      <c r="H12" s="2" t="str">
        <f>IF($G12="","",IF(AND($G12&gt;=0.7,$G12&lt;=0.8),"合格","不合格"))</f>
        <v/>
      </c>
      <c r="I12" s="7" t="s">
        <v>0</v>
      </c>
      <c r="J12" s="39" t="s">
        <v>124</v>
      </c>
    </row>
    <row r="13" spans="2:10" x14ac:dyDescent="0.3">
      <c r="B13" s="67"/>
      <c r="C13" s="64"/>
      <c r="D13" s="5" t="s">
        <v>56</v>
      </c>
      <c r="E13" s="5" t="s">
        <v>1</v>
      </c>
      <c r="F13" s="32" t="s">
        <v>110</v>
      </c>
      <c r="G13" s="17">
        <v>0</v>
      </c>
      <c r="H13" s="2" t="str">
        <f>IF($G13="","",IF(AND($G13&gt;=88,$G13&lt;=92),"合格","不合格"))</f>
        <v/>
      </c>
      <c r="I13" s="7" t="s">
        <v>0</v>
      </c>
      <c r="J13" s="39" t="s">
        <v>124</v>
      </c>
    </row>
    <row r="14" spans="2:10" x14ac:dyDescent="0.3">
      <c r="B14" s="67"/>
      <c r="C14" s="64"/>
      <c r="D14" s="5" t="s">
        <v>57</v>
      </c>
      <c r="E14" s="5" t="s">
        <v>1</v>
      </c>
      <c r="F14" s="32" t="s">
        <v>142</v>
      </c>
      <c r="G14" s="17">
        <v>0</v>
      </c>
      <c r="H14" s="2" t="str">
        <f>IF($G14="","",IF(AND($G14&gt;=138,$G14&lt;=142),"合格","不合格"))</f>
        <v/>
      </c>
      <c r="I14" s="7" t="s">
        <v>0</v>
      </c>
      <c r="J14" s="39" t="s">
        <v>124</v>
      </c>
    </row>
    <row r="15" spans="2:10" x14ac:dyDescent="0.3">
      <c r="B15" s="67"/>
      <c r="C15" s="64"/>
      <c r="D15" s="5" t="s">
        <v>58</v>
      </c>
      <c r="E15" s="5" t="s">
        <v>1</v>
      </c>
      <c r="F15" s="32" t="s">
        <v>139</v>
      </c>
      <c r="G15" s="17">
        <v>0</v>
      </c>
      <c r="H15" s="2" t="str">
        <f>IF($G15="","",IF(AND($G15&gt;=160,$G15&lt;=164),"合格","不合格"))</f>
        <v/>
      </c>
      <c r="I15" s="7" t="s">
        <v>0</v>
      </c>
      <c r="J15" s="39" t="s">
        <v>124</v>
      </c>
    </row>
    <row r="16" spans="2:10" x14ac:dyDescent="0.3">
      <c r="B16" s="67"/>
      <c r="C16" s="64" t="s">
        <v>35</v>
      </c>
      <c r="D16" s="5" t="s">
        <v>140</v>
      </c>
      <c r="E16" s="5" t="s">
        <v>1</v>
      </c>
      <c r="F16" s="32" t="s">
        <v>141</v>
      </c>
      <c r="G16" s="17">
        <v>0</v>
      </c>
      <c r="H16" s="2" t="str">
        <f>IF($G16="","",IF(AND($G16&gt;=52,$G16&lt;=58),"合格","不合格"))</f>
        <v/>
      </c>
      <c r="I16" s="7" t="s">
        <v>0</v>
      </c>
      <c r="J16" s="39" t="s">
        <v>124</v>
      </c>
    </row>
    <row r="17" spans="2:10" x14ac:dyDescent="0.3">
      <c r="B17" s="67"/>
      <c r="C17" s="64"/>
      <c r="D17" s="5" t="s">
        <v>136</v>
      </c>
      <c r="E17" s="5" t="s">
        <v>1</v>
      </c>
      <c r="F17" s="32" t="s">
        <v>36</v>
      </c>
      <c r="G17" s="17">
        <v>0</v>
      </c>
      <c r="H17" s="2" t="str">
        <f>IF($G17="","",IF(AND($G17&gt;=0,$G17&lt;=20),"合格","不合格"))</f>
        <v/>
      </c>
      <c r="I17" s="7" t="s">
        <v>0</v>
      </c>
      <c r="J17" s="39" t="s">
        <v>124</v>
      </c>
    </row>
    <row r="18" spans="2:10" x14ac:dyDescent="0.3">
      <c r="B18" s="67"/>
      <c r="C18" s="64"/>
      <c r="D18" s="5" t="s">
        <v>59</v>
      </c>
      <c r="E18" s="5" t="s">
        <v>1</v>
      </c>
      <c r="F18" s="32" t="s">
        <v>135</v>
      </c>
      <c r="G18" s="17">
        <v>0</v>
      </c>
      <c r="H18" s="2" t="str">
        <f>IF($G18="","",IF(AND($G18&gt;=45,$G18&lt;=55),"合格","不合格"))</f>
        <v/>
      </c>
      <c r="I18" s="7" t="s">
        <v>0</v>
      </c>
      <c r="J18" s="39" t="s">
        <v>124</v>
      </c>
    </row>
    <row r="19" spans="2:10" x14ac:dyDescent="0.3">
      <c r="B19" s="67"/>
      <c r="C19" s="64"/>
      <c r="D19" s="5" t="s">
        <v>60</v>
      </c>
      <c r="E19" s="5" t="s">
        <v>1</v>
      </c>
      <c r="F19" s="32" t="s">
        <v>111</v>
      </c>
      <c r="G19" s="17">
        <v>0</v>
      </c>
      <c r="H19" s="2" t="str">
        <f>IF($G19="","",IF(AND($G19&gt;=0,$G19&lt;=20),"合格","不合格"))</f>
        <v/>
      </c>
      <c r="I19" s="7" t="s">
        <v>0</v>
      </c>
      <c r="J19" s="39" t="s">
        <v>124</v>
      </c>
    </row>
    <row r="20" spans="2:10" x14ac:dyDescent="0.3">
      <c r="B20" s="67"/>
      <c r="C20" s="64" t="s">
        <v>37</v>
      </c>
      <c r="D20" s="5" t="s">
        <v>4</v>
      </c>
      <c r="E20" s="5" t="s">
        <v>13</v>
      </c>
      <c r="F20" s="18" t="s">
        <v>66</v>
      </c>
      <c r="G20" s="17"/>
      <c r="H20" s="4" t="s">
        <v>46</v>
      </c>
      <c r="I20" s="7" t="s">
        <v>0</v>
      </c>
      <c r="J20" s="10"/>
    </row>
    <row r="21" spans="2:10" x14ac:dyDescent="0.3">
      <c r="B21" s="67"/>
      <c r="C21" s="64"/>
      <c r="D21" s="5" t="s">
        <v>38</v>
      </c>
      <c r="E21" s="5" t="s">
        <v>13</v>
      </c>
      <c r="F21" s="18" t="s">
        <v>66</v>
      </c>
      <c r="G21" s="17"/>
      <c r="H21" s="4" t="s">
        <v>46</v>
      </c>
      <c r="I21" s="7" t="s">
        <v>0</v>
      </c>
      <c r="J21" s="10"/>
    </row>
    <row r="22" spans="2:10" x14ac:dyDescent="0.3">
      <c r="B22" s="67"/>
      <c r="C22" s="64"/>
      <c r="D22" s="5" t="s">
        <v>5</v>
      </c>
      <c r="E22" s="7" t="s">
        <v>0</v>
      </c>
      <c r="F22" s="18" t="s">
        <v>66</v>
      </c>
      <c r="G22" s="17"/>
      <c r="H22" s="4" t="s">
        <v>46</v>
      </c>
      <c r="I22" s="7" t="s">
        <v>0</v>
      </c>
      <c r="J22" s="10"/>
    </row>
    <row r="23" spans="2:10" x14ac:dyDescent="0.3">
      <c r="B23" s="67"/>
      <c r="C23" s="64"/>
      <c r="D23" s="5" t="s">
        <v>49</v>
      </c>
      <c r="E23" s="5" t="s">
        <v>45</v>
      </c>
      <c r="F23" s="18" t="s">
        <v>66</v>
      </c>
      <c r="G23" s="17"/>
      <c r="H23" s="4" t="s">
        <v>46</v>
      </c>
      <c r="I23" s="7" t="s">
        <v>0</v>
      </c>
      <c r="J23" s="10"/>
    </row>
    <row r="24" spans="2:10" x14ac:dyDescent="0.3">
      <c r="B24" s="68"/>
      <c r="C24" s="64"/>
      <c r="D24" s="5" t="s">
        <v>50</v>
      </c>
      <c r="E24" s="5" t="s">
        <v>45</v>
      </c>
      <c r="F24" s="18" t="s">
        <v>66</v>
      </c>
      <c r="G24" s="17"/>
      <c r="H24" s="4" t="s">
        <v>46</v>
      </c>
      <c r="I24" s="7" t="s">
        <v>0</v>
      </c>
      <c r="J24" s="10"/>
    </row>
    <row r="25" spans="2:10" x14ac:dyDescent="0.3">
      <c r="B25" s="69" t="s">
        <v>26</v>
      </c>
      <c r="C25" s="5" t="s">
        <v>55</v>
      </c>
      <c r="D25" s="5" t="s">
        <v>63</v>
      </c>
      <c r="E25" s="5" t="s">
        <v>54</v>
      </c>
      <c r="F25" s="32" t="s">
        <v>112</v>
      </c>
      <c r="G25" s="17">
        <v>0</v>
      </c>
      <c r="H25" s="2" t="str">
        <f>IF($G25="","",IF(AND($G25&gt;=0,$G25&lt;=0.38),"合格","不合格"))</f>
        <v/>
      </c>
      <c r="I25" s="7" t="s">
        <v>0</v>
      </c>
      <c r="J25" s="39" t="s">
        <v>124</v>
      </c>
    </row>
    <row r="26" spans="2:10" x14ac:dyDescent="0.3">
      <c r="B26" s="69"/>
      <c r="C26" s="64" t="s">
        <v>39</v>
      </c>
      <c r="D26" s="5" t="s">
        <v>20</v>
      </c>
      <c r="E26" s="5" t="s">
        <v>13</v>
      </c>
      <c r="F26" s="32">
        <v>7</v>
      </c>
      <c r="G26" s="17"/>
      <c r="H26" s="3">
        <f>(G26-F26)</f>
        <v>-7</v>
      </c>
      <c r="I26" s="7" t="s">
        <v>13</v>
      </c>
      <c r="J26" s="10"/>
    </row>
    <row r="27" spans="2:10" x14ac:dyDescent="0.3">
      <c r="B27" s="69"/>
      <c r="C27" s="64"/>
      <c r="D27" s="5" t="s">
        <v>53</v>
      </c>
      <c r="E27" s="5" t="s">
        <v>13</v>
      </c>
      <c r="F27" s="32">
        <v>15</v>
      </c>
      <c r="G27" s="17"/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69"/>
      <c r="C28" s="64"/>
      <c r="D28" s="5" t="s">
        <v>21</v>
      </c>
      <c r="E28" s="5" t="s">
        <v>13</v>
      </c>
      <c r="F28" s="32">
        <v>4</v>
      </c>
      <c r="G28" s="17"/>
      <c r="H28" s="3">
        <f t="shared" si="0"/>
        <v>-4</v>
      </c>
      <c r="I28" s="7" t="s">
        <v>13</v>
      </c>
      <c r="J28" s="10"/>
    </row>
    <row r="29" spans="2:10" x14ac:dyDescent="0.3">
      <c r="B29" s="69"/>
      <c r="C29" s="64"/>
      <c r="D29" s="5" t="s">
        <v>49</v>
      </c>
      <c r="E29" s="5" t="s">
        <v>13</v>
      </c>
      <c r="F29" s="32">
        <v>7</v>
      </c>
      <c r="G29" s="17"/>
      <c r="H29" s="3">
        <f t="shared" si="0"/>
        <v>-7</v>
      </c>
      <c r="I29" s="7" t="s">
        <v>13</v>
      </c>
      <c r="J29" s="10"/>
    </row>
    <row r="30" spans="2:10" x14ac:dyDescent="0.3">
      <c r="B30" s="69"/>
      <c r="C30" s="64"/>
      <c r="D30" s="5" t="s">
        <v>50</v>
      </c>
      <c r="E30" s="5" t="s">
        <v>13</v>
      </c>
      <c r="F30" s="32">
        <v>7</v>
      </c>
      <c r="G30" s="17"/>
      <c r="H30" s="3">
        <f t="shared" si="0"/>
        <v>-7</v>
      </c>
      <c r="I30" s="7" t="s">
        <v>13</v>
      </c>
      <c r="J30" s="10"/>
    </row>
    <row r="31" spans="2:10" x14ac:dyDescent="0.3">
      <c r="B31" s="69"/>
      <c r="C31" s="64"/>
      <c r="D31" s="5" t="s">
        <v>51</v>
      </c>
      <c r="E31" s="5" t="s">
        <v>25</v>
      </c>
      <c r="F31" s="32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66"/>
      <c r="C32" s="65"/>
      <c r="D32" s="16" t="s">
        <v>52</v>
      </c>
      <c r="E32" s="16" t="s">
        <v>13</v>
      </c>
      <c r="F32" s="33">
        <v>50</v>
      </c>
      <c r="G32" s="19"/>
      <c r="H32" s="3">
        <f>(G32-F32)</f>
        <v>-50</v>
      </c>
      <c r="I32" s="7" t="s">
        <v>13</v>
      </c>
      <c r="J32" s="14"/>
    </row>
    <row r="33" spans="2:10" x14ac:dyDescent="0.3">
      <c r="B33" s="61" t="s">
        <v>65</v>
      </c>
      <c r="C33" s="50"/>
      <c r="D33" s="51"/>
      <c r="E33" s="51"/>
      <c r="F33" s="51"/>
      <c r="G33" s="51"/>
      <c r="H33" s="51"/>
      <c r="I33" s="51"/>
      <c r="J33" s="52"/>
    </row>
    <row r="34" spans="2:10" x14ac:dyDescent="0.3">
      <c r="B34" s="62"/>
      <c r="C34" s="53"/>
      <c r="D34" s="54"/>
      <c r="E34" s="54"/>
      <c r="F34" s="54"/>
      <c r="G34" s="54"/>
      <c r="H34" s="54"/>
      <c r="I34" s="54"/>
      <c r="J34" s="55"/>
    </row>
    <row r="35" spans="2:10" ht="14.5" thickBot="1" x14ac:dyDescent="0.35">
      <c r="B35" s="63"/>
      <c r="C35" s="56"/>
      <c r="D35" s="57"/>
      <c r="E35" s="57"/>
      <c r="F35" s="57"/>
      <c r="G35" s="57"/>
      <c r="H35" s="57"/>
      <c r="I35" s="57"/>
      <c r="J35" s="58"/>
    </row>
  </sheetData>
  <sheetCalcPr fullCalcOnLoad="1"/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hyperlinks>
    <hyperlink ref="J9" location="曲线汇总!A1" display="查看曲线"/>
    <hyperlink ref="J12:J19" location="曲线汇总!A1" display="查看曲线"/>
    <hyperlink ref="J10" location="曲线汇总!A51" display="查看曲线"/>
    <hyperlink ref="J12" location="曲线汇总!A101" display="查看曲线"/>
    <hyperlink ref="J13" location="曲线汇总!A151" display="查看曲线"/>
    <hyperlink ref="J14" location="曲线汇总!A201" display="查看曲线"/>
    <hyperlink ref="J15" location="曲线汇总!A251" display="查看曲线"/>
    <hyperlink ref="J16" location="曲线汇总!A301" display="查看曲线"/>
    <hyperlink ref="J17" location="曲线汇总!A351" display="查看曲线"/>
    <hyperlink ref="J18" location="曲线汇总!A401" display="查看曲线"/>
    <hyperlink ref="J19" location="曲线汇总!A451" display="查看曲线"/>
    <hyperlink ref="J25" location="曲线汇总!A501" display="查看曲线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2:I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</cols>
  <sheetData>
    <row r="2" spans="2:8" ht="24" customHeight="1" x14ac:dyDescent="0.3">
      <c r="B2" s="86" t="s">
        <v>74</v>
      </c>
      <c r="C2" s="86"/>
      <c r="D2" s="86"/>
      <c r="E2" s="86"/>
      <c r="F2" s="86"/>
      <c r="G2" s="86"/>
      <c r="H2" s="86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5"/>
    </row>
    <row r="4" spans="2:8" ht="24" customHeight="1" x14ac:dyDescent="0.3">
      <c r="B4" s="64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64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 t="s">
        <v>143</v>
      </c>
      <c r="C6" s="22" t="s">
        <v>132</v>
      </c>
      <c r="D6" s="23"/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/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/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/>
      <c r="E11" s="24"/>
      <c r="F11" s="24"/>
      <c r="G11" s="24"/>
      <c r="H11" s="24"/>
    </row>
    <row r="12" spans="2:8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</row>
    <row r="13" spans="2:8" ht="24" customHeight="1" x14ac:dyDescent="0.3">
      <c r="B13" s="81" t="s">
        <v>14</v>
      </c>
      <c r="C13" s="77" t="s">
        <v>73</v>
      </c>
      <c r="D13" s="77"/>
      <c r="E13" s="77"/>
      <c r="F13" s="77"/>
      <c r="G13" s="77"/>
      <c r="H13" s="78"/>
    </row>
    <row r="14" spans="2:8" ht="24" customHeight="1" x14ac:dyDescent="0.3">
      <c r="B14" s="82"/>
      <c r="C14" s="79"/>
      <c r="D14" s="79"/>
      <c r="E14" s="79"/>
      <c r="F14" s="79"/>
      <c r="G14" s="79"/>
      <c r="H14" s="80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2:K18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</cols>
  <sheetData>
    <row r="2" spans="2:10" ht="24" customHeight="1" x14ac:dyDescent="0.3">
      <c r="B2" s="87" t="s">
        <v>75</v>
      </c>
      <c r="C2" s="88"/>
      <c r="D2" s="88"/>
      <c r="E2" s="88"/>
      <c r="F2" s="88"/>
      <c r="G2" s="88"/>
      <c r="H2" s="88"/>
      <c r="I2" s="88"/>
      <c r="J2" s="89"/>
    </row>
    <row r="3" spans="2:10" ht="24" customHeight="1" x14ac:dyDescent="0.3">
      <c r="B3" s="83" t="s">
        <v>144</v>
      </c>
      <c r="C3" s="84"/>
      <c r="D3" s="84"/>
      <c r="E3" s="84"/>
      <c r="F3" s="84"/>
      <c r="G3" s="84"/>
      <c r="H3" s="84"/>
      <c r="I3" s="84"/>
      <c r="J3" s="85"/>
    </row>
    <row r="4" spans="2:10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  <c r="I5" s="5" t="s">
        <v>76</v>
      </c>
      <c r="J5" s="5" t="s">
        <v>0</v>
      </c>
    </row>
    <row r="6" spans="2:10" ht="24" customHeight="1" x14ac:dyDescent="0.3">
      <c r="B6" s="22" t="s">
        <v>143</v>
      </c>
      <c r="C6" s="22" t="s">
        <v>132</v>
      </c>
      <c r="D6" s="23"/>
      <c r="E6" s="23"/>
      <c r="F6" s="23"/>
      <c r="G6" s="23"/>
      <c r="H6" s="23"/>
      <c r="I6" s="23"/>
      <c r="J6" s="23"/>
    </row>
    <row r="7" spans="2:10" ht="24" customHeight="1" x14ac:dyDescent="0.3">
      <c r="B7" s="5" t="s">
        <v>145</v>
      </c>
      <c r="C7" s="5" t="s">
        <v>133</v>
      </c>
      <c r="D7" s="24"/>
      <c r="E7" s="24"/>
      <c r="F7" s="24"/>
      <c r="G7" s="24"/>
      <c r="H7" s="24"/>
      <c r="I7" s="24"/>
      <c r="J7" s="24"/>
    </row>
    <row r="8" spans="2:10" ht="24" customHeight="1" x14ac:dyDescent="0.3">
      <c r="B8" s="22" t="s">
        <v>146</v>
      </c>
      <c r="C8" s="22" t="s">
        <v>71</v>
      </c>
      <c r="D8" s="23"/>
      <c r="E8" s="23"/>
      <c r="F8" s="23"/>
      <c r="G8" s="23"/>
      <c r="H8" s="23"/>
      <c r="I8" s="23"/>
      <c r="J8" s="23"/>
    </row>
    <row r="9" spans="2:10" ht="24" customHeight="1" x14ac:dyDescent="0.3">
      <c r="B9" s="5" t="s">
        <v>147</v>
      </c>
      <c r="C9" s="5" t="s">
        <v>72</v>
      </c>
      <c r="D9" s="24"/>
      <c r="E9" s="24"/>
      <c r="F9" s="24"/>
      <c r="G9" s="24"/>
      <c r="H9" s="24"/>
      <c r="I9" s="24"/>
      <c r="J9" s="24"/>
    </row>
    <row r="10" spans="2:10" ht="24" customHeight="1" x14ac:dyDescent="0.3">
      <c r="B10" s="22" t="s">
        <v>148</v>
      </c>
      <c r="C10" s="22" t="s">
        <v>123</v>
      </c>
      <c r="D10" s="23"/>
      <c r="E10" s="23"/>
      <c r="F10" s="23"/>
      <c r="G10" s="23"/>
      <c r="H10" s="23"/>
      <c r="I10" s="23"/>
      <c r="J10" s="23"/>
    </row>
    <row r="11" spans="2:10" ht="24" customHeight="1" x14ac:dyDescent="0.3">
      <c r="B11" s="5" t="s">
        <v>149</v>
      </c>
      <c r="C11" s="5" t="s">
        <v>67</v>
      </c>
      <c r="D11" s="24"/>
      <c r="E11" s="24"/>
      <c r="F11" s="24"/>
      <c r="G11" s="24"/>
      <c r="H11" s="24"/>
      <c r="I11" s="24"/>
      <c r="J11" s="24"/>
    </row>
    <row r="12" spans="2:10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  <c r="I12" s="23"/>
      <c r="J12" s="23"/>
    </row>
    <row r="13" spans="2:10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  <c r="I13" s="64"/>
      <c r="J13" s="64"/>
    </row>
    <row r="14" spans="2:10" ht="24" customHeight="1" x14ac:dyDescent="0.3">
      <c r="B14" s="64"/>
      <c r="C14" s="64"/>
      <c r="D14" s="64"/>
      <c r="E14" s="64"/>
      <c r="F14" s="64"/>
      <c r="G14" s="64"/>
      <c r="H14" s="64"/>
      <c r="I14" s="64"/>
      <c r="J14" s="64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2:W49"/>
  <sheetViews>
    <sheetView zoomScale="70" zoomScaleNormal="70" workbookViewId="0">
      <pane ySplit="5" topLeftCell="A6" activePane="bottomLeft" state="frozen"/>
      <selection pane="bottomLeft" activeCell="U11" sqref="U11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49" bestFit="1" customWidth="1"/>
    <col min="18" max="20" width="9" style="20"/>
    <col min="21" max="21" width="18" style="49" customWidth="1"/>
    <col min="22" max="22" width="45.08203125" style="20" customWidth="1"/>
  </cols>
  <sheetData>
    <row r="2" spans="2:22" ht="24" customHeight="1" x14ac:dyDescent="0.3">
      <c r="B2" s="86" t="s">
        <v>94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2:22" ht="24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2:22" ht="24" customHeight="1" x14ac:dyDescent="0.3">
      <c r="B4" s="64" t="s">
        <v>19</v>
      </c>
      <c r="C4" s="5" t="s">
        <v>3</v>
      </c>
      <c r="D4" s="26" t="s">
        <v>99</v>
      </c>
      <c r="E4" s="26" t="s">
        <v>52</v>
      </c>
      <c r="F4" s="26" t="s">
        <v>23</v>
      </c>
      <c r="G4" s="5" t="s">
        <v>103</v>
      </c>
      <c r="H4" s="5" t="s">
        <v>79</v>
      </c>
      <c r="I4" s="5" t="s">
        <v>98</v>
      </c>
      <c r="J4" s="5" t="s">
        <v>97</v>
      </c>
      <c r="K4" s="26" t="s">
        <v>104</v>
      </c>
      <c r="L4" s="26" t="s">
        <v>80</v>
      </c>
      <c r="M4" s="5" t="s">
        <v>81</v>
      </c>
      <c r="N4" s="5" t="s">
        <v>82</v>
      </c>
      <c r="O4" s="5" t="s">
        <v>83</v>
      </c>
      <c r="P4" s="5" t="s">
        <v>85</v>
      </c>
      <c r="Q4" s="24" t="s">
        <v>84</v>
      </c>
      <c r="R4" s="5" t="s">
        <v>114</v>
      </c>
      <c r="S4" s="5" t="s">
        <v>113</v>
      </c>
      <c r="U4" s="24" t="s">
        <v>128</v>
      </c>
      <c r="V4" s="5" t="s">
        <v>130</v>
      </c>
    </row>
    <row r="5" spans="2:22" ht="24" customHeight="1" x14ac:dyDescent="0.3">
      <c r="B5" s="64"/>
      <c r="C5" s="5" t="s">
        <v>8</v>
      </c>
      <c r="D5" s="25" t="s">
        <v>101</v>
      </c>
      <c r="E5" s="5" t="s">
        <v>102</v>
      </c>
      <c r="F5" s="5" t="s">
        <v>100</v>
      </c>
      <c r="G5" s="5" t="s">
        <v>100</v>
      </c>
      <c r="H5" s="5" t="s">
        <v>100</v>
      </c>
      <c r="I5" s="5" t="s">
        <v>100</v>
      </c>
      <c r="J5" s="5" t="s">
        <v>100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24" t="s">
        <v>24</v>
      </c>
      <c r="R5" s="5" t="s">
        <v>24</v>
      </c>
      <c r="S5" s="5" t="s">
        <v>24</v>
      </c>
      <c r="U5" s="24" t="e">
        <f>SUM(I6:I47)/SUM(K6:K47)/AVERAGE(L6:L47)*1.2*100</f>
        <v>#DIV/0!</v>
      </c>
      <c r="V5" s="5" t="s">
        <v>129</v>
      </c>
    </row>
    <row r="6" spans="2:22" ht="24" customHeight="1" x14ac:dyDescent="0.3">
      <c r="B6" s="113" t="s">
        <v>143</v>
      </c>
      <c r="C6" s="113" t="s">
        <v>69</v>
      </c>
      <c r="D6" s="27"/>
      <c r="E6" s="27"/>
      <c r="F6" s="27"/>
      <c r="G6" s="106">
        <f>F6+F7+F8</f>
        <v>0</v>
      </c>
      <c r="H6" s="28">
        <f>F6*D6/100</f>
        <v>0</v>
      </c>
      <c r="I6" s="93">
        <f>H6+H7+H8</f>
        <v>0</v>
      </c>
      <c r="J6" s="93">
        <f t="shared" ref="J6" si="0">I6</f>
        <v>0</v>
      </c>
      <c r="K6" s="93">
        <v>0</v>
      </c>
      <c r="L6" s="93">
        <v>0</v>
      </c>
      <c r="M6" s="93">
        <f>K6*L6/1000</f>
        <v>0</v>
      </c>
      <c r="N6" s="93">
        <v>0</v>
      </c>
      <c r="O6" s="93" t="e">
        <f>I6/M6*1.2/10</f>
        <v>#DIV/0!</v>
      </c>
      <c r="P6" s="29" t="s">
        <v>95</v>
      </c>
      <c r="Q6" s="90" t="e">
        <f>(I6+I9)/(K6+K9)/AVERAGE(L6:L11)*1.2*100</f>
        <v>#DIV/0!</v>
      </c>
      <c r="R6" s="93">
        <v>0</v>
      </c>
      <c r="S6" s="93">
        <v>0</v>
      </c>
      <c r="U6" s="49" t="e">
        <f>SUM(K6:K47)*1000*AVERAGE(L6:L47)/SUM(I6:I47)</f>
        <v>#DIV/0!</v>
      </c>
      <c r="V6" s="20" t="s">
        <v>134</v>
      </c>
    </row>
    <row r="7" spans="2:22" ht="24" customHeight="1" x14ac:dyDescent="0.3">
      <c r="B7" s="114"/>
      <c r="C7" s="114"/>
      <c r="D7" s="27"/>
      <c r="E7" s="27"/>
      <c r="F7" s="27"/>
      <c r="G7" s="107"/>
      <c r="H7" s="28">
        <f t="shared" ref="H7:H11" si="1">F7*D7/100</f>
        <v>0</v>
      </c>
      <c r="I7" s="94"/>
      <c r="J7" s="94"/>
      <c r="K7" s="94"/>
      <c r="L7" s="94"/>
      <c r="M7" s="94"/>
      <c r="N7" s="94"/>
      <c r="O7" s="94"/>
      <c r="P7" s="29" t="s">
        <v>95</v>
      </c>
      <c r="Q7" s="91"/>
      <c r="R7" s="94"/>
      <c r="S7" s="94"/>
    </row>
    <row r="8" spans="2:22" ht="24" customHeight="1" x14ac:dyDescent="0.3">
      <c r="B8" s="114"/>
      <c r="C8" s="114"/>
      <c r="D8" s="27"/>
      <c r="E8" s="27"/>
      <c r="F8" s="27"/>
      <c r="G8" s="108"/>
      <c r="H8" s="28">
        <f t="shared" si="1"/>
        <v>0</v>
      </c>
      <c r="I8" s="95"/>
      <c r="J8" s="95"/>
      <c r="K8" s="95"/>
      <c r="L8" s="95"/>
      <c r="M8" s="95"/>
      <c r="N8" s="95"/>
      <c r="O8" s="95"/>
      <c r="P8" s="29" t="s">
        <v>96</v>
      </c>
      <c r="Q8" s="91"/>
      <c r="R8" s="94"/>
      <c r="S8" s="94"/>
    </row>
    <row r="9" spans="2:22" ht="24" customHeight="1" x14ac:dyDescent="0.3">
      <c r="B9" s="114"/>
      <c r="C9" s="114"/>
      <c r="D9" s="27"/>
      <c r="E9" s="27"/>
      <c r="F9" s="27"/>
      <c r="G9" s="106">
        <f>F9+F10+F11</f>
        <v>0</v>
      </c>
      <c r="H9" s="28">
        <f>F9*D9/100</f>
        <v>0</v>
      </c>
      <c r="I9" s="93">
        <f>H9+H10+H11</f>
        <v>0</v>
      </c>
      <c r="J9" s="93">
        <f>J6+I9</f>
        <v>0</v>
      </c>
      <c r="K9" s="93">
        <v>0</v>
      </c>
      <c r="L9" s="93">
        <v>0</v>
      </c>
      <c r="M9" s="93">
        <f>K9*L9/1000</f>
        <v>0</v>
      </c>
      <c r="N9" s="93">
        <f>M9+N6</f>
        <v>0</v>
      </c>
      <c r="O9" s="93" t="e">
        <f>I9/M9*1.2/10</f>
        <v>#DIV/0!</v>
      </c>
      <c r="P9" s="29" t="s">
        <v>95</v>
      </c>
      <c r="Q9" s="91"/>
      <c r="R9" s="94"/>
      <c r="S9" s="94"/>
    </row>
    <row r="10" spans="2:22" ht="24" customHeight="1" x14ac:dyDescent="0.3">
      <c r="B10" s="114"/>
      <c r="C10" s="114"/>
      <c r="D10" s="27"/>
      <c r="E10" s="27"/>
      <c r="F10" s="27"/>
      <c r="G10" s="107"/>
      <c r="H10" s="28">
        <f t="shared" si="1"/>
        <v>0</v>
      </c>
      <c r="I10" s="94"/>
      <c r="J10" s="94"/>
      <c r="K10" s="94"/>
      <c r="L10" s="94"/>
      <c r="M10" s="94"/>
      <c r="N10" s="94"/>
      <c r="O10" s="94"/>
      <c r="P10" s="29" t="s">
        <v>95</v>
      </c>
      <c r="Q10" s="91"/>
      <c r="R10" s="94"/>
      <c r="S10" s="94"/>
    </row>
    <row r="11" spans="2:22" ht="24" customHeight="1" x14ac:dyDescent="0.3">
      <c r="B11" s="114"/>
      <c r="C11" s="115"/>
      <c r="D11" s="27"/>
      <c r="E11" s="27"/>
      <c r="F11" s="27"/>
      <c r="G11" s="108"/>
      <c r="H11" s="28">
        <f t="shared" si="1"/>
        <v>0</v>
      </c>
      <c r="I11" s="95"/>
      <c r="J11" s="95"/>
      <c r="K11" s="95"/>
      <c r="L11" s="95"/>
      <c r="M11" s="95"/>
      <c r="N11" s="95"/>
      <c r="O11" s="95"/>
      <c r="P11" s="29" t="s">
        <v>96</v>
      </c>
      <c r="Q11" s="92"/>
      <c r="R11" s="95"/>
      <c r="S11" s="95"/>
    </row>
    <row r="12" spans="2:22" ht="24" customHeight="1" x14ac:dyDescent="0.3">
      <c r="B12" s="65" t="s">
        <v>145</v>
      </c>
      <c r="C12" s="65" t="s">
        <v>70</v>
      </c>
      <c r="D12" s="30"/>
      <c r="E12" s="30"/>
      <c r="F12" s="30"/>
      <c r="G12" s="109">
        <f>F12+F13+F14</f>
        <v>0</v>
      </c>
      <c r="H12" s="31">
        <f>F12*D12/100</f>
        <v>0</v>
      </c>
      <c r="I12" s="103">
        <f>H12+H13+H14</f>
        <v>0</v>
      </c>
      <c r="J12" s="103">
        <f t="shared" ref="J12" si="2">I12</f>
        <v>0</v>
      </c>
      <c r="K12" s="103">
        <v>0</v>
      </c>
      <c r="L12" s="103">
        <v>0</v>
      </c>
      <c r="M12" s="103">
        <f>K12*L12/1000</f>
        <v>0</v>
      </c>
      <c r="N12" s="103">
        <v>0</v>
      </c>
      <c r="O12" s="103" t="e">
        <f>I12/M12*1.2/10</f>
        <v>#DIV/0!</v>
      </c>
      <c r="P12" s="21" t="s">
        <v>95</v>
      </c>
      <c r="Q12" s="90" t="e">
        <f>(I12+I15)/(K12+K15)/AVERAGE(L12:L17)*1.2*100</f>
        <v>#DIV/0!</v>
      </c>
      <c r="R12" s="103">
        <v>0</v>
      </c>
      <c r="S12" s="103">
        <v>0</v>
      </c>
    </row>
    <row r="13" spans="2:22" ht="24" customHeight="1" x14ac:dyDescent="0.3">
      <c r="B13" s="102"/>
      <c r="C13" s="102"/>
      <c r="D13" s="30"/>
      <c r="E13" s="30"/>
      <c r="F13" s="30"/>
      <c r="G13" s="110"/>
      <c r="H13" s="31">
        <f t="shared" ref="H13:H14" si="3">F13*D13/100</f>
        <v>0</v>
      </c>
      <c r="I13" s="104"/>
      <c r="J13" s="104"/>
      <c r="K13" s="104"/>
      <c r="L13" s="104"/>
      <c r="M13" s="104"/>
      <c r="N13" s="104"/>
      <c r="O13" s="104"/>
      <c r="P13" s="21" t="s">
        <v>95</v>
      </c>
      <c r="Q13" s="91"/>
      <c r="R13" s="104"/>
      <c r="S13" s="104"/>
    </row>
    <row r="14" spans="2:22" ht="24" customHeight="1" x14ac:dyDescent="0.3">
      <c r="B14" s="102"/>
      <c r="C14" s="102"/>
      <c r="D14" s="30"/>
      <c r="E14" s="30"/>
      <c r="F14" s="30"/>
      <c r="G14" s="111"/>
      <c r="H14" s="31">
        <f t="shared" si="3"/>
        <v>0</v>
      </c>
      <c r="I14" s="105"/>
      <c r="J14" s="105"/>
      <c r="K14" s="105"/>
      <c r="L14" s="105"/>
      <c r="M14" s="105"/>
      <c r="N14" s="105"/>
      <c r="O14" s="105"/>
      <c r="P14" s="21" t="s">
        <v>96</v>
      </c>
      <c r="Q14" s="91"/>
      <c r="R14" s="104"/>
      <c r="S14" s="104"/>
    </row>
    <row r="15" spans="2:22" ht="24" customHeight="1" x14ac:dyDescent="0.3">
      <c r="B15" s="102"/>
      <c r="C15" s="102"/>
      <c r="D15" s="30"/>
      <c r="E15" s="30"/>
      <c r="F15" s="30"/>
      <c r="G15" s="109">
        <f>F15+F16+F17</f>
        <v>0</v>
      </c>
      <c r="H15" s="31">
        <f>F15*D15/100</f>
        <v>0</v>
      </c>
      <c r="I15" s="103">
        <f>H15+H16+H17</f>
        <v>0</v>
      </c>
      <c r="J15" s="103">
        <f>J12+I15</f>
        <v>0</v>
      </c>
      <c r="K15" s="103">
        <v>0</v>
      </c>
      <c r="L15" s="103">
        <v>0</v>
      </c>
      <c r="M15" s="103">
        <f>K15*L15/1000</f>
        <v>0</v>
      </c>
      <c r="N15" s="103">
        <f>M15+N12</f>
        <v>0</v>
      </c>
      <c r="O15" s="103" t="e">
        <f>I15/M15*1.2/10</f>
        <v>#DIV/0!</v>
      </c>
      <c r="P15" s="21" t="s">
        <v>95</v>
      </c>
      <c r="Q15" s="91"/>
      <c r="R15" s="104"/>
      <c r="S15" s="104"/>
    </row>
    <row r="16" spans="2:22" ht="24" customHeight="1" x14ac:dyDescent="0.3">
      <c r="B16" s="102"/>
      <c r="C16" s="102"/>
      <c r="D16" s="30"/>
      <c r="E16" s="30"/>
      <c r="F16" s="30"/>
      <c r="G16" s="110"/>
      <c r="H16" s="31">
        <f t="shared" ref="H16:H17" si="4">F16*D16/100</f>
        <v>0</v>
      </c>
      <c r="I16" s="104"/>
      <c r="J16" s="104"/>
      <c r="K16" s="104"/>
      <c r="L16" s="104"/>
      <c r="M16" s="104"/>
      <c r="N16" s="104"/>
      <c r="O16" s="104"/>
      <c r="P16" s="21" t="s">
        <v>95</v>
      </c>
      <c r="Q16" s="91"/>
      <c r="R16" s="104"/>
      <c r="S16" s="104"/>
    </row>
    <row r="17" spans="2:19" ht="24" customHeight="1" x14ac:dyDescent="0.3">
      <c r="B17" s="102"/>
      <c r="C17" s="112"/>
      <c r="D17" s="30"/>
      <c r="E17" s="30"/>
      <c r="F17" s="30"/>
      <c r="G17" s="111"/>
      <c r="H17" s="31">
        <f t="shared" si="4"/>
        <v>0</v>
      </c>
      <c r="I17" s="105"/>
      <c r="J17" s="105"/>
      <c r="K17" s="105"/>
      <c r="L17" s="105"/>
      <c r="M17" s="105"/>
      <c r="N17" s="105"/>
      <c r="O17" s="105"/>
      <c r="P17" s="21" t="s">
        <v>96</v>
      </c>
      <c r="Q17" s="92"/>
      <c r="R17" s="105"/>
      <c r="S17" s="105"/>
    </row>
    <row r="18" spans="2:19" ht="24" customHeight="1" x14ac:dyDescent="0.3">
      <c r="B18" s="113" t="s">
        <v>146</v>
      </c>
      <c r="C18" s="113" t="s">
        <v>71</v>
      </c>
      <c r="D18" s="27"/>
      <c r="E18" s="27"/>
      <c r="F18" s="27"/>
      <c r="G18" s="106">
        <f>F18+F19+F20</f>
        <v>0</v>
      </c>
      <c r="H18" s="28">
        <f>F18*D18/100</f>
        <v>0</v>
      </c>
      <c r="I18" s="93">
        <f>H18+H19+H20</f>
        <v>0</v>
      </c>
      <c r="J18" s="93">
        <f t="shared" ref="J18" si="5">I18</f>
        <v>0</v>
      </c>
      <c r="K18" s="93">
        <v>0</v>
      </c>
      <c r="L18" s="93">
        <v>0</v>
      </c>
      <c r="M18" s="93">
        <f>K18*L18/1000</f>
        <v>0</v>
      </c>
      <c r="N18" s="93">
        <v>0</v>
      </c>
      <c r="O18" s="93" t="e">
        <f>I18/M18*1.2/10</f>
        <v>#DIV/0!</v>
      </c>
      <c r="P18" s="29" t="s">
        <v>95</v>
      </c>
      <c r="Q18" s="90" t="e">
        <f t="shared" ref="Q18" si="6">(I18+I21)/(K18+K21)/AVERAGE(L18:L23)*1.2*100</f>
        <v>#DIV/0!</v>
      </c>
      <c r="R18" s="93">
        <v>0</v>
      </c>
      <c r="S18" s="93">
        <v>0</v>
      </c>
    </row>
    <row r="19" spans="2:19" ht="24" customHeight="1" x14ac:dyDescent="0.3">
      <c r="B19" s="114"/>
      <c r="C19" s="114"/>
      <c r="D19" s="27"/>
      <c r="E19" s="27"/>
      <c r="F19" s="27"/>
      <c r="G19" s="107"/>
      <c r="H19" s="28">
        <f t="shared" ref="H19:H20" si="7">F19*D19/100</f>
        <v>0</v>
      </c>
      <c r="I19" s="94"/>
      <c r="J19" s="94"/>
      <c r="K19" s="94"/>
      <c r="L19" s="94"/>
      <c r="M19" s="94"/>
      <c r="N19" s="94"/>
      <c r="O19" s="94"/>
      <c r="P19" s="29" t="s">
        <v>95</v>
      </c>
      <c r="Q19" s="91"/>
      <c r="R19" s="94"/>
      <c r="S19" s="94"/>
    </row>
    <row r="20" spans="2:19" ht="24" customHeight="1" x14ac:dyDescent="0.3">
      <c r="B20" s="114"/>
      <c r="C20" s="114"/>
      <c r="D20" s="27"/>
      <c r="E20" s="27"/>
      <c r="F20" s="27"/>
      <c r="G20" s="108"/>
      <c r="H20" s="28">
        <f t="shared" si="7"/>
        <v>0</v>
      </c>
      <c r="I20" s="95"/>
      <c r="J20" s="95"/>
      <c r="K20" s="95"/>
      <c r="L20" s="95"/>
      <c r="M20" s="95"/>
      <c r="N20" s="95"/>
      <c r="O20" s="95"/>
      <c r="P20" s="29" t="s">
        <v>96</v>
      </c>
      <c r="Q20" s="91"/>
      <c r="R20" s="94"/>
      <c r="S20" s="94"/>
    </row>
    <row r="21" spans="2:19" ht="24" customHeight="1" x14ac:dyDescent="0.3">
      <c r="B21" s="114"/>
      <c r="C21" s="114"/>
      <c r="D21" s="27"/>
      <c r="E21" s="27"/>
      <c r="F21" s="27"/>
      <c r="G21" s="106">
        <f>F21+F22+F23</f>
        <v>0</v>
      </c>
      <c r="H21" s="28">
        <f>F21*D21/100</f>
        <v>0</v>
      </c>
      <c r="I21" s="93">
        <f>H21+H22+H23</f>
        <v>0</v>
      </c>
      <c r="J21" s="93">
        <f>J18+I21</f>
        <v>0</v>
      </c>
      <c r="K21" s="93">
        <v>0</v>
      </c>
      <c r="L21" s="93">
        <v>0</v>
      </c>
      <c r="M21" s="93">
        <f>K21*L21/1000</f>
        <v>0</v>
      </c>
      <c r="N21" s="93">
        <f>M21+N18</f>
        <v>0</v>
      </c>
      <c r="O21" s="93" t="e">
        <f>I21/M21*1.2/10</f>
        <v>#DIV/0!</v>
      </c>
      <c r="P21" s="29" t="s">
        <v>95</v>
      </c>
      <c r="Q21" s="91"/>
      <c r="R21" s="94"/>
      <c r="S21" s="94"/>
    </row>
    <row r="22" spans="2:19" ht="24" customHeight="1" x14ac:dyDescent="0.3">
      <c r="B22" s="114"/>
      <c r="C22" s="114"/>
      <c r="D22" s="27"/>
      <c r="E22" s="27"/>
      <c r="F22" s="27"/>
      <c r="G22" s="107"/>
      <c r="H22" s="28">
        <f t="shared" ref="H22:H23" si="8">F22*D22/100</f>
        <v>0</v>
      </c>
      <c r="I22" s="94"/>
      <c r="J22" s="94"/>
      <c r="K22" s="94"/>
      <c r="L22" s="94"/>
      <c r="M22" s="94"/>
      <c r="N22" s="94"/>
      <c r="O22" s="94"/>
      <c r="P22" s="29" t="s">
        <v>95</v>
      </c>
      <c r="Q22" s="91"/>
      <c r="R22" s="94"/>
      <c r="S22" s="94"/>
    </row>
    <row r="23" spans="2:19" ht="24" customHeight="1" x14ac:dyDescent="0.3">
      <c r="B23" s="114"/>
      <c r="C23" s="115"/>
      <c r="D23" s="27"/>
      <c r="E23" s="27"/>
      <c r="F23" s="27"/>
      <c r="G23" s="108"/>
      <c r="H23" s="28">
        <f t="shared" si="8"/>
        <v>0</v>
      </c>
      <c r="I23" s="95"/>
      <c r="J23" s="95"/>
      <c r="K23" s="95"/>
      <c r="L23" s="95"/>
      <c r="M23" s="95"/>
      <c r="N23" s="95"/>
      <c r="O23" s="95"/>
      <c r="P23" s="29" t="s">
        <v>96</v>
      </c>
      <c r="Q23" s="92"/>
      <c r="R23" s="95"/>
      <c r="S23" s="95"/>
    </row>
    <row r="24" spans="2:19" ht="24" customHeight="1" x14ac:dyDescent="0.3">
      <c r="B24" s="65" t="s">
        <v>147</v>
      </c>
      <c r="C24" s="65" t="s">
        <v>72</v>
      </c>
      <c r="D24" s="30"/>
      <c r="E24" s="30"/>
      <c r="F24" s="30"/>
      <c r="G24" s="109">
        <f>F24+F25+F26</f>
        <v>0</v>
      </c>
      <c r="H24" s="31">
        <f>F24*D24/100</f>
        <v>0</v>
      </c>
      <c r="I24" s="103">
        <f>H24+H25+H26</f>
        <v>0</v>
      </c>
      <c r="J24" s="103">
        <f t="shared" ref="J24" si="9">I24</f>
        <v>0</v>
      </c>
      <c r="K24" s="103">
        <v>0</v>
      </c>
      <c r="L24" s="103">
        <v>0</v>
      </c>
      <c r="M24" s="103">
        <f>K24*L24/1000</f>
        <v>0</v>
      </c>
      <c r="N24" s="103">
        <v>0</v>
      </c>
      <c r="O24" s="103" t="e">
        <f>I24/M24*1.2/10</f>
        <v>#DIV/0!</v>
      </c>
      <c r="P24" s="21" t="s">
        <v>95</v>
      </c>
      <c r="Q24" s="90" t="e">
        <f t="shared" ref="Q24" si="10">(I24+I27)/(K24+K27)/AVERAGE(L24:L29)*1.2*100</f>
        <v>#DIV/0!</v>
      </c>
      <c r="R24" s="103">
        <v>0</v>
      </c>
      <c r="S24" s="103">
        <v>0</v>
      </c>
    </row>
    <row r="25" spans="2:19" ht="24" customHeight="1" x14ac:dyDescent="0.3">
      <c r="B25" s="102"/>
      <c r="C25" s="102"/>
      <c r="D25" s="30"/>
      <c r="E25" s="30"/>
      <c r="F25" s="30"/>
      <c r="G25" s="110"/>
      <c r="H25" s="31">
        <f t="shared" ref="H25:H26" si="11">F25*D25/100</f>
        <v>0</v>
      </c>
      <c r="I25" s="104"/>
      <c r="J25" s="104"/>
      <c r="K25" s="104"/>
      <c r="L25" s="104"/>
      <c r="M25" s="104"/>
      <c r="N25" s="104"/>
      <c r="O25" s="104"/>
      <c r="P25" s="21" t="s">
        <v>95</v>
      </c>
      <c r="Q25" s="91"/>
      <c r="R25" s="104"/>
      <c r="S25" s="104"/>
    </row>
    <row r="26" spans="2:19" ht="24" customHeight="1" x14ac:dyDescent="0.3">
      <c r="B26" s="102"/>
      <c r="C26" s="102"/>
      <c r="D26" s="30"/>
      <c r="E26" s="30"/>
      <c r="F26" s="30"/>
      <c r="G26" s="111"/>
      <c r="H26" s="31">
        <f t="shared" si="11"/>
        <v>0</v>
      </c>
      <c r="I26" s="105"/>
      <c r="J26" s="105"/>
      <c r="K26" s="105"/>
      <c r="L26" s="105"/>
      <c r="M26" s="105"/>
      <c r="N26" s="105"/>
      <c r="O26" s="105"/>
      <c r="P26" s="21" t="s">
        <v>96</v>
      </c>
      <c r="Q26" s="91"/>
      <c r="R26" s="104"/>
      <c r="S26" s="104"/>
    </row>
    <row r="27" spans="2:19" ht="24" customHeight="1" x14ac:dyDescent="0.3">
      <c r="B27" s="102"/>
      <c r="C27" s="102"/>
      <c r="D27" s="30"/>
      <c r="E27" s="30"/>
      <c r="F27" s="30"/>
      <c r="G27" s="109">
        <f>F27+F28+F29</f>
        <v>0</v>
      </c>
      <c r="H27" s="31">
        <f>F27*D27/100</f>
        <v>0</v>
      </c>
      <c r="I27" s="103">
        <f>H27+H28+H29</f>
        <v>0</v>
      </c>
      <c r="J27" s="103">
        <f>J24+I27</f>
        <v>0</v>
      </c>
      <c r="K27" s="103">
        <v>0</v>
      </c>
      <c r="L27" s="103">
        <v>0</v>
      </c>
      <c r="M27" s="103">
        <f>K27*L27/1000</f>
        <v>0</v>
      </c>
      <c r="N27" s="103">
        <f>M27+N24</f>
        <v>0</v>
      </c>
      <c r="O27" s="103" t="e">
        <f>I27/M27*1.2/10</f>
        <v>#DIV/0!</v>
      </c>
      <c r="P27" s="21" t="s">
        <v>95</v>
      </c>
      <c r="Q27" s="91"/>
      <c r="R27" s="104"/>
      <c r="S27" s="104"/>
    </row>
    <row r="28" spans="2:19" ht="24" customHeight="1" x14ac:dyDescent="0.3">
      <c r="B28" s="102"/>
      <c r="C28" s="102"/>
      <c r="D28" s="30"/>
      <c r="E28" s="30"/>
      <c r="F28" s="30"/>
      <c r="G28" s="110"/>
      <c r="H28" s="31">
        <f t="shared" ref="H28:H29" si="12">F28*D28/100</f>
        <v>0</v>
      </c>
      <c r="I28" s="104"/>
      <c r="J28" s="104"/>
      <c r="K28" s="104"/>
      <c r="L28" s="104"/>
      <c r="M28" s="104"/>
      <c r="N28" s="104"/>
      <c r="O28" s="104"/>
      <c r="P28" s="21" t="s">
        <v>95</v>
      </c>
      <c r="Q28" s="91"/>
      <c r="R28" s="104"/>
      <c r="S28" s="104"/>
    </row>
    <row r="29" spans="2:19" ht="24" customHeight="1" x14ac:dyDescent="0.3">
      <c r="B29" s="102"/>
      <c r="C29" s="112"/>
      <c r="D29" s="30"/>
      <c r="E29" s="30"/>
      <c r="F29" s="30"/>
      <c r="G29" s="111"/>
      <c r="H29" s="31">
        <f t="shared" si="12"/>
        <v>0</v>
      </c>
      <c r="I29" s="105"/>
      <c r="J29" s="105"/>
      <c r="K29" s="105"/>
      <c r="L29" s="105"/>
      <c r="M29" s="105"/>
      <c r="N29" s="105"/>
      <c r="O29" s="105"/>
      <c r="P29" s="21" t="s">
        <v>96</v>
      </c>
      <c r="Q29" s="92"/>
      <c r="R29" s="105"/>
      <c r="S29" s="105"/>
    </row>
    <row r="30" spans="2:19" ht="24" customHeight="1" x14ac:dyDescent="0.3">
      <c r="B30" s="113" t="s">
        <v>148</v>
      </c>
      <c r="C30" s="113" t="s">
        <v>123</v>
      </c>
      <c r="D30" s="27"/>
      <c r="E30" s="27"/>
      <c r="F30" s="27"/>
      <c r="G30" s="106">
        <f>F30+F31+F32</f>
        <v>0</v>
      </c>
      <c r="H30" s="28">
        <f>F30*D30/100</f>
        <v>0</v>
      </c>
      <c r="I30" s="93">
        <f>H30+H31+H32</f>
        <v>0</v>
      </c>
      <c r="J30" s="93">
        <f t="shared" ref="J30" si="13">I30</f>
        <v>0</v>
      </c>
      <c r="K30" s="93">
        <v>0</v>
      </c>
      <c r="L30" s="93">
        <v>0</v>
      </c>
      <c r="M30" s="93">
        <f>K30*L30/1000</f>
        <v>0</v>
      </c>
      <c r="N30" s="93">
        <v>0</v>
      </c>
      <c r="O30" s="93" t="e">
        <f>I30/M30*1.2/10</f>
        <v>#DIV/0!</v>
      </c>
      <c r="P30" s="29" t="s">
        <v>95</v>
      </c>
      <c r="Q30" s="90" t="e">
        <f t="shared" ref="Q30" si="14">(I30+I33)/(K30+K33)/AVERAGE(L30:L35)*1.2*100</f>
        <v>#DIV/0!</v>
      </c>
      <c r="R30" s="93">
        <v>0</v>
      </c>
      <c r="S30" s="93">
        <v>0</v>
      </c>
    </row>
    <row r="31" spans="2:19" ht="24" customHeight="1" x14ac:dyDescent="0.3">
      <c r="B31" s="114"/>
      <c r="C31" s="114"/>
      <c r="D31" s="27"/>
      <c r="E31" s="27"/>
      <c r="F31" s="27"/>
      <c r="G31" s="107"/>
      <c r="H31" s="28">
        <f t="shared" ref="H31:H32" si="15">F31*D31/100</f>
        <v>0</v>
      </c>
      <c r="I31" s="94"/>
      <c r="J31" s="94"/>
      <c r="K31" s="94"/>
      <c r="L31" s="94"/>
      <c r="M31" s="94"/>
      <c r="N31" s="94"/>
      <c r="O31" s="94"/>
      <c r="P31" s="29" t="s">
        <v>95</v>
      </c>
      <c r="Q31" s="91"/>
      <c r="R31" s="94"/>
      <c r="S31" s="94"/>
    </row>
    <row r="32" spans="2:19" ht="24" customHeight="1" x14ac:dyDescent="0.3">
      <c r="B32" s="114"/>
      <c r="C32" s="114"/>
      <c r="D32" s="27"/>
      <c r="E32" s="27"/>
      <c r="F32" s="27"/>
      <c r="G32" s="108"/>
      <c r="H32" s="28">
        <f t="shared" si="15"/>
        <v>0</v>
      </c>
      <c r="I32" s="95"/>
      <c r="J32" s="95"/>
      <c r="K32" s="95"/>
      <c r="L32" s="95"/>
      <c r="M32" s="95"/>
      <c r="N32" s="95"/>
      <c r="O32" s="95"/>
      <c r="P32" s="29" t="s">
        <v>96</v>
      </c>
      <c r="Q32" s="91"/>
      <c r="R32" s="94"/>
      <c r="S32" s="94"/>
    </row>
    <row r="33" spans="2:19" ht="24" customHeight="1" x14ac:dyDescent="0.3">
      <c r="B33" s="114"/>
      <c r="C33" s="114"/>
      <c r="D33" s="27"/>
      <c r="E33" s="27"/>
      <c r="F33" s="27"/>
      <c r="G33" s="106">
        <f>F33+F34+F35</f>
        <v>0</v>
      </c>
      <c r="H33" s="28">
        <f>F33*D33/100</f>
        <v>0</v>
      </c>
      <c r="I33" s="93">
        <f>H33+H34+H35</f>
        <v>0</v>
      </c>
      <c r="J33" s="93">
        <f>J30+I33</f>
        <v>0</v>
      </c>
      <c r="K33" s="93">
        <v>0</v>
      </c>
      <c r="L33" s="93">
        <v>0</v>
      </c>
      <c r="M33" s="93">
        <f>K33*L33/1000</f>
        <v>0</v>
      </c>
      <c r="N33" s="93">
        <f>M33+N30</f>
        <v>0</v>
      </c>
      <c r="O33" s="93" t="e">
        <f>I33/M33*1.2/10</f>
        <v>#DIV/0!</v>
      </c>
      <c r="P33" s="29" t="s">
        <v>95</v>
      </c>
      <c r="Q33" s="91"/>
      <c r="R33" s="94"/>
      <c r="S33" s="94"/>
    </row>
    <row r="34" spans="2:19" ht="24" customHeight="1" x14ac:dyDescent="0.3">
      <c r="B34" s="114"/>
      <c r="C34" s="114"/>
      <c r="D34" s="27"/>
      <c r="E34" s="27"/>
      <c r="F34" s="27"/>
      <c r="G34" s="107"/>
      <c r="H34" s="28">
        <f t="shared" ref="H34:H35" si="16">F34*D34/100</f>
        <v>0</v>
      </c>
      <c r="I34" s="94"/>
      <c r="J34" s="94"/>
      <c r="K34" s="94"/>
      <c r="L34" s="94"/>
      <c r="M34" s="94"/>
      <c r="N34" s="94"/>
      <c r="O34" s="94"/>
      <c r="P34" s="29" t="s">
        <v>95</v>
      </c>
      <c r="Q34" s="91"/>
      <c r="R34" s="94"/>
      <c r="S34" s="94"/>
    </row>
    <row r="35" spans="2:19" ht="24" customHeight="1" x14ac:dyDescent="0.3">
      <c r="B35" s="114"/>
      <c r="C35" s="115"/>
      <c r="D35" s="27"/>
      <c r="E35" s="27"/>
      <c r="F35" s="27"/>
      <c r="G35" s="108"/>
      <c r="H35" s="28">
        <f t="shared" si="16"/>
        <v>0</v>
      </c>
      <c r="I35" s="95"/>
      <c r="J35" s="95"/>
      <c r="K35" s="95"/>
      <c r="L35" s="95"/>
      <c r="M35" s="95"/>
      <c r="N35" s="95"/>
      <c r="O35" s="95"/>
      <c r="P35" s="29" t="s">
        <v>96</v>
      </c>
      <c r="Q35" s="92"/>
      <c r="R35" s="95"/>
      <c r="S35" s="95"/>
    </row>
    <row r="36" spans="2:19" ht="24" customHeight="1" x14ac:dyDescent="0.3">
      <c r="B36" s="65" t="s">
        <v>149</v>
      </c>
      <c r="C36" s="65" t="s">
        <v>67</v>
      </c>
      <c r="D36" s="30"/>
      <c r="E36" s="30"/>
      <c r="F36" s="30"/>
      <c r="G36" s="109">
        <f>F36+F37+F38</f>
        <v>0</v>
      </c>
      <c r="H36" s="31">
        <f>F36*D36/100</f>
        <v>0</v>
      </c>
      <c r="I36" s="103">
        <f>H36+H37+H38</f>
        <v>0</v>
      </c>
      <c r="J36" s="103">
        <f t="shared" ref="J36" si="17">I36</f>
        <v>0</v>
      </c>
      <c r="K36" s="103">
        <v>0</v>
      </c>
      <c r="L36" s="103">
        <v>0</v>
      </c>
      <c r="M36" s="103">
        <f>K36*L36/1000</f>
        <v>0</v>
      </c>
      <c r="N36" s="103">
        <v>0</v>
      </c>
      <c r="O36" s="103" t="e">
        <f>I36/M36*1.2/10</f>
        <v>#DIV/0!</v>
      </c>
      <c r="P36" s="21" t="s">
        <v>95</v>
      </c>
      <c r="Q36" s="90" t="e">
        <f t="shared" ref="Q36" si="18">(I36+I39)/(K36+K39)/AVERAGE(L36:L41)*1.2*100</f>
        <v>#DIV/0!</v>
      </c>
      <c r="R36" s="103">
        <v>0</v>
      </c>
      <c r="S36" s="103">
        <v>0</v>
      </c>
    </row>
    <row r="37" spans="2:19" ht="24" customHeight="1" x14ac:dyDescent="0.3">
      <c r="B37" s="102"/>
      <c r="C37" s="102"/>
      <c r="D37" s="30"/>
      <c r="E37" s="30"/>
      <c r="F37" s="30"/>
      <c r="G37" s="110"/>
      <c r="H37" s="31">
        <f t="shared" ref="H37:H38" si="19">F37*D37/100</f>
        <v>0</v>
      </c>
      <c r="I37" s="104"/>
      <c r="J37" s="104"/>
      <c r="K37" s="104"/>
      <c r="L37" s="104"/>
      <c r="M37" s="104"/>
      <c r="N37" s="104"/>
      <c r="O37" s="104"/>
      <c r="P37" s="21" t="s">
        <v>95</v>
      </c>
      <c r="Q37" s="91"/>
      <c r="R37" s="104"/>
      <c r="S37" s="104"/>
    </row>
    <row r="38" spans="2:19" ht="24" customHeight="1" x14ac:dyDescent="0.3">
      <c r="B38" s="102"/>
      <c r="C38" s="102"/>
      <c r="D38" s="30"/>
      <c r="E38" s="30"/>
      <c r="F38" s="30"/>
      <c r="G38" s="111"/>
      <c r="H38" s="31">
        <f t="shared" si="19"/>
        <v>0</v>
      </c>
      <c r="I38" s="105"/>
      <c r="J38" s="105"/>
      <c r="K38" s="105"/>
      <c r="L38" s="105"/>
      <c r="M38" s="105"/>
      <c r="N38" s="105"/>
      <c r="O38" s="105"/>
      <c r="P38" s="21" t="s">
        <v>96</v>
      </c>
      <c r="Q38" s="91"/>
      <c r="R38" s="104"/>
      <c r="S38" s="104"/>
    </row>
    <row r="39" spans="2:19" ht="24" customHeight="1" x14ac:dyDescent="0.3">
      <c r="B39" s="102"/>
      <c r="C39" s="102"/>
      <c r="D39" s="30"/>
      <c r="E39" s="30"/>
      <c r="F39" s="30"/>
      <c r="G39" s="109">
        <f>F39+F40+F41</f>
        <v>0</v>
      </c>
      <c r="H39" s="31">
        <f>F39*D39/100</f>
        <v>0</v>
      </c>
      <c r="I39" s="103">
        <f>H39+H40+H41</f>
        <v>0</v>
      </c>
      <c r="J39" s="103">
        <f>J36+I39</f>
        <v>0</v>
      </c>
      <c r="K39" s="103">
        <v>0</v>
      </c>
      <c r="L39" s="103">
        <v>0</v>
      </c>
      <c r="M39" s="103">
        <f>K39*L39/1000</f>
        <v>0</v>
      </c>
      <c r="N39" s="103">
        <f>M39+N36</f>
        <v>0</v>
      </c>
      <c r="O39" s="103" t="e">
        <f>I39/M39*1.2/10</f>
        <v>#DIV/0!</v>
      </c>
      <c r="P39" s="21" t="s">
        <v>95</v>
      </c>
      <c r="Q39" s="91"/>
      <c r="R39" s="104"/>
      <c r="S39" s="104"/>
    </row>
    <row r="40" spans="2:19" ht="24" customHeight="1" x14ac:dyDescent="0.3">
      <c r="B40" s="102"/>
      <c r="C40" s="102"/>
      <c r="D40" s="30"/>
      <c r="E40" s="30"/>
      <c r="F40" s="30"/>
      <c r="G40" s="110"/>
      <c r="H40" s="31">
        <f t="shared" ref="H40:H41" si="20">F40*D40/100</f>
        <v>0</v>
      </c>
      <c r="I40" s="104"/>
      <c r="J40" s="104"/>
      <c r="K40" s="104"/>
      <c r="L40" s="104"/>
      <c r="M40" s="104"/>
      <c r="N40" s="104"/>
      <c r="O40" s="104"/>
      <c r="P40" s="21" t="s">
        <v>95</v>
      </c>
      <c r="Q40" s="91"/>
      <c r="R40" s="104"/>
      <c r="S40" s="104"/>
    </row>
    <row r="41" spans="2:19" ht="24" customHeight="1" x14ac:dyDescent="0.3">
      <c r="B41" s="102"/>
      <c r="C41" s="112"/>
      <c r="D41" s="30"/>
      <c r="E41" s="30"/>
      <c r="F41" s="30"/>
      <c r="G41" s="111"/>
      <c r="H41" s="31">
        <f t="shared" si="20"/>
        <v>0</v>
      </c>
      <c r="I41" s="105"/>
      <c r="J41" s="105"/>
      <c r="K41" s="105"/>
      <c r="L41" s="105"/>
      <c r="M41" s="105"/>
      <c r="N41" s="105"/>
      <c r="O41" s="105"/>
      <c r="P41" s="21" t="s">
        <v>96</v>
      </c>
      <c r="Q41" s="92"/>
      <c r="R41" s="105"/>
      <c r="S41" s="105"/>
    </row>
    <row r="42" spans="2:19" ht="24" customHeight="1" x14ac:dyDescent="0.3">
      <c r="B42" s="113" t="s">
        <v>150</v>
      </c>
      <c r="C42" s="113" t="s">
        <v>68</v>
      </c>
      <c r="D42" s="27"/>
      <c r="E42" s="27"/>
      <c r="F42" s="27"/>
      <c r="G42" s="106">
        <f>F42+F43+F44</f>
        <v>0</v>
      </c>
      <c r="H42" s="28">
        <f>F42*D42/100</f>
        <v>0</v>
      </c>
      <c r="I42" s="93">
        <f>H42+H43+H44</f>
        <v>0</v>
      </c>
      <c r="J42" s="93">
        <f t="shared" ref="J42" si="21">I42</f>
        <v>0</v>
      </c>
      <c r="K42" s="93">
        <v>0</v>
      </c>
      <c r="L42" s="93">
        <v>0</v>
      </c>
      <c r="M42" s="93">
        <f>K42*L42/1000</f>
        <v>0</v>
      </c>
      <c r="N42" s="93">
        <v>0</v>
      </c>
      <c r="O42" s="93" t="e">
        <f>I42/M42*1.2/10</f>
        <v>#DIV/0!</v>
      </c>
      <c r="P42" s="29" t="s">
        <v>95</v>
      </c>
      <c r="Q42" s="90" t="e">
        <f>(I42+I45)/(K42+K45)/AVERAGE(L42:L47)*1.2*100</f>
        <v>#DIV/0!</v>
      </c>
      <c r="R42" s="93">
        <v>0</v>
      </c>
      <c r="S42" s="93">
        <v>0</v>
      </c>
    </row>
    <row r="43" spans="2:19" ht="24" customHeight="1" x14ac:dyDescent="0.3">
      <c r="B43" s="114"/>
      <c r="C43" s="114"/>
      <c r="D43" s="27"/>
      <c r="E43" s="27"/>
      <c r="F43" s="27"/>
      <c r="G43" s="107"/>
      <c r="H43" s="28">
        <f t="shared" ref="H43:H44" si="22">F43*D43/100</f>
        <v>0</v>
      </c>
      <c r="I43" s="94"/>
      <c r="J43" s="94"/>
      <c r="K43" s="94"/>
      <c r="L43" s="94"/>
      <c r="M43" s="94"/>
      <c r="N43" s="94"/>
      <c r="O43" s="94"/>
      <c r="P43" s="29" t="s">
        <v>95</v>
      </c>
      <c r="Q43" s="91"/>
      <c r="R43" s="94"/>
      <c r="S43" s="94"/>
    </row>
    <row r="44" spans="2:19" ht="24" customHeight="1" x14ac:dyDescent="0.3">
      <c r="B44" s="114"/>
      <c r="C44" s="114"/>
      <c r="D44" s="27"/>
      <c r="E44" s="27"/>
      <c r="F44" s="27"/>
      <c r="G44" s="108"/>
      <c r="H44" s="28">
        <f t="shared" si="22"/>
        <v>0</v>
      </c>
      <c r="I44" s="95"/>
      <c r="J44" s="95"/>
      <c r="K44" s="95"/>
      <c r="L44" s="95"/>
      <c r="M44" s="95"/>
      <c r="N44" s="95"/>
      <c r="O44" s="95"/>
      <c r="P44" s="29" t="s">
        <v>96</v>
      </c>
      <c r="Q44" s="91"/>
      <c r="R44" s="94"/>
      <c r="S44" s="94"/>
    </row>
    <row r="45" spans="2:19" ht="24" customHeight="1" x14ac:dyDescent="0.3">
      <c r="B45" s="114"/>
      <c r="C45" s="114"/>
      <c r="D45" s="27"/>
      <c r="E45" s="27"/>
      <c r="F45" s="27"/>
      <c r="G45" s="106">
        <f>F45+F46+F47</f>
        <v>0</v>
      </c>
      <c r="H45" s="28">
        <f>F45*D45/100</f>
        <v>0</v>
      </c>
      <c r="I45" s="93">
        <f>H45+H46+H47</f>
        <v>0</v>
      </c>
      <c r="J45" s="93">
        <f>J42+I45</f>
        <v>0</v>
      </c>
      <c r="K45" s="93">
        <v>0</v>
      </c>
      <c r="L45" s="93">
        <v>0</v>
      </c>
      <c r="M45" s="93">
        <f>K45*L45/1000</f>
        <v>0</v>
      </c>
      <c r="N45" s="93">
        <f>M45+N42</f>
        <v>0</v>
      </c>
      <c r="O45" s="93" t="e">
        <f>I45/M45*1.2/10</f>
        <v>#DIV/0!</v>
      </c>
      <c r="P45" s="29" t="s">
        <v>95</v>
      </c>
      <c r="Q45" s="91"/>
      <c r="R45" s="94"/>
      <c r="S45" s="94"/>
    </row>
    <row r="46" spans="2:19" ht="24" customHeight="1" x14ac:dyDescent="0.3">
      <c r="B46" s="114"/>
      <c r="C46" s="114"/>
      <c r="D46" s="27"/>
      <c r="E46" s="27"/>
      <c r="F46" s="27"/>
      <c r="G46" s="107"/>
      <c r="H46" s="28">
        <f t="shared" ref="H46:H47" si="23">F46*D46/100</f>
        <v>0</v>
      </c>
      <c r="I46" s="94"/>
      <c r="J46" s="94"/>
      <c r="K46" s="94"/>
      <c r="L46" s="94"/>
      <c r="M46" s="94"/>
      <c r="N46" s="94"/>
      <c r="O46" s="94"/>
      <c r="P46" s="29" t="s">
        <v>95</v>
      </c>
      <c r="Q46" s="91"/>
      <c r="R46" s="94"/>
      <c r="S46" s="94"/>
    </row>
    <row r="47" spans="2:19" ht="24" customHeight="1" x14ac:dyDescent="0.3">
      <c r="B47" s="114"/>
      <c r="C47" s="115"/>
      <c r="D47" s="27"/>
      <c r="E47" s="27"/>
      <c r="F47" s="27"/>
      <c r="G47" s="108"/>
      <c r="H47" s="28">
        <f t="shared" si="23"/>
        <v>0</v>
      </c>
      <c r="I47" s="95"/>
      <c r="J47" s="95"/>
      <c r="K47" s="95"/>
      <c r="L47" s="95"/>
      <c r="M47" s="95"/>
      <c r="N47" s="95"/>
      <c r="O47" s="95"/>
      <c r="P47" s="29" t="s">
        <v>96</v>
      </c>
      <c r="Q47" s="92"/>
      <c r="R47" s="95"/>
      <c r="S47" s="95"/>
    </row>
    <row r="48" spans="2:19" ht="24" customHeight="1" x14ac:dyDescent="0.3">
      <c r="B48" s="64" t="s">
        <v>14</v>
      </c>
      <c r="C48" s="96" t="s">
        <v>73</v>
      </c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8"/>
    </row>
    <row r="49" spans="2:19" ht="24" customHeight="1" x14ac:dyDescent="0.3">
      <c r="B49" s="64"/>
      <c r="C49" s="99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1"/>
    </row>
  </sheetData>
  <sheetCalcPr fullCalcOnLoad="1"/>
  <mergeCells count="152">
    <mergeCell ref="O6:O8"/>
    <mergeCell ref="Q6:Q11"/>
    <mergeCell ref="M9:M11"/>
    <mergeCell ref="N9:N11"/>
    <mergeCell ref="B42:B47"/>
    <mergeCell ref="C42:C47"/>
    <mergeCell ref="G42:G44"/>
    <mergeCell ref="B2:S2"/>
    <mergeCell ref="B3:S3"/>
    <mergeCell ref="R6:R11"/>
    <mergeCell ref="R12:R17"/>
    <mergeCell ref="R18:R23"/>
    <mergeCell ref="R24:R29"/>
    <mergeCell ref="R30:R35"/>
    <mergeCell ref="R36:R41"/>
    <mergeCell ref="R42:R47"/>
    <mergeCell ref="S6:S11"/>
    <mergeCell ref="S12:S17"/>
    <mergeCell ref="S18:S23"/>
    <mergeCell ref="S24:S29"/>
    <mergeCell ref="S30:S35"/>
    <mergeCell ref="S36:S41"/>
    <mergeCell ref="S42:S47"/>
    <mergeCell ref="B4:B5"/>
    <mergeCell ref="M6:M8"/>
    <mergeCell ref="N6:N8"/>
    <mergeCell ref="O9:O11"/>
    <mergeCell ref="B6:B11"/>
    <mergeCell ref="B12:B17"/>
    <mergeCell ref="C12:C17"/>
    <mergeCell ref="G12:G14"/>
    <mergeCell ref="I12:I14"/>
    <mergeCell ref="J12:J14"/>
    <mergeCell ref="K12:K14"/>
    <mergeCell ref="G9:G11"/>
    <mergeCell ref="I9:I11"/>
    <mergeCell ref="J9:J11"/>
    <mergeCell ref="K9:K11"/>
    <mergeCell ref="L15:L17"/>
    <mergeCell ref="L12:L14"/>
    <mergeCell ref="M12:M14"/>
    <mergeCell ref="N12:N14"/>
    <mergeCell ref="O12:O14"/>
    <mergeCell ref="G6:G8"/>
    <mergeCell ref="I6:I8"/>
    <mergeCell ref="J6:J8"/>
    <mergeCell ref="K6:K8"/>
    <mergeCell ref="L6:L8"/>
    <mergeCell ref="C6:C11"/>
    <mergeCell ref="L9:L11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M18:M20"/>
    <mergeCell ref="N18:N20"/>
    <mergeCell ref="O18:O20"/>
    <mergeCell ref="B30:B35"/>
    <mergeCell ref="I30:I32"/>
    <mergeCell ref="C30:C35"/>
    <mergeCell ref="G30:G32"/>
    <mergeCell ref="B24:B29"/>
    <mergeCell ref="C24:C29"/>
    <mergeCell ref="Q30:Q35"/>
    <mergeCell ref="J30:J32"/>
    <mergeCell ref="K30:K32"/>
    <mergeCell ref="L30:L32"/>
    <mergeCell ref="M30:M32"/>
    <mergeCell ref="N30:N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M36:M38"/>
    <mergeCell ref="N36:N38"/>
    <mergeCell ref="O42:O44"/>
    <mergeCell ref="I42:I44"/>
    <mergeCell ref="N24:N26"/>
    <mergeCell ref="O24:O26"/>
    <mergeCell ref="G24:G26"/>
    <mergeCell ref="I24:I26"/>
    <mergeCell ref="J24:J26"/>
    <mergeCell ref="O30:O32"/>
    <mergeCell ref="G33:G35"/>
    <mergeCell ref="O33:O35"/>
    <mergeCell ref="I33:I35"/>
    <mergeCell ref="J33:J35"/>
    <mergeCell ref="K33:K35"/>
    <mergeCell ref="J42:J44"/>
    <mergeCell ref="Q36:Q41"/>
    <mergeCell ref="B48:B49"/>
    <mergeCell ref="L33:L35"/>
    <mergeCell ref="M33:M35"/>
    <mergeCell ref="N33:N35"/>
    <mergeCell ref="C48:S49"/>
    <mergeCell ref="B36:B41"/>
    <mergeCell ref="I36:I38"/>
    <mergeCell ref="J36:J38"/>
    <mergeCell ref="K36:K38"/>
    <mergeCell ref="L36:L38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B2:I26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</cols>
  <sheetData>
    <row r="2" spans="2:8" ht="24" customHeight="1" x14ac:dyDescent="0.3">
      <c r="B2" s="87" t="s">
        <v>86</v>
      </c>
      <c r="C2" s="88"/>
      <c r="D2" s="88"/>
      <c r="E2" s="88"/>
      <c r="F2" s="88"/>
      <c r="G2" s="88"/>
      <c r="H2" s="88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4"/>
    </row>
    <row r="4" spans="2:8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53</v>
      </c>
    </row>
    <row r="5" spans="2:8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</row>
    <row r="6" spans="2:8" ht="24" customHeight="1" x14ac:dyDescent="0.3">
      <c r="B6" s="22" t="s">
        <v>143</v>
      </c>
      <c r="C6" s="22" t="s">
        <v>132</v>
      </c>
      <c r="D6" s="23"/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/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/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/>
      <c r="E11" s="24"/>
      <c r="F11" s="24"/>
      <c r="G11" s="24"/>
      <c r="H11" s="24"/>
    </row>
    <row r="12" spans="2:8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</row>
    <row r="13" spans="2:8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</row>
    <row r="14" spans="2:8" ht="24" customHeight="1" x14ac:dyDescent="0.3">
      <c r="B14" s="64"/>
      <c r="C14" s="64"/>
      <c r="D14" s="64"/>
      <c r="E14" s="64"/>
      <c r="F14" s="64"/>
      <c r="G14" s="64"/>
      <c r="H14" s="64"/>
    </row>
    <row r="19" s="20" customFormat="1" ht="24" customHeight="1" x14ac:dyDescent="0.3"/>
    <row r="26" s="20" customFormat="1" ht="24" customHeight="1" x14ac:dyDescent="0.3"/>
  </sheetData>
  <sheetCalcPr fullCalcOnLoad="1"/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2:Q15"/>
  <sheetViews>
    <sheetView zoomScaleNormal="100" workbookViewId="0">
      <selection activeCell="B5" sqref="B5:B6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6" width="12.4140625" style="20" customWidth="1"/>
  </cols>
  <sheetData>
    <row r="2" spans="2:16" ht="24" customHeight="1" x14ac:dyDescent="0.3">
      <c r="B2" s="117" t="s">
        <v>115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2:16" ht="24" customHeight="1" x14ac:dyDescent="0.3">
      <c r="B3" s="120" t="s">
        <v>144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</row>
    <row r="4" spans="2:16" ht="24" customHeight="1" x14ac:dyDescent="0.3">
      <c r="B4" s="34"/>
      <c r="C4" s="34"/>
      <c r="D4" s="116" t="s">
        <v>88</v>
      </c>
      <c r="E4" s="116"/>
      <c r="F4" s="116"/>
      <c r="G4" s="116"/>
      <c r="H4" s="116"/>
      <c r="I4" s="116"/>
      <c r="J4" s="116" t="s">
        <v>88</v>
      </c>
      <c r="K4" s="116"/>
      <c r="L4" s="116"/>
      <c r="M4" s="116"/>
      <c r="N4" s="116"/>
      <c r="O4" s="116"/>
      <c r="P4" s="116" t="s">
        <v>89</v>
      </c>
    </row>
    <row r="5" spans="2:16" ht="24" customHeight="1" x14ac:dyDescent="0.3">
      <c r="B5" s="116" t="s">
        <v>19</v>
      </c>
      <c r="C5" s="34" t="s">
        <v>3</v>
      </c>
      <c r="D5" s="116" t="s">
        <v>4</v>
      </c>
      <c r="E5" s="116"/>
      <c r="F5" s="116" t="s">
        <v>38</v>
      </c>
      <c r="G5" s="116"/>
      <c r="H5" s="34" t="s">
        <v>87</v>
      </c>
      <c r="I5" s="34" t="s">
        <v>18</v>
      </c>
      <c r="J5" s="116" t="s">
        <v>4</v>
      </c>
      <c r="K5" s="116"/>
      <c r="L5" s="116" t="s">
        <v>38</v>
      </c>
      <c r="M5" s="116"/>
      <c r="N5" s="34" t="s">
        <v>87</v>
      </c>
      <c r="O5" s="34" t="s">
        <v>18</v>
      </c>
      <c r="P5" s="116"/>
    </row>
    <row r="6" spans="2:16" ht="24" customHeight="1" x14ac:dyDescent="0.3">
      <c r="B6" s="116"/>
      <c r="C6" s="34" t="s">
        <v>8</v>
      </c>
      <c r="D6" s="35" t="s">
        <v>77</v>
      </c>
      <c r="E6" s="35" t="s">
        <v>78</v>
      </c>
      <c r="F6" s="34" t="s">
        <v>13</v>
      </c>
      <c r="G6" s="34" t="s">
        <v>15</v>
      </c>
      <c r="H6" s="34" t="s">
        <v>76</v>
      </c>
      <c r="I6" s="34" t="s">
        <v>13</v>
      </c>
      <c r="J6" s="35" t="s">
        <v>77</v>
      </c>
      <c r="K6" s="35" t="s">
        <v>78</v>
      </c>
      <c r="L6" s="34" t="s">
        <v>13</v>
      </c>
      <c r="M6" s="34" t="s">
        <v>15</v>
      </c>
      <c r="N6" s="34" t="s">
        <v>76</v>
      </c>
      <c r="O6" s="34" t="s">
        <v>13</v>
      </c>
      <c r="P6" s="34" t="s">
        <v>24</v>
      </c>
    </row>
    <row r="7" spans="2:16" ht="24" customHeight="1" x14ac:dyDescent="0.3">
      <c r="B7" s="36" t="s">
        <v>143</v>
      </c>
      <c r="C7" s="22" t="s">
        <v>132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2:16" ht="24" customHeight="1" x14ac:dyDescent="0.3">
      <c r="B8" s="34" t="s">
        <v>145</v>
      </c>
      <c r="C8" s="5" t="s">
        <v>133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</row>
    <row r="9" spans="2:16" ht="24" customHeight="1" x14ac:dyDescent="0.3">
      <c r="B9" s="36" t="s">
        <v>146</v>
      </c>
      <c r="C9" s="22" t="s">
        <v>71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2:16" ht="24" customHeight="1" x14ac:dyDescent="0.3">
      <c r="B10" s="34" t="s">
        <v>147</v>
      </c>
      <c r="C10" s="5" t="s">
        <v>72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2:16" ht="24" customHeight="1" x14ac:dyDescent="0.3">
      <c r="B11" s="36" t="s">
        <v>148</v>
      </c>
      <c r="C11" s="22" t="s">
        <v>123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2:16" ht="24" customHeight="1" x14ac:dyDescent="0.3">
      <c r="B12" s="34" t="s">
        <v>149</v>
      </c>
      <c r="C12" s="5" t="s">
        <v>67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2:16" ht="24" customHeight="1" x14ac:dyDescent="0.3">
      <c r="B13" s="36" t="s">
        <v>150</v>
      </c>
      <c r="C13" s="22" t="s">
        <v>68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2:16" ht="24" customHeight="1" x14ac:dyDescent="0.3">
      <c r="B14" s="116" t="s">
        <v>14</v>
      </c>
      <c r="C14" s="123" t="s">
        <v>73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5"/>
    </row>
    <row r="15" spans="2:16" ht="24" customHeight="1" x14ac:dyDescent="0.3">
      <c r="B15" s="116"/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8"/>
    </row>
  </sheetData>
  <mergeCells count="12">
    <mergeCell ref="P4:P5"/>
    <mergeCell ref="B2:P2"/>
    <mergeCell ref="B3:P3"/>
    <mergeCell ref="C14:P1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7"/>
  <dimension ref="B2:G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</cols>
  <sheetData>
    <row r="2" spans="2:6" ht="24" customHeight="1" x14ac:dyDescent="0.3">
      <c r="B2" s="86" t="s">
        <v>86</v>
      </c>
      <c r="C2" s="86"/>
      <c r="D2" s="86"/>
      <c r="E2" s="86"/>
      <c r="F2" s="86"/>
    </row>
    <row r="3" spans="2:6" ht="24" customHeight="1" x14ac:dyDescent="0.3">
      <c r="B3" s="64" t="s">
        <v>144</v>
      </c>
      <c r="C3" s="64"/>
      <c r="D3" s="64"/>
      <c r="E3" s="64"/>
      <c r="F3" s="64"/>
    </row>
    <row r="4" spans="2:6" ht="24" customHeight="1" x14ac:dyDescent="0.3">
      <c r="B4" s="64" t="s">
        <v>19</v>
      </c>
      <c r="C4" s="5" t="s">
        <v>3</v>
      </c>
      <c r="D4" s="25" t="s">
        <v>92</v>
      </c>
      <c r="E4" s="25" t="s">
        <v>93</v>
      </c>
      <c r="F4" s="25" t="s">
        <v>105</v>
      </c>
    </row>
    <row r="5" spans="2:6" ht="24" customHeight="1" x14ac:dyDescent="0.3">
      <c r="B5" s="64"/>
      <c r="C5" s="5" t="s">
        <v>8</v>
      </c>
      <c r="D5" s="25" t="s">
        <v>90</v>
      </c>
      <c r="E5" s="25" t="s">
        <v>90</v>
      </c>
      <c r="F5" s="25" t="s">
        <v>91</v>
      </c>
    </row>
    <row r="6" spans="2:6" ht="24" customHeight="1" x14ac:dyDescent="0.3">
      <c r="B6" s="22" t="s">
        <v>143</v>
      </c>
      <c r="C6" s="22" t="s">
        <v>132</v>
      </c>
      <c r="D6" s="23"/>
      <c r="E6" s="23"/>
      <c r="F6" s="23"/>
    </row>
    <row r="7" spans="2:6" ht="24" customHeight="1" x14ac:dyDescent="0.3">
      <c r="B7" s="5" t="s">
        <v>145</v>
      </c>
      <c r="C7" s="5" t="s">
        <v>133</v>
      </c>
      <c r="D7" s="24"/>
      <c r="E7" s="24"/>
      <c r="F7" s="24"/>
    </row>
    <row r="8" spans="2:6" ht="24" customHeight="1" x14ac:dyDescent="0.3">
      <c r="B8" s="22" t="s">
        <v>146</v>
      </c>
      <c r="C8" s="22" t="s">
        <v>71</v>
      </c>
      <c r="D8" s="23"/>
      <c r="E8" s="23"/>
      <c r="F8" s="23"/>
    </row>
    <row r="9" spans="2:6" ht="24" customHeight="1" x14ac:dyDescent="0.3">
      <c r="B9" s="5" t="s">
        <v>147</v>
      </c>
      <c r="C9" s="5" t="s">
        <v>72</v>
      </c>
      <c r="D9" s="24"/>
      <c r="E9" s="24"/>
      <c r="F9" s="24"/>
    </row>
    <row r="10" spans="2:6" ht="24" customHeight="1" x14ac:dyDescent="0.3">
      <c r="B10" s="22" t="s">
        <v>148</v>
      </c>
      <c r="C10" s="22" t="s">
        <v>123</v>
      </c>
      <c r="D10" s="23"/>
      <c r="E10" s="23"/>
      <c r="F10" s="23"/>
    </row>
    <row r="11" spans="2:6" ht="24" customHeight="1" x14ac:dyDescent="0.3">
      <c r="B11" s="5" t="s">
        <v>149</v>
      </c>
      <c r="C11" s="5" t="s">
        <v>67</v>
      </c>
      <c r="D11" s="24"/>
      <c r="E11" s="24"/>
      <c r="F11" s="24"/>
    </row>
    <row r="12" spans="2:6" ht="24" customHeight="1" x14ac:dyDescent="0.3">
      <c r="B12" s="22" t="s">
        <v>150</v>
      </c>
      <c r="C12" s="22" t="s">
        <v>68</v>
      </c>
      <c r="D12" s="23"/>
      <c r="E12" s="23"/>
      <c r="F12" s="23"/>
    </row>
    <row r="13" spans="2:6" ht="24" customHeight="1" x14ac:dyDescent="0.3">
      <c r="B13" s="64" t="s">
        <v>14</v>
      </c>
      <c r="C13" s="64" t="s">
        <v>73</v>
      </c>
      <c r="D13" s="64"/>
      <c r="E13" s="64"/>
      <c r="F13" s="64"/>
    </row>
    <row r="14" spans="2:6" ht="24" customHeight="1" x14ac:dyDescent="0.3">
      <c r="B14" s="64"/>
      <c r="C14" s="64"/>
      <c r="D14" s="64"/>
      <c r="E14" s="64"/>
      <c r="F14" s="64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8"/>
  <dimension ref="B2:K15"/>
  <sheetViews>
    <sheetView workbookViewId="0">
      <selection activeCell="B5" sqref="B5:B6"/>
    </sheetView>
  </sheetViews>
  <sheetFormatPr defaultRowHeight="18" customHeight="1" x14ac:dyDescent="0.3"/>
  <cols>
    <col min="2" max="2" width="9.83203125" customWidth="1"/>
  </cols>
  <sheetData>
    <row r="2" spans="2:10" ht="18" customHeight="1" x14ac:dyDescent="0.3">
      <c r="B2" s="86" t="s">
        <v>116</v>
      </c>
      <c r="C2" s="86"/>
      <c r="D2" s="86"/>
      <c r="E2" s="86"/>
      <c r="F2" s="86"/>
      <c r="G2" s="86"/>
      <c r="H2" s="86"/>
      <c r="I2" s="86"/>
      <c r="J2" s="86"/>
    </row>
    <row r="3" spans="2:10" ht="18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</row>
    <row r="4" spans="2:10" ht="18" customHeight="1" x14ac:dyDescent="0.3">
      <c r="B4" s="5"/>
      <c r="C4" s="64" t="s">
        <v>122</v>
      </c>
      <c r="D4" s="64"/>
      <c r="E4" s="64"/>
      <c r="F4" s="64"/>
      <c r="G4" s="64"/>
      <c r="H4" s="64"/>
      <c r="I4" s="64"/>
      <c r="J4" s="64"/>
    </row>
    <row r="5" spans="2:10" ht="18" customHeight="1" x14ac:dyDescent="0.3">
      <c r="B5" s="64" t="s">
        <v>19</v>
      </c>
      <c r="C5" s="5" t="s">
        <v>3</v>
      </c>
      <c r="D5" s="5" t="s">
        <v>117</v>
      </c>
      <c r="E5" s="5" t="s">
        <v>53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52</v>
      </c>
    </row>
    <row r="6" spans="2:10" ht="18" customHeight="1" x14ac:dyDescent="0.3">
      <c r="B6" s="64"/>
      <c r="C6" s="5" t="s">
        <v>8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</row>
    <row r="7" spans="2:10" ht="18" customHeight="1" x14ac:dyDescent="0.3">
      <c r="B7" s="22" t="s">
        <v>143</v>
      </c>
      <c r="C7" s="22" t="s">
        <v>132</v>
      </c>
      <c r="D7" s="23"/>
      <c r="E7" s="23"/>
      <c r="F7" s="23"/>
      <c r="G7" s="23"/>
      <c r="H7" s="23"/>
      <c r="I7" s="23"/>
      <c r="J7" s="23"/>
    </row>
    <row r="8" spans="2:10" ht="18" customHeight="1" x14ac:dyDescent="0.3">
      <c r="B8" s="5" t="s">
        <v>145</v>
      </c>
      <c r="C8" s="5" t="s">
        <v>133</v>
      </c>
      <c r="D8" s="24"/>
      <c r="E8" s="24"/>
      <c r="F8" s="24"/>
      <c r="G8" s="24"/>
      <c r="H8" s="24"/>
      <c r="I8" s="24"/>
      <c r="J8" s="24"/>
    </row>
    <row r="9" spans="2:10" ht="18" customHeight="1" x14ac:dyDescent="0.3">
      <c r="B9" s="22" t="s">
        <v>146</v>
      </c>
      <c r="C9" s="22" t="s">
        <v>71</v>
      </c>
      <c r="D9" s="23"/>
      <c r="E9" s="23"/>
      <c r="F9" s="23"/>
      <c r="G9" s="23"/>
      <c r="H9" s="23"/>
      <c r="I9" s="23"/>
      <c r="J9" s="23"/>
    </row>
    <row r="10" spans="2:10" ht="18" customHeight="1" x14ac:dyDescent="0.3">
      <c r="B10" s="5" t="s">
        <v>147</v>
      </c>
      <c r="C10" s="5" t="s">
        <v>72</v>
      </c>
      <c r="D10" s="24"/>
      <c r="E10" s="24"/>
      <c r="F10" s="24"/>
      <c r="G10" s="24"/>
      <c r="H10" s="24"/>
      <c r="I10" s="24"/>
      <c r="J10" s="24"/>
    </row>
    <row r="11" spans="2:10" ht="18" customHeight="1" x14ac:dyDescent="0.3">
      <c r="B11" s="22" t="s">
        <v>148</v>
      </c>
      <c r="C11" s="22" t="s">
        <v>123</v>
      </c>
      <c r="D11" s="23"/>
      <c r="E11" s="23"/>
      <c r="F11" s="23"/>
      <c r="G11" s="23"/>
      <c r="H11" s="23"/>
      <c r="I11" s="23"/>
      <c r="J11" s="23"/>
    </row>
    <row r="12" spans="2:10" ht="18" customHeight="1" x14ac:dyDescent="0.3">
      <c r="B12" s="5" t="s">
        <v>149</v>
      </c>
      <c r="C12" s="5" t="s">
        <v>67</v>
      </c>
      <c r="D12" s="24"/>
      <c r="E12" s="24"/>
      <c r="F12" s="24"/>
      <c r="G12" s="24"/>
      <c r="H12" s="24"/>
      <c r="I12" s="24"/>
      <c r="J12" s="24"/>
    </row>
    <row r="13" spans="2:10" ht="18" customHeight="1" x14ac:dyDescent="0.3">
      <c r="B13" s="22" t="s">
        <v>150</v>
      </c>
      <c r="C13" s="22" t="s">
        <v>68</v>
      </c>
      <c r="D13" s="23"/>
      <c r="E13" s="23"/>
      <c r="F13" s="23"/>
      <c r="G13" s="23"/>
      <c r="H13" s="23"/>
      <c r="I13" s="23"/>
      <c r="J13" s="23"/>
    </row>
    <row r="14" spans="2:10" ht="18" customHeight="1" x14ac:dyDescent="0.3">
      <c r="B14" s="64" t="s">
        <v>14</v>
      </c>
      <c r="C14" s="129" t="s">
        <v>73</v>
      </c>
      <c r="D14" s="129"/>
      <c r="E14" s="129"/>
      <c r="F14" s="129"/>
      <c r="G14" s="129"/>
      <c r="H14" s="129"/>
      <c r="I14" s="129"/>
      <c r="J14" s="129"/>
    </row>
    <row r="15" spans="2:10" ht="18" customHeight="1" x14ac:dyDescent="0.3">
      <c r="B15" s="64"/>
      <c r="C15" s="129"/>
      <c r="D15" s="129"/>
      <c r="E15" s="129"/>
      <c r="F15" s="129"/>
      <c r="G15" s="129"/>
      <c r="H15" s="129"/>
      <c r="I15" s="129"/>
      <c r="J15" s="129"/>
    </row>
  </sheetData>
  <mergeCells count="6">
    <mergeCell ref="B14:B15"/>
    <mergeCell ref="C14:J15"/>
    <mergeCell ref="C4:J4"/>
    <mergeCell ref="B2:J2"/>
    <mergeCell ref="B3:J3"/>
    <mergeCell ref="B5:B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9"/>
  <dimension ref="A1:E550"/>
  <sheetViews>
    <sheetView view="pageBreakPreview" topLeftCell="A292" zoomScale="70" zoomScaleNormal="55" zoomScaleSheetLayoutView="70" workbookViewId="0">
      <selection activeCell="A301" sqref="A301:A350"/>
    </sheetView>
  </sheetViews>
  <sheetFormatPr defaultRowHeight="13.5" customHeight="1" x14ac:dyDescent="0.35"/>
  <cols>
    <col min="1" max="1" width="12.1640625" style="40" customWidth="1"/>
    <col min="2" max="2" width="3.08203125" customWidth="1"/>
    <col min="3" max="3" width="10.58203125" customWidth="1"/>
    <col min="4" max="4" width="10.58203125" style="41" customWidth="1"/>
    <col min="5" max="5" width="2.9140625" customWidth="1"/>
  </cols>
  <sheetData>
    <row r="1" spans="1:4" ht="13.5" customHeight="1" x14ac:dyDescent="0.3">
      <c r="A1" s="132" t="s">
        <v>125</v>
      </c>
    </row>
    <row r="2" spans="1:4" ht="13.5" customHeight="1" x14ac:dyDescent="0.3">
      <c r="A2" s="132"/>
      <c r="C2" s="130" t="s">
        <v>151</v>
      </c>
      <c r="D2" s="131"/>
    </row>
    <row r="3" spans="1:4" ht="13.5" customHeight="1" x14ac:dyDescent="0.3">
      <c r="A3" s="132"/>
      <c r="C3" s="42" t="s">
        <v>126</v>
      </c>
      <c r="D3" s="43" t="s">
        <v>127</v>
      </c>
    </row>
    <row r="4" spans="1:4" ht="13.5" customHeight="1" x14ac:dyDescent="0.3">
      <c r="A4" s="132"/>
      <c r="C4" s="44" t="s">
        <v>131</v>
      </c>
      <c r="D4" s="45">
        <v>0</v>
      </c>
    </row>
    <row r="5" spans="1:4" ht="13.5" customHeight="1" x14ac:dyDescent="0.3">
      <c r="A5" s="132"/>
      <c r="C5" s="46" t="s">
        <v>133</v>
      </c>
      <c r="D5" s="47">
        <v>0</v>
      </c>
    </row>
    <row r="6" spans="1:4" ht="13.5" customHeight="1" x14ac:dyDescent="0.3">
      <c r="A6" s="132"/>
      <c r="C6" s="44" t="s">
        <v>71</v>
      </c>
      <c r="D6" s="45">
        <v>0</v>
      </c>
    </row>
    <row r="7" spans="1:4" ht="13.5" customHeight="1" x14ac:dyDescent="0.3">
      <c r="A7" s="132"/>
      <c r="C7" s="46" t="s">
        <v>72</v>
      </c>
      <c r="D7" s="47">
        <v>0</v>
      </c>
    </row>
    <row r="8" spans="1:4" ht="13.5" customHeight="1" x14ac:dyDescent="0.3">
      <c r="A8" s="132"/>
      <c r="C8" s="44" t="s">
        <v>123</v>
      </c>
      <c r="D8" s="45">
        <v>0</v>
      </c>
    </row>
    <row r="9" spans="1:4" ht="13.5" customHeight="1" x14ac:dyDescent="0.3">
      <c r="A9" s="132"/>
      <c r="C9" s="46" t="s">
        <v>67</v>
      </c>
      <c r="D9" s="47">
        <v>0</v>
      </c>
    </row>
    <row r="10" spans="1:4" ht="13.5" customHeight="1" x14ac:dyDescent="0.3">
      <c r="A10" s="132"/>
      <c r="C10" s="44" t="s">
        <v>68</v>
      </c>
      <c r="D10" s="45">
        <v>0</v>
      </c>
    </row>
    <row r="11" spans="1:4" ht="13.5" customHeight="1" x14ac:dyDescent="0.3">
      <c r="A11" s="132"/>
    </row>
    <row r="12" spans="1:4" ht="13.5" customHeight="1" x14ac:dyDescent="0.3">
      <c r="A12" s="132"/>
    </row>
    <row r="13" spans="1:4" ht="13.5" customHeight="1" x14ac:dyDescent="0.3">
      <c r="A13" s="132"/>
    </row>
    <row r="14" spans="1:4" ht="13.5" customHeight="1" x14ac:dyDescent="0.3">
      <c r="A14" s="132"/>
    </row>
    <row r="15" spans="1:4" ht="13.5" customHeight="1" x14ac:dyDescent="0.3">
      <c r="A15" s="132"/>
    </row>
    <row r="16" spans="1:4" ht="13.5" customHeight="1" x14ac:dyDescent="0.3">
      <c r="A16" s="132"/>
    </row>
    <row r="17" spans="1:4" ht="13.5" customHeight="1" x14ac:dyDescent="0.3">
      <c r="A17" s="132"/>
    </row>
    <row r="18" spans="1:4" ht="13.5" customHeight="1" x14ac:dyDescent="0.35">
      <c r="A18" s="132"/>
      <c r="D18" s="48"/>
    </row>
    <row r="19" spans="1:4" ht="13.5" customHeight="1" x14ac:dyDescent="0.3">
      <c r="A19" s="132"/>
    </row>
    <row r="20" spans="1:4" ht="13.5" customHeight="1" x14ac:dyDescent="0.3">
      <c r="A20" s="132"/>
    </row>
    <row r="21" spans="1:4" ht="13.5" customHeight="1" x14ac:dyDescent="0.3">
      <c r="A21" s="132"/>
    </row>
    <row r="22" spans="1:4" ht="13.5" customHeight="1" x14ac:dyDescent="0.3">
      <c r="A22" s="132"/>
    </row>
    <row r="23" spans="1:4" ht="13.5" customHeight="1" x14ac:dyDescent="0.3">
      <c r="A23" s="132"/>
    </row>
    <row r="24" spans="1:4" ht="13.5" customHeight="1" x14ac:dyDescent="0.3">
      <c r="A24" s="132"/>
    </row>
    <row r="25" spans="1:4" ht="13.5" customHeight="1" x14ac:dyDescent="0.3">
      <c r="A25" s="132"/>
    </row>
    <row r="26" spans="1:4" ht="13.5" customHeight="1" x14ac:dyDescent="0.3">
      <c r="A26" s="132"/>
    </row>
    <row r="27" spans="1:4" ht="13.5" customHeight="1" x14ac:dyDescent="0.3">
      <c r="A27" s="132"/>
    </row>
    <row r="28" spans="1:4" ht="13.5" customHeight="1" x14ac:dyDescent="0.3">
      <c r="A28" s="132"/>
    </row>
    <row r="29" spans="1:4" ht="13.5" customHeight="1" x14ac:dyDescent="0.3">
      <c r="A29" s="132"/>
    </row>
    <row r="30" spans="1:4" ht="13.5" customHeight="1" x14ac:dyDescent="0.3">
      <c r="A30" s="132"/>
    </row>
    <row r="31" spans="1:4" ht="13.5" customHeight="1" x14ac:dyDescent="0.3">
      <c r="A31" s="132"/>
    </row>
    <row r="32" spans="1:4" ht="13.5" customHeight="1" x14ac:dyDescent="0.3">
      <c r="A32" s="132"/>
    </row>
    <row r="33" spans="1:1" ht="13.5" customHeight="1" x14ac:dyDescent="0.3">
      <c r="A33" s="132"/>
    </row>
    <row r="34" spans="1:1" ht="13.5" customHeight="1" x14ac:dyDescent="0.3">
      <c r="A34" s="132"/>
    </row>
    <row r="35" spans="1:1" ht="13.5" customHeight="1" x14ac:dyDescent="0.3">
      <c r="A35" s="132"/>
    </row>
    <row r="36" spans="1:1" ht="13.5" customHeight="1" x14ac:dyDescent="0.3">
      <c r="A36" s="132"/>
    </row>
    <row r="37" spans="1:1" ht="13.5" customHeight="1" x14ac:dyDescent="0.3">
      <c r="A37" s="132"/>
    </row>
    <row r="38" spans="1:1" ht="13.5" customHeight="1" x14ac:dyDescent="0.3">
      <c r="A38" s="132"/>
    </row>
    <row r="39" spans="1:1" ht="13.5" customHeight="1" x14ac:dyDescent="0.3">
      <c r="A39" s="132"/>
    </row>
    <row r="40" spans="1:1" ht="13.5" customHeight="1" x14ac:dyDescent="0.3">
      <c r="A40" s="132"/>
    </row>
    <row r="41" spans="1:1" ht="13.5" customHeight="1" x14ac:dyDescent="0.3">
      <c r="A41" s="132"/>
    </row>
    <row r="42" spans="1:1" ht="13.5" customHeight="1" x14ac:dyDescent="0.3">
      <c r="A42" s="132"/>
    </row>
    <row r="43" spans="1:1" ht="13.5" customHeight="1" x14ac:dyDescent="0.3">
      <c r="A43" s="132"/>
    </row>
    <row r="44" spans="1:1" ht="13.5" customHeight="1" x14ac:dyDescent="0.3">
      <c r="A44" s="132"/>
    </row>
    <row r="45" spans="1:1" ht="13.5" customHeight="1" x14ac:dyDescent="0.3">
      <c r="A45" s="132"/>
    </row>
    <row r="46" spans="1:1" ht="13.5" customHeight="1" x14ac:dyDescent="0.3">
      <c r="A46" s="132"/>
    </row>
    <row r="47" spans="1:1" ht="13.5" customHeight="1" x14ac:dyDescent="0.3">
      <c r="A47" s="132"/>
    </row>
    <row r="48" spans="1:1" ht="13.5" customHeight="1" x14ac:dyDescent="0.3">
      <c r="A48" s="132"/>
    </row>
    <row r="49" spans="1:4" ht="13.5" customHeight="1" x14ac:dyDescent="0.3">
      <c r="A49" s="132"/>
    </row>
    <row r="50" spans="1:4" ht="13.5" customHeight="1" x14ac:dyDescent="0.3">
      <c r="A50" s="132"/>
    </row>
    <row r="51" spans="1:4" ht="13.5" customHeight="1" x14ac:dyDescent="0.3">
      <c r="A51" s="132" t="s">
        <v>125</v>
      </c>
    </row>
    <row r="52" spans="1:4" ht="13.5" customHeight="1" x14ac:dyDescent="0.3">
      <c r="A52" s="132"/>
      <c r="C52" s="130" t="s">
        <v>34</v>
      </c>
      <c r="D52" s="131"/>
    </row>
    <row r="53" spans="1:4" ht="13.5" customHeight="1" x14ac:dyDescent="0.3">
      <c r="A53" s="132"/>
      <c r="C53" s="42" t="s">
        <v>126</v>
      </c>
      <c r="D53" s="43" t="s">
        <v>127</v>
      </c>
    </row>
    <row r="54" spans="1:4" ht="13.5" customHeight="1" x14ac:dyDescent="0.3">
      <c r="A54" s="132"/>
      <c r="C54" s="44" t="s">
        <v>131</v>
      </c>
      <c r="D54" s="45">
        <v>0</v>
      </c>
    </row>
    <row r="55" spans="1:4" ht="13.5" customHeight="1" x14ac:dyDescent="0.3">
      <c r="A55" s="132"/>
      <c r="C55" s="46" t="s">
        <v>133</v>
      </c>
      <c r="D55" s="47">
        <v>0</v>
      </c>
    </row>
    <row r="56" spans="1:4" ht="13.5" customHeight="1" x14ac:dyDescent="0.3">
      <c r="A56" s="132"/>
      <c r="C56" s="44" t="s">
        <v>71</v>
      </c>
      <c r="D56" s="45">
        <v>0</v>
      </c>
    </row>
    <row r="57" spans="1:4" ht="13.5" customHeight="1" x14ac:dyDescent="0.3">
      <c r="A57" s="132"/>
      <c r="C57" s="46" t="s">
        <v>72</v>
      </c>
      <c r="D57" s="47">
        <v>0</v>
      </c>
    </row>
    <row r="58" spans="1:4" ht="13.5" customHeight="1" x14ac:dyDescent="0.3">
      <c r="A58" s="132"/>
      <c r="C58" s="44" t="s">
        <v>123</v>
      </c>
      <c r="D58" s="45">
        <v>0</v>
      </c>
    </row>
    <row r="59" spans="1:4" ht="13.5" customHeight="1" x14ac:dyDescent="0.3">
      <c r="A59" s="132"/>
      <c r="C59" s="46" t="s">
        <v>67</v>
      </c>
      <c r="D59" s="47">
        <v>0</v>
      </c>
    </row>
    <row r="60" spans="1:4" ht="13.5" customHeight="1" x14ac:dyDescent="0.3">
      <c r="A60" s="132"/>
      <c r="C60" s="44" t="s">
        <v>68</v>
      </c>
      <c r="D60" s="45">
        <v>0</v>
      </c>
    </row>
    <row r="61" spans="1:4" ht="13.5" customHeight="1" x14ac:dyDescent="0.3">
      <c r="A61" s="132"/>
    </row>
    <row r="62" spans="1:4" ht="13.5" customHeight="1" x14ac:dyDescent="0.3">
      <c r="A62" s="132"/>
    </row>
    <row r="63" spans="1:4" ht="13.5" customHeight="1" x14ac:dyDescent="0.3">
      <c r="A63" s="132"/>
    </row>
    <row r="64" spans="1:4" ht="13.5" customHeight="1" x14ac:dyDescent="0.3">
      <c r="A64" s="132"/>
    </row>
    <row r="65" spans="1:1" ht="13.5" customHeight="1" x14ac:dyDescent="0.3">
      <c r="A65" s="132"/>
    </row>
    <row r="66" spans="1:1" ht="13.5" customHeight="1" x14ac:dyDescent="0.3">
      <c r="A66" s="132"/>
    </row>
    <row r="67" spans="1:1" ht="13.5" customHeight="1" x14ac:dyDescent="0.3">
      <c r="A67" s="132"/>
    </row>
    <row r="68" spans="1:1" ht="13.5" customHeight="1" x14ac:dyDescent="0.3">
      <c r="A68" s="132"/>
    </row>
    <row r="69" spans="1:1" ht="13.5" customHeight="1" x14ac:dyDescent="0.3">
      <c r="A69" s="132"/>
    </row>
    <row r="70" spans="1:1" ht="13.5" customHeight="1" x14ac:dyDescent="0.3">
      <c r="A70" s="132"/>
    </row>
    <row r="71" spans="1:1" ht="13.5" customHeight="1" x14ac:dyDescent="0.3">
      <c r="A71" s="132"/>
    </row>
    <row r="72" spans="1:1" ht="13.5" customHeight="1" x14ac:dyDescent="0.3">
      <c r="A72" s="132"/>
    </row>
    <row r="73" spans="1:1" ht="13.5" customHeight="1" x14ac:dyDescent="0.3">
      <c r="A73" s="132"/>
    </row>
    <row r="74" spans="1:1" ht="13.5" customHeight="1" x14ac:dyDescent="0.3">
      <c r="A74" s="132"/>
    </row>
    <row r="75" spans="1:1" ht="13.5" customHeight="1" x14ac:dyDescent="0.3">
      <c r="A75" s="132"/>
    </row>
    <row r="76" spans="1:1" ht="13.5" customHeight="1" x14ac:dyDescent="0.3">
      <c r="A76" s="132"/>
    </row>
    <row r="77" spans="1:1" ht="13.5" customHeight="1" x14ac:dyDescent="0.3">
      <c r="A77" s="132"/>
    </row>
    <row r="78" spans="1:1" ht="13.5" customHeight="1" x14ac:dyDescent="0.3">
      <c r="A78" s="132"/>
    </row>
    <row r="79" spans="1:1" ht="13.5" customHeight="1" x14ac:dyDescent="0.3">
      <c r="A79" s="132"/>
    </row>
    <row r="80" spans="1:1" ht="13.5" customHeight="1" x14ac:dyDescent="0.3">
      <c r="A80" s="132"/>
    </row>
    <row r="81" spans="1:1" ht="13.5" customHeight="1" x14ac:dyDescent="0.3">
      <c r="A81" s="132"/>
    </row>
    <row r="82" spans="1:1" ht="13.5" customHeight="1" x14ac:dyDescent="0.3">
      <c r="A82" s="132"/>
    </row>
    <row r="83" spans="1:1" ht="13.5" customHeight="1" x14ac:dyDescent="0.3">
      <c r="A83" s="132"/>
    </row>
    <row r="84" spans="1:1" ht="13.5" customHeight="1" x14ac:dyDescent="0.3">
      <c r="A84" s="132"/>
    </row>
    <row r="85" spans="1:1" ht="13.5" customHeight="1" x14ac:dyDescent="0.3">
      <c r="A85" s="132"/>
    </row>
    <row r="86" spans="1:1" ht="13.5" customHeight="1" x14ac:dyDescent="0.3">
      <c r="A86" s="132"/>
    </row>
    <row r="87" spans="1:1" ht="13.5" customHeight="1" x14ac:dyDescent="0.3">
      <c r="A87" s="132"/>
    </row>
    <row r="88" spans="1:1" ht="13.5" customHeight="1" x14ac:dyDescent="0.3">
      <c r="A88" s="132"/>
    </row>
    <row r="89" spans="1:1" ht="13.5" customHeight="1" x14ac:dyDescent="0.3">
      <c r="A89" s="132"/>
    </row>
    <row r="90" spans="1:1" ht="13.5" customHeight="1" x14ac:dyDescent="0.3">
      <c r="A90" s="132"/>
    </row>
    <row r="91" spans="1:1" ht="13.5" customHeight="1" x14ac:dyDescent="0.3">
      <c r="A91" s="132"/>
    </row>
    <row r="92" spans="1:1" ht="13.5" customHeight="1" x14ac:dyDescent="0.3">
      <c r="A92" s="132"/>
    </row>
    <row r="93" spans="1:1" ht="13.5" customHeight="1" x14ac:dyDescent="0.3">
      <c r="A93" s="132"/>
    </row>
    <row r="94" spans="1:1" ht="13.5" customHeight="1" x14ac:dyDescent="0.3">
      <c r="A94" s="132"/>
    </row>
    <row r="95" spans="1:1" ht="13.5" customHeight="1" x14ac:dyDescent="0.3">
      <c r="A95" s="132"/>
    </row>
    <row r="96" spans="1:1" ht="13.5" customHeight="1" x14ac:dyDescent="0.3">
      <c r="A96" s="132"/>
    </row>
    <row r="97" spans="1:4" ht="13.5" customHeight="1" x14ac:dyDescent="0.3">
      <c r="A97" s="132"/>
    </row>
    <row r="98" spans="1:4" ht="13.5" customHeight="1" x14ac:dyDescent="0.3">
      <c r="A98" s="132"/>
    </row>
    <row r="99" spans="1:4" ht="13.5" customHeight="1" x14ac:dyDescent="0.3">
      <c r="A99" s="132"/>
    </row>
    <row r="100" spans="1:4" ht="13.5" customHeight="1" x14ac:dyDescent="0.3">
      <c r="A100" s="132"/>
    </row>
    <row r="101" spans="1:4" ht="13.5" customHeight="1" x14ac:dyDescent="0.3">
      <c r="A101" s="132" t="s">
        <v>125</v>
      </c>
    </row>
    <row r="102" spans="1:4" ht="13.5" customHeight="1" x14ac:dyDescent="0.3">
      <c r="A102" s="132"/>
      <c r="C102" s="130" t="s">
        <v>152</v>
      </c>
      <c r="D102" s="131"/>
    </row>
    <row r="103" spans="1:4" ht="13.5" customHeight="1" x14ac:dyDescent="0.3">
      <c r="A103" s="132"/>
      <c r="C103" s="42" t="s">
        <v>126</v>
      </c>
      <c r="D103" s="43" t="s">
        <v>127</v>
      </c>
    </row>
    <row r="104" spans="1:4" ht="13.5" customHeight="1" x14ac:dyDescent="0.3">
      <c r="A104" s="132"/>
      <c r="C104" s="44" t="s">
        <v>131</v>
      </c>
      <c r="D104" s="45">
        <v>0</v>
      </c>
    </row>
    <row r="105" spans="1:4" ht="13.5" customHeight="1" x14ac:dyDescent="0.3">
      <c r="A105" s="132"/>
      <c r="C105" s="46" t="s">
        <v>133</v>
      </c>
      <c r="D105" s="47">
        <v>0</v>
      </c>
    </row>
    <row r="106" spans="1:4" ht="13.5" customHeight="1" x14ac:dyDescent="0.3">
      <c r="A106" s="132"/>
      <c r="C106" s="44" t="s">
        <v>71</v>
      </c>
      <c r="D106" s="45">
        <v>0</v>
      </c>
    </row>
    <row r="107" spans="1:4" ht="13.5" customHeight="1" x14ac:dyDescent="0.3">
      <c r="A107" s="132"/>
      <c r="C107" s="46" t="s">
        <v>72</v>
      </c>
      <c r="D107" s="47">
        <v>0</v>
      </c>
    </row>
    <row r="108" spans="1:4" ht="13.5" customHeight="1" x14ac:dyDescent="0.3">
      <c r="A108" s="132"/>
      <c r="C108" s="44" t="s">
        <v>123</v>
      </c>
      <c r="D108" s="45">
        <v>0</v>
      </c>
    </row>
    <row r="109" spans="1:4" ht="13.5" customHeight="1" x14ac:dyDescent="0.3">
      <c r="A109" s="132"/>
      <c r="C109" s="46" t="s">
        <v>67</v>
      </c>
      <c r="D109" s="47">
        <v>0</v>
      </c>
    </row>
    <row r="110" spans="1:4" ht="13.5" customHeight="1" x14ac:dyDescent="0.3">
      <c r="A110" s="132"/>
      <c r="C110" s="44" t="s">
        <v>68</v>
      </c>
      <c r="D110" s="45">
        <v>0</v>
      </c>
    </row>
    <row r="111" spans="1:4" ht="13.5" customHeight="1" x14ac:dyDescent="0.3">
      <c r="A111" s="132"/>
    </row>
    <row r="112" spans="1:4" ht="13.5" customHeight="1" x14ac:dyDescent="0.3">
      <c r="A112" s="132"/>
    </row>
    <row r="113" spans="1:1" ht="13.5" customHeight="1" x14ac:dyDescent="0.3">
      <c r="A113" s="132"/>
    </row>
    <row r="114" spans="1:1" ht="13.5" customHeight="1" x14ac:dyDescent="0.3">
      <c r="A114" s="132"/>
    </row>
    <row r="115" spans="1:1" ht="13.5" customHeight="1" x14ac:dyDescent="0.3">
      <c r="A115" s="132"/>
    </row>
    <row r="116" spans="1:1" ht="13.5" customHeight="1" x14ac:dyDescent="0.3">
      <c r="A116" s="132"/>
    </row>
    <row r="117" spans="1:1" ht="13.5" customHeight="1" x14ac:dyDescent="0.3">
      <c r="A117" s="132"/>
    </row>
    <row r="118" spans="1:1" ht="13.5" customHeight="1" x14ac:dyDescent="0.3">
      <c r="A118" s="132"/>
    </row>
    <row r="119" spans="1:1" ht="13.5" customHeight="1" x14ac:dyDescent="0.3">
      <c r="A119" s="132"/>
    </row>
    <row r="120" spans="1:1" ht="13.5" customHeight="1" x14ac:dyDescent="0.3">
      <c r="A120" s="132"/>
    </row>
    <row r="121" spans="1:1" ht="13.5" customHeight="1" x14ac:dyDescent="0.3">
      <c r="A121" s="132"/>
    </row>
    <row r="122" spans="1:1" ht="13.5" customHeight="1" x14ac:dyDescent="0.3">
      <c r="A122" s="132"/>
    </row>
    <row r="123" spans="1:1" ht="13.5" customHeight="1" x14ac:dyDescent="0.3">
      <c r="A123" s="132"/>
    </row>
    <row r="124" spans="1:1" ht="13.5" customHeight="1" x14ac:dyDescent="0.3">
      <c r="A124" s="132"/>
    </row>
    <row r="125" spans="1:1" ht="13.5" customHeight="1" x14ac:dyDescent="0.3">
      <c r="A125" s="132"/>
    </row>
    <row r="126" spans="1:1" ht="13.5" customHeight="1" x14ac:dyDescent="0.3">
      <c r="A126" s="132"/>
    </row>
    <row r="127" spans="1:1" ht="13.5" customHeight="1" x14ac:dyDescent="0.3">
      <c r="A127" s="132"/>
    </row>
    <row r="128" spans="1:1" ht="13.5" customHeight="1" x14ac:dyDescent="0.3">
      <c r="A128" s="132"/>
    </row>
    <row r="129" spans="1:1" ht="13.5" customHeight="1" x14ac:dyDescent="0.3">
      <c r="A129" s="132"/>
    </row>
    <row r="130" spans="1:1" ht="13.5" customHeight="1" x14ac:dyDescent="0.3">
      <c r="A130" s="132"/>
    </row>
    <row r="131" spans="1:1" ht="13.5" customHeight="1" x14ac:dyDescent="0.3">
      <c r="A131" s="132"/>
    </row>
    <row r="132" spans="1:1" ht="13.5" customHeight="1" x14ac:dyDescent="0.3">
      <c r="A132" s="132"/>
    </row>
    <row r="133" spans="1:1" ht="13.5" customHeight="1" x14ac:dyDescent="0.3">
      <c r="A133" s="132"/>
    </row>
    <row r="134" spans="1:1" ht="13.5" customHeight="1" x14ac:dyDescent="0.3">
      <c r="A134" s="132"/>
    </row>
    <row r="135" spans="1:1" ht="13.5" customHeight="1" x14ac:dyDescent="0.3">
      <c r="A135" s="132"/>
    </row>
    <row r="136" spans="1:1" ht="13.5" customHeight="1" x14ac:dyDescent="0.3">
      <c r="A136" s="132"/>
    </row>
    <row r="137" spans="1:1" ht="13.5" customHeight="1" x14ac:dyDescent="0.3">
      <c r="A137" s="132"/>
    </row>
    <row r="138" spans="1:1" ht="13.5" customHeight="1" x14ac:dyDescent="0.3">
      <c r="A138" s="132"/>
    </row>
    <row r="139" spans="1:1" ht="13.5" customHeight="1" x14ac:dyDescent="0.3">
      <c r="A139" s="132"/>
    </row>
    <row r="140" spans="1:1" ht="13.5" customHeight="1" x14ac:dyDescent="0.3">
      <c r="A140" s="132"/>
    </row>
    <row r="141" spans="1:1" ht="13.5" customHeight="1" x14ac:dyDescent="0.3">
      <c r="A141" s="132"/>
    </row>
    <row r="142" spans="1:1" ht="13.5" customHeight="1" x14ac:dyDescent="0.3">
      <c r="A142" s="132"/>
    </row>
    <row r="143" spans="1:1" ht="13.5" customHeight="1" x14ac:dyDescent="0.3">
      <c r="A143" s="132"/>
    </row>
    <row r="144" spans="1:1" ht="13.5" customHeight="1" x14ac:dyDescent="0.3">
      <c r="A144" s="132"/>
    </row>
    <row r="145" spans="1:4" ht="13.5" customHeight="1" x14ac:dyDescent="0.3">
      <c r="A145" s="132"/>
    </row>
    <row r="146" spans="1:4" ht="13.5" customHeight="1" x14ac:dyDescent="0.3">
      <c r="A146" s="132"/>
    </row>
    <row r="147" spans="1:4" ht="13.5" customHeight="1" x14ac:dyDescent="0.3">
      <c r="A147" s="132"/>
    </row>
    <row r="148" spans="1:4" ht="13.5" customHeight="1" x14ac:dyDescent="0.3">
      <c r="A148" s="132"/>
    </row>
    <row r="149" spans="1:4" ht="13.5" customHeight="1" x14ac:dyDescent="0.3">
      <c r="A149" s="132"/>
    </row>
    <row r="150" spans="1:4" ht="13.5" customHeight="1" x14ac:dyDescent="0.3">
      <c r="A150" s="132"/>
    </row>
    <row r="151" spans="1:4" ht="13.5" customHeight="1" x14ac:dyDescent="0.3">
      <c r="A151" s="132" t="s">
        <v>125</v>
      </c>
    </row>
    <row r="152" spans="1:4" ht="13.5" customHeight="1" x14ac:dyDescent="0.3">
      <c r="A152" s="132"/>
      <c r="C152" s="130" t="s">
        <v>153</v>
      </c>
      <c r="D152" s="131"/>
    </row>
    <row r="153" spans="1:4" ht="13.5" customHeight="1" x14ac:dyDescent="0.3">
      <c r="A153" s="132"/>
      <c r="C153" s="42" t="s">
        <v>126</v>
      </c>
      <c r="D153" s="43" t="s">
        <v>127</v>
      </c>
    </row>
    <row r="154" spans="1:4" ht="13.5" customHeight="1" x14ac:dyDescent="0.3">
      <c r="A154" s="132"/>
      <c r="C154" s="44" t="s">
        <v>131</v>
      </c>
      <c r="D154" s="45">
        <v>0</v>
      </c>
    </row>
    <row r="155" spans="1:4" ht="13.5" customHeight="1" x14ac:dyDescent="0.3">
      <c r="A155" s="132"/>
      <c r="C155" s="46" t="s">
        <v>133</v>
      </c>
      <c r="D155" s="47">
        <v>0</v>
      </c>
    </row>
    <row r="156" spans="1:4" ht="13.5" customHeight="1" x14ac:dyDescent="0.3">
      <c r="A156" s="132"/>
      <c r="C156" s="44" t="s">
        <v>71</v>
      </c>
      <c r="D156" s="45">
        <v>0</v>
      </c>
    </row>
    <row r="157" spans="1:4" ht="13.5" customHeight="1" x14ac:dyDescent="0.3">
      <c r="A157" s="132"/>
      <c r="C157" s="46" t="s">
        <v>72</v>
      </c>
      <c r="D157" s="47">
        <v>0</v>
      </c>
    </row>
    <row r="158" spans="1:4" ht="13.5" customHeight="1" x14ac:dyDescent="0.3">
      <c r="A158" s="132"/>
      <c r="C158" s="44" t="s">
        <v>123</v>
      </c>
      <c r="D158" s="45">
        <v>0</v>
      </c>
    </row>
    <row r="159" spans="1:4" ht="13.5" customHeight="1" x14ac:dyDescent="0.3">
      <c r="A159" s="132"/>
      <c r="C159" s="46" t="s">
        <v>67</v>
      </c>
      <c r="D159" s="47">
        <v>0</v>
      </c>
    </row>
    <row r="160" spans="1:4" ht="13.5" customHeight="1" x14ac:dyDescent="0.3">
      <c r="A160" s="132"/>
      <c r="C160" s="44" t="s">
        <v>68</v>
      </c>
      <c r="D160" s="45">
        <v>0</v>
      </c>
    </row>
    <row r="161" spans="1:1" ht="13.5" customHeight="1" x14ac:dyDescent="0.3">
      <c r="A161" s="132"/>
    </row>
    <row r="162" spans="1:1" ht="13.5" customHeight="1" x14ac:dyDescent="0.3">
      <c r="A162" s="132"/>
    </row>
    <row r="163" spans="1:1" ht="13.5" customHeight="1" x14ac:dyDescent="0.3">
      <c r="A163" s="132"/>
    </row>
    <row r="164" spans="1:1" ht="13.5" customHeight="1" x14ac:dyDescent="0.3">
      <c r="A164" s="132"/>
    </row>
    <row r="165" spans="1:1" ht="13.5" customHeight="1" x14ac:dyDescent="0.3">
      <c r="A165" s="132"/>
    </row>
    <row r="166" spans="1:1" ht="13.5" customHeight="1" x14ac:dyDescent="0.3">
      <c r="A166" s="132"/>
    </row>
    <row r="167" spans="1:1" ht="13.5" customHeight="1" x14ac:dyDescent="0.3">
      <c r="A167" s="132"/>
    </row>
    <row r="168" spans="1:1" ht="13.5" customHeight="1" x14ac:dyDescent="0.3">
      <c r="A168" s="132"/>
    </row>
    <row r="169" spans="1:1" ht="13.5" customHeight="1" x14ac:dyDescent="0.3">
      <c r="A169" s="132"/>
    </row>
    <row r="170" spans="1:1" ht="13.5" customHeight="1" x14ac:dyDescent="0.3">
      <c r="A170" s="132"/>
    </row>
    <row r="171" spans="1:1" ht="13.5" customHeight="1" x14ac:dyDescent="0.3">
      <c r="A171" s="132"/>
    </row>
    <row r="172" spans="1:1" ht="13.5" customHeight="1" x14ac:dyDescent="0.3">
      <c r="A172" s="132"/>
    </row>
    <row r="173" spans="1:1" ht="13.5" customHeight="1" x14ac:dyDescent="0.3">
      <c r="A173" s="132"/>
    </row>
    <row r="174" spans="1:1" ht="13.5" customHeight="1" x14ac:dyDescent="0.3">
      <c r="A174" s="132"/>
    </row>
    <row r="175" spans="1:1" ht="13.5" customHeight="1" x14ac:dyDescent="0.3">
      <c r="A175" s="132"/>
    </row>
    <row r="176" spans="1:1" ht="13.5" customHeight="1" x14ac:dyDescent="0.3">
      <c r="A176" s="132"/>
    </row>
    <row r="177" spans="1:1" ht="13.5" customHeight="1" x14ac:dyDescent="0.3">
      <c r="A177" s="132"/>
    </row>
    <row r="178" spans="1:1" ht="13.5" customHeight="1" x14ac:dyDescent="0.3">
      <c r="A178" s="132"/>
    </row>
    <row r="179" spans="1:1" ht="13.5" customHeight="1" x14ac:dyDescent="0.3">
      <c r="A179" s="132"/>
    </row>
    <row r="180" spans="1:1" ht="13.5" customHeight="1" x14ac:dyDescent="0.3">
      <c r="A180" s="132"/>
    </row>
    <row r="181" spans="1:1" ht="13.5" customHeight="1" x14ac:dyDescent="0.3">
      <c r="A181" s="132"/>
    </row>
    <row r="182" spans="1:1" ht="13.5" customHeight="1" x14ac:dyDescent="0.3">
      <c r="A182" s="132"/>
    </row>
    <row r="183" spans="1:1" ht="13.5" customHeight="1" x14ac:dyDescent="0.3">
      <c r="A183" s="132"/>
    </row>
    <row r="184" spans="1:1" ht="13.5" customHeight="1" x14ac:dyDescent="0.3">
      <c r="A184" s="132"/>
    </row>
    <row r="185" spans="1:1" ht="13.5" customHeight="1" x14ac:dyDescent="0.3">
      <c r="A185" s="132"/>
    </row>
    <row r="186" spans="1:1" ht="13.5" customHeight="1" x14ac:dyDescent="0.3">
      <c r="A186" s="132"/>
    </row>
    <row r="187" spans="1:1" ht="13.5" customHeight="1" x14ac:dyDescent="0.3">
      <c r="A187" s="132"/>
    </row>
    <row r="188" spans="1:1" ht="13.5" customHeight="1" x14ac:dyDescent="0.3">
      <c r="A188" s="132"/>
    </row>
    <row r="189" spans="1:1" ht="13.5" customHeight="1" x14ac:dyDescent="0.3">
      <c r="A189" s="132"/>
    </row>
    <row r="190" spans="1:1" ht="13.5" customHeight="1" x14ac:dyDescent="0.3">
      <c r="A190" s="132"/>
    </row>
    <row r="191" spans="1:1" ht="13.5" customHeight="1" x14ac:dyDescent="0.3">
      <c r="A191" s="132"/>
    </row>
    <row r="192" spans="1:1" ht="13.5" customHeight="1" x14ac:dyDescent="0.3">
      <c r="A192" s="132"/>
    </row>
    <row r="193" spans="1:4" ht="13.5" customHeight="1" x14ac:dyDescent="0.3">
      <c r="A193" s="132"/>
    </row>
    <row r="194" spans="1:4" ht="13.5" customHeight="1" x14ac:dyDescent="0.3">
      <c r="A194" s="132"/>
    </row>
    <row r="195" spans="1:4" ht="13.5" customHeight="1" x14ac:dyDescent="0.3">
      <c r="A195" s="132"/>
    </row>
    <row r="196" spans="1:4" ht="13.5" customHeight="1" x14ac:dyDescent="0.3">
      <c r="A196" s="132"/>
    </row>
    <row r="197" spans="1:4" ht="13.5" customHeight="1" x14ac:dyDescent="0.3">
      <c r="A197" s="132"/>
    </row>
    <row r="198" spans="1:4" ht="13.5" customHeight="1" x14ac:dyDescent="0.3">
      <c r="A198" s="132"/>
    </row>
    <row r="199" spans="1:4" ht="13.5" customHeight="1" x14ac:dyDescent="0.3">
      <c r="A199" s="132"/>
    </row>
    <row r="200" spans="1:4" ht="13.5" customHeight="1" x14ac:dyDescent="0.3">
      <c r="A200" s="132"/>
    </row>
    <row r="201" spans="1:4" ht="13.5" customHeight="1" x14ac:dyDescent="0.3">
      <c r="A201" s="132" t="s">
        <v>125</v>
      </c>
    </row>
    <row r="202" spans="1:4" ht="13.5" customHeight="1" x14ac:dyDescent="0.3">
      <c r="A202" s="132"/>
      <c r="C202" s="130" t="s">
        <v>154</v>
      </c>
      <c r="D202" s="131"/>
    </row>
    <row r="203" spans="1:4" ht="13.5" customHeight="1" x14ac:dyDescent="0.3">
      <c r="A203" s="132"/>
      <c r="C203" s="42" t="s">
        <v>126</v>
      </c>
      <c r="D203" s="43" t="s">
        <v>127</v>
      </c>
    </row>
    <row r="204" spans="1:4" ht="13.5" customHeight="1" x14ac:dyDescent="0.3">
      <c r="A204" s="132"/>
      <c r="C204" s="44" t="s">
        <v>131</v>
      </c>
      <c r="D204" s="45">
        <v>0</v>
      </c>
    </row>
    <row r="205" spans="1:4" ht="13.5" customHeight="1" x14ac:dyDescent="0.3">
      <c r="A205" s="132"/>
      <c r="C205" s="46" t="s">
        <v>133</v>
      </c>
      <c r="D205" s="47">
        <v>0</v>
      </c>
    </row>
    <row r="206" spans="1:4" ht="13.5" customHeight="1" x14ac:dyDescent="0.3">
      <c r="A206" s="132"/>
      <c r="C206" s="44" t="s">
        <v>71</v>
      </c>
      <c r="D206" s="45">
        <v>0</v>
      </c>
    </row>
    <row r="207" spans="1:4" ht="13.5" customHeight="1" x14ac:dyDescent="0.3">
      <c r="A207" s="132"/>
      <c r="C207" s="46" t="s">
        <v>72</v>
      </c>
      <c r="D207" s="47">
        <v>0</v>
      </c>
    </row>
    <row r="208" spans="1:4" ht="13.5" customHeight="1" x14ac:dyDescent="0.3">
      <c r="A208" s="132"/>
      <c r="C208" s="44" t="s">
        <v>123</v>
      </c>
      <c r="D208" s="45">
        <v>0</v>
      </c>
    </row>
    <row r="209" spans="1:4" ht="13.5" customHeight="1" x14ac:dyDescent="0.3">
      <c r="A209" s="132"/>
      <c r="C209" s="46" t="s">
        <v>67</v>
      </c>
      <c r="D209" s="47">
        <v>0</v>
      </c>
    </row>
    <row r="210" spans="1:4" ht="13.5" customHeight="1" x14ac:dyDescent="0.3">
      <c r="A210" s="132"/>
      <c r="C210" s="44" t="s">
        <v>68</v>
      </c>
      <c r="D210" s="45">
        <v>0</v>
      </c>
    </row>
    <row r="211" spans="1:4" ht="13.5" customHeight="1" x14ac:dyDescent="0.3">
      <c r="A211" s="132"/>
    </row>
    <row r="212" spans="1:4" ht="13.5" customHeight="1" x14ac:dyDescent="0.3">
      <c r="A212" s="132"/>
    </row>
    <row r="213" spans="1:4" ht="13.5" customHeight="1" x14ac:dyDescent="0.3">
      <c r="A213" s="132"/>
    </row>
    <row r="214" spans="1:4" ht="13.5" customHeight="1" x14ac:dyDescent="0.3">
      <c r="A214" s="132"/>
    </row>
    <row r="215" spans="1:4" ht="13.5" customHeight="1" x14ac:dyDescent="0.3">
      <c r="A215" s="132"/>
    </row>
    <row r="216" spans="1:4" ht="13.5" customHeight="1" x14ac:dyDescent="0.3">
      <c r="A216" s="132"/>
    </row>
    <row r="217" spans="1:4" ht="13.5" customHeight="1" x14ac:dyDescent="0.3">
      <c r="A217" s="132"/>
    </row>
    <row r="218" spans="1:4" ht="13.5" customHeight="1" x14ac:dyDescent="0.3">
      <c r="A218" s="132"/>
    </row>
    <row r="219" spans="1:4" ht="13.5" customHeight="1" x14ac:dyDescent="0.3">
      <c r="A219" s="132"/>
    </row>
    <row r="220" spans="1:4" ht="13.5" customHeight="1" x14ac:dyDescent="0.3">
      <c r="A220" s="132"/>
    </row>
    <row r="221" spans="1:4" ht="13.5" customHeight="1" x14ac:dyDescent="0.3">
      <c r="A221" s="132"/>
    </row>
    <row r="222" spans="1:4" ht="13.5" customHeight="1" x14ac:dyDescent="0.3">
      <c r="A222" s="132"/>
    </row>
    <row r="223" spans="1:4" ht="13.5" customHeight="1" x14ac:dyDescent="0.3">
      <c r="A223" s="132"/>
    </row>
    <row r="224" spans="1:4" ht="13.5" customHeight="1" x14ac:dyDescent="0.3">
      <c r="A224" s="132"/>
    </row>
    <row r="225" spans="1:1" ht="13.5" customHeight="1" x14ac:dyDescent="0.3">
      <c r="A225" s="132"/>
    </row>
    <row r="226" spans="1:1" ht="13.5" customHeight="1" x14ac:dyDescent="0.3">
      <c r="A226" s="132"/>
    </row>
    <row r="227" spans="1:1" ht="13.5" customHeight="1" x14ac:dyDescent="0.3">
      <c r="A227" s="132"/>
    </row>
    <row r="228" spans="1:1" ht="13.5" customHeight="1" x14ac:dyDescent="0.3">
      <c r="A228" s="132"/>
    </row>
    <row r="229" spans="1:1" ht="13.5" customHeight="1" x14ac:dyDescent="0.3">
      <c r="A229" s="132"/>
    </row>
    <row r="230" spans="1:1" ht="13.5" customHeight="1" x14ac:dyDescent="0.3">
      <c r="A230" s="132"/>
    </row>
    <row r="231" spans="1:1" ht="13.5" customHeight="1" x14ac:dyDescent="0.3">
      <c r="A231" s="132"/>
    </row>
    <row r="232" spans="1:1" ht="13.5" customHeight="1" x14ac:dyDescent="0.3">
      <c r="A232" s="132"/>
    </row>
    <row r="233" spans="1:1" ht="13.5" customHeight="1" x14ac:dyDescent="0.3">
      <c r="A233" s="132"/>
    </row>
    <row r="234" spans="1:1" ht="13.5" customHeight="1" x14ac:dyDescent="0.3">
      <c r="A234" s="132"/>
    </row>
    <row r="235" spans="1:1" ht="13.5" customHeight="1" x14ac:dyDescent="0.3">
      <c r="A235" s="132"/>
    </row>
    <row r="236" spans="1:1" ht="13.5" customHeight="1" x14ac:dyDescent="0.3">
      <c r="A236" s="132"/>
    </row>
    <row r="237" spans="1:1" ht="13.5" customHeight="1" x14ac:dyDescent="0.3">
      <c r="A237" s="132"/>
    </row>
    <row r="238" spans="1:1" ht="13.5" customHeight="1" x14ac:dyDescent="0.3">
      <c r="A238" s="132"/>
    </row>
    <row r="239" spans="1:1" ht="13.5" customHeight="1" x14ac:dyDescent="0.3">
      <c r="A239" s="132"/>
    </row>
    <row r="240" spans="1:1" ht="13.5" customHeight="1" x14ac:dyDescent="0.3">
      <c r="A240" s="132"/>
    </row>
    <row r="241" spans="1:4" ht="13.5" customHeight="1" x14ac:dyDescent="0.3">
      <c r="A241" s="132"/>
    </row>
    <row r="242" spans="1:4" ht="13.5" customHeight="1" x14ac:dyDescent="0.3">
      <c r="A242" s="132"/>
    </row>
    <row r="243" spans="1:4" ht="13.5" customHeight="1" x14ac:dyDescent="0.3">
      <c r="A243" s="132"/>
    </row>
    <row r="244" spans="1:4" ht="13.5" customHeight="1" x14ac:dyDescent="0.3">
      <c r="A244" s="132"/>
    </row>
    <row r="245" spans="1:4" ht="13.5" customHeight="1" x14ac:dyDescent="0.3">
      <c r="A245" s="132"/>
    </row>
    <row r="246" spans="1:4" ht="13.5" customHeight="1" x14ac:dyDescent="0.3">
      <c r="A246" s="132"/>
    </row>
    <row r="247" spans="1:4" ht="13.5" customHeight="1" x14ac:dyDescent="0.3">
      <c r="A247" s="132"/>
    </row>
    <row r="248" spans="1:4" ht="13.5" customHeight="1" x14ac:dyDescent="0.3">
      <c r="A248" s="132"/>
    </row>
    <row r="249" spans="1:4" ht="13.5" customHeight="1" x14ac:dyDescent="0.3">
      <c r="A249" s="132"/>
    </row>
    <row r="250" spans="1:4" ht="13.5" customHeight="1" x14ac:dyDescent="0.3">
      <c r="A250" s="132"/>
    </row>
    <row r="251" spans="1:4" ht="13.5" customHeight="1" x14ac:dyDescent="0.3">
      <c r="A251" s="132" t="s">
        <v>125</v>
      </c>
    </row>
    <row r="252" spans="1:4" ht="13.5" customHeight="1" x14ac:dyDescent="0.3">
      <c r="A252" s="132"/>
      <c r="C252" s="130" t="s">
        <v>155</v>
      </c>
      <c r="D252" s="131"/>
    </row>
    <row r="253" spans="1:4" ht="13.5" customHeight="1" x14ac:dyDescent="0.3">
      <c r="A253" s="132"/>
      <c r="C253" s="42" t="s">
        <v>126</v>
      </c>
      <c r="D253" s="43" t="s">
        <v>127</v>
      </c>
    </row>
    <row r="254" spans="1:4" ht="13.5" customHeight="1" x14ac:dyDescent="0.3">
      <c r="A254" s="132"/>
      <c r="C254" s="44" t="s">
        <v>131</v>
      </c>
      <c r="D254" s="45">
        <v>0</v>
      </c>
    </row>
    <row r="255" spans="1:4" ht="13.5" customHeight="1" x14ac:dyDescent="0.3">
      <c r="A255" s="132"/>
      <c r="C255" s="46" t="s">
        <v>133</v>
      </c>
      <c r="D255" s="47">
        <v>0</v>
      </c>
    </row>
    <row r="256" spans="1:4" ht="13.5" customHeight="1" x14ac:dyDescent="0.3">
      <c r="A256" s="132"/>
      <c r="C256" s="44" t="s">
        <v>71</v>
      </c>
      <c r="D256" s="45">
        <v>0</v>
      </c>
    </row>
    <row r="257" spans="1:4" ht="13.5" customHeight="1" x14ac:dyDescent="0.3">
      <c r="A257" s="132"/>
      <c r="C257" s="46" t="s">
        <v>72</v>
      </c>
      <c r="D257" s="47">
        <v>0</v>
      </c>
    </row>
    <row r="258" spans="1:4" ht="13.5" customHeight="1" x14ac:dyDescent="0.3">
      <c r="A258" s="132"/>
      <c r="C258" s="44" t="s">
        <v>123</v>
      </c>
      <c r="D258" s="45">
        <v>0</v>
      </c>
    </row>
    <row r="259" spans="1:4" ht="13.5" customHeight="1" x14ac:dyDescent="0.3">
      <c r="A259" s="132"/>
      <c r="C259" s="46" t="s">
        <v>67</v>
      </c>
      <c r="D259" s="47">
        <v>0</v>
      </c>
    </row>
    <row r="260" spans="1:4" ht="13.5" customHeight="1" x14ac:dyDescent="0.3">
      <c r="A260" s="132"/>
      <c r="C260" s="44" t="s">
        <v>68</v>
      </c>
      <c r="D260" s="45">
        <v>0</v>
      </c>
    </row>
    <row r="261" spans="1:4" ht="13.5" customHeight="1" x14ac:dyDescent="0.3">
      <c r="A261" s="132"/>
    </row>
    <row r="262" spans="1:4" ht="13.5" customHeight="1" x14ac:dyDescent="0.3">
      <c r="A262" s="132"/>
    </row>
    <row r="263" spans="1:4" ht="13.5" customHeight="1" x14ac:dyDescent="0.3">
      <c r="A263" s="132"/>
    </row>
    <row r="264" spans="1:4" ht="13.5" customHeight="1" x14ac:dyDescent="0.3">
      <c r="A264" s="132"/>
    </row>
    <row r="265" spans="1:4" ht="13.5" customHeight="1" x14ac:dyDescent="0.3">
      <c r="A265" s="132"/>
    </row>
    <row r="266" spans="1:4" ht="13.5" customHeight="1" x14ac:dyDescent="0.3">
      <c r="A266" s="132"/>
    </row>
    <row r="267" spans="1:4" ht="13.5" customHeight="1" x14ac:dyDescent="0.3">
      <c r="A267" s="132"/>
    </row>
    <row r="268" spans="1:4" ht="13.5" customHeight="1" x14ac:dyDescent="0.3">
      <c r="A268" s="132"/>
    </row>
    <row r="269" spans="1:4" ht="13.5" customHeight="1" x14ac:dyDescent="0.3">
      <c r="A269" s="132"/>
    </row>
    <row r="270" spans="1:4" ht="13.5" customHeight="1" x14ac:dyDescent="0.3">
      <c r="A270" s="132"/>
    </row>
    <row r="271" spans="1:4" ht="13.5" customHeight="1" x14ac:dyDescent="0.3">
      <c r="A271" s="132"/>
    </row>
    <row r="272" spans="1:4" ht="13.5" customHeight="1" x14ac:dyDescent="0.3">
      <c r="A272" s="132"/>
    </row>
    <row r="273" spans="1:1" ht="13.5" customHeight="1" x14ac:dyDescent="0.3">
      <c r="A273" s="132"/>
    </row>
    <row r="274" spans="1:1" ht="13.5" customHeight="1" x14ac:dyDescent="0.3">
      <c r="A274" s="132"/>
    </row>
    <row r="275" spans="1:1" ht="13.5" customHeight="1" x14ac:dyDescent="0.3">
      <c r="A275" s="132"/>
    </row>
    <row r="276" spans="1:1" ht="13.5" customHeight="1" x14ac:dyDescent="0.3">
      <c r="A276" s="132"/>
    </row>
    <row r="277" spans="1:1" ht="13.5" customHeight="1" x14ac:dyDescent="0.3">
      <c r="A277" s="132"/>
    </row>
    <row r="278" spans="1:1" ht="13.5" customHeight="1" x14ac:dyDescent="0.3">
      <c r="A278" s="132"/>
    </row>
    <row r="279" spans="1:1" ht="13.5" customHeight="1" x14ac:dyDescent="0.3">
      <c r="A279" s="132"/>
    </row>
    <row r="280" spans="1:1" ht="13.5" customHeight="1" x14ac:dyDescent="0.3">
      <c r="A280" s="132"/>
    </row>
    <row r="281" spans="1:1" ht="13.5" customHeight="1" x14ac:dyDescent="0.3">
      <c r="A281" s="132"/>
    </row>
    <row r="282" spans="1:1" ht="13.5" customHeight="1" x14ac:dyDescent="0.3">
      <c r="A282" s="132"/>
    </row>
    <row r="283" spans="1:1" ht="13.5" customHeight="1" x14ac:dyDescent="0.3">
      <c r="A283" s="132"/>
    </row>
    <row r="284" spans="1:1" ht="13.5" customHeight="1" x14ac:dyDescent="0.3">
      <c r="A284" s="132"/>
    </row>
    <row r="285" spans="1:1" ht="13.5" customHeight="1" x14ac:dyDescent="0.3">
      <c r="A285" s="132"/>
    </row>
    <row r="286" spans="1:1" ht="13.5" customHeight="1" x14ac:dyDescent="0.3">
      <c r="A286" s="132"/>
    </row>
    <row r="287" spans="1:1" ht="13.5" customHeight="1" x14ac:dyDescent="0.3">
      <c r="A287" s="132"/>
    </row>
    <row r="288" spans="1:1" ht="13.5" customHeight="1" x14ac:dyDescent="0.3">
      <c r="A288" s="132"/>
    </row>
    <row r="289" spans="1:4" ht="13.5" customHeight="1" x14ac:dyDescent="0.3">
      <c r="A289" s="132"/>
    </row>
    <row r="290" spans="1:4" ht="13.5" customHeight="1" x14ac:dyDescent="0.3">
      <c r="A290" s="132"/>
    </row>
    <row r="291" spans="1:4" ht="13.5" customHeight="1" x14ac:dyDescent="0.3">
      <c r="A291" s="132"/>
    </row>
    <row r="292" spans="1:4" ht="13.5" customHeight="1" x14ac:dyDescent="0.3">
      <c r="A292" s="132"/>
    </row>
    <row r="293" spans="1:4" ht="13.5" customHeight="1" x14ac:dyDescent="0.3">
      <c r="A293" s="132"/>
    </row>
    <row r="294" spans="1:4" ht="13.5" customHeight="1" x14ac:dyDescent="0.3">
      <c r="A294" s="132"/>
    </row>
    <row r="295" spans="1:4" ht="13.5" customHeight="1" x14ac:dyDescent="0.3">
      <c r="A295" s="132"/>
    </row>
    <row r="296" spans="1:4" ht="13.5" customHeight="1" x14ac:dyDescent="0.3">
      <c r="A296" s="132"/>
    </row>
    <row r="297" spans="1:4" ht="13.5" customHeight="1" x14ac:dyDescent="0.3">
      <c r="A297" s="132"/>
    </row>
    <row r="298" spans="1:4" ht="13.5" customHeight="1" x14ac:dyDescent="0.3">
      <c r="A298" s="132"/>
    </row>
    <row r="299" spans="1:4" ht="13.5" customHeight="1" x14ac:dyDescent="0.3">
      <c r="A299" s="132"/>
    </row>
    <row r="300" spans="1:4" ht="13.5" customHeight="1" x14ac:dyDescent="0.3">
      <c r="A300" s="132"/>
    </row>
    <row r="301" spans="1:4" ht="13.5" customHeight="1" x14ac:dyDescent="0.3">
      <c r="A301" s="132" t="s">
        <v>125</v>
      </c>
    </row>
    <row r="302" spans="1:4" ht="13.5" customHeight="1" x14ac:dyDescent="0.3">
      <c r="A302" s="132"/>
      <c r="C302" s="130" t="s">
        <v>156</v>
      </c>
      <c r="D302" s="131"/>
    </row>
    <row r="303" spans="1:4" ht="13.5" customHeight="1" x14ac:dyDescent="0.3">
      <c r="A303" s="132"/>
      <c r="C303" s="42" t="s">
        <v>126</v>
      </c>
      <c r="D303" s="43" t="s">
        <v>127</v>
      </c>
    </row>
    <row r="304" spans="1:4" ht="13.5" customHeight="1" x14ac:dyDescent="0.3">
      <c r="A304" s="132"/>
      <c r="C304" s="44" t="s">
        <v>131</v>
      </c>
      <c r="D304" s="45">
        <v>0</v>
      </c>
    </row>
    <row r="305" spans="1:4" ht="13.5" customHeight="1" x14ac:dyDescent="0.3">
      <c r="A305" s="132"/>
      <c r="C305" s="46" t="s">
        <v>133</v>
      </c>
      <c r="D305" s="47">
        <v>0</v>
      </c>
    </row>
    <row r="306" spans="1:4" ht="13.5" customHeight="1" x14ac:dyDescent="0.3">
      <c r="A306" s="132"/>
      <c r="C306" s="44" t="s">
        <v>71</v>
      </c>
      <c r="D306" s="45">
        <v>0</v>
      </c>
    </row>
    <row r="307" spans="1:4" ht="13.5" customHeight="1" x14ac:dyDescent="0.3">
      <c r="A307" s="132"/>
      <c r="C307" s="46" t="s">
        <v>72</v>
      </c>
      <c r="D307" s="47">
        <v>0</v>
      </c>
    </row>
    <row r="308" spans="1:4" ht="13.5" customHeight="1" x14ac:dyDescent="0.3">
      <c r="A308" s="132"/>
      <c r="C308" s="44" t="s">
        <v>123</v>
      </c>
      <c r="D308" s="45">
        <v>0</v>
      </c>
    </row>
    <row r="309" spans="1:4" ht="13.5" customHeight="1" x14ac:dyDescent="0.3">
      <c r="A309" s="132"/>
      <c r="C309" s="46" t="s">
        <v>67</v>
      </c>
      <c r="D309" s="47">
        <v>0</v>
      </c>
    </row>
    <row r="310" spans="1:4" ht="13.5" customHeight="1" x14ac:dyDescent="0.3">
      <c r="A310" s="132"/>
      <c r="C310" s="44" t="s">
        <v>68</v>
      </c>
      <c r="D310" s="45">
        <v>0</v>
      </c>
    </row>
    <row r="311" spans="1:4" ht="13.5" customHeight="1" x14ac:dyDescent="0.3">
      <c r="A311" s="132"/>
    </row>
    <row r="312" spans="1:4" ht="13.5" customHeight="1" x14ac:dyDescent="0.3">
      <c r="A312" s="132"/>
    </row>
    <row r="313" spans="1:4" ht="13.5" customHeight="1" x14ac:dyDescent="0.3">
      <c r="A313" s="132"/>
    </row>
    <row r="314" spans="1:4" ht="13.5" customHeight="1" x14ac:dyDescent="0.3">
      <c r="A314" s="132"/>
    </row>
    <row r="315" spans="1:4" ht="13.5" customHeight="1" x14ac:dyDescent="0.3">
      <c r="A315" s="132"/>
    </row>
    <row r="316" spans="1:4" ht="13.5" customHeight="1" x14ac:dyDescent="0.3">
      <c r="A316" s="132"/>
    </row>
    <row r="317" spans="1:4" ht="13.5" customHeight="1" x14ac:dyDescent="0.3">
      <c r="A317" s="132"/>
    </row>
    <row r="318" spans="1:4" ht="13.5" customHeight="1" x14ac:dyDescent="0.3">
      <c r="A318" s="132"/>
    </row>
    <row r="319" spans="1:4" ht="13.5" customHeight="1" x14ac:dyDescent="0.3">
      <c r="A319" s="132"/>
    </row>
    <row r="320" spans="1:4" ht="13.5" customHeight="1" x14ac:dyDescent="0.3">
      <c r="A320" s="132"/>
    </row>
    <row r="321" spans="1:1" ht="13.5" customHeight="1" x14ac:dyDescent="0.3">
      <c r="A321" s="132"/>
    </row>
    <row r="322" spans="1:1" ht="13.5" customHeight="1" x14ac:dyDescent="0.3">
      <c r="A322" s="132"/>
    </row>
    <row r="323" spans="1:1" ht="13.5" customHeight="1" x14ac:dyDescent="0.3">
      <c r="A323" s="132"/>
    </row>
    <row r="324" spans="1:1" ht="13.5" customHeight="1" x14ac:dyDescent="0.3">
      <c r="A324" s="132"/>
    </row>
    <row r="325" spans="1:1" ht="13.5" customHeight="1" x14ac:dyDescent="0.3">
      <c r="A325" s="132"/>
    </row>
    <row r="326" spans="1:1" ht="13.5" customHeight="1" x14ac:dyDescent="0.3">
      <c r="A326" s="132"/>
    </row>
    <row r="327" spans="1:1" ht="13.5" customHeight="1" x14ac:dyDescent="0.3">
      <c r="A327" s="132"/>
    </row>
    <row r="328" spans="1:1" ht="13.5" customHeight="1" x14ac:dyDescent="0.3">
      <c r="A328" s="132"/>
    </row>
    <row r="329" spans="1:1" ht="13.5" customHeight="1" x14ac:dyDescent="0.3">
      <c r="A329" s="132"/>
    </row>
    <row r="330" spans="1:1" ht="13.5" customHeight="1" x14ac:dyDescent="0.3">
      <c r="A330" s="132"/>
    </row>
    <row r="331" spans="1:1" ht="13.5" customHeight="1" x14ac:dyDescent="0.3">
      <c r="A331" s="132"/>
    </row>
    <row r="332" spans="1:1" ht="13.5" customHeight="1" x14ac:dyDescent="0.3">
      <c r="A332" s="132"/>
    </row>
    <row r="333" spans="1:1" ht="13.5" customHeight="1" x14ac:dyDescent="0.3">
      <c r="A333" s="132"/>
    </row>
    <row r="334" spans="1:1" ht="13.5" customHeight="1" x14ac:dyDescent="0.3">
      <c r="A334" s="132"/>
    </row>
    <row r="335" spans="1:1" ht="13.5" customHeight="1" x14ac:dyDescent="0.3">
      <c r="A335" s="132"/>
    </row>
    <row r="336" spans="1:1" ht="13.5" customHeight="1" x14ac:dyDescent="0.3">
      <c r="A336" s="132"/>
    </row>
    <row r="337" spans="1:4" ht="13.5" customHeight="1" x14ac:dyDescent="0.3">
      <c r="A337" s="132"/>
    </row>
    <row r="338" spans="1:4" ht="13.5" customHeight="1" x14ac:dyDescent="0.3">
      <c r="A338" s="132"/>
    </row>
    <row r="339" spans="1:4" ht="13.5" customHeight="1" x14ac:dyDescent="0.3">
      <c r="A339" s="132"/>
    </row>
    <row r="340" spans="1:4" ht="13.5" customHeight="1" x14ac:dyDescent="0.3">
      <c r="A340" s="132"/>
    </row>
    <row r="341" spans="1:4" ht="13.5" customHeight="1" x14ac:dyDescent="0.3">
      <c r="A341" s="132"/>
    </row>
    <row r="342" spans="1:4" ht="13.5" customHeight="1" x14ac:dyDescent="0.3">
      <c r="A342" s="132"/>
    </row>
    <row r="343" spans="1:4" ht="13.5" customHeight="1" x14ac:dyDescent="0.3">
      <c r="A343" s="132"/>
    </row>
    <row r="344" spans="1:4" ht="13.5" customHeight="1" x14ac:dyDescent="0.3">
      <c r="A344" s="132"/>
    </row>
    <row r="345" spans="1:4" ht="13.5" customHeight="1" x14ac:dyDescent="0.3">
      <c r="A345" s="132"/>
    </row>
    <row r="346" spans="1:4" ht="13.5" customHeight="1" x14ac:dyDescent="0.3">
      <c r="A346" s="132"/>
    </row>
    <row r="347" spans="1:4" ht="13.5" customHeight="1" x14ac:dyDescent="0.3">
      <c r="A347" s="132"/>
    </row>
    <row r="348" spans="1:4" ht="13.5" customHeight="1" x14ac:dyDescent="0.3">
      <c r="A348" s="132"/>
    </row>
    <row r="349" spans="1:4" ht="13.5" customHeight="1" x14ac:dyDescent="0.3">
      <c r="A349" s="132"/>
    </row>
    <row r="350" spans="1:4" ht="13.5" customHeight="1" x14ac:dyDescent="0.3">
      <c r="A350" s="132"/>
    </row>
    <row r="351" spans="1:4" ht="13.5" customHeight="1" x14ac:dyDescent="0.3">
      <c r="A351" s="132" t="s">
        <v>125</v>
      </c>
    </row>
    <row r="352" spans="1:4" ht="13.5" customHeight="1" x14ac:dyDescent="0.3">
      <c r="A352" s="132"/>
      <c r="C352" s="130" t="s">
        <v>157</v>
      </c>
      <c r="D352" s="131"/>
    </row>
    <row r="353" spans="1:4" ht="13.5" customHeight="1" x14ac:dyDescent="0.3">
      <c r="A353" s="132"/>
      <c r="C353" s="42" t="s">
        <v>126</v>
      </c>
      <c r="D353" s="43" t="s">
        <v>127</v>
      </c>
    </row>
    <row r="354" spans="1:4" ht="13.5" customHeight="1" x14ac:dyDescent="0.3">
      <c r="A354" s="132"/>
      <c r="C354" s="44" t="s">
        <v>131</v>
      </c>
      <c r="D354" s="45">
        <v>0</v>
      </c>
    </row>
    <row r="355" spans="1:4" ht="13.5" customHeight="1" x14ac:dyDescent="0.3">
      <c r="A355" s="132"/>
      <c r="C355" s="46" t="s">
        <v>133</v>
      </c>
      <c r="D355" s="47">
        <v>0</v>
      </c>
    </row>
    <row r="356" spans="1:4" ht="13.5" customHeight="1" x14ac:dyDescent="0.3">
      <c r="A356" s="132"/>
      <c r="C356" s="44" t="s">
        <v>71</v>
      </c>
      <c r="D356" s="45">
        <v>0</v>
      </c>
    </row>
    <row r="357" spans="1:4" ht="13.5" customHeight="1" x14ac:dyDescent="0.3">
      <c r="A357" s="132"/>
      <c r="C357" s="46" t="s">
        <v>72</v>
      </c>
      <c r="D357" s="47">
        <v>0</v>
      </c>
    </row>
    <row r="358" spans="1:4" ht="13.5" customHeight="1" x14ac:dyDescent="0.3">
      <c r="A358" s="132"/>
      <c r="C358" s="44" t="s">
        <v>123</v>
      </c>
      <c r="D358" s="45">
        <v>0</v>
      </c>
    </row>
    <row r="359" spans="1:4" ht="13.5" customHeight="1" x14ac:dyDescent="0.3">
      <c r="A359" s="132"/>
      <c r="C359" s="46" t="s">
        <v>67</v>
      </c>
      <c r="D359" s="47">
        <v>0</v>
      </c>
    </row>
    <row r="360" spans="1:4" ht="13.5" customHeight="1" x14ac:dyDescent="0.3">
      <c r="A360" s="132"/>
      <c r="C360" s="44" t="s">
        <v>68</v>
      </c>
      <c r="D360" s="45">
        <v>0</v>
      </c>
    </row>
    <row r="361" spans="1:4" ht="13.5" customHeight="1" x14ac:dyDescent="0.3">
      <c r="A361" s="132"/>
    </row>
    <row r="362" spans="1:4" ht="13.5" customHeight="1" x14ac:dyDescent="0.3">
      <c r="A362" s="132"/>
    </row>
    <row r="363" spans="1:4" ht="13.5" customHeight="1" x14ac:dyDescent="0.3">
      <c r="A363" s="132"/>
    </row>
    <row r="364" spans="1:4" ht="13.5" customHeight="1" x14ac:dyDescent="0.3">
      <c r="A364" s="132"/>
    </row>
    <row r="365" spans="1:4" ht="13.5" customHeight="1" x14ac:dyDescent="0.3">
      <c r="A365" s="132"/>
    </row>
    <row r="366" spans="1:4" ht="13.5" customHeight="1" x14ac:dyDescent="0.3">
      <c r="A366" s="132"/>
    </row>
    <row r="367" spans="1:4" ht="13.5" customHeight="1" x14ac:dyDescent="0.3">
      <c r="A367" s="132"/>
    </row>
    <row r="368" spans="1:4" ht="13.5" customHeight="1" x14ac:dyDescent="0.3">
      <c r="A368" s="132"/>
    </row>
    <row r="369" spans="1:1" ht="13.5" customHeight="1" x14ac:dyDescent="0.3">
      <c r="A369" s="132"/>
    </row>
    <row r="370" spans="1:1" ht="13.5" customHeight="1" x14ac:dyDescent="0.3">
      <c r="A370" s="132"/>
    </row>
    <row r="371" spans="1:1" ht="13.5" customHeight="1" x14ac:dyDescent="0.3">
      <c r="A371" s="132"/>
    </row>
    <row r="372" spans="1:1" ht="13.5" customHeight="1" x14ac:dyDescent="0.3">
      <c r="A372" s="132"/>
    </row>
    <row r="373" spans="1:1" ht="13.5" customHeight="1" x14ac:dyDescent="0.3">
      <c r="A373" s="132"/>
    </row>
    <row r="374" spans="1:1" ht="13.5" customHeight="1" x14ac:dyDescent="0.3">
      <c r="A374" s="132"/>
    </row>
    <row r="375" spans="1:1" ht="13.5" customHeight="1" x14ac:dyDescent="0.3">
      <c r="A375" s="132"/>
    </row>
    <row r="376" spans="1:1" ht="13.5" customHeight="1" x14ac:dyDescent="0.3">
      <c r="A376" s="132"/>
    </row>
    <row r="377" spans="1:1" ht="13.5" customHeight="1" x14ac:dyDescent="0.3">
      <c r="A377" s="132"/>
    </row>
    <row r="378" spans="1:1" ht="13.5" customHeight="1" x14ac:dyDescent="0.3">
      <c r="A378" s="132"/>
    </row>
    <row r="379" spans="1:1" ht="13.5" customHeight="1" x14ac:dyDescent="0.3">
      <c r="A379" s="132"/>
    </row>
    <row r="380" spans="1:1" ht="13.5" customHeight="1" x14ac:dyDescent="0.3">
      <c r="A380" s="132"/>
    </row>
    <row r="381" spans="1:1" ht="13.5" customHeight="1" x14ac:dyDescent="0.3">
      <c r="A381" s="132"/>
    </row>
    <row r="382" spans="1:1" ht="13.5" customHeight="1" x14ac:dyDescent="0.3">
      <c r="A382" s="132"/>
    </row>
    <row r="383" spans="1:1" ht="13.5" customHeight="1" x14ac:dyDescent="0.3">
      <c r="A383" s="132"/>
    </row>
    <row r="384" spans="1:1" ht="13.5" customHeight="1" x14ac:dyDescent="0.3">
      <c r="A384" s="132"/>
    </row>
    <row r="385" spans="1:1" ht="13.5" customHeight="1" x14ac:dyDescent="0.3">
      <c r="A385" s="132"/>
    </row>
    <row r="386" spans="1:1" ht="13.5" customHeight="1" x14ac:dyDescent="0.3">
      <c r="A386" s="132"/>
    </row>
    <row r="387" spans="1:1" ht="13.5" customHeight="1" x14ac:dyDescent="0.3">
      <c r="A387" s="132"/>
    </row>
    <row r="388" spans="1:1" ht="13.5" customHeight="1" x14ac:dyDescent="0.3">
      <c r="A388" s="132"/>
    </row>
    <row r="389" spans="1:1" ht="13.5" customHeight="1" x14ac:dyDescent="0.3">
      <c r="A389" s="132"/>
    </row>
    <row r="390" spans="1:1" ht="13.5" customHeight="1" x14ac:dyDescent="0.3">
      <c r="A390" s="132"/>
    </row>
    <row r="391" spans="1:1" ht="13.5" customHeight="1" x14ac:dyDescent="0.3">
      <c r="A391" s="132"/>
    </row>
    <row r="392" spans="1:1" ht="13.5" customHeight="1" x14ac:dyDescent="0.3">
      <c r="A392" s="132"/>
    </row>
    <row r="393" spans="1:1" ht="13.5" customHeight="1" x14ac:dyDescent="0.3">
      <c r="A393" s="132"/>
    </row>
    <row r="394" spans="1:1" ht="13.5" customHeight="1" x14ac:dyDescent="0.3">
      <c r="A394" s="132"/>
    </row>
    <row r="395" spans="1:1" ht="13.5" customHeight="1" x14ac:dyDescent="0.3">
      <c r="A395" s="132"/>
    </row>
    <row r="396" spans="1:1" ht="13.5" customHeight="1" x14ac:dyDescent="0.3">
      <c r="A396" s="132"/>
    </row>
    <row r="397" spans="1:1" ht="13.5" customHeight="1" x14ac:dyDescent="0.3">
      <c r="A397" s="132"/>
    </row>
    <row r="398" spans="1:1" ht="13.5" customHeight="1" x14ac:dyDescent="0.3">
      <c r="A398" s="132"/>
    </row>
    <row r="399" spans="1:1" ht="13.5" customHeight="1" x14ac:dyDescent="0.3">
      <c r="A399" s="132"/>
    </row>
    <row r="400" spans="1:1" ht="13.5" customHeight="1" x14ac:dyDescent="0.3">
      <c r="A400" s="132"/>
    </row>
    <row r="401" spans="1:4" ht="13.5" customHeight="1" x14ac:dyDescent="0.3">
      <c r="A401" s="132" t="s">
        <v>125</v>
      </c>
    </row>
    <row r="402" spans="1:4" ht="13.5" customHeight="1" x14ac:dyDescent="0.3">
      <c r="A402" s="132"/>
      <c r="C402" s="130" t="s">
        <v>158</v>
      </c>
      <c r="D402" s="131"/>
    </row>
    <row r="403" spans="1:4" ht="13.5" customHeight="1" x14ac:dyDescent="0.3">
      <c r="A403" s="132"/>
      <c r="C403" s="42" t="s">
        <v>126</v>
      </c>
      <c r="D403" s="43" t="s">
        <v>127</v>
      </c>
    </row>
    <row r="404" spans="1:4" ht="13.5" customHeight="1" x14ac:dyDescent="0.3">
      <c r="A404" s="132"/>
      <c r="C404" s="44" t="s">
        <v>131</v>
      </c>
      <c r="D404" s="45">
        <v>0</v>
      </c>
    </row>
    <row r="405" spans="1:4" ht="13.5" customHeight="1" x14ac:dyDescent="0.3">
      <c r="A405" s="132"/>
      <c r="C405" s="46" t="s">
        <v>133</v>
      </c>
      <c r="D405" s="47">
        <v>0</v>
      </c>
    </row>
    <row r="406" spans="1:4" ht="13.5" customHeight="1" x14ac:dyDescent="0.3">
      <c r="A406" s="132"/>
      <c r="C406" s="44" t="s">
        <v>71</v>
      </c>
      <c r="D406" s="45">
        <v>0</v>
      </c>
    </row>
    <row r="407" spans="1:4" ht="13.5" customHeight="1" x14ac:dyDescent="0.3">
      <c r="A407" s="132"/>
      <c r="C407" s="46" t="s">
        <v>72</v>
      </c>
      <c r="D407" s="47">
        <v>0</v>
      </c>
    </row>
    <row r="408" spans="1:4" ht="13.5" customHeight="1" x14ac:dyDescent="0.3">
      <c r="A408" s="132"/>
      <c r="C408" s="44" t="s">
        <v>123</v>
      </c>
      <c r="D408" s="45">
        <v>0</v>
      </c>
    </row>
    <row r="409" spans="1:4" ht="13.5" customHeight="1" x14ac:dyDescent="0.3">
      <c r="A409" s="132"/>
      <c r="C409" s="46" t="s">
        <v>67</v>
      </c>
      <c r="D409" s="47">
        <v>0</v>
      </c>
    </row>
    <row r="410" spans="1:4" ht="13.5" customHeight="1" x14ac:dyDescent="0.3">
      <c r="A410" s="132"/>
      <c r="C410" s="44" t="s">
        <v>68</v>
      </c>
      <c r="D410" s="45">
        <v>0</v>
      </c>
    </row>
    <row r="411" spans="1:4" ht="13.5" customHeight="1" x14ac:dyDescent="0.3">
      <c r="A411" s="132"/>
    </row>
    <row r="412" spans="1:4" ht="13.5" customHeight="1" x14ac:dyDescent="0.3">
      <c r="A412" s="132"/>
    </row>
    <row r="413" spans="1:4" ht="13.5" customHeight="1" x14ac:dyDescent="0.3">
      <c r="A413" s="132"/>
    </row>
    <row r="414" spans="1:4" ht="13.5" customHeight="1" x14ac:dyDescent="0.3">
      <c r="A414" s="132"/>
    </row>
    <row r="415" spans="1:4" ht="13.5" customHeight="1" x14ac:dyDescent="0.3">
      <c r="A415" s="132"/>
    </row>
    <row r="416" spans="1:4" ht="13.5" customHeight="1" x14ac:dyDescent="0.3">
      <c r="A416" s="132"/>
    </row>
    <row r="417" spans="1:1" ht="13.5" customHeight="1" x14ac:dyDescent="0.3">
      <c r="A417" s="132"/>
    </row>
    <row r="418" spans="1:1" ht="13.5" customHeight="1" x14ac:dyDescent="0.3">
      <c r="A418" s="132"/>
    </row>
    <row r="419" spans="1:1" ht="13.5" customHeight="1" x14ac:dyDescent="0.3">
      <c r="A419" s="132"/>
    </row>
    <row r="420" spans="1:1" ht="13.5" customHeight="1" x14ac:dyDescent="0.3">
      <c r="A420" s="132"/>
    </row>
    <row r="421" spans="1:1" ht="13.5" customHeight="1" x14ac:dyDescent="0.3">
      <c r="A421" s="132"/>
    </row>
    <row r="422" spans="1:1" ht="13.5" customHeight="1" x14ac:dyDescent="0.3">
      <c r="A422" s="132"/>
    </row>
    <row r="423" spans="1:1" ht="13.5" customHeight="1" x14ac:dyDescent="0.3">
      <c r="A423" s="132"/>
    </row>
    <row r="424" spans="1:1" ht="13.5" customHeight="1" x14ac:dyDescent="0.3">
      <c r="A424" s="132"/>
    </row>
    <row r="425" spans="1:1" ht="13.5" customHeight="1" x14ac:dyDescent="0.3">
      <c r="A425" s="132"/>
    </row>
    <row r="426" spans="1:1" ht="13.5" customHeight="1" x14ac:dyDescent="0.3">
      <c r="A426" s="132"/>
    </row>
    <row r="427" spans="1:1" ht="13.5" customHeight="1" x14ac:dyDescent="0.3">
      <c r="A427" s="132"/>
    </row>
    <row r="428" spans="1:1" ht="13.5" customHeight="1" x14ac:dyDescent="0.3">
      <c r="A428" s="132"/>
    </row>
    <row r="429" spans="1:1" ht="13.5" customHeight="1" x14ac:dyDescent="0.3">
      <c r="A429" s="132"/>
    </row>
    <row r="430" spans="1:1" ht="13.5" customHeight="1" x14ac:dyDescent="0.3">
      <c r="A430" s="132"/>
    </row>
    <row r="431" spans="1:1" ht="13.5" customHeight="1" x14ac:dyDescent="0.3">
      <c r="A431" s="132"/>
    </row>
    <row r="432" spans="1:1" ht="13.5" customHeight="1" x14ac:dyDescent="0.3">
      <c r="A432" s="132"/>
    </row>
    <row r="433" spans="1:1" ht="13.5" customHeight="1" x14ac:dyDescent="0.3">
      <c r="A433" s="132"/>
    </row>
    <row r="434" spans="1:1" ht="13.5" customHeight="1" x14ac:dyDescent="0.3">
      <c r="A434" s="132"/>
    </row>
    <row r="435" spans="1:1" ht="13.5" customHeight="1" x14ac:dyDescent="0.3">
      <c r="A435" s="132"/>
    </row>
    <row r="436" spans="1:1" ht="13.5" customHeight="1" x14ac:dyDescent="0.3">
      <c r="A436" s="132"/>
    </row>
    <row r="437" spans="1:1" ht="13.5" customHeight="1" x14ac:dyDescent="0.3">
      <c r="A437" s="132"/>
    </row>
    <row r="438" spans="1:1" ht="13.5" customHeight="1" x14ac:dyDescent="0.3">
      <c r="A438" s="132"/>
    </row>
    <row r="439" spans="1:1" ht="13.5" customHeight="1" x14ac:dyDescent="0.3">
      <c r="A439" s="132"/>
    </row>
    <row r="440" spans="1:1" ht="13.5" customHeight="1" x14ac:dyDescent="0.3">
      <c r="A440" s="132"/>
    </row>
    <row r="441" spans="1:1" ht="13.5" customHeight="1" x14ac:dyDescent="0.3">
      <c r="A441" s="132"/>
    </row>
    <row r="442" spans="1:1" ht="13.5" customHeight="1" x14ac:dyDescent="0.3">
      <c r="A442" s="132"/>
    </row>
    <row r="443" spans="1:1" ht="13.5" customHeight="1" x14ac:dyDescent="0.3">
      <c r="A443" s="132"/>
    </row>
    <row r="444" spans="1:1" ht="13.5" customHeight="1" x14ac:dyDescent="0.3">
      <c r="A444" s="132"/>
    </row>
    <row r="445" spans="1:1" ht="13.5" customHeight="1" x14ac:dyDescent="0.3">
      <c r="A445" s="132"/>
    </row>
    <row r="446" spans="1:1" ht="13.5" customHeight="1" x14ac:dyDescent="0.3">
      <c r="A446" s="132"/>
    </row>
    <row r="447" spans="1:1" ht="13.5" customHeight="1" x14ac:dyDescent="0.3">
      <c r="A447" s="132"/>
    </row>
    <row r="448" spans="1:1" ht="13.5" customHeight="1" x14ac:dyDescent="0.3">
      <c r="A448" s="132"/>
    </row>
    <row r="449" spans="1:4" ht="13.5" customHeight="1" x14ac:dyDescent="0.3">
      <c r="A449" s="132"/>
    </row>
    <row r="450" spans="1:4" ht="13.5" customHeight="1" x14ac:dyDescent="0.3">
      <c r="A450" s="132"/>
    </row>
    <row r="451" spans="1:4" ht="13.5" customHeight="1" x14ac:dyDescent="0.3">
      <c r="A451" s="132" t="s">
        <v>125</v>
      </c>
    </row>
    <row r="452" spans="1:4" ht="13.5" customHeight="1" x14ac:dyDescent="0.3">
      <c r="A452" s="132"/>
      <c r="C452" s="130" t="s">
        <v>159</v>
      </c>
      <c r="D452" s="131"/>
    </row>
    <row r="453" spans="1:4" ht="13.5" customHeight="1" x14ac:dyDescent="0.3">
      <c r="A453" s="132"/>
      <c r="C453" s="42" t="s">
        <v>126</v>
      </c>
      <c r="D453" s="43" t="s">
        <v>127</v>
      </c>
    </row>
    <row r="454" spans="1:4" ht="13.5" customHeight="1" x14ac:dyDescent="0.3">
      <c r="A454" s="132"/>
      <c r="C454" s="44" t="s">
        <v>131</v>
      </c>
      <c r="D454" s="45">
        <v>0</v>
      </c>
    </row>
    <row r="455" spans="1:4" ht="13.5" customHeight="1" x14ac:dyDescent="0.3">
      <c r="A455" s="132"/>
      <c r="C455" s="46" t="s">
        <v>133</v>
      </c>
      <c r="D455" s="47">
        <v>0</v>
      </c>
    </row>
    <row r="456" spans="1:4" ht="13.5" customHeight="1" x14ac:dyDescent="0.3">
      <c r="A456" s="132"/>
      <c r="C456" s="44" t="s">
        <v>71</v>
      </c>
      <c r="D456" s="45">
        <v>0</v>
      </c>
    </row>
    <row r="457" spans="1:4" ht="13.5" customHeight="1" x14ac:dyDescent="0.3">
      <c r="A457" s="132"/>
      <c r="C457" s="46" t="s">
        <v>72</v>
      </c>
      <c r="D457" s="47">
        <v>0</v>
      </c>
    </row>
    <row r="458" spans="1:4" ht="13.5" customHeight="1" x14ac:dyDescent="0.3">
      <c r="A458" s="132"/>
      <c r="C458" s="44" t="s">
        <v>123</v>
      </c>
      <c r="D458" s="45">
        <v>0</v>
      </c>
    </row>
    <row r="459" spans="1:4" ht="13.5" customHeight="1" x14ac:dyDescent="0.3">
      <c r="A459" s="132"/>
      <c r="C459" s="46" t="s">
        <v>67</v>
      </c>
      <c r="D459" s="47">
        <v>0</v>
      </c>
    </row>
    <row r="460" spans="1:4" ht="13.5" customHeight="1" x14ac:dyDescent="0.3">
      <c r="A460" s="132"/>
      <c r="C460" s="44" t="s">
        <v>68</v>
      </c>
      <c r="D460" s="45">
        <v>0</v>
      </c>
    </row>
    <row r="461" spans="1:4" ht="13.5" customHeight="1" x14ac:dyDescent="0.3">
      <c r="A461" s="132"/>
    </row>
    <row r="462" spans="1:4" ht="13.5" customHeight="1" x14ac:dyDescent="0.3">
      <c r="A462" s="132"/>
    </row>
    <row r="463" spans="1:4" ht="13.5" customHeight="1" x14ac:dyDescent="0.3">
      <c r="A463" s="132"/>
    </row>
    <row r="464" spans="1:4" ht="13.5" customHeight="1" x14ac:dyDescent="0.3">
      <c r="A464" s="132"/>
    </row>
    <row r="465" spans="1:1" ht="13.5" customHeight="1" x14ac:dyDescent="0.3">
      <c r="A465" s="132"/>
    </row>
    <row r="466" spans="1:1" ht="13.5" customHeight="1" x14ac:dyDescent="0.3">
      <c r="A466" s="132"/>
    </row>
    <row r="467" spans="1:1" ht="13.5" customHeight="1" x14ac:dyDescent="0.3">
      <c r="A467" s="132"/>
    </row>
    <row r="468" spans="1:1" ht="13.5" customHeight="1" x14ac:dyDescent="0.3">
      <c r="A468" s="132"/>
    </row>
    <row r="469" spans="1:1" ht="13.5" customHeight="1" x14ac:dyDescent="0.3">
      <c r="A469" s="132"/>
    </row>
    <row r="470" spans="1:1" ht="13.5" customHeight="1" x14ac:dyDescent="0.3">
      <c r="A470" s="132"/>
    </row>
    <row r="471" spans="1:1" ht="13.5" customHeight="1" x14ac:dyDescent="0.3">
      <c r="A471" s="132"/>
    </row>
    <row r="472" spans="1:1" ht="13.5" customHeight="1" x14ac:dyDescent="0.3">
      <c r="A472" s="132"/>
    </row>
    <row r="473" spans="1:1" ht="13.5" customHeight="1" x14ac:dyDescent="0.3">
      <c r="A473" s="132"/>
    </row>
    <row r="474" spans="1:1" ht="13.5" customHeight="1" x14ac:dyDescent="0.3">
      <c r="A474" s="132"/>
    </row>
    <row r="475" spans="1:1" ht="13.5" customHeight="1" x14ac:dyDescent="0.3">
      <c r="A475" s="132"/>
    </row>
    <row r="476" spans="1:1" ht="13.5" customHeight="1" x14ac:dyDescent="0.3">
      <c r="A476" s="132"/>
    </row>
    <row r="477" spans="1:1" ht="13.5" customHeight="1" x14ac:dyDescent="0.3">
      <c r="A477" s="132"/>
    </row>
    <row r="478" spans="1:1" ht="13.5" customHeight="1" x14ac:dyDescent="0.3">
      <c r="A478" s="132"/>
    </row>
    <row r="479" spans="1:1" ht="13.5" customHeight="1" x14ac:dyDescent="0.3">
      <c r="A479" s="132"/>
    </row>
    <row r="480" spans="1:1" ht="13.5" customHeight="1" x14ac:dyDescent="0.3">
      <c r="A480" s="132"/>
    </row>
    <row r="481" spans="1:1" ht="13.5" customHeight="1" x14ac:dyDescent="0.3">
      <c r="A481" s="132"/>
    </row>
    <row r="482" spans="1:1" ht="13.5" customHeight="1" x14ac:dyDescent="0.3">
      <c r="A482" s="132"/>
    </row>
    <row r="483" spans="1:1" ht="13.5" customHeight="1" x14ac:dyDescent="0.3">
      <c r="A483" s="132"/>
    </row>
    <row r="484" spans="1:1" ht="13.5" customHeight="1" x14ac:dyDescent="0.3">
      <c r="A484" s="132"/>
    </row>
    <row r="485" spans="1:1" ht="13.5" customHeight="1" x14ac:dyDescent="0.3">
      <c r="A485" s="132"/>
    </row>
    <row r="486" spans="1:1" ht="13.5" customHeight="1" x14ac:dyDescent="0.3">
      <c r="A486" s="132"/>
    </row>
    <row r="487" spans="1:1" ht="13.5" customHeight="1" x14ac:dyDescent="0.3">
      <c r="A487" s="132"/>
    </row>
    <row r="488" spans="1:1" ht="13.5" customHeight="1" x14ac:dyDescent="0.3">
      <c r="A488" s="132"/>
    </row>
    <row r="489" spans="1:1" ht="13.5" customHeight="1" x14ac:dyDescent="0.3">
      <c r="A489" s="132"/>
    </row>
    <row r="490" spans="1:1" ht="13.5" customHeight="1" x14ac:dyDescent="0.3">
      <c r="A490" s="132"/>
    </row>
    <row r="491" spans="1:1" ht="13.5" customHeight="1" x14ac:dyDescent="0.3">
      <c r="A491" s="132"/>
    </row>
    <row r="492" spans="1:1" ht="13.5" customHeight="1" x14ac:dyDescent="0.3">
      <c r="A492" s="132"/>
    </row>
    <row r="493" spans="1:1" ht="13.5" customHeight="1" x14ac:dyDescent="0.3">
      <c r="A493" s="132"/>
    </row>
    <row r="494" spans="1:1" ht="13.5" customHeight="1" x14ac:dyDescent="0.3">
      <c r="A494" s="132"/>
    </row>
    <row r="495" spans="1:1" ht="13.5" customHeight="1" x14ac:dyDescent="0.3">
      <c r="A495" s="132"/>
    </row>
    <row r="496" spans="1:1" ht="13.5" customHeight="1" x14ac:dyDescent="0.3">
      <c r="A496" s="132"/>
    </row>
    <row r="497" spans="1:4" ht="13.5" customHeight="1" x14ac:dyDescent="0.3">
      <c r="A497" s="132"/>
    </row>
    <row r="498" spans="1:4" ht="13.5" customHeight="1" x14ac:dyDescent="0.3">
      <c r="A498" s="132"/>
    </row>
    <row r="499" spans="1:4" ht="13.5" customHeight="1" x14ac:dyDescent="0.3">
      <c r="A499" s="132"/>
    </row>
    <row r="500" spans="1:4" ht="13.5" customHeight="1" x14ac:dyDescent="0.3">
      <c r="A500" s="132"/>
    </row>
    <row r="501" spans="1:4" ht="13.5" customHeight="1" x14ac:dyDescent="0.3">
      <c r="A501" s="132" t="s">
        <v>125</v>
      </c>
    </row>
    <row r="502" spans="1:4" ht="13.5" customHeight="1" x14ac:dyDescent="0.3">
      <c r="A502" s="132"/>
      <c r="C502" s="130" t="s">
        <v>160</v>
      </c>
      <c r="D502" s="131"/>
    </row>
    <row r="503" spans="1:4" ht="13.5" customHeight="1" x14ac:dyDescent="0.3">
      <c r="A503" s="132"/>
      <c r="C503" s="42" t="s">
        <v>126</v>
      </c>
      <c r="D503" s="43" t="s">
        <v>127</v>
      </c>
    </row>
    <row r="504" spans="1:4" ht="13.5" customHeight="1" x14ac:dyDescent="0.3">
      <c r="A504" s="132"/>
      <c r="C504" s="44" t="s">
        <v>131</v>
      </c>
      <c r="D504" s="45">
        <v>0</v>
      </c>
    </row>
    <row r="505" spans="1:4" ht="13.5" customHeight="1" x14ac:dyDescent="0.3">
      <c r="A505" s="132"/>
      <c r="C505" s="46" t="s">
        <v>133</v>
      </c>
      <c r="D505" s="47">
        <v>0</v>
      </c>
    </row>
    <row r="506" spans="1:4" ht="13.5" customHeight="1" x14ac:dyDescent="0.3">
      <c r="A506" s="132"/>
      <c r="C506" s="44" t="s">
        <v>71</v>
      </c>
      <c r="D506" s="45">
        <v>0</v>
      </c>
    </row>
    <row r="507" spans="1:4" ht="13.5" customHeight="1" x14ac:dyDescent="0.3">
      <c r="A507" s="132"/>
      <c r="C507" s="46" t="s">
        <v>72</v>
      </c>
      <c r="D507" s="47">
        <v>0</v>
      </c>
    </row>
    <row r="508" spans="1:4" ht="13.5" customHeight="1" x14ac:dyDescent="0.3">
      <c r="A508" s="132"/>
      <c r="C508" s="44" t="s">
        <v>123</v>
      </c>
      <c r="D508" s="45">
        <v>0</v>
      </c>
    </row>
    <row r="509" spans="1:4" ht="13.5" customHeight="1" x14ac:dyDescent="0.3">
      <c r="A509" s="132"/>
      <c r="C509" s="46" t="s">
        <v>67</v>
      </c>
      <c r="D509" s="47">
        <v>0</v>
      </c>
    </row>
    <row r="510" spans="1:4" ht="13.5" customHeight="1" x14ac:dyDescent="0.3">
      <c r="A510" s="132"/>
      <c r="C510" s="44" t="s">
        <v>68</v>
      </c>
      <c r="D510" s="45">
        <v>0</v>
      </c>
    </row>
    <row r="511" spans="1:4" ht="13.5" customHeight="1" x14ac:dyDescent="0.3">
      <c r="A511" s="132"/>
    </row>
    <row r="512" spans="1:4" ht="13.5" customHeight="1" x14ac:dyDescent="0.3">
      <c r="A512" s="132"/>
    </row>
    <row r="513" spans="1:1" ht="13.5" customHeight="1" x14ac:dyDescent="0.3">
      <c r="A513" s="132"/>
    </row>
    <row r="514" spans="1:1" ht="13.5" customHeight="1" x14ac:dyDescent="0.3">
      <c r="A514" s="132"/>
    </row>
    <row r="515" spans="1:1" ht="13.5" customHeight="1" x14ac:dyDescent="0.3">
      <c r="A515" s="132"/>
    </row>
    <row r="516" spans="1:1" ht="13.5" customHeight="1" x14ac:dyDescent="0.3">
      <c r="A516" s="132"/>
    </row>
    <row r="517" spans="1:1" ht="13.5" customHeight="1" x14ac:dyDescent="0.3">
      <c r="A517" s="132"/>
    </row>
    <row r="518" spans="1:1" ht="13.5" customHeight="1" x14ac:dyDescent="0.3">
      <c r="A518" s="132"/>
    </row>
    <row r="519" spans="1:1" ht="13.5" customHeight="1" x14ac:dyDescent="0.3">
      <c r="A519" s="132"/>
    </row>
    <row r="520" spans="1:1" ht="13.5" customHeight="1" x14ac:dyDescent="0.3">
      <c r="A520" s="132"/>
    </row>
    <row r="521" spans="1:1" ht="13.5" customHeight="1" x14ac:dyDescent="0.3">
      <c r="A521" s="132"/>
    </row>
    <row r="522" spans="1:1" ht="13.5" customHeight="1" x14ac:dyDescent="0.3">
      <c r="A522" s="132"/>
    </row>
    <row r="523" spans="1:1" ht="13.5" customHeight="1" x14ac:dyDescent="0.3">
      <c r="A523" s="132"/>
    </row>
    <row r="524" spans="1:1" ht="13.5" customHeight="1" x14ac:dyDescent="0.3">
      <c r="A524" s="132"/>
    </row>
    <row r="525" spans="1:1" ht="13.5" customHeight="1" x14ac:dyDescent="0.3">
      <c r="A525" s="132"/>
    </row>
    <row r="526" spans="1:1" ht="13.5" customHeight="1" x14ac:dyDescent="0.3">
      <c r="A526" s="132"/>
    </row>
    <row r="527" spans="1:1" ht="13.5" customHeight="1" x14ac:dyDescent="0.3">
      <c r="A527" s="132"/>
    </row>
    <row r="528" spans="1:1" ht="13.5" customHeight="1" x14ac:dyDescent="0.3">
      <c r="A528" s="132"/>
    </row>
    <row r="529" spans="1:1" ht="13.5" customHeight="1" x14ac:dyDescent="0.3">
      <c r="A529" s="132"/>
    </row>
    <row r="530" spans="1:1" ht="13.5" customHeight="1" x14ac:dyDescent="0.3">
      <c r="A530" s="132"/>
    </row>
    <row r="531" spans="1:1" ht="13.5" customHeight="1" x14ac:dyDescent="0.3">
      <c r="A531" s="132"/>
    </row>
    <row r="532" spans="1:1" ht="13.5" customHeight="1" x14ac:dyDescent="0.3">
      <c r="A532" s="132"/>
    </row>
    <row r="533" spans="1:1" ht="13.5" customHeight="1" x14ac:dyDescent="0.3">
      <c r="A533" s="132"/>
    </row>
    <row r="534" spans="1:1" ht="13.5" customHeight="1" x14ac:dyDescent="0.3">
      <c r="A534" s="132"/>
    </row>
    <row r="535" spans="1:1" ht="13.5" customHeight="1" x14ac:dyDescent="0.3">
      <c r="A535" s="132"/>
    </row>
    <row r="536" spans="1:1" ht="13.5" customHeight="1" x14ac:dyDescent="0.3">
      <c r="A536" s="132"/>
    </row>
    <row r="537" spans="1:1" ht="13.5" customHeight="1" x14ac:dyDescent="0.3">
      <c r="A537" s="132"/>
    </row>
    <row r="538" spans="1:1" ht="13.5" customHeight="1" x14ac:dyDescent="0.3">
      <c r="A538" s="132"/>
    </row>
    <row r="539" spans="1:1" ht="13.5" customHeight="1" x14ac:dyDescent="0.3">
      <c r="A539" s="132"/>
    </row>
    <row r="540" spans="1:1" ht="13.5" customHeight="1" x14ac:dyDescent="0.3">
      <c r="A540" s="132"/>
    </row>
    <row r="541" spans="1:1" ht="13.5" customHeight="1" x14ac:dyDescent="0.3">
      <c r="A541" s="132"/>
    </row>
    <row r="542" spans="1:1" ht="13.5" customHeight="1" x14ac:dyDescent="0.3">
      <c r="A542" s="132"/>
    </row>
    <row r="543" spans="1:1" ht="13.5" customHeight="1" x14ac:dyDescent="0.3">
      <c r="A543" s="132"/>
    </row>
    <row r="544" spans="1:1" ht="13.5" customHeight="1" x14ac:dyDescent="0.3">
      <c r="A544" s="132"/>
    </row>
    <row r="545" spans="1:1" ht="13.5" customHeight="1" x14ac:dyDescent="0.3">
      <c r="A545" s="132"/>
    </row>
    <row r="546" spans="1:1" ht="13.5" customHeight="1" x14ac:dyDescent="0.3">
      <c r="A546" s="132"/>
    </row>
    <row r="547" spans="1:1" ht="13.5" customHeight="1" x14ac:dyDescent="0.3">
      <c r="A547" s="132"/>
    </row>
    <row r="548" spans="1:1" ht="13.5" customHeight="1" x14ac:dyDescent="0.3">
      <c r="A548" s="132"/>
    </row>
    <row r="549" spans="1:1" ht="13.5" customHeight="1" x14ac:dyDescent="0.3">
      <c r="A549" s="132"/>
    </row>
    <row r="550" spans="1:1" ht="13.5" customHeight="1" x14ac:dyDescent="0.3">
      <c r="A550" s="132"/>
    </row>
  </sheetData>
  <mergeCells count="22">
    <mergeCell ref="A201:A250"/>
    <mergeCell ref="A251:A300"/>
    <mergeCell ref="C2:D2"/>
    <mergeCell ref="C52:D52"/>
    <mergeCell ref="C102:D102"/>
    <mergeCell ref="C152:D152"/>
    <mergeCell ref="A1:A50"/>
    <mergeCell ref="A51:A100"/>
    <mergeCell ref="A101:A150"/>
    <mergeCell ref="A151:A200"/>
    <mergeCell ref="A301:A350"/>
    <mergeCell ref="A351:A400"/>
    <mergeCell ref="A401:A450"/>
    <mergeCell ref="A451:A500"/>
    <mergeCell ref="A501:A550"/>
    <mergeCell ref="C502:D502"/>
    <mergeCell ref="C202:D202"/>
    <mergeCell ref="C252:D252"/>
    <mergeCell ref="C302:D302"/>
    <mergeCell ref="C352:D352"/>
    <mergeCell ref="C402:D402"/>
    <mergeCell ref="C452:D452"/>
  </mergeCells>
  <phoneticPr fontId="1" type="noConversion"/>
  <hyperlinks>
    <hyperlink ref="A1:A50" location="第一页周报!J9" display="◀返回首页"/>
    <hyperlink ref="A51:A100" location="第一页周报!J10" display="◀返回首页"/>
    <hyperlink ref="A101:A150" location="第一页周报!J12" display="◀返回首页"/>
    <hyperlink ref="A151:A200" location="第一页周报!J13" display="◀返回首页"/>
    <hyperlink ref="A201:A250" location="第一页周报!J14" display="◀返回首页"/>
    <hyperlink ref="A251:A300" location="第一页周报!J15" display="◀返回首页"/>
    <hyperlink ref="A301:A350" location="第一页周报!J16" display="◀返回首页"/>
    <hyperlink ref="A351:A400" location="第一页周报!J17" display="◀返回首页"/>
    <hyperlink ref="A401:A450" location="第一页周报!J18" display="◀返回首页"/>
    <hyperlink ref="A451:A500" location="第一页周报!J19" display="◀返回首页"/>
    <hyperlink ref="A501:A550" location="第一页周报!J25" display="◀返回首页"/>
  </hyperlinks>
  <pageMargins left="0.7" right="0.7" top="0.75" bottom="0.75" header="0.3" footer="0.3"/>
  <pageSetup paperSize="9" scale="32" orientation="portrait" verticalDpi="0" r:id="rId1"/>
  <rowBreaks count="10" manualBreakCount="10">
    <brk id="50" max="16383" man="1" pt="0"/>
    <brk id="100" max="16383" man="1" pt="0"/>
    <brk id="150" max="16383" man="1" pt="0"/>
    <brk id="200" max="16383" man="1" pt="0"/>
    <brk id="250" max="16383" man="1" pt="0"/>
    <brk id="300" max="16383" man="1" pt="0"/>
    <brk id="350" max="16383" man="1" pt="0"/>
    <brk id="400" max="16383" man="1" pt="0"/>
    <brk id="450" max="16383" man="1" pt="0"/>
    <brk id="500" max="16383" man="1" pt="0"/>
  </rowBreaks>
  <drawing r:id="rId2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912736AF-A88F-4ACA-8CE1-FF51A6C3F4E0}">
  <ds:schemaRefs>
    <ds:schemaRef ds:uri="http://schemas.microsoft.com/DataMashup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baseType="lpstr" size="10">
      <vt:lpstr>第一页周报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第七页能耗</vt:lpstr>
      <vt:lpstr>第八页废液检测</vt:lpstr>
      <vt:lpstr>曲线汇总</vt:lpstr>
      <vt:lpstr>曲线汇总!Print_Area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2026-06-08T06:08:21Z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