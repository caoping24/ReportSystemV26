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alcChain.xml" ContentType="application/vnd.openxmlformats-officedocument.spreadsheetml.calcChain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bookViews>
    <workbookView xWindow="57480" yWindow="-120" windowWidth="29040" windowHeight="15840" tabRatio="967" firstSheet="1" activeTab="8"/>
  </bookViews>
  <sheets>
    <sheet name="第一页" sheetId="1" r:id="rId1"/>
    <sheet name="第二页反应工序" sheetId="2" r:id="rId2"/>
    <sheet name="第三页反应液分析数据" sheetId="5" r:id="rId3"/>
    <sheet name="第四页闪蒸工序" sheetId="3" r:id="rId4"/>
    <sheet name="第五页一次结晶工序" sheetId="6" r:id="rId5"/>
    <sheet name="第六页产品分析指标" sheetId="7" r:id="rId6"/>
    <sheet name="第七页产品收率分析表" sheetId="8" r:id="rId7"/>
    <sheet name="第八页周汇总数据" sheetId="15" r:id="rId8"/>
    <sheet name="第九页低蒸工序" sheetId="9" r:id="rId9"/>
    <sheet name="第十页脱色工序" sheetId="16" r:id="rId10"/>
    <sheet name="第十一页二次结晶工序" sheetId="10" r:id="rId11"/>
    <sheet name="第十二页产品原料单耗" sheetId="12" r:id="rId12"/>
    <sheet name="第十三页周核心指标完成情况" sheetId="14" r:id="rId13"/>
  </sheets>
  <calcPr calcId="181029"/>
  <extLst>
    <ext uri="{140A7094-0E35-4892-8432-C4D2E57EDEB5}">
      <x15:workbookPr xmlns:x15="http://schemas.microsoft.com/office/spreadsheetml/2010/11/main" chartTrackingRefBase="1"/>
    </ext>
    <ext uri="{B58B0392-4F1F-4190-BB64-5DF3571DCE5F}">
      <xcalcf:calcFeatures xmlns:xcalcf="http://schemas.microsoft.com/office/spreadsheetml/2018/calcfeatures"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15" i="15" l="1"/>
  <c r="D13" i="16" l="1"/>
  <c r="U19" i="7"/>
  <c r="R19" i="7" s="1"/>
  <c r="P19" i="7"/>
  <c r="O19" i="7"/>
  <c r="H19" i="7"/>
  <c r="V19" i="7" s="1"/>
  <c r="P16" i="7"/>
  <c r="S19" i="7" l="1"/>
  <c r="Q19" i="7"/>
  <c r="T19" i="7"/>
  <c r="W22" i="12" l="1"/>
  <c r="U22" i="12"/>
  <c r="S22" i="12"/>
  <c r="Q22" i="12"/>
  <c r="O22" i="12"/>
  <c r="M22" i="12"/>
  <c r="K22" i="12"/>
  <c r="I22" i="12"/>
  <c r="G22" i="12"/>
  <c r="W21" i="12"/>
  <c r="U21" i="12"/>
  <c r="S21" i="12"/>
  <c r="Q21" i="12"/>
  <c r="O21" i="12"/>
  <c r="M21" i="12"/>
  <c r="K21" i="12"/>
  <c r="I21" i="12"/>
  <c r="G21" i="12"/>
  <c r="W20" i="12"/>
  <c r="U20" i="12"/>
  <c r="S20" i="12"/>
  <c r="Q20" i="12"/>
  <c r="O20" i="12"/>
  <c r="M20" i="12"/>
  <c r="K20" i="12"/>
  <c r="I20" i="12"/>
  <c r="G20" i="12"/>
  <c r="E20" i="12"/>
  <c r="W17" i="12"/>
  <c r="U17" i="12"/>
  <c r="S17" i="12"/>
  <c r="Q17" i="12"/>
  <c r="O17" i="12"/>
  <c r="M17" i="12"/>
  <c r="K17" i="12"/>
  <c r="I17" i="12"/>
  <c r="G17" i="12"/>
  <c r="E17" i="12"/>
  <c r="Q23" i="12" l="1"/>
  <c r="O23" i="12"/>
  <c r="U23" i="12"/>
  <c r="M23" i="12"/>
  <c r="S23" i="12"/>
  <c r="W23" i="12"/>
  <c r="E23" i="12"/>
  <c r="G23" i="12"/>
  <c r="I23" i="12"/>
  <c r="K23" i="12"/>
  <c r="I9" i="6"/>
  <c r="J9" i="6" s="1"/>
  <c r="I7" i="6"/>
  <c r="J7" i="6" s="1"/>
  <c r="I8" i="6"/>
  <c r="J8" i="6" s="1"/>
  <c r="E9" i="6"/>
  <c r="F9" i="6" s="1"/>
  <c r="E8" i="6"/>
  <c r="F8" i="6" s="1"/>
  <c r="E7" i="6"/>
  <c r="F7" i="6" s="1"/>
  <c r="G10" i="5" l="1"/>
  <c r="F10" i="5"/>
  <c r="E10" i="5"/>
  <c r="D10" i="5"/>
  <c r="C10" i="5"/>
  <c r="C13" i="16" l="1"/>
  <c r="E8" i="7"/>
  <c r="E7" i="7"/>
  <c r="E6" i="7"/>
  <c r="E13" i="16"/>
  <c r="M20" i="15"/>
  <c r="M18" i="15"/>
  <c r="L15" i="15"/>
  <c r="K15" i="15"/>
  <c r="J15" i="15"/>
  <c r="I15" i="15"/>
  <c r="H15" i="15"/>
  <c r="G15" i="15"/>
  <c r="F15" i="15"/>
  <c r="E15" i="15"/>
  <c r="M14" i="15"/>
  <c r="M13" i="15"/>
  <c r="M12" i="15"/>
  <c r="M10" i="15"/>
  <c r="M9" i="15"/>
  <c r="M8" i="15"/>
  <c r="E7" i="9"/>
  <c r="M15" i="15" l="1"/>
</calcChain>
</file>

<file path=xl/comments1.xml><?xml version="1.0" encoding="utf-8"?>
<comments xmlns="http://schemas.openxmlformats.org/spreadsheetml/2006/main">
  <authors>
    <author>熊茂盛</author>
  </authors>
  <commentList>
    <comment ref="C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=FT-05141当周累计/当周实际运行时间，下同</t>
        </r>
      </text>
    </comment>
    <comment ref="D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=FT-05142当周累计/当周实际运行时间，下同</t>
        </r>
      </text>
    </comment>
    <comment ref="E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=FT-05213当周累计/当周实际运行时间，下同</t>
        </r>
      </text>
    </comment>
    <comment ref="F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=AT-05140当周记录的平均值，下同</t>
        </r>
      </text>
    </comment>
    <comment ref="G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=PT-05311当周运行记录的平均值，下同</t>
        </r>
      </text>
    </comment>
    <comment ref="H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=TT-05312当周记录的平均值，下同</t>
        </r>
      </text>
    </comment>
    <comment ref="I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=TT-05300当周运行记录的平均值，下同</t>
        </r>
      </text>
    </comment>
    <comment ref="J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=PT-05317当周运行记录的平均值，下同</t>
        </r>
      </text>
    </comment>
    <comment ref="K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=TT-05316当周运行记录的平均值，下同</t>
        </r>
      </text>
    </comment>
  </commentList>
</comments>
</file>

<file path=xl/comments2.xml><?xml version="1.0" encoding="utf-8"?>
<comments xmlns="http://schemas.openxmlformats.org/spreadsheetml/2006/main">
  <authors>
    <author>熊茂盛</author>
  </authors>
  <commentList>
    <comment ref="C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=当周检测数据平均值，下同</t>
        </r>
      </text>
    </comment>
    <comment ref="C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=当周检测数据平均值，下同</t>
        </r>
      </text>
    </comment>
    <comment ref="C9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=当月检测数据平均值，下同</t>
        </r>
      </text>
    </comment>
    <comment ref="G9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=FT-05411该月累计值/实际运行时间，其他同</t>
        </r>
      </text>
    </comment>
    <comment ref="C10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两周值做减法所得，下同</t>
        </r>
      </text>
    </comment>
  </commentList>
</comments>
</file>

<file path=xl/comments3.xml><?xml version="1.0" encoding="utf-8"?>
<comments xmlns="http://schemas.openxmlformats.org/spreadsheetml/2006/main">
  <authors>
    <author>熊茂盛</author>
  </authors>
  <commentList>
    <comment ref="C6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作为参考数据，手工填写，其他同</t>
        </r>
      </text>
    </comment>
    <comment ref="C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=当周检测数据平均值，下同</t>
        </r>
      </text>
    </comment>
    <comment ref="D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=当周检测数据平均值，下同</t>
        </r>
      </text>
    </comment>
    <comment ref="E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=当周检测数据平均值，下同</t>
        </r>
      </text>
    </comment>
    <comment ref="F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=当周检测数据平均值，下同</t>
        </r>
      </text>
    </comment>
    <comment ref="G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=当周检测数据平均值，下同</t>
        </r>
      </text>
    </comment>
    <comment ref="H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=PT-07145当周记录数据平均值，下同</t>
        </r>
      </text>
    </comment>
    <comment ref="I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=TT-07152当周记录数据平均值，下同</t>
        </r>
      </text>
    </comment>
    <comment ref="C10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参考数据，手工填写，其他同</t>
        </r>
      </text>
    </comment>
  </commentList>
</comments>
</file>

<file path=xl/comments4.xml><?xml version="1.0" encoding="utf-8"?>
<comments xmlns="http://schemas.openxmlformats.org/spreadsheetml/2006/main">
  <authors>
    <author>熊茂盛</author>
  </authors>
  <commentList>
    <comment ref="C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
</t>
        </r>
        <r>
          <rPr>
            <sz val="9"/>
            <color indexed="81"/>
            <rFont val="宋体"/>
            <family val="3"/>
            <charset val="134"/>
          </rPr>
          <t xml:space="preserve">=本年度检测数据取平均值，其他同</t>
        </r>
      </text>
    </comment>
    <comment ref="E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计算所得，下同</t>
        </r>
      </text>
    </comment>
    <comment ref="F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计算所得，下同</t>
        </r>
      </text>
    </comment>
    <comment ref="G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
</t>
        </r>
        <r>
          <rPr>
            <sz val="9"/>
            <color indexed="81"/>
            <rFont val="宋体"/>
            <family val="3"/>
            <charset val="134"/>
          </rPr>
          <t xml:space="preserve">=本年度检测数据取平均值，其他同</t>
        </r>
      </text>
    </comment>
    <comment ref="I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计算所得，下同</t>
        </r>
      </text>
    </comment>
    <comment ref="J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计算所得，下同</t>
        </r>
      </text>
    </comment>
    <comment ref="C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=当周检测数据取平均值，其他同</t>
        </r>
      </text>
    </comment>
    <comment ref="G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=当周检测数据取平均值，其他同</t>
        </r>
      </text>
    </comment>
    <comment ref="C9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=当周检测数据取平均值，其他同</t>
        </r>
      </text>
    </comment>
    <comment ref="G9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=当周检测数据取平均值，其他同</t>
        </r>
      </text>
    </comment>
  </commentList>
</comments>
</file>

<file path=xl/comments5.xml><?xml version="1.0" encoding="utf-8"?>
<comments xmlns="http://schemas.openxmlformats.org/spreadsheetml/2006/main">
  <authors>
    <author>熊茂盛</author>
  </authors>
  <commentList>
    <comment ref="C6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=当周检测数据取平均值，下同</t>
        </r>
      </text>
    </comment>
    <comment ref="D6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=当周检测数据取平均值，下同</t>
        </r>
      </text>
    </comment>
    <comment ref="E6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计算所得，下同</t>
        </r>
      </text>
    </comment>
    <comment ref="B14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送检出结果后，人工填写</t>
        </r>
      </text>
    </comment>
    <comment ref="D14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送检出结果后人工填写</t>
        </r>
      </text>
    </comment>
    <comment ref="E14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送检出结果后人工填写</t>
        </r>
      </text>
    </comment>
    <comment ref="F14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送检出结果后人工填写</t>
        </r>
      </text>
    </comment>
    <comment ref="G14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以库房称量为准，人工填写</t>
        </r>
      </text>
    </comment>
    <comment ref="H14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公式自行计算</t>
        </r>
      </text>
    </comment>
    <comment ref="I14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送检出结果后，人工填写</t>
        </r>
      </text>
    </comment>
    <comment ref="L14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送检出结果后，人工填写</t>
        </r>
      </text>
    </comment>
    <comment ref="M14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送检出结果后，人工填写</t>
        </r>
      </text>
    </comment>
    <comment ref="N14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以库房称量为准，人工填写</t>
        </r>
      </text>
    </comment>
    <comment ref="O14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公式自行计算</t>
        </r>
      </text>
    </comment>
    <comment ref="P14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公式自行计算</t>
        </r>
      </text>
    </comment>
    <comment ref="R14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公式自行计算</t>
        </r>
      </text>
    </comment>
    <comment ref="S14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公式自行计算</t>
        </r>
      </text>
    </comment>
    <comment ref="T14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公式自行计算</t>
        </r>
      </text>
    </comment>
    <comment ref="U14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公式自行计算</t>
        </r>
      </text>
    </comment>
    <comment ref="V14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公式自行计算</t>
        </r>
      </text>
    </comment>
  </commentList>
</comments>
</file>

<file path=xl/comments6.xml><?xml version="1.0" encoding="utf-8"?>
<comments xmlns="http://schemas.openxmlformats.org/spreadsheetml/2006/main">
  <authors>
    <author>熊茂盛</author>
  </authors>
  <commentList>
    <comment ref="C6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折干产量 = 当月累产量/当月班数，其他同</t>
        </r>
      </text>
    </comment>
  </commentList>
</comments>
</file>

<file path=xl/comments7.xml><?xml version="1.0" encoding="utf-8"?>
<comments xmlns="http://schemas.openxmlformats.org/spreadsheetml/2006/main">
  <authors>
    <author>熊茂盛</author>
  </authors>
  <commentList>
    <comment ref="C9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=FT-07122当周累计量/实际运行时间</t>
        </r>
      </text>
    </comment>
    <comment ref="D9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=FT-07122当周累计量/实际运行时间</t>
        </r>
      </text>
    </comment>
    <comment ref="E9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计算得出=进料总量/出料总量</t>
        </r>
      </text>
    </comment>
    <comment ref="F9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AT-07137每次出料记录的平均值</t>
        </r>
      </text>
    </comment>
    <comment ref="G9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=FT-07126当周累计值/实际运行时间</t>
        </r>
      </text>
    </comment>
    <comment ref="C13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=当周检测数据取平均值，下同</t>
        </r>
      </text>
    </comment>
    <comment ref="D13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=当周检测数据取平均值，下同</t>
        </r>
      </text>
    </comment>
  </commentList>
</comments>
</file>

<file path=xl/comments8.xml><?xml version="1.0" encoding="utf-8"?>
<comments xmlns="http://schemas.openxmlformats.org/spreadsheetml/2006/main">
  <authors>
    <author>熊茂盛</author>
  </authors>
  <commentList>
    <comment ref="C6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当周活性炭总用量/脱色液总量（FT-06524当周累计量），下同</t>
        </r>
      </text>
    </comment>
    <comment ref="D6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=当周检测值取平均值，下同</t>
        </r>
      </text>
    </comment>
    <comment ref="C11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=当周检测值取平均值</t>
        </r>
      </text>
    </comment>
    <comment ref="D11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=当周检测值取平均值</t>
        </r>
      </text>
    </comment>
    <comment ref="E11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当周检测值取平均值</t>
        </r>
      </text>
    </comment>
    <comment ref="E12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当周检测值取平均值</t>
        </r>
      </text>
    </comment>
  </commentList>
</comments>
</file>

<file path=xl/comments9.xml><?xml version="1.0" encoding="utf-8"?>
<comments xmlns="http://schemas.openxmlformats.org/spreadsheetml/2006/main">
  <authors>
    <author>熊茂盛</author>
  </authors>
  <commentList>
    <comment ref="C4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手工填</t>
        </r>
      </text>
    </comment>
    <comment ref="C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FT-08523，当周累积量</t>
        </r>
      </text>
    </comment>
    <comment ref="C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当月检测值取平均，下同</t>
        </r>
      </text>
    </comment>
    <comment ref="C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当周检测值取平均，下同</t>
        </r>
      </text>
    </comment>
    <comment ref="C9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当周检测值取平均，下同</t>
        </r>
      </text>
    </comment>
  </commentList>
</comments>
</file>

<file path=xl/comments10.xml><?xml version="1.0" encoding="utf-8"?>
<comments xmlns="http://schemas.openxmlformats.org/spreadsheetml/2006/main">
  <authors>
    <author>熊茂盛</author>
  </authors>
  <commentList>
    <comment ref="E1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=白班羟基乙腈用量,有效成分，需折算（体积用量×浓度或者质量的积分累计，单位折算成t）</t>
        </r>
      </text>
    </comment>
    <comment ref="G1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=FT-05141,白班的累计值，注意:单位转化为t</t>
        </r>
      </text>
    </comment>
    <comment ref="I1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=FT-05411，白班的累计值</t>
        </r>
      </text>
    </comment>
    <comment ref="K1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人工抄表，手工填写</t>
        </r>
      </text>
    </comment>
    <comment ref="M1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=FT-05142，白班的累计值m3×0.180218/1000</t>
        </r>
      </text>
    </comment>
    <comment ref="O1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=FT-07126，白班的累计值，注意单位为t</t>
        </r>
      </text>
    </comment>
    <comment ref="Q1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人工抄表，手工填写</t>
        </r>
      </text>
    </comment>
    <comment ref="S1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人工抄表，手工填写</t>
        </r>
      </text>
    </comment>
    <comment ref="U1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=FT-05343班累计值+FT-07174班累计值</t>
        </r>
      </text>
    </comment>
    <comment ref="W1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=FT-08523，班累计值</t>
        </r>
      </text>
    </comment>
    <comment ref="D16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
</t>
        </r>
        <r>
          <rPr>
            <sz val="9"/>
            <color indexed="81"/>
            <rFont val="宋体"/>
            <family val="3"/>
            <charset val="134"/>
          </rPr>
          <t xml:space="preserve">=“班组日生产过程运行质量考评表”中，白班折百产量汇总</t>
        </r>
      </text>
    </comment>
    <comment ref="E1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=白班羟基乙腈用量,有效成分，需折算（体积用量×浓度或者质量的积分累计，单位折算成t）</t>
        </r>
      </text>
    </comment>
    <comment ref="G1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=FT-05141,白班的累计值，注意:单位转化为t</t>
        </r>
      </text>
    </comment>
    <comment ref="I1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=FT-05411，白班的累计值</t>
        </r>
      </text>
    </comment>
    <comment ref="K1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人工抄表，手工填写</t>
        </r>
      </text>
    </comment>
    <comment ref="M1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=FT-05142，白班的累计值m3×0.180218/1000</t>
        </r>
      </text>
    </comment>
    <comment ref="O1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=FT-07126，白班的累计值，注意单位为t</t>
        </r>
      </text>
    </comment>
    <comment ref="Q1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人工抄表，手工填写</t>
        </r>
      </text>
    </comment>
    <comment ref="S1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人工抄表，手工填写</t>
        </r>
      </text>
    </comment>
    <comment ref="U1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=FT-05343班累计值+FT-07174班累计值</t>
        </r>
      </text>
    </comment>
    <comment ref="W1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=FT-08523，班累计值</t>
        </r>
      </text>
    </comment>
    <comment ref="D19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
</t>
        </r>
        <r>
          <rPr>
            <sz val="9"/>
            <color indexed="81"/>
            <rFont val="宋体"/>
            <family val="3"/>
            <charset val="134"/>
          </rPr>
          <t xml:space="preserve">=“班组日生产过程运行质量考评表”中，白班折百产量汇总</t>
        </r>
      </text>
    </comment>
  </commentList>
</comments>
</file>

<file path=xl/sharedStrings.xml><?xml version="1.0" encoding="utf-8"?>
<sst xmlns="http://schemas.openxmlformats.org/spreadsheetml/2006/main" count="564" uniqueCount="301">
  <si>
    <t xml:space="preserve">设计参数</t>
    <phoneticPr fontId="1" type="noConversion"/>
  </si>
  <si>
    <t xml:space="preserve">时间</t>
    <phoneticPr fontId="1" type="noConversion"/>
  </si>
  <si>
    <t xml:space="preserve">反应器
入口温度</t>
    <phoneticPr fontId="1" type="noConversion"/>
  </si>
  <si>
    <t xml:space="preserve">羟基
流量</t>
    <phoneticPr fontId="1" type="noConversion"/>
  </si>
  <si>
    <t xml:space="preserve">反应器
入口压力</t>
    <phoneticPr fontId="1" type="noConversion"/>
  </si>
  <si>
    <t xml:space="preserve">反应器
出口温度</t>
    <phoneticPr fontId="1" type="noConversion"/>
  </si>
  <si>
    <t xml:space="preserve">反应器
温度</t>
    <phoneticPr fontId="1" type="noConversion"/>
  </si>
  <si>
    <t xml:space="preserve">气氨
流量</t>
    <phoneticPr fontId="1" type="noConversion"/>
  </si>
  <si>
    <t xml:space="preserve">配比蒸汽
流量</t>
    <phoneticPr fontId="1" type="noConversion"/>
  </si>
  <si>
    <t xml:space="preserve">平均配比
摩尔比</t>
    <phoneticPr fontId="1" type="noConversion"/>
  </si>
  <si>
    <t xml:space="preserve">m3/h</t>
    <phoneticPr fontId="1" type="noConversion"/>
  </si>
  <si>
    <t xml:space="preserve">kg/h</t>
    <phoneticPr fontId="1" type="noConversion"/>
  </si>
  <si>
    <t xml:space="preserve">/</t>
    <phoneticPr fontId="1" type="noConversion"/>
  </si>
  <si>
    <t xml:space="preserve">℃</t>
    <phoneticPr fontId="1" type="noConversion"/>
  </si>
  <si>
    <t xml:space="preserve">Mpa</t>
  </si>
  <si>
    <t xml:space="preserve">Mpa</t>
    <phoneticPr fontId="1" type="noConversion"/>
  </si>
  <si>
    <t xml:space="preserve">项目</t>
    <phoneticPr fontId="1" type="noConversion"/>
  </si>
  <si>
    <t xml:space="preserve">上上周参数</t>
    <phoneticPr fontId="1" type="noConversion"/>
  </si>
  <si>
    <t xml:space="preserve">上周参数</t>
    <phoneticPr fontId="1" type="noConversion"/>
  </si>
  <si>
    <t xml:space="preserve">本周参数</t>
    <phoneticPr fontId="1" type="noConversion"/>
  </si>
  <si>
    <t xml:space="preserve">反应器
出口压力</t>
    <phoneticPr fontId="1" type="noConversion"/>
  </si>
  <si>
    <t xml:space="preserve">二乙腈含量</t>
    <phoneticPr fontId="1" type="noConversion"/>
  </si>
  <si>
    <t xml:space="preserve">二乙腈含量
（%）</t>
    <phoneticPr fontId="1" type="noConversion"/>
  </si>
  <si>
    <t xml:space="preserve">色谱法</t>
    <phoneticPr fontId="1" type="noConversion"/>
  </si>
  <si>
    <t xml:space="preserve">化分法
（%）</t>
    <phoneticPr fontId="1" type="noConversion"/>
  </si>
  <si>
    <t xml:space="preserve">色谱法
（%）</t>
    <phoneticPr fontId="1" type="noConversion"/>
  </si>
  <si>
    <t xml:space="preserve">二乙腈
含 量</t>
    <phoneticPr fontId="1" type="noConversion"/>
  </si>
  <si>
    <t xml:space="preserve">羟基乙腈
残 余</t>
    <phoneticPr fontId="1" type="noConversion"/>
  </si>
  <si>
    <t xml:space="preserve">百分比
（%）</t>
    <phoneticPr fontId="1" type="noConversion"/>
  </si>
  <si>
    <t xml:space="preserve">浓度
（g/L）</t>
    <phoneticPr fontId="1" type="noConversion"/>
  </si>
  <si>
    <t xml:space="preserve">项 目</t>
    <phoneticPr fontId="1" type="noConversion"/>
  </si>
  <si>
    <t xml:space="preserve">pH值</t>
    <phoneticPr fontId="1" type="noConversion"/>
  </si>
  <si>
    <t xml:space="preserve">硫酸用量
（kg/h）</t>
    <phoneticPr fontId="1" type="noConversion"/>
  </si>
  <si>
    <t xml:space="preserve">本月平均</t>
    <phoneticPr fontId="1" type="noConversion"/>
  </si>
  <si>
    <t xml:space="preserve">上周平均</t>
    <phoneticPr fontId="1" type="noConversion"/>
  </si>
  <si>
    <t xml:space="preserve">本周平均</t>
    <phoneticPr fontId="1" type="noConversion"/>
  </si>
  <si>
    <t xml:space="preserve">差值</t>
    <phoneticPr fontId="1" type="noConversion"/>
  </si>
  <si>
    <t xml:space="preserve">mg/L</t>
    <phoneticPr fontId="1" type="noConversion"/>
  </si>
  <si>
    <t xml:space="preserve">COD</t>
    <phoneticPr fontId="1" type="noConversion"/>
  </si>
  <si>
    <t xml:space="preserve">指标</t>
    <phoneticPr fontId="1" type="noConversion"/>
  </si>
  <si>
    <t xml:space="preserve">单位</t>
    <phoneticPr fontId="1" type="noConversion"/>
  </si>
  <si>
    <t xml:space="preserve">TCN/总腈</t>
    <phoneticPr fontId="1" type="noConversion"/>
  </si>
  <si>
    <t xml:space="preserve">NH3-N/氨氮</t>
    <phoneticPr fontId="1" type="noConversion"/>
  </si>
  <si>
    <t xml:space="preserve">HCHO/甲醛</t>
    <phoneticPr fontId="1" type="noConversion"/>
  </si>
  <si>
    <t xml:space="preserve">pH</t>
    <phoneticPr fontId="1" type="noConversion"/>
  </si>
  <si>
    <t xml:space="preserve">大生产数据</t>
    <phoneticPr fontId="1" type="noConversion"/>
  </si>
  <si>
    <t xml:space="preserve">上上周平均</t>
    <phoneticPr fontId="1" type="noConversion"/>
  </si>
  <si>
    <t xml:space="preserve">农科数据</t>
    <phoneticPr fontId="1" type="noConversion"/>
  </si>
  <si>
    <t xml:space="preserve">低蒸压力</t>
    <phoneticPr fontId="1" type="noConversion"/>
  </si>
  <si>
    <t xml:space="preserve">低蒸温度</t>
    <phoneticPr fontId="1" type="noConversion"/>
  </si>
  <si>
    <t xml:space="preserve">备注：分析密度，每24小时白班送检一次。</t>
    <phoneticPr fontId="1" type="noConversion"/>
  </si>
  <si>
    <r>
      <t xml:space="preserve">25000</t>
    </r>
    <r>
      <rPr>
        <sz val="10"/>
        <color rgb="FFFF0000"/>
        <rFont val="SimSun"/>
        <charset val="134"/>
      </rPr>
      <t xml:space="preserve">～</t>
    </r>
    <r>
      <rPr>
        <sz val="10"/>
        <color rgb="FFFF0000"/>
        <rFont val="等线"/>
        <family val="3"/>
        <charset val="134"/>
      </rPr>
      <t xml:space="preserve">30000</t>
    </r>
    <phoneticPr fontId="1" type="noConversion"/>
  </si>
  <si>
    <r>
      <t xml:space="preserve">900</t>
    </r>
    <r>
      <rPr>
        <sz val="10"/>
        <color rgb="FFFF0000"/>
        <rFont val="SimSun"/>
        <charset val="134"/>
      </rPr>
      <t xml:space="preserve">～</t>
    </r>
    <r>
      <rPr>
        <sz val="10"/>
        <color rgb="FFFF0000"/>
        <rFont val="等线"/>
        <family val="3"/>
        <charset val="134"/>
      </rPr>
      <t xml:space="preserve">1200</t>
    </r>
    <phoneticPr fontId="1" type="noConversion"/>
  </si>
  <si>
    <r>
      <t xml:space="preserve">2500</t>
    </r>
    <r>
      <rPr>
        <sz val="10"/>
        <color rgb="FFFF0000"/>
        <rFont val="SimSun"/>
        <charset val="134"/>
      </rPr>
      <t xml:space="preserve">～</t>
    </r>
    <r>
      <rPr>
        <sz val="10"/>
        <color rgb="FFFF0000"/>
        <rFont val="等线"/>
        <family val="3"/>
        <charset val="134"/>
      </rPr>
      <t xml:space="preserve">3000</t>
    </r>
    <phoneticPr fontId="1" type="noConversion"/>
  </si>
  <si>
    <r>
      <t xml:space="preserve">30</t>
    </r>
    <r>
      <rPr>
        <sz val="10"/>
        <color rgb="FFFF0000"/>
        <rFont val="SimSun"/>
        <charset val="134"/>
      </rPr>
      <t xml:space="preserve">～</t>
    </r>
    <r>
      <rPr>
        <sz val="10"/>
        <color rgb="FFFF0000"/>
        <rFont val="等线"/>
        <family val="3"/>
        <charset val="134"/>
      </rPr>
      <t xml:space="preserve">50</t>
    </r>
    <phoneticPr fontId="1" type="noConversion"/>
  </si>
  <si>
    <t xml:space="preserve">月份</t>
    <phoneticPr fontId="1" type="noConversion"/>
  </si>
  <si>
    <t xml:space="preserve">%</t>
    <phoneticPr fontId="1" type="noConversion"/>
  </si>
  <si>
    <t xml:space="preserve">水分含量</t>
    <phoneticPr fontId="1" type="noConversion"/>
  </si>
  <si>
    <t xml:space="preserve">综合含量</t>
    <phoneticPr fontId="1" type="noConversion"/>
  </si>
  <si>
    <t xml:space="preserve">未知物含量</t>
    <phoneticPr fontId="1" type="noConversion"/>
  </si>
  <si>
    <t xml:space="preserve">本年度平均</t>
    <phoneticPr fontId="1" type="noConversion"/>
  </si>
  <si>
    <t xml:space="preserve">化学分析法</t>
    <phoneticPr fontId="1" type="noConversion"/>
  </si>
  <si>
    <t xml:space="preserve">备注</t>
    <phoneticPr fontId="1" type="noConversion"/>
  </si>
  <si>
    <t xml:space="preserve">上上周</t>
    <phoneticPr fontId="1" type="noConversion"/>
  </si>
  <si>
    <t xml:space="preserve">上周</t>
    <phoneticPr fontId="1" type="noConversion"/>
  </si>
  <si>
    <t xml:space="preserve">本周</t>
    <phoneticPr fontId="1" type="noConversion"/>
  </si>
  <si>
    <t xml:space="preserve">平
均</t>
    <phoneticPr fontId="1" type="noConversion"/>
  </si>
  <si>
    <t xml:space="preserve">1月</t>
    <phoneticPr fontId="1" type="noConversion"/>
  </si>
  <si>
    <t xml:space="preserve">2月</t>
    <phoneticPr fontId="1" type="noConversion"/>
  </si>
  <si>
    <t xml:space="preserve">3月</t>
    <phoneticPr fontId="1" type="noConversion"/>
  </si>
  <si>
    <t xml:space="preserve">4月</t>
    <phoneticPr fontId="1" type="noConversion"/>
  </si>
  <si>
    <t xml:space="preserve">5月</t>
    <phoneticPr fontId="1" type="noConversion"/>
  </si>
  <si>
    <t xml:space="preserve">6月</t>
    <phoneticPr fontId="1" type="noConversion"/>
  </si>
  <si>
    <t xml:space="preserve">7月</t>
    <phoneticPr fontId="1" type="noConversion"/>
  </si>
  <si>
    <t xml:space="preserve">8月</t>
    <phoneticPr fontId="1" type="noConversion"/>
  </si>
  <si>
    <t xml:space="preserve">9月</t>
    <phoneticPr fontId="1" type="noConversion"/>
  </si>
  <si>
    <t xml:space="preserve">10月</t>
    <phoneticPr fontId="1" type="noConversion"/>
  </si>
  <si>
    <t xml:space="preserve">11月</t>
    <phoneticPr fontId="1" type="noConversion"/>
  </si>
  <si>
    <t xml:space="preserve">12月</t>
    <phoneticPr fontId="1" type="noConversion"/>
  </si>
  <si>
    <t xml:space="preserve">收
率
（%）</t>
    <phoneticPr fontId="1" type="noConversion"/>
  </si>
  <si>
    <t xml:space="preserve">班
产
量
（t）</t>
    <phoneticPr fontId="1" type="noConversion"/>
  </si>
  <si>
    <t xml:space="preserve">设计值</t>
    <phoneticPr fontId="1" type="noConversion"/>
  </si>
  <si>
    <t xml:space="preserve">进料量</t>
    <phoneticPr fontId="1" type="noConversion"/>
  </si>
  <si>
    <t xml:space="preserve">出料量</t>
    <phoneticPr fontId="1" type="noConversion"/>
  </si>
  <si>
    <t xml:space="preserve">浓缩比</t>
    <phoneticPr fontId="1" type="noConversion"/>
  </si>
  <si>
    <t xml:space="preserve">出料比重</t>
    <phoneticPr fontId="1" type="noConversion"/>
  </si>
  <si>
    <t xml:space="preserve">g/L</t>
    <phoneticPr fontId="1" type="noConversion"/>
  </si>
  <si>
    <t xml:space="preserve">蒸汽用量</t>
    <phoneticPr fontId="1" type="noConversion"/>
  </si>
  <si>
    <t xml:space="preserve">t/h</t>
    <phoneticPr fontId="1" type="noConversion"/>
  </si>
  <si>
    <t xml:space="preserve">无</t>
    <phoneticPr fontId="1" type="noConversion"/>
  </si>
  <si>
    <t xml:space="preserve">本周数据</t>
    <phoneticPr fontId="1" type="noConversion"/>
  </si>
  <si>
    <t xml:space="preserve">低蒸运行参数</t>
    <phoneticPr fontId="1" type="noConversion"/>
  </si>
  <si>
    <t xml:space="preserve">低蒸母液分析：送检频次，一天一次；管反反应液一天三次</t>
    <phoneticPr fontId="1" type="noConversion"/>
  </si>
  <si>
    <t xml:space="preserve">硫铵含量</t>
    <phoneticPr fontId="1" type="noConversion"/>
  </si>
  <si>
    <t xml:space="preserve">羟基乙腈含量</t>
    <phoneticPr fontId="1" type="noConversion"/>
  </si>
  <si>
    <t xml:space="preserve">硫铵含量
（g/L）</t>
    <phoneticPr fontId="1" type="noConversion"/>
  </si>
  <si>
    <t xml:space="preserve">羟基乙腈含量
（g/L）</t>
    <phoneticPr fontId="1" type="noConversion"/>
  </si>
  <si>
    <t xml:space="preserve">外排废液
m3废液/t产品</t>
    <phoneticPr fontId="1" type="noConversion"/>
  </si>
  <si>
    <t xml:space="preserve">本周固液比控制范围：</t>
    <phoneticPr fontId="1" type="noConversion"/>
  </si>
  <si>
    <t xml:space="preserve">本周累计外排废液量：</t>
    <phoneticPr fontId="1" type="noConversion"/>
  </si>
  <si>
    <t xml:space="preserve">m3</t>
    <phoneticPr fontId="1" type="noConversion"/>
  </si>
  <si>
    <t xml:space="preserve">二次母液
分析数据</t>
    <phoneticPr fontId="1" type="noConversion"/>
  </si>
  <si>
    <t xml:space="preserve">脱色前</t>
    <phoneticPr fontId="1" type="noConversion"/>
  </si>
  <si>
    <t xml:space="preserve">脱色后</t>
    <phoneticPr fontId="1" type="noConversion"/>
  </si>
  <si>
    <t xml:space="preserve">差 值</t>
    <phoneticPr fontId="1" type="noConversion"/>
  </si>
  <si>
    <t xml:space="preserve">上 周</t>
    <phoneticPr fontId="1" type="noConversion"/>
  </si>
  <si>
    <t xml:space="preserve">本 周</t>
    <phoneticPr fontId="1" type="noConversion"/>
  </si>
  <si>
    <t xml:space="preserve">kg/t</t>
    <phoneticPr fontId="1" type="noConversion"/>
  </si>
  <si>
    <t xml:space="preserve">活性炭单耗</t>
    <phoneticPr fontId="1" type="noConversion"/>
  </si>
  <si>
    <t xml:space="preserve">脱色
消耗</t>
    <phoneticPr fontId="1" type="noConversion"/>
  </si>
  <si>
    <t xml:space="preserve">透光率</t>
    <phoneticPr fontId="1" type="noConversion"/>
  </si>
  <si>
    <t xml:space="preserve">型号</t>
    <phoneticPr fontId="1" type="noConversion"/>
  </si>
  <si>
    <t xml:space="preserve">                指标
对比项目</t>
    <phoneticPr fontId="1" type="noConversion"/>
  </si>
  <si>
    <t xml:space="preserve">t</t>
    <phoneticPr fontId="1" type="noConversion"/>
  </si>
  <si>
    <t xml:space="preserve">t/t</t>
    <phoneticPr fontId="1" type="noConversion"/>
  </si>
  <si>
    <t xml:space="preserve">m3/t</t>
    <phoneticPr fontId="1" type="noConversion"/>
  </si>
  <si>
    <t xml:space="preserve">吨产品原料/动力及排放单耗</t>
    <phoneticPr fontId="1" type="noConversion"/>
  </si>
  <si>
    <t xml:space="preserve">日期</t>
    <phoneticPr fontId="1" type="noConversion"/>
  </si>
  <si>
    <t xml:space="preserve">星期</t>
    <phoneticPr fontId="1" type="noConversion"/>
  </si>
  <si>
    <t xml:space="preserve">五</t>
    <phoneticPr fontId="1" type="noConversion"/>
  </si>
  <si>
    <t xml:space="preserve">六</t>
    <phoneticPr fontId="1" type="noConversion"/>
  </si>
  <si>
    <t xml:space="preserve">日</t>
    <phoneticPr fontId="1" type="noConversion"/>
  </si>
  <si>
    <t xml:space="preserve">一</t>
    <phoneticPr fontId="1" type="noConversion"/>
  </si>
  <si>
    <t xml:space="preserve">二</t>
    <phoneticPr fontId="1" type="noConversion"/>
  </si>
  <si>
    <t xml:space="preserve">三</t>
    <phoneticPr fontId="1" type="noConversion"/>
  </si>
  <si>
    <t xml:space="preserve">四</t>
    <phoneticPr fontId="1" type="noConversion"/>
  </si>
  <si>
    <t xml:space="preserve">本周
平均</t>
    <phoneticPr fontId="1" type="noConversion"/>
  </si>
  <si>
    <t xml:space="preserve">上周
平均</t>
    <phoneticPr fontId="1" type="noConversion"/>
  </si>
  <si>
    <t xml:space="preserve">两周
差值</t>
    <phoneticPr fontId="1" type="noConversion"/>
  </si>
  <si>
    <t xml:space="preserve">一、反应液</t>
    <phoneticPr fontId="1" type="noConversion"/>
  </si>
  <si>
    <t xml:space="preserve">二、产品</t>
    <phoneticPr fontId="1" type="noConversion"/>
  </si>
  <si>
    <t xml:space="preserve">羟基乙腈</t>
    <phoneticPr fontId="1" type="noConversion"/>
  </si>
  <si>
    <t xml:space="preserve">二乙腈</t>
    <phoneticPr fontId="1" type="noConversion"/>
  </si>
  <si>
    <t xml:space="preserve">折百产量</t>
    <phoneticPr fontId="1" type="noConversion"/>
  </si>
  <si>
    <t xml:space="preserve">2025年第（44）周</t>
    <phoneticPr fontId="1" type="noConversion"/>
  </si>
  <si>
    <t xml:space="preserve">班次</t>
    <phoneticPr fontId="1" type="noConversion"/>
  </si>
  <si>
    <t xml:space="preserve">1号</t>
    <phoneticPr fontId="1" type="noConversion"/>
  </si>
  <si>
    <t xml:space="preserve">2号</t>
    <phoneticPr fontId="1" type="noConversion"/>
  </si>
  <si>
    <t xml:space="preserve">3号</t>
    <phoneticPr fontId="1" type="noConversion"/>
  </si>
  <si>
    <t xml:space="preserve">4号</t>
    <phoneticPr fontId="1" type="noConversion"/>
  </si>
  <si>
    <t xml:space="preserve">5号</t>
    <phoneticPr fontId="1" type="noConversion"/>
  </si>
  <si>
    <t xml:space="preserve">6号</t>
    <phoneticPr fontId="1" type="noConversion"/>
  </si>
  <si>
    <t xml:space="preserve">7号</t>
    <phoneticPr fontId="1" type="noConversion"/>
  </si>
  <si>
    <t xml:space="preserve">白</t>
    <phoneticPr fontId="1" type="noConversion"/>
  </si>
  <si>
    <t xml:space="preserve">夜</t>
    <phoneticPr fontId="1" type="noConversion"/>
  </si>
  <si>
    <t xml:space="preserve">第（44周）核心指标完成情况汇总表</t>
    <phoneticPr fontId="1" type="noConversion"/>
  </si>
  <si>
    <t xml:space="preserve">羟基乙腈
单耗</t>
    <phoneticPr fontId="1" type="noConversion"/>
  </si>
  <si>
    <t xml:space="preserve">液氨
单耗</t>
    <phoneticPr fontId="1" type="noConversion"/>
  </si>
  <si>
    <t xml:space="preserve">硫酸
单耗</t>
    <phoneticPr fontId="1" type="noConversion"/>
  </si>
  <si>
    <t xml:space="preserve">总蒸汽
单耗</t>
    <phoneticPr fontId="1" type="noConversion"/>
  </si>
  <si>
    <t xml:space="preserve">反应蒸汽
单耗</t>
    <phoneticPr fontId="1" type="noConversion"/>
  </si>
  <si>
    <t xml:space="preserve">低蒸蒸汽
单耗</t>
    <phoneticPr fontId="1" type="noConversion"/>
  </si>
  <si>
    <t xml:space="preserve">废液
外排</t>
    <phoneticPr fontId="1" type="noConversion"/>
  </si>
  <si>
    <t xml:space="preserve">废水
外排</t>
    <phoneticPr fontId="1" type="noConversion"/>
  </si>
  <si>
    <t xml:space="preserve">0，5150±0.05</t>
    <phoneticPr fontId="1" type="noConversion"/>
  </si>
  <si>
    <t xml:space="preserve">410±5g/L</t>
    <phoneticPr fontId="1" type="noConversion"/>
  </si>
  <si>
    <t xml:space="preserve">168±2℃</t>
    <phoneticPr fontId="1" type="noConversion"/>
  </si>
  <si>
    <t xml:space="preserve">≤20℃</t>
    <phoneticPr fontId="1" type="noConversion"/>
  </si>
  <si>
    <t xml:space="preserve">氨/腈摩尔比
合格率（%）</t>
    <phoneticPr fontId="1" type="noConversion"/>
  </si>
  <si>
    <t xml:space="preserve">羟基浓度
合格率（%）</t>
    <phoneticPr fontId="1" type="noConversion"/>
  </si>
  <si>
    <t xml:space="preserve">氨化反应温度
合格率（%）</t>
    <phoneticPr fontId="1" type="noConversion"/>
  </si>
  <si>
    <t xml:space="preserve">一次结晶出料
温度合格率（%）</t>
    <phoneticPr fontId="1" type="noConversion"/>
  </si>
  <si>
    <t xml:space="preserve">核心工艺指标合格率
（%）</t>
    <phoneticPr fontId="1" type="noConversion"/>
  </si>
  <si>
    <t xml:space="preserve">实际产量</t>
    <phoneticPr fontId="1" type="noConversion"/>
  </si>
  <si>
    <t xml:space="preserve">kg/班</t>
    <phoneticPr fontId="1" type="noConversion"/>
  </si>
  <si>
    <t xml:space="preserve">收率</t>
    <phoneticPr fontId="1" type="noConversion"/>
  </si>
  <si>
    <t xml:space="preserve">第21周 周报---脱色工序数据分析表</t>
    <phoneticPr fontId="1" type="noConversion"/>
  </si>
  <si>
    <t xml:space="preserve">第21周 周报---二次结晶数据分析表</t>
    <phoneticPr fontId="1" type="noConversion"/>
  </si>
  <si>
    <t xml:space="preserve">第21周 周报---产品原料/动力/排放单耗数据分析表</t>
    <phoneticPr fontId="1" type="noConversion"/>
  </si>
  <si>
    <t xml:space="preserve">第21周 周报---核心指标分析汇总表</t>
    <phoneticPr fontId="1" type="noConversion"/>
  </si>
  <si>
    <t xml:space="preserve">第21周 周报---反应工序控制参数表</t>
    <phoneticPr fontId="1" type="noConversion"/>
  </si>
  <si>
    <t xml:space="preserve">第21周 周报---闪蒸废水分析数据表</t>
    <phoneticPr fontId="1" type="noConversion"/>
  </si>
  <si>
    <t xml:space="preserve">第21周 周报---反应液分析数据表</t>
    <phoneticPr fontId="1" type="noConversion"/>
  </si>
  <si>
    <t xml:space="preserve">第21周 周报---结晶工序数据分析表</t>
    <phoneticPr fontId="1" type="noConversion"/>
  </si>
  <si>
    <t xml:space="preserve">第21周 周报---产品指标分析表</t>
    <phoneticPr fontId="1" type="noConversion"/>
  </si>
  <si>
    <t xml:space="preserve">第21周 周报---产品收率数据分析表</t>
    <phoneticPr fontId="1" type="noConversion"/>
  </si>
  <si>
    <t xml:space="preserve">第21周 周报---汇总数据分析表</t>
    <phoneticPr fontId="1" type="noConversion"/>
  </si>
  <si>
    <t xml:space="preserve">第21周 周报---低蒸数据分析表</t>
    <phoneticPr fontId="1" type="noConversion"/>
  </si>
  <si>
    <t xml:space="preserve">Cell13</t>
    <phoneticPr fontId="1" type="noConversion"/>
  </si>
  <si>
    <t xml:space="preserve">Cell15</t>
  </si>
  <si>
    <t xml:space="preserve">Cell19</t>
  </si>
  <si>
    <t xml:space="preserve">Cell22</t>
    <phoneticPr fontId="1" type="noConversion"/>
  </si>
  <si>
    <t xml:space="preserve">Cell24</t>
    <phoneticPr fontId="1" type="noConversion"/>
  </si>
  <si>
    <t xml:space="preserve">Cell25</t>
  </si>
  <si>
    <t xml:space="preserve">Cell26</t>
  </si>
  <si>
    <t xml:space="preserve">Cell27</t>
  </si>
  <si>
    <t xml:space="preserve">Cell28</t>
  </si>
  <si>
    <t xml:space="preserve">本月平均</t>
    <phoneticPr fontId="1" type="noConversion"/>
  </si>
  <si>
    <t xml:space="preserve">一次结晶</t>
    <phoneticPr fontId="1" type="noConversion"/>
  </si>
  <si>
    <t xml:space="preserve">二次结晶</t>
    <phoneticPr fontId="1" type="noConversion"/>
  </si>
  <si>
    <t xml:space="preserve">本周</t>
  </si>
  <si>
    <t xml:space="preserve">二乙腈
含量</t>
    <phoneticPr fontId="1" type="noConversion"/>
  </si>
  <si>
    <t xml:space="preserve">水分
含量</t>
    <phoneticPr fontId="1" type="noConversion"/>
  </si>
  <si>
    <t xml:space="preserve">二乙腈+水</t>
    <phoneticPr fontId="1" type="noConversion"/>
  </si>
  <si>
    <t xml:space="preserve">未知物
含量</t>
    <phoneticPr fontId="1" type="noConversion"/>
  </si>
  <si>
    <t xml:space="preserve">产量</t>
    <phoneticPr fontId="1" type="noConversion"/>
  </si>
  <si>
    <t xml:space="preserve">折百
产量</t>
    <phoneticPr fontId="1" type="noConversion"/>
  </si>
  <si>
    <t xml:space="preserve">二乙腈+水</t>
  </si>
  <si>
    <t xml:space="preserve">产量</t>
  </si>
  <si>
    <t xml:space="preserve">化分
%</t>
    <phoneticPr fontId="1" type="noConversion"/>
  </si>
  <si>
    <t xml:space="preserve">色谱
%</t>
    <phoneticPr fontId="1" type="noConversion"/>
  </si>
  <si>
    <t xml:space="preserve">kg</t>
    <phoneticPr fontId="1" type="noConversion"/>
  </si>
  <si>
    <t xml:space="preserve">%</t>
  </si>
  <si>
    <t xml:space="preserve">kg</t>
  </si>
  <si>
    <t xml:space="preserve">检测数据</t>
    <phoneticPr fontId="1" type="noConversion"/>
  </si>
  <si>
    <t xml:space="preserve">一次结晶物/一次产品</t>
    <phoneticPr fontId="1" type="noConversion"/>
  </si>
  <si>
    <t xml:space="preserve">二次结晶物/二次产品</t>
    <phoneticPr fontId="1" type="noConversion"/>
  </si>
  <si>
    <t xml:space="preserve">班合计（一次产品+二次产品）</t>
    <phoneticPr fontId="1" type="noConversion"/>
  </si>
  <si>
    <t xml:space="preserve">班产
与日平均产量的差额</t>
    <phoneticPr fontId="1" type="noConversion"/>
  </si>
  <si>
    <t xml:space="preserve">上周数据</t>
    <phoneticPr fontId="1" type="noConversion"/>
  </si>
  <si>
    <t xml:space="preserve">主要原料消耗/单耗</t>
    <phoneticPr fontId="1" type="noConversion"/>
  </si>
  <si>
    <t xml:space="preserve">序号</t>
    <phoneticPr fontId="1" type="noConversion"/>
  </si>
  <si>
    <t xml:space="preserve">液氨</t>
    <phoneticPr fontId="1" type="noConversion"/>
  </si>
  <si>
    <t xml:space="preserve">稀硫酸</t>
    <phoneticPr fontId="1" type="noConversion"/>
  </si>
  <si>
    <t xml:space="preserve">蒸汽
总消耗</t>
    <phoneticPr fontId="1" type="noConversion"/>
  </si>
  <si>
    <t xml:space="preserve">反应蒸汽
消耗</t>
    <phoneticPr fontId="1" type="noConversion"/>
  </si>
  <si>
    <t xml:space="preserve">低蒸蒸汽
消耗</t>
    <phoneticPr fontId="1" type="noConversion"/>
  </si>
  <si>
    <t xml:space="preserve">脱盐水
消耗</t>
    <phoneticPr fontId="1" type="noConversion"/>
  </si>
  <si>
    <t xml:space="preserve">电
消耗</t>
    <phoneticPr fontId="1" type="noConversion"/>
  </si>
  <si>
    <t xml:space="preserve">废水
排放</t>
    <phoneticPr fontId="1" type="noConversion"/>
  </si>
  <si>
    <t xml:space="preserve">废液
排放</t>
    <phoneticPr fontId="1" type="noConversion"/>
  </si>
  <si>
    <t xml:space="preserve">用量</t>
    <phoneticPr fontId="1" type="noConversion"/>
  </si>
  <si>
    <t xml:space="preserve">用量</t>
  </si>
  <si>
    <t xml:space="preserve">单位</t>
  </si>
  <si>
    <t xml:space="preserve"> 排放量</t>
    <phoneticPr fontId="1" type="noConversion"/>
  </si>
  <si>
    <t xml:space="preserve"> 排放量</t>
  </si>
  <si>
    <t xml:space="preserve">白班</t>
    <phoneticPr fontId="1" type="noConversion"/>
  </si>
  <si>
    <t xml:space="preserve">KWh</t>
    <phoneticPr fontId="1" type="noConversion"/>
  </si>
  <si>
    <t xml:space="preserve">折百产量(t)</t>
    <phoneticPr fontId="1" type="noConversion"/>
  </si>
  <si>
    <t xml:space="preserve">t</t>
  </si>
  <si>
    <t xml:space="preserve">单耗</t>
    <phoneticPr fontId="1" type="noConversion"/>
  </si>
  <si>
    <t xml:space="preserve">KWh/t</t>
    <phoneticPr fontId="1" type="noConversion"/>
  </si>
  <si>
    <t xml:space="preserve">m3/t</t>
  </si>
  <si>
    <t xml:space="preserve">夜班</t>
    <phoneticPr fontId="1" type="noConversion"/>
  </si>
  <si>
    <t xml:space="preserve">日消耗/排放汇总</t>
    <phoneticPr fontId="1" type="noConversion"/>
  </si>
  <si>
    <t xml:space="preserve">m3</t>
  </si>
  <si>
    <t xml:space="preserve">KWh</t>
  </si>
  <si>
    <t xml:space="preserve">日折百产量汇总</t>
    <phoneticPr fontId="1" type="noConversion"/>
  </si>
  <si>
    <t xml:space="preserve">日平均单耗/排放</t>
    <phoneticPr fontId="1" type="noConversion"/>
  </si>
  <si>
    <t xml:space="preserve">t/t</t>
  </si>
  <si>
    <t xml:space="preserve">KWh/t</t>
  </si>
  <si>
    <t xml:space="preserve">如何判断这一周再运行</t>
    <phoneticPr fontId="1" type="noConversion"/>
  </si>
  <si>
    <t xml:space="preserve">差值</t>
    <phoneticPr fontId="1" type="noConversion"/>
  </si>
  <si>
    <t xml:space="preserve">平均值</t>
    <phoneticPr fontId="1" type="noConversion"/>
  </si>
  <si>
    <t xml:space="preserve">sourcedata</t>
    <phoneticPr fontId="1" type="noConversion"/>
  </si>
  <si>
    <t xml:space="preserve">operatorInputData</t>
  </si>
  <si>
    <t xml:space="preserve">Cell11</t>
    <phoneticPr fontId="1" type="noConversion"/>
  </si>
  <si>
    <t xml:space="preserve">Cell12</t>
  </si>
  <si>
    <t xml:space="preserve">Cell13</t>
  </si>
  <si>
    <t xml:space="preserve">Cell14</t>
  </si>
  <si>
    <t xml:space="preserve">Cell17</t>
  </si>
  <si>
    <t xml:space="preserve">Cell17</t>
    <phoneticPr fontId="1" type="noConversion"/>
  </si>
  <si>
    <t xml:space="preserve">Cell1</t>
    <phoneticPr fontId="1" type="noConversion"/>
  </si>
  <si>
    <t xml:space="preserve">Cell2</t>
  </si>
  <si>
    <t xml:space="preserve">Cell3</t>
  </si>
  <si>
    <t xml:space="preserve">Cell4</t>
  </si>
  <si>
    <t xml:space="preserve">Cell5</t>
  </si>
  <si>
    <t xml:space="preserve">sourceData</t>
    <phoneticPr fontId="1" type="noConversion"/>
  </si>
  <si>
    <t xml:space="preserve"> Cell92</t>
    <phoneticPr fontId="1" type="noConversion"/>
  </si>
  <si>
    <t xml:space="preserve"> Cell106</t>
    <phoneticPr fontId="1" type="noConversion"/>
  </si>
  <si>
    <t xml:space="preserve">这两个可以从手写数据中采集么</t>
    <phoneticPr fontId="1" type="noConversion"/>
  </si>
  <si>
    <t xml:space="preserve">(Cell21*Cell26+Cell31*Cell36)/(Cell26+Cell36)</t>
    <phoneticPr fontId="1" type="noConversion"/>
  </si>
  <si>
    <t xml:space="preserve">(Cell22*Cell26+Cell32*Cell36)/(Cell26+Cell36)</t>
    <phoneticPr fontId="1" type="noConversion"/>
  </si>
  <si>
    <t xml:space="preserve">operatadata</t>
    <phoneticPr fontId="1" type="noConversion"/>
  </si>
  <si>
    <t xml:space="preserve">Cell11</t>
    <phoneticPr fontId="1" type="noConversion"/>
  </si>
  <si>
    <t xml:space="preserve">表3-需要计算</t>
    <phoneticPr fontId="1" type="noConversion"/>
  </si>
  <si>
    <t xml:space="preserve">Cell</t>
    <phoneticPr fontId="1" type="noConversion"/>
  </si>
  <si>
    <t xml:space="preserve">低温母液是单独的还是使用某个表中的数据代替</t>
    <phoneticPr fontId="1" type="noConversion"/>
  </si>
  <si>
    <t xml:space="preserve">operatedata Cell63/sourcedata Cell105</t>
    <phoneticPr fontId="1" type="noConversion"/>
  </si>
  <si>
    <t xml:space="preserve">operatedata Cell62</t>
    <phoneticPr fontId="1" type="noConversion"/>
  </si>
  <si>
    <t xml:space="preserve">operatedata Cell51</t>
    <phoneticPr fontId="1" type="noConversion"/>
  </si>
  <si>
    <t xml:space="preserve">operatedata Cell57</t>
    <phoneticPr fontId="1" type="noConversion"/>
  </si>
  <si>
    <t xml:space="preserve">operatedata Cell52</t>
    <phoneticPr fontId="1" type="noConversion"/>
  </si>
  <si>
    <t xml:space="preserve">operatedata Cell59</t>
    <phoneticPr fontId="1" type="noConversion"/>
  </si>
  <si>
    <t xml:space="preserve">operatedata Cell55</t>
    <phoneticPr fontId="1" type="noConversion"/>
  </si>
  <si>
    <t xml:space="preserve">operatedata Cell61</t>
    <phoneticPr fontId="1" type="noConversion"/>
  </si>
  <si>
    <t xml:space="preserve">                             指标
 时间</t>
    <phoneticPr fontId="1" type="noConversion"/>
  </si>
  <si>
    <t xml:space="preserve">sourcedata Cell</t>
    <phoneticPr fontId="1" type="noConversion"/>
  </si>
  <si>
    <t xml:space="preserve">operatedata</t>
    <phoneticPr fontId="1" type="noConversion"/>
  </si>
  <si>
    <t xml:space="preserve">折干=折百</t>
    <phoneticPr fontId="1" type="noConversion"/>
  </si>
  <si>
    <t xml:space="preserve">表3 二乙睛化分平均</t>
    <phoneticPr fontId="1" type="noConversion"/>
  </si>
  <si>
    <t xml:space="preserve">表3 产量汇总最下角</t>
    <phoneticPr fontId="1" type="noConversion"/>
  </si>
  <si>
    <t xml:space="preserve">水+二乙睛</t>
    <phoneticPr fontId="1" type="noConversion"/>
  </si>
  <si>
    <t xml:space="preserve">表5 新增列</t>
    <phoneticPr fontId="1" type="noConversion"/>
  </si>
  <si>
    <t xml:space="preserve">公式算前面的平均值</t>
    <phoneticPr fontId="1" type="noConversion"/>
  </si>
  <si>
    <t xml:space="preserve">表3 采集</t>
    <phoneticPr fontId="1" type="noConversion"/>
  </si>
  <si>
    <t xml:space="preserve">液脱色前 表5</t>
    <phoneticPr fontId="1" type="noConversion"/>
  </si>
  <si>
    <t xml:space="preserve">三、收率</t>
    <phoneticPr fontId="1" type="noConversion"/>
  </si>
  <si>
    <t xml:space="preserve">四、废液</t>
    <phoneticPr fontId="1" type="noConversion"/>
  </si>
  <si>
    <t xml:space="preserve">Cell114</t>
    <phoneticPr fontId="1" type="noConversion"/>
  </si>
  <si>
    <t xml:space="preserve">Cell112</t>
    <phoneticPr fontId="1" type="noConversion"/>
  </si>
  <si>
    <t xml:space="preserve">Cell110</t>
    <phoneticPr fontId="1" type="noConversion"/>
  </si>
  <si>
    <t xml:space="preserve">累计除以产量</t>
    <phoneticPr fontId="1" type="noConversion"/>
  </si>
  <si>
    <t xml:space="preserve">2026-03-02</t>
  </si>
  <si>
    <t xml:space="preserve">2026-03-03</t>
  </si>
  <si>
    <t xml:space="preserve">2026-03-04</t>
  </si>
  <si>
    <t xml:space="preserve">2026-03-05</t>
  </si>
  <si>
    <t xml:space="preserve">2026-03-06</t>
  </si>
  <si>
    <t xml:space="preserve">2026-03-07</t>
  </si>
  <si>
    <t xml:space="preserve">2026-03-08</t>
  </si>
  <si>
    <t xml:space="preserve">2026-03-09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</si>
</sst>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;[Red]0.00"/>
    <numFmt numFmtId="177" formatCode="0.0000;[Red]0.0000"/>
    <numFmt numFmtId="178" formatCode="0.0;[Red]0.0"/>
    <numFmt numFmtId="179" formatCode="0.000;[Red]0.000"/>
  </numFmts>
  <fonts count="16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等线"/>
      <family val="2"/>
      <scheme val="minor"/>
    </font>
    <font>
      <sz val="10"/>
      <color theme="1"/>
      <name val="等线"/>
      <family val="3"/>
      <charset val="134"/>
      <scheme val="minor"/>
    </font>
    <font>
      <sz val="10"/>
      <color rgb="FFFF0000"/>
      <name val="等线"/>
      <family val="2"/>
      <scheme val="minor"/>
    </font>
    <font>
      <sz val="14"/>
      <color theme="1"/>
      <name val="等线"/>
      <family val="3"/>
      <charset val="134"/>
      <scheme val="minor"/>
    </font>
    <font>
      <b/>
      <sz val="14"/>
      <color rgb="FFFF0000"/>
      <name val="等线"/>
      <family val="3"/>
      <charset val="134"/>
      <scheme val="minor"/>
    </font>
    <font>
      <sz val="10"/>
      <color rgb="FFFF0000"/>
      <name val="等线"/>
      <family val="3"/>
      <charset val="134"/>
      <scheme val="minor"/>
    </font>
    <font>
      <sz val="10"/>
      <color rgb="FFFF0000"/>
      <name val="SimSun"/>
      <charset val="134"/>
    </font>
    <font>
      <sz val="10"/>
      <color rgb="FFFF0000"/>
      <name val="等线"/>
      <family val="3"/>
      <charset val="134"/>
    </font>
    <font>
      <sz val="12"/>
      <color theme="1"/>
      <name val="等线"/>
      <family val="2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b/>
      <i/>
      <sz val="10"/>
      <color theme="1"/>
      <name val="等线"/>
      <family val="3"/>
      <charset val="134"/>
      <scheme val="minor"/>
    </font>
    <font>
      <sz val="14"/>
      <color rgb="FFFF0000"/>
      <name val="等线"/>
      <family val="3"/>
      <charset val="134"/>
      <scheme val="minor"/>
    </font>
    <font>
      <sz val="11"/>
      <name val="等线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83">
    <border>
      <left/>
      <right/>
      <top/>
      <bottom/>
      <diagonal/>
    </border>
    <border>
      <left style="thin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dotted">
        <color auto="1"/>
      </right>
      <top style="dotted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thin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 style="thin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/>
      <top style="thin">
        <color auto="1"/>
      </top>
      <bottom style="thin">
        <color auto="1"/>
      </bottom>
      <diagonal/>
    </border>
    <border>
      <left style="dotted">
        <color auto="1"/>
      </left>
      <right/>
      <top/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/>
      <bottom/>
      <diagonal/>
    </border>
    <border>
      <left/>
      <right style="thin">
        <color auto="1"/>
      </right>
      <top style="dotted">
        <color auto="1"/>
      </top>
      <bottom style="thin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thin">
        <color auto="1"/>
      </right>
      <top style="dotted">
        <color auto="1"/>
      </top>
      <bottom/>
      <diagonal/>
    </border>
    <border>
      <left style="dotted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/>
      <top style="thin">
        <color auto="1"/>
      </top>
      <bottom/>
      <diagonal/>
    </border>
    <border>
      <left style="dotted">
        <color auto="1"/>
      </left>
      <right style="dotted">
        <color auto="1"/>
      </right>
      <top style="thin">
        <color auto="1"/>
      </top>
      <bottom/>
      <diagonal/>
    </border>
    <border>
      <left style="dotted">
        <color auto="1"/>
      </left>
      <right style="dotted">
        <color auto="1"/>
      </right>
      <top/>
      <bottom style="thin">
        <color auto="1"/>
      </bottom>
      <diagonal/>
    </border>
    <border>
      <left style="dotted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dotted">
        <color auto="1"/>
      </bottom>
      <diagonal/>
    </border>
    <border>
      <left/>
      <right style="thin">
        <color auto="1"/>
      </right>
      <top style="thin">
        <color auto="1"/>
      </top>
      <bottom style="dotted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thin">
        <color indexed="64"/>
      </left>
      <right style="hair">
        <color auto="1"/>
      </right>
      <top style="thin">
        <color indexed="64"/>
      </top>
      <bottom/>
      <diagonal/>
    </border>
    <border>
      <left style="hair">
        <color auto="1"/>
      </left>
      <right/>
      <top style="thin">
        <color indexed="64"/>
      </top>
      <bottom style="hair">
        <color auto="1"/>
      </bottom>
      <diagonal/>
    </border>
    <border>
      <left/>
      <right/>
      <top style="thin">
        <color indexed="64"/>
      </top>
      <bottom style="hair">
        <color auto="1"/>
      </bottom>
      <diagonal/>
    </border>
    <border>
      <left/>
      <right style="hair">
        <color auto="1"/>
      </right>
      <top style="thin">
        <color indexed="64"/>
      </top>
      <bottom style="hair">
        <color auto="1"/>
      </bottom>
      <diagonal/>
    </border>
    <border>
      <left style="thin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 style="medium">
        <color auto="1"/>
      </right>
      <top style="medium">
        <color auto="1"/>
      </top>
      <bottom style="dotted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dotted">
        <color auto="1"/>
      </right>
      <top style="medium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thin">
        <color auto="1"/>
      </bottom>
      <diagonal/>
    </border>
    <border>
      <left style="dott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medium">
        <color auto="1"/>
      </right>
      <top/>
      <bottom style="dotted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medium">
        <color auto="1"/>
      </right>
      <top style="dotted">
        <color auto="1"/>
      </top>
      <bottom/>
      <diagonal/>
    </border>
    <border>
      <left style="medium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 style="medium">
        <color auto="1"/>
      </right>
      <top style="thin">
        <color auto="1"/>
      </top>
      <bottom style="dotted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 style="thin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 style="thin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 style="medium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 style="medium">
        <color auto="1"/>
      </bottom>
      <diagonal/>
    </border>
    <border>
      <left/>
      <right/>
      <top style="dotted">
        <color auto="1"/>
      </top>
      <bottom style="thin">
        <color auto="1"/>
      </bottom>
      <diagonal/>
    </border>
    <border>
      <left style="dotted">
        <color auto="1"/>
      </left>
      <right/>
      <top style="thin">
        <color auto="1"/>
      </top>
      <bottom style="dotted">
        <color auto="1"/>
      </bottom>
      <diagonal/>
    </border>
    <border>
      <left/>
      <right/>
      <top style="thin">
        <color auto="1"/>
      </top>
      <bottom style="dotted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dotted">
        <color auto="1"/>
      </right>
      <top style="thin">
        <color auto="1"/>
      </top>
      <bottom/>
      <diagonal/>
    </border>
    <border>
      <left style="thin">
        <color auto="1"/>
      </left>
      <right style="dotted">
        <color auto="1"/>
      </right>
      <top/>
      <bottom/>
      <diagonal/>
    </border>
    <border>
      <left style="thin">
        <color auto="1"/>
      </left>
      <right style="dotted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19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176" fontId="2" fillId="2" borderId="5" xfId="0" applyNumberFormat="1" applyFont="1" applyFill="1" applyBorder="1" applyAlignment="1">
      <alignment horizontal="center" vertical="center"/>
    </xf>
    <xf numFmtId="177" fontId="2" fillId="2" borderId="5" xfId="0" applyNumberFormat="1" applyFont="1" applyFill="1" applyBorder="1" applyAlignment="1">
      <alignment horizontal="center" vertical="center"/>
    </xf>
    <xf numFmtId="177" fontId="2" fillId="0" borderId="5" xfId="0" applyNumberFormat="1" applyFont="1" applyBorder="1" applyAlignment="1">
      <alignment horizontal="center" vertical="center"/>
    </xf>
    <xf numFmtId="177" fontId="2" fillId="0" borderId="8" xfId="0" applyNumberFormat="1" applyFont="1" applyBorder="1" applyAlignment="1">
      <alignment horizontal="center" vertical="center"/>
    </xf>
    <xf numFmtId="178" fontId="2" fillId="2" borderId="5" xfId="0" applyNumberFormat="1" applyFont="1" applyFill="1" applyBorder="1" applyAlignment="1">
      <alignment horizontal="center" vertical="center"/>
    </xf>
    <xf numFmtId="178" fontId="2" fillId="0" borderId="5" xfId="0" applyNumberFormat="1" applyFont="1" applyBorder="1" applyAlignment="1">
      <alignment horizontal="center" vertical="center"/>
    </xf>
    <xf numFmtId="178" fontId="2" fillId="0" borderId="8" xfId="0" applyNumberFormat="1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/>
    </xf>
    <xf numFmtId="178" fontId="2" fillId="0" borderId="6" xfId="0" applyNumberFormat="1" applyFont="1" applyBorder="1" applyAlignment="1">
      <alignment horizontal="center" vertical="center"/>
    </xf>
    <xf numFmtId="178" fontId="2" fillId="0" borderId="9" xfId="0" applyNumberFormat="1" applyFont="1" applyBorder="1" applyAlignment="1">
      <alignment horizontal="center" vertical="center"/>
    </xf>
    <xf numFmtId="178" fontId="2" fillId="0" borderId="18" xfId="0" applyNumberFormat="1" applyFont="1" applyBorder="1" applyAlignment="1">
      <alignment horizontal="center" vertical="center"/>
    </xf>
    <xf numFmtId="178" fontId="2" fillId="0" borderId="19" xfId="0" applyNumberFormat="1" applyFont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178" fontId="4" fillId="2" borderId="18" xfId="0" applyNumberFormat="1" applyFont="1" applyFill="1" applyBorder="1" applyAlignment="1">
      <alignment horizontal="center" vertical="center"/>
    </xf>
    <xf numFmtId="178" fontId="4" fillId="2" borderId="6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176" fontId="2" fillId="0" borderId="5" xfId="0" applyNumberFormat="1" applyFont="1" applyBorder="1" applyAlignment="1">
      <alignment horizontal="center" vertical="center"/>
    </xf>
    <xf numFmtId="176" fontId="2" fillId="0" borderId="6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76" fontId="2" fillId="0" borderId="9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176" fontId="4" fillId="3" borderId="5" xfId="0" applyNumberFormat="1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176" fontId="4" fillId="2" borderId="5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79" fontId="2" fillId="0" borderId="8" xfId="0" applyNumberFormat="1" applyFont="1" applyBorder="1" applyAlignment="1">
      <alignment horizontal="center" vertical="center"/>
    </xf>
    <xf numFmtId="179" fontId="2" fillId="0" borderId="9" xfId="0" applyNumberFormat="1" applyFont="1" applyBorder="1" applyAlignment="1">
      <alignment horizontal="center" vertical="center"/>
    </xf>
    <xf numFmtId="176" fontId="3" fillId="0" borderId="5" xfId="0" applyNumberFormat="1" applyFont="1" applyBorder="1" applyAlignment="1">
      <alignment horizontal="center" vertical="center"/>
    </xf>
    <xf numFmtId="176" fontId="3" fillId="0" borderId="8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176" fontId="0" fillId="2" borderId="5" xfId="0" applyNumberFormat="1" applyFill="1" applyBorder="1" applyAlignment="1">
      <alignment horizontal="center" vertical="center"/>
    </xf>
    <xf numFmtId="176" fontId="0" fillId="2" borderId="6" xfId="0" applyNumberForma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/>
    </xf>
    <xf numFmtId="176" fontId="2" fillId="0" borderId="26" xfId="0" applyNumberFormat="1" applyFont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176" fontId="2" fillId="5" borderId="5" xfId="0" applyNumberFormat="1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7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176" fontId="4" fillId="2" borderId="9" xfId="0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2" fillId="2" borderId="39" xfId="0" applyFont="1" applyFill="1" applyBorder="1" applyAlignment="1">
      <alignment horizontal="center" vertical="center"/>
    </xf>
    <xf numFmtId="0" fontId="2" fillId="2" borderId="38" xfId="0" applyFont="1" applyFill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3" borderId="38" xfId="0" applyFont="1" applyFill="1" applyBorder="1" applyAlignment="1">
      <alignment horizontal="center" vertical="center"/>
    </xf>
    <xf numFmtId="0" fontId="2" fillId="3" borderId="40" xfId="0" applyFont="1" applyFill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58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4" fillId="0" borderId="61" xfId="0" applyFont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 wrapText="1"/>
    </xf>
    <xf numFmtId="0" fontId="3" fillId="0" borderId="66" xfId="0" applyFont="1" applyBorder="1" applyAlignment="1">
      <alignment horizontal="center" vertical="center" wrapText="1"/>
    </xf>
    <xf numFmtId="176" fontId="3" fillId="7" borderId="2" xfId="0" applyNumberFormat="1" applyFont="1" applyFill="1" applyBorder="1" applyAlignment="1">
      <alignment horizontal="center" vertical="center"/>
    </xf>
    <xf numFmtId="176" fontId="3" fillId="0" borderId="2" xfId="0" applyNumberFormat="1" applyFont="1" applyBorder="1" applyAlignment="1">
      <alignment horizontal="center" vertical="center"/>
    </xf>
    <xf numFmtId="176" fontId="3" fillId="8" borderId="2" xfId="0" applyNumberFormat="1" applyFont="1" applyFill="1" applyBorder="1" applyAlignment="1">
      <alignment horizontal="center" vertical="center"/>
    </xf>
    <xf numFmtId="176" fontId="3" fillId="0" borderId="68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76" fontId="3" fillId="7" borderId="5" xfId="0" applyNumberFormat="1" applyFont="1" applyFill="1" applyBorder="1" applyAlignment="1">
      <alignment horizontal="center" vertical="center"/>
    </xf>
    <xf numFmtId="176" fontId="3" fillId="0" borderId="70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176" fontId="3" fillId="8" borderId="5" xfId="0" applyNumberFormat="1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176" fontId="3" fillId="7" borderId="8" xfId="0" applyNumberFormat="1" applyFont="1" applyFill="1" applyBorder="1" applyAlignment="1">
      <alignment horizontal="center" vertical="center"/>
    </xf>
    <xf numFmtId="176" fontId="3" fillId="0" borderId="72" xfId="0" applyNumberFormat="1" applyFont="1" applyBorder="1" applyAlignment="1">
      <alignment horizontal="center" vertical="center"/>
    </xf>
    <xf numFmtId="176" fontId="0" fillId="7" borderId="11" xfId="0" applyNumberFormat="1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176" fontId="0" fillId="0" borderId="11" xfId="0" applyNumberFormat="1" applyBorder="1" applyAlignment="1">
      <alignment horizontal="center" vertical="center"/>
    </xf>
    <xf numFmtId="0" fontId="0" fillId="0" borderId="64" xfId="0" applyBorder="1" applyAlignment="1">
      <alignment horizontal="center" vertical="center"/>
    </xf>
    <xf numFmtId="176" fontId="0" fillId="7" borderId="5" xfId="0" applyNumberFormat="1" applyFill="1" applyBorder="1" applyAlignment="1">
      <alignment horizontal="center" vertical="center"/>
    </xf>
    <xf numFmtId="176" fontId="0" fillId="0" borderId="5" xfId="0" applyNumberFormat="1" applyBorder="1" applyAlignment="1">
      <alignment horizontal="center" vertical="center"/>
    </xf>
    <xf numFmtId="0" fontId="0" fillId="0" borderId="70" xfId="0" applyBorder="1" applyAlignment="1">
      <alignment horizontal="center" vertical="center"/>
    </xf>
    <xf numFmtId="176" fontId="0" fillId="7" borderId="74" xfId="0" applyNumberFormat="1" applyFill="1" applyBorder="1" applyAlignment="1">
      <alignment horizontal="center" vertical="center"/>
    </xf>
    <xf numFmtId="176" fontId="0" fillId="0" borderId="74" xfId="0" applyNumberFormat="1" applyBorder="1" applyAlignment="1">
      <alignment horizontal="center" vertical="center"/>
    </xf>
    <xf numFmtId="176" fontId="0" fillId="0" borderId="75" xfId="0" applyNumberFormat="1" applyBorder="1" applyAlignment="1">
      <alignment horizontal="center" vertical="center"/>
    </xf>
    <xf numFmtId="0" fontId="2" fillId="9" borderId="8" xfId="0" applyFont="1" applyFill="1" applyBorder="1" applyAlignment="1">
      <alignment horizontal="center" vertical="center"/>
    </xf>
    <xf numFmtId="0" fontId="2" fillId="9" borderId="11" xfId="0" applyFont="1" applyFill="1" applyBorder="1" applyAlignment="1">
      <alignment horizontal="center" vertical="center"/>
    </xf>
    <xf numFmtId="0" fontId="2" fillId="9" borderId="26" xfId="0" applyFont="1" applyFill="1" applyBorder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176" fontId="3" fillId="9" borderId="1" xfId="0" applyNumberFormat="1" applyFont="1" applyFill="1" applyBorder="1" applyAlignment="1">
      <alignment horizontal="center" vertical="center"/>
    </xf>
    <xf numFmtId="176" fontId="3" fillId="10" borderId="1" xfId="0" applyNumberFormat="1" applyFont="1" applyFill="1" applyBorder="1" applyAlignment="1">
      <alignment horizontal="center" vertical="center"/>
    </xf>
    <xf numFmtId="176" fontId="3" fillId="10" borderId="2" xfId="0" applyNumberFormat="1" applyFont="1" applyFill="1" applyBorder="1" applyAlignment="1">
      <alignment horizontal="center" vertical="center"/>
    </xf>
    <xf numFmtId="176" fontId="3" fillId="9" borderId="3" xfId="0" applyNumberFormat="1" applyFont="1" applyFill="1" applyBorder="1" applyAlignment="1">
      <alignment horizontal="center" vertical="center"/>
    </xf>
    <xf numFmtId="176" fontId="3" fillId="9" borderId="2" xfId="0" applyNumberFormat="1" applyFont="1" applyFill="1" applyBorder="1" applyAlignment="1">
      <alignment horizontal="center" vertical="center"/>
    </xf>
    <xf numFmtId="176" fontId="3" fillId="9" borderId="68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9" borderId="4" xfId="0" applyFont="1" applyFill="1" applyBorder="1" applyAlignment="1">
      <alignment horizontal="center" vertical="center" wrapText="1"/>
    </xf>
    <xf numFmtId="0" fontId="2" fillId="9" borderId="7" xfId="0" applyFont="1" applyFill="1" applyBorder="1" applyAlignment="1">
      <alignment horizontal="center" vertical="center" wrapText="1"/>
    </xf>
    <xf numFmtId="0" fontId="2" fillId="9" borderId="4" xfId="0" applyFont="1" applyFill="1" applyBorder="1" applyAlignment="1">
      <alignment horizontal="center" vertical="center"/>
    </xf>
    <xf numFmtId="0" fontId="2" fillId="9" borderId="5" xfId="0" applyFont="1" applyFill="1" applyBorder="1" applyAlignment="1">
      <alignment horizontal="center" vertical="center"/>
    </xf>
    <xf numFmtId="0" fontId="2" fillId="9" borderId="7" xfId="0" applyFont="1" applyFill="1" applyBorder="1" applyAlignment="1">
      <alignment horizontal="center" vertical="center"/>
    </xf>
    <xf numFmtId="0" fontId="3" fillId="0" borderId="35" xfId="0" applyFont="1" applyBorder="1" applyAlignment="1">
      <alignment wrapText="1"/>
    </xf>
    <xf numFmtId="0" fontId="3" fillId="0" borderId="35" xfId="0" applyFont="1" applyBorder="1" applyAlignment="1">
      <alignment horizontal="center" vertical="center" wrapText="1"/>
    </xf>
    <xf numFmtId="176" fontId="3" fillId="0" borderId="35" xfId="0" applyNumberFormat="1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3" fillId="0" borderId="79" xfId="0" applyFont="1" applyFill="1" applyBorder="1" applyAlignment="1">
      <alignment horizontal="center" vertical="center"/>
    </xf>
    <xf numFmtId="0" fontId="2" fillId="11" borderId="38" xfId="0" applyFont="1" applyFill="1" applyBorder="1" applyAlignment="1">
      <alignment horizontal="center" vertical="center"/>
    </xf>
    <xf numFmtId="0" fontId="2" fillId="11" borderId="40" xfId="0" applyFont="1" applyFill="1" applyBorder="1" applyAlignment="1">
      <alignment horizontal="center" vertical="center"/>
    </xf>
    <xf numFmtId="0" fontId="15" fillId="11" borderId="0" xfId="0" applyFont="1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2" fillId="12" borderId="4" xfId="0" applyFont="1" applyFill="1" applyBorder="1" applyAlignment="1">
      <alignment horizontal="center" vertical="center"/>
    </xf>
    <xf numFmtId="0" fontId="2" fillId="12" borderId="5" xfId="0" applyFont="1" applyFill="1" applyBorder="1" applyAlignment="1">
      <alignment horizontal="center" vertical="center"/>
    </xf>
    <xf numFmtId="0" fontId="2" fillId="12" borderId="6" xfId="0" applyFont="1" applyFill="1" applyBorder="1" applyAlignment="1">
      <alignment horizontal="center" vertical="center"/>
    </xf>
    <xf numFmtId="0" fontId="3" fillId="9" borderId="35" xfId="0" applyFont="1" applyFill="1" applyBorder="1" applyAlignment="1">
      <alignment horizontal="center" vertical="center" wrapText="1"/>
    </xf>
    <xf numFmtId="176" fontId="3" fillId="9" borderId="35" xfId="0" applyNumberFormat="1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36" xfId="0" applyFont="1" applyBorder="1" applyAlignment="1">
      <alignment horizontal="center" vertical="center" wrapText="1"/>
    </xf>
    <xf numFmtId="0" fontId="3" fillId="0" borderId="37" xfId="0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 wrapText="1"/>
    </xf>
    <xf numFmtId="0" fontId="2" fillId="0" borderId="37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2" fillId="0" borderId="49" xfId="0" applyFont="1" applyBorder="1" applyAlignment="1">
      <alignment horizontal="center" vertical="center"/>
    </xf>
    <xf numFmtId="0" fontId="2" fillId="0" borderId="50" xfId="0" applyFont="1" applyBorder="1" applyAlignment="1">
      <alignment horizontal="center" vertical="center"/>
    </xf>
    <xf numFmtId="0" fontId="2" fillId="0" borderId="51" xfId="0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4" fillId="0" borderId="57" xfId="0" applyFont="1" applyBorder="1" applyAlignment="1">
      <alignment horizontal="center" vertical="center" wrapText="1"/>
    </xf>
    <xf numFmtId="0" fontId="0" fillId="0" borderId="58" xfId="0" applyBorder="1" applyAlignment="1">
      <alignment horizontal="center" vertical="center"/>
    </xf>
    <xf numFmtId="0" fontId="14" fillId="0" borderId="52" xfId="0" applyFont="1" applyBorder="1" applyAlignment="1">
      <alignment horizontal="center" vertical="center"/>
    </xf>
    <xf numFmtId="0" fontId="14" fillId="0" borderId="53" xfId="0" applyFont="1" applyBorder="1" applyAlignment="1">
      <alignment horizontal="center" vertical="center"/>
    </xf>
    <xf numFmtId="0" fontId="14" fillId="0" borderId="54" xfId="0" applyFont="1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6" borderId="4" xfId="0" applyFont="1" applyFill="1" applyBorder="1" applyAlignment="1">
      <alignment horizontal="left" vertical="center"/>
    </xf>
    <xf numFmtId="0" fontId="0" fillId="6" borderId="5" xfId="0" applyFill="1" applyBorder="1" applyAlignment="1">
      <alignment horizontal="left" vertical="center"/>
    </xf>
    <xf numFmtId="0" fontId="0" fillId="6" borderId="6" xfId="0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11" borderId="59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2" borderId="29" xfId="0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20" xfId="0" applyBorder="1"/>
    <xf numFmtId="0" fontId="0" fillId="0" borderId="77" xfId="0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76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11" borderId="59" xfId="0" applyFill="1" applyBorder="1" applyAlignment="1">
      <alignment horizontal="center"/>
    </xf>
    <xf numFmtId="0" fontId="0" fillId="0" borderId="63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69" xfId="0" applyBorder="1" applyAlignment="1">
      <alignment horizontal="center" vertical="center"/>
    </xf>
    <xf numFmtId="0" fontId="0" fillId="0" borderId="73" xfId="0" applyBorder="1" applyAlignment="1">
      <alignment horizontal="center" vertical="center"/>
    </xf>
    <xf numFmtId="0" fontId="0" fillId="0" borderId="74" xfId="0" applyBorder="1" applyAlignment="1">
      <alignment horizontal="center" vertical="center"/>
    </xf>
    <xf numFmtId="0" fontId="3" fillId="0" borderId="11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3" fillId="7" borderId="11" xfId="0" applyFont="1" applyFill="1" applyBorder="1" applyAlignment="1">
      <alignment horizontal="center" vertical="center" wrapText="1"/>
    </xf>
    <xf numFmtId="0" fontId="0" fillId="7" borderId="11" xfId="0" applyFill="1" applyBorder="1" applyAlignment="1">
      <alignment horizontal="center" vertical="center" wrapText="1"/>
    </xf>
    <xf numFmtId="0" fontId="0" fillId="0" borderId="64" xfId="0" applyBorder="1" applyAlignment="1">
      <alignment horizontal="center" vertical="center" wrapText="1"/>
    </xf>
    <xf numFmtId="0" fontId="2" fillId="0" borderId="67" xfId="0" applyFont="1" applyBorder="1" applyAlignment="1">
      <alignment horizontal="center" vertical="center"/>
    </xf>
    <xf numFmtId="0" fontId="2" fillId="0" borderId="69" xfId="0" applyFont="1" applyBorder="1" applyAlignment="1">
      <alignment horizontal="center" vertical="center"/>
    </xf>
    <xf numFmtId="0" fontId="2" fillId="0" borderId="7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7" borderId="11" xfId="0" applyFont="1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0" fontId="2" fillId="0" borderId="63" xfId="0" applyFont="1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2" fillId="0" borderId="1" xfId="0" applyFont="1" applyBorder="1" applyAlignment="1">
      <alignment wrapText="1"/>
    </xf>
    <xf numFmtId="0" fontId="3" fillId="0" borderId="4" xfId="0" applyFont="1" applyBorder="1"/>
    <xf numFmtId="0" fontId="10" fillId="0" borderId="0" xfId="0" applyFont="1" applyAlignment="1">
      <alignment horizontal="center" vertical="center"/>
    </xf>
    <xf numFmtId="0" fontId="14" fillId="0" borderId="60" xfId="0" applyFont="1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14" fillId="0" borderId="61" xfId="0" applyFont="1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2" fillId="4" borderId="32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0" fontId="0" fillId="9" borderId="9" xfId="0" applyFill="1" applyBorder="1" applyAlignment="1">
      <alignment horizontal="center" vertical="center"/>
    </xf>
    <xf numFmtId="0" fontId="2" fillId="0" borderId="31" xfId="0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2" fillId="0" borderId="32" xfId="0" applyFont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2" fillId="9" borderId="24" xfId="0" applyFont="1" applyFill="1" applyBorder="1" applyAlignment="1">
      <alignment horizontal="center" vertical="center"/>
    </xf>
    <xf numFmtId="0" fontId="0" fillId="9" borderId="34" xfId="0" applyFill="1" applyBorder="1" applyAlignment="1">
      <alignment horizontal="center" vertical="center"/>
    </xf>
    <xf numFmtId="0" fontId="2" fillId="9" borderId="34" xfId="0" applyFont="1" applyFill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9" borderId="28" xfId="0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4" borderId="33" xfId="0" applyFont="1" applyFill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80" xfId="0" applyFont="1" applyBorder="1" applyAlignment="1">
      <alignment horizontal="center" vertical="center"/>
    </xf>
    <xf numFmtId="0" fontId="2" fillId="0" borderId="81" xfId="0" applyFont="1" applyBorder="1" applyAlignment="1">
      <alignment horizontal="center" vertical="center"/>
    </xf>
    <xf numFmtId="0" fontId="2" fillId="0" borderId="82" xfId="0" applyFont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2" fillId="0" borderId="18" xfId="0" applyFont="1" applyFill="1" applyBorder="1" applyAlignment="1">
      <alignment vertical="center"/>
    </xf>
    <xf numFmtId="0" fontId="2" fillId="0" borderId="18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19" xfId="0" applyFont="1" applyFill="1" applyBorder="1" applyAlignment="1">
      <alignment vertical="center"/>
    </xf>
    <xf numFmtId="0" fontId="2" fillId="0" borderId="19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theme" Target="theme/theme1.xml" /><Relationship Id="rId15" Type="http://schemas.openxmlformats.org/officeDocument/2006/relationships/styles" Target="styles.xml" /><Relationship Id="rId16" Type="http://schemas.openxmlformats.org/officeDocument/2006/relationships/sharedStrings" Target="sharedStrings.xml" /><Relationship Id="rId17" Type="http://schemas.openxmlformats.org/officeDocument/2006/relationships/calcChain" Target="calcChain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19050</xdr:rowOff>
    </xdr:from>
    <xdr:to>
      <xdr:col>15</xdr:col>
      <xdr:colOff>579752</xdr:colOff>
      <xdr:row>33</xdr:row>
      <xdr:rowOff>56421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69FC6C3D-987A-34BE-8B30-45568DED9D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" y="198120"/>
          <a:ext cx="9967592" cy="57676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</xdr:row>
      <xdr:rowOff>0</xdr:rowOff>
    </xdr:from>
    <xdr:to>
      <xdr:col>2</xdr:col>
      <xdr:colOff>0</xdr:colOff>
      <xdr:row>6</xdr:row>
      <xdr:rowOff>0</xdr:rowOff>
    </xdr:to>
    <xdr:cxnSp macro="">
      <xdr:nvCxnSpPr>
        <xdr:cNvPr id="6" name="直接连接符 5">
          <a:extLst>
            <a:ext uri="{FF2B5EF4-FFF2-40B4-BE49-F238E27FC236}">
              <a16:creationId xmlns:a16="http://schemas.microsoft.com/office/drawing/2014/main" id="{B2F71291-1F75-4376-A4AC-6EA46708AB7D}"/>
            </a:ext>
          </a:extLst>
        </xdr:cNvPr>
        <xdr:cNvCxnSpPr/>
      </xdr:nvCxnSpPr>
      <xdr:spPr>
        <a:xfrm>
          <a:off x="200025" y="4191000"/>
          <a:ext cx="1543050" cy="3810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4</xdr:row>
      <xdr:rowOff>19050</xdr:rowOff>
    </xdr:from>
    <xdr:to>
      <xdr:col>2</xdr:col>
      <xdr:colOff>0</xdr:colOff>
      <xdr:row>6</xdr:row>
      <xdr:rowOff>9525</xdr:rowOff>
    </xdr:to>
    <xdr:cxnSp macro="">
      <xdr:nvCxnSpPr>
        <xdr:cNvPr id="5" name="直接连接符 4">
          <a:extLst>
            <a:ext uri="{FF2B5EF4-FFF2-40B4-BE49-F238E27FC236}">
              <a16:creationId xmlns:a16="http://schemas.microsoft.com/office/drawing/2014/main" id="{27A4DC0B-C9A8-4E24-FBF6-5E83BB9F00E9}"/>
            </a:ext>
          </a:extLst>
        </xdr:cNvPr>
        <xdr:cNvCxnSpPr/>
      </xdr:nvCxnSpPr>
      <xdr:spPr>
        <a:xfrm>
          <a:off x="1381125" y="1371600"/>
          <a:ext cx="952500" cy="6858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1.xml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vmlDrawing" Target="../drawings/vmlDrawing2.vml" /><Relationship Id="rId3" Type="http://schemas.openxmlformats.org/officeDocument/2006/relationships/comments" Target="../comments2.xml" /></Relationships>
</file>

<file path=xl/worksheets/_rels/sheet4.xml.rels>&#65279;<?xml version="1.0" encoding="utf-8"?>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3.xml" /></Relationships>
</file>

<file path=xl/worksheets/_rels/sheet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.bin" /><Relationship Id="rId2" Type="http://schemas.openxmlformats.org/officeDocument/2006/relationships/vmlDrawing" Target="../drawings/vmlDrawing4.vml" /><Relationship Id="rId3" Type="http://schemas.openxmlformats.org/officeDocument/2006/relationships/comments" Target="../comments4.xml" /></Relationships>
</file>

<file path=xl/worksheets/_rels/sheet6.xml.rels>&#65279;<?xml version="1.0" encoding="utf-8"?><Relationships xmlns="http://schemas.openxmlformats.org/package/2006/relationships"><Relationship Id="rId1" Type="http://schemas.openxmlformats.org/officeDocument/2006/relationships/vmlDrawing" Target="../drawings/vmlDrawing5.vml" /><Relationship Id="rId2" Type="http://schemas.openxmlformats.org/officeDocument/2006/relationships/comments" Target="../comments5.xml" /></Relationships>
</file>

<file path=xl/worksheets/_rels/sheet7.xml.rels>&#65279;<?xml version="1.0" encoding="utf-8"?><Relationships xmlns="http://schemas.openxmlformats.org/package/2006/relationships"><Relationship Id="rId1" Type="http://schemas.openxmlformats.org/officeDocument/2006/relationships/vmlDrawing" Target="../drawings/vmlDrawing6.vml" /><Relationship Id="rId2" Type="http://schemas.openxmlformats.org/officeDocument/2006/relationships/comments" Target="../comments6.xml" /></Relationships>
</file>

<file path=xl/worksheets/_rels/sheet8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vmlDrawing" Target="../drawings/vmlDrawing7.vml" /><Relationship Id="rId2" Type="http://schemas.openxmlformats.org/officeDocument/2006/relationships/comments" Target="../comments7.xml" /></Relationships>
</file>

<file path=xl/worksheets/_rels/sheet1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.bin" /><Relationship Id="rId2" Type="http://schemas.openxmlformats.org/officeDocument/2006/relationships/vmlDrawing" Target="../drawings/vmlDrawing8.vml" /><Relationship Id="rId3" Type="http://schemas.openxmlformats.org/officeDocument/2006/relationships/comments" Target="../comments8.xml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Relationship Id="rId2" Type="http://schemas.openxmlformats.org/officeDocument/2006/relationships/vmlDrawing" Target="../drawings/vmlDrawing9.vml" /><Relationship Id="rId3" Type="http://schemas.openxmlformats.org/officeDocument/2006/relationships/comments" Target="../comments9.xml" /></Relationships>
</file>

<file path=xl/worksheets/_rels/sheet12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Relationship Id="rId2" Type="http://schemas.openxmlformats.org/officeDocument/2006/relationships/vmlDrawing" Target="../drawings/vmlDrawing10.vml" /><Relationship Id="rId3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opLeftCell="A4" workbookViewId="0">
      <selection activeCell="R20" sqref="R20"/>
    </sheetView>
  </sheetViews>
  <sheetFormatPr defaultRowHeight="14.1"/>
  <cols>
    <col min="1" max="1" width="1.84765625" customWidth="1"/>
  </cols>
  <sheetData/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L18"/>
  <sheetViews>
    <sheetView workbookViewId="0">
      <selection activeCell="C7" sqref="C7:K9"/>
    </sheetView>
  </sheetViews>
  <sheetFormatPr defaultColWidth="9" defaultRowHeight="12.6"/>
  <cols>
    <col min="1" max="1" width="1.59765625" style="2" customWidth="1"/>
    <col min="2" max="10" width="9" style="2"/>
  </cols>
  <sheetData>
    <row r="2" spans="2:11" ht="27.75" customHeight="1">
      <c r="B2" s="187" t="s">
        <v>170</v>
      </c>
      <c r="C2" s="187"/>
      <c r="D2" s="187"/>
      <c r="E2" s="187"/>
      <c r="F2" s="187"/>
      <c r="G2" s="187"/>
      <c r="H2" s="187"/>
      <c r="I2" s="187"/>
      <c r="J2" s="187"/>
      <c r="K2" s="187"/>
    </row>
    <row r="3" spans="2:11" ht="15" customHeight="1">
      <c r="B3" s="185"/>
      <c r="C3" s="186"/>
      <c r="D3" s="186"/>
      <c r="E3" s="186"/>
      <c r="F3" s="186"/>
      <c r="G3" s="186"/>
      <c r="H3" s="186"/>
      <c r="I3" s="186"/>
      <c r="J3" s="186"/>
      <c r="K3" s="186"/>
    </row>
    <row r="4" spans="2:11" ht="30" customHeight="1">
      <c r="B4" s="13" t="s">
        <v>16</v>
      </c>
      <c r="C4" s="14" t="s">
        <v>7</v>
      </c>
      <c r="D4" s="14" t="s">
        <v>8</v>
      </c>
      <c r="E4" s="14" t="s">
        <v>3</v>
      </c>
      <c r="F4" s="14" t="s">
        <v>9</v>
      </c>
      <c r="G4" s="14" t="s">
        <v>4</v>
      </c>
      <c r="H4" s="14" t="s">
        <v>2</v>
      </c>
      <c r="I4" s="14" t="s">
        <v>6</v>
      </c>
      <c r="J4" s="15" t="s">
        <v>20</v>
      </c>
      <c r="K4" s="25" t="s">
        <v>5</v>
      </c>
    </row>
    <row r="5" spans="2:11" ht="25" customHeight="1">
      <c r="B5" s="10" t="s">
        <v>1</v>
      </c>
      <c r="C5" s="11" t="s">
        <v>11</v>
      </c>
      <c r="D5" s="11" t="s">
        <v>10</v>
      </c>
      <c r="E5" s="11" t="s">
        <v>10</v>
      </c>
      <c r="F5" s="11" t="s">
        <v>12</v>
      </c>
      <c r="G5" s="11" t="s">
        <v>15</v>
      </c>
      <c r="H5" s="11" t="s">
        <v>13</v>
      </c>
      <c r="I5" s="11" t="s">
        <v>13</v>
      </c>
      <c r="J5" s="12" t="s">
        <v>14</v>
      </c>
      <c r="K5" s="26" t="s">
        <v>13</v>
      </c>
    </row>
    <row r="6" spans="2:11" ht="25" customHeight="1">
      <c r="B6" s="16" t="s">
        <v>0</v>
      </c>
      <c r="C6" s="17">
        <v>21.7</v>
      </c>
      <c r="D6" s="17">
        <v>1.93</v>
      </c>
      <c r="E6" s="17">
        <v>0.33</v>
      </c>
      <c r="F6" s="19">
        <v>0.51500000000000001</v>
      </c>
      <c r="G6" s="17">
        <v>1.2</v>
      </c>
      <c r="H6" s="22">
        <v>170</v>
      </c>
      <c r="I6" s="31">
        <v>183</v>
      </c>
      <c r="J6" s="33">
        <v>1</v>
      </c>
      <c r="K6" s="32">
        <v>150</v>
      </c>
    </row>
    <row r="7" spans="2:11" ht="25" customHeight="1">
      <c r="B7" s="4" t="s">
        <v>17</v>
      </c>
      <c r="C7" s="5"/>
      <c r="D7" s="5"/>
      <c r="E7" s="5"/>
      <c r="F7" s="20"/>
      <c r="G7" s="5"/>
      <c r="H7" s="23"/>
      <c r="I7" s="5"/>
      <c r="J7" s="27"/>
      <c r="K7" s="29"/>
    </row>
    <row r="8" spans="2:11" ht="25" customHeight="1">
      <c r="B8" s="4" t="s">
        <v>18</v>
      </c>
      <c r="C8" s="5">
        <v>13</v>
      </c>
      <c r="D8" s="5">
        <v>15</v>
      </c>
      <c r="E8" s="5">
        <v>19</v>
      </c>
      <c r="F8" s="20">
        <v>22</v>
      </c>
      <c r="G8" s="5">
        <v>24</v>
      </c>
      <c r="H8" s="23">
        <v>25</v>
      </c>
      <c r="I8" s="5">
        <v>26</v>
      </c>
      <c r="J8" s="27"/>
      <c r="K8" s="29"/>
    </row>
    <row r="9" spans="2:11" ht="25" customHeight="1">
      <c r="B9" s="7" t="s">
        <v>19</v>
      </c>
      <c r="C9" s="8">
        <v>13</v>
      </c>
      <c r="D9" s="8">
        <v>15</v>
      </c>
      <c r="E9" s="8">
        <v>19</v>
      </c>
      <c r="F9" s="21">
        <v>22</v>
      </c>
      <c r="G9" s="8">
        <v>24</v>
      </c>
      <c r="H9" s="24">
        <v>25</v>
      </c>
      <c r="I9" s="8">
        <v>26</v>
      </c>
      <c r="J9" s="28"/>
      <c r="K9" s="30"/>
    </row>
    <row r="10" spans="2:11" ht="20.1" customHeight="1">
      <c r="B10" s="2" t="s">
        <v>244</v>
      </c>
      <c r="C10" s="84" t="s">
        <v>178</v>
      </c>
      <c r="D10" s="84" t="s">
        <v>179</v>
      </c>
      <c r="E10" s="84" t="s">
        <v>180</v>
      </c>
      <c r="F10" s="84" t="s">
        <v>181</v>
      </c>
      <c r="G10" s="83" t="s">
        <v>182</v>
      </c>
      <c r="H10" s="83" t="s">
        <v>183</v>
      </c>
      <c r="I10" s="83" t="s">
        <v>184</v>
      </c>
      <c r="J10" s="83" t="s">
        <v>185</v>
      </c>
      <c r="K10" s="83" t="s">
        <v>186</v>
      </c>
    </row>
    <row r="11" spans="2:11" ht="20.1" customHeight="1">
      <c r="C11" s="2" t="s">
        <v>242</v>
      </c>
      <c r="D11" s="2" t="s">
        <v>242</v>
      </c>
      <c r="E11" s="2" t="s">
        <v>243</v>
      </c>
      <c r="F11" s="2" t="s">
        <v>243</v>
      </c>
      <c r="G11" s="2" t="s">
        <v>243</v>
      </c>
      <c r="H11" s="2" t="s">
        <v>243</v>
      </c>
      <c r="I11" s="2" t="s">
        <v>243</v>
      </c>
      <c r="J11" s="2" t="s">
        <v>243</v>
      </c>
      <c r="K11" s="2" t="s">
        <v>243</v>
      </c>
    </row>
    <row r="12" spans="2:11" ht="20.1" customHeight="1"/>
    <row r="18" spans="3:3">
      <c r="C18" s="2" t="s">
        <v>241</v>
      </c>
    </row>
  </sheetData>
  <mergeCells count="2">
    <mergeCell ref="B3:K3"/>
    <mergeCell ref="B2:K2"/>
  </mergeCells>
  <phoneticPr fontId="1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I12"/>
  <sheetViews>
    <sheetView workbookViewId="0">
      <selection activeCell="J9" sqref="J9"/>
    </sheetView>
  </sheetViews>
  <sheetFormatPr defaultColWidth="9" defaultRowHeight="12.6"/>
  <cols>
    <col min="1" max="1" width="3" style="2" customWidth="1"/>
    <col min="2" max="7" width="11.25" style="2" customWidth="1"/>
    <col min="8" max="8" width="9.5" style="2" customWidth="1"/>
  </cols>
  <sheetData>
    <row r="2" spans="2:8" ht="17.7">
      <c r="B2" s="187" t="s">
        <v>172</v>
      </c>
      <c r="C2" s="187"/>
      <c r="D2" s="187"/>
      <c r="E2" s="187"/>
      <c r="F2" s="187"/>
      <c r="G2" s="187"/>
      <c r="H2" s="187"/>
    </row>
    <row r="4" spans="2:8" ht="25.2" customHeight="1">
      <c r="B4" s="85" t="s">
        <v>30</v>
      </c>
      <c r="C4" s="188" t="s">
        <v>26</v>
      </c>
      <c r="D4" s="189"/>
      <c r="E4" s="190" t="s">
        <v>27</v>
      </c>
      <c r="F4" s="191"/>
      <c r="G4" s="93" t="s">
        <v>31</v>
      </c>
    </row>
    <row r="5" spans="2:8" ht="25.2">
      <c r="B5" s="86"/>
      <c r="C5" s="87" t="s">
        <v>24</v>
      </c>
      <c r="D5" s="87" t="s">
        <v>25</v>
      </c>
      <c r="E5" s="87" t="s">
        <v>28</v>
      </c>
      <c r="F5" s="87" t="s">
        <v>29</v>
      </c>
      <c r="G5" s="94" t="s">
        <v>32</v>
      </c>
    </row>
    <row r="6" spans="2:8" ht="16.5" customHeight="1">
      <c r="B6" s="88" t="s">
        <v>0</v>
      </c>
      <c r="C6" s="51">
        <v>11</v>
      </c>
      <c r="D6" s="51">
        <v>12</v>
      </c>
      <c r="E6" s="51">
        <v>13</v>
      </c>
      <c r="F6" s="51">
        <v>14</v>
      </c>
      <c r="G6" s="95">
        <v>17</v>
      </c>
    </row>
    <row r="7" spans="2:8" ht="16.5" customHeight="1">
      <c r="B7" s="85" t="s">
        <v>34</v>
      </c>
      <c r="C7" s="38">
        <v>11</v>
      </c>
      <c r="D7" s="38">
        <v>12</v>
      </c>
      <c r="E7" s="38">
        <v>13</v>
      </c>
      <c r="F7" s="38">
        <v>14</v>
      </c>
      <c r="G7" s="41">
        <v>17</v>
      </c>
    </row>
    <row r="8" spans="2:8" ht="16.5" customHeight="1">
      <c r="B8" s="85" t="s">
        <v>35</v>
      </c>
      <c r="C8" s="38">
        <v>11</v>
      </c>
      <c r="D8" s="38">
        <v>12</v>
      </c>
      <c r="E8" s="38">
        <v>13</v>
      </c>
      <c r="F8" s="38">
        <v>14</v>
      </c>
      <c r="G8" s="41">
        <v>17</v>
      </c>
    </row>
    <row r="9" spans="2:8" ht="16.5" customHeight="1">
      <c r="B9" s="85" t="s">
        <v>187</v>
      </c>
      <c r="C9" s="38"/>
      <c r="D9" s="38"/>
      <c r="E9" s="38"/>
      <c r="F9" s="38"/>
      <c r="G9" s="41"/>
    </row>
    <row r="10" spans="2:8" ht="16.5" customHeight="1">
      <c r="B10" s="93" t="s">
        <v>36</v>
      </c>
      <c r="C10" s="41">
        <f>C8-C7</f>
        <v>0</v>
      </c>
      <c r="D10" s="41">
        <f>D8-D7</f>
        <v>0</v>
      </c>
      <c r="E10" s="41">
        <f>E8-E7</f>
        <v>0</v>
      </c>
      <c r="F10" s="41">
        <f>F8-F7</f>
        <v>0</v>
      </c>
      <c r="G10" s="41">
        <f>G8-G7</f>
        <v>0</v>
      </c>
    </row>
    <row r="11" spans="2:8" ht="14.1">
      <c r="B11" s="120" t="s">
        <v>245</v>
      </c>
      <c r="C11" s="120" t="s">
        <v>246</v>
      </c>
      <c r="D11" s="120" t="s">
        <v>247</v>
      </c>
      <c r="E11" s="120" t="s">
        <v>248</v>
      </c>
      <c r="F11" s="120" t="s">
        <v>249</v>
      </c>
      <c r="G11" s="152" t="s">
        <v>251</v>
      </c>
    </row>
    <row r="12" spans="2:8">
      <c r="C12" s="2" t="s">
        <v>243</v>
      </c>
      <c r="D12" s="2" t="s">
        <v>243</v>
      </c>
      <c r="E12" s="2" t="s">
        <v>243</v>
      </c>
      <c r="F12" s="2" t="s">
        <v>243</v>
      </c>
      <c r="G12" s="2" t="s">
        <v>243</v>
      </c>
    </row>
  </sheetData>
  <mergeCells count="3">
    <mergeCell ref="B2:H2"/>
    <mergeCell ref="C4:D4"/>
    <mergeCell ref="E4:F4"/>
  </mergeCells>
  <phoneticPr fontId="1" type="noConversion"/>
  <pageMargins left="0.7" right="0.7" top="0.75" bottom="0.75" header="0.3" footer="0.3"/>
  <pageSetup paperSize="9" orientation="portrait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K13"/>
  <sheetViews>
    <sheetView workbookViewId="0">
      <selection activeCell="B12" sqref="B12"/>
    </sheetView>
  </sheetViews>
  <sheetFormatPr defaultColWidth="9" defaultRowHeight="17.1" customHeight="1"/>
  <cols>
    <col min="1" max="1" width="2.34765625" style="2" customWidth="1"/>
    <col min="2" max="2" width="9.1484375" style="2" bestFit="1" customWidth="1"/>
    <col min="3" max="9" width="10.75" style="2" customWidth="1"/>
  </cols>
  <sheetData>
    <row r="2" spans="2:10" ht="17.1" customHeight="1">
      <c r="B2" s="187" t="s">
        <v>171</v>
      </c>
      <c r="C2" s="187"/>
      <c r="D2" s="187"/>
      <c r="E2" s="187"/>
      <c r="F2" s="187"/>
      <c r="G2" s="187"/>
      <c r="H2" s="187"/>
      <c r="I2" s="187"/>
    </row>
    <row r="3" spans="2:10" ht="17.1" customHeight="1">
      <c r="B3" s="185"/>
      <c r="C3" s="186"/>
      <c r="D3" s="186"/>
      <c r="E3" s="186"/>
      <c r="F3" s="186"/>
      <c r="G3" s="186"/>
      <c r="H3" s="186"/>
      <c r="I3" s="186"/>
    </row>
    <row r="4" spans="2:10" ht="17.1" customHeight="1">
      <c r="B4" s="42" t="s">
        <v>39</v>
      </c>
      <c r="C4" s="43" t="s">
        <v>38</v>
      </c>
      <c r="D4" s="43" t="s">
        <v>41</v>
      </c>
      <c r="E4" s="43" t="s">
        <v>42</v>
      </c>
      <c r="F4" s="43" t="s">
        <v>43</v>
      </c>
      <c r="G4" s="43" t="s">
        <v>44</v>
      </c>
      <c r="H4" s="43" t="s">
        <v>48</v>
      </c>
      <c r="I4" s="44" t="s">
        <v>49</v>
      </c>
    </row>
    <row r="5" spans="2:10" ht="17.1" customHeight="1">
      <c r="B5" s="4" t="s">
        <v>40</v>
      </c>
      <c r="C5" s="5" t="s">
        <v>37</v>
      </c>
      <c r="D5" s="5" t="s">
        <v>37</v>
      </c>
      <c r="E5" s="5" t="s">
        <v>37</v>
      </c>
      <c r="F5" s="5" t="s">
        <v>37</v>
      </c>
      <c r="G5" s="5" t="s">
        <v>12</v>
      </c>
      <c r="H5" s="5" t="s">
        <v>15</v>
      </c>
      <c r="I5" s="6" t="s">
        <v>13</v>
      </c>
    </row>
    <row r="6" spans="2:10" ht="17.1" customHeight="1">
      <c r="B6" s="16" t="s">
        <v>45</v>
      </c>
      <c r="C6" s="31" t="s">
        <v>51</v>
      </c>
      <c r="D6" s="31" t="s">
        <v>52</v>
      </c>
      <c r="E6" s="31" t="s">
        <v>53</v>
      </c>
      <c r="F6" s="31" t="s">
        <v>54</v>
      </c>
      <c r="G6" s="31">
        <v>9.5</v>
      </c>
      <c r="H6" s="31" t="s">
        <v>12</v>
      </c>
      <c r="I6" s="50" t="s">
        <v>12</v>
      </c>
    </row>
    <row r="7" spans="2:10" ht="17.1" customHeight="1">
      <c r="B7" s="4" t="s">
        <v>46</v>
      </c>
      <c r="C7" s="5">
        <v>1</v>
      </c>
      <c r="D7" s="5">
        <v>2</v>
      </c>
      <c r="E7" s="5">
        <v>3</v>
      </c>
      <c r="F7" s="5">
        <v>4</v>
      </c>
      <c r="G7" s="5">
        <v>5</v>
      </c>
      <c r="H7" s="5">
        <v>92</v>
      </c>
      <c r="I7" s="6">
        <v>106</v>
      </c>
    </row>
    <row r="8" spans="2:10" ht="17.1" customHeight="1">
      <c r="B8" s="4" t="s">
        <v>34</v>
      </c>
      <c r="C8" s="5">
        <v>1</v>
      </c>
      <c r="D8" s="5">
        <v>2</v>
      </c>
      <c r="E8" s="5">
        <v>3</v>
      </c>
      <c r="F8" s="5">
        <v>4</v>
      </c>
      <c r="G8" s="5">
        <v>5</v>
      </c>
      <c r="H8" s="5">
        <v>92</v>
      </c>
      <c r="I8" s="6">
        <v>106</v>
      </c>
    </row>
    <row r="9" spans="2:10" ht="17.1" customHeight="1">
      <c r="B9" s="4" t="s">
        <v>35</v>
      </c>
      <c r="C9" s="5"/>
      <c r="D9" s="5"/>
      <c r="E9" s="5"/>
      <c r="F9" s="5"/>
      <c r="G9" s="5"/>
      <c r="H9" s="5"/>
      <c r="I9" s="6"/>
    </row>
    <row r="10" spans="2:10" ht="17.1" customHeight="1">
      <c r="B10" s="46" t="s">
        <v>47</v>
      </c>
      <c r="C10" s="47">
        <v>41118</v>
      </c>
      <c r="D10" s="47">
        <v>1104</v>
      </c>
      <c r="E10" s="47">
        <v>3571</v>
      </c>
      <c r="F10" s="47">
        <v>80</v>
      </c>
      <c r="G10" s="47">
        <v>9.36</v>
      </c>
      <c r="H10" s="48" t="s">
        <v>12</v>
      </c>
      <c r="I10" s="49" t="s">
        <v>12</v>
      </c>
    </row>
    <row r="11" spans="2:10" ht="17.1" customHeight="1">
      <c r="B11" s="192" t="s">
        <v>50</v>
      </c>
      <c r="C11" s="193"/>
      <c r="D11" s="193"/>
      <c r="E11" s="193"/>
      <c r="F11" s="193"/>
      <c r="G11" s="193"/>
      <c r="H11" s="193"/>
      <c r="I11" s="194"/>
    </row>
    <row r="12" spans="2:10" ht="17.1" customHeight="1">
      <c r="B12" s="120" t="s">
        <v>245</v>
      </c>
      <c r="C12" s="120" t="s">
        <v>252</v>
      </c>
      <c r="D12" s="120" t="s">
        <v>253</v>
      </c>
      <c r="E12" s="120" t="s">
        <v>254</v>
      </c>
      <c r="F12" s="120" t="s">
        <v>255</v>
      </c>
      <c r="G12" s="120" t="s">
        <v>256</v>
      </c>
    </row>
    <row r="13" spans="2:10" ht="17.1" customHeight="1">
      <c r="H13" s="2" t="s">
        <v>258</v>
      </c>
      <c r="I13" s="2" t="s">
        <v>259</v>
      </c>
      <c r="J13" s="2" t="s">
        <v>257</v>
      </c>
    </row>
  </sheetData>
  <mergeCells count="3">
    <mergeCell ref="B3:I3"/>
    <mergeCell ref="B11:I11"/>
    <mergeCell ref="B2:I2"/>
  </mergeCells>
  <phoneticPr fontId="1" type="noConversion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R18"/>
  <sheetViews>
    <sheetView zoomScale="115" zoomScaleNormal="115" workbookViewId="0">
      <selection activeCell="I10" sqref="I10:J10"/>
    </sheetView>
  </sheetViews>
  <sheetFormatPr defaultColWidth="9" defaultRowHeight="12.6"/>
  <cols>
    <col min="1" max="1" width="1.75" style="2" customWidth="1"/>
    <col min="2" max="3" width="9.44921875" style="2" bestFit="1" customWidth="1"/>
    <col min="4" max="5" width="7.796875" style="2" bestFit="1" customWidth="1"/>
    <col min="6" max="7" width="9.44921875" style="2" bestFit="1" customWidth="1"/>
    <col min="8" max="9" width="7.796875" style="2" bestFit="1" customWidth="1"/>
    <col min="10" max="10" width="9.44921875" style="2" bestFit="1" customWidth="1"/>
    <col min="11" max="16" width="9" style="2"/>
  </cols>
  <sheetData>
    <row r="2" spans="2:17" ht="30" customHeight="1">
      <c r="B2" s="187" t="s">
        <v>173</v>
      </c>
      <c r="C2" s="187"/>
      <c r="D2" s="187"/>
      <c r="E2" s="187"/>
      <c r="F2" s="187"/>
    </row>
    <row r="3" spans="2:17" ht="15" customHeight="1">
      <c r="B3" s="185"/>
      <c r="C3" s="186"/>
      <c r="D3" s="186"/>
      <c r="E3" s="186"/>
      <c r="F3" s="186"/>
    </row>
    <row r="4" spans="2:17" ht="25" customHeight="1">
      <c r="B4" s="200" t="s">
        <v>55</v>
      </c>
      <c r="C4" s="195" t="s">
        <v>188</v>
      </c>
      <c r="D4" s="196"/>
      <c r="E4" s="196"/>
      <c r="F4" s="197"/>
      <c r="G4" s="198" t="s">
        <v>189</v>
      </c>
      <c r="H4" s="198"/>
      <c r="I4" s="198"/>
      <c r="J4" s="199"/>
    </row>
    <row r="5" spans="2:17" ht="25" customHeight="1">
      <c r="B5" s="201"/>
      <c r="C5" s="100" t="s">
        <v>21</v>
      </c>
      <c r="D5" s="100" t="s">
        <v>57</v>
      </c>
      <c r="E5" s="100" t="s">
        <v>58</v>
      </c>
      <c r="F5" s="100" t="s">
        <v>59</v>
      </c>
      <c r="G5" s="100" t="s">
        <v>21</v>
      </c>
      <c r="H5" s="100" t="s">
        <v>57</v>
      </c>
      <c r="I5" s="100" t="s">
        <v>58</v>
      </c>
      <c r="J5" s="101" t="s">
        <v>59</v>
      </c>
    </row>
    <row r="6" spans="2:17" ht="25" customHeight="1">
      <c r="B6" s="202"/>
      <c r="C6" s="100">
        <v>21</v>
      </c>
      <c r="D6" s="100">
        <v>23</v>
      </c>
      <c r="E6" s="100" t="s">
        <v>56</v>
      </c>
      <c r="F6" s="100" t="s">
        <v>56</v>
      </c>
      <c r="G6" s="100">
        <v>31</v>
      </c>
      <c r="H6" s="100">
        <v>33</v>
      </c>
      <c r="I6" s="100" t="s">
        <v>56</v>
      </c>
      <c r="J6" s="101" t="s">
        <v>56</v>
      </c>
    </row>
    <row r="7" spans="2:17" ht="25" customHeight="1">
      <c r="B7" s="102" t="s">
        <v>60</v>
      </c>
      <c r="C7" s="103">
        <v>21</v>
      </c>
      <c r="D7" s="103">
        <v>23</v>
      </c>
      <c r="E7" s="170">
        <f>C7+D7</f>
        <v>2</v>
      </c>
      <c r="F7" s="170">
        <f>100-E7</f>
        <v>98</v>
      </c>
      <c r="G7" s="103">
        <v>31</v>
      </c>
      <c r="H7" s="103">
        <v>33</v>
      </c>
      <c r="I7" s="170">
        <f>G7+H7</f>
        <v>3</v>
      </c>
      <c r="J7" s="171">
        <f>100-I7</f>
        <v>97</v>
      </c>
    </row>
    <row r="8" spans="2:17" ht="25" customHeight="1">
      <c r="B8" s="104" t="s">
        <v>64</v>
      </c>
      <c r="C8" s="100">
        <v>21</v>
      </c>
      <c r="D8" s="100">
        <v>23</v>
      </c>
      <c r="E8" s="100">
        <f>C8+D8</f>
        <v>3</v>
      </c>
      <c r="F8" s="100">
        <f>100-E8</f>
        <v>97</v>
      </c>
      <c r="G8" s="105">
        <v>31</v>
      </c>
      <c r="H8" s="105">
        <v>33</v>
      </c>
      <c r="I8" s="105">
        <f>G8+H8</f>
        <v>0</v>
      </c>
      <c r="J8" s="106">
        <f>100-I8</f>
        <v>100</v>
      </c>
    </row>
    <row r="9" spans="2:17" ht="25" customHeight="1">
      <c r="B9" s="107" t="s">
        <v>190</v>
      </c>
      <c r="C9" s="108">
        <v>3</v>
      </c>
      <c r="D9" s="108">
        <v>4</v>
      </c>
      <c r="E9" s="108">
        <f>C9+D9</f>
        <v>7</v>
      </c>
      <c r="F9" s="108">
        <f>100-E9</f>
        <v>93</v>
      </c>
      <c r="G9" s="108">
        <v>3</v>
      </c>
      <c r="H9" s="108">
        <v>4</v>
      </c>
      <c r="I9" s="108">
        <f t="shared" ref="I9" si="0">G9+H9</f>
        <v>7</v>
      </c>
      <c r="J9" s="109">
        <f t="shared" ref="J9" si="1">100-I9</f>
        <v>93</v>
      </c>
    </row>
    <row r="10" spans="2:17" ht="25" customHeight="1">
      <c r="B10" s="120" t="s">
        <v>245</v>
      </c>
      <c r="C10" s="120">
        <v>21</v>
      </c>
      <c r="D10" s="152">
        <v>23</v>
      </c>
      <c r="E10" s="172">
        <v>24</v>
      </c>
      <c r="F10" s="172">
        <v>25</v>
      </c>
      <c r="G10" s="120">
        <v>31</v>
      </c>
      <c r="H10" s="152">
        <v>33</v>
      </c>
      <c r="I10" s="173">
        <v>34</v>
      </c>
      <c r="J10" s="173">
        <v>35</v>
      </c>
    </row>
    <row r="11" spans="2:17" ht="25" customHeight="1">
      <c r="E11" s="2" t="s">
        <v>260</v>
      </c>
    </row>
    <row r="16" spans="2:17">
      <c r="Q16" s="110"/>
    </row>
    <row r="17" ht="14.1" customHeight="1"/>
    <row r="18" ht="14.1" customHeight="1"/>
  </sheetData>
  <mergeCells count="5">
    <mergeCell ref="C4:F4"/>
    <mergeCell ref="G4:J4"/>
    <mergeCell ref="B4:B6"/>
    <mergeCell ref="B3:F3"/>
    <mergeCell ref="B2:F2"/>
  </mergeCells>
  <phoneticPr fontId="1" type="noConversion"/>
  <pageMargins left="0.7" right="0.7" top="0.75" bottom="0.75" header="0.3" footer="0.3"/>
  <pageSetup paperSize="9" orientation="portrait" verticalDpi="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Z26"/>
  <sheetViews>
    <sheetView zoomScale="70" zoomScaleNormal="70" workbookViewId="0">
      <selection activeCell="C9" sqref="C9"/>
    </sheetView>
  </sheetViews>
  <sheetFormatPr defaultColWidth="9" defaultRowHeight="14.1"/>
  <cols>
    <col min="1" max="1" width="2.59765625" style="1" customWidth="1"/>
    <col min="2" max="2" width="9" style="1"/>
    <col min="3" max="4" width="40.046875" style="1" bestFit="1" customWidth="1"/>
    <col min="5" max="5" width="9.546875" style="1" bestFit="1" customWidth="1"/>
    <col min="6" max="6" width="6.796875" style="1" bestFit="1" customWidth="1"/>
    <col min="7" max="7" width="12.59765625" style="1" customWidth="1"/>
    <col min="8" max="22" width="9" style="1"/>
    <col min="23" max="23" width="8.69921875" style="1" bestFit="1" customWidth="1"/>
    <col min="24" max="24" width="9" style="1"/>
  </cols>
  <sheetData>
    <row r="2" spans="2:25" ht="30" customHeight="1">
      <c r="B2" s="187" t="s">
        <v>174</v>
      </c>
      <c r="C2" s="187"/>
      <c r="D2" s="187"/>
      <c r="E2" s="187"/>
      <c r="F2" s="187"/>
    </row>
    <row r="3" spans="2:25" ht="15" customHeight="1">
      <c r="B3" s="186"/>
      <c r="C3" s="186"/>
      <c r="D3" s="186"/>
      <c r="E3" s="186"/>
      <c r="F3" s="186"/>
    </row>
    <row r="4" spans="2:25" ht="25" customHeight="1">
      <c r="B4" s="203" t="s">
        <v>16</v>
      </c>
      <c r="C4" s="34" t="s">
        <v>61</v>
      </c>
      <c r="D4" s="34" t="s">
        <v>23</v>
      </c>
      <c r="E4" s="34" t="s">
        <v>36</v>
      </c>
      <c r="F4" s="205" t="s">
        <v>62</v>
      </c>
    </row>
    <row r="5" spans="2:25" ht="25" customHeight="1">
      <c r="B5" s="204"/>
      <c r="C5" s="53" t="s">
        <v>56</v>
      </c>
      <c r="D5" s="53" t="s">
        <v>56</v>
      </c>
      <c r="E5" s="53" t="s">
        <v>56</v>
      </c>
      <c r="F5" s="206"/>
    </row>
    <row r="6" spans="2:25" ht="25" customHeight="1">
      <c r="B6" s="40" t="s">
        <v>63</v>
      </c>
      <c r="C6" s="53">
        <v>1</v>
      </c>
      <c r="D6" s="53">
        <v>1</v>
      </c>
      <c r="E6" s="53">
        <f>C6-D6</f>
        <v>0</v>
      </c>
      <c r="F6" s="54"/>
    </row>
    <row r="7" spans="2:25" ht="25" customHeight="1">
      <c r="B7" s="40" t="s">
        <v>64</v>
      </c>
      <c r="C7" s="53">
        <v>26.80645179748535</v>
      </c>
      <c r="D7" s="53">
        <v>0</v>
      </c>
      <c r="E7" s="53">
        <f>C7-D7</f>
        <v>0</v>
      </c>
      <c r="F7" s="54"/>
    </row>
    <row r="8" spans="2:25" ht="25" customHeight="1">
      <c r="B8" s="58" t="s">
        <v>65</v>
      </c>
      <c r="C8" s="59">
        <v>26.806453704833984</v>
      </c>
      <c r="D8" s="59">
        <v>0</v>
      </c>
      <c r="E8" s="59">
        <f>C8-D8</f>
        <v>0</v>
      </c>
      <c r="F8" s="60"/>
    </row>
    <row r="9" spans="2:25" ht="25" customHeight="1">
      <c r="B9" s="1" t="s">
        <v>263</v>
      </c>
      <c r="C9" s="159" t="s">
        <v>261</v>
      </c>
      <c r="D9" s="159" t="s">
        <v>262</v>
      </c>
      <c r="E9" s="159"/>
    </row>
    <row r="12" spans="2:25" ht="14.4" thickBot="1">
      <c r="B12" s="207" t="s">
        <v>204</v>
      </c>
      <c r="C12" s="207"/>
      <c r="D12" s="207"/>
      <c r="E12" s="207"/>
      <c r="F12" s="207"/>
      <c r="G12" s="207"/>
      <c r="H12" s="207"/>
      <c r="I12" s="207"/>
      <c r="J12" s="207"/>
      <c r="K12" s="207"/>
      <c r="L12" s="207"/>
      <c r="M12" s="207"/>
      <c r="N12" s="207"/>
      <c r="O12" s="207"/>
      <c r="P12" s="207"/>
      <c r="Q12" s="207"/>
      <c r="R12" s="207"/>
      <c r="S12" s="207"/>
      <c r="T12" s="207"/>
      <c r="U12" s="207"/>
      <c r="V12" s="207"/>
    </row>
    <row r="13" spans="2:25" ht="17.7">
      <c r="B13" s="211" t="s">
        <v>205</v>
      </c>
      <c r="C13" s="212"/>
      <c r="D13" s="212"/>
      <c r="E13" s="212"/>
      <c r="F13" s="212"/>
      <c r="G13" s="212"/>
      <c r="H13" s="213"/>
      <c r="I13" s="211" t="s">
        <v>206</v>
      </c>
      <c r="J13" s="212"/>
      <c r="K13" s="212"/>
      <c r="L13" s="212"/>
      <c r="M13" s="212"/>
      <c r="N13" s="212"/>
      <c r="O13" s="213"/>
      <c r="P13" s="211" t="s">
        <v>207</v>
      </c>
      <c r="Q13" s="214"/>
      <c r="R13" s="214"/>
      <c r="S13" s="214"/>
      <c r="T13" s="214"/>
      <c r="U13" s="214"/>
      <c r="V13" s="215"/>
      <c r="W13" s="209" t="s">
        <v>208</v>
      </c>
    </row>
    <row r="14" spans="2:25" ht="25.2">
      <c r="B14" s="216" t="s">
        <v>191</v>
      </c>
      <c r="C14" s="217"/>
      <c r="D14" s="116" t="s">
        <v>192</v>
      </c>
      <c r="E14" s="116" t="s">
        <v>193</v>
      </c>
      <c r="F14" s="116" t="s">
        <v>194</v>
      </c>
      <c r="G14" s="116" t="s">
        <v>195</v>
      </c>
      <c r="H14" s="117" t="s">
        <v>196</v>
      </c>
      <c r="I14" s="216" t="s">
        <v>191</v>
      </c>
      <c r="J14" s="217"/>
      <c r="K14" s="116" t="s">
        <v>192</v>
      </c>
      <c r="L14" s="116" t="s">
        <v>197</v>
      </c>
      <c r="M14" s="116" t="s">
        <v>194</v>
      </c>
      <c r="N14" s="116" t="s">
        <v>195</v>
      </c>
      <c r="O14" s="117" t="s">
        <v>196</v>
      </c>
      <c r="P14" s="216" t="s">
        <v>191</v>
      </c>
      <c r="Q14" s="218"/>
      <c r="R14" s="116" t="s">
        <v>192</v>
      </c>
      <c r="S14" s="43" t="s">
        <v>197</v>
      </c>
      <c r="T14" s="116" t="s">
        <v>194</v>
      </c>
      <c r="U14" s="43" t="s">
        <v>198</v>
      </c>
      <c r="V14" s="117" t="s">
        <v>196</v>
      </c>
      <c r="W14" s="210"/>
    </row>
    <row r="15" spans="2:25" ht="25.2">
      <c r="B15" s="111" t="s">
        <v>199</v>
      </c>
      <c r="C15" s="112" t="s">
        <v>200</v>
      </c>
      <c r="D15" s="113" t="s">
        <v>56</v>
      </c>
      <c r="E15" s="113" t="s">
        <v>56</v>
      </c>
      <c r="F15" s="113" t="s">
        <v>56</v>
      </c>
      <c r="G15" s="113" t="s">
        <v>201</v>
      </c>
      <c r="H15" s="114" t="s">
        <v>201</v>
      </c>
      <c r="I15" s="111" t="s">
        <v>199</v>
      </c>
      <c r="J15" s="112" t="s">
        <v>200</v>
      </c>
      <c r="K15" s="113" t="s">
        <v>56</v>
      </c>
      <c r="L15" s="113" t="s">
        <v>56</v>
      </c>
      <c r="M15" s="113" t="s">
        <v>56</v>
      </c>
      <c r="N15" s="113" t="s">
        <v>201</v>
      </c>
      <c r="O15" s="114" t="s">
        <v>201</v>
      </c>
      <c r="P15" s="111" t="s">
        <v>199</v>
      </c>
      <c r="Q15" s="112" t="s">
        <v>200</v>
      </c>
      <c r="R15" s="113" t="s">
        <v>202</v>
      </c>
      <c r="S15" s="113" t="s">
        <v>202</v>
      </c>
      <c r="T15" s="113" t="s">
        <v>202</v>
      </c>
      <c r="U15" s="113" t="s">
        <v>203</v>
      </c>
      <c r="V15" s="114" t="s">
        <v>203</v>
      </c>
      <c r="W15" s="118" t="s">
        <v>201</v>
      </c>
    </row>
    <row r="16" spans="2:25">
      <c r="B16" s="120">
        <v>21</v>
      </c>
      <c r="C16" s="120">
        <v>22</v>
      </c>
      <c r="D16" s="120">
        <v>23</v>
      </c>
      <c r="E16" s="120">
        <v>24</v>
      </c>
      <c r="F16" s="120">
        <v>25</v>
      </c>
      <c r="G16" s="120">
        <v>26</v>
      </c>
      <c r="H16" s="120">
        <v>27</v>
      </c>
      <c r="I16" s="120">
        <v>31</v>
      </c>
      <c r="J16" s="120">
        <v>32</v>
      </c>
      <c r="K16" s="120">
        <v>33</v>
      </c>
      <c r="L16" s="120">
        <v>34</v>
      </c>
      <c r="M16" s="120">
        <v>35</v>
      </c>
      <c r="N16" s="120">
        <v>36</v>
      </c>
      <c r="O16" s="120">
        <v>37</v>
      </c>
      <c r="P16" s="153" t="e">
        <f>(B16*G16+I16*N16)/U16</f>
        <v>#DIV/0!</v>
      </c>
      <c r="Q16" s="92"/>
      <c r="R16" s="92"/>
      <c r="S16" s="92"/>
      <c r="T16" s="92"/>
      <c r="U16" s="92"/>
      <c r="V16" s="92"/>
      <c r="W16" s="92"/>
      <c r="Y16" s="92"/>
    </row>
    <row r="19" spans="2:22">
      <c r="B19" s="154">
        <v>99</v>
      </c>
      <c r="C19" s="155">
        <v>65</v>
      </c>
      <c r="D19" s="155">
        <v>1.2</v>
      </c>
      <c r="E19" s="155">
        <v>99</v>
      </c>
      <c r="F19" s="155">
        <v>0.25</v>
      </c>
      <c r="G19" s="155">
        <v>2254</v>
      </c>
      <c r="H19" s="156">
        <f>B19*G19/100</f>
        <v>2231.46</v>
      </c>
      <c r="I19" s="154">
        <v>92.3</v>
      </c>
      <c r="J19" s="155">
        <v>88.9</v>
      </c>
      <c r="K19" s="155">
        <v>3.6</v>
      </c>
      <c r="L19" s="155">
        <v>99.5</v>
      </c>
      <c r="M19" s="155">
        <v>4.0999999999999996</v>
      </c>
      <c r="N19" s="155">
        <v>150</v>
      </c>
      <c r="O19" s="156">
        <f>I19*N19/100</f>
        <v>138.44999999999999</v>
      </c>
      <c r="P19" s="153">
        <f>(B19*G19+I19*N19)/U19</f>
        <v>98.581946755407657</v>
      </c>
      <c r="Q19" s="157">
        <f>(C19*G19+J19*N19)/U19</f>
        <v>66.491264559068213</v>
      </c>
      <c r="R19" s="157">
        <f>(D19*G19+K19*N19)/U19</f>
        <v>1.3497504159733775</v>
      </c>
      <c r="S19" s="157">
        <f>(E19*G19+L19*N19)/U19</f>
        <v>99.031198003327788</v>
      </c>
      <c r="T19" s="157">
        <f>(F19*G19+M19*N19)/U19</f>
        <v>0.49022462562396008</v>
      </c>
      <c r="U19" s="157">
        <f>G19+N19</f>
        <v>2404</v>
      </c>
      <c r="V19" s="158">
        <f>H19+O19</f>
        <v>2369.91</v>
      </c>
    </row>
    <row r="26" spans="2:22">
      <c r="D26" s="208"/>
      <c r="E26" s="208"/>
      <c r="F26" s="208"/>
    </row>
  </sheetData>
  <mergeCells count="13">
    <mergeCell ref="D26:F26"/>
    <mergeCell ref="W13:W14"/>
    <mergeCell ref="B13:H13"/>
    <mergeCell ref="I13:O13"/>
    <mergeCell ref="P13:V13"/>
    <mergeCell ref="I14:J14"/>
    <mergeCell ref="P14:Q14"/>
    <mergeCell ref="B14:C14"/>
    <mergeCell ref="B4:B5"/>
    <mergeCell ref="F4:F5"/>
    <mergeCell ref="B3:F3"/>
    <mergeCell ref="B2:F2"/>
    <mergeCell ref="B12:V12"/>
  </mergeCells>
  <phoneticPr fontId="1" type="noConversion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00B050"/>
  </sheetPr>
  <dimension ref="B2:Q7"/>
  <sheetViews>
    <sheetView workbookViewId="0">
      <selection activeCell="C1" sqref="C1:P1048576"/>
    </sheetView>
  </sheetViews>
  <sheetFormatPr defaultColWidth="9" defaultRowHeight="12.6"/>
  <cols>
    <col min="1" max="1" width="2" style="2" customWidth="1"/>
    <col min="2" max="2" width="9" style="2"/>
    <col min="3" max="3" width="15.6484375" style="2" bestFit="1" customWidth="1"/>
    <col min="4" max="14" width="6.59765625" style="2" customWidth="1"/>
    <col min="15" max="16" width="7.59765625" style="2" customWidth="1"/>
  </cols>
  <sheetData>
    <row r="2" spans="2:16" ht="30" customHeight="1">
      <c r="B2" s="187" t="s">
        <v>175</v>
      </c>
      <c r="C2" s="187"/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P2" s="187"/>
    </row>
    <row r="3" spans="2:16" ht="15" customHeight="1">
      <c r="B3" s="185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</row>
    <row r="4" spans="2:16" ht="60" customHeight="1">
      <c r="B4" s="61" t="s">
        <v>66</v>
      </c>
      <c r="C4" s="35" t="s">
        <v>67</v>
      </c>
      <c r="D4" s="35" t="s">
        <v>68</v>
      </c>
      <c r="E4" s="35" t="s">
        <v>69</v>
      </c>
      <c r="F4" s="35" t="s">
        <v>70</v>
      </c>
      <c r="G4" s="35" t="s">
        <v>71</v>
      </c>
      <c r="H4" s="35" t="s">
        <v>72</v>
      </c>
      <c r="I4" s="35" t="s">
        <v>73</v>
      </c>
      <c r="J4" s="35" t="s">
        <v>74</v>
      </c>
      <c r="K4" s="35" t="s">
        <v>75</v>
      </c>
      <c r="L4" s="35" t="s">
        <v>76</v>
      </c>
      <c r="M4" s="35" t="s">
        <v>77</v>
      </c>
      <c r="N4" s="35" t="s">
        <v>78</v>
      </c>
      <c r="O4" s="35" t="s">
        <v>34</v>
      </c>
      <c r="P4" s="36" t="s">
        <v>35</v>
      </c>
    </row>
    <row r="5" spans="2:16" ht="60" customHeight="1">
      <c r="B5" s="160" t="s">
        <v>79</v>
      </c>
      <c r="C5" s="38">
        <v>26.80645179748535</v>
      </c>
      <c r="D5" s="38">
        <v>26.806455612182617</v>
      </c>
      <c r="E5" s="38">
        <v>26.806455612182617</v>
      </c>
      <c r="F5" s="38">
        <v>26.806455612182617</v>
      </c>
      <c r="G5" s="38">
        <v>26.806455612182617</v>
      </c>
      <c r="H5" s="38">
        <v>26.806455612182617</v>
      </c>
      <c r="I5" s="38">
        <v>26.806455612182617</v>
      </c>
      <c r="J5" s="38">
        <v>26.806455612182617</v>
      </c>
      <c r="K5" s="38">
        <v>26.806455612182617</v>
      </c>
      <c r="L5" s="38">
        <v>26.806455612182617</v>
      </c>
      <c r="M5" s="38">
        <v>26.806455612182617</v>
      </c>
      <c r="N5" s="38">
        <v>26.806455612182617</v>
      </c>
      <c r="O5" s="38">
        <v>26.80645179748535</v>
      </c>
      <c r="P5" s="39">
        <v>26.806453704833984</v>
      </c>
    </row>
    <row r="6" spans="2:16" ht="60" customHeight="1">
      <c r="B6" s="161" t="s">
        <v>80</v>
      </c>
      <c r="C6" s="62">
        <v>620</v>
      </c>
      <c r="D6" s="62">
        <v>615.2307739257812</v>
      </c>
      <c r="E6" s="62">
        <v>615.2307739257812</v>
      </c>
      <c r="F6" s="62">
        <v>615.2307739257812</v>
      </c>
      <c r="G6" s="62">
        <v>615.2307739257812</v>
      </c>
      <c r="H6" s="62">
        <v>615.2307739257812</v>
      </c>
      <c r="I6" s="62">
        <v>615.2307739257812</v>
      </c>
      <c r="J6" s="62">
        <v>615.2307739257812</v>
      </c>
      <c r="K6" s="62">
        <v>615.2307739257812</v>
      </c>
      <c r="L6" s="62">
        <v>615.2307739257812</v>
      </c>
      <c r="M6" s="62">
        <v>615.2307739257812</v>
      </c>
      <c r="N6" s="62">
        <v>615.2307739257812</v>
      </c>
      <c r="O6" s="62">
        <v>620</v>
      </c>
      <c r="P6" s="63">
        <v>620</v>
      </c>
    </row>
    <row r="7" spans="2:16" ht="25" customHeight="1">
      <c r="B7" s="2" t="s">
        <v>279</v>
      </c>
    </row>
  </sheetData>
  <mergeCells count="2">
    <mergeCell ref="B3:P3"/>
    <mergeCell ref="B2:P2"/>
  </mergeCells>
  <phoneticPr fontId="1" type="noConversion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00B050"/>
  </sheetPr>
  <dimension ref="B2:N25"/>
  <sheetViews>
    <sheetView workbookViewId="0">
      <selection activeCell="Q17" sqref="Q17"/>
    </sheetView>
  </sheetViews>
  <sheetFormatPr defaultColWidth="9" defaultRowHeight="12.6"/>
  <cols>
    <col min="1" max="1" width="1.84765625" style="2" customWidth="1"/>
    <col min="2" max="2" width="10.59765625" style="2" customWidth="1"/>
    <col min="3" max="3" width="9" style="2"/>
    <col min="4" max="4" width="15.94921875" style="2" bestFit="1" customWidth="1"/>
    <col min="5" max="12" width="9" style="2"/>
  </cols>
  <sheetData>
    <row r="2" spans="2:13" ht="30" customHeight="1">
      <c r="B2" s="187" t="s">
        <v>176</v>
      </c>
      <c r="C2" s="187"/>
      <c r="D2" s="187"/>
      <c r="E2" s="187"/>
      <c r="F2" s="187"/>
      <c r="G2" s="187"/>
      <c r="H2" s="187"/>
      <c r="I2" s="187"/>
      <c r="J2" s="187"/>
      <c r="K2" s="187"/>
      <c r="L2" s="187"/>
      <c r="M2" s="187"/>
    </row>
    <row r="3" spans="2:13" ht="30" customHeight="1">
      <c r="B3" s="222" t="s">
        <v>134</v>
      </c>
      <c r="C3" s="218"/>
      <c r="D3" s="218"/>
      <c r="E3" s="218"/>
      <c r="F3" s="218"/>
      <c r="G3" s="218"/>
      <c r="H3" s="218"/>
      <c r="I3" s="218"/>
      <c r="J3" s="218"/>
      <c r="K3" s="218"/>
      <c r="L3" s="218"/>
      <c r="M3" s="205"/>
    </row>
    <row r="4" spans="2:13" ht="10" customHeight="1">
      <c r="B4" s="223"/>
      <c r="C4" s="224"/>
      <c r="D4" s="224"/>
      <c r="E4" s="224"/>
      <c r="F4" s="224"/>
      <c r="G4" s="224"/>
      <c r="H4" s="224"/>
      <c r="I4" s="224"/>
      <c r="J4" s="224"/>
      <c r="K4" s="224"/>
      <c r="L4" s="224"/>
      <c r="M4" s="225"/>
    </row>
    <row r="5" spans="2:13" ht="20.1" customHeight="1">
      <c r="B5" s="226" t="s">
        <v>117</v>
      </c>
      <c r="C5" s="227" t="s">
        <v>293</v>
      </c>
      <c r="D5" s="5" t="s">
        <v>294</v>
      </c>
      <c r="E5" s="5" t="s">
        <v>295</v>
      </c>
      <c r="F5" s="5" t="s">
        <v>296</v>
      </c>
      <c r="G5" s="5" t="s">
        <v>297</v>
      </c>
      <c r="H5" s="5" t="s">
        <v>298</v>
      </c>
      <c r="I5" s="5" t="s">
        <v>299</v>
      </c>
      <c r="J5" s="5" t="s">
        <v>300</v>
      </c>
      <c r="K5" s="228" t="s">
        <v>127</v>
      </c>
      <c r="L5" s="228" t="s">
        <v>126</v>
      </c>
      <c r="M5" s="229" t="s">
        <v>128</v>
      </c>
    </row>
    <row r="6" spans="2:13" ht="20.1" customHeight="1">
      <c r="B6" s="226" t="s">
        <v>118</v>
      </c>
      <c r="C6" s="227"/>
      <c r="D6" s="5" t="s">
        <v>122</v>
      </c>
      <c r="E6" s="5" t="s">
        <v>123</v>
      </c>
      <c r="F6" s="5" t="s">
        <v>124</v>
      </c>
      <c r="G6" s="5" t="s">
        <v>125</v>
      </c>
      <c r="H6" s="5" t="s">
        <v>119</v>
      </c>
      <c r="I6" s="5" t="s">
        <v>120</v>
      </c>
      <c r="J6" s="5" t="s">
        <v>121</v>
      </c>
      <c r="K6" s="227"/>
      <c r="L6" s="227"/>
      <c r="M6" s="206"/>
    </row>
    <row r="7" spans="2:13" ht="20.1" customHeight="1">
      <c r="B7" s="219" t="s">
        <v>129</v>
      </c>
      <c r="C7" s="220"/>
      <c r="D7" s="220"/>
      <c r="E7" s="220"/>
      <c r="F7" s="220"/>
      <c r="G7" s="220"/>
      <c r="H7" s="220"/>
      <c r="I7" s="220"/>
      <c r="J7" s="220"/>
      <c r="K7" s="220"/>
      <c r="L7" s="220"/>
      <c r="M7" s="221"/>
    </row>
    <row r="8" spans="2:13" ht="20.1" customHeight="1">
      <c r="B8" s="4" t="s">
        <v>21</v>
      </c>
      <c r="C8" s="5" t="s">
        <v>56</v>
      </c>
      <c r="D8" s="152">
        <v>11</v>
      </c>
      <c r="E8" s="5">
        <v>11</v>
      </c>
      <c r="F8" s="5">
        <v>11</v>
      </c>
      <c r="G8" s="5">
        <v>11</v>
      </c>
      <c r="H8" s="5">
        <v>11</v>
      </c>
      <c r="I8" s="5">
        <v>11</v>
      </c>
      <c r="J8" s="5">
        <v>11</v>
      </c>
      <c r="K8" s="5">
        <v>11</v>
      </c>
      <c r="L8" s="5">
        <v>11</v>
      </c>
      <c r="M8" s="6">
        <f>K8-L8</f>
        <v>-9</v>
      </c>
    </row>
    <row r="9" spans="2:13" ht="20.1" customHeight="1">
      <c r="B9" s="4" t="s">
        <v>94</v>
      </c>
      <c r="C9" s="5" t="s">
        <v>86</v>
      </c>
      <c r="D9" s="152">
        <v>13</v>
      </c>
      <c r="E9" s="5">
        <v>13</v>
      </c>
      <c r="F9" s="5">
        <v>13</v>
      </c>
      <c r="G9" s="5">
        <v>13</v>
      </c>
      <c r="H9" s="5">
        <v>13</v>
      </c>
      <c r="I9" s="5">
        <v>13</v>
      </c>
      <c r="J9" s="5">
        <v>13</v>
      </c>
      <c r="K9" s="5">
        <v>13</v>
      </c>
      <c r="L9" s="5">
        <v>13</v>
      </c>
      <c r="M9" s="6">
        <f t="shared" ref="M9:M10" si="0">K9-L9</f>
        <v>0</v>
      </c>
    </row>
    <row r="10" spans="2:13" ht="20.1" customHeight="1">
      <c r="B10" s="4" t="s">
        <v>44</v>
      </c>
      <c r="C10" s="5" t="s">
        <v>12</v>
      </c>
      <c r="D10" s="152">
        <v>17</v>
      </c>
      <c r="E10" s="5">
        <v>17</v>
      </c>
      <c r="F10" s="5">
        <v>17</v>
      </c>
      <c r="G10" s="5">
        <v>17</v>
      </c>
      <c r="H10" s="5">
        <v>17</v>
      </c>
      <c r="I10" s="5">
        <v>17</v>
      </c>
      <c r="J10" s="5">
        <v>17</v>
      </c>
      <c r="K10" s="5">
        <v>17</v>
      </c>
      <c r="L10" s="5">
        <v>17</v>
      </c>
      <c r="M10" s="6">
        <f t="shared" si="0"/>
        <v>0</v>
      </c>
    </row>
    <row r="11" spans="2:13" ht="20.1" customHeight="1">
      <c r="B11" s="219" t="s">
        <v>130</v>
      </c>
      <c r="C11" s="220"/>
      <c r="D11" s="220"/>
      <c r="E11" s="220"/>
      <c r="F11" s="220"/>
      <c r="G11" s="220"/>
      <c r="H11" s="220"/>
      <c r="I11" s="220"/>
      <c r="J11" s="220"/>
      <c r="K11" s="220"/>
      <c r="L11" s="220"/>
      <c r="M11" s="221"/>
    </row>
    <row r="12" spans="2:13" ht="20.1" customHeight="1">
      <c r="B12" s="4" t="s">
        <v>21</v>
      </c>
      <c r="C12" s="5" t="s">
        <v>56</v>
      </c>
      <c r="D12" s="89">
        <v>26.80645179748535</v>
      </c>
      <c r="E12" s="5">
        <v>26.80645179748535</v>
      </c>
      <c r="F12" s="5">
        <v>26.80645179748535</v>
      </c>
      <c r="G12" s="5">
        <v>26.80645179748535</v>
      </c>
      <c r="H12" s="5">
        <v>26.80645179748535</v>
      </c>
      <c r="I12" s="5">
        <v>26.80645179748535</v>
      </c>
      <c r="J12" s="5">
        <v>26.80645179748535</v>
      </c>
      <c r="K12" s="5">
        <v>26.80645179748535</v>
      </c>
      <c r="L12" s="5">
        <v>26.806453704833984</v>
      </c>
      <c r="M12" s="6">
        <f>K12-L12</f>
        <v>0</v>
      </c>
    </row>
    <row r="13" spans="2:13" ht="20.1" customHeight="1">
      <c r="B13" s="4" t="s">
        <v>57</v>
      </c>
      <c r="C13" s="5" t="s">
        <v>56</v>
      </c>
      <c r="D13" s="89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6">
        <f t="shared" ref="M13:M15" si="1">K13-L13</f>
        <v>0</v>
      </c>
    </row>
    <row r="14" spans="2:13" ht="20.1" customHeight="1">
      <c r="B14" s="162" t="s">
        <v>58</v>
      </c>
      <c r="C14" s="5" t="s">
        <v>56</v>
      </c>
      <c r="D14" s="163">
        <v>29.80645179748535</v>
      </c>
      <c r="E14" s="5">
        <v>29.80645179748535</v>
      </c>
      <c r="F14" s="5">
        <v>29.80645179748535</v>
      </c>
      <c r="G14" s="5">
        <v>29.80645179748535</v>
      </c>
      <c r="H14" s="5">
        <v>29.80645179748535</v>
      </c>
      <c r="I14" s="5">
        <v>29.80645179748535</v>
      </c>
      <c r="J14" s="5">
        <v>29.80645179748535</v>
      </c>
      <c r="K14" s="5">
        <v>29.80645179748535</v>
      </c>
      <c r="L14" s="5">
        <v>29.806453704833984</v>
      </c>
      <c r="M14" s="6">
        <f t="shared" si="1"/>
        <v>0</v>
      </c>
    </row>
    <row r="15" spans="2:13" ht="20.1" customHeight="1">
      <c r="B15" s="4" t="s">
        <v>59</v>
      </c>
      <c r="C15" s="5" t="s">
        <v>56</v>
      </c>
      <c r="D15" s="5">
        <f>100-D14</f>
        <v>620</v>
      </c>
      <c r="E15" s="5">
        <f t="shared" ref="E15:L15" si="2">100-E14</f>
        <v>620</v>
      </c>
      <c r="F15" s="5">
        <f t="shared" si="2"/>
        <v>620</v>
      </c>
      <c r="G15" s="5">
        <f t="shared" si="2"/>
        <v>620</v>
      </c>
      <c r="H15" s="5">
        <f t="shared" si="2"/>
        <v>620</v>
      </c>
      <c r="I15" s="5">
        <f t="shared" si="2"/>
        <v>620</v>
      </c>
      <c r="J15" s="5">
        <f t="shared" si="2"/>
        <v>620</v>
      </c>
      <c r="K15" s="5">
        <f t="shared" si="2"/>
        <v>70.19355010986328</v>
      </c>
      <c r="L15" s="5">
        <f t="shared" si="2"/>
        <v>70.19354248046875</v>
      </c>
      <c r="M15" s="6">
        <f t="shared" si="1"/>
        <v>0</v>
      </c>
    </row>
    <row r="16" spans="2:13" ht="20.1" customHeight="1">
      <c r="B16" s="219" t="s">
        <v>287</v>
      </c>
      <c r="C16" s="220"/>
      <c r="D16" s="220"/>
      <c r="E16" s="220"/>
      <c r="F16" s="220"/>
      <c r="G16" s="220"/>
      <c r="H16" s="220"/>
      <c r="I16" s="220"/>
      <c r="J16" s="220"/>
      <c r="K16" s="220"/>
      <c r="L16" s="220"/>
      <c r="M16" s="221"/>
    </row>
    <row r="17" spans="2:13" ht="20.1" customHeight="1">
      <c r="B17" s="174" t="s">
        <v>132</v>
      </c>
      <c r="C17" s="175" t="s">
        <v>56</v>
      </c>
      <c r="D17" s="175">
        <v>166.19998168945312</v>
      </c>
      <c r="E17" s="175">
        <v>166.19998168945312</v>
      </c>
      <c r="F17" s="175">
        <v>166.19998168945312</v>
      </c>
      <c r="G17" s="175">
        <v>166.19998168945312</v>
      </c>
      <c r="H17" s="175">
        <v>166.19998168945312</v>
      </c>
      <c r="I17" s="175">
        <v>166.19998168945312</v>
      </c>
      <c r="J17" s="175">
        <v>166.19998168945312</v>
      </c>
      <c r="K17" s="175">
        <v>620</v>
      </c>
      <c r="L17" s="175">
        <v>620</v>
      </c>
      <c r="M17" s="176"/>
    </row>
    <row r="18" spans="2:13" ht="20.1" customHeight="1">
      <c r="B18" s="174" t="s">
        <v>133</v>
      </c>
      <c r="C18" s="175" t="s">
        <v>113</v>
      </c>
      <c r="D18" s="175">
        <v>63</v>
      </c>
      <c r="E18" s="175">
        <v>63</v>
      </c>
      <c r="F18" s="175">
        <v>63</v>
      </c>
      <c r="G18" s="175">
        <v>63</v>
      </c>
      <c r="H18" s="175">
        <v>63</v>
      </c>
      <c r="I18" s="175">
        <v>63</v>
      </c>
      <c r="J18" s="175">
        <v>63</v>
      </c>
      <c r="K18" s="175">
        <v>166.19998168945312</v>
      </c>
      <c r="L18" s="175">
        <v>166.19996643066406</v>
      </c>
      <c r="M18" s="176">
        <f>K18-L18</f>
        <v>0</v>
      </c>
    </row>
    <row r="19" spans="2:13" ht="20.1" customHeight="1">
      <c r="B19" s="219" t="s">
        <v>288</v>
      </c>
      <c r="C19" s="220"/>
      <c r="D19" s="220"/>
      <c r="E19" s="220"/>
      <c r="F19" s="220"/>
      <c r="G19" s="220"/>
      <c r="H19" s="220"/>
      <c r="I19" s="220"/>
      <c r="J19" s="220"/>
      <c r="K19" s="220"/>
      <c r="L19" s="220"/>
      <c r="M19" s="221"/>
    </row>
    <row r="20" spans="2:13" ht="20.1" customHeight="1">
      <c r="B20" s="164" t="s">
        <v>21</v>
      </c>
      <c r="C20" s="8" t="s">
        <v>56</v>
      </c>
      <c r="D20" s="120" t="s">
        <v>283</v>
      </c>
      <c r="E20" s="8"/>
      <c r="F20" s="8"/>
      <c r="G20" s="8"/>
      <c r="H20" s="8"/>
      <c r="I20" s="8"/>
      <c r="J20" s="8"/>
      <c r="K20" s="8">
        <v>63</v>
      </c>
      <c r="L20" s="8">
        <v>63</v>
      </c>
      <c r="M20" s="9">
        <f>K20-L20</f>
        <v>0</v>
      </c>
    </row>
    <row r="21" spans="2:13" ht="20.1" customHeight="1">
      <c r="D21" s="120" t="s">
        <v>283</v>
      </c>
    </row>
    <row r="22" spans="2:13" ht="20.1" customHeight="1"/>
    <row r="23" spans="2:13" ht="20.1" customHeight="1"/>
    <row r="24" spans="2:13" ht="20.1" customHeight="1"/>
    <row r="25" spans="2:13" ht="20.1" customHeight="1"/>
  </sheetData>
  <mergeCells count="12">
    <mergeCell ref="B7:M7"/>
    <mergeCell ref="B11:M11"/>
    <mergeCell ref="B16:M16"/>
    <mergeCell ref="B19:M19"/>
    <mergeCell ref="B2:M2"/>
    <mergeCell ref="B3:M3"/>
    <mergeCell ref="B4:M4"/>
    <mergeCell ref="B5:C5"/>
    <mergeCell ref="K5:K6"/>
    <mergeCell ref="L5:L6"/>
    <mergeCell ref="M5:M6"/>
    <mergeCell ref="B6:C6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J15"/>
  <sheetViews>
    <sheetView tabSelected="1" workbookViewId="0">
      <selection activeCell="I12" sqref="I12"/>
    </sheetView>
  </sheetViews>
  <sheetFormatPr defaultColWidth="9" defaultRowHeight="12.6"/>
  <cols>
    <col min="1" max="1" width="1.34765625" style="2" customWidth="1"/>
    <col min="2" max="2" width="9" style="2"/>
    <col min="3" max="7" width="13.34765625" style="2" customWidth="1"/>
    <col min="8" max="8" width="9" style="2"/>
  </cols>
  <sheetData>
    <row r="2" spans="2:9" ht="30" customHeight="1">
      <c r="B2" s="187" t="s">
        <v>177</v>
      </c>
      <c r="C2" s="187"/>
      <c r="D2" s="187"/>
      <c r="E2" s="187"/>
      <c r="F2" s="187"/>
      <c r="G2" s="187"/>
    </row>
    <row r="3" spans="2:9" ht="15" customHeight="1">
      <c r="B3" s="185"/>
      <c r="C3" s="186"/>
      <c r="D3" s="186"/>
      <c r="E3" s="186"/>
      <c r="F3" s="186"/>
      <c r="G3" s="186"/>
    </row>
    <row r="4" spans="2:9" ht="15.75" customHeight="1">
      <c r="B4" s="231" t="s">
        <v>91</v>
      </c>
      <c r="C4" s="232"/>
      <c r="D4" s="232"/>
      <c r="E4" s="232"/>
      <c r="F4" s="232"/>
      <c r="G4" s="233"/>
    </row>
    <row r="5" spans="2:9" ht="25" customHeight="1">
      <c r="B5" s="4" t="s">
        <v>39</v>
      </c>
      <c r="C5" s="5" t="s">
        <v>82</v>
      </c>
      <c r="D5" s="5" t="s">
        <v>83</v>
      </c>
      <c r="E5" s="5" t="s">
        <v>84</v>
      </c>
      <c r="F5" s="5" t="s">
        <v>85</v>
      </c>
      <c r="G5" s="6" t="s">
        <v>87</v>
      </c>
    </row>
    <row r="6" spans="2:9" ht="25" customHeight="1">
      <c r="B6" s="4" t="s">
        <v>40</v>
      </c>
      <c r="C6" s="5" t="s">
        <v>10</v>
      </c>
      <c r="D6" s="5" t="s">
        <v>10</v>
      </c>
      <c r="E6" s="5" t="s">
        <v>12</v>
      </c>
      <c r="F6" s="5" t="s">
        <v>86</v>
      </c>
      <c r="G6" s="6" t="s">
        <v>88</v>
      </c>
    </row>
    <row r="7" spans="2:9" ht="25" customHeight="1">
      <c r="B7" s="79" t="s">
        <v>81</v>
      </c>
      <c r="C7" s="80">
        <v>0.16600000000000001</v>
      </c>
      <c r="D7" s="80">
        <v>0.04</v>
      </c>
      <c r="E7" s="81">
        <f>C7/D7</f>
        <v>4.1500000000000004</v>
      </c>
      <c r="F7" s="80">
        <v>1.17</v>
      </c>
      <c r="G7" s="82" t="s">
        <v>89</v>
      </c>
    </row>
    <row r="8" spans="2:9" ht="25" customHeight="1">
      <c r="B8" s="77" t="s">
        <v>209</v>
      </c>
      <c r="C8" s="71">
        <v>0</v>
      </c>
      <c r="D8" s="71">
        <v>116</v>
      </c>
      <c r="E8" s="78">
        <v>0</v>
      </c>
      <c r="F8" s="71">
        <v>114</v>
      </c>
      <c r="G8" s="74">
        <v>112</v>
      </c>
    </row>
    <row r="9" spans="2:9" ht="25" customHeight="1">
      <c r="B9" s="77" t="s">
        <v>90</v>
      </c>
      <c r="C9" s="71">
        <v>0</v>
      </c>
      <c r="D9" s="71">
        <v>116</v>
      </c>
      <c r="E9" s="78">
        <v>0</v>
      </c>
      <c r="F9" s="71">
        <v>114</v>
      </c>
      <c r="G9" s="74">
        <v>112</v>
      </c>
      <c r="H9" s="2" t="s">
        <v>244</v>
      </c>
      <c r="I9" s="2" t="s">
        <v>266</v>
      </c>
    </row>
    <row r="10" spans="2:9" ht="15.75" customHeight="1">
      <c r="B10" s="234" t="s">
        <v>92</v>
      </c>
      <c r="C10" s="235"/>
      <c r="D10" s="235"/>
      <c r="E10" s="235"/>
      <c r="F10" s="235"/>
      <c r="G10" s="236"/>
    </row>
    <row r="11" spans="2:9" ht="25" customHeight="1">
      <c r="B11" s="4" t="s">
        <v>39</v>
      </c>
      <c r="C11" s="311" t="s">
        <v>21</v>
      </c>
      <c r="D11" s="98" t="s">
        <v>94</v>
      </c>
      <c r="E11" s="179" t="s">
        <v>93</v>
      </c>
      <c r="F11" s="96"/>
      <c r="G11" s="5"/>
    </row>
    <row r="12" spans="2:9" ht="25" customHeight="1">
      <c r="B12" s="4" t="s">
        <v>40</v>
      </c>
      <c r="C12" s="311" t="s">
        <v>56</v>
      </c>
      <c r="D12" s="98" t="s">
        <v>86</v>
      </c>
      <c r="E12" s="179" t="s">
        <v>86</v>
      </c>
      <c r="F12" s="96"/>
      <c r="G12" s="5"/>
    </row>
    <row r="13" spans="2:9" ht="25" customHeight="1">
      <c r="B13" s="4" t="s">
        <v>34</v>
      </c>
      <c r="C13" s="312">
        <v>41</v>
      </c>
      <c r="D13" s="313">
        <v>43</v>
      </c>
      <c r="E13" s="314">
        <v>45</v>
      </c>
      <c r="F13" s="314"/>
      <c r="G13" s="315"/>
    </row>
    <row r="14" spans="2:9" ht="25" customHeight="1">
      <c r="B14" s="7" t="s">
        <v>35</v>
      </c>
      <c r="C14" s="316">
        <v>41</v>
      </c>
      <c r="D14" s="317">
        <v>43</v>
      </c>
      <c r="E14" s="314">
        <v>45</v>
      </c>
      <c r="F14" s="314"/>
      <c r="G14" s="318"/>
    </row>
    <row r="15" spans="2:9" ht="25" customHeight="1">
      <c r="C15" s="230" t="s">
        <v>267</v>
      </c>
      <c r="D15" s="230"/>
      <c r="E15" s="230"/>
      <c r="F15" s="230"/>
      <c r="G15" s="230"/>
    </row>
  </sheetData>
  <mergeCells count="5">
    <mergeCell ref="C15:G15"/>
    <mergeCell ref="B2:G2"/>
    <mergeCell ref="B4:G4"/>
    <mergeCell ref="B10:G10"/>
    <mergeCell ref="B3:G3"/>
  </mergeCells>
  <phoneticPr fontId="1" type="noConversion"/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K23"/>
  <sheetViews>
    <sheetView workbookViewId="0">
      <selection activeCell="E12" sqref="E12"/>
    </sheetView>
  </sheetViews>
  <sheetFormatPr defaultColWidth="9" defaultRowHeight="14.1"/>
  <cols>
    <col min="1" max="1" width="2.25" style="1" customWidth="1"/>
    <col min="2" max="5" width="19.59765625" style="1" customWidth="1"/>
    <col min="6" max="6" width="12.59765625" style="1" customWidth="1"/>
    <col min="7" max="9" width="9" style="1"/>
  </cols>
  <sheetData>
    <row r="2" spans="2:5" ht="30" customHeight="1">
      <c r="B2" s="187" t="s">
        <v>166</v>
      </c>
      <c r="C2" s="187"/>
      <c r="D2" s="187"/>
      <c r="E2" s="187"/>
    </row>
    <row r="3" spans="2:5" ht="15" customHeight="1">
      <c r="B3" s="208"/>
      <c r="C3" s="208"/>
      <c r="D3" s="208"/>
      <c r="E3" s="208"/>
    </row>
    <row r="4" spans="2:5" ht="25" customHeight="1">
      <c r="B4" s="238" t="s">
        <v>109</v>
      </c>
      <c r="C4" s="34" t="s">
        <v>108</v>
      </c>
      <c r="D4" s="34" t="s">
        <v>110</v>
      </c>
      <c r="E4" s="239" t="s">
        <v>111</v>
      </c>
    </row>
    <row r="5" spans="2:5" ht="25" customHeight="1">
      <c r="B5" s="204"/>
      <c r="C5" s="53" t="s">
        <v>107</v>
      </c>
      <c r="D5" s="53" t="s">
        <v>12</v>
      </c>
      <c r="E5" s="240"/>
    </row>
    <row r="6" spans="2:5" ht="25" customHeight="1">
      <c r="B6" s="40" t="s">
        <v>105</v>
      </c>
      <c r="C6" s="53">
        <v>0</v>
      </c>
      <c r="D6" s="119">
        <v>62</v>
      </c>
      <c r="E6" s="54">
        <v>301</v>
      </c>
    </row>
    <row r="7" spans="2:5" ht="25" customHeight="1">
      <c r="B7" s="55" t="s">
        <v>106</v>
      </c>
      <c r="C7" s="56">
        <v>0</v>
      </c>
      <c r="D7" s="56">
        <v>62</v>
      </c>
      <c r="E7" s="57">
        <v>301</v>
      </c>
    </row>
    <row r="8" spans="2:5" ht="15" customHeight="1">
      <c r="B8" s="241"/>
      <c r="C8" s="242"/>
      <c r="D8" s="242"/>
      <c r="E8" s="243"/>
    </row>
    <row r="9" spans="2:5" ht="25" customHeight="1">
      <c r="B9" s="238" t="s">
        <v>101</v>
      </c>
      <c r="C9" s="34" t="s">
        <v>21</v>
      </c>
      <c r="D9" s="34" t="s">
        <v>94</v>
      </c>
      <c r="E9" s="52" t="s">
        <v>93</v>
      </c>
    </row>
    <row r="10" spans="2:5" ht="25" customHeight="1">
      <c r="B10" s="204"/>
      <c r="C10" s="53" t="s">
        <v>56</v>
      </c>
      <c r="D10" s="53" t="s">
        <v>86</v>
      </c>
      <c r="E10" s="54" t="s">
        <v>86</v>
      </c>
    </row>
    <row r="11" spans="2:5" ht="25" customHeight="1">
      <c r="B11" s="40" t="s">
        <v>102</v>
      </c>
      <c r="C11" s="90">
        <v>51</v>
      </c>
      <c r="D11" s="90">
        <v>52</v>
      </c>
      <c r="E11" s="91">
        <v>55</v>
      </c>
    </row>
    <row r="12" spans="2:5" ht="25" customHeight="1">
      <c r="B12" s="40" t="s">
        <v>103</v>
      </c>
      <c r="C12" s="119">
        <v>57</v>
      </c>
      <c r="D12" s="119">
        <v>59</v>
      </c>
      <c r="E12" s="91">
        <v>61</v>
      </c>
    </row>
    <row r="13" spans="2:5" ht="25" customHeight="1">
      <c r="B13" s="55" t="s">
        <v>104</v>
      </c>
      <c r="C13" s="56" t="e">
        <f>C11-C12</f>
        <v>#VALUE!</v>
      </c>
      <c r="D13" s="121" t="e">
        <f>D11-D12</f>
        <v>#VALUE!</v>
      </c>
      <c r="E13" s="57" t="e">
        <f t="shared" ref="E13" si="0">E11-E12</f>
        <v>#VALUE!</v>
      </c>
    </row>
    <row r="17" spans="6:10">
      <c r="F17" s="120"/>
      <c r="G17" s="120"/>
      <c r="H17" s="120"/>
      <c r="I17" s="120"/>
      <c r="J17" s="120"/>
    </row>
    <row r="18" spans="6:10" ht="14.1" customHeight="1">
      <c r="F18" s="120"/>
      <c r="G18" s="120"/>
      <c r="H18" s="120"/>
      <c r="I18" s="120"/>
      <c r="J18" s="120"/>
    </row>
    <row r="19" spans="6:10">
      <c r="F19" s="120"/>
      <c r="G19" s="120"/>
      <c r="H19" s="120"/>
      <c r="I19" s="120"/>
      <c r="J19" s="120"/>
    </row>
    <row r="20" spans="6:10">
      <c r="F20" s="120"/>
      <c r="G20" s="120"/>
      <c r="H20" s="120"/>
      <c r="I20" s="120"/>
      <c r="J20" s="120"/>
    </row>
    <row r="21" spans="6:10">
      <c r="F21" s="120"/>
      <c r="G21" s="120"/>
      <c r="H21" s="120"/>
      <c r="I21" s="120"/>
      <c r="J21" s="120"/>
    </row>
    <row r="22" spans="6:10">
      <c r="F22" s="120"/>
      <c r="G22" s="120"/>
      <c r="H22" s="120"/>
      <c r="I22" s="120"/>
      <c r="J22" s="120"/>
    </row>
    <row r="23" spans="6:10">
      <c r="F23" s="120"/>
      <c r="G23" s="120"/>
      <c r="H23" s="120"/>
    </row>
  </sheetData>
  <mergeCells count="6">
    <mergeCell ref="B2:E2"/>
    <mergeCell ref="B3:E3"/>
    <mergeCell ref="B4:B5"/>
    <mergeCell ref="E4:E5"/>
    <mergeCell ref="B9:B10"/>
    <mergeCell ref="B8:E8"/>
  </mergeCells>
  <phoneticPr fontId="1" type="noConversion"/>
  <pageMargins left="0.7" right="0.7" top="0.75" bottom="0.75" header="0.3" footer="0.3"/>
  <pageSetup paperSize="9" orientation="portrait" verticalDpi="0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00B050"/>
  </sheetPr>
  <dimension ref="B2:G11"/>
  <sheetViews>
    <sheetView workbookViewId="0">
      <selection activeCell="C5" sqref="C5:E5"/>
    </sheetView>
  </sheetViews>
  <sheetFormatPr defaultRowHeight="14.1"/>
  <cols>
    <col min="1" max="1" width="2.59765625" customWidth="1"/>
    <col min="2" max="2" width="20.25" customWidth="1"/>
    <col min="3" max="5" width="15.59765625" customWidth="1"/>
    <col min="6" max="6" width="12.94921875" bestFit="1" customWidth="1"/>
  </cols>
  <sheetData>
    <row r="2" spans="2:6" ht="30" customHeight="1">
      <c r="B2" s="187" t="s">
        <v>167</v>
      </c>
      <c r="C2" s="187"/>
      <c r="D2" s="187"/>
      <c r="E2" s="187"/>
    </row>
    <row r="3" spans="2:6" ht="15" customHeight="1">
      <c r="B3" s="244"/>
      <c r="C3" s="244"/>
      <c r="D3" s="244"/>
      <c r="E3" s="244"/>
    </row>
    <row r="4" spans="2:6" s="1" customFormat="1" ht="25" customHeight="1">
      <c r="B4" s="3" t="s">
        <v>98</v>
      </c>
      <c r="C4" s="245"/>
      <c r="D4" s="246"/>
      <c r="E4" s="247"/>
      <c r="F4" s="122" t="s">
        <v>56</v>
      </c>
    </row>
    <row r="5" spans="2:6" s="1" customFormat="1" ht="25" customHeight="1">
      <c r="B5" s="37" t="s">
        <v>99</v>
      </c>
      <c r="C5" s="248">
        <v>4340</v>
      </c>
      <c r="D5" s="249"/>
      <c r="E5" s="250"/>
      <c r="F5" s="66" t="s">
        <v>100</v>
      </c>
    </row>
    <row r="6" spans="2:6" s="45" customFormat="1" ht="40.2" customHeight="1">
      <c r="B6" s="165" t="s">
        <v>276</v>
      </c>
      <c r="C6" s="166" t="s">
        <v>22</v>
      </c>
      <c r="D6" s="166" t="s">
        <v>96</v>
      </c>
      <c r="E6" s="166" t="s">
        <v>95</v>
      </c>
      <c r="F6" s="177" t="s">
        <v>97</v>
      </c>
    </row>
    <row r="7" spans="2:6" ht="40.2" customHeight="1">
      <c r="B7" s="93" t="s">
        <v>33</v>
      </c>
      <c r="C7" s="167">
        <v>52</v>
      </c>
      <c r="D7" s="167">
        <v>53</v>
      </c>
      <c r="E7" s="167">
        <v>55</v>
      </c>
      <c r="F7" s="178">
        <v>0</v>
      </c>
    </row>
    <row r="8" spans="2:6" ht="40.2" customHeight="1">
      <c r="B8" s="168" t="s">
        <v>34</v>
      </c>
      <c r="C8" s="167">
        <v>52</v>
      </c>
      <c r="D8" s="167">
        <v>53</v>
      </c>
      <c r="E8" s="167">
        <v>55</v>
      </c>
      <c r="F8" s="178">
        <v>0</v>
      </c>
    </row>
    <row r="9" spans="2:6" ht="40.2" customHeight="1">
      <c r="B9" s="168" t="s">
        <v>35</v>
      </c>
      <c r="C9" s="167">
        <v>52</v>
      </c>
      <c r="D9" s="167">
        <v>53</v>
      </c>
      <c r="E9" s="167">
        <v>55</v>
      </c>
      <c r="F9" s="178">
        <v>0</v>
      </c>
    </row>
    <row r="10" spans="2:6">
      <c r="B10" s="169" t="s">
        <v>278</v>
      </c>
      <c r="C10" s="251" t="s">
        <v>286</v>
      </c>
      <c r="D10" s="251"/>
      <c r="E10" s="251"/>
      <c r="F10" s="251"/>
    </row>
    <row r="11" spans="2:6">
      <c r="F11" s="0" t="s">
        <v>292</v>
      </c>
    </row>
  </sheetData>
  <mergeCells count="5">
    <mergeCell ref="B2:E2"/>
    <mergeCell ref="B3:E3"/>
    <mergeCell ref="C4:E4"/>
    <mergeCell ref="C5:E5"/>
    <mergeCell ref="C10:F10"/>
  </mergeCells>
  <phoneticPr fontId="1" type="noConversion"/>
  <pageMargins left="0.7" right="0.7" top="0.75" bottom="0.75" header="0.3" footer="0.3"/>
  <drawing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FF00"/>
  </sheetPr>
  <dimension ref="B2:Y23"/>
  <sheetViews>
    <sheetView zoomScale="85" zoomScaleNormal="85" workbookViewId="0">
      <selection activeCell="J8" sqref="J8"/>
    </sheetView>
  </sheetViews>
  <sheetFormatPr defaultRowHeight="14.1"/>
  <cols>
    <col min="1" max="1" width="2.34765625" customWidth="1"/>
    <col min="2" max="2" width="12.59765625" customWidth="1"/>
    <col min="3" max="10" width="10.59765625" customWidth="1"/>
  </cols>
  <sheetData>
    <row r="2" spans="2:24" ht="30" customHeight="1">
      <c r="B2" s="187" t="s">
        <v>168</v>
      </c>
      <c r="C2" s="187"/>
      <c r="D2" s="187"/>
      <c r="E2" s="187"/>
      <c r="F2" s="187"/>
      <c r="G2" s="187"/>
      <c r="H2" s="187"/>
      <c r="I2" s="187"/>
      <c r="J2" s="187"/>
    </row>
    <row r="3" spans="2:24" ht="25" customHeight="1">
      <c r="B3" s="275" t="s">
        <v>116</v>
      </c>
      <c r="C3" s="275"/>
      <c r="D3" s="275"/>
      <c r="E3" s="275"/>
      <c r="F3" s="275"/>
      <c r="G3" s="275"/>
      <c r="H3" s="275"/>
      <c r="I3" s="275"/>
      <c r="J3" s="275"/>
    </row>
    <row r="4" spans="2:24" ht="15" customHeight="1"/>
    <row r="5" spans="2:24" ht="30" customHeight="1">
      <c r="B5" s="273" t="s">
        <v>112</v>
      </c>
      <c r="C5" s="75" t="s">
        <v>146</v>
      </c>
      <c r="D5" s="75" t="s">
        <v>147</v>
      </c>
      <c r="E5" s="75" t="s">
        <v>148</v>
      </c>
      <c r="F5" s="75" t="s">
        <v>149</v>
      </c>
      <c r="G5" s="75" t="s">
        <v>150</v>
      </c>
      <c r="H5" s="75" t="s">
        <v>151</v>
      </c>
      <c r="I5" s="75" t="s">
        <v>153</v>
      </c>
      <c r="J5" s="76" t="s">
        <v>152</v>
      </c>
    </row>
    <row r="6" spans="2:24" ht="25" customHeight="1">
      <c r="B6" s="274"/>
      <c r="C6" s="5" t="s">
        <v>114</v>
      </c>
      <c r="D6" s="5" t="s">
        <v>114</v>
      </c>
      <c r="E6" s="5" t="s">
        <v>115</v>
      </c>
      <c r="F6" s="5" t="s">
        <v>115</v>
      </c>
      <c r="G6" s="5" t="s">
        <v>115</v>
      </c>
      <c r="H6" s="5" t="s">
        <v>115</v>
      </c>
      <c r="I6" s="5" t="s">
        <v>115</v>
      </c>
      <c r="J6" s="6" t="s">
        <v>115</v>
      </c>
    </row>
    <row r="7" spans="2:24" s="1" customFormat="1" ht="25" customHeight="1">
      <c r="B7" s="16" t="s">
        <v>47</v>
      </c>
      <c r="C7" s="18">
        <v>1.4630000000000001</v>
      </c>
      <c r="D7" s="18">
        <v>0.25</v>
      </c>
      <c r="E7" s="18">
        <v>0.1</v>
      </c>
      <c r="F7" s="18" t="s">
        <v>12</v>
      </c>
      <c r="G7" s="18" t="s">
        <v>12</v>
      </c>
      <c r="H7" s="18" t="s">
        <v>12</v>
      </c>
      <c r="I7" s="67">
        <v>3</v>
      </c>
      <c r="J7" s="68">
        <v>0.57499999999999996</v>
      </c>
    </row>
    <row r="8" spans="2:24" s="1" customFormat="1" ht="25" customHeight="1">
      <c r="B8" s="4" t="s">
        <v>33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3">
        <v>0</v>
      </c>
      <c r="J8" s="54">
        <v>0</v>
      </c>
    </row>
    <row r="9" spans="2:24" s="1" customFormat="1" ht="25" customHeight="1">
      <c r="B9" s="16" t="s">
        <v>105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69">
        <v>0</v>
      </c>
      <c r="J9" s="70">
        <v>0</v>
      </c>
    </row>
    <row r="10" spans="2:24" s="1" customFormat="1" ht="25" customHeight="1" thickBot="1">
      <c r="B10" s="7" t="s">
        <v>106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56">
        <v>0</v>
      </c>
      <c r="J10" s="57">
        <v>0</v>
      </c>
    </row>
    <row r="11" spans="2:24" s="1" customFormat="1" ht="25" customHeight="1" thickBot="1">
      <c r="B11" s="2"/>
      <c r="C11" s="2"/>
      <c r="D11" s="2"/>
      <c r="E11" s="2"/>
      <c r="F11" s="2"/>
      <c r="G11" s="2"/>
      <c r="H11" s="2"/>
    </row>
    <row r="12" spans="2:24" s="1" customFormat="1" ht="25" customHeight="1">
      <c r="B12" s="276">
        <v>2025</v>
      </c>
      <c r="C12" s="277"/>
      <c r="D12" s="123"/>
      <c r="E12" s="278" t="s">
        <v>210</v>
      </c>
      <c r="F12" s="278"/>
      <c r="G12" s="277"/>
      <c r="H12" s="277"/>
      <c r="I12" s="277"/>
      <c r="J12" s="277"/>
      <c r="K12" s="277"/>
      <c r="L12" s="277"/>
      <c r="M12" s="277"/>
      <c r="N12" s="277"/>
      <c r="O12" s="277"/>
      <c r="P12" s="277"/>
      <c r="Q12" s="277"/>
      <c r="R12" s="277"/>
      <c r="S12" s="277"/>
      <c r="T12" s="277"/>
      <c r="U12" s="277"/>
      <c r="V12" s="277"/>
      <c r="W12" s="277"/>
      <c r="X12" s="279"/>
    </row>
    <row r="13" spans="2:24" s="1" customFormat="1" ht="25" customHeight="1">
      <c r="B13" s="269" t="s">
        <v>117</v>
      </c>
      <c r="C13" s="271" t="s">
        <v>135</v>
      </c>
      <c r="D13" s="271" t="s">
        <v>211</v>
      </c>
      <c r="E13" s="259" t="s">
        <v>131</v>
      </c>
      <c r="F13" s="260"/>
      <c r="G13" s="257" t="s">
        <v>212</v>
      </c>
      <c r="H13" s="258"/>
      <c r="I13" s="267" t="s">
        <v>213</v>
      </c>
      <c r="J13" s="268"/>
      <c r="K13" s="257" t="s">
        <v>214</v>
      </c>
      <c r="L13" s="258"/>
      <c r="M13" s="259" t="s">
        <v>215</v>
      </c>
      <c r="N13" s="260"/>
      <c r="O13" s="257" t="s">
        <v>216</v>
      </c>
      <c r="P13" s="258"/>
      <c r="Q13" s="259" t="s">
        <v>217</v>
      </c>
      <c r="R13" s="260"/>
      <c r="S13" s="257" t="s">
        <v>218</v>
      </c>
      <c r="T13" s="258"/>
      <c r="U13" s="259" t="s">
        <v>219</v>
      </c>
      <c r="V13" s="260"/>
      <c r="W13" s="258" t="s">
        <v>220</v>
      </c>
      <c r="X13" s="261"/>
    </row>
    <row r="14" spans="2:24" ht="25" customHeight="1">
      <c r="B14" s="270"/>
      <c r="C14" s="272"/>
      <c r="D14" s="272"/>
      <c r="E14" s="124" t="s">
        <v>221</v>
      </c>
      <c r="F14" s="124" t="s">
        <v>40</v>
      </c>
      <c r="G14" s="112" t="s">
        <v>221</v>
      </c>
      <c r="H14" s="112" t="s">
        <v>40</v>
      </c>
      <c r="I14" s="124" t="s">
        <v>221</v>
      </c>
      <c r="J14" s="124" t="s">
        <v>40</v>
      </c>
      <c r="K14" s="112" t="s">
        <v>222</v>
      </c>
      <c r="L14" s="112" t="s">
        <v>223</v>
      </c>
      <c r="M14" s="124" t="s">
        <v>222</v>
      </c>
      <c r="N14" s="124" t="s">
        <v>223</v>
      </c>
      <c r="O14" s="112" t="s">
        <v>222</v>
      </c>
      <c r="P14" s="112" t="s">
        <v>223</v>
      </c>
      <c r="Q14" s="124" t="s">
        <v>222</v>
      </c>
      <c r="R14" s="124" t="s">
        <v>223</v>
      </c>
      <c r="S14" s="112" t="s">
        <v>222</v>
      </c>
      <c r="T14" s="112" t="s">
        <v>223</v>
      </c>
      <c r="U14" s="124" t="s">
        <v>224</v>
      </c>
      <c r="V14" s="124" t="s">
        <v>40</v>
      </c>
      <c r="W14" s="112" t="s">
        <v>225</v>
      </c>
      <c r="X14" s="125" t="s">
        <v>223</v>
      </c>
    </row>
    <row r="15" spans="2:24">
      <c r="B15" s="262">
        <v>1201</v>
      </c>
      <c r="C15" s="217" t="s">
        <v>226</v>
      </c>
      <c r="D15" s="115" t="s">
        <v>12</v>
      </c>
      <c r="E15" s="126"/>
      <c r="F15" s="126" t="s">
        <v>113</v>
      </c>
      <c r="G15" s="127"/>
      <c r="H15" s="127" t="s">
        <v>113</v>
      </c>
      <c r="I15" s="126"/>
      <c r="J15" s="126" t="s">
        <v>100</v>
      </c>
      <c r="K15" s="128"/>
      <c r="L15" s="127" t="s">
        <v>113</v>
      </c>
      <c r="M15" s="126"/>
      <c r="N15" s="126" t="s">
        <v>113</v>
      </c>
      <c r="O15" s="127"/>
      <c r="P15" s="127" t="s">
        <v>113</v>
      </c>
      <c r="Q15" s="128"/>
      <c r="R15" s="126" t="s">
        <v>113</v>
      </c>
      <c r="S15" s="128"/>
      <c r="T15" s="127" t="s">
        <v>227</v>
      </c>
      <c r="U15" s="126"/>
      <c r="V15" s="126" t="s">
        <v>100</v>
      </c>
      <c r="W15" s="127">
        <v>1</v>
      </c>
      <c r="X15" s="129" t="s">
        <v>100</v>
      </c>
    </row>
    <row r="16" spans="2:24">
      <c r="B16" s="263"/>
      <c r="C16" s="265"/>
      <c r="D16" s="130" t="s">
        <v>228</v>
      </c>
      <c r="E16" s="131"/>
      <c r="F16" s="131" t="s">
        <v>113</v>
      </c>
      <c r="G16" s="64"/>
      <c r="H16" s="64" t="s">
        <v>113</v>
      </c>
      <c r="I16" s="131"/>
      <c r="J16" s="131" t="s">
        <v>113</v>
      </c>
      <c r="K16" s="64"/>
      <c r="L16" s="64" t="s">
        <v>113</v>
      </c>
      <c r="M16" s="131"/>
      <c r="N16" s="131" t="s">
        <v>113</v>
      </c>
      <c r="O16" s="64"/>
      <c r="P16" s="64" t="s">
        <v>113</v>
      </c>
      <c r="Q16" s="131"/>
      <c r="R16" s="131" t="s">
        <v>113</v>
      </c>
      <c r="S16" s="64"/>
      <c r="T16" s="64" t="s">
        <v>113</v>
      </c>
      <c r="U16" s="131"/>
      <c r="V16" s="131" t="s">
        <v>113</v>
      </c>
      <c r="W16" s="64"/>
      <c r="X16" s="132" t="s">
        <v>229</v>
      </c>
    </row>
    <row r="17" spans="2:24">
      <c r="B17" s="263"/>
      <c r="C17" s="265"/>
      <c r="D17" s="133" t="s">
        <v>230</v>
      </c>
      <c r="E17" s="131" t="e">
        <f>E15/E16</f>
        <v>#DIV/0!</v>
      </c>
      <c r="F17" s="131" t="s">
        <v>114</v>
      </c>
      <c r="G17" s="64" t="e">
        <f>G15/G16</f>
        <v>#DIV/0!</v>
      </c>
      <c r="H17" s="64" t="s">
        <v>114</v>
      </c>
      <c r="I17" s="131" t="e">
        <f>I15/I16</f>
        <v>#DIV/0!</v>
      </c>
      <c r="J17" s="131" t="s">
        <v>115</v>
      </c>
      <c r="K17" s="64" t="e">
        <f>K15/K16</f>
        <v>#DIV/0!</v>
      </c>
      <c r="L17" s="64" t="s">
        <v>114</v>
      </c>
      <c r="M17" s="131" t="e">
        <f>M15/M16</f>
        <v>#DIV/0!</v>
      </c>
      <c r="N17" s="131" t="s">
        <v>114</v>
      </c>
      <c r="O17" s="64" t="e">
        <f>O15/O16</f>
        <v>#DIV/0!</v>
      </c>
      <c r="P17" s="64" t="s">
        <v>114</v>
      </c>
      <c r="Q17" s="131" t="e">
        <f>Q15/Q16</f>
        <v>#DIV/0!</v>
      </c>
      <c r="R17" s="131" t="s">
        <v>114</v>
      </c>
      <c r="S17" s="64" t="e">
        <f>S15/S16</f>
        <v>#DIV/0!</v>
      </c>
      <c r="T17" s="64" t="s">
        <v>231</v>
      </c>
      <c r="U17" s="131" t="e">
        <f>U15/U16</f>
        <v>#DIV/0!</v>
      </c>
      <c r="V17" s="131" t="s">
        <v>232</v>
      </c>
      <c r="W17" s="64" t="e">
        <f>W15/W16</f>
        <v>#DIV/0!</v>
      </c>
      <c r="X17" s="132" t="s">
        <v>115</v>
      </c>
    </row>
    <row r="18" spans="2:24">
      <c r="B18" s="263"/>
      <c r="C18" s="265" t="s">
        <v>233</v>
      </c>
      <c r="D18" s="130" t="s">
        <v>12</v>
      </c>
      <c r="E18" s="131"/>
      <c r="F18" s="131" t="s">
        <v>113</v>
      </c>
      <c r="G18" s="64"/>
      <c r="H18" s="64" t="s">
        <v>113</v>
      </c>
      <c r="I18" s="131"/>
      <c r="J18" s="131" t="s">
        <v>100</v>
      </c>
      <c r="K18" s="134"/>
      <c r="L18" s="64" t="s">
        <v>113</v>
      </c>
      <c r="M18" s="131"/>
      <c r="N18" s="131" t="s">
        <v>113</v>
      </c>
      <c r="O18" s="64"/>
      <c r="P18" s="64" t="s">
        <v>113</v>
      </c>
      <c r="Q18" s="134"/>
      <c r="R18" s="131" t="s">
        <v>113</v>
      </c>
      <c r="S18" s="134"/>
      <c r="T18" s="64" t="s">
        <v>227</v>
      </c>
      <c r="U18" s="131"/>
      <c r="V18" s="131" t="s">
        <v>100</v>
      </c>
      <c r="W18" s="64"/>
      <c r="X18" s="132" t="s">
        <v>100</v>
      </c>
    </row>
    <row r="19" spans="2:24">
      <c r="B19" s="263"/>
      <c r="C19" s="265"/>
      <c r="D19" s="130" t="s">
        <v>228</v>
      </c>
      <c r="E19" s="131"/>
      <c r="F19" s="131" t="s">
        <v>113</v>
      </c>
      <c r="G19" s="64"/>
      <c r="H19" s="64" t="s">
        <v>113</v>
      </c>
      <c r="I19" s="131"/>
      <c r="J19" s="131" t="s">
        <v>113</v>
      </c>
      <c r="K19" s="64"/>
      <c r="L19" s="64" t="s">
        <v>113</v>
      </c>
      <c r="M19" s="131"/>
      <c r="N19" s="131" t="s">
        <v>113</v>
      </c>
      <c r="O19" s="64"/>
      <c r="P19" s="64" t="s">
        <v>113</v>
      </c>
      <c r="Q19" s="131"/>
      <c r="R19" s="131" t="s">
        <v>113</v>
      </c>
      <c r="S19" s="64"/>
      <c r="T19" s="64" t="s">
        <v>113</v>
      </c>
      <c r="U19" s="131"/>
      <c r="V19" s="131" t="s">
        <v>113</v>
      </c>
      <c r="W19" s="64"/>
      <c r="X19" s="132" t="s">
        <v>229</v>
      </c>
    </row>
    <row r="20" spans="2:24">
      <c r="B20" s="264"/>
      <c r="C20" s="266"/>
      <c r="D20" s="135" t="s">
        <v>230</v>
      </c>
      <c r="E20" s="136" t="e">
        <f>E18/E19</f>
        <v>#DIV/0!</v>
      </c>
      <c r="F20" s="136" t="s">
        <v>114</v>
      </c>
      <c r="G20" s="65" t="e">
        <f>G18/G19</f>
        <v>#DIV/0!</v>
      </c>
      <c r="H20" s="65" t="s">
        <v>114</v>
      </c>
      <c r="I20" s="136" t="e">
        <f>I18/I19</f>
        <v>#DIV/0!</v>
      </c>
      <c r="J20" s="136" t="s">
        <v>115</v>
      </c>
      <c r="K20" s="65" t="e">
        <f>K18/K19</f>
        <v>#DIV/0!</v>
      </c>
      <c r="L20" s="65" t="s">
        <v>114</v>
      </c>
      <c r="M20" s="136" t="e">
        <f>M18/M19</f>
        <v>#DIV/0!</v>
      </c>
      <c r="N20" s="136" t="s">
        <v>114</v>
      </c>
      <c r="O20" s="65" t="e">
        <f>O18/O19</f>
        <v>#DIV/0!</v>
      </c>
      <c r="P20" s="65" t="s">
        <v>114</v>
      </c>
      <c r="Q20" s="136" t="e">
        <f>Q18/Q19</f>
        <v>#DIV/0!</v>
      </c>
      <c r="R20" s="136" t="s">
        <v>114</v>
      </c>
      <c r="S20" s="65" t="e">
        <f>S18/S19</f>
        <v>#DIV/0!</v>
      </c>
      <c r="T20" s="65" t="s">
        <v>231</v>
      </c>
      <c r="U20" s="136" t="e">
        <f>U18/U19</f>
        <v>#DIV/0!</v>
      </c>
      <c r="V20" s="136" t="s">
        <v>115</v>
      </c>
      <c r="W20" s="65" t="e">
        <f>W18/W19</f>
        <v>#DIV/0!</v>
      </c>
      <c r="X20" s="137" t="s">
        <v>115</v>
      </c>
    </row>
    <row r="21" spans="2:24">
      <c r="B21" s="252" t="s">
        <v>234</v>
      </c>
      <c r="C21" s="253"/>
      <c r="D21" s="253"/>
      <c r="E21" s="138"/>
      <c r="F21" s="139" t="s">
        <v>229</v>
      </c>
      <c r="G21" s="140">
        <f>G15+G18</f>
        <v>0</v>
      </c>
      <c r="H21" s="99" t="s">
        <v>229</v>
      </c>
      <c r="I21" s="138">
        <f>I15+I18</f>
        <v>0</v>
      </c>
      <c r="J21" s="139" t="s">
        <v>235</v>
      </c>
      <c r="K21" s="140">
        <f>K15+K18</f>
        <v>0</v>
      </c>
      <c r="L21" s="99" t="s">
        <v>229</v>
      </c>
      <c r="M21" s="138">
        <f>M15+M18</f>
        <v>0</v>
      </c>
      <c r="N21" s="139" t="s">
        <v>229</v>
      </c>
      <c r="O21" s="140">
        <f>O15+O18</f>
        <v>0</v>
      </c>
      <c r="P21" s="99" t="s">
        <v>229</v>
      </c>
      <c r="Q21" s="138">
        <f>Q15+Q18</f>
        <v>0</v>
      </c>
      <c r="R21" s="139" t="s">
        <v>229</v>
      </c>
      <c r="S21" s="140">
        <f>S15+S18</f>
        <v>0</v>
      </c>
      <c r="T21" s="99" t="s">
        <v>236</v>
      </c>
      <c r="U21" s="138">
        <f>U15+U18</f>
        <v>0</v>
      </c>
      <c r="V21" s="139" t="s">
        <v>235</v>
      </c>
      <c r="W21" s="140">
        <f>W15+W18</f>
        <v>1</v>
      </c>
      <c r="X21" s="141" t="s">
        <v>235</v>
      </c>
    </row>
    <row r="22" spans="2:24">
      <c r="B22" s="254" t="s">
        <v>237</v>
      </c>
      <c r="C22" s="227"/>
      <c r="D22" s="227"/>
      <c r="E22" s="142"/>
      <c r="F22" s="90" t="s">
        <v>229</v>
      </c>
      <c r="G22" s="143">
        <f>G16+G19</f>
        <v>0</v>
      </c>
      <c r="H22" s="97" t="s">
        <v>229</v>
      </c>
      <c r="I22" s="142">
        <f>I16+I19</f>
        <v>0</v>
      </c>
      <c r="J22" s="90" t="s">
        <v>229</v>
      </c>
      <c r="K22" s="143">
        <f>K16+K19</f>
        <v>0</v>
      </c>
      <c r="L22" s="97" t="s">
        <v>229</v>
      </c>
      <c r="M22" s="142">
        <f>M16+M19</f>
        <v>0</v>
      </c>
      <c r="N22" s="90" t="s">
        <v>229</v>
      </c>
      <c r="O22" s="143">
        <f>O16+O19</f>
        <v>0</v>
      </c>
      <c r="P22" s="97" t="s">
        <v>229</v>
      </c>
      <c r="Q22" s="142">
        <f>Q16+Q19</f>
        <v>0</v>
      </c>
      <c r="R22" s="90" t="s">
        <v>229</v>
      </c>
      <c r="S22" s="143">
        <f>S16+S19</f>
        <v>0</v>
      </c>
      <c r="T22" s="97" t="s">
        <v>229</v>
      </c>
      <c r="U22" s="142">
        <f>U16+U19</f>
        <v>0</v>
      </c>
      <c r="V22" s="90" t="s">
        <v>229</v>
      </c>
      <c r="W22" s="143">
        <f>W16+W19</f>
        <v>0</v>
      </c>
      <c r="X22" s="144" t="s">
        <v>229</v>
      </c>
    </row>
    <row r="23" spans="2:24" ht="14.4" thickBot="1">
      <c r="B23" s="255" t="s">
        <v>238</v>
      </c>
      <c r="C23" s="256"/>
      <c r="D23" s="256"/>
      <c r="E23" s="145" t="e">
        <f>E21/E22</f>
        <v>#DIV/0!</v>
      </c>
      <c r="F23" s="145" t="s">
        <v>239</v>
      </c>
      <c r="G23" s="146" t="e">
        <f>G21/G22</f>
        <v>#DIV/0!</v>
      </c>
      <c r="H23" s="146" t="s">
        <v>239</v>
      </c>
      <c r="I23" s="145" t="e">
        <f>I21/I22</f>
        <v>#DIV/0!</v>
      </c>
      <c r="J23" s="145" t="s">
        <v>232</v>
      </c>
      <c r="K23" s="146" t="e">
        <f>K21/K22</f>
        <v>#DIV/0!</v>
      </c>
      <c r="L23" s="146" t="s">
        <v>239</v>
      </c>
      <c r="M23" s="145" t="e">
        <f>M21/M22</f>
        <v>#DIV/0!</v>
      </c>
      <c r="N23" s="145" t="s">
        <v>239</v>
      </c>
      <c r="O23" s="146" t="e">
        <f>O21/O22</f>
        <v>#DIV/0!</v>
      </c>
      <c r="P23" s="146" t="s">
        <v>239</v>
      </c>
      <c r="Q23" s="145" t="e">
        <f>Q21/Q22</f>
        <v>#DIV/0!</v>
      </c>
      <c r="R23" s="145" t="s">
        <v>239</v>
      </c>
      <c r="S23" s="146" t="e">
        <f>S21/S22</f>
        <v>#DIV/0!</v>
      </c>
      <c r="T23" s="146" t="s">
        <v>240</v>
      </c>
      <c r="U23" s="145" t="e">
        <f>U21/U22</f>
        <v>#DIV/0!</v>
      </c>
      <c r="V23" s="145" t="s">
        <v>232</v>
      </c>
      <c r="W23" s="146" t="e">
        <f>W21/W22</f>
        <v>#DIV/0!</v>
      </c>
      <c r="X23" s="147" t="s">
        <v>232</v>
      </c>
    </row>
  </sheetData>
  <mergeCells count="24">
    <mergeCell ref="B5:B6"/>
    <mergeCell ref="B3:J3"/>
    <mergeCell ref="B2:J2"/>
    <mergeCell ref="B12:C12"/>
    <mergeCell ref="E12:X12"/>
    <mergeCell ref="W13:X13"/>
    <mergeCell ref="B15:B20"/>
    <mergeCell ref="C15:C17"/>
    <mergeCell ref="C18:C20"/>
    <mergeCell ref="I13:J13"/>
    <mergeCell ref="K13:L13"/>
    <mergeCell ref="M13:N13"/>
    <mergeCell ref="O13:P13"/>
    <mergeCell ref="Q13:R13"/>
    <mergeCell ref="B13:B14"/>
    <mergeCell ref="C13:C14"/>
    <mergeCell ref="D13:D14"/>
    <mergeCell ref="E13:F13"/>
    <mergeCell ref="G13:H13"/>
    <mergeCell ref="B21:D21"/>
    <mergeCell ref="B22:D22"/>
    <mergeCell ref="B23:D23"/>
    <mergeCell ref="S13:T13"/>
    <mergeCell ref="U13:V13"/>
  </mergeCells>
  <phoneticPr fontId="1" type="noConversion"/>
  <pageMargins left="0.7" right="0.7" top="0.75" bottom="0.75" header="0.3" footer="0.3"/>
  <drawing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00B050"/>
  </sheetPr>
  <dimension ref="B2:M30"/>
  <sheetViews>
    <sheetView workbookViewId="0">
      <selection activeCell="B5" sqref="B5:B7"/>
    </sheetView>
  </sheetViews>
  <sheetFormatPr defaultColWidth="9" defaultRowHeight="12.6"/>
  <cols>
    <col min="1" max="1" width="2.25" style="2" customWidth="1"/>
    <col min="2" max="2" width="10.94921875" style="2" customWidth="1"/>
    <col min="3" max="12" width="13.25" style="2" customWidth="1"/>
  </cols>
  <sheetData>
    <row r="2" spans="2:12" ht="30" customHeight="1">
      <c r="B2" s="187" t="s">
        <v>169</v>
      </c>
      <c r="C2" s="187"/>
      <c r="D2" s="187"/>
      <c r="E2" s="187"/>
      <c r="F2" s="187"/>
      <c r="G2" s="187"/>
      <c r="H2" s="187"/>
      <c r="I2" s="187"/>
      <c r="J2" s="187"/>
      <c r="K2" s="187"/>
      <c r="L2" s="187"/>
    </row>
    <row r="3" spans="2:12" ht="30" customHeight="1">
      <c r="B3" s="291" t="s">
        <v>145</v>
      </c>
      <c r="C3" s="291"/>
      <c r="D3" s="291"/>
      <c r="E3" s="291"/>
      <c r="F3" s="291"/>
      <c r="G3" s="291"/>
      <c r="H3" s="291"/>
      <c r="I3" s="291"/>
      <c r="J3" s="291"/>
      <c r="K3" s="291"/>
      <c r="L3" s="291"/>
    </row>
    <row r="4" spans="2:12" ht="10" customHeight="1">
      <c r="B4" s="289"/>
      <c r="C4" s="290"/>
      <c r="D4" s="290"/>
      <c r="E4" s="290"/>
      <c r="F4" s="290"/>
      <c r="G4" s="290"/>
      <c r="H4" s="290"/>
      <c r="I4" s="290"/>
      <c r="J4" s="290"/>
      <c r="K4" s="290"/>
      <c r="L4" s="290"/>
    </row>
    <row r="5" spans="2:12" ht="15.6" customHeight="1">
      <c r="B5" s="308" t="s">
        <v>117</v>
      </c>
      <c r="C5" s="288" t="s">
        <v>135</v>
      </c>
      <c r="D5" s="294" t="s">
        <v>158</v>
      </c>
      <c r="E5" s="294" t="s">
        <v>159</v>
      </c>
      <c r="F5" s="294" t="s">
        <v>160</v>
      </c>
      <c r="G5" s="294" t="s">
        <v>161</v>
      </c>
      <c r="H5" s="296" t="s">
        <v>162</v>
      </c>
      <c r="I5" s="284" t="s">
        <v>163</v>
      </c>
      <c r="J5" s="301" t="s">
        <v>133</v>
      </c>
      <c r="K5" s="301" t="s">
        <v>165</v>
      </c>
      <c r="L5" s="302" t="s">
        <v>62</v>
      </c>
    </row>
    <row r="6" spans="2:12" ht="15.6" customHeight="1">
      <c r="B6" s="309"/>
      <c r="C6" s="237"/>
      <c r="D6" s="295"/>
      <c r="E6" s="295"/>
      <c r="F6" s="295"/>
      <c r="G6" s="295"/>
      <c r="H6" s="297"/>
      <c r="I6" s="253"/>
      <c r="J6" s="295"/>
      <c r="K6" s="295"/>
      <c r="L6" s="206"/>
    </row>
    <row r="7" spans="2:12" ht="12.6" customHeight="1">
      <c r="B7" s="310"/>
      <c r="C7" s="272"/>
      <c r="D7" s="182" t="s">
        <v>154</v>
      </c>
      <c r="E7" s="182" t="s">
        <v>155</v>
      </c>
      <c r="F7" s="182" t="s">
        <v>156</v>
      </c>
      <c r="G7" s="182" t="s">
        <v>157</v>
      </c>
      <c r="H7" s="285"/>
      <c r="I7" s="71" t="s">
        <v>164</v>
      </c>
      <c r="J7" s="182" t="s">
        <v>164</v>
      </c>
      <c r="K7" s="182" t="s">
        <v>56</v>
      </c>
      <c r="L7" s="303"/>
    </row>
    <row r="8" spans="2:12" ht="15.6" customHeight="1">
      <c r="B8" s="282" t="s">
        <v>293</v>
      </c>
      <c r="C8" s="72" t="s">
        <v>143</v>
      </c>
      <c r="D8" s="180">
        <v>0</v>
      </c>
      <c r="E8" s="180">
        <v>0</v>
      </c>
      <c r="F8" s="180">
        <v>0</v>
      </c>
      <c r="G8" s="180">
        <v>0</v>
      </c>
      <c r="H8" s="286" t="s">
        <v>284</v>
      </c>
      <c r="I8" s="181">
        <v>310</v>
      </c>
      <c r="J8" s="181">
        <v>83.09999084472656</v>
      </c>
      <c r="K8" s="181">
        <v>26.80645179748535</v>
      </c>
      <c r="L8" s="292"/>
    </row>
    <row r="9" spans="2:12" ht="15.6" customHeight="1">
      <c r="B9" s="283"/>
      <c r="C9" s="73" t="s">
        <v>144</v>
      </c>
      <c r="D9" s="73">
        <v>0</v>
      </c>
      <c r="E9" s="73">
        <v>0</v>
      </c>
      <c r="F9" s="73">
        <v>0</v>
      </c>
      <c r="G9" s="73">
        <v>0</v>
      </c>
      <c r="H9" s="306"/>
      <c r="I9" s="148">
        <v>310</v>
      </c>
      <c r="J9" s="148">
        <v>83.09999084472656</v>
      </c>
      <c r="K9" s="148">
        <v>26.80645179748535</v>
      </c>
      <c r="L9" s="293"/>
    </row>
    <row r="10" spans="2:12" ht="15.6" customHeight="1">
      <c r="B10" s="222" t="s">
        <v>294</v>
      </c>
      <c r="C10" s="35" t="s">
        <v>143</v>
      </c>
      <c r="D10" s="183">
        <v>0</v>
      </c>
      <c r="E10" s="183">
        <v>0</v>
      </c>
      <c r="F10" s="183">
        <v>0</v>
      </c>
      <c r="G10" s="183">
        <v>0</v>
      </c>
      <c r="H10" s="284"/>
      <c r="I10" s="181">
        <v>310</v>
      </c>
      <c r="J10" s="181">
        <v>83.09999084472656</v>
      </c>
      <c r="K10" s="181">
        <v>26.80645179748535</v>
      </c>
      <c r="L10" s="298"/>
    </row>
    <row r="11" spans="2:12" ht="15.6" customHeight="1">
      <c r="B11" s="287"/>
      <c r="C11" s="8" t="s">
        <v>144</v>
      </c>
      <c r="D11" s="8">
        <v>0</v>
      </c>
      <c r="E11" s="8">
        <v>0</v>
      </c>
      <c r="F11" s="8">
        <v>0</v>
      </c>
      <c r="G11" s="8">
        <v>0</v>
      </c>
      <c r="H11" s="307"/>
      <c r="I11" s="148">
        <v>310</v>
      </c>
      <c r="J11" s="148">
        <v>83.09999084472656</v>
      </c>
      <c r="K11" s="148">
        <v>26.80645179748535</v>
      </c>
      <c r="L11" s="304"/>
    </row>
    <row r="12" spans="2:12" ht="15.6" customHeight="1">
      <c r="B12" s="282" t="s">
        <v>295</v>
      </c>
      <c r="C12" s="72" t="s">
        <v>143</v>
      </c>
      <c r="D12" s="180">
        <v>0</v>
      </c>
      <c r="E12" s="180">
        <v>0</v>
      </c>
      <c r="F12" s="180">
        <v>0</v>
      </c>
      <c r="G12" s="180">
        <v>0</v>
      </c>
      <c r="H12" s="286"/>
      <c r="I12" s="181">
        <v>310</v>
      </c>
      <c r="J12" s="181">
        <v>83.09999084472656</v>
      </c>
      <c r="K12" s="181">
        <v>26.80645179748535</v>
      </c>
      <c r="L12" s="298"/>
    </row>
    <row r="13" spans="2:12" ht="15.6" customHeight="1">
      <c r="B13" s="283"/>
      <c r="C13" s="73" t="s">
        <v>144</v>
      </c>
      <c r="D13" s="73">
        <v>0</v>
      </c>
      <c r="E13" s="73">
        <v>0</v>
      </c>
      <c r="F13" s="73">
        <v>0</v>
      </c>
      <c r="G13" s="73">
        <v>0</v>
      </c>
      <c r="H13" s="306"/>
      <c r="I13" s="148">
        <v>310</v>
      </c>
      <c r="J13" s="148">
        <v>83.09999084472656</v>
      </c>
      <c r="K13" s="148">
        <v>26.80645179748535</v>
      </c>
      <c r="L13" s="304"/>
    </row>
    <row r="14" spans="2:12" ht="15.6" customHeight="1">
      <c r="B14" s="280" t="s">
        <v>296</v>
      </c>
      <c r="C14" s="11" t="s">
        <v>143</v>
      </c>
      <c r="D14" s="184">
        <v>0</v>
      </c>
      <c r="E14" s="184">
        <v>0</v>
      </c>
      <c r="F14" s="184">
        <v>0</v>
      </c>
      <c r="G14" s="184">
        <v>0</v>
      </c>
      <c r="H14" s="284"/>
      <c r="I14" s="149">
        <v>310</v>
      </c>
      <c r="J14" s="149">
        <v>83.09999084472656</v>
      </c>
      <c r="K14" s="149">
        <v>26.80645179748535</v>
      </c>
      <c r="L14" s="298"/>
    </row>
    <row r="15" spans="2:12" ht="15.6" customHeight="1">
      <c r="B15" s="281"/>
      <c r="C15" s="71" t="s">
        <v>144</v>
      </c>
      <c r="D15" s="71">
        <v>0</v>
      </c>
      <c r="E15" s="71">
        <v>0</v>
      </c>
      <c r="F15" s="71">
        <v>0</v>
      </c>
      <c r="G15" s="71">
        <v>0</v>
      </c>
      <c r="H15" s="307"/>
      <c r="I15" s="150">
        <v>310</v>
      </c>
      <c r="J15" s="150">
        <v>83.09999084472656</v>
      </c>
      <c r="K15" s="150">
        <v>26.80645179748535</v>
      </c>
      <c r="L15" s="299"/>
    </row>
    <row r="16" spans="2:12" ht="15.6" customHeight="1">
      <c r="B16" s="282" t="s">
        <v>297</v>
      </c>
      <c r="C16" s="72" t="s">
        <v>143</v>
      </c>
      <c r="D16" s="180">
        <v>0</v>
      </c>
      <c r="E16" s="180">
        <v>0</v>
      </c>
      <c r="F16" s="180">
        <v>0</v>
      </c>
      <c r="G16" s="180">
        <v>0</v>
      </c>
      <c r="H16" s="286"/>
      <c r="I16" s="181">
        <v>310</v>
      </c>
      <c r="J16" s="181">
        <v>83.09999084472656</v>
      </c>
      <c r="K16" s="181">
        <v>26.80645179748535</v>
      </c>
      <c r="L16" s="292"/>
    </row>
    <row r="17" spans="2:12" ht="15.6" customHeight="1">
      <c r="B17" s="283"/>
      <c r="C17" s="73" t="s">
        <v>144</v>
      </c>
      <c r="D17" s="73">
        <v>0</v>
      </c>
      <c r="E17" s="73">
        <v>0</v>
      </c>
      <c r="F17" s="73">
        <v>0</v>
      </c>
      <c r="G17" s="73">
        <v>0</v>
      </c>
      <c r="H17" s="306"/>
      <c r="I17" s="148">
        <v>310</v>
      </c>
      <c r="J17" s="148">
        <v>83.09999084472656</v>
      </c>
      <c r="K17" s="148">
        <v>26.80645179748535</v>
      </c>
      <c r="L17" s="293"/>
    </row>
    <row r="18" spans="2:12" ht="15.6" customHeight="1">
      <c r="B18" s="280" t="s">
        <v>298</v>
      </c>
      <c r="C18" s="11" t="s">
        <v>143</v>
      </c>
      <c r="D18" s="184">
        <v>0</v>
      </c>
      <c r="E18" s="184">
        <v>0</v>
      </c>
      <c r="F18" s="184">
        <v>0</v>
      </c>
      <c r="G18" s="184">
        <v>0</v>
      </c>
      <c r="H18" s="284"/>
      <c r="I18" s="149">
        <v>310</v>
      </c>
      <c r="J18" s="149">
        <v>83.09999084472656</v>
      </c>
      <c r="K18" s="149">
        <v>26.80645179748535</v>
      </c>
      <c r="L18" s="300"/>
    </row>
    <row r="19" spans="2:12" ht="15.6" customHeight="1">
      <c r="B19" s="281"/>
      <c r="C19" s="71" t="s">
        <v>144</v>
      </c>
      <c r="D19" s="71">
        <v>0</v>
      </c>
      <c r="E19" s="71">
        <v>0</v>
      </c>
      <c r="F19" s="71">
        <v>0</v>
      </c>
      <c r="G19" s="71">
        <v>0</v>
      </c>
      <c r="H19" s="307"/>
      <c r="I19" s="150">
        <v>310</v>
      </c>
      <c r="J19" s="150">
        <v>83.09999084472656</v>
      </c>
      <c r="K19" s="150">
        <v>26.80645179748535</v>
      </c>
      <c r="L19" s="299"/>
    </row>
    <row r="20" spans="2:12" ht="15.6" customHeight="1">
      <c r="B20" s="282" t="s">
        <v>299</v>
      </c>
      <c r="C20" s="72" t="s">
        <v>143</v>
      </c>
      <c r="D20" s="180">
        <v>0</v>
      </c>
      <c r="E20" s="180">
        <v>0</v>
      </c>
      <c r="F20" s="180">
        <v>0</v>
      </c>
      <c r="G20" s="180">
        <v>0</v>
      </c>
      <c r="H20" s="286"/>
      <c r="I20" s="181">
        <v>310</v>
      </c>
      <c r="J20" s="181">
        <v>83.09999084472656</v>
      </c>
      <c r="K20" s="181">
        <v>26.80645179748535</v>
      </c>
      <c r="L20" s="292"/>
    </row>
    <row r="21" spans="2:12" ht="15.6" customHeight="1">
      <c r="B21" s="283"/>
      <c r="C21" s="73" t="s">
        <v>144</v>
      </c>
      <c r="D21" s="73">
        <v>0</v>
      </c>
      <c r="E21" s="73">
        <v>0</v>
      </c>
      <c r="F21" s="73">
        <v>0</v>
      </c>
      <c r="G21" s="73">
        <v>0</v>
      </c>
      <c r="H21" s="306"/>
      <c r="I21" s="148">
        <v>310</v>
      </c>
      <c r="J21" s="148">
        <v>83.09999084472656</v>
      </c>
      <c r="K21" s="148">
        <v>26.80645179748535</v>
      </c>
      <c r="L21" s="293"/>
    </row>
    <row r="22" spans="2:12" ht="15.6" customHeight="1">
      <c r="I22" s="151"/>
      <c r="J22" s="151"/>
      <c r="K22" s="151"/>
      <c r="L22" s="151"/>
    </row>
    <row r="23" spans="2:12" ht="15.6" customHeight="1">
      <c r="I23" s="305" t="s">
        <v>285</v>
      </c>
      <c r="J23" s="305"/>
      <c r="K23" s="305"/>
    </row>
    <row r="24" spans="2:12" ht="15.6" customHeight="1">
      <c r="H24" s="151"/>
      <c r="I24" s="151"/>
      <c r="J24" s="151"/>
      <c r="K24" s="151"/>
    </row>
    <row r="25" spans="2:12" ht="15.6" customHeight="1"/>
    <row r="26" spans="2:12" ht="15.6" customHeight="1"/>
    <row r="27" spans="2:12" ht="15.6" customHeight="1"/>
    <row r="28" spans="2:12" ht="15.6" customHeight="1"/>
    <row r="29" spans="2:12" ht="15.6" customHeight="1"/>
    <row r="30" spans="2:12" ht="15.6" customHeight="1"/>
  </sheetData>
  <mergeCells count="36">
    <mergeCell ref="I23:K23"/>
    <mergeCell ref="H14:H15"/>
    <mergeCell ref="H16:H17"/>
    <mergeCell ref="H18:H19"/>
    <mergeCell ref="H20:H21"/>
    <mergeCell ref="H10:H11"/>
    <mergeCell ref="H12:H13"/>
    <mergeCell ref="L14:L15"/>
    <mergeCell ref="L16:L17"/>
    <mergeCell ref="L18:L19"/>
    <mergeCell ref="L20:L21"/>
    <mergeCell ref="I5:I6"/>
    <mergeCell ref="J5:J6"/>
    <mergeCell ref="K5:K6"/>
    <mergeCell ref="L5:L7"/>
    <mergeCell ref="L10:L11"/>
    <mergeCell ref="L12:L13"/>
    <mergeCell ref="B4:L4"/>
    <mergeCell ref="B3:L3"/>
    <mergeCell ref="B2:L2"/>
    <mergeCell ref="L8:L9"/>
    <mergeCell ref="C5:C7"/>
    <mergeCell ref="D5:D6"/>
    <mergeCell ref="H8:H9"/>
    <mergeCell ref="G5:G6"/>
    <mergeCell ref="H5:H7"/>
    <mergeCell ref="E5:E6"/>
    <mergeCell ref="F5:F6"/>
    <mergeCell ref="B20:B21"/>
    <mergeCell ref="B8:B9"/>
    <mergeCell ref="B10:B11"/>
    <mergeCell ref="B12:B13"/>
    <mergeCell ref="B5:B7"/>
    <mergeCell ref="B14:B15"/>
    <mergeCell ref="B16:B17"/>
    <mergeCell ref="B18:B19"/>
  </mergeCells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13</vt:i4>
      </vt:variant>
    </vt:vector>
  </HeadingPairs>
  <TitlesOfParts>
    <vt:vector baseType="lpstr" size="13">
      <vt:lpstr>第一页</vt:lpstr>
      <vt:lpstr>第二页反应工序</vt:lpstr>
      <vt:lpstr>第三页反应液分析数据</vt:lpstr>
      <vt:lpstr>第四页闪蒸工序</vt:lpstr>
      <vt:lpstr>第五页一次结晶工序</vt:lpstr>
      <vt:lpstr>第六页产品分析指标</vt:lpstr>
      <vt:lpstr>第七页产品收率分析表</vt:lpstr>
      <vt:lpstr>第八页周汇总数据</vt:lpstr>
      <vt:lpstr>第九页低蒸工序</vt:lpstr>
      <vt:lpstr>第十页脱色工序</vt:lpstr>
      <vt:lpstr>第十一页二次结晶工序</vt:lpstr>
      <vt:lpstr>第十二页产品原料单耗</vt:lpstr>
      <vt:lpstr>第十三页周核心指标完成情况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2015-06-05T18:19:34Z</dcterms:created>
  <dc:creator>熊茂盛</dc:creator>
  <cp:lastModifiedBy>曹平</cp:lastModifiedBy>
  <dcterms:modified xsi:type="dcterms:W3CDTF">2026-03-16T06:18:32Z</dcterms:modified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2.7.5</lpwstr>
  </property>
</Properties>
</file>