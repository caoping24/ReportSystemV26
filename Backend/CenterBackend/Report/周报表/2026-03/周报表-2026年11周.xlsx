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bookViews>
    <workbookView xWindow="-98" yWindow="-98" windowWidth="24196" windowHeight="14476" tabRatio="967" activeTab="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5" l="1"/>
  <c r="D13" i="16"/>
  <c r="U19" i="7"/>
  <c r="R19" i="7" s="1"/>
  <c r="O19" i="7"/>
  <c r="H19" i="7"/>
  <c r="V19" i="7" s="1"/>
  <c r="P16" i="7"/>
  <c r="P19" i="7" l="1"/>
  <c r="S19" i="7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E8" i="9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D15" i="15" l="1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E9" i="9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>
  <authors>
    <author>熊茂盛</author>
  </authors>
  <commentList>
    <comment ref="E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  <comment ref="E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<sst xmlns="http://schemas.openxmlformats.org/spreadsheetml/2006/main" count="563" uniqueCount="300">
  <si>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</si>
  <si>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</si>
  <si>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</si>
  <si>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</si>
  <si>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</si>
  <si>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</si>
  <si>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</si>
  <si>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</si>
  <si>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</si>
  <si>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</si>
  <si>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</si>
  <si>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</si>
  <si>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</si>
  <si>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</si>
  <si>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</si>
  <si>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</si>
  <si>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</si>
  <si>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</si>
  <si>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</si>
  <si>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</si>
  <si>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</si>
  <si>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</si>
  <si>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</si>
  <si>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</si>
  <si>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</si>
  <si>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</si>
  <si>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</si>
  <si>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</si>
  <si>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</si>
  <si>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</si>
  <si>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</si>
  <si>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</si>
  <si>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</si>
  <si>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</si>
  <si>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</si>
  <si>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</si>
  <si>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</si>
  <si>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</si>
  <si>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</si>
  <si>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</si>
  <si>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</si>
  <si>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</si>
  <si>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</si>
  <si>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</si>
  <si>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</si>
  <si>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</si>
  <si>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</si>
  <si>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</si>
  <si>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</si>
  <si>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</si>
  <si>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</si>
  <si>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</si>
  <si>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</si>
  <si>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</si>
  <si>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</si>
  <si>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</si>
  <si>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</si>
  <si>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</si>
  <si>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</si>
  <si>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</si>
  <si>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</si>
  <si>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</si>
  <si>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</si>
  <si>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</si>
  <si>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</si>
  <si>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</si>
  <si>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</si>
  <si>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</si>
  <si>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</si>
  <si>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</si>
  <si>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</si>
  <si>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</si>
  <si>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</si>
  <si>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</si>
  <si>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</si>
  <si>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</si>
  <si>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</si>
  <si>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</si>
  <si>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</si>
  <si>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</si>
  <si>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</si>
  <si>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</si>
  <si>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</si>
  <si>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</si>
  <si>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</si>
  <si>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</si>
  <si>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</si>
  <si>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</si>
  <si>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</si>
  <si>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</si>
  <si>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</si>
  <si>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</si>
  <si>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</si>
  <si>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</si>
  <si>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</si>
  <si>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</si>
  <si>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</si>
  <si>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</si>
  <si>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</si>
  <si>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</si>
  <si>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</si>
  <si>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</si>
  <si>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</si>
  <si>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</si>
  <si>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</si>
  <si>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</si>
  <si>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</si>
  <si>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</si>
  <si>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</si>
  <si>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</si>
  <si>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</si>
  <si>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</si>
  <si>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</si>
  <si>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</si>
  <si>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</si>
  <si>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</si>
  <si>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</si>
  <si>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</si>
  <si>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</si>
  <si>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</si>
  <si>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</si>
  <si>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</si>
  <si>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</si>
  <si>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</si>
  <si>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</si>
  <si>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</si>
  <si>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</si>
  <si>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</si>
  <si>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</si>
  <si>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</si>
  <si>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</si>
  <si>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</si>
  <si>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</si>
  <si>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</si>
  <si>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</si>
  <si>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</si>
  <si>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</si>
  <si>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</si>
  <si>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</si>
  <si>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</si>
  <si>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</si>
  <si>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</si>
  <si>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</si>
  <si>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</si>
  <si>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</si>
  <si>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</si>
  <si>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</si>
  <si>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</si>
  <si>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</si>
  <si>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</si>
  <si>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</si>
  <si>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</si>
  <si>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</si>
  <si>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</si>
  <si>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</si>
  <si>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</si>
  <si>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</si>
  <si>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</si>
  <si>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</si>
  <si>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</si>
  <si>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</si>
  <si>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</si>
  <si>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</si>
  <si>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</si>
  <si>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</si>
  <si>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</si>
  <si>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</si>
  <si>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</si>
  <si>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</si>
  <si>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</si>
  <si>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</si>
  <si>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</si>
  <si>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</si>
  <si>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</si>
  <si>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</si>
  <si>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</si>
  <si>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</si>
  <si>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</si>
  <si>
    <t xml:space="preserve">Cell13</t>
    <phoneticPr fontId="1" type="noConversion"/>
  </si>
  <si>
    <t xml:space="preserve">Cell15</t>
  </si>
  <si>
    <t xml:space="preserve">Cell19</t>
  </si>
  <si>
    <t xml:space="preserve">Cell22</t>
    <phoneticPr fontId="1" type="noConversion"/>
  </si>
  <si>
    <t xml:space="preserve">Cell24</t>
    <phoneticPr fontId="1" type="noConversion"/>
  </si>
  <si>
    <t xml:space="preserve">Cell25</t>
  </si>
  <si>
    <t xml:space="preserve">Cell26</t>
  </si>
  <si>
    <t xml:space="preserve">Cell27</t>
  </si>
  <si>
    <t xml:space="preserve">Cell28</t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</si>
  <si>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</si>
  <si>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</si>
  <si>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</si>
  <si>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</si>
  <si>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二乙腈
含量</t>
    <phoneticPr fontId="1" type="noConversion"/>
  </si>
  <si>
    <t xml:space="preserve">水分
含量</t>
    <phoneticPr fontId="1" type="noConversion"/>
  </si>
  <si>
    <t xml:space="preserve">二乙腈+水</t>
    <phoneticPr fontId="1" type="noConversion"/>
  </si>
  <si>
    <t xml:space="preserve">未知物
含量</t>
    <phoneticPr fontId="1" type="noConversion"/>
  </si>
  <si>
    <t xml:space="preserve">产量</t>
    <phoneticPr fontId="1" type="noConversion"/>
  </si>
  <si>
    <t xml:space="preserve">折百
产量</t>
    <phoneticPr fontId="1" type="noConversion"/>
  </si>
  <si>
    <t xml:space="preserve">二乙腈+水</t>
  </si>
  <si>
    <t xml:space="preserve">产量</t>
  </si>
  <si>
    <t xml:space="preserve">化分
%</t>
    <phoneticPr fontId="1" type="noConversion"/>
  </si>
  <si>
    <t xml:space="preserve">色谱
%</t>
    <phoneticPr fontId="1" type="noConversion"/>
  </si>
  <si>
    <t xml:space="preserve">kg</t>
    <phoneticPr fontId="1" type="noConversion"/>
  </si>
  <si>
    <t xml:space="preserve">%</t>
  </si>
  <si>
    <t xml:space="preserve">kg</t>
  </si>
  <si>
    <t xml:space="preserve">检测数据</t>
    <phoneticPr fontId="1" type="noConversion"/>
  </si>
  <si>
    <t xml:space="preserve">一次结晶物/一次产品</t>
    <phoneticPr fontId="1" type="noConversion"/>
  </si>
  <si>
    <t xml:space="preserve">二次结晶物/二次产品</t>
    <phoneticPr fontId="1" type="noConversion"/>
  </si>
  <si>
    <t xml:space="preserve">班合计（一次产品+二次产品）</t>
    <phoneticPr fontId="1" type="noConversion"/>
  </si>
  <si>
    <t xml:space="preserve">班产
与日平均产量的差额</t>
    <phoneticPr fontId="1" type="noConversion"/>
  </si>
  <si>
    <t xml:space="preserve">上周数据</t>
    <phoneticPr fontId="1" type="noConversion"/>
  </si>
  <si>
    <t xml:space="preserve">主要原料消耗/单耗</t>
    <phoneticPr fontId="1" type="noConversion"/>
  </si>
  <si>
    <t xml:space="preserve">序号</t>
    <phoneticPr fontId="1" type="noConversion"/>
  </si>
  <si>
    <t xml:space="preserve">液氨</t>
    <phoneticPr fontId="1" type="noConversion"/>
  </si>
  <si>
    <t xml:space="preserve">稀硫酸</t>
    <phoneticPr fontId="1" type="noConversion"/>
  </si>
  <si>
    <t xml:space="preserve">蒸汽
总消耗</t>
    <phoneticPr fontId="1" type="noConversion"/>
  </si>
  <si>
    <t xml:space="preserve">反应蒸汽
消耗</t>
    <phoneticPr fontId="1" type="noConversion"/>
  </si>
  <si>
    <t xml:space="preserve">低蒸蒸汽
消耗</t>
    <phoneticPr fontId="1" type="noConversion"/>
  </si>
  <si>
    <t xml:space="preserve">脱盐水
消耗</t>
    <phoneticPr fontId="1" type="noConversion"/>
  </si>
  <si>
    <t xml:space="preserve">电
消耗</t>
    <phoneticPr fontId="1" type="noConversion"/>
  </si>
  <si>
    <t xml:space="preserve">废水
排放</t>
    <phoneticPr fontId="1" type="noConversion"/>
  </si>
  <si>
    <t xml:space="preserve">废液
排放</t>
    <phoneticPr fontId="1" type="noConversion"/>
  </si>
  <si>
    <t xml:space="preserve">用量</t>
    <phoneticPr fontId="1" type="noConversion"/>
  </si>
  <si>
    <t xml:space="preserve">用量</t>
  </si>
  <si>
    <t xml:space="preserve">单位</t>
  </si>
  <si>
    <t xml:space="preserve"> 排放量</t>
    <phoneticPr fontId="1" type="noConversion"/>
  </si>
  <si>
    <t xml:space="preserve"> 排放量</t>
  </si>
  <si>
    <t xml:space="preserve">白班</t>
    <phoneticPr fontId="1" type="noConversion"/>
  </si>
  <si>
    <t xml:space="preserve">KWh</t>
    <phoneticPr fontId="1" type="noConversion"/>
  </si>
  <si>
    <t xml:space="preserve">折百产量(t)</t>
    <phoneticPr fontId="1" type="noConversion"/>
  </si>
  <si>
    <t xml:space="preserve">t</t>
  </si>
  <si>
    <t xml:space="preserve">单耗</t>
    <phoneticPr fontId="1" type="noConversion"/>
  </si>
  <si>
    <t xml:space="preserve">KWh/t</t>
    <phoneticPr fontId="1" type="noConversion"/>
  </si>
  <si>
    <t xml:space="preserve">m3/t</t>
  </si>
  <si>
    <t xml:space="preserve">夜班</t>
    <phoneticPr fontId="1" type="noConversion"/>
  </si>
  <si>
    <t xml:space="preserve">日消耗/排放汇总</t>
    <phoneticPr fontId="1" type="noConversion"/>
  </si>
  <si>
    <t xml:space="preserve">m3</t>
  </si>
  <si>
    <t xml:space="preserve">KWh</t>
  </si>
  <si>
    <t xml:space="preserve">日折百产量汇总</t>
    <phoneticPr fontId="1" type="noConversion"/>
  </si>
  <si>
    <t xml:space="preserve">日平均单耗/排放</t>
    <phoneticPr fontId="1" type="noConversion"/>
  </si>
  <si>
    <t xml:space="preserve">t/t</t>
  </si>
  <si>
    <t xml:space="preserve">KWh/t</t>
  </si>
  <si>
    <t xml:space="preserve">如何判断这一周再运行</t>
    <phoneticPr fontId="1" type="noConversion"/>
  </si>
  <si>
    <t xml:space="preserve">差值</t>
    <phoneticPr fontId="1" type="noConversion"/>
  </si>
  <si>
    <t xml:space="preserve">平均值</t>
    <phoneticPr fontId="1" type="noConversion"/>
  </si>
  <si>
    <t xml:space="preserve">sourcedata</t>
    <phoneticPr fontId="1" type="noConversion"/>
  </si>
  <si>
    <t xml:space="preserve">operatorInputData</t>
  </si>
  <si>
    <t xml:space="preserve">Cell11</t>
    <phoneticPr fontId="1" type="noConversion"/>
  </si>
  <si>
    <t xml:space="preserve">Cell12</t>
  </si>
  <si>
    <t xml:space="preserve">Cell13</t>
  </si>
  <si>
    <t xml:space="preserve">Cell14</t>
  </si>
  <si>
    <t xml:space="preserve">Cell17</t>
  </si>
  <si>
    <t xml:space="preserve">Cell17</t>
    <phoneticPr fontId="1" type="noConversion"/>
  </si>
  <si>
    <t xml:space="preserve">Cell1</t>
    <phoneticPr fontId="1" type="noConversion"/>
  </si>
  <si>
    <t xml:space="preserve">Cell2</t>
  </si>
  <si>
    <t xml:space="preserve">Cell3</t>
  </si>
  <si>
    <t xml:space="preserve">Cell4</t>
  </si>
  <si>
    <t xml:space="preserve">Cell5</t>
  </si>
  <si>
    <t xml:space="preserve"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</si>
  <si>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</si>
  <si>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</si>
  <si>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 xml:space="preserve">这两个可以从手写数据中采集么</t>
    <phoneticPr fontId="1" type="noConversion"/>
  </si>
  <si>
    <t xml:space="preserve">(Cell21*Cell26+Cell31*Cell36)/(Cell26+Cell36)</t>
    <phoneticPr fontId="1" type="noConversion"/>
  </si>
  <si>
    <t xml:space="preserve">(Cell22*Cell26+Cell32*Cell36)/(Cell26+Cell36)</t>
    <phoneticPr fontId="1" type="noConversion"/>
  </si>
  <si>
    <t xml:space="preserve">operatadata</t>
    <phoneticPr fontId="1" type="noConversion"/>
  </si>
  <si>
    <t xml:space="preserve">Cell11</t>
    <phoneticPr fontId="1" type="noConversion"/>
  </si>
  <si>
    <t xml:space="preserve">表3-需要计算</t>
    <phoneticPr fontId="1" type="noConversion"/>
  </si>
  <si>
    <t xml:space="preserve">Cell</t>
    <phoneticPr fontId="1" type="noConversion"/>
  </si>
  <si>
    <t xml:space="preserve">低温母液是单独的还是使用某个表中的数据代替</t>
    <phoneticPr fontId="1" type="noConversion"/>
  </si>
  <si>
    <t xml:space="preserve">operatedata Cell63/sourcedata Cell105</t>
    <phoneticPr fontId="1" type="noConversion"/>
  </si>
  <si>
    <t xml:space="preserve">operatedata Cell62</t>
    <phoneticPr fontId="1" type="noConversion"/>
  </si>
  <si>
    <t xml:space="preserve">operatedata Cell51</t>
    <phoneticPr fontId="1" type="noConversion"/>
  </si>
  <si>
    <t xml:space="preserve">operatedata Cell57</t>
    <phoneticPr fontId="1" type="noConversion"/>
  </si>
  <si>
    <t xml:space="preserve">operatedata Cell52</t>
    <phoneticPr fontId="1" type="noConversion"/>
  </si>
  <si>
    <t xml:space="preserve">operatedata Cell59</t>
    <phoneticPr fontId="1" type="noConversion"/>
  </si>
  <si>
    <t xml:space="preserve">operatedata Cell55</t>
    <phoneticPr fontId="1" type="noConversion"/>
  </si>
  <si>
    <t xml:space="preserve">operatedata Cell61</t>
    <phoneticPr fontId="1" type="noConversion"/>
  </si>
  <si>
    <t xml:space="preserve">                             指标
 时间</t>
    <phoneticPr fontId="1" type="noConversion"/>
  </si>
  <si>
    <t xml:space="preserve">sourcedata Cell</t>
    <phoneticPr fontId="1" type="noConversion"/>
  </si>
  <si>
    <t xml:space="preserve">operatedata</t>
    <phoneticPr fontId="1" type="noConversion"/>
  </si>
  <si>
    <t xml:space="preserve">折干=折百</t>
    <phoneticPr fontId="1" type="noConversion"/>
  </si>
  <si>
    <t xml:space="preserve">水+二乙睛</t>
    <phoneticPr fontId="1" type="noConversion"/>
  </si>
  <si>
    <t xml:space="preserve">表5 新增列</t>
    <phoneticPr fontId="1" type="noConversion"/>
  </si>
  <si>
    <t xml:space="preserve">表4</t>
    <phoneticPr fontId="1" type="noConversion"/>
  </si>
  <si>
    <t xml:space="preserve">公式算前面的平均值</t>
    <phoneticPr fontId="1" type="noConversion"/>
  </si>
  <si>
    <t xml:space="preserve">表3 采集</t>
    <phoneticPr fontId="1" type="noConversion"/>
  </si>
  <si>
    <t xml:space="preserve">液脱色前 表5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</si>
  <si>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</si>
  <si>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</si>
  <si>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Cell114</t>
    <phoneticPr fontId="1" type="noConversion"/>
  </si>
  <si>
    <t xml:space="preserve">Cell112</t>
    <phoneticPr fontId="1" type="noConversion"/>
  </si>
  <si>
    <t xml:space="preserve">Cell110</t>
    <phoneticPr fontId="1" type="noConversion"/>
  </si>
  <si>
    <t xml:space="preserve">累计除以产量</t>
    <phoneticPr fontId="1" type="noConversion"/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</si>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</sst>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7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7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76" fontId="0" fillId="7" borderId="79" xfId="0" applyNumberFormat="1" applyFill="1" applyBorder="1" applyAlignment="1">
      <alignment horizontal="center" vertical="center"/>
    </xf>
    <xf numFmtId="176" fontId="0" fillId="0" borderId="79" xfId="0" applyNumberFormat="1" applyBorder="1" applyAlignment="1">
      <alignment horizontal="center" vertical="center"/>
    </xf>
    <xf numFmtId="176" fontId="0" fillId="0" borderId="80" xfId="0" applyNumberForma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7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40" xfId="0" applyFont="1" applyBorder="1" applyAlignment="1">
      <alignment wrapText="1"/>
    </xf>
    <xf numFmtId="0" fontId="3" fillId="0" borderId="40" xfId="0" applyFont="1" applyBorder="1" applyAlignment="1">
      <alignment horizontal="center" vertical="center" wrapText="1"/>
    </xf>
    <xf numFmtId="176" fontId="3" fillId="0" borderId="4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2" fillId="11" borderId="43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 wrapText="1"/>
    </xf>
    <xf numFmtId="176" fontId="3" fillId="9" borderId="4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6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/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1" borderId="64" xfId="0" applyFill="1" applyBorder="1" applyAlignment="1">
      <alignment horizontal="center"/>
    </xf>
    <xf numFmtId="0" fontId="0" fillId="0" borderId="6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198120"/>
          <a:ext cx="9967592" cy="57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vmlDrawing" Target="../drawings/vmlDrawing10.vml" /><Relationship Id="rId3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" workbookViewId="0">
      <selection activeCell="R20" sqref="R20"/>
    </sheetView>
  </sheetViews>
  <sheetFormatPr defaultRowHeight="13.9"/>
  <cols>
    <col min="1" max="1" width="1.8632812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8"/>
  <sheetViews>
    <sheetView workbookViewId="0">
      <selection activeCell="A8" sqref="A8:XFD8"/>
    </sheetView>
  </sheetViews>
  <sheetFormatPr defaultColWidth="9" defaultRowHeight="12.75"/>
  <cols>
    <col min="1" max="1" width="1.59765625" style="2" customWidth="1"/>
    <col min="2" max="10" width="9" style="2"/>
  </cols>
  <sheetData>
    <row r="2" spans="2:11" ht="27.75" customHeight="1">
      <c r="B2" s="176" t="s">
        <v>170</v>
      </c>
      <c r="C2" s="176"/>
      <c r="D2" s="176"/>
      <c r="E2" s="176"/>
      <c r="F2" s="176"/>
      <c r="G2" s="176"/>
      <c r="H2" s="176"/>
      <c r="I2" s="176"/>
      <c r="J2" s="176"/>
      <c r="K2" s="176"/>
    </row>
    <row r="3" spans="2:11" ht="15" customHeight="1">
      <c r="B3" s="174"/>
      <c r="C3" s="175"/>
      <c r="D3" s="175"/>
      <c r="E3" s="175"/>
      <c r="F3" s="175"/>
      <c r="G3" s="175"/>
      <c r="H3" s="175"/>
      <c r="I3" s="175"/>
      <c r="J3" s="175"/>
      <c r="K3" s="175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.0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.0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.05" customHeight="1">
      <c r="B7" s="4" t="s">
        <v>17</v>
      </c>
      <c r="C7" s="5">
        <v>13</v>
      </c>
      <c r="D7" s="5">
        <v>15</v>
      </c>
      <c r="E7" s="5">
        <v>19</v>
      </c>
      <c r="F7" s="20">
        <v>22</v>
      </c>
      <c r="G7" s="5">
        <v>24</v>
      </c>
      <c r="H7" s="23">
        <v>25</v>
      </c>
      <c r="I7" s="5">
        <v>26</v>
      </c>
      <c r="J7" s="27"/>
      <c r="K7" s="29"/>
    </row>
    <row r="8" spans="2:11" ht="25.05" customHeight="1">
      <c r="B8" s="4" t="s">
        <v>18</v>
      </c>
      <c r="C8" s="5">
        <v>13</v>
      </c>
      <c r="D8" s="5">
        <v>15</v>
      </c>
      <c r="E8" s="5">
        <v>19</v>
      </c>
      <c r="F8" s="20">
        <v>22</v>
      </c>
      <c r="G8" s="5">
        <v>24</v>
      </c>
      <c r="H8" s="23">
        <v>25</v>
      </c>
      <c r="I8" s="5">
        <v>26</v>
      </c>
      <c r="J8" s="27"/>
      <c r="K8" s="29"/>
    </row>
    <row r="9" spans="2:11" ht="25.05" customHeight="1">
      <c r="B9" s="7" t="s">
        <v>19</v>
      </c>
      <c r="C9" s="8">
        <v>13</v>
      </c>
      <c r="D9" s="8">
        <v>15</v>
      </c>
      <c r="E9" s="8">
        <v>19</v>
      </c>
      <c r="F9" s="21">
        <v>22</v>
      </c>
      <c r="G9" s="8">
        <v>24</v>
      </c>
      <c r="H9" s="24">
        <v>25</v>
      </c>
      <c r="I9" s="8">
        <v>26</v>
      </c>
      <c r="J9" s="28"/>
      <c r="K9" s="30"/>
    </row>
    <row r="10" spans="2:11" ht="20.1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2"/>
  <sheetViews>
    <sheetView workbookViewId="0">
      <selection activeCell="J9" sqref="J9"/>
    </sheetView>
  </sheetViews>
  <sheetFormatPr defaultColWidth="9" defaultRowHeight="12.75"/>
  <cols>
    <col min="1" max="1" width="3" style="2" customWidth="1"/>
    <col min="2" max="7" width="11.265625" style="2" customWidth="1"/>
    <col min="8" max="8" width="9.46484375" style="2" customWidth="1"/>
  </cols>
  <sheetData>
    <row r="2" spans="2:8" ht="17.65">
      <c r="B2" s="176" t="s">
        <v>172</v>
      </c>
      <c r="C2" s="176"/>
      <c r="D2" s="176"/>
      <c r="E2" s="176"/>
      <c r="F2" s="176"/>
      <c r="G2" s="176"/>
      <c r="H2" s="176"/>
    </row>
    <row r="4" spans="2:8" ht="25.25" customHeight="1">
      <c r="B4" s="3" t="s">
        <v>30</v>
      </c>
      <c r="C4" s="177" t="s">
        <v>26</v>
      </c>
      <c r="D4" s="178"/>
      <c r="E4" s="179" t="s">
        <v>27</v>
      </c>
      <c r="F4" s="180"/>
      <c r="G4" s="92" t="s">
        <v>31</v>
      </c>
    </row>
    <row r="5" spans="2:8" ht="25.5">
      <c r="B5" s="85"/>
      <c r="C5" s="86" t="s">
        <v>24</v>
      </c>
      <c r="D5" s="86" t="s">
        <v>25</v>
      </c>
      <c r="E5" s="86" t="s">
        <v>28</v>
      </c>
      <c r="F5" s="86" t="s">
        <v>29</v>
      </c>
      <c r="G5" s="93" t="s">
        <v>32</v>
      </c>
    </row>
    <row r="6" spans="2:8" ht="16.5" customHeight="1">
      <c r="B6" s="87" t="s">
        <v>0</v>
      </c>
      <c r="C6" s="51">
        <v>11</v>
      </c>
      <c r="D6" s="51">
        <v>12</v>
      </c>
      <c r="E6" s="51">
        <v>13</v>
      </c>
      <c r="F6" s="51">
        <v>14</v>
      </c>
      <c r="G6" s="94">
        <v>17</v>
      </c>
    </row>
    <row r="7" spans="2:8" ht="16.5" customHeight="1">
      <c r="B7" s="3" t="s">
        <v>34</v>
      </c>
      <c r="C7" s="38">
        <v>11</v>
      </c>
      <c r="D7" s="38">
        <v>12</v>
      </c>
      <c r="E7" s="38">
        <v>13</v>
      </c>
      <c r="F7" s="38">
        <v>14</v>
      </c>
      <c r="G7" s="41">
        <v>17</v>
      </c>
    </row>
    <row r="8" spans="2:8" ht="16.5" customHeight="1">
      <c r="B8" s="3" t="s">
        <v>35</v>
      </c>
      <c r="C8" s="38">
        <v>11</v>
      </c>
      <c r="D8" s="38">
        <v>12</v>
      </c>
      <c r="E8" s="38">
        <v>13</v>
      </c>
      <c r="F8" s="38">
        <v>14</v>
      </c>
      <c r="G8" s="41">
        <v>17</v>
      </c>
    </row>
    <row r="9" spans="2:8" ht="16.5" customHeight="1">
      <c r="B9" s="3" t="s">
        <v>187</v>
      </c>
      <c r="C9" s="38"/>
      <c r="D9" s="38"/>
      <c r="E9" s="38"/>
      <c r="F9" s="38"/>
      <c r="G9" s="41"/>
    </row>
    <row r="10" spans="2:8" ht="16.5" customHeight="1">
      <c r="B10" s="92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3.9">
      <c r="B11" s="1" t="s">
        <v>245</v>
      </c>
      <c r="C11" s="1" t="s">
        <v>246</v>
      </c>
      <c r="D11" s="1" t="s">
        <v>247</v>
      </c>
      <c r="E11" s="1" t="s">
        <v>248</v>
      </c>
      <c r="F11" s="1" t="s">
        <v>249</v>
      </c>
      <c r="G11" s="147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3"/>
  <sheetViews>
    <sheetView workbookViewId="0">
      <selection activeCell="B12" sqref="B12"/>
    </sheetView>
  </sheetViews>
  <sheetFormatPr defaultColWidth="9" defaultRowHeight="17.1" customHeight="1"/>
  <cols>
    <col min="1" max="1" width="2.33203125" style="2" customWidth="1"/>
    <col min="2" max="2" width="9.1328125" style="2" bestFit="1" customWidth="1"/>
    <col min="3" max="9" width="10.73046875" style="2" customWidth="1"/>
  </cols>
  <sheetData>
    <row r="2" spans="2:10" ht="17.1" customHeight="1">
      <c r="B2" s="176" t="s">
        <v>171</v>
      </c>
      <c r="C2" s="176"/>
      <c r="D2" s="176"/>
      <c r="E2" s="176"/>
      <c r="F2" s="176"/>
      <c r="G2" s="176"/>
      <c r="H2" s="176"/>
      <c r="I2" s="176"/>
    </row>
    <row r="3" spans="2:10" ht="17.1" customHeight="1">
      <c r="B3" s="174"/>
      <c r="C3" s="175"/>
      <c r="D3" s="175"/>
      <c r="E3" s="175"/>
      <c r="F3" s="175"/>
      <c r="G3" s="175"/>
      <c r="H3" s="175"/>
      <c r="I3" s="175"/>
    </row>
    <row r="4" spans="2:10" ht="17.1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" customHeight="1">
      <c r="B7" s="4" t="s">
        <v>46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92</v>
      </c>
      <c r="I7" s="6">
        <v>106</v>
      </c>
    </row>
    <row r="8" spans="2:10" ht="17.1" customHeight="1">
      <c r="B8" s="4" t="s">
        <v>34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92</v>
      </c>
      <c r="I8" s="6">
        <v>106</v>
      </c>
    </row>
    <row r="9" spans="2:10" ht="17.1" customHeight="1">
      <c r="B9" s="4" t="s">
        <v>35</v>
      </c>
      <c r="C9" s="5">
        <v>1</v>
      </c>
      <c r="D9" s="5">
        <v>2</v>
      </c>
      <c r="E9" s="5">
        <v>3</v>
      </c>
      <c r="F9" s="5">
        <v>4</v>
      </c>
      <c r="G9" s="5">
        <v>5</v>
      </c>
      <c r="H9" s="5">
        <v>92</v>
      </c>
      <c r="I9" s="6">
        <v>106</v>
      </c>
    </row>
    <row r="10" spans="2:10" ht="17.1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" customHeight="1">
      <c r="B11" s="181" t="s">
        <v>50</v>
      </c>
      <c r="C11" s="182"/>
      <c r="D11" s="182"/>
      <c r="E11" s="182"/>
      <c r="F11" s="182"/>
      <c r="G11" s="182"/>
      <c r="H11" s="182"/>
      <c r="I11" s="183"/>
    </row>
    <row r="12" spans="2:10" ht="17.1" customHeight="1">
      <c r="B12" s="1" t="s">
        <v>245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</row>
    <row r="13" spans="2:10" ht="17.1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="115" zoomScaleNormal="115" workbookViewId="0">
      <selection activeCell="I10" sqref="I10:J10"/>
    </sheetView>
  </sheetViews>
  <sheetFormatPr defaultColWidth="9" defaultRowHeight="12.75"/>
  <cols>
    <col min="1" max="1" width="1.73046875" style="2" customWidth="1"/>
    <col min="2" max="3" width="9.46484375" style="2" bestFit="1" customWidth="1"/>
    <col min="4" max="5" width="7.796875" style="2" bestFit="1" customWidth="1"/>
    <col min="6" max="7" width="9.46484375" style="2" bestFit="1" customWidth="1"/>
    <col min="8" max="9" width="7.796875" style="2" bestFit="1" customWidth="1"/>
    <col min="10" max="10" width="9.46484375" style="2" bestFit="1" customWidth="1"/>
  </cols>
  <sheetData>
    <row r="2" spans="2:10" ht="30" customHeight="1">
      <c r="B2" s="176" t="s">
        <v>173</v>
      </c>
      <c r="C2" s="176"/>
      <c r="D2" s="176"/>
      <c r="E2" s="176"/>
      <c r="F2" s="176"/>
    </row>
    <row r="3" spans="2:10" ht="15" customHeight="1">
      <c r="B3" s="174"/>
      <c r="C3" s="175"/>
      <c r="D3" s="175"/>
      <c r="E3" s="175"/>
      <c r="F3" s="175"/>
    </row>
    <row r="4" spans="2:10" ht="25.05" customHeight="1">
      <c r="B4" s="189" t="s">
        <v>55</v>
      </c>
      <c r="C4" s="184" t="s">
        <v>188</v>
      </c>
      <c r="D4" s="185"/>
      <c r="E4" s="185"/>
      <c r="F4" s="186"/>
      <c r="G4" s="187" t="s">
        <v>189</v>
      </c>
      <c r="H4" s="187"/>
      <c r="I4" s="187"/>
      <c r="J4" s="188"/>
    </row>
    <row r="5" spans="2:10" ht="25.05" customHeight="1">
      <c r="B5" s="190"/>
      <c r="C5" s="100" t="s">
        <v>21</v>
      </c>
      <c r="D5" s="100" t="s">
        <v>57</v>
      </c>
      <c r="E5" s="100" t="s">
        <v>58</v>
      </c>
      <c r="F5" s="100" t="s">
        <v>59</v>
      </c>
      <c r="G5" s="100" t="s">
        <v>21</v>
      </c>
      <c r="H5" s="100" t="s">
        <v>57</v>
      </c>
      <c r="I5" s="100" t="s">
        <v>58</v>
      </c>
      <c r="J5" s="101" t="s">
        <v>59</v>
      </c>
    </row>
    <row r="6" spans="2:10" ht="25.05" customHeight="1">
      <c r="B6" s="191"/>
      <c r="C6" s="100">
        <v>21</v>
      </c>
      <c r="D6" s="100">
        <v>23</v>
      </c>
      <c r="E6" s="100" t="s">
        <v>56</v>
      </c>
      <c r="F6" s="100" t="s">
        <v>56</v>
      </c>
      <c r="G6" s="100">
        <v>31</v>
      </c>
      <c r="H6" s="100">
        <v>33</v>
      </c>
      <c r="I6" s="100" t="s">
        <v>56</v>
      </c>
      <c r="J6" s="101" t="s">
        <v>56</v>
      </c>
    </row>
    <row r="7" spans="2:10" ht="25.05" customHeight="1">
      <c r="B7" s="102" t="s">
        <v>60</v>
      </c>
      <c r="C7" s="103">
        <v>21</v>
      </c>
      <c r="D7" s="103">
        <v>23</v>
      </c>
      <c r="E7" s="165">
        <f>C7+D7</f>
        <v>2</v>
      </c>
      <c r="F7" s="165">
        <f>100-E7</f>
        <v>98</v>
      </c>
      <c r="G7" s="103">
        <v>31</v>
      </c>
      <c r="H7" s="103">
        <v>33</v>
      </c>
      <c r="I7" s="165">
        <f>G7+H7</f>
        <v>3</v>
      </c>
      <c r="J7" s="166">
        <f>100-I7</f>
        <v>97</v>
      </c>
    </row>
    <row r="8" spans="2:10" ht="25.05" customHeight="1">
      <c r="B8" s="104" t="s">
        <v>64</v>
      </c>
      <c r="C8" s="100">
        <v>21</v>
      </c>
      <c r="D8" s="100">
        <v>23</v>
      </c>
      <c r="E8" s="100">
        <f>C8+D8</f>
        <v>3</v>
      </c>
      <c r="F8" s="100">
        <f>100-E8</f>
        <v>97</v>
      </c>
      <c r="G8" s="105">
        <v>31</v>
      </c>
      <c r="H8" s="105">
        <v>33</v>
      </c>
      <c r="I8" s="105">
        <f>G8+H8</f>
        <v>0</v>
      </c>
      <c r="J8" s="106">
        <f>100-I8</f>
        <v>100</v>
      </c>
    </row>
    <row r="9" spans="2:10" ht="25.05" customHeight="1">
      <c r="B9" s="107" t="s">
        <v>190</v>
      </c>
      <c r="C9" s="108">
        <v>3</v>
      </c>
      <c r="D9" s="108">
        <v>4</v>
      </c>
      <c r="E9" s="108">
        <f>C9+D9</f>
        <v>7</v>
      </c>
      <c r="F9" s="108">
        <f>100-E9</f>
        <v>93</v>
      </c>
      <c r="G9" s="108">
        <v>3</v>
      </c>
      <c r="H9" s="108">
        <v>4</v>
      </c>
      <c r="I9" s="108">
        <f t="shared" ref="I9" si="0">G9+H9</f>
        <v>7</v>
      </c>
      <c r="J9" s="109">
        <f t="shared" ref="J9" si="1">100-I9</f>
        <v>93</v>
      </c>
    </row>
    <row r="10" spans="2:10" ht="25.05" customHeight="1">
      <c r="B10" s="1" t="s">
        <v>245</v>
      </c>
      <c r="C10" s="1">
        <v>21</v>
      </c>
      <c r="D10" s="147">
        <v>23</v>
      </c>
      <c r="E10" s="167">
        <v>24</v>
      </c>
      <c r="F10" s="167">
        <v>25</v>
      </c>
      <c r="G10" s="1">
        <v>31</v>
      </c>
      <c r="H10" s="147">
        <v>33</v>
      </c>
      <c r="I10" s="168">
        <v>34</v>
      </c>
      <c r="J10" s="168">
        <v>35</v>
      </c>
    </row>
    <row r="11" spans="2:10" ht="25.05" customHeight="1">
      <c r="E11" s="2" t="s">
        <v>260</v>
      </c>
    </row>
    <row r="17" ht="14.1" customHeight="1"/>
    <row r="18" ht="14.1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X26"/>
  <sheetViews>
    <sheetView zoomScale="70" zoomScaleNormal="70" workbookViewId="0">
      <selection activeCell="C9" sqref="C9"/>
    </sheetView>
  </sheetViews>
  <sheetFormatPr defaultColWidth="9" defaultRowHeight="13.9"/>
  <cols>
    <col min="1" max="1" width="2.59765625" style="1" customWidth="1"/>
    <col min="2" max="2" width="9" style="1"/>
    <col min="3" max="4" width="40.06640625" style="1" bestFit="1" customWidth="1"/>
    <col min="5" max="5" width="9.5312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640625" style="1" bestFit="1" customWidth="1"/>
  </cols>
  <sheetData>
    <row r="2" spans="2:23" ht="30" customHeight="1">
      <c r="B2" s="176" t="s">
        <v>174</v>
      </c>
      <c r="C2" s="176"/>
      <c r="D2" s="176"/>
      <c r="E2" s="176"/>
      <c r="F2" s="176"/>
    </row>
    <row r="3" spans="2:23" ht="15" customHeight="1">
      <c r="B3" s="175"/>
      <c r="C3" s="175"/>
      <c r="D3" s="175"/>
      <c r="E3" s="175"/>
      <c r="F3" s="175"/>
    </row>
    <row r="4" spans="2:23" ht="25.05" customHeight="1">
      <c r="B4" s="192" t="s">
        <v>16</v>
      </c>
      <c r="C4" s="34" t="s">
        <v>61</v>
      </c>
      <c r="D4" s="34" t="s">
        <v>23</v>
      </c>
      <c r="E4" s="34" t="s">
        <v>36</v>
      </c>
      <c r="F4" s="194" t="s">
        <v>62</v>
      </c>
    </row>
    <row r="5" spans="2:23" ht="25.05" customHeight="1">
      <c r="B5" s="193"/>
      <c r="C5" s="53" t="s">
        <v>56</v>
      </c>
      <c r="D5" s="53" t="s">
        <v>56</v>
      </c>
      <c r="E5" s="53" t="s">
        <v>56</v>
      </c>
      <c r="F5" s="195"/>
    </row>
    <row r="6" spans="2:23" ht="25.05" customHeight="1">
      <c r="B6" s="40" t="s">
        <v>63</v>
      </c>
      <c r="C6" s="53">
        <v>26.806453704833984</v>
      </c>
      <c r="D6" s="53">
        <v>27.806453704833984</v>
      </c>
      <c r="E6" s="53">
        <f>C6-D6</f>
        <v>0</v>
      </c>
      <c r="F6" s="54"/>
    </row>
    <row r="7" spans="2:23" ht="25.05" customHeight="1">
      <c r="B7" s="40" t="s">
        <v>64</v>
      </c>
      <c r="C7" s="53">
        <v>26.806453704833984</v>
      </c>
      <c r="D7" s="53">
        <v>27.806453704833984</v>
      </c>
      <c r="E7" s="53">
        <f>C7-D7</f>
        <v>0</v>
      </c>
      <c r="F7" s="54"/>
    </row>
    <row r="8" spans="2:23" ht="25.05" customHeight="1">
      <c r="B8" s="58" t="s">
        <v>65</v>
      </c>
      <c r="C8" s="59">
        <v>26.806453704833984</v>
      </c>
      <c r="D8" s="59">
        <v>27.806453704833984</v>
      </c>
      <c r="E8" s="59">
        <f>C8-D8</f>
        <v>0</v>
      </c>
      <c r="F8" s="60"/>
    </row>
    <row r="9" spans="2:23" ht="25.05" customHeight="1">
      <c r="B9" s="1" t="s">
        <v>263</v>
      </c>
      <c r="C9" s="154" t="s">
        <v>261</v>
      </c>
      <c r="D9" s="154" t="s">
        <v>262</v>
      </c>
      <c r="E9" s="154"/>
    </row>
    <row r="12" spans="2:23" ht="14.25" thickBot="1">
      <c r="B12" s="196" t="s">
        <v>204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</row>
    <row r="13" spans="2:23" ht="17.65">
      <c r="B13" s="200" t="s">
        <v>205</v>
      </c>
      <c r="C13" s="201"/>
      <c r="D13" s="201"/>
      <c r="E13" s="201"/>
      <c r="F13" s="201"/>
      <c r="G13" s="201"/>
      <c r="H13" s="202"/>
      <c r="I13" s="200" t="s">
        <v>206</v>
      </c>
      <c r="J13" s="201"/>
      <c r="K13" s="201"/>
      <c r="L13" s="201"/>
      <c r="M13" s="201"/>
      <c r="N13" s="201"/>
      <c r="O13" s="202"/>
      <c r="P13" s="200" t="s">
        <v>207</v>
      </c>
      <c r="Q13" s="203"/>
      <c r="R13" s="203"/>
      <c r="S13" s="203"/>
      <c r="T13" s="203"/>
      <c r="U13" s="203"/>
      <c r="V13" s="204"/>
      <c r="W13" s="198" t="s">
        <v>208</v>
      </c>
    </row>
    <row r="14" spans="2:23" ht="25.5">
      <c r="B14" s="205" t="s">
        <v>191</v>
      </c>
      <c r="C14" s="206"/>
      <c r="D14" s="114" t="s">
        <v>192</v>
      </c>
      <c r="E14" s="114" t="s">
        <v>193</v>
      </c>
      <c r="F14" s="114" t="s">
        <v>194</v>
      </c>
      <c r="G14" s="114" t="s">
        <v>195</v>
      </c>
      <c r="H14" s="115" t="s">
        <v>196</v>
      </c>
      <c r="I14" s="205" t="s">
        <v>191</v>
      </c>
      <c r="J14" s="206"/>
      <c r="K14" s="114" t="s">
        <v>192</v>
      </c>
      <c r="L14" s="114" t="s">
        <v>197</v>
      </c>
      <c r="M14" s="114" t="s">
        <v>194</v>
      </c>
      <c r="N14" s="114" t="s">
        <v>195</v>
      </c>
      <c r="O14" s="115" t="s">
        <v>196</v>
      </c>
      <c r="P14" s="205" t="s">
        <v>191</v>
      </c>
      <c r="Q14" s="207"/>
      <c r="R14" s="114" t="s">
        <v>192</v>
      </c>
      <c r="S14" s="43" t="s">
        <v>197</v>
      </c>
      <c r="T14" s="114" t="s">
        <v>194</v>
      </c>
      <c r="U14" s="43" t="s">
        <v>198</v>
      </c>
      <c r="V14" s="115" t="s">
        <v>196</v>
      </c>
      <c r="W14" s="199"/>
    </row>
    <row r="15" spans="2:23" ht="25.5">
      <c r="B15" s="110" t="s">
        <v>199</v>
      </c>
      <c r="C15" s="111" t="s">
        <v>200</v>
      </c>
      <c r="D15" s="112" t="s">
        <v>56</v>
      </c>
      <c r="E15" s="112" t="s">
        <v>56</v>
      </c>
      <c r="F15" s="112" t="s">
        <v>56</v>
      </c>
      <c r="G15" s="112" t="s">
        <v>201</v>
      </c>
      <c r="H15" s="113" t="s">
        <v>201</v>
      </c>
      <c r="I15" s="110" t="s">
        <v>199</v>
      </c>
      <c r="J15" s="111" t="s">
        <v>200</v>
      </c>
      <c r="K15" s="112" t="s">
        <v>56</v>
      </c>
      <c r="L15" s="112" t="s">
        <v>56</v>
      </c>
      <c r="M15" s="112" t="s">
        <v>56</v>
      </c>
      <c r="N15" s="112" t="s">
        <v>201</v>
      </c>
      <c r="O15" s="113" t="s">
        <v>201</v>
      </c>
      <c r="P15" s="110" t="s">
        <v>199</v>
      </c>
      <c r="Q15" s="111" t="s">
        <v>200</v>
      </c>
      <c r="R15" s="112" t="s">
        <v>202</v>
      </c>
      <c r="S15" s="112" t="s">
        <v>202</v>
      </c>
      <c r="T15" s="112" t="s">
        <v>202</v>
      </c>
      <c r="U15" s="112" t="s">
        <v>203</v>
      </c>
      <c r="V15" s="113" t="s">
        <v>203</v>
      </c>
      <c r="W15" s="116" t="s">
        <v>201</v>
      </c>
    </row>
    <row r="16" spans="2:23">
      <c r="B16" s="1">
        <v>21</v>
      </c>
      <c r="C16" s="1">
        <v>22</v>
      </c>
      <c r="D16" s="1">
        <v>23</v>
      </c>
      <c r="E16" s="1">
        <v>24</v>
      </c>
      <c r="F16" s="1">
        <v>25</v>
      </c>
      <c r="G16" s="1">
        <v>26</v>
      </c>
      <c r="H16" s="1">
        <v>27</v>
      </c>
      <c r="I16" s="1">
        <v>31</v>
      </c>
      <c r="J16" s="1">
        <v>32</v>
      </c>
      <c r="K16" s="1">
        <v>33</v>
      </c>
      <c r="L16" s="1">
        <v>34</v>
      </c>
      <c r="M16" s="1">
        <v>35</v>
      </c>
      <c r="N16" s="1">
        <v>36</v>
      </c>
      <c r="O16" s="1">
        <v>37</v>
      </c>
      <c r="P16" s="148" t="e">
        <f>(B16*G16+I16*N16)/U16</f>
        <v>#DIV/0!</v>
      </c>
    </row>
    <row r="19" spans="2:22">
      <c r="B19" s="149">
        <v>99</v>
      </c>
      <c r="C19" s="150">
        <v>65</v>
      </c>
      <c r="D19" s="150">
        <v>1.2</v>
      </c>
      <c r="E19" s="150">
        <v>99</v>
      </c>
      <c r="F19" s="150">
        <v>0.25</v>
      </c>
      <c r="G19" s="150">
        <v>2254</v>
      </c>
      <c r="H19" s="151">
        <f>B19*G19/100</f>
        <v>2231.46</v>
      </c>
      <c r="I19" s="149">
        <v>92.3</v>
      </c>
      <c r="J19" s="150">
        <v>88.9</v>
      </c>
      <c r="K19" s="150">
        <v>3.6</v>
      </c>
      <c r="L19" s="150">
        <v>99.5</v>
      </c>
      <c r="M19" s="150">
        <v>4.0999999999999996</v>
      </c>
      <c r="N19" s="150">
        <v>150</v>
      </c>
      <c r="O19" s="151">
        <f>I19*N19/100</f>
        <v>138.44999999999999</v>
      </c>
      <c r="P19" s="148">
        <f>(B19*G19+I19*N19)/U19</f>
        <v>98.581946755407657</v>
      </c>
      <c r="Q19" s="152">
        <f>(C19*G19+J19*N19)/U19</f>
        <v>66.491264559068213</v>
      </c>
      <c r="R19" s="152">
        <f>(D19*G19+K19*N19)/U19</f>
        <v>1.3497504159733775</v>
      </c>
      <c r="S19" s="152">
        <f>(E19*G19+L19*N19)/U19</f>
        <v>99.031198003327788</v>
      </c>
      <c r="T19" s="152">
        <f>(F19*G19+M19*N19)/U19</f>
        <v>0.49022462562396008</v>
      </c>
      <c r="U19" s="152">
        <f>G19+N19</f>
        <v>2404</v>
      </c>
      <c r="V19" s="153">
        <f>H19+O19</f>
        <v>2369.91</v>
      </c>
    </row>
    <row r="26" spans="2:22">
      <c r="D26" s="197"/>
      <c r="E26" s="197"/>
      <c r="F26" s="197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Q7"/>
  <sheetViews>
    <sheetView workbookViewId="0">
      <selection activeCell="I7" sqref="I7"/>
    </sheetView>
  </sheetViews>
  <sheetFormatPr defaultColWidth="9" defaultRowHeight="12.75"/>
  <cols>
    <col min="1" max="1" width="2" style="2" customWidth="1"/>
    <col min="2" max="2" width="16.19921875" style="2" customWidth="1"/>
    <col min="3" max="3" width="15.6640625" style="2" bestFit="1" customWidth="1"/>
    <col min="4" max="14" width="6.59765625" style="2" customWidth="1"/>
    <col min="15" max="16" width="7.59765625" style="2" customWidth="1"/>
  </cols>
  <sheetData>
    <row r="2" spans="2:16" ht="30" customHeight="1">
      <c r="B2" s="176" t="s">
        <v>175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</row>
    <row r="3" spans="2:16" ht="15" customHeight="1">
      <c r="B3" s="174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55" t="s">
        <v>79</v>
      </c>
      <c r="C5" s="38"/>
      <c r="D5" s="38">
        <v>26.806455612182617</v>
      </c>
      <c r="E5" s="38">
        <v>26.806455612182617</v>
      </c>
      <c r="F5" s="38"/>
      <c r="G5" s="38"/>
      <c r="H5" s="38"/>
      <c r="I5" s="38"/>
      <c r="J5" s="38"/>
      <c r="K5" s="38"/>
      <c r="L5" s="38"/>
      <c r="M5" s="38"/>
      <c r="N5" s="38"/>
      <c r="O5" s="38">
        <v>26.806453704833984</v>
      </c>
      <c r="P5" s="39">
        <v>26.806453704833984</v>
      </c>
    </row>
    <row r="6" spans="2:16" ht="60" customHeight="1">
      <c r="B6" s="156" t="s">
        <v>80</v>
      </c>
      <c r="C6" s="62"/>
      <c r="D6" s="62">
        <v>620</v>
      </c>
      <c r="E6" s="62">
        <v>616.125</v>
      </c>
      <c r="F6" s="62"/>
      <c r="G6" s="62"/>
      <c r="H6" s="62"/>
      <c r="I6" s="62"/>
      <c r="J6" s="62"/>
      <c r="K6" s="62"/>
      <c r="L6" s="62"/>
      <c r="M6" s="62"/>
      <c r="N6" s="62"/>
      <c r="O6" s="62">
        <v>620</v>
      </c>
      <c r="P6" s="63">
        <v>612.25</v>
      </c>
    </row>
    <row r="7" spans="2:16" ht="25.05" customHeight="1">
      <c r="B7" s="2" t="s">
        <v>279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N25"/>
  <sheetViews>
    <sheetView tabSelected="1" workbookViewId="0">
      <selection activeCell="P8" sqref="P8"/>
    </sheetView>
  </sheetViews>
  <sheetFormatPr defaultColWidth="9" defaultRowHeight="12.75"/>
  <cols>
    <col min="1" max="1" width="1.86328125" style="2" customWidth="1"/>
    <col min="2" max="2" width="10.59765625" style="2" customWidth="1"/>
    <col min="3" max="3" width="9" style="2"/>
    <col min="4" max="4" width="15.9296875" style="2" bestFit="1" customWidth="1"/>
    <col min="5" max="12" width="9" style="2"/>
  </cols>
  <sheetData>
    <row r="2" spans="2:13" ht="30" customHeight="1">
      <c r="B2" s="176" t="s">
        <v>176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2:13" ht="30" customHeight="1">
      <c r="B3" s="211" t="s">
        <v>134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194"/>
    </row>
    <row r="4" spans="2:13" ht="10.05" customHeight="1">
      <c r="B4" s="212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4"/>
    </row>
    <row r="5" spans="2:13" ht="20.1" customHeight="1">
      <c r="B5" s="215" t="s">
        <v>117</v>
      </c>
      <c r="C5" s="216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  <c r="I5" s="5" t="s">
        <v>298</v>
      </c>
      <c r="J5" s="5" t="s">
        <v>299</v>
      </c>
      <c r="K5" s="217" t="s">
        <v>127</v>
      </c>
      <c r="L5" s="217" t="s">
        <v>126</v>
      </c>
      <c r="M5" s="218" t="s">
        <v>128</v>
      </c>
    </row>
    <row r="6" spans="2:13" ht="20.1" customHeight="1">
      <c r="B6" s="215" t="s">
        <v>118</v>
      </c>
      <c r="C6" s="216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16"/>
      <c r="L6" s="216"/>
      <c r="M6" s="195"/>
    </row>
    <row r="7" spans="2:13" ht="20.1" customHeight="1">
      <c r="B7" s="208" t="s">
        <v>129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10"/>
    </row>
    <row r="8" spans="2:13" ht="20.1" customHeight="1">
      <c r="B8" s="4" t="s">
        <v>21</v>
      </c>
      <c r="C8" s="5" t="s">
        <v>56</v>
      </c>
      <c r="D8" s="147">
        <v>11</v>
      </c>
      <c r="E8" s="5">
        <v>11</v>
      </c>
      <c r="F8" s="5">
        <v>11</v>
      </c>
      <c r="G8" s="5">
        <v>11</v>
      </c>
      <c r="H8" s="5">
        <v>11</v>
      </c>
      <c r="I8" s="5">
        <v>11</v>
      </c>
      <c r="J8" s="5">
        <v>11</v>
      </c>
      <c r="K8" s="5">
        <v>11</v>
      </c>
      <c r="L8" s="5">
        <v>11</v>
      </c>
      <c r="M8" s="6">
        <f>K8-L8</f>
        <v>0</v>
      </c>
    </row>
    <row r="9" spans="2:13" ht="20.1" customHeight="1">
      <c r="B9" s="4" t="s">
        <v>94</v>
      </c>
      <c r="C9" s="5" t="s">
        <v>86</v>
      </c>
      <c r="D9" s="147">
        <v>13</v>
      </c>
      <c r="E9" s="5">
        <v>13</v>
      </c>
      <c r="F9" s="5">
        <v>13</v>
      </c>
      <c r="G9" s="5">
        <v>13</v>
      </c>
      <c r="H9" s="5">
        <v>13</v>
      </c>
      <c r="I9" s="5">
        <v>13</v>
      </c>
      <c r="J9" s="5">
        <v>13</v>
      </c>
      <c r="K9" s="5">
        <v>13</v>
      </c>
      <c r="L9" s="5">
        <v>13</v>
      </c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147">
        <v>17</v>
      </c>
      <c r="E10" s="5">
        <v>17</v>
      </c>
      <c r="F10" s="5">
        <v>17</v>
      </c>
      <c r="G10" s="5">
        <v>17</v>
      </c>
      <c r="H10" s="5">
        <v>17</v>
      </c>
      <c r="I10" s="5">
        <v>17</v>
      </c>
      <c r="J10" s="5">
        <v>17</v>
      </c>
      <c r="K10" s="5">
        <v>17</v>
      </c>
      <c r="L10" s="5">
        <v>17</v>
      </c>
      <c r="M10" s="6">
        <f t="shared" si="0"/>
        <v>0</v>
      </c>
    </row>
    <row r="11" spans="2:13" ht="20.1" customHeight="1">
      <c r="B11" s="208" t="s">
        <v>130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</row>
    <row r="12" spans="2:13" ht="20.1" customHeight="1">
      <c r="B12" s="4" t="s">
        <v>21</v>
      </c>
      <c r="C12" s="5" t="s">
        <v>56</v>
      </c>
      <c r="D12" s="88">
        <v>26.80645179748535</v>
      </c>
      <c r="E12" s="5">
        <v>26.80645179748535</v>
      </c>
      <c r="F12" s="5">
        <v>26.80645179748535</v>
      </c>
      <c r="G12" s="5">
        <v>26.80645179748535</v>
      </c>
      <c r="H12" s="5">
        <v>26.80645179748535</v>
      </c>
      <c r="I12" s="5">
        <v>26.80645179748535</v>
      </c>
      <c r="J12" s="5">
        <v>26.80645179748535</v>
      </c>
      <c r="K12" s="5">
        <v>26.806453704833984</v>
      </c>
      <c r="L12" s="5">
        <v>26.806453704833984</v>
      </c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88">
        <v>28.80645179748535</v>
      </c>
      <c r="E13" s="5">
        <v>28.80645179748535</v>
      </c>
      <c r="F13" s="5">
        <v>28.80645179748535</v>
      </c>
      <c r="G13" s="5">
        <v>28.80645179748535</v>
      </c>
      <c r="H13" s="5">
        <v>28.80645179748535</v>
      </c>
      <c r="I13" s="5">
        <v>28.80645179748535</v>
      </c>
      <c r="J13" s="5">
        <v>28.80645179748535</v>
      </c>
      <c r="K13" s="5">
        <v>28.806453704833984</v>
      </c>
      <c r="L13" s="5">
        <v>28.806453704833984</v>
      </c>
      <c r="M13" s="6">
        <f t="shared" ref="M13:M15" si="1">K13-L13</f>
        <v>0</v>
      </c>
    </row>
    <row r="14" spans="2:13" ht="20.1" customHeight="1">
      <c r="B14" s="157" t="s">
        <v>58</v>
      </c>
      <c r="C14" s="5" t="s">
        <v>56</v>
      </c>
      <c r="D14" s="158">
        <v>29.80645179748535</v>
      </c>
      <c r="E14" s="5">
        <v>29.80645179748535</v>
      </c>
      <c r="F14" s="5">
        <v>29.80645179748535</v>
      </c>
      <c r="G14" s="5">
        <v>29.80645179748535</v>
      </c>
      <c r="H14" s="5">
        <v>29.80645179748535</v>
      </c>
      <c r="I14" s="5">
        <v>29.80645179748535</v>
      </c>
      <c r="J14" s="5">
        <v>29.80645179748535</v>
      </c>
      <c r="K14" s="5">
        <v>29.806453704833984</v>
      </c>
      <c r="L14" s="5">
        <v>29.806453704833984</v>
      </c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620</v>
      </c>
      <c r="E15" s="5">
        <f t="shared" ref="E15:L15" si="2">100-E14</f>
        <v>620</v>
      </c>
      <c r="F15" s="5">
        <f t="shared" si="2"/>
        <v>620</v>
      </c>
      <c r="G15" s="5">
        <f t="shared" si="2"/>
        <v>620</v>
      </c>
      <c r="H15" s="5">
        <f t="shared" si="2"/>
        <v>620</v>
      </c>
      <c r="I15" s="5">
        <f t="shared" si="2"/>
        <v>620</v>
      </c>
      <c r="J15" s="5">
        <f t="shared" si="2"/>
        <v>620</v>
      </c>
      <c r="K15" s="5">
        <f t="shared" si="2"/>
        <v>70.19354248046875</v>
      </c>
      <c r="L15" s="5">
        <f t="shared" si="2"/>
        <v>70.19354248046875</v>
      </c>
      <c r="M15" s="6">
        <f t="shared" si="1"/>
        <v>0</v>
      </c>
    </row>
    <row r="16" spans="2:13" ht="20.1" customHeight="1">
      <c r="B16" s="208" t="s">
        <v>286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2:13" ht="20.1" customHeight="1">
      <c r="B17" s="169" t="s">
        <v>132</v>
      </c>
      <c r="C17" s="170" t="s">
        <v>56</v>
      </c>
      <c r="D17" s="170">
        <v>166.19998168945312</v>
      </c>
      <c r="E17" s="170">
        <v>166.19998168945312</v>
      </c>
      <c r="F17" s="170">
        <v>166.19998168945312</v>
      </c>
      <c r="G17" s="170">
        <v>166.19998168945312</v>
      </c>
      <c r="H17" s="170">
        <v>166.19998168945312</v>
      </c>
      <c r="I17" s="170">
        <v>166.19998168945312</v>
      </c>
      <c r="J17" s="170">
        <v>166.19998168945312</v>
      </c>
      <c r="K17" s="170">
        <v>620</v>
      </c>
      <c r="L17" s="170">
        <v>612.25</v>
      </c>
      <c r="M17" s="171"/>
    </row>
    <row r="18" spans="2:13" ht="20.1" customHeight="1">
      <c r="B18" s="169" t="s">
        <v>133</v>
      </c>
      <c r="C18" s="170" t="s">
        <v>113</v>
      </c>
      <c r="D18" s="170">
        <v>63</v>
      </c>
      <c r="E18" s="170">
        <v>63</v>
      </c>
      <c r="F18" s="170">
        <v>63</v>
      </c>
      <c r="G18" s="170">
        <v>63</v>
      </c>
      <c r="H18" s="170">
        <v>63</v>
      </c>
      <c r="I18" s="170">
        <v>63</v>
      </c>
      <c r="J18" s="170">
        <v>63</v>
      </c>
      <c r="K18" s="170">
        <v>166.19996643066406</v>
      </c>
      <c r="L18" s="170">
        <v>164.12246704101562</v>
      </c>
      <c r="M18" s="171">
        <f>K18-L18</f>
        <v>0</v>
      </c>
    </row>
    <row r="19" spans="2:13" ht="20.1" customHeight="1">
      <c r="B19" s="208" t="s">
        <v>287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2:13" ht="20.1" customHeight="1">
      <c r="B20" s="159" t="s">
        <v>21</v>
      </c>
      <c r="C20" s="8" t="s">
        <v>56</v>
      </c>
      <c r="D20" s="1" t="s">
        <v>281</v>
      </c>
      <c r="E20" s="8"/>
      <c r="F20" s="8"/>
      <c r="G20" s="8"/>
      <c r="H20" s="8"/>
      <c r="I20" s="8"/>
      <c r="J20" s="8"/>
      <c r="K20" s="8">
        <v>63</v>
      </c>
      <c r="L20" s="8">
        <v>63</v>
      </c>
      <c r="M20" s="9">
        <f>K20-L20</f>
        <v>0</v>
      </c>
    </row>
    <row r="21" spans="2:13" ht="20.1" customHeight="1">
      <c r="D21" s="1" t="s">
        <v>281</v>
      </c>
    </row>
    <row r="22" spans="2:13" ht="20.1" customHeight="1"/>
    <row r="23" spans="2:13" ht="20.1" customHeight="1"/>
    <row r="24" spans="2:13" ht="20.1" customHeight="1"/>
    <row r="25" spans="2:13" ht="20.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5"/>
  <sheetViews>
    <sheetView workbookViewId="0">
      <selection activeCell="A9" sqref="A9:XFD9"/>
    </sheetView>
  </sheetViews>
  <sheetFormatPr defaultColWidth="9" defaultRowHeight="12.75"/>
  <cols>
    <col min="1" max="1" width="1.33203125" style="2" customWidth="1"/>
    <col min="2" max="2" width="9" style="2"/>
    <col min="3" max="3" width="35.19921875" style="2" bestFit="1" customWidth="1"/>
    <col min="4" max="7" width="12.59765625" style="2" customWidth="1"/>
    <col min="8" max="8" width="9" style="2"/>
  </cols>
  <sheetData>
    <row r="2" spans="2:9" ht="30" customHeight="1">
      <c r="B2" s="176" t="s">
        <v>177</v>
      </c>
      <c r="C2" s="176"/>
      <c r="D2" s="176"/>
      <c r="E2" s="176"/>
      <c r="F2" s="176"/>
      <c r="G2" s="176"/>
    </row>
    <row r="3" spans="2:9" ht="15" customHeight="1">
      <c r="B3" s="174"/>
      <c r="C3" s="175"/>
      <c r="D3" s="175"/>
      <c r="E3" s="175"/>
      <c r="F3" s="175"/>
      <c r="G3" s="175"/>
    </row>
    <row r="4" spans="2:9" ht="15.75" customHeight="1">
      <c r="B4" s="220" t="s">
        <v>91</v>
      </c>
      <c r="C4" s="221"/>
      <c r="D4" s="221"/>
      <c r="E4" s="221"/>
      <c r="F4" s="221"/>
      <c r="G4" s="222"/>
    </row>
    <row r="5" spans="2:9" ht="25.0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.0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.0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.05" customHeight="1">
      <c r="B8" s="77" t="s">
        <v>209</v>
      </c>
      <c r="C8" s="71">
        <v>0</v>
      </c>
      <c r="D8" s="71">
        <v>116</v>
      </c>
      <c r="E8" s="78">
        <f>C8/D8</f>
        <v>0</v>
      </c>
      <c r="F8" s="71">
        <v>114</v>
      </c>
      <c r="G8" s="74">
        <v>112</v>
      </c>
    </row>
    <row r="9" spans="2:9" ht="25.05" customHeight="1">
      <c r="B9" s="77" t="s">
        <v>90</v>
      </c>
      <c r="C9" s="71">
        <v>0</v>
      </c>
      <c r="D9" s="71">
        <v>116</v>
      </c>
      <c r="E9" s="78">
        <f>C9/D9</f>
        <v>0</v>
      </c>
      <c r="F9" s="71">
        <v>114</v>
      </c>
      <c r="G9" s="74">
        <v>112</v>
      </c>
      <c r="H9" s="2" t="s">
        <v>244</v>
      </c>
      <c r="I9" s="2" t="s">
        <v>266</v>
      </c>
    </row>
    <row r="10" spans="2:9" ht="15.75" customHeight="1">
      <c r="B10" s="223" t="s">
        <v>92</v>
      </c>
      <c r="C10" s="224"/>
      <c r="D10" s="224"/>
      <c r="E10" s="224"/>
      <c r="F10" s="224"/>
      <c r="G10" s="225"/>
    </row>
    <row r="11" spans="2:9" ht="25.05" customHeight="1">
      <c r="B11" s="4" t="s">
        <v>39</v>
      </c>
      <c r="C11" s="226" t="s">
        <v>21</v>
      </c>
      <c r="D11" s="216"/>
      <c r="E11" s="5" t="s">
        <v>94</v>
      </c>
      <c r="F11" s="54"/>
      <c r="G11" s="5" t="s">
        <v>93</v>
      </c>
    </row>
    <row r="12" spans="2:9" ht="25.05" customHeight="1">
      <c r="B12" s="4" t="s">
        <v>40</v>
      </c>
      <c r="C12" s="226" t="s">
        <v>56</v>
      </c>
      <c r="D12" s="216"/>
      <c r="E12" s="5" t="s">
        <v>86</v>
      </c>
      <c r="F12" s="54"/>
      <c r="G12" s="5" t="s">
        <v>86</v>
      </c>
    </row>
    <row r="13" spans="2:9" ht="25.05" customHeight="1">
      <c r="B13" s="4" t="s">
        <v>34</v>
      </c>
      <c r="C13" s="227">
        <v>41</v>
      </c>
      <c r="D13" s="228">
        <v>43</v>
      </c>
      <c r="E13" s="95">
        <v>45</v>
      </c>
      <c r="F13" s="97"/>
      <c r="G13" s="88"/>
    </row>
    <row r="14" spans="2:9" ht="25.05" customHeight="1">
      <c r="B14" s="7" t="s">
        <v>35</v>
      </c>
      <c r="C14" s="229">
        <v>41</v>
      </c>
      <c r="D14" s="230">
        <v>43</v>
      </c>
      <c r="E14" s="96">
        <v>45</v>
      </c>
      <c r="F14" s="98"/>
      <c r="G14" s="89"/>
    </row>
    <row r="15" spans="2:9" ht="25.05" customHeight="1">
      <c r="C15" s="219" t="s">
        <v>267</v>
      </c>
      <c r="D15" s="219"/>
      <c r="E15" s="219"/>
      <c r="F15" s="219"/>
      <c r="G15" s="219"/>
    </row>
  </sheetData>
  <mergeCells count="9">
    <mergeCell ref="C15:G15"/>
    <mergeCell ref="B2:G2"/>
    <mergeCell ref="B4:G4"/>
    <mergeCell ref="B10:G10"/>
    <mergeCell ref="C11:D11"/>
    <mergeCell ref="C12:D12"/>
    <mergeCell ref="C13:D13"/>
    <mergeCell ref="C14:D14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8"/>
  <sheetViews>
    <sheetView workbookViewId="0">
      <selection activeCell="E12" sqref="E12"/>
    </sheetView>
  </sheetViews>
  <sheetFormatPr defaultColWidth="9" defaultRowHeight="13.9"/>
  <cols>
    <col min="1" max="1" width="2.265625" style="1" customWidth="1"/>
    <col min="2" max="5" width="19.59765625" style="1" customWidth="1"/>
    <col min="6" max="6" width="12.59765625" style="1" customWidth="1"/>
  </cols>
  <sheetData>
    <row r="2" spans="2:5" ht="30" customHeight="1">
      <c r="B2" s="176" t="s">
        <v>166</v>
      </c>
      <c r="C2" s="176"/>
      <c r="D2" s="176"/>
      <c r="E2" s="176"/>
    </row>
    <row r="3" spans="2:5" ht="15" customHeight="1">
      <c r="B3" s="197"/>
      <c r="C3" s="197"/>
      <c r="D3" s="197"/>
      <c r="E3" s="197"/>
    </row>
    <row r="4" spans="2:5" ht="25.05" customHeight="1">
      <c r="B4" s="231" t="s">
        <v>109</v>
      </c>
      <c r="C4" s="34" t="s">
        <v>108</v>
      </c>
      <c r="D4" s="34" t="s">
        <v>110</v>
      </c>
      <c r="E4" s="232" t="s">
        <v>111</v>
      </c>
    </row>
    <row r="5" spans="2:5" ht="25.05" customHeight="1">
      <c r="B5" s="193"/>
      <c r="C5" s="53" t="s">
        <v>107</v>
      </c>
      <c r="D5" s="53" t="s">
        <v>12</v>
      </c>
      <c r="E5" s="233"/>
    </row>
    <row r="6" spans="2:5" ht="25.05" customHeight="1">
      <c r="B6" s="40" t="s">
        <v>105</v>
      </c>
      <c r="C6" s="53">
        <v>0</v>
      </c>
      <c r="D6" s="53">
        <v>62</v>
      </c>
      <c r="E6" s="54">
        <v>301</v>
      </c>
    </row>
    <row r="7" spans="2:5" ht="25.05" customHeight="1">
      <c r="B7" s="55" t="s">
        <v>106</v>
      </c>
      <c r="C7" s="56">
        <v>0</v>
      </c>
      <c r="D7" s="56">
        <v>62</v>
      </c>
      <c r="E7" s="57">
        <v>301</v>
      </c>
    </row>
    <row r="8" spans="2:5" ht="15" customHeight="1">
      <c r="B8" s="234"/>
      <c r="C8" s="235"/>
      <c r="D8" s="235"/>
      <c r="E8" s="236"/>
    </row>
    <row r="9" spans="2:5" ht="25.05" customHeight="1">
      <c r="B9" s="231" t="s">
        <v>101</v>
      </c>
      <c r="C9" s="34" t="s">
        <v>21</v>
      </c>
      <c r="D9" s="34" t="s">
        <v>94</v>
      </c>
      <c r="E9" s="52" t="s">
        <v>93</v>
      </c>
    </row>
    <row r="10" spans="2:5" ht="25.05" customHeight="1">
      <c r="B10" s="193"/>
      <c r="C10" s="53" t="s">
        <v>56</v>
      </c>
      <c r="D10" s="53" t="s">
        <v>86</v>
      </c>
      <c r="E10" s="54" t="s">
        <v>86</v>
      </c>
    </row>
    <row r="11" spans="2:5" ht="25.05" customHeight="1">
      <c r="B11" s="40" t="s">
        <v>102</v>
      </c>
      <c r="C11" s="90">
        <v>51</v>
      </c>
      <c r="D11" s="90">
        <v>52</v>
      </c>
      <c r="E11" s="91">
        <v>55</v>
      </c>
    </row>
    <row r="12" spans="2:5" ht="25.05" customHeight="1">
      <c r="B12" s="40" t="s">
        <v>103</v>
      </c>
      <c r="C12" s="53">
        <v>57</v>
      </c>
      <c r="D12" s="53">
        <v>59</v>
      </c>
      <c r="E12" s="91">
        <v>61</v>
      </c>
    </row>
    <row r="13" spans="2:5" ht="25.05" customHeight="1">
      <c r="B13" s="55" t="s">
        <v>104</v>
      </c>
      <c r="C13" s="56" t="e">
        <f>C11-C12</f>
        <v>#VALUE!</v>
      </c>
      <c r="D13" s="56" t="e">
        <f>D11-D12</f>
        <v>#VALUE!</v>
      </c>
      <c r="E13" s="57" t="e">
        <f t="shared" ref="E13" si="0">E11-E12</f>
        <v>#VALUE!</v>
      </c>
    </row>
    <row r="18" ht="14.1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G11"/>
  <sheetViews>
    <sheetView workbookViewId="0">
      <selection activeCell="F13" sqref="F13"/>
    </sheetView>
  </sheetViews>
  <sheetFormatPr defaultRowHeight="13.9"/>
  <cols>
    <col min="1" max="1" width="2.59765625" customWidth="1"/>
    <col min="2" max="2" width="20.265625" customWidth="1"/>
    <col min="3" max="5" width="15.59765625" customWidth="1"/>
    <col min="6" max="6" width="12.9296875" bestFit="1" customWidth="1"/>
  </cols>
  <sheetData>
    <row r="2" spans="2:6" ht="30" customHeight="1">
      <c r="B2" s="176" t="s">
        <v>167</v>
      </c>
      <c r="C2" s="176"/>
      <c r="D2" s="176"/>
      <c r="E2" s="176"/>
    </row>
    <row r="3" spans="2:6" ht="15" customHeight="1">
      <c r="B3" s="237"/>
      <c r="C3" s="237"/>
      <c r="D3" s="237"/>
      <c r="E3" s="237"/>
    </row>
    <row r="4" spans="2:6" s="1" customFormat="1" ht="25.05" customHeight="1">
      <c r="B4" s="3" t="s">
        <v>98</v>
      </c>
      <c r="C4" s="238"/>
      <c r="D4" s="239"/>
      <c r="E4" s="240"/>
      <c r="F4" s="36" t="s">
        <v>56</v>
      </c>
    </row>
    <row r="5" spans="2:6" s="1" customFormat="1" ht="25.05" customHeight="1">
      <c r="B5" s="37" t="s">
        <v>99</v>
      </c>
      <c r="C5" s="241">
        <v>4340</v>
      </c>
      <c r="D5" s="242"/>
      <c r="E5" s="243"/>
      <c r="F5" s="66" t="s">
        <v>100</v>
      </c>
    </row>
    <row r="6" spans="2:6" s="45" customFormat="1" ht="40.25" customHeight="1">
      <c r="B6" s="160" t="s">
        <v>276</v>
      </c>
      <c r="C6" s="161" t="s">
        <v>22</v>
      </c>
      <c r="D6" s="161" t="s">
        <v>96</v>
      </c>
      <c r="E6" s="161" t="s">
        <v>95</v>
      </c>
      <c r="F6" s="172" t="s">
        <v>97</v>
      </c>
    </row>
    <row r="7" spans="2:6" ht="40.25" customHeight="1">
      <c r="B7" s="92" t="s">
        <v>33</v>
      </c>
      <c r="C7" s="162">
        <v>52</v>
      </c>
      <c r="D7" s="162">
        <v>53</v>
      </c>
      <c r="E7" s="162">
        <v>55</v>
      </c>
      <c r="F7" s="173">
        <v>0</v>
      </c>
    </row>
    <row r="8" spans="2:6" ht="40.25" customHeight="1">
      <c r="B8" s="163" t="s">
        <v>34</v>
      </c>
      <c r="C8" s="162">
        <v>52</v>
      </c>
      <c r="D8" s="162">
        <v>53</v>
      </c>
      <c r="E8" s="162">
        <v>55</v>
      </c>
      <c r="F8" s="173">
        <v>0</v>
      </c>
    </row>
    <row r="9" spans="2:6" ht="40.25" customHeight="1">
      <c r="B9" s="163" t="s">
        <v>35</v>
      </c>
      <c r="C9" s="162">
        <v>52</v>
      </c>
      <c r="D9" s="162">
        <v>53</v>
      </c>
      <c r="E9" s="162">
        <v>55</v>
      </c>
      <c r="F9" s="173">
        <v>0</v>
      </c>
    </row>
    <row r="10" spans="2:6">
      <c r="B10" s="164" t="s">
        <v>278</v>
      </c>
      <c r="C10" s="244" t="s">
        <v>285</v>
      </c>
      <c r="D10" s="244"/>
      <c r="E10" s="244"/>
      <c r="F10" s="244"/>
    </row>
    <row r="11" spans="2:6">
      <c r="F11" s="0" t="s">
        <v>291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B2:Y23"/>
  <sheetViews>
    <sheetView zoomScale="85" zoomScaleNormal="85" workbookViewId="0">
      <selection activeCell="M15" sqref="M15"/>
    </sheetView>
  </sheetViews>
  <sheetFormatPr defaultRowHeight="13.9"/>
  <cols>
    <col min="1" max="1" width="2.33203125" customWidth="1"/>
    <col min="2" max="2" width="12.59765625" customWidth="1"/>
    <col min="3" max="10" width="10.59765625" customWidth="1"/>
  </cols>
  <sheetData>
    <row r="2" spans="2:24" ht="30" customHeight="1">
      <c r="B2" s="176" t="s">
        <v>168</v>
      </c>
      <c r="C2" s="176"/>
      <c r="D2" s="176"/>
      <c r="E2" s="176"/>
      <c r="F2" s="176"/>
      <c r="G2" s="176"/>
      <c r="H2" s="176"/>
      <c r="I2" s="176"/>
      <c r="J2" s="176"/>
    </row>
    <row r="3" spans="2:24" ht="25.05" customHeight="1">
      <c r="B3" s="268" t="s">
        <v>116</v>
      </c>
      <c r="C3" s="268"/>
      <c r="D3" s="268"/>
      <c r="E3" s="268"/>
      <c r="F3" s="268"/>
      <c r="G3" s="268"/>
      <c r="H3" s="268"/>
      <c r="I3" s="268"/>
      <c r="J3" s="268"/>
    </row>
    <row r="4" spans="2:24" ht="15" customHeight="1"/>
    <row r="5" spans="2:24" ht="30" customHeight="1">
      <c r="B5" s="266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.05" customHeight="1">
      <c r="B6" s="267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.0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.05" customHeight="1">
      <c r="B8" s="4" t="s">
        <v>33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3">
        <v>0</v>
      </c>
      <c r="J8" s="54">
        <v>0</v>
      </c>
    </row>
    <row r="9" spans="2:24" s="1" customFormat="1" ht="25.05" customHeight="1">
      <c r="B9" s="16" t="s">
        <v>105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69">
        <v>0</v>
      </c>
      <c r="J9" s="70">
        <v>0</v>
      </c>
    </row>
    <row r="10" spans="2:24" s="1" customFormat="1" ht="25.05" customHeight="1" thickBot="1">
      <c r="B10" s="7" t="s">
        <v>106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56">
        <v>0</v>
      </c>
      <c r="J10" s="57">
        <v>0</v>
      </c>
    </row>
    <row r="11" spans="2:24" s="1" customFormat="1" ht="25.05" customHeight="1" thickBot="1">
      <c r="B11" s="2"/>
      <c r="C11" s="2"/>
      <c r="D11" s="2"/>
      <c r="E11" s="2"/>
      <c r="F11" s="2"/>
      <c r="G11" s="2"/>
      <c r="H11" s="2"/>
    </row>
    <row r="12" spans="2:24" s="1" customFormat="1" ht="25.05" customHeight="1">
      <c r="B12" s="269">
        <v>2025</v>
      </c>
      <c r="C12" s="270"/>
      <c r="D12" s="117"/>
      <c r="E12" s="271" t="s">
        <v>210</v>
      </c>
      <c r="F12" s="271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2"/>
    </row>
    <row r="13" spans="2:24" s="1" customFormat="1" ht="25.05" customHeight="1">
      <c r="B13" s="262" t="s">
        <v>117</v>
      </c>
      <c r="C13" s="264" t="s">
        <v>135</v>
      </c>
      <c r="D13" s="264" t="s">
        <v>211</v>
      </c>
      <c r="E13" s="252" t="s">
        <v>131</v>
      </c>
      <c r="F13" s="253"/>
      <c r="G13" s="250" t="s">
        <v>212</v>
      </c>
      <c r="H13" s="251"/>
      <c r="I13" s="260" t="s">
        <v>213</v>
      </c>
      <c r="J13" s="261"/>
      <c r="K13" s="250" t="s">
        <v>214</v>
      </c>
      <c r="L13" s="251"/>
      <c r="M13" s="252" t="s">
        <v>215</v>
      </c>
      <c r="N13" s="253"/>
      <c r="O13" s="250" t="s">
        <v>216</v>
      </c>
      <c r="P13" s="251"/>
      <c r="Q13" s="252" t="s">
        <v>217</v>
      </c>
      <c r="R13" s="253"/>
      <c r="S13" s="250" t="s">
        <v>218</v>
      </c>
      <c r="T13" s="251"/>
      <c r="U13" s="252" t="s">
        <v>219</v>
      </c>
      <c r="V13" s="253"/>
      <c r="W13" s="251" t="s">
        <v>220</v>
      </c>
      <c r="X13" s="254"/>
    </row>
    <row r="14" spans="2:24" ht="25.05" customHeight="1">
      <c r="B14" s="263"/>
      <c r="C14" s="265"/>
      <c r="D14" s="265"/>
      <c r="E14" s="118" t="s">
        <v>221</v>
      </c>
      <c r="F14" s="118" t="s">
        <v>40</v>
      </c>
      <c r="G14" s="111" t="s">
        <v>221</v>
      </c>
      <c r="H14" s="111" t="s">
        <v>40</v>
      </c>
      <c r="I14" s="118" t="s">
        <v>221</v>
      </c>
      <c r="J14" s="118" t="s">
        <v>40</v>
      </c>
      <c r="K14" s="111" t="s">
        <v>222</v>
      </c>
      <c r="L14" s="111" t="s">
        <v>223</v>
      </c>
      <c r="M14" s="118" t="s">
        <v>222</v>
      </c>
      <c r="N14" s="118" t="s">
        <v>223</v>
      </c>
      <c r="O14" s="111" t="s">
        <v>222</v>
      </c>
      <c r="P14" s="111" t="s">
        <v>223</v>
      </c>
      <c r="Q14" s="118" t="s">
        <v>222</v>
      </c>
      <c r="R14" s="118" t="s">
        <v>223</v>
      </c>
      <c r="S14" s="111" t="s">
        <v>222</v>
      </c>
      <c r="T14" s="111" t="s">
        <v>223</v>
      </c>
      <c r="U14" s="118" t="s">
        <v>224</v>
      </c>
      <c r="V14" s="118" t="s">
        <v>40</v>
      </c>
      <c r="W14" s="111" t="s">
        <v>225</v>
      </c>
      <c r="X14" s="119" t="s">
        <v>223</v>
      </c>
    </row>
    <row r="15" spans="2:24">
      <c r="B15" s="255">
        <v>1201</v>
      </c>
      <c r="C15" s="206" t="s">
        <v>226</v>
      </c>
      <c r="D15" s="43" t="s">
        <v>12</v>
      </c>
      <c r="E15" s="120"/>
      <c r="F15" s="120" t="s">
        <v>113</v>
      </c>
      <c r="G15" s="121"/>
      <c r="H15" s="121" t="s">
        <v>113</v>
      </c>
      <c r="I15" s="120"/>
      <c r="J15" s="120" t="s">
        <v>100</v>
      </c>
      <c r="K15" s="122"/>
      <c r="L15" s="121" t="s">
        <v>113</v>
      </c>
      <c r="M15" s="120"/>
      <c r="N15" s="120" t="s">
        <v>113</v>
      </c>
      <c r="O15" s="121"/>
      <c r="P15" s="121" t="s">
        <v>113</v>
      </c>
      <c r="Q15" s="122"/>
      <c r="R15" s="120" t="s">
        <v>113</v>
      </c>
      <c r="S15" s="122"/>
      <c r="T15" s="121" t="s">
        <v>227</v>
      </c>
      <c r="U15" s="120"/>
      <c r="V15" s="120" t="s">
        <v>100</v>
      </c>
      <c r="W15" s="121">
        <v>1</v>
      </c>
      <c r="X15" s="123" t="s">
        <v>100</v>
      </c>
    </row>
    <row r="16" spans="2:24">
      <c r="B16" s="256"/>
      <c r="C16" s="258"/>
      <c r="D16" s="124" t="s">
        <v>228</v>
      </c>
      <c r="E16" s="125"/>
      <c r="F16" s="125" t="s">
        <v>113</v>
      </c>
      <c r="G16" s="64"/>
      <c r="H16" s="64" t="s">
        <v>113</v>
      </c>
      <c r="I16" s="125"/>
      <c r="J16" s="125" t="s">
        <v>113</v>
      </c>
      <c r="K16" s="64"/>
      <c r="L16" s="64" t="s">
        <v>113</v>
      </c>
      <c r="M16" s="125"/>
      <c r="N16" s="125" t="s">
        <v>113</v>
      </c>
      <c r="O16" s="64"/>
      <c r="P16" s="64" t="s">
        <v>113</v>
      </c>
      <c r="Q16" s="125"/>
      <c r="R16" s="125" t="s">
        <v>113</v>
      </c>
      <c r="S16" s="64"/>
      <c r="T16" s="64" t="s">
        <v>113</v>
      </c>
      <c r="U16" s="125"/>
      <c r="V16" s="125" t="s">
        <v>113</v>
      </c>
      <c r="W16" s="64"/>
      <c r="X16" s="126" t="s">
        <v>229</v>
      </c>
    </row>
    <row r="17" spans="2:24">
      <c r="B17" s="256"/>
      <c r="C17" s="258"/>
      <c r="D17" s="127" t="s">
        <v>230</v>
      </c>
      <c r="E17" s="125" t="e">
        <f>E15/E16</f>
        <v>#DIV/0!</v>
      </c>
      <c r="F17" s="125" t="s">
        <v>114</v>
      </c>
      <c r="G17" s="64" t="e">
        <f>G15/G16</f>
        <v>#DIV/0!</v>
      </c>
      <c r="H17" s="64" t="s">
        <v>114</v>
      </c>
      <c r="I17" s="125" t="e">
        <f>I15/I16</f>
        <v>#DIV/0!</v>
      </c>
      <c r="J17" s="125" t="s">
        <v>115</v>
      </c>
      <c r="K17" s="64" t="e">
        <f>K15/K16</f>
        <v>#DIV/0!</v>
      </c>
      <c r="L17" s="64" t="s">
        <v>114</v>
      </c>
      <c r="M17" s="125" t="e">
        <f>M15/M16</f>
        <v>#DIV/0!</v>
      </c>
      <c r="N17" s="125" t="s">
        <v>114</v>
      </c>
      <c r="O17" s="64" t="e">
        <f>O15/O16</f>
        <v>#DIV/0!</v>
      </c>
      <c r="P17" s="64" t="s">
        <v>114</v>
      </c>
      <c r="Q17" s="125" t="e">
        <f>Q15/Q16</f>
        <v>#DIV/0!</v>
      </c>
      <c r="R17" s="125" t="s">
        <v>114</v>
      </c>
      <c r="S17" s="64" t="e">
        <f>S15/S16</f>
        <v>#DIV/0!</v>
      </c>
      <c r="T17" s="64" t="s">
        <v>231</v>
      </c>
      <c r="U17" s="125" t="e">
        <f>U15/U16</f>
        <v>#DIV/0!</v>
      </c>
      <c r="V17" s="125" t="s">
        <v>232</v>
      </c>
      <c r="W17" s="64" t="e">
        <f>W15/W16</f>
        <v>#DIV/0!</v>
      </c>
      <c r="X17" s="126" t="s">
        <v>115</v>
      </c>
    </row>
    <row r="18" spans="2:24">
      <c r="B18" s="256"/>
      <c r="C18" s="258" t="s">
        <v>233</v>
      </c>
      <c r="D18" s="124" t="s">
        <v>12</v>
      </c>
      <c r="E18" s="125"/>
      <c r="F18" s="125" t="s">
        <v>113</v>
      </c>
      <c r="G18" s="64"/>
      <c r="H18" s="64" t="s">
        <v>113</v>
      </c>
      <c r="I18" s="125"/>
      <c r="J18" s="125" t="s">
        <v>100</v>
      </c>
      <c r="K18" s="128"/>
      <c r="L18" s="64" t="s">
        <v>113</v>
      </c>
      <c r="M18" s="125"/>
      <c r="N18" s="125" t="s">
        <v>113</v>
      </c>
      <c r="O18" s="64"/>
      <c r="P18" s="64" t="s">
        <v>113</v>
      </c>
      <c r="Q18" s="128"/>
      <c r="R18" s="125" t="s">
        <v>113</v>
      </c>
      <c r="S18" s="128"/>
      <c r="T18" s="64" t="s">
        <v>227</v>
      </c>
      <c r="U18" s="125"/>
      <c r="V18" s="125" t="s">
        <v>100</v>
      </c>
      <c r="W18" s="64"/>
      <c r="X18" s="126" t="s">
        <v>100</v>
      </c>
    </row>
    <row r="19" spans="2:24">
      <c r="B19" s="256"/>
      <c r="C19" s="258"/>
      <c r="D19" s="124" t="s">
        <v>228</v>
      </c>
      <c r="E19" s="125"/>
      <c r="F19" s="125" t="s">
        <v>113</v>
      </c>
      <c r="G19" s="64"/>
      <c r="H19" s="64" t="s">
        <v>113</v>
      </c>
      <c r="I19" s="125"/>
      <c r="J19" s="125" t="s">
        <v>113</v>
      </c>
      <c r="K19" s="64"/>
      <c r="L19" s="64" t="s">
        <v>113</v>
      </c>
      <c r="M19" s="125"/>
      <c r="N19" s="125" t="s">
        <v>113</v>
      </c>
      <c r="O19" s="64"/>
      <c r="P19" s="64" t="s">
        <v>113</v>
      </c>
      <c r="Q19" s="125"/>
      <c r="R19" s="125" t="s">
        <v>113</v>
      </c>
      <c r="S19" s="64"/>
      <c r="T19" s="64" t="s">
        <v>113</v>
      </c>
      <c r="U19" s="125"/>
      <c r="V19" s="125" t="s">
        <v>113</v>
      </c>
      <c r="W19" s="64"/>
      <c r="X19" s="126" t="s">
        <v>229</v>
      </c>
    </row>
    <row r="20" spans="2:24">
      <c r="B20" s="257"/>
      <c r="C20" s="259"/>
      <c r="D20" s="129" t="s">
        <v>230</v>
      </c>
      <c r="E20" s="130" t="e">
        <f>E18/E19</f>
        <v>#DIV/0!</v>
      </c>
      <c r="F20" s="130" t="s">
        <v>114</v>
      </c>
      <c r="G20" s="65" t="e">
        <f>G18/G19</f>
        <v>#DIV/0!</v>
      </c>
      <c r="H20" s="65" t="s">
        <v>114</v>
      </c>
      <c r="I20" s="130" t="e">
        <f>I18/I19</f>
        <v>#DIV/0!</v>
      </c>
      <c r="J20" s="130" t="s">
        <v>115</v>
      </c>
      <c r="K20" s="65" t="e">
        <f>K18/K19</f>
        <v>#DIV/0!</v>
      </c>
      <c r="L20" s="65" t="s">
        <v>114</v>
      </c>
      <c r="M20" s="130" t="e">
        <f>M18/M19</f>
        <v>#DIV/0!</v>
      </c>
      <c r="N20" s="130" t="s">
        <v>114</v>
      </c>
      <c r="O20" s="65" t="e">
        <f>O18/O19</f>
        <v>#DIV/0!</v>
      </c>
      <c r="P20" s="65" t="s">
        <v>114</v>
      </c>
      <c r="Q20" s="130" t="e">
        <f>Q18/Q19</f>
        <v>#DIV/0!</v>
      </c>
      <c r="R20" s="130" t="s">
        <v>114</v>
      </c>
      <c r="S20" s="65" t="e">
        <f>S18/S19</f>
        <v>#DIV/0!</v>
      </c>
      <c r="T20" s="65" t="s">
        <v>231</v>
      </c>
      <c r="U20" s="130" t="e">
        <f>U18/U19</f>
        <v>#DIV/0!</v>
      </c>
      <c r="V20" s="130" t="s">
        <v>115</v>
      </c>
      <c r="W20" s="65" t="e">
        <f>W18/W19</f>
        <v>#DIV/0!</v>
      </c>
      <c r="X20" s="131" t="s">
        <v>115</v>
      </c>
    </row>
    <row r="21" spans="2:24">
      <c r="B21" s="245" t="s">
        <v>234</v>
      </c>
      <c r="C21" s="246"/>
      <c r="D21" s="246"/>
      <c r="E21" s="132"/>
      <c r="F21" s="133" t="s">
        <v>229</v>
      </c>
      <c r="G21" s="134">
        <f>G15+G18</f>
        <v>0</v>
      </c>
      <c r="H21" s="99" t="s">
        <v>229</v>
      </c>
      <c r="I21" s="132">
        <f>I15+I18</f>
        <v>0</v>
      </c>
      <c r="J21" s="133" t="s">
        <v>235</v>
      </c>
      <c r="K21" s="134">
        <f>K15+K18</f>
        <v>0</v>
      </c>
      <c r="L21" s="99" t="s">
        <v>229</v>
      </c>
      <c r="M21" s="132">
        <f>M15+M18</f>
        <v>0</v>
      </c>
      <c r="N21" s="133" t="s">
        <v>229</v>
      </c>
      <c r="O21" s="134">
        <f>O15+O18</f>
        <v>0</v>
      </c>
      <c r="P21" s="99" t="s">
        <v>229</v>
      </c>
      <c r="Q21" s="132">
        <f>Q15+Q18</f>
        <v>0</v>
      </c>
      <c r="R21" s="133" t="s">
        <v>229</v>
      </c>
      <c r="S21" s="134">
        <f>S15+S18</f>
        <v>0</v>
      </c>
      <c r="T21" s="99" t="s">
        <v>236</v>
      </c>
      <c r="U21" s="132">
        <f>U15+U18</f>
        <v>0</v>
      </c>
      <c r="V21" s="133" t="s">
        <v>235</v>
      </c>
      <c r="W21" s="134">
        <f>W15+W18</f>
        <v>1</v>
      </c>
      <c r="X21" s="135" t="s">
        <v>235</v>
      </c>
    </row>
    <row r="22" spans="2:24">
      <c r="B22" s="247" t="s">
        <v>237</v>
      </c>
      <c r="C22" s="216"/>
      <c r="D22" s="216"/>
      <c r="E22" s="136"/>
      <c r="F22" s="90" t="s">
        <v>229</v>
      </c>
      <c r="G22" s="137">
        <f>G16+G19</f>
        <v>0</v>
      </c>
      <c r="H22" s="53" t="s">
        <v>229</v>
      </c>
      <c r="I22" s="136">
        <f>I16+I19</f>
        <v>0</v>
      </c>
      <c r="J22" s="90" t="s">
        <v>229</v>
      </c>
      <c r="K22" s="137">
        <f>K16+K19</f>
        <v>0</v>
      </c>
      <c r="L22" s="53" t="s">
        <v>229</v>
      </c>
      <c r="M22" s="136">
        <f>M16+M19</f>
        <v>0</v>
      </c>
      <c r="N22" s="90" t="s">
        <v>229</v>
      </c>
      <c r="O22" s="137">
        <f>O16+O19</f>
        <v>0</v>
      </c>
      <c r="P22" s="53" t="s">
        <v>229</v>
      </c>
      <c r="Q22" s="136">
        <f>Q16+Q19</f>
        <v>0</v>
      </c>
      <c r="R22" s="90" t="s">
        <v>229</v>
      </c>
      <c r="S22" s="137">
        <f>S16+S19</f>
        <v>0</v>
      </c>
      <c r="T22" s="53" t="s">
        <v>229</v>
      </c>
      <c r="U22" s="136">
        <f>U16+U19</f>
        <v>0</v>
      </c>
      <c r="V22" s="90" t="s">
        <v>229</v>
      </c>
      <c r="W22" s="137">
        <f>W16+W19</f>
        <v>0</v>
      </c>
      <c r="X22" s="138" t="s">
        <v>229</v>
      </c>
    </row>
    <row r="23" spans="2:24" ht="14.25" thickBot="1">
      <c r="B23" s="248" t="s">
        <v>238</v>
      </c>
      <c r="C23" s="249"/>
      <c r="D23" s="249"/>
      <c r="E23" s="139" t="e">
        <f>E21/E22</f>
        <v>#DIV/0!</v>
      </c>
      <c r="F23" s="139" t="s">
        <v>239</v>
      </c>
      <c r="G23" s="140" t="e">
        <f>G21/G22</f>
        <v>#DIV/0!</v>
      </c>
      <c r="H23" s="140" t="s">
        <v>239</v>
      </c>
      <c r="I23" s="139" t="e">
        <f>I21/I22</f>
        <v>#DIV/0!</v>
      </c>
      <c r="J23" s="139" t="s">
        <v>232</v>
      </c>
      <c r="K23" s="140" t="e">
        <f>K21/K22</f>
        <v>#DIV/0!</v>
      </c>
      <c r="L23" s="140" t="s">
        <v>239</v>
      </c>
      <c r="M23" s="139" t="e">
        <f>M21/M22</f>
        <v>#DIV/0!</v>
      </c>
      <c r="N23" s="139" t="s">
        <v>239</v>
      </c>
      <c r="O23" s="140" t="e">
        <f>O21/O22</f>
        <v>#DIV/0!</v>
      </c>
      <c r="P23" s="140" t="s">
        <v>239</v>
      </c>
      <c r="Q23" s="139" t="e">
        <f>Q21/Q22</f>
        <v>#DIV/0!</v>
      </c>
      <c r="R23" s="139" t="s">
        <v>239</v>
      </c>
      <c r="S23" s="140" t="e">
        <f>S21/S22</f>
        <v>#DIV/0!</v>
      </c>
      <c r="T23" s="140" t="s">
        <v>240</v>
      </c>
      <c r="U23" s="139" t="e">
        <f>U21/U22</f>
        <v>#DIV/0!</v>
      </c>
      <c r="V23" s="139" t="s">
        <v>232</v>
      </c>
      <c r="W23" s="140" t="e">
        <f>W21/W22</f>
        <v>#DIV/0!</v>
      </c>
      <c r="X23" s="141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S30"/>
  <sheetViews>
    <sheetView workbookViewId="0">
      <selection activeCell="T30" sqref="T30"/>
    </sheetView>
  </sheetViews>
  <sheetFormatPr defaultColWidth="9" defaultRowHeight="12.75"/>
  <cols>
    <col min="1" max="1" width="2.265625" style="2" customWidth="1"/>
    <col min="2" max="2" width="10" style="2" bestFit="1" customWidth="1"/>
    <col min="3" max="9" width="5.59765625" style="2" customWidth="1"/>
    <col min="10" max="11" width="8.59765625" style="2" customWidth="1"/>
    <col min="12" max="12" width="16" style="2" bestFit="1" customWidth="1"/>
    <col min="13" max="13" width="10.59765625" style="2" customWidth="1"/>
    <col min="14" max="15" width="6.59765625" style="2" customWidth="1"/>
    <col min="16" max="17" width="5.59765625" style="2" customWidth="1"/>
    <col min="18" max="18" width="21.73046875" style="2" customWidth="1"/>
  </cols>
  <sheetData>
    <row r="2" spans="2:18" ht="30" customHeight="1">
      <c r="B2" s="176" t="s">
        <v>169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2:18" ht="30" customHeight="1">
      <c r="B3" s="291" t="s">
        <v>145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</row>
    <row r="4" spans="2:18" ht="10.05" customHeight="1"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</row>
    <row r="5" spans="2:18" ht="15.6" customHeight="1">
      <c r="B5" s="3" t="s">
        <v>117</v>
      </c>
      <c r="C5" s="287" t="s">
        <v>135</v>
      </c>
      <c r="D5" s="294" t="s">
        <v>158</v>
      </c>
      <c r="E5" s="295"/>
      <c r="F5" s="294" t="s">
        <v>159</v>
      </c>
      <c r="G5" s="295"/>
      <c r="H5" s="294" t="s">
        <v>160</v>
      </c>
      <c r="I5" s="295"/>
      <c r="J5" s="294" t="s">
        <v>161</v>
      </c>
      <c r="K5" s="295"/>
      <c r="L5" s="298" t="s">
        <v>162</v>
      </c>
      <c r="M5" s="279" t="s">
        <v>163</v>
      </c>
      <c r="N5" s="303" t="s">
        <v>133</v>
      </c>
      <c r="O5" s="295"/>
      <c r="P5" s="303" t="s">
        <v>165</v>
      </c>
      <c r="Q5" s="295"/>
      <c r="R5" s="308" t="s">
        <v>62</v>
      </c>
    </row>
    <row r="6" spans="2:18" ht="15.6" customHeight="1">
      <c r="B6" s="283">
        <v>45992</v>
      </c>
      <c r="C6" s="226"/>
      <c r="D6" s="296"/>
      <c r="E6" s="297"/>
      <c r="F6" s="296"/>
      <c r="G6" s="297"/>
      <c r="H6" s="296"/>
      <c r="I6" s="297"/>
      <c r="J6" s="296"/>
      <c r="K6" s="297"/>
      <c r="L6" s="299"/>
      <c r="M6" s="246"/>
      <c r="N6" s="296"/>
      <c r="O6" s="297"/>
      <c r="P6" s="296"/>
      <c r="Q6" s="297"/>
      <c r="R6" s="195"/>
    </row>
    <row r="7" spans="2:18" ht="13.9">
      <c r="B7" s="276"/>
      <c r="C7" s="265"/>
      <c r="D7" s="273" t="s">
        <v>154</v>
      </c>
      <c r="E7" s="274"/>
      <c r="F7" s="273" t="s">
        <v>155</v>
      </c>
      <c r="G7" s="274"/>
      <c r="H7" s="273" t="s">
        <v>156</v>
      </c>
      <c r="I7" s="274"/>
      <c r="J7" s="273" t="s">
        <v>157</v>
      </c>
      <c r="K7" s="274"/>
      <c r="L7" s="280"/>
      <c r="M7" s="71" t="s">
        <v>164</v>
      </c>
      <c r="N7" s="273" t="s">
        <v>164</v>
      </c>
      <c r="O7" s="274"/>
      <c r="P7" s="273" t="s">
        <v>56</v>
      </c>
      <c r="Q7" s="274"/>
      <c r="R7" s="309"/>
    </row>
    <row r="8" spans="2:18" ht="15.6" customHeight="1">
      <c r="B8" s="277" t="s">
        <v>292</v>
      </c>
      <c r="C8" s="72" t="s">
        <v>143</v>
      </c>
      <c r="D8" s="72">
        <v>0</v>
      </c>
      <c r="E8" s="285">
        <v>0</v>
      </c>
      <c r="F8" s="72">
        <v>0</v>
      </c>
      <c r="G8" s="285">
        <v>0</v>
      </c>
      <c r="H8" s="72"/>
      <c r="I8" s="285">
        <v>310</v>
      </c>
      <c r="J8" s="72">
        <v>83.09999084472656</v>
      </c>
      <c r="K8" s="285">
        <v>26.80645179748535</v>
      </c>
      <c r="L8" s="285" t="s">
        <v>283</v>
      </c>
      <c r="M8" s="142"/>
      <c r="N8" s="142"/>
      <c r="O8" s="304"/>
      <c r="P8" s="142"/>
      <c r="Q8" s="304"/>
      <c r="R8" s="292"/>
    </row>
    <row r="9" spans="2:18" ht="15.6" customHeight="1">
      <c r="B9" s="278"/>
      <c r="C9" s="73" t="s">
        <v>144</v>
      </c>
      <c r="D9" s="73">
        <v>0</v>
      </c>
      <c r="E9" s="286">
        <v>0</v>
      </c>
      <c r="F9" s="73">
        <v>0</v>
      </c>
      <c r="G9" s="286">
        <v>0</v>
      </c>
      <c r="H9" s="73"/>
      <c r="I9" s="288">
        <v>310</v>
      </c>
      <c r="J9" s="73">
        <v>83.09999084472656</v>
      </c>
      <c r="K9" s="288">
        <v>26.80645179748535</v>
      </c>
      <c r="L9" s="288"/>
      <c r="M9" s="143"/>
      <c r="N9" s="143"/>
      <c r="O9" s="305"/>
      <c r="P9" s="143"/>
      <c r="Q9" s="305"/>
      <c r="R9" s="293"/>
    </row>
    <row r="10" spans="2:18" ht="15.6" customHeight="1">
      <c r="B10" s="211" t="s">
        <v>293</v>
      </c>
      <c r="C10" s="35" t="s">
        <v>143</v>
      </c>
      <c r="D10" s="35">
        <v>0</v>
      </c>
      <c r="E10" s="287">
        <v>0</v>
      </c>
      <c r="F10" s="35">
        <v>0</v>
      </c>
      <c r="G10" s="287">
        <v>0</v>
      </c>
      <c r="H10" s="35"/>
      <c r="I10" s="279">
        <v>310</v>
      </c>
      <c r="J10" s="35">
        <v>83.09999084472656</v>
      </c>
      <c r="K10" s="279">
        <v>26.80645179748535</v>
      </c>
      <c r="L10" s="279"/>
      <c r="M10" s="142"/>
      <c r="N10" s="142"/>
      <c r="O10" s="306"/>
      <c r="P10" s="142"/>
      <c r="Q10" s="306"/>
      <c r="R10" s="300"/>
    </row>
    <row r="11" spans="2:18" ht="15.6" customHeight="1">
      <c r="B11" s="284"/>
      <c r="C11" s="8" t="s">
        <v>144</v>
      </c>
      <c r="D11" s="8">
        <v>0</v>
      </c>
      <c r="E11" s="288">
        <v>0</v>
      </c>
      <c r="F11" s="8">
        <v>0</v>
      </c>
      <c r="G11" s="288">
        <v>0</v>
      </c>
      <c r="H11" s="8"/>
      <c r="I11" s="280">
        <v>310</v>
      </c>
      <c r="J11" s="8">
        <v>83.09999084472656</v>
      </c>
      <c r="K11" s="280">
        <v>26.80645179748535</v>
      </c>
      <c r="L11" s="280"/>
      <c r="M11" s="143"/>
      <c r="N11" s="143"/>
      <c r="O11" s="307"/>
      <c r="P11" s="143"/>
      <c r="Q11" s="307"/>
      <c r="R11" s="310"/>
    </row>
    <row r="12" spans="2:18" ht="15.6" customHeight="1">
      <c r="B12" s="277" t="s">
        <v>294</v>
      </c>
      <c r="C12" s="72" t="s">
        <v>143</v>
      </c>
      <c r="D12" s="72">
        <v>0</v>
      </c>
      <c r="E12" s="285">
        <v>0</v>
      </c>
      <c r="F12" s="72">
        <v>0</v>
      </c>
      <c r="G12" s="285">
        <v>0</v>
      </c>
      <c r="H12" s="72"/>
      <c r="I12" s="281">
        <v>310</v>
      </c>
      <c r="J12" s="72">
        <v>83.09999084472656</v>
      </c>
      <c r="K12" s="281">
        <v>26.80645179748535</v>
      </c>
      <c r="L12" s="281"/>
      <c r="M12" s="142"/>
      <c r="N12" s="142"/>
      <c r="O12" s="306"/>
      <c r="P12" s="142"/>
      <c r="Q12" s="306"/>
      <c r="R12" s="300"/>
    </row>
    <row r="13" spans="2:18" ht="15.6" customHeight="1">
      <c r="B13" s="278"/>
      <c r="C13" s="73" t="s">
        <v>144</v>
      </c>
      <c r="D13" s="73">
        <v>0</v>
      </c>
      <c r="E13" s="286">
        <v>0</v>
      </c>
      <c r="F13" s="73">
        <v>0</v>
      </c>
      <c r="G13" s="286">
        <v>0</v>
      </c>
      <c r="H13" s="73"/>
      <c r="I13" s="280">
        <v>310</v>
      </c>
      <c r="J13" s="73">
        <v>83.09999084472656</v>
      </c>
      <c r="K13" s="280">
        <v>26.80645179748535</v>
      </c>
      <c r="L13" s="280"/>
      <c r="M13" s="143"/>
      <c r="N13" s="143"/>
      <c r="O13" s="307"/>
      <c r="P13" s="143"/>
      <c r="Q13" s="307"/>
      <c r="R13" s="310"/>
    </row>
    <row r="14" spans="2:18" ht="15.6" customHeight="1">
      <c r="B14" s="275" t="s">
        <v>295</v>
      </c>
      <c r="C14" s="11" t="s">
        <v>143</v>
      </c>
      <c r="D14" s="11">
        <v>0</v>
      </c>
      <c r="E14" s="282">
        <v>0</v>
      </c>
      <c r="F14" s="11">
        <v>0</v>
      </c>
      <c r="G14" s="282">
        <v>0</v>
      </c>
      <c r="H14" s="11"/>
      <c r="I14" s="279">
        <v>310</v>
      </c>
      <c r="J14" s="11">
        <v>83.09999084472656</v>
      </c>
      <c r="K14" s="279">
        <v>26.80645179748535</v>
      </c>
      <c r="L14" s="279"/>
      <c r="M14" s="144"/>
      <c r="N14" s="144"/>
      <c r="O14" s="306"/>
      <c r="P14" s="144"/>
      <c r="Q14" s="306"/>
      <c r="R14" s="300"/>
    </row>
    <row r="15" spans="2:18" ht="15.6" customHeight="1">
      <c r="B15" s="276"/>
      <c r="C15" s="71" t="s">
        <v>144</v>
      </c>
      <c r="D15" s="71">
        <v>0</v>
      </c>
      <c r="E15" s="265">
        <v>0</v>
      </c>
      <c r="F15" s="71">
        <v>0</v>
      </c>
      <c r="G15" s="265">
        <v>0</v>
      </c>
      <c r="H15" s="71"/>
      <c r="I15" s="299">
        <v>310</v>
      </c>
      <c r="J15" s="71">
        <v>83.09999084472656</v>
      </c>
      <c r="K15" s="299">
        <v>26.80645179748535</v>
      </c>
      <c r="L15" s="299"/>
      <c r="M15" s="145"/>
      <c r="N15" s="145"/>
      <c r="O15" s="312"/>
      <c r="P15" s="145"/>
      <c r="Q15" s="312"/>
      <c r="R15" s="301"/>
    </row>
    <row r="16" spans="2:18" ht="15.6" customHeight="1">
      <c r="B16" s="277" t="s">
        <v>296</v>
      </c>
      <c r="C16" s="72" t="s">
        <v>143</v>
      </c>
      <c r="D16" s="72">
        <v>0</v>
      </c>
      <c r="E16" s="285">
        <v>0</v>
      </c>
      <c r="F16" s="72">
        <v>0</v>
      </c>
      <c r="G16" s="285">
        <v>0</v>
      </c>
      <c r="H16" s="72"/>
      <c r="I16" s="285">
        <v>310</v>
      </c>
      <c r="J16" s="72">
        <v>83.09999084472656</v>
      </c>
      <c r="K16" s="285">
        <v>26.80645179748535</v>
      </c>
      <c r="L16" s="285"/>
      <c r="M16" s="142"/>
      <c r="N16" s="142"/>
      <c r="O16" s="304"/>
      <c r="P16" s="142"/>
      <c r="Q16" s="142"/>
      <c r="R16" s="292"/>
    </row>
    <row r="17" spans="2:18" ht="15.6" customHeight="1">
      <c r="B17" s="278"/>
      <c r="C17" s="73" t="s">
        <v>144</v>
      </c>
      <c r="D17" s="73">
        <v>0</v>
      </c>
      <c r="E17" s="286">
        <v>0</v>
      </c>
      <c r="F17" s="73">
        <v>0</v>
      </c>
      <c r="G17" s="286">
        <v>0</v>
      </c>
      <c r="H17" s="73"/>
      <c r="I17" s="288">
        <v>310</v>
      </c>
      <c r="J17" s="73">
        <v>83.09999084472656</v>
      </c>
      <c r="K17" s="288">
        <v>26.80645179748535</v>
      </c>
      <c r="L17" s="288"/>
      <c r="M17" s="143"/>
      <c r="N17" s="143"/>
      <c r="O17" s="305"/>
      <c r="P17" s="143"/>
      <c r="Q17" s="143"/>
      <c r="R17" s="293"/>
    </row>
    <row r="18" spans="2:18" ht="15.6" customHeight="1">
      <c r="B18" s="275" t="s">
        <v>297</v>
      </c>
      <c r="C18" s="11" t="s">
        <v>143</v>
      </c>
      <c r="D18" s="11">
        <v>0</v>
      </c>
      <c r="E18" s="282">
        <v>0</v>
      </c>
      <c r="F18" s="11">
        <v>0</v>
      </c>
      <c r="G18" s="282">
        <v>0</v>
      </c>
      <c r="H18" s="11"/>
      <c r="I18" s="314">
        <v>310</v>
      </c>
      <c r="J18" s="11">
        <v>83.09999084472656</v>
      </c>
      <c r="K18" s="314">
        <v>26.80645179748535</v>
      </c>
      <c r="L18" s="314"/>
      <c r="M18" s="144"/>
      <c r="N18" s="144"/>
      <c r="O18" s="311"/>
      <c r="P18" s="144"/>
      <c r="Q18" s="311"/>
      <c r="R18" s="302"/>
    </row>
    <row r="19" spans="2:18" ht="15.6" customHeight="1">
      <c r="B19" s="276"/>
      <c r="C19" s="71" t="s">
        <v>144</v>
      </c>
      <c r="D19" s="71">
        <v>0</v>
      </c>
      <c r="E19" s="265">
        <v>0</v>
      </c>
      <c r="F19" s="71">
        <v>0</v>
      </c>
      <c r="G19" s="265">
        <v>0</v>
      </c>
      <c r="H19" s="71"/>
      <c r="I19" s="299">
        <v>310</v>
      </c>
      <c r="J19" s="71">
        <v>83.09999084472656</v>
      </c>
      <c r="K19" s="299">
        <v>26.80645179748535</v>
      </c>
      <c r="L19" s="299"/>
      <c r="M19" s="145"/>
      <c r="N19" s="145"/>
      <c r="O19" s="312"/>
      <c r="P19" s="145"/>
      <c r="Q19" s="312"/>
      <c r="R19" s="301"/>
    </row>
    <row r="20" spans="2:18" ht="15.6" customHeight="1">
      <c r="B20" s="277" t="s">
        <v>298</v>
      </c>
      <c r="C20" s="72" t="s">
        <v>143</v>
      </c>
      <c r="D20" s="72">
        <v>0</v>
      </c>
      <c r="E20" s="285">
        <v>0</v>
      </c>
      <c r="F20" s="72">
        <v>0</v>
      </c>
      <c r="G20" s="285">
        <v>0</v>
      </c>
      <c r="H20" s="72"/>
      <c r="I20" s="285">
        <v>310</v>
      </c>
      <c r="J20" s="72">
        <v>83.09999084472656</v>
      </c>
      <c r="K20" s="285">
        <v>26.80645179748535</v>
      </c>
      <c r="L20" s="285"/>
      <c r="M20" s="142"/>
      <c r="N20" s="142"/>
      <c r="O20" s="304"/>
      <c r="P20" s="142"/>
      <c r="Q20" s="304"/>
      <c r="R20" s="292"/>
    </row>
    <row r="21" spans="2:18" ht="15.6" customHeight="1">
      <c r="B21" s="278"/>
      <c r="C21" s="73" t="s">
        <v>144</v>
      </c>
      <c r="D21" s="73">
        <v>0</v>
      </c>
      <c r="E21" s="286">
        <v>0</v>
      </c>
      <c r="F21" s="73">
        <v>0</v>
      </c>
      <c r="G21" s="286">
        <v>0</v>
      </c>
      <c r="H21" s="73"/>
      <c r="I21" s="288">
        <v>310</v>
      </c>
      <c r="J21" s="73">
        <v>83.09999084472656</v>
      </c>
      <c r="K21" s="288">
        <v>26.80645179748535</v>
      </c>
      <c r="L21" s="288"/>
      <c r="M21" s="143"/>
      <c r="N21" s="143"/>
      <c r="O21" s="305"/>
      <c r="P21" s="143"/>
      <c r="Q21" s="305"/>
      <c r="R21" s="293"/>
    </row>
    <row r="22" spans="2:18" ht="15.6" customHeight="1">
      <c r="M22" s="146"/>
      <c r="N22" s="146"/>
      <c r="O22" s="146"/>
      <c r="P22" s="146"/>
      <c r="Q22" s="146"/>
      <c r="R22" s="146"/>
    </row>
    <row r="23" spans="2:18" ht="15.6" customHeight="1">
      <c r="M23" s="313" t="s">
        <v>284</v>
      </c>
      <c r="N23" s="313"/>
      <c r="O23" s="313"/>
      <c r="P23" s="313"/>
      <c r="Q23" s="313"/>
    </row>
    <row r="24" spans="2:18" ht="15.6" customHeight="1">
      <c r="L24" s="146"/>
      <c r="M24" s="146"/>
      <c r="N24" s="146"/>
      <c r="O24" s="146"/>
      <c r="P24" s="146"/>
      <c r="Q24" s="146"/>
    </row>
    <row r="25" spans="2:18" ht="15.6" customHeight="1"/>
    <row r="26" spans="2:18" ht="15.6" customHeight="1"/>
    <row r="27" spans="2:18" ht="15.6" customHeight="1"/>
    <row r="28" spans="2:18" ht="15.6" customHeight="1"/>
    <row r="29" spans="2:18" ht="15.6" customHeight="1"/>
    <row r="30" spans="2:18" ht="15.6" customHeight="1"/>
  </sheetData>
  <mergeCells count="83">
    <mergeCell ref="M23:Q23"/>
    <mergeCell ref="K20:K21"/>
    <mergeCell ref="I20:I21"/>
    <mergeCell ref="I14:I15"/>
    <mergeCell ref="I18:I19"/>
    <mergeCell ref="I16:I17"/>
    <mergeCell ref="K16:K17"/>
    <mergeCell ref="K14:K15"/>
    <mergeCell ref="K18:K19"/>
    <mergeCell ref="Q14:Q15"/>
    <mergeCell ref="Q18:Q19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O12:O13"/>
    <mergeCell ref="L12:L13"/>
    <mergeCell ref="K12:K13"/>
    <mergeCell ref="R14:R15"/>
    <mergeCell ref="R16:R17"/>
    <mergeCell ref="R18:R19"/>
    <mergeCell ref="R20:R21"/>
    <mergeCell ref="M5:M6"/>
    <mergeCell ref="N5:O6"/>
    <mergeCell ref="N7:O7"/>
    <mergeCell ref="O8:O9"/>
    <mergeCell ref="P5:Q6"/>
    <mergeCell ref="P7:Q7"/>
    <mergeCell ref="Q8:Q9"/>
    <mergeCell ref="Q10:Q11"/>
    <mergeCell ref="Q12:Q13"/>
    <mergeCell ref="R5:R7"/>
    <mergeCell ref="R10:R11"/>
    <mergeCell ref="R12:R13"/>
    <mergeCell ref="B4:R4"/>
    <mergeCell ref="B3:R3"/>
    <mergeCell ref="B2:R2"/>
    <mergeCell ref="R8:R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H5:I6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B20:B21"/>
    <mergeCell ref="B6:B7"/>
    <mergeCell ref="B8:B9"/>
    <mergeCell ref="B10:B11"/>
    <mergeCell ref="B12:B13"/>
    <mergeCell ref="H7:I7"/>
    <mergeCell ref="B14:B15"/>
    <mergeCell ref="B16:B17"/>
    <mergeCell ref="B18:B19"/>
    <mergeCell ref="I10:I11"/>
    <mergeCell ref="I12:I13"/>
    <mergeCell ref="E18:E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宏宇 汪</cp:lastModifiedBy>
  <dcterms:modified xsi:type="dcterms:W3CDTF">2026-03-18T02:25:36Z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