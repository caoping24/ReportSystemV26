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bookViews>
    <workbookView xWindow="-120" yWindow="-16320" windowWidth="29040" windowHeight="15720" tabRatio="967" activeTab="8"/>
  </bookViews>
  <sheets>
    <sheet name="第一页周报" sheetId="1" r:id="rId1"/>
    <sheet name="第二页闪发冷凝液检测" sheetId="2" r:id="rId2"/>
    <sheet name="第三页反应液检测" sheetId="5" r:id="rId3"/>
    <sheet name="第四页产量台账" sheetId="3" r:id="rId4"/>
    <sheet name="第五页一次母液检测" sheetId="6" r:id="rId5"/>
    <sheet name="第六页母液检测" sheetId="7" r:id="rId6"/>
    <sheet name="第七页能耗" sheetId="17" r:id="rId7"/>
    <sheet name="第八页废液检测" sheetId="18" r:id="rId8"/>
    <sheet name="曲线汇总" sheetId="19" r:id="rId9"/>
  </sheets>
  <calcPr calcId="191029"/>
  <extLst>
    <ext uri="{140A7094-0E35-4892-8432-C4D2E57EDEB5}">
      <x15:workbookPr xmlns:x15="http://schemas.microsoft.com/office/spreadsheetml/2010/11/main" chartTrackingRefBase="1"/>
    </ext>
  </extLst>
</workbook>
</file>

<file path=xl/calcChain.xml><?xml version="1.0" encoding="utf-8"?>
<calcChain xmlns="http://schemas.openxmlformats.org/spreadsheetml/2006/main">
  <c r="G12" i="3" l="1"/>
  <c r="H12" i="3"/>
  <c r="M12" i="3"/>
  <c r="H13" i="3"/>
  <c r="H14" i="3"/>
  <c r="G15" i="3"/>
  <c r="H15" i="3"/>
  <c r="M15" i="3"/>
  <c r="H16" i="3"/>
  <c r="H17" i="3"/>
  <c r="G6" i="3"/>
  <c r="H6" i="3"/>
  <c r="M6" i="3"/>
  <c r="H7" i="3"/>
  <c r="H8" i="3"/>
  <c r="G9" i="3"/>
  <c r="H9" i="3"/>
  <c r="M9" i="3"/>
  <c r="H10" i="3"/>
  <c r="H11" i="3"/>
  <c r="G18" i="3"/>
  <c r="H18" i="3"/>
  <c r="M18" i="3"/>
  <c r="H19" i="3"/>
  <c r="H20" i="3"/>
  <c r="G21" i="3"/>
  <c r="H21" i="3"/>
  <c r="I21" i="3"/>
  <c r="M21" i="3"/>
  <c r="H22" i="3"/>
  <c r="H23" i="3"/>
  <c r="G24" i="3"/>
  <c r="H24" i="3"/>
  <c r="M24" i="3"/>
  <c r="N27" i="3" s="1"/>
  <c r="H25" i="3"/>
  <c r="H26" i="3"/>
  <c r="G27" i="3"/>
  <c r="H27" i="3"/>
  <c r="M27" i="3"/>
  <c r="H28" i="3"/>
  <c r="H29" i="3"/>
  <c r="G30" i="3"/>
  <c r="H30" i="3"/>
  <c r="M30" i="3"/>
  <c r="N33" i="3" s="1"/>
  <c r="H31" i="3"/>
  <c r="H32" i="3"/>
  <c r="G33" i="3"/>
  <c r="H33" i="3"/>
  <c r="M33" i="3"/>
  <c r="H34" i="3"/>
  <c r="H35" i="3"/>
  <c r="G36" i="3"/>
  <c r="H36" i="3"/>
  <c r="M36" i="3"/>
  <c r="N39" i="3"/>
  <c r="H37" i="3"/>
  <c r="I36" i="3" s="1"/>
  <c r="H38" i="3"/>
  <c r="G39" i="3"/>
  <c r="H39" i="3"/>
  <c r="M39" i="3"/>
  <c r="H40" i="3"/>
  <c r="H41" i="3"/>
  <c r="G42" i="3"/>
  <c r="H42" i="3"/>
  <c r="M42" i="3"/>
  <c r="N45" i="3"/>
  <c r="H43" i="3"/>
  <c r="I42" i="3" s="1"/>
  <c r="H44" i="3"/>
  <c r="G45" i="3"/>
  <c r="H45" i="3"/>
  <c r="M45" i="3"/>
  <c r="H46" i="3"/>
  <c r="H47" i="3"/>
  <c r="H32" i="1"/>
  <c r="H31" i="1"/>
  <c r="H30" i="1"/>
  <c r="H29" i="1"/>
  <c r="H28" i="1"/>
  <c r="H27" i="1"/>
  <c r="H26" i="1"/>
  <c r="H25" i="1"/>
  <c r="H19" i="1"/>
  <c r="H18" i="1"/>
  <c r="H17" i="1"/>
  <c r="H16" i="1"/>
  <c r="H15" i="1"/>
  <c r="H14" i="1"/>
  <c r="H13" i="1"/>
  <c r="H12" i="1"/>
  <c r="H10" i="1"/>
  <c r="H9" i="1"/>
  <c r="H8" i="1"/>
  <c r="H7" i="1"/>
  <c r="H6" i="1"/>
  <c r="H5" i="1"/>
  <c r="N21" i="3" l="1"/>
  <c r="N15" i="3"/>
  <c r="O21" i="3"/>
  <c r="O36" i="3"/>
  <c r="J36" i="3"/>
  <c r="O42" i="3"/>
  <c r="J42" i="3"/>
  <c r="I12" i="3"/>
  <c r="I27" i="3"/>
  <c r="O27" i="3" s="1"/>
  <c r="I18" i="3"/>
  <c r="O18" i="3" s="1"/>
  <c r="I33" i="3"/>
  <c r="O33" i="3" s="1"/>
  <c r="I30" i="3"/>
  <c r="I15" i="3"/>
  <c r="O15" i="3" s="1"/>
  <c r="I24" i="3"/>
  <c r="J24" i="3" s="1"/>
  <c r="J27" i="3" s="1"/>
  <c r="I39" i="3"/>
  <c r="O39" i="3" s="1"/>
  <c r="I45" i="3"/>
  <c r="O45" i="3" s="1"/>
  <c r="O12" i="3"/>
  <c r="J12" i="3"/>
  <c r="J15" i="3" s="1"/>
  <c r="Q12" i="3"/>
  <c r="N9" i="3"/>
  <c r="I9" i="3"/>
  <c r="O9" i="3" s="1"/>
  <c r="I6" i="3"/>
  <c r="O6" i="3" s="1"/>
  <c r="O30" i="3"/>
  <c r="J30" i="3"/>
  <c r="J33" i="3" s="1"/>
  <c r="J18" i="3" l="1"/>
  <c r="J21" i="3" s="1"/>
  <c r="J45" i="3"/>
  <c r="O24" i="3"/>
  <c r="J39" i="3"/>
  <c r="Q6" i="3"/>
  <c r="J6" i="3"/>
  <c r="J9" i="3" s="1"/>
  <c r="Q42" i="3"/>
  <c r="Q36" i="3"/>
  <c r="Q30" i="3"/>
  <c r="Q24" i="3"/>
  <c r="Q18" i="3" l="1"/>
</calcChain>
</file>

<file path=xl/sharedStrings.xml><?xml version="1.0" encoding="utf-8"?>
<sst xmlns="http://schemas.openxmlformats.org/spreadsheetml/2006/main" count="513" uniqueCount="142">
  <si>
    <t xml:space="preserve">/</t>
    <phoneticPr fontId="1" type="noConversion"/>
  </si>
  <si>
    <t xml:space="preserve">℃</t>
    <phoneticPr fontId="1" type="noConversion"/>
  </si>
  <si>
    <t xml:space="preserve">Mpa</t>
    <phoneticPr fontId="1" type="noConversion"/>
  </si>
  <si>
    <t xml:space="preserve">项目</t>
    <phoneticPr fontId="1" type="noConversion"/>
  </si>
  <si>
    <t xml:space="preserve">二乙腈含量</t>
    <phoneticPr fontId="1" type="noConversion"/>
  </si>
  <si>
    <t xml:space="preserve">pH值</t>
    <phoneticPr fontId="1" type="noConversion"/>
  </si>
  <si>
    <t xml:space="preserve">mg/L</t>
    <phoneticPr fontId="1" type="noConversion"/>
  </si>
  <si>
    <t xml:space="preserve">COD</t>
    <phoneticPr fontId="1" type="noConversion"/>
  </si>
  <si>
    <t xml:space="preserve">单位</t>
    <phoneticPr fontId="1" type="noConversion"/>
  </si>
  <si>
    <t xml:space="preserve">TCN/总腈</t>
    <phoneticPr fontId="1" type="noConversion"/>
  </si>
  <si>
    <t xml:space="preserve">NH3-N/氨氮</t>
    <phoneticPr fontId="1" type="noConversion"/>
  </si>
  <si>
    <t xml:space="preserve">HCHO/甲醛</t>
    <phoneticPr fontId="1" type="noConversion"/>
  </si>
  <si>
    <t xml:space="preserve">pH</t>
    <phoneticPr fontId="1" type="noConversion"/>
  </si>
  <si>
    <t xml:space="preserve">%</t>
    <phoneticPr fontId="1" type="noConversion"/>
  </si>
  <si>
    <t xml:space="preserve">备注</t>
    <phoneticPr fontId="1" type="noConversion"/>
  </si>
  <si>
    <t xml:space="preserve">g/L</t>
    <phoneticPr fontId="1" type="noConversion"/>
  </si>
  <si>
    <t xml:space="preserve">m3</t>
    <phoneticPr fontId="1" type="noConversion"/>
  </si>
  <si>
    <t xml:space="preserve">kg/t</t>
    <phoneticPr fontId="1" type="noConversion"/>
  </si>
  <si>
    <t xml:space="preserve">透光率</t>
    <phoneticPr fontId="1" type="noConversion"/>
  </si>
  <si>
    <t xml:space="preserve">日期</t>
    <phoneticPr fontId="1" type="noConversion"/>
  </si>
  <si>
    <t xml:space="preserve">羟基乙腈</t>
    <phoneticPr fontId="1" type="noConversion"/>
  </si>
  <si>
    <t xml:space="preserve">二乙腈</t>
    <phoneticPr fontId="1" type="noConversion"/>
  </si>
  <si>
    <t xml:space="preserve">收率</t>
    <phoneticPr fontId="1" type="noConversion"/>
  </si>
  <si>
    <t xml:space="preserve">产量</t>
    <phoneticPr fontId="1" type="noConversion"/>
  </si>
  <si>
    <t xml:space="preserve">kg</t>
    <phoneticPr fontId="1" type="noConversion"/>
  </si>
  <si>
    <t xml:space="preserve">%</t>
  </si>
  <si>
    <t xml:space="preserve">四、废液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</si>
  <si>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</si>
  <si>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</si>
  <si>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二、原料消耗</t>
    <phoneticPr fontId="1" type="noConversion"/>
  </si>
  <si>
    <t xml:space="preserve">合格</t>
    <phoneticPr fontId="1" type="noConversion"/>
  </si>
  <si>
    <t xml:space="preserve">三、工艺指标</t>
    <phoneticPr fontId="1" type="noConversion"/>
  </si>
  <si>
    <t xml:space="preserve">配料单元</t>
    <phoneticPr fontId="1" type="noConversion"/>
  </si>
  <si>
    <t xml:space="preserve">反应单元</t>
    <phoneticPr fontId="1" type="noConversion"/>
  </si>
  <si>
    <t xml:space="preserve">氨腈摩尔比</t>
    <phoneticPr fontId="1" type="noConversion"/>
  </si>
  <si>
    <t xml:space="preserve">结晶单元</t>
    <phoneticPr fontId="1" type="noConversion"/>
  </si>
  <si>
    <t xml:space="preserve">≤20</t>
    <phoneticPr fontId="1" type="noConversion"/>
  </si>
  <si>
    <t xml:space="preserve">反应液组成</t>
    <phoneticPr fontId="1" type="noConversion"/>
  </si>
  <si>
    <t xml:space="preserve">羟基乙腈残余</t>
    <phoneticPr fontId="1" type="noConversion"/>
  </si>
  <si>
    <t xml:space="preserve">废液组成</t>
    <phoneticPr fontId="1" type="noConversion"/>
  </si>
  <si>
    <t xml:space="preserve">一、产品</t>
    <phoneticPr fontId="1" type="noConversion"/>
  </si>
  <si>
    <t xml:space="preserve">羟基消耗</t>
  </si>
  <si>
    <t xml:space="preserve">氨消耗</t>
    <phoneticPr fontId="1" type="noConversion"/>
  </si>
  <si>
    <t xml:space="preserve">硫酸消耗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</si>
  <si>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</si>
  <si>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</si>
  <si>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--</t>
    <phoneticPr fontId="1" type="noConversion"/>
  </si>
  <si>
    <t xml:space="preserve">反应时间</t>
    <phoneticPr fontId="1" type="noConversion"/>
  </si>
  <si>
    <t xml:space="preserve">s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</si>
  <si>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</si>
  <si>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</si>
  <si>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其它</t>
    <phoneticPr fontId="1" type="noConversion"/>
  </si>
  <si>
    <t xml:space="preserve">水分</t>
    <phoneticPr fontId="1" type="noConversion"/>
  </si>
  <si>
    <t xml:space="preserve">硫铵</t>
    <phoneticPr fontId="1" type="noConversion"/>
  </si>
  <si>
    <t xml:space="preserve">m³/t</t>
    <phoneticPr fontId="1" type="noConversion"/>
  </si>
  <si>
    <t xml:space="preserve">废液排放</t>
    <phoneticPr fontId="1" type="noConversion"/>
  </si>
  <si>
    <t xml:space="preserve">羟基加热温度</t>
    <phoneticPr fontId="1" type="noConversion"/>
  </si>
  <si>
    <t xml:space="preserve">氨汽混合温度</t>
  </si>
  <si>
    <t xml:space="preserve">管反热点温度</t>
  </si>
  <si>
    <t xml:space="preserve">预冷器结晶温度</t>
  </si>
  <si>
    <t xml:space="preserve">一次结晶温度</t>
  </si>
  <si>
    <t xml:space="preserve">降膜蒸发温度</t>
  </si>
  <si>
    <t xml:space="preserve">二次结晶温度</t>
  </si>
  <si>
    <t xml:space="preserve">反应压力</t>
    <phoneticPr fontId="1" type="noConversion"/>
  </si>
  <si>
    <t xml:space="preserve">评价</t>
    <phoneticPr fontId="1" type="noConversion"/>
  </si>
  <si>
    <t xml:space="preserve">单位产品排放量</t>
    <phoneticPr fontId="1" type="noConversion"/>
  </si>
  <si>
    <t xml:space="preserve">二乙睛中试车间周报</t>
    <phoneticPr fontId="1" type="noConversion"/>
  </si>
  <si>
    <t xml:space="preserve">五、其他</t>
    <phoneticPr fontId="1" type="noConversion"/>
  </si>
  <si>
    <t xml:space="preserve">/</t>
  </si>
  <si>
    <t xml:space="preserve">星期一</t>
    <phoneticPr fontId="1" type="noConversion"/>
  </si>
  <si>
    <t xml:space="preserve">星期二</t>
  </si>
  <si>
    <t xml:space="preserve">星期三</t>
  </si>
  <si>
    <t xml:space="preserve">星期四</t>
  </si>
  <si>
    <t xml:space="preserve">星期五</t>
  </si>
  <si>
    <t xml:space="preserve">星期六</t>
  </si>
  <si>
    <t xml:space="preserve">星期日</t>
  </si>
  <si>
    <t xml:space="preserve">统计每日平均值</t>
    <phoneticPr fontId="1" type="noConversion"/>
  </si>
  <si>
    <t xml:space="preserve">闪发器冷凝液检测数据</t>
    <phoneticPr fontId="1" type="noConversion"/>
  </si>
  <si>
    <t xml:space="preserve">反应液检测数据</t>
    <phoneticPr fontId="1" type="noConversion"/>
  </si>
  <si>
    <t xml:space="preserve">g/L</t>
  </si>
  <si>
    <t xml:space="preserve">化分（%）</t>
    <phoneticPr fontId="1" type="noConversion"/>
  </si>
  <si>
    <t xml:space="preserve">色谱（%）</t>
    <phoneticPr fontId="1" type="noConversion"/>
  </si>
  <si>
    <t xml:space="preserve">折百产量(Kg)</t>
    <phoneticPr fontId="1" type="noConversion"/>
  </si>
  <si>
    <t xml:space="preserve">羟基含量</t>
    <phoneticPr fontId="1" type="noConversion"/>
  </si>
  <si>
    <t xml:space="preserve">羟基折百</t>
    <phoneticPr fontId="1" type="noConversion"/>
  </si>
  <si>
    <t xml:space="preserve">羟基累计(t)</t>
    <phoneticPr fontId="1" type="noConversion"/>
  </si>
  <si>
    <t xml:space="preserve">收率(%)班</t>
    <phoneticPr fontId="1" type="noConversion"/>
  </si>
  <si>
    <t xml:space="preserve">总收率天%</t>
    <phoneticPr fontId="1" type="noConversion"/>
  </si>
  <si>
    <t xml:space="preserve">分类</t>
    <phoneticPr fontId="1" type="noConversion"/>
  </si>
  <si>
    <t xml:space="preserve">一次母液液检测数据</t>
    <phoneticPr fontId="1" type="noConversion"/>
  </si>
  <si>
    <t xml:space="preserve">硫铵</t>
  </si>
  <si>
    <t xml:space="preserve">母液脱色前检测数据</t>
    <phoneticPr fontId="1" type="noConversion"/>
  </si>
  <si>
    <t xml:space="preserve">活性炭消耗</t>
  </si>
  <si>
    <t xml:space="preserve">抄表(t)</t>
    <phoneticPr fontId="1" type="noConversion"/>
  </si>
  <si>
    <t xml:space="preserve">抄表(KWh)</t>
    <phoneticPr fontId="1" type="noConversion"/>
  </si>
  <si>
    <t xml:space="preserve">低压蒸汽消耗</t>
    <phoneticPr fontId="1" type="noConversion"/>
  </si>
  <si>
    <t xml:space="preserve">中压蒸汽消耗</t>
    <phoneticPr fontId="1" type="noConversion"/>
  </si>
  <si>
    <t xml:space="preserve">产量台账</t>
    <phoneticPr fontId="1" type="noConversion"/>
  </si>
  <si>
    <t xml:space="preserve">一次结晶</t>
    <phoneticPr fontId="7" type="noConversion"/>
  </si>
  <si>
    <t xml:space="preserve">二次结晶</t>
    <phoneticPr fontId="7" type="noConversion"/>
  </si>
  <si>
    <t xml:space="preserve">折百总累计</t>
    <phoneticPr fontId="1" type="noConversion"/>
  </si>
  <si>
    <t xml:space="preserve">折百累计</t>
    <phoneticPr fontId="1" type="noConversion"/>
  </si>
  <si>
    <t xml:space="preserve">含量</t>
    <phoneticPr fontId="1" type="noConversion"/>
  </si>
  <si>
    <t xml:space="preserve">Kg</t>
    <phoneticPr fontId="1" type="noConversion"/>
  </si>
  <si>
    <t xml:space="preserve">%(化分)</t>
    <phoneticPr fontId="1" type="noConversion"/>
  </si>
  <si>
    <t xml:space="preserve">%(色谱)</t>
    <phoneticPr fontId="1" type="noConversion"/>
  </si>
  <si>
    <t xml:space="preserve">累计</t>
    <phoneticPr fontId="1" type="noConversion"/>
  </si>
  <si>
    <t xml:space="preserve">羟基用量</t>
    <phoneticPr fontId="1" type="noConversion"/>
  </si>
  <si>
    <t xml:space="preserve">电消耗</t>
    <phoneticPr fontId="1" type="noConversion"/>
  </si>
  <si>
    <t xml:space="preserve">≤1427</t>
    <phoneticPr fontId="1" type="noConversion"/>
  </si>
  <si>
    <t xml:space="preserve">215±5</t>
  </si>
  <si>
    <t xml:space="preserve">200±10</t>
  </si>
  <si>
    <t xml:space="preserve">417±5</t>
  </si>
  <si>
    <t xml:space="preserve">(0.530±0.005):1</t>
  </si>
  <si>
    <t xml:space="preserve">0.75±0.05</t>
  </si>
  <si>
    <t xml:space="preserve">90±2</t>
  </si>
  <si>
    <t xml:space="preserve">145±2</t>
  </si>
  <si>
    <t xml:space="preserve">168±2</t>
  </si>
  <si>
    <t xml:space="preserve">≤45</t>
    <phoneticPr fontId="1" type="noConversion"/>
  </si>
  <si>
    <t xml:space="preserve">48±2</t>
  </si>
  <si>
    <t xml:space="preserve">≤20</t>
  </si>
  <si>
    <t xml:space="preserve">≤0.38</t>
  </si>
  <si>
    <t xml:space="preserve">总产量</t>
    <phoneticPr fontId="1" type="noConversion"/>
  </si>
  <si>
    <t xml:space="preserve">总折百产量</t>
    <phoneticPr fontId="1" type="noConversion"/>
  </si>
  <si>
    <t xml:space="preserve">母液检测数据</t>
    <phoneticPr fontId="1" type="noConversion"/>
  </si>
  <si>
    <t xml:space="preserve">废液检测数据</t>
    <phoneticPr fontId="1" type="noConversion"/>
  </si>
  <si>
    <t xml:space="preserve">羟基乙腈</t>
  </si>
  <si>
    <t xml:space="preserve">二乙睛</t>
    <phoneticPr fontId="1" type="noConversion"/>
  </si>
  <si>
    <t xml:space="preserve">甘胺睛</t>
    <phoneticPr fontId="1" type="noConversion"/>
  </si>
  <si>
    <t xml:space="preserve">三乙睛</t>
    <phoneticPr fontId="1" type="noConversion"/>
  </si>
  <si>
    <t xml:space="preserve">其他</t>
    <phoneticPr fontId="1" type="noConversion"/>
  </si>
  <si>
    <t xml:space="preserve">废液检测</t>
    <phoneticPr fontId="1" type="noConversion"/>
  </si>
  <si>
    <t xml:space="preserve">星期一</t>
  </si>
  <si>
    <t xml:space="preserve">序号</t>
    <phoneticPr fontId="1" type="noConversion"/>
  </si>
  <si>
    <t xml:space="preserve">2026-03-30</t>
  </si>
  <si>
    <t xml:space="preserve">2026年14周</t>
  </si>
  <si>
    <t xml:space="preserve">2026-03-31</t>
  </si>
  <si>
    <t xml:space="preserve">2026-04-01</t>
  </si>
  <si>
    <t xml:space="preserve">2026-04-02</t>
  </si>
  <si>
    <t xml:space="preserve">2026-04-03</t>
  </si>
  <si>
    <t xml:space="preserve">2026-04-04</t>
  </si>
  <si>
    <t xml:space="preserve">2026-04-05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</si>
</sst>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_);[Red]\(0.00\)"/>
    <numFmt numFmtId="178" formatCode="0.0_ "/>
    <numFmt numFmtId="179" formatCode="0.000_ 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仿宋"/>
      <family val="3"/>
      <charset val="134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9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0"/>
      <name val="仿宋"/>
      <family val="3"/>
      <charset val="134"/>
    </font>
    <font>
      <b/>
      <sz val="11"/>
      <name val="仿宋"/>
      <family val="3"/>
      <charset val="134"/>
    </font>
    <font>
      <sz val="11"/>
      <color theme="1"/>
      <name val="仿宋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6" fillId="4" borderId="12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right" vertical="center"/>
    </xf>
    <xf numFmtId="0" fontId="3" fillId="0" borderId="19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9" fontId="8" fillId="0" borderId="5" xfId="0" applyNumberFormat="1" applyFont="1" applyBorder="1" applyAlignment="1">
      <alignment horizontal="center" vertical="center"/>
    </xf>
    <xf numFmtId="179" fontId="4" fillId="0" borderId="5" xfId="0" quotePrefix="1" applyNumberFormat="1" applyFont="1" applyBorder="1" applyAlignment="1">
      <alignment horizontal="center" vertical="center"/>
    </xf>
    <xf numFmtId="179" fontId="8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9" fontId="4" fillId="2" borderId="5" xfId="0" applyNumberFormat="1" applyFont="1" applyFill="1" applyBorder="1" applyAlignment="1">
      <alignment horizontal="center" vertical="center"/>
    </xf>
    <xf numFmtId="17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177" fontId="4" fillId="2" borderId="5" xfId="0" applyNumberFormat="1" applyFont="1" applyFill="1" applyBorder="1" applyAlignment="1">
      <alignment vertical="center"/>
    </xf>
    <xf numFmtId="176" fontId="4" fillId="2" borderId="5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7" fontId="4" fillId="0" borderId="5" xfId="0" applyNumberFormat="1" applyFont="1" applyBorder="1" applyAlignment="1">
      <alignment vertical="center"/>
    </xf>
    <xf numFmtId="176" fontId="4" fillId="0" borderId="5" xfId="0" applyNumberFormat="1" applyFont="1" applyBorder="1" applyAlignment="1">
      <alignment horizontal="center" vertical="center"/>
    </xf>
    <xf numFmtId="179" fontId="3" fillId="0" borderId="5" xfId="0" applyNumberFormat="1" applyFont="1" applyBorder="1" applyAlignment="1">
      <alignment horizontal="center" vertical="center"/>
    </xf>
    <xf numFmtId="179" fontId="3" fillId="0" borderId="8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179" fontId="11" fillId="2" borderId="5" xfId="0" applyNumberFormat="1" applyFont="1" applyFill="1" applyBorder="1" applyAlignment="1">
      <alignment horizontal="center" vertical="center"/>
    </xf>
    <xf numFmtId="179" fontId="1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176" fontId="4" fillId="0" borderId="36" xfId="0" applyNumberFormat="1" applyFont="1" applyBorder="1" applyAlignment="1">
      <alignment horizontal="center" vertical="center"/>
    </xf>
    <xf numFmtId="176" fontId="4" fillId="0" borderId="31" xfId="0" applyNumberFormat="1" applyFont="1" applyBorder="1" applyAlignment="1">
      <alignment horizontal="center" vertical="center"/>
    </xf>
    <xf numFmtId="176" fontId="4" fillId="2" borderId="8" xfId="0" applyNumberFormat="1" applyFont="1" applyFill="1" applyBorder="1" applyAlignment="1">
      <alignment horizontal="center" vertical="center"/>
    </xf>
    <xf numFmtId="176" fontId="4" fillId="2" borderId="36" xfId="0" applyNumberFormat="1" applyFont="1" applyFill="1" applyBorder="1" applyAlignment="1">
      <alignment horizontal="center" vertical="center"/>
    </xf>
    <xf numFmtId="176" fontId="4" fillId="2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36" xfId="0" applyFont="1" applyBorder="1" applyAlignment="1">
      <alignment horizontal="center" vertical="center"/>
    </xf>
    <xf numFmtId="178" fontId="4" fillId="2" borderId="8" xfId="0" applyNumberFormat="1" applyFont="1" applyFill="1" applyBorder="1" applyAlignment="1">
      <alignment horizontal="center" vertical="center"/>
    </xf>
    <xf numFmtId="178" fontId="4" fillId="2" borderId="36" xfId="0" applyNumberFormat="1" applyFont="1" applyFill="1" applyBorder="1" applyAlignment="1">
      <alignment horizontal="center" vertical="center"/>
    </xf>
    <xf numFmtId="178" fontId="4" fillId="2" borderId="31" xfId="0" applyNumberFormat="1" applyFont="1" applyFill="1" applyBorder="1" applyAlignment="1">
      <alignment horizontal="center" vertical="center"/>
    </xf>
    <xf numFmtId="178" fontId="4" fillId="0" borderId="8" xfId="0" applyNumberFormat="1" applyFont="1" applyBorder="1" applyAlignment="1">
      <alignment horizontal="center" vertical="center"/>
    </xf>
    <xf numFmtId="178" fontId="4" fillId="0" borderId="36" xfId="0" applyNumberFormat="1" applyFont="1" applyBorder="1" applyAlignment="1">
      <alignment horizontal="center" vertical="center"/>
    </xf>
    <xf numFmtId="178" fontId="4" fillId="0" borderId="31" xfId="0" applyNumberFormat="1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2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11" fillId="0" borderId="33" xfId="0" applyFont="1" applyBorder="1" applyAlignment="1">
      <alignment horizontal="left" vertical="top"/>
    </xf>
    <xf numFmtId="0" fontId="11" fillId="0" borderId="34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1" fillId="0" borderId="35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</cellXfs>
  <cellStyles count="1">
    <cellStyle name="常规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3" Type="http://schemas.openxmlformats.org/officeDocument/2006/relationships/calcChain" Target="calcChain.xml" /><Relationship Id="rId14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>
            <a:defRPr sz="1400" b="0" i="0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曲线汇总!$C$4:$C$10</c:f>
              <c:strCache>
                <c:ptCount val="7"/>
                <c:pt idx="0">
                  <c:v>星期五</c:v>
                </c:pt>
                <c:pt idx="1">
                  <c:v>星期六</c:v>
                </c:pt>
                <c:pt idx="2">
                  <c:v>星期日</c:v>
                </c:pt>
                <c:pt idx="3">
                  <c:v>星期一</c:v>
                </c:pt>
                <c:pt idx="4">
                  <c:v>星期二</c:v>
                </c:pt>
                <c:pt idx="5">
                  <c:v>星期三</c:v>
                </c:pt>
                <c:pt idx="6">
                  <c:v>星期四</c:v>
                </c:pt>
              </c:strCache>
            </c:strRef>
          </c:cat>
          <c:val>
            <c:numRef>
              <c:f>曲线汇总!$D$4:$D$10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386888"/>
        <c:axId val="797384728"/>
      </c:lineChart>
      <c:valAx>
        <c:axId val="79738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>
            <a:defRPr sz="1400" b="0" i="0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曲线汇总!$C$54:$C$60</c:f>
              <c:strCache>
                <c:ptCount val="7"/>
                <c:pt idx="0">
                  <c:v>星期五</c:v>
                </c:pt>
                <c:pt idx="1">
                  <c:v>星期六</c:v>
                </c:pt>
                <c:pt idx="2">
                  <c:v>星期日</c:v>
                </c:pt>
                <c:pt idx="3">
                  <c:v>星期一</c:v>
                </c:pt>
                <c:pt idx="4">
                  <c:v>星期二</c:v>
                </c:pt>
                <c:pt idx="5">
                  <c:v>星期三</c:v>
                </c:pt>
                <c:pt idx="6">
                  <c:v>星期四</c:v>
                </c:pt>
              </c:strCache>
            </c:strRef>
          </c:cat>
          <c:val>
            <c:numRef>
              <c:f>曲线汇总!$D$54:$D$60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534-4E5A-B24F-135EA7946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386888"/>
        <c:axId val="797384728"/>
      </c:lineChart>
      <c:valAx>
        <c:axId val="79738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>
            <a:defRPr sz="1400" b="0" i="0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曲线汇总!$C$104:$C$110</c:f>
              <c:strCache>
                <c:ptCount val="7"/>
                <c:pt idx="0">
                  <c:v>星期五</c:v>
                </c:pt>
                <c:pt idx="1">
                  <c:v>星期六</c:v>
                </c:pt>
                <c:pt idx="2">
                  <c:v>星期日</c:v>
                </c:pt>
                <c:pt idx="3">
                  <c:v>星期一</c:v>
                </c:pt>
                <c:pt idx="4">
                  <c:v>星期二</c:v>
                </c:pt>
                <c:pt idx="5">
                  <c:v>星期三</c:v>
                </c:pt>
                <c:pt idx="6">
                  <c:v>星期四</c:v>
                </c:pt>
              </c:strCache>
            </c:strRef>
          </c:cat>
          <c:val>
            <c:numRef>
              <c:f>曲线汇总!$D$104:$D$110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D16-4EC9-9EFD-208CB1F81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386888"/>
        <c:axId val="797384728"/>
      </c:lineChart>
      <c:valAx>
        <c:axId val="79738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>
            <a:defRPr sz="1400" b="0" i="0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曲线汇总!$C$154:$C$160</c:f>
              <c:strCache>
                <c:ptCount val="7"/>
                <c:pt idx="0">
                  <c:v>星期五</c:v>
                </c:pt>
                <c:pt idx="1">
                  <c:v>星期六</c:v>
                </c:pt>
                <c:pt idx="2">
                  <c:v>星期日</c:v>
                </c:pt>
                <c:pt idx="3">
                  <c:v>星期一</c:v>
                </c:pt>
                <c:pt idx="4">
                  <c:v>星期二</c:v>
                </c:pt>
                <c:pt idx="5">
                  <c:v>星期三</c:v>
                </c:pt>
                <c:pt idx="6">
                  <c:v>星期四</c:v>
                </c:pt>
              </c:strCache>
            </c:strRef>
          </c:cat>
          <c:val>
            <c:numRef>
              <c:f>曲线汇总!$D$154:$D$160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C92-4722-919D-96F5F6A8C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386888"/>
        <c:axId val="797384728"/>
      </c:lineChart>
      <c:valAx>
        <c:axId val="79738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>
            <a:defRPr sz="1400" b="0" i="0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曲线汇总!$C$204:$C$210</c:f>
              <c:strCache>
                <c:ptCount val="7"/>
                <c:pt idx="0">
                  <c:v>星期五</c:v>
                </c:pt>
                <c:pt idx="1">
                  <c:v>星期六</c:v>
                </c:pt>
                <c:pt idx="2">
                  <c:v>星期日</c:v>
                </c:pt>
                <c:pt idx="3">
                  <c:v>星期一</c:v>
                </c:pt>
                <c:pt idx="4">
                  <c:v>星期二</c:v>
                </c:pt>
                <c:pt idx="5">
                  <c:v>星期三</c:v>
                </c:pt>
                <c:pt idx="6">
                  <c:v>星期四</c:v>
                </c:pt>
              </c:strCache>
            </c:strRef>
          </c:cat>
          <c:val>
            <c:numRef>
              <c:f>曲线汇总!$D$204:$D$210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9C5-4ED8-9087-055E427AE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386888"/>
        <c:axId val="797384728"/>
      </c:lineChart>
      <c:valAx>
        <c:axId val="79738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>
            <a:defRPr sz="1400" b="0" i="0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曲线汇总!$C$254:$C$260</c:f>
              <c:strCache>
                <c:ptCount val="7"/>
                <c:pt idx="0">
                  <c:v>星期五</c:v>
                </c:pt>
                <c:pt idx="1">
                  <c:v>星期六</c:v>
                </c:pt>
                <c:pt idx="2">
                  <c:v>星期日</c:v>
                </c:pt>
                <c:pt idx="3">
                  <c:v>星期一</c:v>
                </c:pt>
                <c:pt idx="4">
                  <c:v>星期二</c:v>
                </c:pt>
                <c:pt idx="5">
                  <c:v>星期三</c:v>
                </c:pt>
                <c:pt idx="6">
                  <c:v>星期四</c:v>
                </c:pt>
              </c:strCache>
            </c:strRef>
          </c:cat>
          <c:val>
            <c:numRef>
              <c:f>曲线汇总!$D$254:$D$260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64A-44A8-B49B-CF01AB99C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386888"/>
        <c:axId val="797384728"/>
      </c:lineChart>
      <c:valAx>
        <c:axId val="79738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>
            <a:defRPr sz="1400" b="0" i="0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曲线汇总!$C$304:$C$310</c:f>
              <c:strCache>
                <c:ptCount val="7"/>
                <c:pt idx="0">
                  <c:v>星期五</c:v>
                </c:pt>
                <c:pt idx="1">
                  <c:v>星期六</c:v>
                </c:pt>
                <c:pt idx="2">
                  <c:v>星期日</c:v>
                </c:pt>
                <c:pt idx="3">
                  <c:v>星期一</c:v>
                </c:pt>
                <c:pt idx="4">
                  <c:v>星期二</c:v>
                </c:pt>
                <c:pt idx="5">
                  <c:v>星期三</c:v>
                </c:pt>
                <c:pt idx="6">
                  <c:v>星期四</c:v>
                </c:pt>
              </c:strCache>
            </c:strRef>
          </c:cat>
          <c:val>
            <c:numRef>
              <c:f>曲线汇总!$D$304:$D$310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4F2-41B8-8905-EF65E9023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386888"/>
        <c:axId val="797384728"/>
      </c:lineChart>
      <c:valAx>
        <c:axId val="79738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>
            <a:defRPr sz="1400" b="0" i="0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曲线汇总!$C$354:$C$360</c:f>
              <c:strCache>
                <c:ptCount val="7"/>
                <c:pt idx="0">
                  <c:v>星期五</c:v>
                </c:pt>
                <c:pt idx="1">
                  <c:v>星期六</c:v>
                </c:pt>
                <c:pt idx="2">
                  <c:v>星期日</c:v>
                </c:pt>
                <c:pt idx="3">
                  <c:v>星期一</c:v>
                </c:pt>
                <c:pt idx="4">
                  <c:v>星期二</c:v>
                </c:pt>
                <c:pt idx="5">
                  <c:v>星期三</c:v>
                </c:pt>
                <c:pt idx="6">
                  <c:v>星期四</c:v>
                </c:pt>
              </c:strCache>
            </c:strRef>
          </c:cat>
          <c:val>
            <c:numRef>
              <c:f>曲线汇总!$D$354:$D$360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C94-46E7-82A9-A24033F27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386888"/>
        <c:axId val="797384728"/>
      </c:lineChart>
      <c:valAx>
        <c:axId val="79738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>
            <a:defRPr sz="1400" b="0" i="0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曲线汇总!$C$404:$C$410</c:f>
              <c:strCache>
                <c:ptCount val="7"/>
                <c:pt idx="0">
                  <c:v>星期五</c:v>
                </c:pt>
                <c:pt idx="1">
                  <c:v>星期六</c:v>
                </c:pt>
                <c:pt idx="2">
                  <c:v>星期日</c:v>
                </c:pt>
                <c:pt idx="3">
                  <c:v>星期一</c:v>
                </c:pt>
                <c:pt idx="4">
                  <c:v>星期二</c:v>
                </c:pt>
                <c:pt idx="5">
                  <c:v>星期三</c:v>
                </c:pt>
                <c:pt idx="6">
                  <c:v>星期四</c:v>
                </c:pt>
              </c:strCache>
            </c:strRef>
          </c:cat>
          <c:val>
            <c:numRef>
              <c:f>曲线汇总!$D$404:$D$410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7DC-4570-A12D-8438347AB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386888"/>
        <c:axId val="797384728"/>
      </c:lineChart>
      <c:valAx>
        <c:axId val="79738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>
            <a:defRPr sz="1400" b="0" i="0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02316359962558185"/>
          <c:y val="0.07666732562945923"/>
          <c:w val="0.965485604048336"/>
          <c:h val="0.8776879329865825"/>
        </c:manualLayout>
      </c:layout>
      <c:lineChart>
        <c:grouping val="standard"/>
        <c:varyColors val="0"/>
        <c:ser>
          <c:idx val="0"/>
          <c:order val="0"/>
          <c:cat>
            <c:strRef>
              <c:f>曲线汇总!$C$454:$C$460</c:f>
              <c:strCache>
                <c:ptCount val="7"/>
                <c:pt idx="0">
                  <c:v>星期五</c:v>
                </c:pt>
                <c:pt idx="1">
                  <c:v>星期六</c:v>
                </c:pt>
                <c:pt idx="2">
                  <c:v>星期日</c:v>
                </c:pt>
                <c:pt idx="3">
                  <c:v>星期一</c:v>
                </c:pt>
                <c:pt idx="4">
                  <c:v>星期二</c:v>
                </c:pt>
                <c:pt idx="5">
                  <c:v>星期三</c:v>
                </c:pt>
                <c:pt idx="6">
                  <c:v>星期四</c:v>
                </c:pt>
              </c:strCache>
            </c:strRef>
          </c:cat>
          <c:val>
            <c:numRef>
              <c:f>曲线汇总!$D$454:$D$460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3E5-4629-B2F2-CD17CD36C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386888"/>
        <c:axId val="797384728"/>
      </c:lineChart>
      <c:valAx>
        <c:axId val="79738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>
            <a:defRPr sz="1400" b="0" i="0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02316359962558185"/>
          <c:y val="0.07666732562945923"/>
          <c:w val="0.965485604048336"/>
          <c:h val="0.8776879329865825"/>
        </c:manualLayout>
      </c:layout>
      <c:lineChart>
        <c:grouping val="standard"/>
        <c:varyColors val="0"/>
        <c:ser>
          <c:idx val="0"/>
          <c:order val="0"/>
          <c:cat>
            <c:strRef>
              <c:f>曲线汇总!$C$504:$C$510</c:f>
              <c:strCache>
                <c:ptCount val="7"/>
                <c:pt idx="0">
                  <c:v>星期五</c:v>
                </c:pt>
                <c:pt idx="1">
                  <c:v>星期六</c:v>
                </c:pt>
                <c:pt idx="2">
                  <c:v>星期日</c:v>
                </c:pt>
                <c:pt idx="3">
                  <c:v>星期一</c:v>
                </c:pt>
                <c:pt idx="4">
                  <c:v>星期二</c:v>
                </c:pt>
                <c:pt idx="5">
                  <c:v>星期三</c:v>
                </c:pt>
                <c:pt idx="6">
                  <c:v>星期四</c:v>
                </c:pt>
              </c:strCache>
            </c:strRef>
          </c:cat>
          <c:val>
            <c:numRef>
              <c:f>曲线汇总!$D$504:$D$510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230-4730-812D-EDC54FE74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386888"/>
        <c:axId val="797384728"/>
      </c:lineChart>
      <c:valAx>
        <c:axId val="79738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2</xdr:row>
      <xdr:rowOff>0</xdr:rowOff>
    </xdr:from>
    <xdr:to>
      <xdr:col>26</xdr:col>
      <xdr:colOff>0</xdr:colOff>
      <xdr:row>38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31925FC-D17C-AE8B-6FDB-ED2528C96366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</xdr:colOff>
      <xdr:row>52</xdr:row>
      <xdr:rowOff>0</xdr:rowOff>
    </xdr:from>
    <xdr:to>
      <xdr:col>26</xdr:col>
      <xdr:colOff>0</xdr:colOff>
      <xdr:row>88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471F005-F195-4D60-B0BA-C98FB48EF91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</xdr:colOff>
      <xdr:row>102</xdr:row>
      <xdr:rowOff>0</xdr:rowOff>
    </xdr:from>
    <xdr:to>
      <xdr:col>26</xdr:col>
      <xdr:colOff>0</xdr:colOff>
      <xdr:row>138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F7820A5-E4EC-4F64-953D-3023966B8AE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</xdr:colOff>
      <xdr:row>152</xdr:row>
      <xdr:rowOff>0</xdr:rowOff>
    </xdr:from>
    <xdr:to>
      <xdr:col>26</xdr:col>
      <xdr:colOff>0</xdr:colOff>
      <xdr:row>188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E4FDC54-6052-4F8E-90EE-5E5F7699973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</xdr:colOff>
      <xdr:row>202</xdr:row>
      <xdr:rowOff>0</xdr:rowOff>
    </xdr:from>
    <xdr:to>
      <xdr:col>26</xdr:col>
      <xdr:colOff>0</xdr:colOff>
      <xdr:row>238</xdr:row>
      <xdr:rowOff>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83A6442-C9BD-44FE-9F21-C13305F0548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252</xdr:row>
      <xdr:rowOff>1</xdr:rowOff>
    </xdr:from>
    <xdr:to>
      <xdr:col>26</xdr:col>
      <xdr:colOff>-1</xdr:colOff>
      <xdr:row>288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8EFAF2A9-5136-4C4D-8F9D-0E2AEC0E9F5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</xdr:colOff>
      <xdr:row>302</xdr:row>
      <xdr:rowOff>0</xdr:rowOff>
    </xdr:from>
    <xdr:to>
      <xdr:col>26</xdr:col>
      <xdr:colOff>0</xdr:colOff>
      <xdr:row>338</xdr:row>
      <xdr:rowOff>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76C292B4-2600-4D76-800D-F755A584419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</xdr:colOff>
      <xdr:row>352</xdr:row>
      <xdr:rowOff>0</xdr:rowOff>
    </xdr:from>
    <xdr:to>
      <xdr:col>26</xdr:col>
      <xdr:colOff>0</xdr:colOff>
      <xdr:row>388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444AD12-AFA6-4CAD-B355-EB3395FA179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1</xdr:colOff>
      <xdr:row>402</xdr:row>
      <xdr:rowOff>0</xdr:rowOff>
    </xdr:from>
    <xdr:to>
      <xdr:col>26</xdr:col>
      <xdr:colOff>0</xdr:colOff>
      <xdr:row>438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B93155BF-503C-4BD0-A73E-718E1EFBA72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</xdr:colOff>
      <xdr:row>452</xdr:row>
      <xdr:rowOff>0</xdr:rowOff>
    </xdr:from>
    <xdr:to>
      <xdr:col>26</xdr:col>
      <xdr:colOff>0</xdr:colOff>
      <xdr:row>488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FDE00E2E-A46F-4EAC-921C-0D1679958E6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1</xdr:colOff>
      <xdr:row>502</xdr:row>
      <xdr:rowOff>0</xdr:rowOff>
    </xdr:from>
    <xdr:to>
      <xdr:col>26</xdr:col>
      <xdr:colOff>0</xdr:colOff>
      <xdr:row>538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C2CD948B-3625-47EA-8D2B-853405DFC05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B1:K35"/>
  <sheetViews>
    <sheetView zoomScaleNormal="100" workbookViewId="0">
      <selection activeCell="M18" sqref="M18"/>
    </sheetView>
  </sheetViews>
  <sheetFormatPr defaultRowHeight="14" x14ac:dyDescent="0.3"/>
  <cols>
    <col min="1" max="1" width="1.83203125" customWidth="1"/>
    <col min="2" max="2" width="12.1640625" bestFit="1" customWidth="1"/>
    <col min="3" max="3" width="10.1640625" bestFit="1" customWidth="1"/>
    <col min="4" max="4" width="14.08203125" bestFit="1" customWidth="1"/>
    <col min="5" max="5" width="7.25" bestFit="1" customWidth="1"/>
    <col min="6" max="7" width="19.4140625" bestFit="1" customWidth="1"/>
    <col min="8" max="8" width="7.5" bestFit="1" customWidth="1"/>
    <col min="9" max="9" width="2.25" bestFit="1" customWidth="1"/>
    <col min="10" max="10" width="7.25" bestFit="1" customWidth="1"/>
    <col min="16" max="16" width="11.58203125" customWidth="1"/>
  </cols>
  <sheetData>
    <row r="1" spans="2:10" ht="14.5" thickBot="1" x14ac:dyDescent="0.35"/>
    <row r="2" spans="2:10" ht="20.15" customHeight="1" x14ac:dyDescent="0.3">
      <c r="B2" s="60" t="s">
        <v>66</v>
      </c>
      <c r="C2" s="61"/>
      <c r="D2" s="61"/>
      <c r="E2" s="61"/>
      <c r="F2" s="61"/>
      <c r="G2" s="61"/>
      <c r="H2" s="61"/>
      <c r="I2" s="61"/>
      <c r="J2" s="62"/>
    </row>
    <row r="3" spans="2:10" ht="20.15" customHeight="1" x14ac:dyDescent="0.3">
      <c r="B3" s="11"/>
      <c r="C3" s="12"/>
      <c r="D3" s="12"/>
      <c r="E3" s="12"/>
      <c r="F3" s="12"/>
      <c r="G3" s="13" t="s">
        <v>134</v>
      </c>
      <c r="H3" s="63" t="s">
        <v>135</v>
      </c>
      <c r="I3" s="63"/>
      <c r="J3" s="64"/>
    </row>
    <row r="4" spans="2:10" ht="21" x14ac:dyDescent="0.3">
      <c r="B4" s="65" t="s">
        <v>3</v>
      </c>
      <c r="C4" s="66"/>
      <c r="D4" s="50"/>
      <c r="E4" s="6" t="s">
        <v>8</v>
      </c>
      <c r="F4" s="6" t="s">
        <v>27</v>
      </c>
      <c r="G4" s="6" t="s">
        <v>28</v>
      </c>
      <c r="H4" s="49" t="s">
        <v>64</v>
      </c>
      <c r="I4" s="50"/>
      <c r="J4" s="8" t="s">
        <v>14</v>
      </c>
    </row>
    <row r="5" spans="2:10" x14ac:dyDescent="0.3">
      <c r="B5" s="9" t="s">
        <v>40</v>
      </c>
      <c r="C5" s="54" t="s">
        <v>22</v>
      </c>
      <c r="D5" s="54"/>
      <c r="E5" s="5" t="s">
        <v>13</v>
      </c>
      <c r="F5" s="32">
        <v>90</v>
      </c>
      <c r="G5" s="17">
        <v>0</v>
      </c>
      <c r="H5" s="3">
        <f>(G5-F5)/F5*100</f>
        <v>-100</v>
      </c>
      <c r="I5" s="15" t="s">
        <v>13</v>
      </c>
      <c r="J5" s="10"/>
    </row>
    <row r="6" spans="2:10" x14ac:dyDescent="0.3">
      <c r="B6" s="56" t="s">
        <v>29</v>
      </c>
      <c r="C6" s="54" t="s">
        <v>41</v>
      </c>
      <c r="D6" s="54"/>
      <c r="E6" s="5" t="s">
        <v>17</v>
      </c>
      <c r="F6" s="32" t="s">
        <v>109</v>
      </c>
      <c r="G6" s="17">
        <v>0</v>
      </c>
      <c r="H6" s="2" t="str">
        <f>IF($G6="","",IF(AND($G6&gt;=0,$G6&lt;=1427),"合格","不合格"))</f>
        <v/>
      </c>
      <c r="I6" s="7" t="s">
        <v>0</v>
      </c>
      <c r="J6" s="10"/>
    </row>
    <row r="7" spans="2:10" x14ac:dyDescent="0.3">
      <c r="B7" s="57"/>
      <c r="C7" s="54" t="s">
        <v>42</v>
      </c>
      <c r="D7" s="54"/>
      <c r="E7" s="5" t="s">
        <v>17</v>
      </c>
      <c r="F7" s="32" t="s">
        <v>110</v>
      </c>
      <c r="G7" s="17">
        <v>0</v>
      </c>
      <c r="H7" s="2" t="str">
        <f>IF($G7="","",IF(AND($G7&gt;=210,$G7&lt;=220),"合格","不合格"))</f>
        <v/>
      </c>
      <c r="I7" s="7" t="s">
        <v>0</v>
      </c>
      <c r="J7" s="10"/>
    </row>
    <row r="8" spans="2:10" x14ac:dyDescent="0.3">
      <c r="B8" s="58"/>
      <c r="C8" s="54" t="s">
        <v>43</v>
      </c>
      <c r="D8" s="54"/>
      <c r="E8" s="5" t="s">
        <v>17</v>
      </c>
      <c r="F8" s="32" t="s">
        <v>111</v>
      </c>
      <c r="G8" s="17">
        <v>0</v>
      </c>
      <c r="H8" s="2" t="str">
        <f>IF($G8="","",IF(AND($G8&gt;=190,$G8&lt;=210),"合格","不合格"))</f>
        <v/>
      </c>
      <c r="I8" s="7" t="s">
        <v>0</v>
      </c>
      <c r="J8" s="10"/>
    </row>
    <row r="9" spans="2:10" x14ac:dyDescent="0.3">
      <c r="B9" s="56" t="s">
        <v>31</v>
      </c>
      <c r="C9" s="5" t="s">
        <v>32</v>
      </c>
      <c r="D9" s="5" t="s">
        <v>44</v>
      </c>
      <c r="E9" s="5" t="s">
        <v>45</v>
      </c>
      <c r="F9" s="32" t="s">
        <v>112</v>
      </c>
      <c r="G9" s="17">
        <v>425.1659240722656</v>
      </c>
      <c r="H9" s="2" t="str">
        <f>IF($G9="","",IF(AND($G9&gt;=412,$G9&lt;=422),"合格","不合格"))</f>
        <v/>
      </c>
      <c r="I9" s="7" t="s">
        <v>0</v>
      </c>
      <c r="J9" s="10"/>
    </row>
    <row r="10" spans="2:10" x14ac:dyDescent="0.3">
      <c r="B10" s="57"/>
      <c r="C10" s="54" t="s">
        <v>33</v>
      </c>
      <c r="D10" s="5" t="s">
        <v>34</v>
      </c>
      <c r="E10" s="7" t="s">
        <v>0</v>
      </c>
      <c r="F10" s="32" t="s">
        <v>113</v>
      </c>
      <c r="G10" s="17">
        <v>0.5309510231018066</v>
      </c>
      <c r="H10" s="2" t="str">
        <f>IF($G10="","",IF(AND($G10&gt;=0.525,$G10&lt;=0.5357),"合格","不合格"))</f>
        <v/>
      </c>
      <c r="I10" s="7" t="s">
        <v>0</v>
      </c>
      <c r="J10" s="10"/>
    </row>
    <row r="11" spans="2:10" x14ac:dyDescent="0.3">
      <c r="B11" s="57"/>
      <c r="C11" s="54"/>
      <c r="D11" s="5" t="s">
        <v>47</v>
      </c>
      <c r="E11" s="5" t="s">
        <v>48</v>
      </c>
      <c r="F11" s="32">
        <v>46.63</v>
      </c>
      <c r="G11" s="17">
        <v>46.65299987792969</v>
      </c>
      <c r="H11" s="2" t="s">
        <v>30</v>
      </c>
      <c r="I11" s="7" t="s">
        <v>0</v>
      </c>
      <c r="J11" s="10"/>
    </row>
    <row r="12" spans="2:10" x14ac:dyDescent="0.3">
      <c r="B12" s="57"/>
      <c r="C12" s="54"/>
      <c r="D12" s="5" t="s">
        <v>63</v>
      </c>
      <c r="E12" s="5" t="s">
        <v>2</v>
      </c>
      <c r="F12" s="32" t="s">
        <v>114</v>
      </c>
      <c r="G12" s="17">
        <v>0.7332571148872375</v>
      </c>
      <c r="H12" s="2" t="str">
        <f>IF($G12="","",IF(AND($G12&gt;=0.745,$G12&lt;=0.755),"合格","不合格"))</f>
        <v/>
      </c>
      <c r="I12" s="7" t="s">
        <v>0</v>
      </c>
      <c r="J12" s="10"/>
    </row>
    <row r="13" spans="2:10" x14ac:dyDescent="0.3">
      <c r="B13" s="57"/>
      <c r="C13" s="54"/>
      <c r="D13" s="5" t="s">
        <v>56</v>
      </c>
      <c r="E13" s="5" t="s">
        <v>1</v>
      </c>
      <c r="F13" s="32" t="s">
        <v>115</v>
      </c>
      <c r="G13" s="17">
        <v>84.78966522216797</v>
      </c>
      <c r="H13" s="2" t="str">
        <f>IF($G13="","",IF(AND($G13&gt;=88,$G13&lt;=92),"合格","不合格"))</f>
        <v/>
      </c>
      <c r="I13" s="7" t="s">
        <v>0</v>
      </c>
      <c r="J13" s="10"/>
    </row>
    <row r="14" spans="2:10" x14ac:dyDescent="0.3">
      <c r="B14" s="57"/>
      <c r="C14" s="54"/>
      <c r="D14" s="5" t="s">
        <v>57</v>
      </c>
      <c r="E14" s="5" t="s">
        <v>1</v>
      </c>
      <c r="F14" s="32" t="s">
        <v>116</v>
      </c>
      <c r="G14" s="17">
        <v>128.79676818847656</v>
      </c>
      <c r="H14" s="2" t="str">
        <f>IF($G14="","",IF(AND($G14&gt;=143,$G14&lt;=147),"合格","不合格"))</f>
        <v/>
      </c>
      <c r="I14" s="7" t="s">
        <v>0</v>
      </c>
      <c r="J14" s="10"/>
    </row>
    <row r="15" spans="2:10" x14ac:dyDescent="0.3">
      <c r="B15" s="57"/>
      <c r="C15" s="54"/>
      <c r="D15" s="5" t="s">
        <v>58</v>
      </c>
      <c r="E15" s="5" t="s">
        <v>1</v>
      </c>
      <c r="F15" s="32" t="s">
        <v>117</v>
      </c>
      <c r="G15" s="17">
        <v>152.96505737304688</v>
      </c>
      <c r="H15" s="2" t="str">
        <f>IF($G15="","",IF(AND($G15&gt;=166,$G15&lt;=170),"合格","不合格"))</f>
        <v/>
      </c>
      <c r="I15" s="7" t="s">
        <v>0</v>
      </c>
      <c r="J15" s="10"/>
    </row>
    <row r="16" spans="2:10" x14ac:dyDescent="0.3">
      <c r="B16" s="57"/>
      <c r="C16" s="54" t="s">
        <v>35</v>
      </c>
      <c r="D16" s="5" t="s">
        <v>59</v>
      </c>
      <c r="E16" s="5" t="s">
        <v>1</v>
      </c>
      <c r="F16" s="32" t="s">
        <v>118</v>
      </c>
      <c r="G16" s="17">
        <v>47.217708587646484</v>
      </c>
      <c r="H16" s="2" t="str">
        <f>IF($G16="","",IF(AND($G16&gt;=0,$G16&lt;=45),"合格","不合格"))</f>
        <v/>
      </c>
      <c r="I16" s="7" t="s">
        <v>0</v>
      </c>
      <c r="J16" s="10"/>
    </row>
    <row r="17" spans="2:10" x14ac:dyDescent="0.3">
      <c r="B17" s="57"/>
      <c r="C17" s="54"/>
      <c r="D17" s="5" t="s">
        <v>60</v>
      </c>
      <c r="E17" s="5" t="s">
        <v>1</v>
      </c>
      <c r="F17" s="32" t="s">
        <v>36</v>
      </c>
      <c r="G17" s="17">
        <v>19.6461238861084</v>
      </c>
      <c r="H17" s="2" t="str">
        <f>IF($G17="","",IF(AND($G17&gt;=0,$G17&lt;=20),"合格","不合格"))</f>
        <v/>
      </c>
      <c r="I17" s="7" t="s">
        <v>0</v>
      </c>
      <c r="J17" s="10"/>
    </row>
    <row r="18" spans="2:10" x14ac:dyDescent="0.3">
      <c r="B18" s="57"/>
      <c r="C18" s="54"/>
      <c r="D18" s="5" t="s">
        <v>61</v>
      </c>
      <c r="E18" s="5" t="s">
        <v>1</v>
      </c>
      <c r="F18" s="32" t="s">
        <v>119</v>
      </c>
      <c r="G18" s="17">
        <v>0</v>
      </c>
      <c r="H18" s="2" t="str">
        <f>IF($G18="","",IF(AND($G18&gt;=46,$G18&lt;=50),"合格","不合格"))</f>
        <v/>
      </c>
      <c r="I18" s="7" t="s">
        <v>0</v>
      </c>
      <c r="J18" s="10"/>
    </row>
    <row r="19" spans="2:10" x14ac:dyDescent="0.3">
      <c r="B19" s="57"/>
      <c r="C19" s="54"/>
      <c r="D19" s="5" t="s">
        <v>62</v>
      </c>
      <c r="E19" s="5" t="s">
        <v>1</v>
      </c>
      <c r="F19" s="32" t="s">
        <v>120</v>
      </c>
      <c r="G19" s="17">
        <v>90.61547088623047</v>
      </c>
      <c r="H19" s="2" t="str">
        <f>IF($G19="","",IF(AND($G19&gt;=0,$G19&lt;=20),"合格","不合格"))</f>
        <v/>
      </c>
      <c r="I19" s="7" t="s">
        <v>0</v>
      </c>
      <c r="J19" s="10"/>
    </row>
    <row r="20" spans="2:10" x14ac:dyDescent="0.3">
      <c r="B20" s="57"/>
      <c r="C20" s="54" t="s">
        <v>37</v>
      </c>
      <c r="D20" s="5" t="s">
        <v>4</v>
      </c>
      <c r="E20" s="5" t="s">
        <v>13</v>
      </c>
      <c r="F20" s="18" t="s">
        <v>68</v>
      </c>
      <c r="G20" s="17">
        <v>33.279998779296875</v>
      </c>
      <c r="H20" s="4" t="s">
        <v>46</v>
      </c>
      <c r="I20" s="7" t="s">
        <v>0</v>
      </c>
      <c r="J20" s="10"/>
    </row>
    <row r="21" spans="2:10" x14ac:dyDescent="0.3">
      <c r="B21" s="57"/>
      <c r="C21" s="54"/>
      <c r="D21" s="5" t="s">
        <v>38</v>
      </c>
      <c r="E21" s="5" t="s">
        <v>13</v>
      </c>
      <c r="F21" s="18" t="s">
        <v>68</v>
      </c>
      <c r="G21" s="17"/>
      <c r="H21" s="4" t="s">
        <v>46</v>
      </c>
      <c r="I21" s="7" t="s">
        <v>0</v>
      </c>
      <c r="J21" s="10"/>
    </row>
    <row r="22" spans="2:10" x14ac:dyDescent="0.3">
      <c r="B22" s="57"/>
      <c r="C22" s="54"/>
      <c r="D22" s="5" t="s">
        <v>5</v>
      </c>
      <c r="E22" s="7" t="s">
        <v>0</v>
      </c>
      <c r="F22" s="18" t="s">
        <v>68</v>
      </c>
      <c r="G22" s="17">
        <v>6.909999847412109</v>
      </c>
      <c r="H22" s="4" t="s">
        <v>46</v>
      </c>
      <c r="I22" s="7" t="s">
        <v>0</v>
      </c>
      <c r="J22" s="10"/>
    </row>
    <row r="23" spans="2:10" x14ac:dyDescent="0.3">
      <c r="B23" s="57"/>
      <c r="C23" s="54"/>
      <c r="D23" s="5" t="s">
        <v>49</v>
      </c>
      <c r="E23" s="5" t="s">
        <v>45</v>
      </c>
      <c r="F23" s="18" t="s">
        <v>68</v>
      </c>
      <c r="G23" s="17">
        <v>20.709999084472656</v>
      </c>
      <c r="H23" s="4" t="s">
        <v>46</v>
      </c>
      <c r="I23" s="7" t="s">
        <v>0</v>
      </c>
      <c r="J23" s="10"/>
    </row>
    <row r="24" spans="2:10" x14ac:dyDescent="0.3">
      <c r="B24" s="58"/>
      <c r="C24" s="54"/>
      <c r="D24" s="5" t="s">
        <v>50</v>
      </c>
      <c r="E24" s="5" t="s">
        <v>45</v>
      </c>
      <c r="F24" s="18" t="s">
        <v>68</v>
      </c>
      <c r="G24" s="17">
        <v>7.175999641418457</v>
      </c>
      <c r="H24" s="4" t="s">
        <v>46</v>
      </c>
      <c r="I24" s="7" t="s">
        <v>0</v>
      </c>
      <c r="J24" s="10"/>
    </row>
    <row r="25" spans="2:10" x14ac:dyDescent="0.3">
      <c r="B25" s="59" t="s">
        <v>26</v>
      </c>
      <c r="C25" s="5" t="s">
        <v>55</v>
      </c>
      <c r="D25" s="5" t="s">
        <v>65</v>
      </c>
      <c r="E25" s="5" t="s">
        <v>54</v>
      </c>
      <c r="F25" s="32" t="s">
        <v>121</v>
      </c>
      <c r="G25" s="17">
        <v>0</v>
      </c>
      <c r="H25" s="2" t="str">
        <f>IF($G25="","",IF(AND($G25&gt;=0,$G25&lt;=0.38),"合格","不合格"))</f>
        <v/>
      </c>
      <c r="I25" s="7" t="s">
        <v>0</v>
      </c>
      <c r="J25" s="10"/>
    </row>
    <row r="26" spans="2:10" x14ac:dyDescent="0.3">
      <c r="B26" s="59"/>
      <c r="C26" s="54" t="s">
        <v>39</v>
      </c>
      <c r="D26" s="5" t="s">
        <v>20</v>
      </c>
      <c r="E26" s="5" t="s">
        <v>13</v>
      </c>
      <c r="F26" s="32">
        <v>7</v>
      </c>
      <c r="G26" s="17"/>
      <c r="H26" s="3">
        <f>(G26-F26)</f>
        <v>-7</v>
      </c>
      <c r="I26" s="7" t="s">
        <v>13</v>
      </c>
      <c r="J26" s="10"/>
    </row>
    <row r="27" spans="2:10" x14ac:dyDescent="0.3">
      <c r="B27" s="59"/>
      <c r="C27" s="54"/>
      <c r="D27" s="5" t="s">
        <v>53</v>
      </c>
      <c r="E27" s="5" t="s">
        <v>13</v>
      </c>
      <c r="F27" s="32">
        <v>15</v>
      </c>
      <c r="G27" s="17"/>
      <c r="H27" s="3">
        <f t="shared" ref="H27:H31" si="0">(G27-F27)</f>
        <v>-15</v>
      </c>
      <c r="I27" s="7" t="s">
        <v>13</v>
      </c>
      <c r="J27" s="10"/>
    </row>
    <row r="28" spans="2:10" x14ac:dyDescent="0.3">
      <c r="B28" s="59"/>
      <c r="C28" s="54"/>
      <c r="D28" s="5" t="s">
        <v>21</v>
      </c>
      <c r="E28" s="5" t="s">
        <v>13</v>
      </c>
      <c r="F28" s="32">
        <v>4</v>
      </c>
      <c r="G28" s="17"/>
      <c r="H28" s="3">
        <f t="shared" si="0"/>
        <v>-4</v>
      </c>
      <c r="I28" s="7" t="s">
        <v>13</v>
      </c>
      <c r="J28" s="10"/>
    </row>
    <row r="29" spans="2:10" x14ac:dyDescent="0.3">
      <c r="B29" s="59"/>
      <c r="C29" s="54"/>
      <c r="D29" s="5" t="s">
        <v>49</v>
      </c>
      <c r="E29" s="5" t="s">
        <v>13</v>
      </c>
      <c r="F29" s="32">
        <v>7</v>
      </c>
      <c r="G29" s="17"/>
      <c r="H29" s="3">
        <f t="shared" si="0"/>
        <v>-7</v>
      </c>
      <c r="I29" s="7" t="s">
        <v>13</v>
      </c>
      <c r="J29" s="10"/>
    </row>
    <row r="30" spans="2:10" x14ac:dyDescent="0.3">
      <c r="B30" s="59"/>
      <c r="C30" s="54"/>
      <c r="D30" s="5" t="s">
        <v>50</v>
      </c>
      <c r="E30" s="5" t="s">
        <v>13</v>
      </c>
      <c r="F30" s="32">
        <v>7</v>
      </c>
      <c r="G30" s="17"/>
      <c r="H30" s="3">
        <f t="shared" si="0"/>
        <v>-7</v>
      </c>
      <c r="I30" s="7" t="s">
        <v>13</v>
      </c>
      <c r="J30" s="10"/>
    </row>
    <row r="31" spans="2:10" x14ac:dyDescent="0.3">
      <c r="B31" s="59"/>
      <c r="C31" s="54"/>
      <c r="D31" s="5" t="s">
        <v>51</v>
      </c>
      <c r="E31" s="5" t="s">
        <v>25</v>
      </c>
      <c r="F31" s="32">
        <v>10</v>
      </c>
      <c r="G31" s="17"/>
      <c r="H31" s="3">
        <f t="shared" si="0"/>
        <v>-10</v>
      </c>
      <c r="I31" s="7" t="s">
        <v>13</v>
      </c>
      <c r="J31" s="10"/>
    </row>
    <row r="32" spans="2:10" ht="14.5" thickBot="1" x14ac:dyDescent="0.35">
      <c r="B32" s="56"/>
      <c r="C32" s="55"/>
      <c r="D32" s="16" t="s">
        <v>52</v>
      </c>
      <c r="E32" s="16" t="s">
        <v>13</v>
      </c>
      <c r="F32" s="33">
        <v>50</v>
      </c>
      <c r="G32" s="19"/>
      <c r="H32" s="3">
        <f>(G32-F32)</f>
        <v>-50</v>
      </c>
      <c r="I32" s="7" t="s">
        <v>13</v>
      </c>
      <c r="J32" s="14"/>
    </row>
    <row r="33" spans="2:10" x14ac:dyDescent="0.3">
      <c r="B33" s="51" t="s">
        <v>67</v>
      </c>
      <c r="C33" s="40"/>
      <c r="D33" s="41"/>
      <c r="E33" s="41"/>
      <c r="F33" s="41"/>
      <c r="G33" s="41"/>
      <c r="H33" s="41"/>
      <c r="I33" s="41"/>
      <c r="J33" s="42"/>
    </row>
    <row r="34" spans="2:10" x14ac:dyDescent="0.3">
      <c r="B34" s="52"/>
      <c r="C34" s="43"/>
      <c r="D34" s="44"/>
      <c r="E34" s="44"/>
      <c r="F34" s="44"/>
      <c r="G34" s="44"/>
      <c r="H34" s="44"/>
      <c r="I34" s="44"/>
      <c r="J34" s="45"/>
    </row>
    <row r="35" spans="2:10" ht="14.5" thickBot="1" x14ac:dyDescent="0.35">
      <c r="B35" s="53"/>
      <c r="C35" s="46"/>
      <c r="D35" s="47"/>
      <c r="E35" s="47"/>
      <c r="F35" s="47"/>
      <c r="G35" s="47"/>
      <c r="H35" s="47"/>
      <c r="I35" s="47"/>
      <c r="J35" s="48"/>
    </row>
  </sheetData>
  <sheetCalcPr fullCalcOnLoad="1"/>
  <mergeCells count="17">
    <mergeCell ref="B2:J2"/>
    <mergeCell ref="H3:J3"/>
    <mergeCell ref="C5:D5"/>
    <mergeCell ref="C6:D6"/>
    <mergeCell ref="C10:C15"/>
    <mergeCell ref="B4:D4"/>
    <mergeCell ref="C7:D7"/>
    <mergeCell ref="C8:D8"/>
    <mergeCell ref="C33:J35"/>
    <mergeCell ref="H4:I4"/>
    <mergeCell ref="B33:B35"/>
    <mergeCell ref="C26:C32"/>
    <mergeCell ref="B9:B24"/>
    <mergeCell ref="B6:B8"/>
    <mergeCell ref="C16:C19"/>
    <mergeCell ref="C20:C24"/>
    <mergeCell ref="B25:B32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2"/>
  <dimension ref="B2:I14"/>
  <sheetViews>
    <sheetView zoomScaleNormal="100" workbookViewId="0">
      <selection activeCell="G15" sqref="G15"/>
    </sheetView>
  </sheetViews>
  <sheetFormatPr defaultColWidth="9" defaultRowHeight="24" customHeight="1" x14ac:dyDescent="0.3"/>
  <cols>
    <col min="1" max="1" width="1.58203125" style="1" customWidth="1"/>
    <col min="2" max="8" width="12.58203125" style="1" customWidth="1"/>
  </cols>
  <sheetData>
    <row r="2" spans="2:8" ht="24" customHeight="1" x14ac:dyDescent="0.3">
      <c r="B2" s="76" t="s">
        <v>77</v>
      </c>
      <c r="C2" s="76"/>
      <c r="D2" s="76"/>
      <c r="E2" s="76"/>
      <c r="F2" s="76"/>
      <c r="G2" s="76"/>
      <c r="H2" s="76"/>
    </row>
    <row r="3" spans="2:8" ht="24" customHeight="1" x14ac:dyDescent="0.3">
      <c r="B3" s="73" t="s">
        <v>135</v>
      </c>
      <c r="C3" s="74"/>
      <c r="D3" s="74"/>
      <c r="E3" s="74"/>
      <c r="F3" s="74"/>
      <c r="G3" s="74"/>
      <c r="H3" s="75"/>
    </row>
    <row r="4" spans="2:8" ht="24" customHeight="1" x14ac:dyDescent="0.3">
      <c r="B4" s="54" t="s">
        <v>19</v>
      </c>
      <c r="C4" s="5" t="s">
        <v>3</v>
      </c>
      <c r="D4" s="5" t="s">
        <v>7</v>
      </c>
      <c r="E4" s="5" t="s">
        <v>9</v>
      </c>
      <c r="F4" s="5" t="s">
        <v>10</v>
      </c>
      <c r="G4" s="5" t="s">
        <v>11</v>
      </c>
      <c r="H4" s="5" t="s">
        <v>12</v>
      </c>
    </row>
    <row r="5" spans="2:8" ht="24" customHeight="1" x14ac:dyDescent="0.3">
      <c r="B5" s="54"/>
      <c r="C5" s="5" t="s">
        <v>8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0</v>
      </c>
    </row>
    <row r="6" spans="2:8" ht="24" customHeight="1" x14ac:dyDescent="0.3">
      <c r="B6" s="22" t="s">
        <v>134</v>
      </c>
      <c r="C6" s="22" t="s">
        <v>69</v>
      </c>
      <c r="D6" s="23"/>
      <c r="E6" s="23"/>
      <c r="F6" s="23"/>
      <c r="G6" s="23"/>
      <c r="H6" s="23"/>
    </row>
    <row r="7" spans="2:8" ht="24" customHeight="1" x14ac:dyDescent="0.3">
      <c r="B7" s="5" t="s">
        <v>136</v>
      </c>
      <c r="C7" s="5" t="s">
        <v>70</v>
      </c>
      <c r="D7" s="24">
        <v>48352</v>
      </c>
      <c r="E7" s="24">
        <v>1335</v>
      </c>
      <c r="F7" s="24">
        <v>221</v>
      </c>
      <c r="G7" s="24">
        <v>93</v>
      </c>
      <c r="H7" s="24">
        <v>5.760000228881836</v>
      </c>
    </row>
    <row r="8" spans="2:8" ht="24" customHeight="1" x14ac:dyDescent="0.3">
      <c r="B8" s="22" t="s">
        <v>137</v>
      </c>
      <c r="C8" s="22" t="s">
        <v>71</v>
      </c>
      <c r="D8" s="23"/>
      <c r="E8" s="23"/>
      <c r="F8" s="23"/>
      <c r="G8" s="23"/>
      <c r="H8" s="23"/>
    </row>
    <row r="9" spans="2:8" ht="24" customHeight="1" x14ac:dyDescent="0.3">
      <c r="B9" s="5" t="s">
        <v>138</v>
      </c>
      <c r="C9" s="5" t="s">
        <v>72</v>
      </c>
      <c r="D9" s="24"/>
      <c r="E9" s="24"/>
      <c r="F9" s="24"/>
      <c r="G9" s="24"/>
      <c r="H9" s="24"/>
    </row>
    <row r="10" spans="2:8" ht="24" customHeight="1" x14ac:dyDescent="0.3">
      <c r="B10" s="22" t="s">
        <v>139</v>
      </c>
      <c r="C10" s="22" t="s">
        <v>73</v>
      </c>
      <c r="D10" s="23"/>
      <c r="E10" s="23"/>
      <c r="F10" s="23"/>
      <c r="G10" s="23"/>
      <c r="H10" s="23"/>
    </row>
    <row r="11" spans="2:8" ht="24" customHeight="1" x14ac:dyDescent="0.3">
      <c r="B11" s="5" t="s">
        <v>140</v>
      </c>
      <c r="C11" s="5" t="s">
        <v>74</v>
      </c>
      <c r="D11" s="24"/>
      <c r="E11" s="24"/>
      <c r="F11" s="24"/>
      <c r="G11" s="24"/>
      <c r="H11" s="24"/>
    </row>
    <row r="12" spans="2:8" ht="24" customHeight="1" x14ac:dyDescent="0.3">
      <c r="B12" s="22" t="s">
        <v>141</v>
      </c>
      <c r="C12" s="22" t="s">
        <v>75</v>
      </c>
      <c r="D12" s="23"/>
      <c r="E12" s="23"/>
      <c r="F12" s="23"/>
      <c r="G12" s="23"/>
      <c r="H12" s="23"/>
    </row>
    <row r="13" spans="2:8" ht="24" customHeight="1" x14ac:dyDescent="0.3">
      <c r="B13" s="71" t="s">
        <v>14</v>
      </c>
      <c r="C13" s="67" t="s">
        <v>76</v>
      </c>
      <c r="D13" s="67"/>
      <c r="E13" s="67"/>
      <c r="F13" s="67"/>
      <c r="G13" s="67"/>
      <c r="H13" s="68"/>
    </row>
    <row r="14" spans="2:8" ht="24" customHeight="1" x14ac:dyDescent="0.3">
      <c r="B14" s="72"/>
      <c r="C14" s="69"/>
      <c r="D14" s="69"/>
      <c r="E14" s="69"/>
      <c r="F14" s="69"/>
      <c r="G14" s="69"/>
      <c r="H14" s="70"/>
    </row>
  </sheetData>
  <mergeCells count="5">
    <mergeCell ref="C13:H14"/>
    <mergeCell ref="B4:B5"/>
    <mergeCell ref="B13:B14"/>
    <mergeCell ref="B3:H3"/>
    <mergeCell ref="B2:H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/>
  <dimension ref="B2:K18"/>
  <sheetViews>
    <sheetView zoomScaleNormal="100" workbookViewId="0">
      <selection activeCell="C13" sqref="C13:J14"/>
    </sheetView>
  </sheetViews>
  <sheetFormatPr defaultColWidth="9" defaultRowHeight="24" customHeight="1" x14ac:dyDescent="0.3"/>
  <cols>
    <col min="1" max="1" width="1.58203125" style="1" customWidth="1"/>
    <col min="2" max="7" width="12.58203125" style="1" customWidth="1"/>
    <col min="8" max="10" width="12.75" style="1" customWidth="1"/>
  </cols>
  <sheetData>
    <row r="2" spans="2:10" ht="24" customHeight="1" x14ac:dyDescent="0.3">
      <c r="B2" s="77" t="s">
        <v>78</v>
      </c>
      <c r="C2" s="78"/>
      <c r="D2" s="78"/>
      <c r="E2" s="78"/>
      <c r="F2" s="78"/>
      <c r="G2" s="78"/>
      <c r="H2" s="78"/>
      <c r="I2" s="78"/>
      <c r="J2" s="79"/>
    </row>
    <row r="3" spans="2:10" ht="24" customHeight="1" x14ac:dyDescent="0.3">
      <c r="B3" s="73" t="s">
        <v>135</v>
      </c>
      <c r="C3" s="74"/>
      <c r="D3" s="74"/>
      <c r="E3" s="74"/>
      <c r="F3" s="74"/>
      <c r="G3" s="74"/>
      <c r="H3" s="74"/>
      <c r="I3" s="74"/>
      <c r="J3" s="75"/>
    </row>
    <row r="4" spans="2:10" ht="24" customHeight="1" x14ac:dyDescent="0.3">
      <c r="B4" s="54" t="s">
        <v>19</v>
      </c>
      <c r="C4" s="5" t="s">
        <v>3</v>
      </c>
      <c r="D4" s="54" t="s">
        <v>4</v>
      </c>
      <c r="E4" s="54"/>
      <c r="F4" s="54" t="s">
        <v>38</v>
      </c>
      <c r="G4" s="54"/>
      <c r="H4" s="5" t="s">
        <v>49</v>
      </c>
      <c r="I4" s="5" t="s">
        <v>50</v>
      </c>
      <c r="J4" s="5" t="s">
        <v>12</v>
      </c>
    </row>
    <row r="5" spans="2:10" ht="24" customHeight="1" x14ac:dyDescent="0.3">
      <c r="B5" s="54"/>
      <c r="C5" s="5" t="s">
        <v>8</v>
      </c>
      <c r="D5" s="25" t="s">
        <v>80</v>
      </c>
      <c r="E5" s="25" t="s">
        <v>81</v>
      </c>
      <c r="F5" s="5" t="s">
        <v>13</v>
      </c>
      <c r="G5" s="5" t="s">
        <v>15</v>
      </c>
      <c r="H5" s="5" t="s">
        <v>79</v>
      </c>
      <c r="I5" s="5" t="s">
        <v>79</v>
      </c>
      <c r="J5" s="5" t="s">
        <v>0</v>
      </c>
    </row>
    <row r="6" spans="2:10" ht="24" customHeight="1" x14ac:dyDescent="0.3">
      <c r="B6" s="22" t="s">
        <v>134</v>
      </c>
      <c r="C6" s="22" t="s">
        <v>69</v>
      </c>
      <c r="D6" s="23">
        <v>32.823333740234375</v>
      </c>
      <c r="E6" s="23"/>
      <c r="F6" s="23"/>
      <c r="G6" s="23">
        <v>17.886667251586914</v>
      </c>
      <c r="H6" s="23">
        <v>28.079999923706055</v>
      </c>
      <c r="I6" s="23">
        <v>5.644999980926514</v>
      </c>
      <c r="J6" s="23">
        <v>7.146667003631592</v>
      </c>
    </row>
    <row r="7" spans="2:10" ht="24" customHeight="1" x14ac:dyDescent="0.3">
      <c r="B7" s="5" t="s">
        <v>136</v>
      </c>
      <c r="C7" s="5" t="s">
        <v>70</v>
      </c>
      <c r="D7" s="24">
        <v>33.516666412353516</v>
      </c>
      <c r="E7" s="24"/>
      <c r="F7" s="24"/>
      <c r="G7" s="24">
        <v>14.873332977294922</v>
      </c>
      <c r="H7" s="24">
        <v>19.65999984741211</v>
      </c>
      <c r="I7" s="24">
        <v>9.139999389648438</v>
      </c>
      <c r="J7" s="24">
        <v>6.819999694824219</v>
      </c>
    </row>
    <row r="8" spans="2:10" ht="24" customHeight="1" x14ac:dyDescent="0.3">
      <c r="B8" s="22" t="s">
        <v>137</v>
      </c>
      <c r="C8" s="22" t="s">
        <v>71</v>
      </c>
      <c r="D8" s="23">
        <v>33.40666580200195</v>
      </c>
      <c r="E8" s="23"/>
      <c r="F8" s="23"/>
      <c r="G8" s="23">
        <v>15.186665534973145</v>
      </c>
      <c r="H8" s="23">
        <v>22.645000457763672</v>
      </c>
      <c r="I8" s="23">
        <v>9.405000686645508</v>
      </c>
      <c r="J8" s="23">
        <v>6.799999713897705</v>
      </c>
    </row>
    <row r="9" spans="2:10" ht="24" customHeight="1" x14ac:dyDescent="0.3">
      <c r="B9" s="5" t="s">
        <v>138</v>
      </c>
      <c r="C9" s="5" t="s">
        <v>72</v>
      </c>
      <c r="D9" s="24">
        <v>33.5099983215332</v>
      </c>
      <c r="E9" s="24"/>
      <c r="F9" s="24"/>
      <c r="G9" s="24">
        <v>12.523333549499512</v>
      </c>
      <c r="H9" s="24">
        <v>13.6850004196167</v>
      </c>
      <c r="I9" s="24">
        <v>8.329999923706055</v>
      </c>
      <c r="J9" s="24">
        <v>6.769999980926514</v>
      </c>
    </row>
    <row r="10" spans="2:10" ht="24" customHeight="1" x14ac:dyDescent="0.3">
      <c r="B10" s="22" t="s">
        <v>139</v>
      </c>
      <c r="C10" s="22" t="s">
        <v>73</v>
      </c>
      <c r="D10" s="23">
        <v>33.44333267211914</v>
      </c>
      <c r="E10" s="23"/>
      <c r="F10" s="23"/>
      <c r="G10" s="23">
        <v>14.323333740234375</v>
      </c>
      <c r="H10" s="23">
        <v>19.479999542236328</v>
      </c>
      <c r="I10" s="23">
        <v>3.3600001335144043</v>
      </c>
      <c r="J10" s="23">
        <v>6.983333587646484</v>
      </c>
    </row>
    <row r="11" spans="2:10" ht="24" customHeight="1" x14ac:dyDescent="0.3">
      <c r="B11" s="5" t="s">
        <v>140</v>
      </c>
      <c r="C11" s="5" t="s">
        <v>74</v>
      </c>
      <c r="D11" s="24">
        <v>32.82999801635742</v>
      </c>
      <c r="E11" s="24"/>
      <c r="F11" s="24"/>
      <c r="G11" s="24">
        <v>14.170000076293945</v>
      </c>
      <c r="H11" s="24"/>
      <c r="I11" s="24"/>
      <c r="J11" s="24">
        <v>6.954999923706055</v>
      </c>
    </row>
    <row r="12" spans="2:10" ht="24" customHeight="1" x14ac:dyDescent="0.3">
      <c r="B12" s="22" t="s">
        <v>141</v>
      </c>
      <c r="C12" s="22" t="s">
        <v>75</v>
      </c>
      <c r="D12" s="23"/>
      <c r="E12" s="23"/>
      <c r="F12" s="23"/>
      <c r="G12" s="23"/>
      <c r="H12" s="23"/>
      <c r="I12" s="23"/>
      <c r="J12" s="23"/>
    </row>
    <row r="13" spans="2:10" ht="24" customHeight="1" x14ac:dyDescent="0.3">
      <c r="B13" s="54" t="s">
        <v>14</v>
      </c>
      <c r="C13" s="54" t="s">
        <v>76</v>
      </c>
      <c r="D13" s="54"/>
      <c r="E13" s="54"/>
      <c r="F13" s="54"/>
      <c r="G13" s="54"/>
      <c r="H13" s="54"/>
      <c r="I13" s="54"/>
      <c r="J13" s="54"/>
    </row>
    <row r="14" spans="2:10" ht="24" customHeight="1" x14ac:dyDescent="0.3">
      <c r="B14" s="54"/>
      <c r="C14" s="54"/>
      <c r="D14" s="54"/>
      <c r="E14" s="54"/>
      <c r="F14" s="54"/>
      <c r="G14" s="54"/>
      <c r="H14" s="54"/>
      <c r="I14" s="54"/>
      <c r="J14" s="54"/>
    </row>
    <row r="17" s="1" customFormat="1" ht="24" customHeight="1" x14ac:dyDescent="0.3"/>
    <row r="18" s="1" customFormat="1" ht="24" customHeight="1" x14ac:dyDescent="0.3"/>
  </sheetData>
  <mergeCells count="7">
    <mergeCell ref="B2:J2"/>
    <mergeCell ref="B3:J3"/>
    <mergeCell ref="B13:B14"/>
    <mergeCell ref="D4:E4"/>
    <mergeCell ref="F4:G4"/>
    <mergeCell ref="C13:J14"/>
    <mergeCell ref="B4:B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4"/>
  <dimension ref="B2:T49"/>
  <sheetViews>
    <sheetView zoomScaleNormal="100" workbookViewId="0">
      <pane ySplit="5" topLeftCell="A6" activePane="bottomLeft" state="frozen"/>
      <selection pane="bottomLeft" activeCell="M9" sqref="M9:M11"/>
    </sheetView>
  </sheetViews>
  <sheetFormatPr defaultColWidth="9" defaultRowHeight="24" customHeight="1" x14ac:dyDescent="0.3"/>
  <cols>
    <col min="1" max="1" width="1.58203125" style="20" customWidth="1"/>
    <col min="2" max="7" width="12.58203125" style="20" customWidth="1"/>
    <col min="8" max="10" width="12.75" style="20" customWidth="1"/>
    <col min="11" max="11" width="11.6640625" style="20" bestFit="1" customWidth="1"/>
    <col min="12" max="12" width="10.4140625" style="20" bestFit="1" customWidth="1"/>
    <col min="13" max="15" width="9.08203125" style="20" bestFit="1" customWidth="1"/>
    <col min="16" max="16" width="11.33203125" style="20" bestFit="1" customWidth="1"/>
    <col min="17" max="17" width="9.08203125" style="20" bestFit="1" customWidth="1"/>
    <col min="18" max="18" width="9" style="20"/>
  </cols>
  <sheetData>
    <row r="2" spans="2:19" ht="24" customHeight="1" x14ac:dyDescent="0.3">
      <c r="B2" s="76" t="s">
        <v>97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2:19" ht="24" customHeight="1" x14ac:dyDescent="0.3">
      <c r="B3" s="54" t="s">
        <v>135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4" spans="2:19" ht="24" customHeight="1" x14ac:dyDescent="0.3">
      <c r="B4" s="54" t="s">
        <v>19</v>
      </c>
      <c r="C4" s="5" t="s">
        <v>3</v>
      </c>
      <c r="D4" s="26" t="s">
        <v>102</v>
      </c>
      <c r="E4" s="26" t="s">
        <v>52</v>
      </c>
      <c r="F4" s="26" t="s">
        <v>23</v>
      </c>
      <c r="G4" s="5" t="s">
        <v>106</v>
      </c>
      <c r="H4" s="5" t="s">
        <v>82</v>
      </c>
      <c r="I4" s="5" t="s">
        <v>101</v>
      </c>
      <c r="J4" s="5" t="s">
        <v>100</v>
      </c>
      <c r="K4" s="26" t="s">
        <v>107</v>
      </c>
      <c r="L4" s="26" t="s">
        <v>83</v>
      </c>
      <c r="M4" s="5" t="s">
        <v>84</v>
      </c>
      <c r="N4" s="5" t="s">
        <v>85</v>
      </c>
      <c r="O4" s="5" t="s">
        <v>86</v>
      </c>
      <c r="P4" s="5" t="s">
        <v>88</v>
      </c>
      <c r="Q4" s="5" t="s">
        <v>87</v>
      </c>
      <c r="R4" s="5" t="s">
        <v>123</v>
      </c>
      <c r="S4" s="5" t="s">
        <v>122</v>
      </c>
    </row>
    <row r="5" spans="2:19" ht="24" customHeight="1" x14ac:dyDescent="0.3">
      <c r="B5" s="54"/>
      <c r="C5" s="5" t="s">
        <v>8</v>
      </c>
      <c r="D5" s="25" t="s">
        <v>104</v>
      </c>
      <c r="E5" s="5" t="s">
        <v>105</v>
      </c>
      <c r="F5" s="5" t="s">
        <v>103</v>
      </c>
      <c r="G5" s="5" t="s">
        <v>103</v>
      </c>
      <c r="H5" s="5" t="s">
        <v>103</v>
      </c>
      <c r="I5" s="5" t="s">
        <v>103</v>
      </c>
      <c r="J5" s="5" t="s">
        <v>103</v>
      </c>
      <c r="K5" s="5" t="s">
        <v>16</v>
      </c>
      <c r="L5" s="5" t="s">
        <v>15</v>
      </c>
      <c r="M5" s="5" t="s">
        <v>13</v>
      </c>
      <c r="N5" s="5" t="s">
        <v>13</v>
      </c>
      <c r="O5" s="5" t="s">
        <v>13</v>
      </c>
      <c r="P5" s="5" t="s">
        <v>24</v>
      </c>
      <c r="Q5" s="5" t="s">
        <v>24</v>
      </c>
      <c r="R5" s="5" t="s">
        <v>24</v>
      </c>
      <c r="S5" s="5" t="s">
        <v>24</v>
      </c>
    </row>
    <row r="6" spans="2:19" ht="24" customHeight="1" x14ac:dyDescent="0.3">
      <c r="B6" s="99" t="s">
        <v>134</v>
      </c>
      <c r="C6" s="99" t="s">
        <v>69</v>
      </c>
      <c r="D6" s="27"/>
      <c r="E6" s="27"/>
      <c r="F6" s="27"/>
      <c r="G6" s="93">
        <f>F6+F7+F8</f>
        <v>0</v>
      </c>
      <c r="H6" s="28">
        <f>F6*D6/100</f>
        <v>0</v>
      </c>
      <c r="I6" s="83">
        <f>H6+H7+H8</f>
        <v>0</v>
      </c>
      <c r="J6" s="83">
        <f t="shared" ref="J6" si="0">I6</f>
        <v>0</v>
      </c>
      <c r="K6" s="83">
        <v>3.6001288890838623</v>
      </c>
      <c r="L6" s="83">
        <v>417.64837646484375</v>
      </c>
      <c r="M6" s="83">
        <f>K6*L6/1000</f>
        <v>0</v>
      </c>
      <c r="N6" s="83">
        <v>0</v>
      </c>
      <c r="O6" s="83" t="e">
        <f>I6/M6*1.2/10</f>
        <v>#DIV/0!</v>
      </c>
      <c r="P6" s="29" t="s">
        <v>98</v>
      </c>
      <c r="Q6" s="83" t="e">
        <f>(I6+I9)/(K6+K9)/L6*1.2*100</f>
        <v>#DIV/0!</v>
      </c>
      <c r="R6" s="83">
        <v>0</v>
      </c>
      <c r="S6" s="83">
        <v>0</v>
      </c>
    </row>
    <row r="7" spans="2:19" ht="24" customHeight="1" x14ac:dyDescent="0.3">
      <c r="B7" s="100"/>
      <c r="C7" s="100"/>
      <c r="D7" s="27"/>
      <c r="E7" s="27"/>
      <c r="F7" s="27"/>
      <c r="G7" s="94"/>
      <c r="H7" s="28">
        <f t="shared" ref="H7:H11" si="1">F7*D7/100</f>
        <v>0</v>
      </c>
      <c r="I7" s="84"/>
      <c r="J7" s="84"/>
      <c r="K7" s="84"/>
      <c r="L7" s="84"/>
      <c r="M7" s="84"/>
      <c r="N7" s="84"/>
      <c r="O7" s="84"/>
      <c r="P7" s="29" t="s">
        <v>98</v>
      </c>
      <c r="Q7" s="84"/>
      <c r="R7" s="84"/>
      <c r="S7" s="84"/>
    </row>
    <row r="8" spans="2:19" ht="24" customHeight="1" x14ac:dyDescent="0.3">
      <c r="B8" s="100"/>
      <c r="C8" s="100"/>
      <c r="D8" s="27"/>
      <c r="E8" s="27"/>
      <c r="F8" s="27"/>
      <c r="G8" s="95"/>
      <c r="H8" s="28">
        <f t="shared" si="1"/>
        <v>0</v>
      </c>
      <c r="I8" s="85"/>
      <c r="J8" s="85"/>
      <c r="K8" s="85"/>
      <c r="L8" s="85"/>
      <c r="M8" s="85"/>
      <c r="N8" s="85"/>
      <c r="O8" s="85"/>
      <c r="P8" s="29" t="s">
        <v>99</v>
      </c>
      <c r="Q8" s="84"/>
      <c r="R8" s="84"/>
      <c r="S8" s="84"/>
    </row>
    <row r="9" spans="2:19" ht="24" customHeight="1" x14ac:dyDescent="0.3">
      <c r="B9" s="100"/>
      <c r="C9" s="100"/>
      <c r="D9" s="27"/>
      <c r="E9" s="27"/>
      <c r="F9" s="27"/>
      <c r="G9" s="93">
        <f>F9+F10+F11</f>
        <v>0</v>
      </c>
      <c r="H9" s="28">
        <f>F9*D9/100</f>
        <v>0</v>
      </c>
      <c r="I9" s="83">
        <f>H9+H10+H11</f>
        <v>0</v>
      </c>
      <c r="J9" s="83">
        <f>J6+I9</f>
        <v>0</v>
      </c>
      <c r="K9" s="83">
        <v>3.5993125438690186</v>
      </c>
      <c r="L9" s="83">
        <v>417.7441711425781</v>
      </c>
      <c r="M9" s="83">
        <f>K9*L9/1000</f>
        <v>0</v>
      </c>
      <c r="N9" s="83">
        <f>M9+N6</f>
        <v>0</v>
      </c>
      <c r="O9" s="83" t="e">
        <f>I9/M9*1.2/10</f>
        <v>#DIV/0!</v>
      </c>
      <c r="P9" s="29" t="s">
        <v>98</v>
      </c>
      <c r="Q9" s="84"/>
      <c r="R9" s="84"/>
      <c r="S9" s="84"/>
    </row>
    <row r="10" spans="2:19" ht="24" customHeight="1" x14ac:dyDescent="0.3">
      <c r="B10" s="100"/>
      <c r="C10" s="100"/>
      <c r="D10" s="27"/>
      <c r="E10" s="27"/>
      <c r="F10" s="27"/>
      <c r="G10" s="94"/>
      <c r="H10" s="28">
        <f t="shared" si="1"/>
        <v>0</v>
      </c>
      <c r="I10" s="84"/>
      <c r="J10" s="84"/>
      <c r="K10" s="84"/>
      <c r="L10" s="84"/>
      <c r="M10" s="84"/>
      <c r="N10" s="84"/>
      <c r="O10" s="84"/>
      <c r="P10" s="29" t="s">
        <v>98</v>
      </c>
      <c r="Q10" s="84"/>
      <c r="R10" s="84"/>
      <c r="S10" s="84"/>
    </row>
    <row r="11" spans="2:19" ht="24" customHeight="1" x14ac:dyDescent="0.3">
      <c r="B11" s="100"/>
      <c r="C11" s="100"/>
      <c r="D11" s="27"/>
      <c r="E11" s="27"/>
      <c r="F11" s="27"/>
      <c r="G11" s="95"/>
      <c r="H11" s="28">
        <f t="shared" si="1"/>
        <v>0</v>
      </c>
      <c r="I11" s="85"/>
      <c r="J11" s="85"/>
      <c r="K11" s="85"/>
      <c r="L11" s="85"/>
      <c r="M11" s="85"/>
      <c r="N11" s="85"/>
      <c r="O11" s="85"/>
      <c r="P11" s="29" t="s">
        <v>99</v>
      </c>
      <c r="Q11" s="85"/>
      <c r="R11" s="85"/>
      <c r="S11" s="85"/>
    </row>
    <row r="12" spans="2:19" ht="24" customHeight="1" x14ac:dyDescent="0.3">
      <c r="B12" s="55" t="s">
        <v>136</v>
      </c>
      <c r="C12" s="55" t="s">
        <v>70</v>
      </c>
      <c r="D12" s="30"/>
      <c r="E12" s="30"/>
      <c r="F12" s="30"/>
      <c r="G12" s="96">
        <f>F12+F13+F14</f>
        <v>0</v>
      </c>
      <c r="H12" s="31">
        <f>F12*D12/100</f>
        <v>0</v>
      </c>
      <c r="I12" s="80">
        <f>H12+H13+H14</f>
        <v>0</v>
      </c>
      <c r="J12" s="80">
        <f t="shared" ref="J12" si="2">I12</f>
        <v>0</v>
      </c>
      <c r="K12" s="80">
        <v>3.600398540496826</v>
      </c>
      <c r="L12" s="80">
        <v>419.94146728515625</v>
      </c>
      <c r="M12" s="80">
        <f>K12*L12/1000</f>
        <v>0</v>
      </c>
      <c r="N12" s="80">
        <v>0</v>
      </c>
      <c r="O12" s="80" t="e">
        <f>I12/M12*1.2/10</f>
        <v>#DIV/0!</v>
      </c>
      <c r="P12" s="21" t="s">
        <v>98</v>
      </c>
      <c r="Q12" s="80" t="e">
        <f>(I12+I15)/(K12+K15)/L12*1.2*100</f>
        <v>#DIV/0!</v>
      </c>
      <c r="R12" s="80">
        <v>0</v>
      </c>
      <c r="S12" s="80">
        <v>0</v>
      </c>
    </row>
    <row r="13" spans="2:19" ht="24" customHeight="1" x14ac:dyDescent="0.3">
      <c r="B13" s="92"/>
      <c r="C13" s="92"/>
      <c r="D13" s="30"/>
      <c r="E13" s="30"/>
      <c r="F13" s="30"/>
      <c r="G13" s="97"/>
      <c r="H13" s="31">
        <f t="shared" ref="H13:H14" si="3">F13*D13/100</f>
        <v>0</v>
      </c>
      <c r="I13" s="81"/>
      <c r="J13" s="81"/>
      <c r="K13" s="81"/>
      <c r="L13" s="81"/>
      <c r="M13" s="81"/>
      <c r="N13" s="81"/>
      <c r="O13" s="81"/>
      <c r="P13" s="21" t="s">
        <v>98</v>
      </c>
      <c r="Q13" s="81"/>
      <c r="R13" s="81"/>
      <c r="S13" s="81"/>
    </row>
    <row r="14" spans="2:19" ht="24" customHeight="1" x14ac:dyDescent="0.3">
      <c r="B14" s="92"/>
      <c r="C14" s="92"/>
      <c r="D14" s="30"/>
      <c r="E14" s="30"/>
      <c r="F14" s="30"/>
      <c r="G14" s="98"/>
      <c r="H14" s="31">
        <f t="shared" si="3"/>
        <v>0</v>
      </c>
      <c r="I14" s="82"/>
      <c r="J14" s="82"/>
      <c r="K14" s="82"/>
      <c r="L14" s="82"/>
      <c r="M14" s="82"/>
      <c r="N14" s="82"/>
      <c r="O14" s="82"/>
      <c r="P14" s="21" t="s">
        <v>99</v>
      </c>
      <c r="Q14" s="81"/>
      <c r="R14" s="81"/>
      <c r="S14" s="81"/>
    </row>
    <row r="15" spans="2:19" ht="24" customHeight="1" x14ac:dyDescent="0.3">
      <c r="B15" s="92"/>
      <c r="C15" s="92"/>
      <c r="D15" s="30"/>
      <c r="E15" s="30"/>
      <c r="F15" s="30"/>
      <c r="G15" s="96">
        <f>F15+F16+F17</f>
        <v>0</v>
      </c>
      <c r="H15" s="31">
        <f>F15*D15/100</f>
        <v>0</v>
      </c>
      <c r="I15" s="80">
        <f>H15+H16+H17</f>
        <v>0</v>
      </c>
      <c r="J15" s="80">
        <f>J12+I15</f>
        <v>0</v>
      </c>
      <c r="K15" s="80">
        <v>3.5994608402252197</v>
      </c>
      <c r="L15" s="80">
        <v>419.0950927734375</v>
      </c>
      <c r="M15" s="80">
        <f>K15*L15/1000</f>
        <v>0</v>
      </c>
      <c r="N15" s="80">
        <f>M15+N12</f>
        <v>0</v>
      </c>
      <c r="O15" s="80" t="e">
        <f>I15/M15*1.2/10</f>
        <v>#DIV/0!</v>
      </c>
      <c r="P15" s="21" t="s">
        <v>98</v>
      </c>
      <c r="Q15" s="81"/>
      <c r="R15" s="81"/>
      <c r="S15" s="81"/>
    </row>
    <row r="16" spans="2:19" ht="24" customHeight="1" x14ac:dyDescent="0.3">
      <c r="B16" s="92"/>
      <c r="C16" s="92"/>
      <c r="D16" s="30"/>
      <c r="E16" s="30"/>
      <c r="F16" s="30"/>
      <c r="G16" s="97"/>
      <c r="H16" s="31">
        <f t="shared" ref="H16:H17" si="4">F16*D16/100</f>
        <v>0</v>
      </c>
      <c r="I16" s="81"/>
      <c r="J16" s="81"/>
      <c r="K16" s="81"/>
      <c r="L16" s="81"/>
      <c r="M16" s="81"/>
      <c r="N16" s="81"/>
      <c r="O16" s="81"/>
      <c r="P16" s="21" t="s">
        <v>98</v>
      </c>
      <c r="Q16" s="81"/>
      <c r="R16" s="81"/>
      <c r="S16" s="81"/>
    </row>
    <row r="17" spans="2:19" ht="24" customHeight="1" x14ac:dyDescent="0.3">
      <c r="B17" s="92"/>
      <c r="C17" s="92"/>
      <c r="D17" s="30"/>
      <c r="E17" s="30"/>
      <c r="F17" s="30"/>
      <c r="G17" s="98"/>
      <c r="H17" s="31">
        <f t="shared" si="4"/>
        <v>0</v>
      </c>
      <c r="I17" s="82"/>
      <c r="J17" s="82"/>
      <c r="K17" s="82"/>
      <c r="L17" s="82"/>
      <c r="M17" s="82"/>
      <c r="N17" s="82"/>
      <c r="O17" s="82"/>
      <c r="P17" s="21" t="s">
        <v>99</v>
      </c>
      <c r="Q17" s="82"/>
      <c r="R17" s="82"/>
      <c r="S17" s="82"/>
    </row>
    <row r="18" spans="2:19" ht="24" customHeight="1" x14ac:dyDescent="0.3">
      <c r="B18" s="99" t="s">
        <v>137</v>
      </c>
      <c r="C18" s="99" t="s">
        <v>71</v>
      </c>
      <c r="D18" s="27"/>
      <c r="E18" s="27"/>
      <c r="F18" s="27"/>
      <c r="G18" s="93">
        <f>F18+F19+F20</f>
        <v>0</v>
      </c>
      <c r="H18" s="28">
        <f>F18*D18/100</f>
        <v>0</v>
      </c>
      <c r="I18" s="83">
        <f>H18+H19+H20</f>
        <v>0</v>
      </c>
      <c r="J18" s="83">
        <f t="shared" ref="J18" si="5">I18</f>
        <v>0</v>
      </c>
      <c r="K18" s="83">
        <v>3.600191354751587</v>
      </c>
      <c r="L18" s="83">
        <v>420.90118408203125</v>
      </c>
      <c r="M18" s="83">
        <f>K18*L18/1000</f>
        <v>0</v>
      </c>
      <c r="N18" s="83">
        <v>0</v>
      </c>
      <c r="O18" s="83" t="e">
        <f>I18/M18*1.2/10</f>
        <v>#DIV/0!</v>
      </c>
      <c r="P18" s="29" t="s">
        <v>98</v>
      </c>
      <c r="Q18" s="83" t="e">
        <f>(I18+I21)/(K18+K21)/L18*1.2*100</f>
        <v>#DIV/0!</v>
      </c>
      <c r="R18" s="83">
        <v>0</v>
      </c>
      <c r="S18" s="83">
        <v>0</v>
      </c>
    </row>
    <row r="19" spans="2:19" ht="24" customHeight="1" x14ac:dyDescent="0.3">
      <c r="B19" s="100"/>
      <c r="C19" s="100"/>
      <c r="D19" s="27"/>
      <c r="E19" s="27"/>
      <c r="F19" s="27"/>
      <c r="G19" s="94"/>
      <c r="H19" s="28">
        <f t="shared" ref="H19:H20" si="6">F19*D19/100</f>
        <v>0</v>
      </c>
      <c r="I19" s="84"/>
      <c r="J19" s="84"/>
      <c r="K19" s="84"/>
      <c r="L19" s="84"/>
      <c r="M19" s="84"/>
      <c r="N19" s="84"/>
      <c r="O19" s="84"/>
      <c r="P19" s="29" t="s">
        <v>98</v>
      </c>
      <c r="Q19" s="84"/>
      <c r="R19" s="84"/>
      <c r="S19" s="84"/>
    </row>
    <row r="20" spans="2:19" ht="24" customHeight="1" x14ac:dyDescent="0.3">
      <c r="B20" s="100"/>
      <c r="C20" s="100"/>
      <c r="D20" s="27"/>
      <c r="E20" s="27"/>
      <c r="F20" s="27"/>
      <c r="G20" s="95"/>
      <c r="H20" s="28">
        <f t="shared" si="6"/>
        <v>0</v>
      </c>
      <c r="I20" s="85"/>
      <c r="J20" s="85"/>
      <c r="K20" s="85"/>
      <c r="L20" s="85"/>
      <c r="M20" s="85"/>
      <c r="N20" s="85"/>
      <c r="O20" s="85"/>
      <c r="P20" s="29" t="s">
        <v>99</v>
      </c>
      <c r="Q20" s="84"/>
      <c r="R20" s="84"/>
      <c r="S20" s="84"/>
    </row>
    <row r="21" spans="2:19" ht="24" customHeight="1" x14ac:dyDescent="0.3">
      <c r="B21" s="100"/>
      <c r="C21" s="100"/>
      <c r="D21" s="27"/>
      <c r="E21" s="27"/>
      <c r="F21" s="27"/>
      <c r="G21" s="93">
        <f>F21+F22+F23</f>
        <v>0</v>
      </c>
      <c r="H21" s="28">
        <f>F21*D21/100</f>
        <v>0</v>
      </c>
      <c r="I21" s="83">
        <f>H21+H22+H23</f>
        <v>0</v>
      </c>
      <c r="J21" s="83">
        <f>J18+I21</f>
        <v>0</v>
      </c>
      <c r="K21" s="83">
        <v>3.6006405353546143</v>
      </c>
      <c r="L21" s="83">
        <v>422.1899108886719</v>
      </c>
      <c r="M21" s="83">
        <f>K21*L21/1000</f>
        <v>0</v>
      </c>
      <c r="N21" s="83">
        <f>M21+N18</f>
        <v>0</v>
      </c>
      <c r="O21" s="83" t="e">
        <f>I21/M21*1.2/10</f>
        <v>#DIV/0!</v>
      </c>
      <c r="P21" s="29" t="s">
        <v>98</v>
      </c>
      <c r="Q21" s="84"/>
      <c r="R21" s="84"/>
      <c r="S21" s="84"/>
    </row>
    <row r="22" spans="2:19" ht="24" customHeight="1" x14ac:dyDescent="0.3">
      <c r="B22" s="100"/>
      <c r="C22" s="100"/>
      <c r="D22" s="27"/>
      <c r="E22" s="27"/>
      <c r="F22" s="27"/>
      <c r="G22" s="94"/>
      <c r="H22" s="28">
        <f t="shared" ref="H22:H23" si="7">F22*D22/100</f>
        <v>0</v>
      </c>
      <c r="I22" s="84"/>
      <c r="J22" s="84"/>
      <c r="K22" s="84"/>
      <c r="L22" s="84"/>
      <c r="M22" s="84"/>
      <c r="N22" s="84"/>
      <c r="O22" s="84"/>
      <c r="P22" s="29" t="s">
        <v>98</v>
      </c>
      <c r="Q22" s="84"/>
      <c r="R22" s="84"/>
      <c r="S22" s="84"/>
    </row>
    <row r="23" spans="2:19" ht="24" customHeight="1" x14ac:dyDescent="0.3">
      <c r="B23" s="100"/>
      <c r="C23" s="100"/>
      <c r="D23" s="27"/>
      <c r="E23" s="27"/>
      <c r="F23" s="27"/>
      <c r="G23" s="95"/>
      <c r="H23" s="28">
        <f t="shared" si="7"/>
        <v>0</v>
      </c>
      <c r="I23" s="85"/>
      <c r="J23" s="85"/>
      <c r="K23" s="85"/>
      <c r="L23" s="85"/>
      <c r="M23" s="85"/>
      <c r="N23" s="85"/>
      <c r="O23" s="85"/>
      <c r="P23" s="29" t="s">
        <v>99</v>
      </c>
      <c r="Q23" s="85"/>
      <c r="R23" s="85"/>
      <c r="S23" s="85"/>
    </row>
    <row r="24" spans="2:19" ht="24" customHeight="1" x14ac:dyDescent="0.3">
      <c r="B24" s="55" t="s">
        <v>138</v>
      </c>
      <c r="C24" s="55" t="s">
        <v>72</v>
      </c>
      <c r="D24" s="30"/>
      <c r="E24" s="30"/>
      <c r="F24" s="30"/>
      <c r="G24" s="96">
        <f>F24+F25+F26</f>
        <v>0</v>
      </c>
      <c r="H24" s="31">
        <f>F24*D24/100</f>
        <v>0</v>
      </c>
      <c r="I24" s="80">
        <f>H24+H25+H26</f>
        <v>0</v>
      </c>
      <c r="J24" s="80">
        <f t="shared" ref="J24" si="8">I24</f>
        <v>0</v>
      </c>
      <c r="K24" s="80">
        <v>-67.6629867553711</v>
      </c>
      <c r="L24" s="80">
        <v>421.5671081542969</v>
      </c>
      <c r="M24" s="80">
        <f>K24*L24/1000</f>
        <v>0</v>
      </c>
      <c r="N24" s="80">
        <v>0</v>
      </c>
      <c r="O24" s="80" t="e">
        <f>I24/M24*1.2/10</f>
        <v>#DIV/0!</v>
      </c>
      <c r="P24" s="21" t="s">
        <v>98</v>
      </c>
      <c r="Q24" s="80" t="e">
        <f>(I24+I27)/(K24+K27)/L24*1.2*100</f>
        <v>#DIV/0!</v>
      </c>
      <c r="R24" s="80">
        <v>0</v>
      </c>
      <c r="S24" s="80">
        <v>0</v>
      </c>
    </row>
    <row r="25" spans="2:19" ht="24" customHeight="1" x14ac:dyDescent="0.3">
      <c r="B25" s="92"/>
      <c r="C25" s="92"/>
      <c r="D25" s="30"/>
      <c r="E25" s="30"/>
      <c r="F25" s="30"/>
      <c r="G25" s="97"/>
      <c r="H25" s="31">
        <f t="shared" ref="H25:H26" si="9">F25*D25/100</f>
        <v>0</v>
      </c>
      <c r="I25" s="81"/>
      <c r="J25" s="81"/>
      <c r="K25" s="81"/>
      <c r="L25" s="81"/>
      <c r="M25" s="81"/>
      <c r="N25" s="81"/>
      <c r="O25" s="81"/>
      <c r="P25" s="21" t="s">
        <v>98</v>
      </c>
      <c r="Q25" s="81"/>
      <c r="R25" s="81"/>
      <c r="S25" s="81"/>
    </row>
    <row r="26" spans="2:19" ht="24" customHeight="1" x14ac:dyDescent="0.3">
      <c r="B26" s="92"/>
      <c r="C26" s="92"/>
      <c r="D26" s="30"/>
      <c r="E26" s="30"/>
      <c r="F26" s="30"/>
      <c r="G26" s="98"/>
      <c r="H26" s="31">
        <f t="shared" si="9"/>
        <v>0</v>
      </c>
      <c r="I26" s="82"/>
      <c r="J26" s="82"/>
      <c r="K26" s="82"/>
      <c r="L26" s="82"/>
      <c r="M26" s="82"/>
      <c r="N26" s="82"/>
      <c r="O26" s="82"/>
      <c r="P26" s="21" t="s">
        <v>99</v>
      </c>
      <c r="Q26" s="81"/>
      <c r="R26" s="81"/>
      <c r="S26" s="81"/>
    </row>
    <row r="27" spans="2:19" ht="24" customHeight="1" x14ac:dyDescent="0.3">
      <c r="B27" s="92"/>
      <c r="C27" s="92"/>
      <c r="D27" s="30"/>
      <c r="E27" s="30"/>
      <c r="F27" s="30"/>
      <c r="G27" s="96">
        <f>F27+F28+F29</f>
        <v>0</v>
      </c>
      <c r="H27" s="31">
        <f>F27*D27/100</f>
        <v>0</v>
      </c>
      <c r="I27" s="80">
        <f>H27+H28+H29</f>
        <v>0</v>
      </c>
      <c r="J27" s="80">
        <f>J24+I27</f>
        <v>0</v>
      </c>
      <c r="K27" s="80">
        <v>3.6022307872772217</v>
      </c>
      <c r="L27" s="80">
        <v>419.2233581542969</v>
      </c>
      <c r="M27" s="80">
        <f>K27*L27/1000</f>
        <v>0</v>
      </c>
      <c r="N27" s="80">
        <f>M27+N24</f>
        <v>0</v>
      </c>
      <c r="O27" s="80" t="e">
        <f>I27/M27*1.2/10</f>
        <v>#DIV/0!</v>
      </c>
      <c r="P27" s="21" t="s">
        <v>98</v>
      </c>
      <c r="Q27" s="81"/>
      <c r="R27" s="81"/>
      <c r="S27" s="81"/>
    </row>
    <row r="28" spans="2:19" ht="24" customHeight="1" x14ac:dyDescent="0.3">
      <c r="B28" s="92"/>
      <c r="C28" s="92"/>
      <c r="D28" s="30"/>
      <c r="E28" s="30"/>
      <c r="F28" s="30"/>
      <c r="G28" s="97"/>
      <c r="H28" s="31">
        <f t="shared" ref="H28:H29" si="10">F28*D28/100</f>
        <v>0</v>
      </c>
      <c r="I28" s="81"/>
      <c r="J28" s="81"/>
      <c r="K28" s="81"/>
      <c r="L28" s="81"/>
      <c r="M28" s="81"/>
      <c r="N28" s="81"/>
      <c r="O28" s="81"/>
      <c r="P28" s="21" t="s">
        <v>98</v>
      </c>
      <c r="Q28" s="81"/>
      <c r="R28" s="81"/>
      <c r="S28" s="81"/>
    </row>
    <row r="29" spans="2:19" ht="24" customHeight="1" x14ac:dyDescent="0.3">
      <c r="B29" s="92"/>
      <c r="C29" s="92"/>
      <c r="D29" s="30"/>
      <c r="E29" s="30"/>
      <c r="F29" s="30"/>
      <c r="G29" s="98"/>
      <c r="H29" s="31">
        <f t="shared" si="10"/>
        <v>0</v>
      </c>
      <c r="I29" s="82"/>
      <c r="J29" s="82"/>
      <c r="K29" s="82"/>
      <c r="L29" s="82"/>
      <c r="M29" s="82"/>
      <c r="N29" s="82"/>
      <c r="O29" s="82"/>
      <c r="P29" s="21" t="s">
        <v>99</v>
      </c>
      <c r="Q29" s="82"/>
      <c r="R29" s="82"/>
      <c r="S29" s="82"/>
    </row>
    <row r="30" spans="2:19" ht="24" customHeight="1" x14ac:dyDescent="0.3">
      <c r="B30" s="99" t="s">
        <v>139</v>
      </c>
      <c r="C30" s="99" t="s">
        <v>73</v>
      </c>
      <c r="D30" s="27"/>
      <c r="E30" s="27"/>
      <c r="F30" s="27"/>
      <c r="G30" s="93">
        <f>F30+F31+F32</f>
        <v>0</v>
      </c>
      <c r="H30" s="28">
        <f>F30*D30/100</f>
        <v>0</v>
      </c>
      <c r="I30" s="83">
        <f>H30+H31+H32</f>
        <v>0</v>
      </c>
      <c r="J30" s="83">
        <f t="shared" ref="J30" si="11">I30</f>
        <v>0</v>
      </c>
      <c r="K30" s="83">
        <v>3.5980002880096436</v>
      </c>
      <c r="L30" s="83">
        <v>419.9039306640625</v>
      </c>
      <c r="M30" s="83">
        <f>K30*L30/1000</f>
        <v>0</v>
      </c>
      <c r="N30" s="83">
        <v>0</v>
      </c>
      <c r="O30" s="83" t="e">
        <f>I30/M30*1.2/10</f>
        <v>#DIV/0!</v>
      </c>
      <c r="P30" s="29" t="s">
        <v>98</v>
      </c>
      <c r="Q30" s="83" t="e">
        <f>(I30+I33)/(K30+K33)/L30*1.2*100</f>
        <v>#DIV/0!</v>
      </c>
      <c r="R30" s="83">
        <v>0</v>
      </c>
      <c r="S30" s="83">
        <v>0</v>
      </c>
    </row>
    <row r="31" spans="2:19" ht="24" customHeight="1" x14ac:dyDescent="0.3">
      <c r="B31" s="100"/>
      <c r="C31" s="100"/>
      <c r="D31" s="27"/>
      <c r="E31" s="27"/>
      <c r="F31" s="27"/>
      <c r="G31" s="94"/>
      <c r="H31" s="28">
        <f t="shared" ref="H31:H32" si="12">F31*D31/100</f>
        <v>0</v>
      </c>
      <c r="I31" s="84"/>
      <c r="J31" s="84"/>
      <c r="K31" s="84"/>
      <c r="L31" s="84"/>
      <c r="M31" s="84"/>
      <c r="N31" s="84"/>
      <c r="O31" s="84"/>
      <c r="P31" s="29" t="s">
        <v>98</v>
      </c>
      <c r="Q31" s="84"/>
      <c r="R31" s="84"/>
      <c r="S31" s="84"/>
    </row>
    <row r="32" spans="2:19" ht="24" customHeight="1" x14ac:dyDescent="0.3">
      <c r="B32" s="100"/>
      <c r="C32" s="100"/>
      <c r="D32" s="27"/>
      <c r="E32" s="27"/>
      <c r="F32" s="27"/>
      <c r="G32" s="95"/>
      <c r="H32" s="28">
        <f t="shared" si="12"/>
        <v>0</v>
      </c>
      <c r="I32" s="85"/>
      <c r="J32" s="85"/>
      <c r="K32" s="85"/>
      <c r="L32" s="85"/>
      <c r="M32" s="85"/>
      <c r="N32" s="85"/>
      <c r="O32" s="85"/>
      <c r="P32" s="29" t="s">
        <v>99</v>
      </c>
      <c r="Q32" s="84"/>
      <c r="R32" s="84"/>
      <c r="S32" s="84"/>
    </row>
    <row r="33" spans="2:19" ht="24" customHeight="1" x14ac:dyDescent="0.3">
      <c r="B33" s="100"/>
      <c r="C33" s="100"/>
      <c r="D33" s="27"/>
      <c r="E33" s="27"/>
      <c r="F33" s="27"/>
      <c r="G33" s="93">
        <f>F33+F34+F35</f>
        <v>0</v>
      </c>
      <c r="H33" s="28">
        <f>F33*D33/100</f>
        <v>0</v>
      </c>
      <c r="I33" s="83">
        <f>H33+H34+H35</f>
        <v>0</v>
      </c>
      <c r="J33" s="83">
        <f>J30+I33</f>
        <v>0</v>
      </c>
      <c r="K33" s="83">
        <v>3.5991132259368896</v>
      </c>
      <c r="L33" s="83">
        <v>418.50006103515625</v>
      </c>
      <c r="M33" s="83">
        <f>K33*L33/1000</f>
        <v>0</v>
      </c>
      <c r="N33" s="83">
        <f>M33+N30</f>
        <v>0</v>
      </c>
      <c r="O33" s="83" t="e">
        <f>I33/M33*1.2/10</f>
        <v>#DIV/0!</v>
      </c>
      <c r="P33" s="29" t="s">
        <v>98</v>
      </c>
      <c r="Q33" s="84"/>
      <c r="R33" s="84"/>
      <c r="S33" s="84"/>
    </row>
    <row r="34" spans="2:19" ht="24" customHeight="1" x14ac:dyDescent="0.3">
      <c r="B34" s="100"/>
      <c r="C34" s="100"/>
      <c r="D34" s="27"/>
      <c r="E34" s="27"/>
      <c r="F34" s="27"/>
      <c r="G34" s="94"/>
      <c r="H34" s="28">
        <f t="shared" ref="H34:H35" si="13">F34*D34/100</f>
        <v>0</v>
      </c>
      <c r="I34" s="84"/>
      <c r="J34" s="84"/>
      <c r="K34" s="84"/>
      <c r="L34" s="84"/>
      <c r="M34" s="84"/>
      <c r="N34" s="84"/>
      <c r="O34" s="84"/>
      <c r="P34" s="29" t="s">
        <v>98</v>
      </c>
      <c r="Q34" s="84"/>
      <c r="R34" s="84"/>
      <c r="S34" s="84"/>
    </row>
    <row r="35" spans="2:19" ht="24" customHeight="1" x14ac:dyDescent="0.3">
      <c r="B35" s="100"/>
      <c r="C35" s="100"/>
      <c r="D35" s="27"/>
      <c r="E35" s="27"/>
      <c r="F35" s="27"/>
      <c r="G35" s="95"/>
      <c r="H35" s="28">
        <f t="shared" si="13"/>
        <v>0</v>
      </c>
      <c r="I35" s="85"/>
      <c r="J35" s="85"/>
      <c r="K35" s="85"/>
      <c r="L35" s="85"/>
      <c r="M35" s="85"/>
      <c r="N35" s="85"/>
      <c r="O35" s="85"/>
      <c r="P35" s="29" t="s">
        <v>99</v>
      </c>
      <c r="Q35" s="85"/>
      <c r="R35" s="85"/>
      <c r="S35" s="85"/>
    </row>
    <row r="36" spans="2:19" ht="24" customHeight="1" x14ac:dyDescent="0.3">
      <c r="B36" s="55" t="s">
        <v>140</v>
      </c>
      <c r="C36" s="55" t="s">
        <v>74</v>
      </c>
      <c r="D36" s="30"/>
      <c r="E36" s="30"/>
      <c r="F36" s="30"/>
      <c r="G36" s="96">
        <f>F36+F37+F38</f>
        <v>0</v>
      </c>
      <c r="H36" s="31">
        <f>F36*D36/100</f>
        <v>0</v>
      </c>
      <c r="I36" s="80">
        <f>H36+H37+H38</f>
        <v>0</v>
      </c>
      <c r="J36" s="80">
        <f t="shared" ref="J36" si="14">I36</f>
        <v>0</v>
      </c>
      <c r="K36" s="80">
        <v>3.6010899543762207</v>
      </c>
      <c r="L36" s="80">
        <v>419.05694580078125</v>
      </c>
      <c r="M36" s="80">
        <f>K36*L36/1000</f>
        <v>0</v>
      </c>
      <c r="N36" s="80">
        <v>0</v>
      </c>
      <c r="O36" s="80" t="e">
        <f>I36/M36*1.2/10</f>
        <v>#DIV/0!</v>
      </c>
      <c r="P36" s="21" t="s">
        <v>98</v>
      </c>
      <c r="Q36" s="80" t="e">
        <f>(I36+I39)/(K36+K39)/L36*1.2*100</f>
        <v>#DIV/0!</v>
      </c>
      <c r="R36" s="80">
        <v>0</v>
      </c>
      <c r="S36" s="80">
        <v>0</v>
      </c>
    </row>
    <row r="37" spans="2:19" ht="24" customHeight="1" x14ac:dyDescent="0.3">
      <c r="B37" s="92"/>
      <c r="C37" s="92"/>
      <c r="D37" s="30"/>
      <c r="E37" s="30"/>
      <c r="F37" s="30"/>
      <c r="G37" s="97"/>
      <c r="H37" s="31">
        <f t="shared" ref="H37:H38" si="15">F37*D37/100</f>
        <v>0</v>
      </c>
      <c r="I37" s="81"/>
      <c r="J37" s="81"/>
      <c r="K37" s="81"/>
      <c r="L37" s="81"/>
      <c r="M37" s="81"/>
      <c r="N37" s="81"/>
      <c r="O37" s="81"/>
      <c r="P37" s="21" t="s">
        <v>98</v>
      </c>
      <c r="Q37" s="81"/>
      <c r="R37" s="81"/>
      <c r="S37" s="81"/>
    </row>
    <row r="38" spans="2:19" ht="24" customHeight="1" x14ac:dyDescent="0.3">
      <c r="B38" s="92"/>
      <c r="C38" s="92"/>
      <c r="D38" s="30"/>
      <c r="E38" s="30"/>
      <c r="F38" s="30"/>
      <c r="G38" s="98"/>
      <c r="H38" s="31">
        <f t="shared" si="15"/>
        <v>0</v>
      </c>
      <c r="I38" s="82"/>
      <c r="J38" s="82"/>
      <c r="K38" s="82"/>
      <c r="L38" s="82"/>
      <c r="M38" s="82"/>
      <c r="N38" s="82"/>
      <c r="O38" s="82"/>
      <c r="P38" s="21" t="s">
        <v>99</v>
      </c>
      <c r="Q38" s="81"/>
      <c r="R38" s="81"/>
      <c r="S38" s="81"/>
    </row>
    <row r="39" spans="2:19" ht="24" customHeight="1" x14ac:dyDescent="0.3">
      <c r="B39" s="92"/>
      <c r="C39" s="92"/>
      <c r="D39" s="30"/>
      <c r="E39" s="30"/>
      <c r="F39" s="30"/>
      <c r="G39" s="96">
        <f>F39+F40+F41</f>
        <v>0</v>
      </c>
      <c r="H39" s="31">
        <f>F39*D39/100</f>
        <v>0</v>
      </c>
      <c r="I39" s="80">
        <f>H39+H40+H41</f>
        <v>0</v>
      </c>
      <c r="J39" s="80">
        <f>J36+I39</f>
        <v>0</v>
      </c>
      <c r="K39" s="80">
        <v>2.799389600753784</v>
      </c>
      <c r="L39" s="80">
        <v>491.46478271484375</v>
      </c>
      <c r="M39" s="80">
        <f>K39*L39/1000</f>
        <v>0</v>
      </c>
      <c r="N39" s="80">
        <f>M39+N36</f>
        <v>0</v>
      </c>
      <c r="O39" s="80" t="e">
        <f>I39/M39*1.2/10</f>
        <v>#DIV/0!</v>
      </c>
      <c r="P39" s="21" t="s">
        <v>98</v>
      </c>
      <c r="Q39" s="81"/>
      <c r="R39" s="81"/>
      <c r="S39" s="81"/>
    </row>
    <row r="40" spans="2:19" ht="24" customHeight="1" x14ac:dyDescent="0.3">
      <c r="B40" s="92"/>
      <c r="C40" s="92"/>
      <c r="D40" s="30"/>
      <c r="E40" s="30"/>
      <c r="F40" s="30"/>
      <c r="G40" s="97"/>
      <c r="H40" s="31">
        <f t="shared" ref="H40:H41" si="16">F40*D40/100</f>
        <v>0</v>
      </c>
      <c r="I40" s="81"/>
      <c r="J40" s="81"/>
      <c r="K40" s="81"/>
      <c r="L40" s="81"/>
      <c r="M40" s="81"/>
      <c r="N40" s="81"/>
      <c r="O40" s="81"/>
      <c r="P40" s="21" t="s">
        <v>98</v>
      </c>
      <c r="Q40" s="81"/>
      <c r="R40" s="81"/>
      <c r="S40" s="81"/>
    </row>
    <row r="41" spans="2:19" ht="24" customHeight="1" x14ac:dyDescent="0.3">
      <c r="B41" s="92"/>
      <c r="C41" s="92"/>
      <c r="D41" s="30"/>
      <c r="E41" s="30"/>
      <c r="F41" s="30"/>
      <c r="G41" s="98"/>
      <c r="H41" s="31">
        <f t="shared" si="16"/>
        <v>0</v>
      </c>
      <c r="I41" s="82"/>
      <c r="J41" s="82"/>
      <c r="K41" s="82"/>
      <c r="L41" s="82"/>
      <c r="M41" s="82"/>
      <c r="N41" s="82"/>
      <c r="O41" s="82"/>
      <c r="P41" s="21" t="s">
        <v>99</v>
      </c>
      <c r="Q41" s="82"/>
      <c r="R41" s="82"/>
      <c r="S41" s="82"/>
    </row>
    <row r="42" spans="2:19" ht="24" customHeight="1" x14ac:dyDescent="0.3">
      <c r="B42" s="99" t="s">
        <v>141</v>
      </c>
      <c r="C42" s="99" t="s">
        <v>75</v>
      </c>
      <c r="D42" s="27"/>
      <c r="E42" s="27"/>
      <c r="F42" s="27"/>
      <c r="G42" s="93">
        <f>F42+F43+F44</f>
        <v>0</v>
      </c>
      <c r="H42" s="28">
        <f>F42*D42/100</f>
        <v>0</v>
      </c>
      <c r="I42" s="83">
        <f>H42+H43+H44</f>
        <v>0</v>
      </c>
      <c r="J42" s="83">
        <f t="shared" ref="J42" si="17">I42</f>
        <v>0</v>
      </c>
      <c r="K42" s="83">
        <v>-17.075942993164062</v>
      </c>
      <c r="L42" s="83">
        <v>421.23309326171875</v>
      </c>
      <c r="M42" s="83">
        <f>K42*L42/1000</f>
        <v>0</v>
      </c>
      <c r="N42" s="83">
        <v>0</v>
      </c>
      <c r="O42" s="83" t="e">
        <f>I42/M42*1.2/10</f>
        <v>#DIV/0!</v>
      </c>
      <c r="P42" s="29" t="s">
        <v>98</v>
      </c>
      <c r="Q42" s="83" t="e">
        <f>(I42+I45)/(K42+K45)/L42*1.2*100</f>
        <v>#DIV/0!</v>
      </c>
      <c r="R42" s="83">
        <v>0</v>
      </c>
      <c r="S42" s="83">
        <v>0</v>
      </c>
    </row>
    <row r="43" spans="2:19" ht="24" customHeight="1" x14ac:dyDescent="0.3">
      <c r="B43" s="100"/>
      <c r="C43" s="100"/>
      <c r="D43" s="27"/>
      <c r="E43" s="27"/>
      <c r="F43" s="27"/>
      <c r="G43" s="94"/>
      <c r="H43" s="28">
        <f t="shared" ref="H43:H44" si="18">F43*D43/100</f>
        <v>0</v>
      </c>
      <c r="I43" s="84"/>
      <c r="J43" s="84"/>
      <c r="K43" s="84"/>
      <c r="L43" s="84"/>
      <c r="M43" s="84"/>
      <c r="N43" s="84"/>
      <c r="O43" s="84"/>
      <c r="P43" s="29" t="s">
        <v>98</v>
      </c>
      <c r="Q43" s="84"/>
      <c r="R43" s="84"/>
      <c r="S43" s="84"/>
    </row>
    <row r="44" spans="2:19" ht="24" customHeight="1" x14ac:dyDescent="0.3">
      <c r="B44" s="100"/>
      <c r="C44" s="100"/>
      <c r="D44" s="27"/>
      <c r="E44" s="27"/>
      <c r="F44" s="27"/>
      <c r="G44" s="95"/>
      <c r="H44" s="28">
        <f t="shared" si="18"/>
        <v>0</v>
      </c>
      <c r="I44" s="85"/>
      <c r="J44" s="85"/>
      <c r="K44" s="85"/>
      <c r="L44" s="85"/>
      <c r="M44" s="85"/>
      <c r="N44" s="85"/>
      <c r="O44" s="85"/>
      <c r="P44" s="29" t="s">
        <v>99</v>
      </c>
      <c r="Q44" s="84"/>
      <c r="R44" s="84"/>
      <c r="S44" s="84"/>
    </row>
    <row r="45" spans="2:19" ht="24" customHeight="1" x14ac:dyDescent="0.3">
      <c r="B45" s="100"/>
      <c r="C45" s="100"/>
      <c r="D45" s="27"/>
      <c r="E45" s="27"/>
      <c r="F45" s="27"/>
      <c r="G45" s="93">
        <f>F45+F46+F47</f>
        <v>0</v>
      </c>
      <c r="H45" s="28">
        <f>F45*D45/100</f>
        <v>0</v>
      </c>
      <c r="I45" s="83">
        <f>H45+H46+H47</f>
        <v>0</v>
      </c>
      <c r="J45" s="83">
        <f>J42+I45</f>
        <v>0</v>
      </c>
      <c r="K45" s="83">
        <v>0.9004899859428406</v>
      </c>
      <c r="L45" s="83">
        <v>420.19219970703125</v>
      </c>
      <c r="M45" s="83">
        <f>K45*L45/1000</f>
        <v>0</v>
      </c>
      <c r="N45" s="83">
        <f>M45+N42</f>
        <v>0</v>
      </c>
      <c r="O45" s="83" t="e">
        <f>I45/M45*1.2/10</f>
        <v>#DIV/0!</v>
      </c>
      <c r="P45" s="29" t="s">
        <v>98</v>
      </c>
      <c r="Q45" s="84"/>
      <c r="R45" s="84"/>
      <c r="S45" s="84"/>
    </row>
    <row r="46" spans="2:19" ht="24" customHeight="1" x14ac:dyDescent="0.3">
      <c r="B46" s="100"/>
      <c r="C46" s="100"/>
      <c r="D46" s="27"/>
      <c r="E46" s="27"/>
      <c r="F46" s="27"/>
      <c r="G46" s="94"/>
      <c r="H46" s="28">
        <f t="shared" ref="H46:H47" si="19">F46*D46/100</f>
        <v>0</v>
      </c>
      <c r="I46" s="84"/>
      <c r="J46" s="84"/>
      <c r="K46" s="84"/>
      <c r="L46" s="84"/>
      <c r="M46" s="84"/>
      <c r="N46" s="84"/>
      <c r="O46" s="84"/>
      <c r="P46" s="29" t="s">
        <v>98</v>
      </c>
      <c r="Q46" s="84"/>
      <c r="R46" s="84"/>
      <c r="S46" s="84"/>
    </row>
    <row r="47" spans="2:19" ht="24" customHeight="1" x14ac:dyDescent="0.3">
      <c r="B47" s="100"/>
      <c r="C47" s="100"/>
      <c r="D47" s="27"/>
      <c r="E47" s="27"/>
      <c r="F47" s="27"/>
      <c r="G47" s="95"/>
      <c r="H47" s="28">
        <f t="shared" si="19"/>
        <v>0</v>
      </c>
      <c r="I47" s="85"/>
      <c r="J47" s="85"/>
      <c r="K47" s="85"/>
      <c r="L47" s="85"/>
      <c r="M47" s="85"/>
      <c r="N47" s="85"/>
      <c r="O47" s="85"/>
      <c r="P47" s="29" t="s">
        <v>99</v>
      </c>
      <c r="Q47" s="85"/>
      <c r="R47" s="85"/>
      <c r="S47" s="85"/>
    </row>
    <row r="48" spans="2:19" ht="24" customHeight="1" x14ac:dyDescent="0.3">
      <c r="B48" s="54" t="s">
        <v>14</v>
      </c>
      <c r="C48" s="86" t="s">
        <v>76</v>
      </c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8"/>
    </row>
    <row r="49" spans="2:19" ht="24" customHeight="1" x14ac:dyDescent="0.3">
      <c r="B49" s="54"/>
      <c r="C49" s="89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1"/>
    </row>
  </sheetData>
  <sheetCalcPr fullCalcOnLoad="1"/>
  <mergeCells count="152">
    <mergeCell ref="O6:O8"/>
    <mergeCell ref="Q6:Q11"/>
    <mergeCell ref="M9:M11"/>
    <mergeCell ref="N9:N11"/>
    <mergeCell ref="B42:B47"/>
    <mergeCell ref="C42:C47"/>
    <mergeCell ref="G42:G44"/>
    <mergeCell ref="B2:S2"/>
    <mergeCell ref="B3:S3"/>
    <mergeCell ref="R6:R11"/>
    <mergeCell ref="R12:R17"/>
    <mergeCell ref="R18:R23"/>
    <mergeCell ref="R24:R29"/>
    <mergeCell ref="R30:R35"/>
    <mergeCell ref="R36:R41"/>
    <mergeCell ref="R42:R47"/>
    <mergeCell ref="S6:S11"/>
    <mergeCell ref="S12:S17"/>
    <mergeCell ref="S18:S23"/>
    <mergeCell ref="S24:S29"/>
    <mergeCell ref="S30:S35"/>
    <mergeCell ref="S36:S41"/>
    <mergeCell ref="S42:S47"/>
    <mergeCell ref="B4:B5"/>
    <mergeCell ref="M6:M8"/>
    <mergeCell ref="N6:N8"/>
    <mergeCell ref="O9:O11"/>
    <mergeCell ref="B6:B11"/>
    <mergeCell ref="B12:B17"/>
    <mergeCell ref="C12:C17"/>
    <mergeCell ref="G12:G14"/>
    <mergeCell ref="I12:I14"/>
    <mergeCell ref="J12:J14"/>
    <mergeCell ref="K12:K14"/>
    <mergeCell ref="G9:G11"/>
    <mergeCell ref="I9:I11"/>
    <mergeCell ref="J9:J11"/>
    <mergeCell ref="K9:K11"/>
    <mergeCell ref="L15:L17"/>
    <mergeCell ref="L12:L14"/>
    <mergeCell ref="M12:M14"/>
    <mergeCell ref="N12:N14"/>
    <mergeCell ref="O12:O14"/>
    <mergeCell ref="G6:G8"/>
    <mergeCell ref="I6:I8"/>
    <mergeCell ref="J6:J8"/>
    <mergeCell ref="K6:K8"/>
    <mergeCell ref="L6:L8"/>
    <mergeCell ref="C6:C11"/>
    <mergeCell ref="L9:L11"/>
    <mergeCell ref="Q12:Q17"/>
    <mergeCell ref="M15:M17"/>
    <mergeCell ref="N15:N17"/>
    <mergeCell ref="O15:O17"/>
    <mergeCell ref="B18:B23"/>
    <mergeCell ref="C18:C23"/>
    <mergeCell ref="G18:G20"/>
    <mergeCell ref="I18:I20"/>
    <mergeCell ref="J18:J20"/>
    <mergeCell ref="G15:G17"/>
    <mergeCell ref="I15:I17"/>
    <mergeCell ref="J15:J17"/>
    <mergeCell ref="K15:K17"/>
    <mergeCell ref="Q18:Q23"/>
    <mergeCell ref="G21:G23"/>
    <mergeCell ref="I21:I23"/>
    <mergeCell ref="J21:J23"/>
    <mergeCell ref="K21:K23"/>
    <mergeCell ref="L21:L23"/>
    <mergeCell ref="M21:M23"/>
    <mergeCell ref="N21:N23"/>
    <mergeCell ref="O21:O23"/>
    <mergeCell ref="K18:K20"/>
    <mergeCell ref="L18:L20"/>
    <mergeCell ref="M18:M20"/>
    <mergeCell ref="N18:N20"/>
    <mergeCell ref="O18:O20"/>
    <mergeCell ref="B30:B35"/>
    <mergeCell ref="I30:I32"/>
    <mergeCell ref="C30:C35"/>
    <mergeCell ref="G30:G32"/>
    <mergeCell ref="B24:B29"/>
    <mergeCell ref="C24:C29"/>
    <mergeCell ref="Q30:Q35"/>
    <mergeCell ref="J30:J32"/>
    <mergeCell ref="K30:K32"/>
    <mergeCell ref="L30:L32"/>
    <mergeCell ref="M30:M32"/>
    <mergeCell ref="N30:N32"/>
    <mergeCell ref="Q24:Q29"/>
    <mergeCell ref="G27:G29"/>
    <mergeCell ref="I27:I29"/>
    <mergeCell ref="J27:J29"/>
    <mergeCell ref="K27:K29"/>
    <mergeCell ref="L27:L29"/>
    <mergeCell ref="M27:M29"/>
    <mergeCell ref="N27:N29"/>
    <mergeCell ref="O27:O29"/>
    <mergeCell ref="K24:K26"/>
    <mergeCell ref="L24:L26"/>
    <mergeCell ref="M24:M26"/>
    <mergeCell ref="C36:C41"/>
    <mergeCell ref="G36:G38"/>
    <mergeCell ref="O36:O38"/>
    <mergeCell ref="G39:G41"/>
    <mergeCell ref="O39:O41"/>
    <mergeCell ref="I39:I41"/>
    <mergeCell ref="J39:J41"/>
    <mergeCell ref="K39:K41"/>
    <mergeCell ref="L39:L41"/>
    <mergeCell ref="M39:M41"/>
    <mergeCell ref="N39:N41"/>
    <mergeCell ref="M36:M38"/>
    <mergeCell ref="N36:N38"/>
    <mergeCell ref="O42:O44"/>
    <mergeCell ref="I42:I44"/>
    <mergeCell ref="N24:N26"/>
    <mergeCell ref="O24:O26"/>
    <mergeCell ref="G24:G26"/>
    <mergeCell ref="I24:I26"/>
    <mergeCell ref="J24:J26"/>
    <mergeCell ref="O30:O32"/>
    <mergeCell ref="G33:G35"/>
    <mergeCell ref="O33:O35"/>
    <mergeCell ref="I33:I35"/>
    <mergeCell ref="J33:J35"/>
    <mergeCell ref="K33:K35"/>
    <mergeCell ref="J42:J44"/>
    <mergeCell ref="Q36:Q41"/>
    <mergeCell ref="B48:B49"/>
    <mergeCell ref="L33:L35"/>
    <mergeCell ref="M33:M35"/>
    <mergeCell ref="N33:N35"/>
    <mergeCell ref="C48:S49"/>
    <mergeCell ref="B36:B41"/>
    <mergeCell ref="I36:I38"/>
    <mergeCell ref="J36:J38"/>
    <mergeCell ref="K36:K38"/>
    <mergeCell ref="L36:L38"/>
    <mergeCell ref="Q42:Q47"/>
    <mergeCell ref="G45:G47"/>
    <mergeCell ref="I45:I47"/>
    <mergeCell ref="J45:J47"/>
    <mergeCell ref="K45:K47"/>
    <mergeCell ref="L45:L47"/>
    <mergeCell ref="M45:M47"/>
    <mergeCell ref="N45:N47"/>
    <mergeCell ref="O45:O47"/>
    <mergeCell ref="K42:K44"/>
    <mergeCell ref="L42:L44"/>
    <mergeCell ref="M42:M44"/>
    <mergeCell ref="N42:N4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5"/>
  <dimension ref="B2:I26"/>
  <sheetViews>
    <sheetView zoomScaleNormal="100" workbookViewId="0">
      <selection activeCell="H20" sqref="H20"/>
    </sheetView>
  </sheetViews>
  <sheetFormatPr defaultColWidth="9" defaultRowHeight="24" customHeight="1" x14ac:dyDescent="0.3"/>
  <cols>
    <col min="1" max="1" width="1.58203125" style="20" customWidth="1"/>
    <col min="2" max="7" width="12.58203125" style="20" customWidth="1"/>
    <col min="8" max="8" width="12.75" style="20" customWidth="1"/>
  </cols>
  <sheetData>
    <row r="2" spans="2:8" ht="24" customHeight="1" x14ac:dyDescent="0.3">
      <c r="B2" s="77" t="s">
        <v>89</v>
      </c>
      <c r="C2" s="78"/>
      <c r="D2" s="78"/>
      <c r="E2" s="78"/>
      <c r="F2" s="78"/>
      <c r="G2" s="78"/>
      <c r="H2" s="78"/>
    </row>
    <row r="3" spans="2:8" ht="24" customHeight="1" x14ac:dyDescent="0.3">
      <c r="B3" s="73" t="s">
        <v>135</v>
      </c>
      <c r="C3" s="74"/>
      <c r="D3" s="74"/>
      <c r="E3" s="74"/>
      <c r="F3" s="74"/>
      <c r="G3" s="74"/>
      <c r="H3" s="74"/>
    </row>
    <row r="4" spans="2:8" ht="24" customHeight="1" x14ac:dyDescent="0.3">
      <c r="B4" s="54" t="s">
        <v>19</v>
      </c>
      <c r="C4" s="5" t="s">
        <v>3</v>
      </c>
      <c r="D4" s="54" t="s">
        <v>4</v>
      </c>
      <c r="E4" s="54"/>
      <c r="F4" s="54" t="s">
        <v>38</v>
      </c>
      <c r="G4" s="54"/>
      <c r="H4" s="5" t="s">
        <v>53</v>
      </c>
    </row>
    <row r="5" spans="2:8" ht="24" customHeight="1" x14ac:dyDescent="0.3">
      <c r="B5" s="54"/>
      <c r="C5" s="5" t="s">
        <v>8</v>
      </c>
      <c r="D5" s="25" t="s">
        <v>80</v>
      </c>
      <c r="E5" s="25" t="s">
        <v>81</v>
      </c>
      <c r="F5" s="5" t="s">
        <v>13</v>
      </c>
      <c r="G5" s="5" t="s">
        <v>15</v>
      </c>
      <c r="H5" s="5" t="s">
        <v>79</v>
      </c>
    </row>
    <row r="6" spans="2:8" ht="24" customHeight="1" x14ac:dyDescent="0.3">
      <c r="B6" s="22" t="s">
        <v>134</v>
      </c>
      <c r="C6" s="22" t="s">
        <v>69</v>
      </c>
      <c r="D6" s="23">
        <v>5.909999847412109</v>
      </c>
      <c r="E6" s="23"/>
      <c r="F6" s="23"/>
      <c r="G6" s="23"/>
      <c r="H6" s="23"/>
    </row>
    <row r="7" spans="2:8" ht="24" customHeight="1" x14ac:dyDescent="0.3">
      <c r="B7" s="5" t="s">
        <v>136</v>
      </c>
      <c r="C7" s="5" t="s">
        <v>70</v>
      </c>
      <c r="D7" s="24"/>
      <c r="E7" s="24"/>
      <c r="F7" s="24"/>
      <c r="G7" s="24"/>
      <c r="H7" s="24"/>
    </row>
    <row r="8" spans="2:8" ht="24" customHeight="1" x14ac:dyDescent="0.3">
      <c r="B8" s="22" t="s">
        <v>137</v>
      </c>
      <c r="C8" s="22" t="s">
        <v>71</v>
      </c>
      <c r="D8" s="23"/>
      <c r="E8" s="23"/>
      <c r="F8" s="23"/>
      <c r="G8" s="23"/>
      <c r="H8" s="23"/>
    </row>
    <row r="9" spans="2:8" ht="24" customHeight="1" x14ac:dyDescent="0.3">
      <c r="B9" s="5" t="s">
        <v>138</v>
      </c>
      <c r="C9" s="5" t="s">
        <v>72</v>
      </c>
      <c r="D9" s="24">
        <v>4.739999771118164</v>
      </c>
      <c r="E9" s="24"/>
      <c r="F9" s="24">
        <v>98.73999786376953</v>
      </c>
      <c r="G9" s="24">
        <v>98.73999786376953</v>
      </c>
      <c r="H9" s="24">
        <v>188.1999969482422</v>
      </c>
    </row>
    <row r="10" spans="2:8" ht="24" customHeight="1" x14ac:dyDescent="0.3">
      <c r="B10" s="22" t="s">
        <v>139</v>
      </c>
      <c r="C10" s="22" t="s">
        <v>73</v>
      </c>
      <c r="D10" s="23"/>
      <c r="E10" s="23"/>
      <c r="F10" s="23"/>
      <c r="G10" s="23"/>
      <c r="H10" s="23"/>
    </row>
    <row r="11" spans="2:8" ht="24" customHeight="1" x14ac:dyDescent="0.3">
      <c r="B11" s="5" t="s">
        <v>140</v>
      </c>
      <c r="C11" s="5" t="s">
        <v>74</v>
      </c>
      <c r="D11" s="24">
        <v>4.679999828338623</v>
      </c>
      <c r="E11" s="24"/>
      <c r="F11" s="24"/>
      <c r="G11" s="24"/>
      <c r="H11" s="24"/>
    </row>
    <row r="12" spans="2:8" ht="24" customHeight="1" x14ac:dyDescent="0.3">
      <c r="B12" s="22" t="s">
        <v>141</v>
      </c>
      <c r="C12" s="22" t="s">
        <v>75</v>
      </c>
      <c r="D12" s="23"/>
      <c r="E12" s="23"/>
      <c r="F12" s="23"/>
      <c r="G12" s="23"/>
      <c r="H12" s="23"/>
    </row>
    <row r="13" spans="2:8" ht="24" customHeight="1" x14ac:dyDescent="0.3">
      <c r="B13" s="54" t="s">
        <v>14</v>
      </c>
      <c r="C13" s="54" t="s">
        <v>76</v>
      </c>
      <c r="D13" s="54"/>
      <c r="E13" s="54"/>
      <c r="F13" s="54"/>
      <c r="G13" s="54"/>
      <c r="H13" s="54"/>
    </row>
    <row r="14" spans="2:8" ht="24" customHeight="1" x14ac:dyDescent="0.3">
      <c r="B14" s="54"/>
      <c r="C14" s="54"/>
      <c r="D14" s="54"/>
      <c r="E14" s="54"/>
      <c r="F14" s="54"/>
      <c r="G14" s="54"/>
      <c r="H14" s="54"/>
    </row>
    <row r="19" s="20" customFormat="1" ht="24" customHeight="1" x14ac:dyDescent="0.3"/>
    <row r="26" s="20" customFormat="1" ht="24" customHeight="1" x14ac:dyDescent="0.3"/>
  </sheetData>
  <sheetCalcPr fullCalcOnLoad="1"/>
  <mergeCells count="7">
    <mergeCell ref="B13:B14"/>
    <mergeCell ref="C13:H14"/>
    <mergeCell ref="B2:H2"/>
    <mergeCell ref="B3:H3"/>
    <mergeCell ref="B4:B5"/>
    <mergeCell ref="D4:E4"/>
    <mergeCell ref="F4:G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6"/>
  <dimension ref="B2:Q15"/>
  <sheetViews>
    <sheetView zoomScaleNormal="100" workbookViewId="0">
      <selection activeCell="I18" sqref="I18"/>
    </sheetView>
  </sheetViews>
  <sheetFormatPr defaultColWidth="9" defaultRowHeight="24" customHeight="1" x14ac:dyDescent="0.3"/>
  <cols>
    <col min="1" max="1" width="1.58203125" style="20" customWidth="1"/>
    <col min="2" max="2" width="12.58203125" style="20" customWidth="1"/>
    <col min="3" max="16" width="12.4140625" style="20" customWidth="1"/>
  </cols>
  <sheetData>
    <row r="2" spans="2:16" ht="24" customHeight="1" x14ac:dyDescent="0.3">
      <c r="B2" s="102" t="s">
        <v>124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4"/>
    </row>
    <row r="3" spans="2:16" ht="24" customHeight="1" x14ac:dyDescent="0.3">
      <c r="B3" s="105" t="s">
        <v>135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7"/>
    </row>
    <row r="4" spans="2:16" ht="24" customHeight="1" x14ac:dyDescent="0.3">
      <c r="B4" s="34"/>
      <c r="C4" s="34"/>
      <c r="D4" s="101" t="s">
        <v>91</v>
      </c>
      <c r="E4" s="101"/>
      <c r="F4" s="101"/>
      <c r="G4" s="101"/>
      <c r="H4" s="101"/>
      <c r="I4" s="101"/>
      <c r="J4" s="101" t="s">
        <v>91</v>
      </c>
      <c r="K4" s="101"/>
      <c r="L4" s="101"/>
      <c r="M4" s="101"/>
      <c r="N4" s="101"/>
      <c r="O4" s="101"/>
      <c r="P4" s="101" t="s">
        <v>92</v>
      </c>
    </row>
    <row r="5" spans="2:16" ht="24" customHeight="1" x14ac:dyDescent="0.3">
      <c r="B5" s="101" t="s">
        <v>19</v>
      </c>
      <c r="C5" s="34" t="s">
        <v>3</v>
      </c>
      <c r="D5" s="101" t="s">
        <v>4</v>
      </c>
      <c r="E5" s="101"/>
      <c r="F5" s="101" t="s">
        <v>38</v>
      </c>
      <c r="G5" s="101"/>
      <c r="H5" s="34" t="s">
        <v>90</v>
      </c>
      <c r="I5" s="34" t="s">
        <v>18</v>
      </c>
      <c r="J5" s="101" t="s">
        <v>4</v>
      </c>
      <c r="K5" s="101"/>
      <c r="L5" s="101" t="s">
        <v>38</v>
      </c>
      <c r="M5" s="101"/>
      <c r="N5" s="34" t="s">
        <v>90</v>
      </c>
      <c r="O5" s="34" t="s">
        <v>18</v>
      </c>
      <c r="P5" s="101"/>
    </row>
    <row r="6" spans="2:16" ht="24" customHeight="1" x14ac:dyDescent="0.3">
      <c r="B6" s="101"/>
      <c r="C6" s="34" t="s">
        <v>8</v>
      </c>
      <c r="D6" s="35" t="s">
        <v>80</v>
      </c>
      <c r="E6" s="35" t="s">
        <v>81</v>
      </c>
      <c r="F6" s="34" t="s">
        <v>13</v>
      </c>
      <c r="G6" s="34" t="s">
        <v>15</v>
      </c>
      <c r="H6" s="34" t="s">
        <v>79</v>
      </c>
      <c r="I6" s="34" t="s">
        <v>13</v>
      </c>
      <c r="J6" s="35" t="s">
        <v>80</v>
      </c>
      <c r="K6" s="35" t="s">
        <v>81</v>
      </c>
      <c r="L6" s="34" t="s">
        <v>13</v>
      </c>
      <c r="M6" s="34" t="s">
        <v>15</v>
      </c>
      <c r="N6" s="34" t="s">
        <v>79</v>
      </c>
      <c r="O6" s="34" t="s">
        <v>13</v>
      </c>
      <c r="P6" s="34" t="s">
        <v>24</v>
      </c>
    </row>
    <row r="7" spans="2:16" ht="24" customHeight="1" x14ac:dyDescent="0.3">
      <c r="B7" s="36" t="s">
        <v>134</v>
      </c>
      <c r="C7" s="36" t="s">
        <v>69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spans="2:16" ht="24" customHeight="1" x14ac:dyDescent="0.3">
      <c r="B8" s="34" t="s">
        <v>136</v>
      </c>
      <c r="C8" s="34" t="s">
        <v>70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</row>
    <row r="9" spans="2:16" ht="24" customHeight="1" x14ac:dyDescent="0.3">
      <c r="B9" s="36" t="s">
        <v>137</v>
      </c>
      <c r="C9" s="36" t="s">
        <v>71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</row>
    <row r="10" spans="2:16" ht="24" customHeight="1" x14ac:dyDescent="0.3">
      <c r="B10" s="34" t="s">
        <v>138</v>
      </c>
      <c r="C10" s="34" t="s">
        <v>72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</row>
    <row r="11" spans="2:16" ht="24" customHeight="1" x14ac:dyDescent="0.3">
      <c r="B11" s="36" t="s">
        <v>139</v>
      </c>
      <c r="C11" s="36" t="s">
        <v>73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</row>
    <row r="12" spans="2:16" ht="24" customHeight="1" x14ac:dyDescent="0.3">
      <c r="B12" s="34" t="s">
        <v>140</v>
      </c>
      <c r="C12" s="34" t="s">
        <v>74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</row>
    <row r="13" spans="2:16" ht="24" customHeight="1" x14ac:dyDescent="0.3">
      <c r="B13" s="36" t="s">
        <v>141</v>
      </c>
      <c r="C13" s="36" t="s">
        <v>75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</row>
    <row r="14" spans="2:16" ht="24" customHeight="1" x14ac:dyDescent="0.3">
      <c r="B14" s="101" t="s">
        <v>14</v>
      </c>
      <c r="C14" s="108" t="s">
        <v>76</v>
      </c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10"/>
    </row>
    <row r="15" spans="2:16" ht="24" customHeight="1" x14ac:dyDescent="0.3">
      <c r="B15" s="101"/>
      <c r="C15" s="111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3"/>
    </row>
  </sheetData>
  <mergeCells count="12">
    <mergeCell ref="P4:P5"/>
    <mergeCell ref="B2:P2"/>
    <mergeCell ref="B3:P3"/>
    <mergeCell ref="C14:P15"/>
    <mergeCell ref="B5:B6"/>
    <mergeCell ref="D5:E5"/>
    <mergeCell ref="F5:G5"/>
    <mergeCell ref="J5:K5"/>
    <mergeCell ref="L5:M5"/>
    <mergeCell ref="D4:I4"/>
    <mergeCell ref="J4:O4"/>
    <mergeCell ref="B14:B1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7"/>
  <dimension ref="B2:G14"/>
  <sheetViews>
    <sheetView zoomScaleNormal="100" workbookViewId="0">
      <selection activeCell="J5" sqref="J5"/>
    </sheetView>
  </sheetViews>
  <sheetFormatPr defaultColWidth="9" defaultRowHeight="24" customHeight="1" x14ac:dyDescent="0.3"/>
  <cols>
    <col min="1" max="1" width="1.58203125" style="20" customWidth="1"/>
    <col min="2" max="6" width="12.58203125" style="20" customWidth="1"/>
  </cols>
  <sheetData>
    <row r="2" spans="2:6" ht="24" customHeight="1" x14ac:dyDescent="0.3">
      <c r="B2" s="76" t="s">
        <v>89</v>
      </c>
      <c r="C2" s="76"/>
      <c r="D2" s="76"/>
      <c r="E2" s="76"/>
      <c r="F2" s="76"/>
    </row>
    <row r="3" spans="2:6" ht="24" customHeight="1" x14ac:dyDescent="0.3">
      <c r="B3" s="54" t="s">
        <v>135</v>
      </c>
      <c r="C3" s="54"/>
      <c r="D3" s="54"/>
      <c r="E3" s="54"/>
      <c r="F3" s="54"/>
    </row>
    <row r="4" spans="2:6" ht="24" customHeight="1" x14ac:dyDescent="0.3">
      <c r="B4" s="54" t="s">
        <v>19</v>
      </c>
      <c r="C4" s="5" t="s">
        <v>3</v>
      </c>
      <c r="D4" s="25" t="s">
        <v>95</v>
      </c>
      <c r="E4" s="25" t="s">
        <v>96</v>
      </c>
      <c r="F4" s="25" t="s">
        <v>108</v>
      </c>
    </row>
    <row r="5" spans="2:6" ht="24" customHeight="1" x14ac:dyDescent="0.3">
      <c r="B5" s="54"/>
      <c r="C5" s="5" t="s">
        <v>8</v>
      </c>
      <c r="D5" s="25" t="s">
        <v>93</v>
      </c>
      <c r="E5" s="25" t="s">
        <v>93</v>
      </c>
      <c r="F5" s="25" t="s">
        <v>94</v>
      </c>
    </row>
    <row r="6" spans="2:6" ht="24" customHeight="1" x14ac:dyDescent="0.3">
      <c r="B6" s="22" t="s">
        <v>134</v>
      </c>
      <c r="C6" s="22" t="s">
        <v>69</v>
      </c>
      <c r="D6" s="23"/>
      <c r="E6" s="23"/>
      <c r="F6" s="23"/>
    </row>
    <row r="7" spans="2:6" ht="24" customHeight="1" x14ac:dyDescent="0.3">
      <c r="B7" s="5" t="s">
        <v>136</v>
      </c>
      <c r="C7" s="5" t="s">
        <v>70</v>
      </c>
      <c r="D7" s="24"/>
      <c r="E7" s="24"/>
      <c r="F7" s="24"/>
    </row>
    <row r="8" spans="2:6" ht="24" customHeight="1" x14ac:dyDescent="0.3">
      <c r="B8" s="22" t="s">
        <v>137</v>
      </c>
      <c r="C8" s="22" t="s">
        <v>71</v>
      </c>
      <c r="D8" s="23"/>
      <c r="E8" s="23"/>
      <c r="F8" s="23"/>
    </row>
    <row r="9" spans="2:6" ht="24" customHeight="1" x14ac:dyDescent="0.3">
      <c r="B9" s="5" t="s">
        <v>138</v>
      </c>
      <c r="C9" s="5" t="s">
        <v>72</v>
      </c>
      <c r="D9" s="24"/>
      <c r="E9" s="24"/>
      <c r="F9" s="24"/>
    </row>
    <row r="10" spans="2:6" ht="24" customHeight="1" x14ac:dyDescent="0.3">
      <c r="B10" s="22" t="s">
        <v>139</v>
      </c>
      <c r="C10" s="22" t="s">
        <v>73</v>
      </c>
      <c r="D10" s="23"/>
      <c r="E10" s="23"/>
      <c r="F10" s="23"/>
    </row>
    <row r="11" spans="2:6" ht="24" customHeight="1" x14ac:dyDescent="0.3">
      <c r="B11" s="5" t="s">
        <v>140</v>
      </c>
      <c r="C11" s="5" t="s">
        <v>74</v>
      </c>
      <c r="D11" s="24"/>
      <c r="E11" s="24"/>
      <c r="F11" s="24"/>
    </row>
    <row r="12" spans="2:6" ht="24" customHeight="1" x14ac:dyDescent="0.3">
      <c r="B12" s="22" t="s">
        <v>141</v>
      </c>
      <c r="C12" s="22" t="s">
        <v>75</v>
      </c>
      <c r="D12" s="23"/>
      <c r="E12" s="23"/>
      <c r="F12" s="23"/>
    </row>
    <row r="13" spans="2:6" ht="24" customHeight="1" x14ac:dyDescent="0.3">
      <c r="B13" s="54" t="s">
        <v>14</v>
      </c>
      <c r="C13" s="54" t="s">
        <v>76</v>
      </c>
      <c r="D13" s="54"/>
      <c r="E13" s="54"/>
      <c r="F13" s="54"/>
    </row>
    <row r="14" spans="2:6" ht="24" customHeight="1" x14ac:dyDescent="0.3">
      <c r="B14" s="54"/>
      <c r="C14" s="54"/>
      <c r="D14" s="54"/>
      <c r="E14" s="54"/>
      <c r="F14" s="54"/>
    </row>
  </sheetData>
  <mergeCells count="5">
    <mergeCell ref="B2:F2"/>
    <mergeCell ref="B3:F3"/>
    <mergeCell ref="B4:B5"/>
    <mergeCell ref="B13:B14"/>
    <mergeCell ref="C13:F14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8"/>
  <dimension ref="B2:K15"/>
  <sheetViews>
    <sheetView workbookViewId="0">
      <selection activeCell="L27" sqref="L27"/>
    </sheetView>
  </sheetViews>
  <sheetFormatPr defaultRowHeight="14" x14ac:dyDescent="0.3"/>
  <cols>
    <col min="2" max="2" width="9.83203125" customWidth="1"/>
  </cols>
  <sheetData>
    <row r="2" spans="2:10" x14ac:dyDescent="0.3">
      <c r="B2" s="76" t="s">
        <v>125</v>
      </c>
      <c r="C2" s="76"/>
      <c r="D2" s="76"/>
      <c r="E2" s="76"/>
      <c r="F2" s="76"/>
      <c r="G2" s="76"/>
      <c r="H2" s="76"/>
      <c r="I2" s="76"/>
      <c r="J2" s="76"/>
    </row>
    <row r="3" spans="2:10" x14ac:dyDescent="0.3">
      <c r="B3" s="54" t="s">
        <v>135</v>
      </c>
      <c r="C3" s="54"/>
      <c r="D3" s="54"/>
      <c r="E3" s="54"/>
      <c r="F3" s="54"/>
      <c r="G3" s="54"/>
      <c r="H3" s="54"/>
      <c r="I3" s="54"/>
      <c r="J3" s="54"/>
    </row>
    <row r="4" spans="2:10" x14ac:dyDescent="0.3">
      <c r="B4" s="5"/>
      <c r="C4" s="54" t="s">
        <v>131</v>
      </c>
      <c r="D4" s="54"/>
      <c r="E4" s="54"/>
      <c r="F4" s="54"/>
      <c r="G4" s="54"/>
      <c r="H4" s="54"/>
      <c r="I4" s="54"/>
      <c r="J4" s="54"/>
    </row>
    <row r="5" spans="2:10" x14ac:dyDescent="0.3">
      <c r="B5" s="54" t="s">
        <v>19</v>
      </c>
      <c r="C5" s="5" t="s">
        <v>3</v>
      </c>
      <c r="D5" s="5" t="s">
        <v>126</v>
      </c>
      <c r="E5" s="5" t="s">
        <v>53</v>
      </c>
      <c r="F5" s="5" t="s">
        <v>127</v>
      </c>
      <c r="G5" s="5" t="s">
        <v>128</v>
      </c>
      <c r="H5" s="5" t="s">
        <v>129</v>
      </c>
      <c r="I5" s="5" t="s">
        <v>130</v>
      </c>
      <c r="J5" s="5" t="s">
        <v>52</v>
      </c>
    </row>
    <row r="6" spans="2:10" x14ac:dyDescent="0.3">
      <c r="B6" s="54"/>
      <c r="C6" s="5" t="s">
        <v>8</v>
      </c>
      <c r="D6" s="5" t="s">
        <v>13</v>
      </c>
      <c r="E6" s="5" t="s">
        <v>13</v>
      </c>
      <c r="F6" s="5" t="s">
        <v>13</v>
      </c>
      <c r="G6" s="5" t="s">
        <v>13</v>
      </c>
      <c r="H6" s="5" t="s">
        <v>13</v>
      </c>
      <c r="I6" s="5" t="s">
        <v>13</v>
      </c>
      <c r="J6" s="5" t="s">
        <v>13</v>
      </c>
    </row>
    <row r="7" spans="2:10" x14ac:dyDescent="0.3">
      <c r="B7" s="22" t="s">
        <v>134</v>
      </c>
      <c r="C7" s="22" t="s">
        <v>69</v>
      </c>
      <c r="D7" s="23"/>
      <c r="E7" s="23"/>
      <c r="F7" s="23"/>
      <c r="G7" s="23"/>
      <c r="H7" s="23"/>
      <c r="I7" s="23"/>
      <c r="J7" s="23"/>
    </row>
    <row r="8" spans="2:10" x14ac:dyDescent="0.3">
      <c r="B8" s="5" t="s">
        <v>136</v>
      </c>
      <c r="C8" s="5" t="s">
        <v>70</v>
      </c>
      <c r="D8" s="24"/>
      <c r="E8" s="24"/>
      <c r="F8" s="24"/>
      <c r="G8" s="24"/>
      <c r="H8" s="24"/>
      <c r="I8" s="24"/>
      <c r="J8" s="24"/>
    </row>
    <row r="9" spans="2:10" x14ac:dyDescent="0.3">
      <c r="B9" s="22" t="s">
        <v>137</v>
      </c>
      <c r="C9" s="22" t="s">
        <v>71</v>
      </c>
      <c r="D9" s="23"/>
      <c r="E9" s="23"/>
      <c r="F9" s="23"/>
      <c r="G9" s="23"/>
      <c r="H9" s="23"/>
      <c r="I9" s="23"/>
      <c r="J9" s="23"/>
    </row>
    <row r="10" spans="2:10" x14ac:dyDescent="0.3">
      <c r="B10" s="5" t="s">
        <v>138</v>
      </c>
      <c r="C10" s="5" t="s">
        <v>72</v>
      </c>
      <c r="D10" s="24"/>
      <c r="E10" s="24"/>
      <c r="F10" s="24"/>
      <c r="G10" s="24"/>
      <c r="H10" s="24"/>
      <c r="I10" s="24"/>
      <c r="J10" s="24"/>
    </row>
    <row r="11" spans="2:10" x14ac:dyDescent="0.3">
      <c r="B11" s="22" t="s">
        <v>139</v>
      </c>
      <c r="C11" s="22" t="s">
        <v>73</v>
      </c>
      <c r="D11" s="23"/>
      <c r="E11" s="23"/>
      <c r="F11" s="23"/>
      <c r="G11" s="23"/>
      <c r="H11" s="23"/>
      <c r="I11" s="23"/>
      <c r="J11" s="23"/>
    </row>
    <row r="12" spans="2:10" x14ac:dyDescent="0.3">
      <c r="B12" s="5" t="s">
        <v>140</v>
      </c>
      <c r="C12" s="5" t="s">
        <v>74</v>
      </c>
      <c r="D12" s="24"/>
      <c r="E12" s="24"/>
      <c r="F12" s="24"/>
      <c r="G12" s="24"/>
      <c r="H12" s="24"/>
      <c r="I12" s="24"/>
      <c r="J12" s="24"/>
    </row>
    <row r="13" spans="2:10" x14ac:dyDescent="0.3">
      <c r="B13" s="22" t="s">
        <v>141</v>
      </c>
      <c r="C13" s="22" t="s">
        <v>75</v>
      </c>
      <c r="D13" s="23"/>
      <c r="E13" s="23"/>
      <c r="F13" s="23"/>
      <c r="G13" s="23"/>
      <c r="H13" s="23"/>
      <c r="I13" s="23"/>
      <c r="J13" s="23"/>
    </row>
    <row r="14" spans="2:10" x14ac:dyDescent="0.3">
      <c r="B14" s="54" t="s">
        <v>14</v>
      </c>
      <c r="C14" s="114" t="s">
        <v>76</v>
      </c>
      <c r="D14" s="114"/>
      <c r="E14" s="114"/>
      <c r="F14" s="114"/>
      <c r="G14" s="114"/>
      <c r="H14" s="114"/>
      <c r="I14" s="114"/>
      <c r="J14" s="114"/>
    </row>
    <row r="15" spans="2:10" x14ac:dyDescent="0.3">
      <c r="B15" s="54"/>
      <c r="C15" s="114"/>
      <c r="D15" s="114"/>
      <c r="E15" s="114"/>
      <c r="F15" s="114"/>
      <c r="G15" s="114"/>
      <c r="H15" s="114"/>
      <c r="I15" s="114"/>
      <c r="J15" s="114"/>
    </row>
  </sheetData>
  <mergeCells count="6">
    <mergeCell ref="B14:B15"/>
    <mergeCell ref="C14:J15"/>
    <mergeCell ref="C4:J4"/>
    <mergeCell ref="B2:J2"/>
    <mergeCell ref="B3:J3"/>
    <mergeCell ref="B5:B6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9"/>
  <dimension ref="C3:E510"/>
  <sheetViews>
    <sheetView tabSelected="1" zoomScale="70" zoomScaleNormal="70" workbookViewId="0">
      <selection activeCell="AC5" sqref="AC5"/>
    </sheetView>
  </sheetViews>
  <sheetFormatPr defaultRowHeight="14" x14ac:dyDescent="0.3"/>
  <cols>
    <col min="1" max="1" width="8.6640625" customWidth="1"/>
  </cols>
  <sheetData>
    <row r="3" spans="3:4" x14ac:dyDescent="0.3">
      <c r="C3" s="39" t="s">
        <v>133</v>
      </c>
      <c r="D3" s="39">
        <v>1</v>
      </c>
    </row>
    <row r="4" spans="3:4" x14ac:dyDescent="0.3">
      <c r="C4" s="39" t="s">
        <v>73</v>
      </c>
      <c r="D4" s="39">
        <v>417.6582946777344</v>
      </c>
    </row>
    <row r="5" spans="3:4" x14ac:dyDescent="0.3">
      <c r="C5" s="39" t="s">
        <v>74</v>
      </c>
      <c r="D5" s="39">
        <v>419.5392150878906</v>
      </c>
    </row>
    <row r="6" spans="3:4" x14ac:dyDescent="0.3">
      <c r="C6" s="39" t="s">
        <v>75</v>
      </c>
      <c r="D6" s="39">
        <v>421.572021484375</v>
      </c>
    </row>
    <row r="7" spans="3:4" x14ac:dyDescent="0.3">
      <c r="C7" s="39" t="s">
        <v>132</v>
      </c>
      <c r="D7" s="39">
        <v>420.4103088378906</v>
      </c>
    </row>
    <row r="8" spans="3:4" x14ac:dyDescent="0.3">
      <c r="C8" s="39" t="s">
        <v>70</v>
      </c>
      <c r="D8" s="39">
        <v>419.3594970703125</v>
      </c>
    </row>
    <row r="9" spans="3:4" x14ac:dyDescent="0.3">
      <c r="C9" s="39" t="s">
        <v>71</v>
      </c>
      <c r="D9" s="39">
        <v>456.63397216796875</v>
      </c>
    </row>
    <row r="10" spans="3:4" x14ac:dyDescent="0.3">
      <c r="C10" s="39" t="s">
        <v>72</v>
      </c>
      <c r="D10" s="39">
        <v>420.9881591796875</v>
      </c>
    </row>
    <row r="53" spans="3:4" x14ac:dyDescent="0.3">
      <c r="C53" s="39" t="s">
        <v>133</v>
      </c>
      <c r="D53" s="39">
        <v>2</v>
      </c>
    </row>
    <row r="54" spans="3:4" x14ac:dyDescent="0.3">
      <c r="C54" s="39" t="s">
        <v>73</v>
      </c>
      <c r="D54" s="39">
        <v>0.5318166017532349</v>
      </c>
    </row>
    <row r="55" spans="3:4" x14ac:dyDescent="0.3">
      <c r="C55" s="39" t="s">
        <v>74</v>
      </c>
      <c r="D55" s="39">
        <v>0.5296458601951599</v>
      </c>
    </row>
    <row r="56" spans="3:4" x14ac:dyDescent="0.3">
      <c r="C56" s="39" t="s">
        <v>75</v>
      </c>
      <c r="D56" s="39">
        <v>0.5314962267875671</v>
      </c>
    </row>
    <row r="57" spans="3:4" x14ac:dyDescent="0.3">
      <c r="C57" s="39" t="s">
        <v>132</v>
      </c>
      <c r="D57" s="39">
        <v>0.5335909724235535</v>
      </c>
    </row>
    <row r="58" spans="3:4" x14ac:dyDescent="0.3">
      <c r="C58" s="39" t="s">
        <v>70</v>
      </c>
      <c r="D58" s="39">
        <v>0.5309063196182251</v>
      </c>
    </row>
    <row r="59" spans="3:4" x14ac:dyDescent="0.3">
      <c r="C59" s="39" t="s">
        <v>71</v>
      </c>
      <c r="D59" s="39">
        <v>0.5302422046661377</v>
      </c>
    </row>
    <row r="60" spans="3:4" x14ac:dyDescent="0.3">
      <c r="C60" s="39" t="s">
        <v>72</v>
      </c>
      <c r="D60" s="39">
        <v>0.528958797454834</v>
      </c>
    </row>
    <row r="103" spans="3:4" x14ac:dyDescent="0.3">
      <c r="C103" s="39" t="s">
        <v>133</v>
      </c>
      <c r="D103" s="39">
        <v>3</v>
      </c>
    </row>
    <row r="104" spans="3:4" x14ac:dyDescent="0.3">
      <c r="C104" s="39" t="s">
        <v>73</v>
      </c>
      <c r="D104" s="39">
        <v>0.8135510087013245</v>
      </c>
    </row>
    <row r="105" spans="3:4" x14ac:dyDescent="0.3">
      <c r="C105" s="39" t="s">
        <v>74</v>
      </c>
      <c r="D105" s="39">
        <v>0.8249838352203369</v>
      </c>
    </row>
    <row r="106" spans="3:4" x14ac:dyDescent="0.3">
      <c r="C106" s="39" t="s">
        <v>75</v>
      </c>
      <c r="D106" s="39">
        <v>0.8314560055732727</v>
      </c>
    </row>
    <row r="107" spans="3:4" x14ac:dyDescent="0.3">
      <c r="C107" s="39" t="s">
        <v>132</v>
      </c>
      <c r="D107" s="39">
        <v>0.7247384786605835</v>
      </c>
    </row>
    <row r="108" spans="3:4" x14ac:dyDescent="0.3">
      <c r="C108" s="39" t="s">
        <v>70</v>
      </c>
      <c r="D108" s="39">
        <v>0.826418936252594</v>
      </c>
    </row>
    <row r="109" spans="3:4" x14ac:dyDescent="0.3">
      <c r="C109" s="39" t="s">
        <v>71</v>
      </c>
      <c r="D109" s="39">
        <v>0.7630301713943481</v>
      </c>
    </row>
    <row r="110" spans="3:4" x14ac:dyDescent="0.3">
      <c r="C110" s="39" t="s">
        <v>72</v>
      </c>
      <c r="D110" s="39">
        <v>0.34862130880355835</v>
      </c>
    </row>
    <row r="153" spans="3:4" x14ac:dyDescent="0.3">
      <c r="C153" s="39" t="s">
        <v>133</v>
      </c>
      <c r="D153" s="39">
        <v>4</v>
      </c>
    </row>
    <row r="154" spans="3:4" x14ac:dyDescent="0.3">
      <c r="C154" s="39" t="s">
        <v>73</v>
      </c>
      <c r="D154" s="39">
        <v>91.51013946533203</v>
      </c>
    </row>
    <row r="155" spans="3:4" x14ac:dyDescent="0.3">
      <c r="C155" s="39" t="s">
        <v>74</v>
      </c>
      <c r="D155" s="39">
        <v>90.99710083007812</v>
      </c>
    </row>
    <row r="156" spans="3:4" x14ac:dyDescent="0.3">
      <c r="C156" s="39" t="s">
        <v>75</v>
      </c>
      <c r="D156" s="39">
        <v>90.85358428955078</v>
      </c>
    </row>
    <row r="157" spans="3:4" x14ac:dyDescent="0.3">
      <c r="C157" s="39" t="s">
        <v>132</v>
      </c>
      <c r="D157" s="39">
        <v>82.78471374511719</v>
      </c>
    </row>
    <row r="158" spans="3:4" x14ac:dyDescent="0.3">
      <c r="C158" s="39" t="s">
        <v>70</v>
      </c>
      <c r="D158" s="39">
        <v>90.99507904052734</v>
      </c>
    </row>
    <row r="159" spans="3:4" x14ac:dyDescent="0.3">
      <c r="C159" s="39" t="s">
        <v>71</v>
      </c>
      <c r="D159" s="39">
        <v>89.25750732421875</v>
      </c>
    </row>
    <row r="160" spans="3:4" x14ac:dyDescent="0.3">
      <c r="C160" s="39" t="s">
        <v>72</v>
      </c>
      <c r="D160" s="39">
        <v>57.12954330444336</v>
      </c>
    </row>
    <row r="203" spans="3:4" x14ac:dyDescent="0.3">
      <c r="C203" s="39" t="s">
        <v>133</v>
      </c>
      <c r="D203" s="39">
        <v>5</v>
      </c>
    </row>
    <row r="204" spans="3:4" x14ac:dyDescent="0.3">
      <c r="C204" s="39" t="s">
        <v>73</v>
      </c>
      <c r="D204" s="39">
        <v>140.1443634033203</v>
      </c>
    </row>
    <row r="205" spans="3:4" x14ac:dyDescent="0.3">
      <c r="C205" s="39" t="s">
        <v>74</v>
      </c>
      <c r="D205" s="39">
        <v>141.7783660888672</v>
      </c>
    </row>
    <row r="206" spans="3:4" x14ac:dyDescent="0.3">
      <c r="C206" s="39" t="s">
        <v>75</v>
      </c>
      <c r="D206" s="39">
        <v>140.6128387451172</v>
      </c>
    </row>
    <row r="207" spans="3:4" x14ac:dyDescent="0.3">
      <c r="C207" s="39" t="s">
        <v>132</v>
      </c>
      <c r="D207" s="39">
        <v>128.3712158203125</v>
      </c>
    </row>
    <row r="208" spans="3:4" x14ac:dyDescent="0.3">
      <c r="C208" s="39" t="s">
        <v>70</v>
      </c>
      <c r="D208" s="39">
        <v>140.55062866210938</v>
      </c>
    </row>
    <row r="209" spans="3:4" x14ac:dyDescent="0.3">
      <c r="C209" s="39" t="s">
        <v>71</v>
      </c>
      <c r="D209" s="39">
        <v>132.32174682617188</v>
      </c>
    </row>
    <row r="210" spans="3:4" x14ac:dyDescent="0.3">
      <c r="C210" s="39" t="s">
        <v>72</v>
      </c>
      <c r="D210" s="39">
        <v>77.79821014404297</v>
      </c>
    </row>
    <row r="253" spans="3:4" x14ac:dyDescent="0.3">
      <c r="C253" s="39" t="s">
        <v>133</v>
      </c>
      <c r="D253" s="39">
        <v>6</v>
      </c>
    </row>
    <row r="254" spans="3:4" x14ac:dyDescent="0.3">
      <c r="C254" s="39" t="s">
        <v>73</v>
      </c>
      <c r="D254" s="39">
        <v>165.0081024169922</v>
      </c>
    </row>
    <row r="255" spans="3:4" x14ac:dyDescent="0.3">
      <c r="C255" s="39" t="s">
        <v>74</v>
      </c>
      <c r="D255" s="39">
        <v>165.69126892089844</v>
      </c>
    </row>
    <row r="256" spans="3:4" x14ac:dyDescent="0.3">
      <c r="C256" s="39" t="s">
        <v>75</v>
      </c>
      <c r="D256" s="39">
        <v>165.86312866210938</v>
      </c>
    </row>
    <row r="257" spans="3:4" x14ac:dyDescent="0.3">
      <c r="C257" s="39" t="s">
        <v>132</v>
      </c>
      <c r="D257" s="39">
        <v>149.7685089111328</v>
      </c>
    </row>
    <row r="258" spans="3:4" x14ac:dyDescent="0.3">
      <c r="C258" s="39" t="s">
        <v>70</v>
      </c>
      <c r="D258" s="39">
        <v>165.9664306640625</v>
      </c>
    </row>
    <row r="259" spans="3:4" x14ac:dyDescent="0.3">
      <c r="C259" s="39" t="s">
        <v>71</v>
      </c>
      <c r="D259" s="39">
        <v>158.50173950195312</v>
      </c>
    </row>
    <row r="260" spans="3:4" x14ac:dyDescent="0.3">
      <c r="C260" s="39" t="s">
        <v>72</v>
      </c>
      <c r="D260" s="39">
        <v>99.95616912841797</v>
      </c>
    </row>
    <row r="303" spans="3:4" x14ac:dyDescent="0.3">
      <c r="C303" s="39" t="s">
        <v>133</v>
      </c>
      <c r="D303" s="39">
        <v>7</v>
      </c>
    </row>
    <row r="304" spans="3:4" x14ac:dyDescent="0.3">
      <c r="C304" s="39" t="s">
        <v>73</v>
      </c>
      <c r="D304" s="39">
        <v>46.911460876464844</v>
      </c>
    </row>
    <row r="305" spans="3:4" x14ac:dyDescent="0.3">
      <c r="C305" s="39" t="s">
        <v>74</v>
      </c>
      <c r="D305" s="39">
        <v>46.41594314575195</v>
      </c>
    </row>
    <row r="306" spans="3:4" x14ac:dyDescent="0.3">
      <c r="C306" s="39" t="s">
        <v>75</v>
      </c>
      <c r="D306" s="39">
        <v>47.49421310424805</v>
      </c>
    </row>
    <row r="307" spans="3:4" x14ac:dyDescent="0.3">
      <c r="C307" s="39" t="s">
        <v>132</v>
      </c>
      <c r="D307" s="39">
        <v>47.10112380981445</v>
      </c>
    </row>
    <row r="308" spans="3:4" x14ac:dyDescent="0.3">
      <c r="C308" s="39" t="s">
        <v>70</v>
      </c>
      <c r="D308" s="39">
        <v>47.549476623535156</v>
      </c>
    </row>
    <row r="309" spans="3:4" x14ac:dyDescent="0.3">
      <c r="C309" s="39" t="s">
        <v>71</v>
      </c>
      <c r="D309" s="39">
        <v>47.295719146728516</v>
      </c>
    </row>
    <row r="310" spans="3:4" x14ac:dyDescent="0.3">
      <c r="C310" s="39" t="s">
        <v>72</v>
      </c>
      <c r="D310" s="39">
        <v>47.75603485107422</v>
      </c>
    </row>
    <row r="353" spans="3:4" x14ac:dyDescent="0.3">
      <c r="C353" s="39" t="s">
        <v>133</v>
      </c>
      <c r="D353" s="39">
        <v>8</v>
      </c>
    </row>
    <row r="354" spans="3:4" x14ac:dyDescent="0.3">
      <c r="C354" s="39" t="s">
        <v>73</v>
      </c>
      <c r="D354" s="39">
        <v>19.514467239379883</v>
      </c>
    </row>
    <row r="355" spans="3:4" x14ac:dyDescent="0.3">
      <c r="C355" s="39" t="s">
        <v>74</v>
      </c>
      <c r="D355" s="39">
        <v>18.17997932434082</v>
      </c>
    </row>
    <row r="356" spans="3:4" x14ac:dyDescent="0.3">
      <c r="C356" s="39" t="s">
        <v>75</v>
      </c>
      <c r="D356" s="39">
        <v>19.632089614868164</v>
      </c>
    </row>
    <row r="357" spans="3:4" x14ac:dyDescent="0.3">
      <c r="C357" s="39" t="s">
        <v>132</v>
      </c>
      <c r="D357" s="39">
        <v>23.48394012451172</v>
      </c>
    </row>
    <row r="358" spans="3:4" x14ac:dyDescent="0.3">
      <c r="C358" s="39" t="s">
        <v>70</v>
      </c>
      <c r="D358" s="39">
        <v>19.982494354248047</v>
      </c>
    </row>
    <row r="359" spans="3:4" x14ac:dyDescent="0.3">
      <c r="C359" s="39" t="s">
        <v>71</v>
      </c>
      <c r="D359" s="39">
        <v>18.551794052124023</v>
      </c>
    </row>
    <row r="360" spans="3:4" x14ac:dyDescent="0.3">
      <c r="C360" s="39" t="s">
        <v>72</v>
      </c>
      <c r="D360" s="39">
        <v>18.1781063079834</v>
      </c>
    </row>
    <row r="403" spans="3:4" x14ac:dyDescent="0.3">
      <c r="C403" s="39" t="s">
        <v>133</v>
      </c>
      <c r="D403" s="39">
        <v>9</v>
      </c>
    </row>
    <row r="404" spans="3:4" x14ac:dyDescent="0.3">
      <c r="C404" s="39" t="s">
        <v>73</v>
      </c>
      <c r="D404" s="39">
        <v>0</v>
      </c>
    </row>
    <row r="405" spans="3:4" x14ac:dyDescent="0.3">
      <c r="C405" s="39" t="s">
        <v>74</v>
      </c>
      <c r="D405" s="39">
        <v>0</v>
      </c>
    </row>
    <row r="406" spans="3:4" x14ac:dyDescent="0.3">
      <c r="C406" s="39" t="s">
        <v>75</v>
      </c>
      <c r="D406" s="39">
        <v>0</v>
      </c>
    </row>
    <row r="407" spans="3:4" x14ac:dyDescent="0.3">
      <c r="C407" s="39" t="s">
        <v>132</v>
      </c>
      <c r="D407" s="39">
        <v>0</v>
      </c>
    </row>
    <row r="408" spans="3:4" x14ac:dyDescent="0.3">
      <c r="C408" s="39" t="s">
        <v>70</v>
      </c>
      <c r="D408" s="39">
        <v>0</v>
      </c>
    </row>
    <row r="409" spans="3:4" x14ac:dyDescent="0.3">
      <c r="C409" s="39" t="s">
        <v>71</v>
      </c>
      <c r="D409" s="39">
        <v>0</v>
      </c>
    </row>
    <row r="410" spans="3:4" x14ac:dyDescent="0.3">
      <c r="C410" s="39" t="s">
        <v>72</v>
      </c>
      <c r="D410" s="39">
        <v>0</v>
      </c>
    </row>
    <row r="453" spans="3:4" x14ac:dyDescent="0.3">
      <c r="C453" s="39" t="s">
        <v>133</v>
      </c>
      <c r="D453" s="39">
        <v>10</v>
      </c>
    </row>
    <row r="454" spans="3:4" x14ac:dyDescent="0.3">
      <c r="C454" s="39" t="s">
        <v>73</v>
      </c>
      <c r="D454" s="39">
        <v>71.06997680664062</v>
      </c>
    </row>
    <row r="455" spans="3:4" x14ac:dyDescent="0.3">
      <c r="C455" s="39" t="s">
        <v>74</v>
      </c>
      <c r="D455" s="39">
        <v>78.1838607788086</v>
      </c>
    </row>
    <row r="456" spans="3:4" x14ac:dyDescent="0.3">
      <c r="C456" s="39" t="s">
        <v>75</v>
      </c>
      <c r="D456" s="39">
        <v>103.39706420898438</v>
      </c>
    </row>
    <row r="457" spans="3:4" x14ac:dyDescent="0.3">
      <c r="C457" s="39" t="s">
        <v>132</v>
      </c>
      <c r="D457" s="39">
        <v>113.75366973876953</v>
      </c>
    </row>
    <row r="458" spans="3:4" x14ac:dyDescent="0.3">
      <c r="C458" s="39" t="s">
        <v>70</v>
      </c>
      <c r="D458" s="39">
        <v>89.19219970703125</v>
      </c>
    </row>
    <row r="459" spans="3:4" x14ac:dyDescent="0.3">
      <c r="C459" s="39" t="s">
        <v>71</v>
      </c>
      <c r="D459" s="39">
        <v>93.73040008544922</v>
      </c>
    </row>
    <row r="460" spans="3:4" x14ac:dyDescent="0.3">
      <c r="C460" s="39" t="s">
        <v>72</v>
      </c>
      <c r="D460" s="39">
        <v>84.98111724853516</v>
      </c>
    </row>
    <row r="503" spans="3:4" x14ac:dyDescent="0.3">
      <c r="C503" s="39" t="s">
        <v>133</v>
      </c>
      <c r="D503" s="39">
        <v>11</v>
      </c>
    </row>
    <row r="504" spans="3:4" x14ac:dyDescent="0.3">
      <c r="C504" s="39" t="s">
        <v>73</v>
      </c>
      <c r="D504" s="39">
        <v>0</v>
      </c>
    </row>
    <row r="505" spans="3:4" x14ac:dyDescent="0.3">
      <c r="C505" s="39" t="s">
        <v>74</v>
      </c>
      <c r="D505" s="39">
        <v>0</v>
      </c>
    </row>
    <row r="506" spans="3:4" x14ac:dyDescent="0.3">
      <c r="C506" s="39" t="s">
        <v>75</v>
      </c>
      <c r="D506" s="39">
        <v>0</v>
      </c>
    </row>
    <row r="507" spans="3:4" x14ac:dyDescent="0.3">
      <c r="C507" s="39" t="s">
        <v>132</v>
      </c>
      <c r="D507" s="39">
        <v>0</v>
      </c>
    </row>
    <row r="508" spans="3:4" x14ac:dyDescent="0.3">
      <c r="C508" s="39" t="s">
        <v>70</v>
      </c>
      <c r="D508" s="39">
        <v>0</v>
      </c>
    </row>
    <row r="509" spans="3:4" x14ac:dyDescent="0.3">
      <c r="C509" s="39" t="s">
        <v>71</v>
      </c>
      <c r="D509" s="39">
        <v>0</v>
      </c>
    </row>
    <row r="510" spans="3:4" x14ac:dyDescent="0.3">
      <c r="C510" s="39" t="s">
        <v>72</v>
      </c>
      <c r="D510" s="39">
        <v>0</v>
      </c>
    </row>
  </sheetData>
  <phoneticPr fontId="1" type="noConversion"/>
  <pageMargins left="0.7" right="0.7" top="0.75" bottom="0.75" header="0.3" footer="0.3"/>
  <drawing r:id="rId1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912736AF-A88F-4ACA-8CE1-FF51A6C3F4E0}">
  <ds:schemaRefs>
    <ds:schemaRef ds:uri="http://schemas.microsoft.com/DataMashup"/>
  </ds:schemaRefs>
</ds:datastoreItem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9</vt:i4>
      </vt:variant>
    </vt:vector>
  </HeadingPairs>
  <TitlesOfParts>
    <vt:vector baseType="lpstr" size="9">
      <vt:lpstr>第一页周报</vt:lpstr>
      <vt:lpstr>第二页闪发冷凝液检测</vt:lpstr>
      <vt:lpstr>第三页反应液检测</vt:lpstr>
      <vt:lpstr>第四页产量台账</vt:lpstr>
      <vt:lpstr>第五页一次母液检测</vt:lpstr>
      <vt:lpstr>第六页母液检测</vt:lpstr>
      <vt:lpstr>第七页能耗</vt:lpstr>
      <vt:lpstr>第八页废液检测</vt:lpstr>
      <vt:lpstr>曲线汇总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熊茂盛</dc:creator>
  <cp:lastModifiedBy>平 曹</cp:lastModifiedBy>
  <dcterms:modified xsi:type="dcterms:W3CDTF">2026-05-28T10:39:13Z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