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alcChain.xml" ContentType="application/vnd.openxmlformats-officedocument.spreadsheetml.calcChain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comments5.xml" ContentType="application/vnd.openxmlformats-officedocument.spreadsheetml.comments+xml"/>
  <Override PartName="/xl/comments6.xml" ContentType="application/vnd.openxmlformats-officedocument.spreadsheetml.comments+xml"/>
  <Override PartName="/xl/comments7.xml" ContentType="application/vnd.openxmlformats-officedocument.spreadsheetml.comments+xml"/>
  <Override PartName="/xl/comments8.xml" ContentType="application/vnd.openxmlformats-officedocument.spreadsheetml.comments+xml"/>
  <Override PartName="/xl/comments9.xml" ContentType="application/vnd.openxmlformats-officedocument.spreadsheetml.comments+xml"/>
  <Override PartName="/xl/comments10.xml" ContentType="application/vnd.openxmlformats-officedocument.spreadsheetml.comment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Relationship Id="rId4" Type="http://schemas.openxmlformats.org/officeDocument/2006/relationships/custom-properties" Target="docProps/custom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725"/>
  <workbookPr/>
  <bookViews>
    <workbookView xWindow="-98" yWindow="-98" windowWidth="24196" windowHeight="14476" tabRatio="967" activeTab="7"/>
  </bookViews>
  <sheets>
    <sheet name="第一页" sheetId="1" r:id="rId1"/>
    <sheet name="第二页反应工序" sheetId="2" r:id="rId2"/>
    <sheet name="第三页反应液分析数据" sheetId="5" r:id="rId3"/>
    <sheet name="第四页闪蒸工序" sheetId="3" r:id="rId4"/>
    <sheet name="第五页一次结晶工序" sheetId="6" r:id="rId5"/>
    <sheet name="第六页产品分析指标" sheetId="7" r:id="rId6"/>
    <sheet name="第七页产品收率分析表" sheetId="8" r:id="rId7"/>
    <sheet name="第八页周汇总数据" sheetId="15" r:id="rId8"/>
    <sheet name="第九页低蒸工序" sheetId="9" r:id="rId9"/>
    <sheet name="第十页脱色工序" sheetId="16" r:id="rId10"/>
    <sheet name="第十一页二次结晶工序" sheetId="10" r:id="rId11"/>
    <sheet name="第十二页产品原料单耗" sheetId="12" r:id="rId12"/>
    <sheet name="第十三页周核心指标完成情况" sheetId="14" r:id="rId13"/>
  </sheets>
  <calcPr calcId="191029"/>
  <extLst>
    <ext uri="{140A7094-0E35-4892-8432-C4D2E57EDEB5}">
      <x15:workbookPr xmlns:x15="http://schemas.microsoft.com/office/spreadsheetml/2010/11/main" chartTrackingRefBase="1"/>
    </ext>
    <ext uri="{B58B0392-4F1F-4190-BB64-5DF3571DCE5F}">
      <xcalcf:calcFeatures xmlns:xcalcf="http://schemas.microsoft.com/office/spreadsheetml/2018/calcfeatures"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M8" i="15" l="1"/>
  <c r="D13" i="16"/>
  <c r="U19" i="7"/>
  <c r="R19" i="7" s="1"/>
  <c r="O19" i="7"/>
  <c r="H19" i="7"/>
  <c r="V19" i="7" s="1"/>
  <c r="P16" i="7"/>
  <c r="P19" i="7" l="1"/>
  <c r="S19" i="7"/>
  <c r="Q19" i="7"/>
  <c r="T19" i="7"/>
  <c r="W22" i="12" l="1"/>
  <c r="U22" i="12"/>
  <c r="S22" i="12"/>
  <c r="Q22" i="12"/>
  <c r="O22" i="12"/>
  <c r="M22" i="12"/>
  <c r="K22" i="12"/>
  <c r="I22" i="12"/>
  <c r="G22" i="12"/>
  <c r="W21" i="12"/>
  <c r="U21" i="12"/>
  <c r="S21" i="12"/>
  <c r="Q21" i="12"/>
  <c r="O21" i="12"/>
  <c r="M21" i="12"/>
  <c r="K21" i="12"/>
  <c r="I21" i="12"/>
  <c r="G21" i="12"/>
  <c r="W20" i="12"/>
  <c r="U20" i="12"/>
  <c r="S20" i="12"/>
  <c r="Q20" i="12"/>
  <c r="O20" i="12"/>
  <c r="M20" i="12"/>
  <c r="K20" i="12"/>
  <c r="I20" i="12"/>
  <c r="G20" i="12"/>
  <c r="E20" i="12"/>
  <c r="W17" i="12"/>
  <c r="U17" i="12"/>
  <c r="S17" i="12"/>
  <c r="Q17" i="12"/>
  <c r="O17" i="12"/>
  <c r="M17" i="12"/>
  <c r="K17" i="12"/>
  <c r="I17" i="12"/>
  <c r="G17" i="12"/>
  <c r="E17" i="12"/>
  <c r="Q23" i="12" l="1"/>
  <c r="O23" i="12"/>
  <c r="U23" i="12"/>
  <c r="M23" i="12"/>
  <c r="S23" i="12"/>
  <c r="W23" i="12"/>
  <c r="E23" i="12"/>
  <c r="G23" i="12"/>
  <c r="I23" i="12"/>
  <c r="K23" i="12"/>
  <c r="E8" i="9"/>
  <c r="I9" i="6"/>
  <c r="J9" i="6" s="1"/>
  <c r="I7" i="6"/>
  <c r="J7" i="6" s="1"/>
  <c r="I8" i="6"/>
  <c r="J8" i="6" s="1"/>
  <c r="E9" i="6"/>
  <c r="F9" i="6" s="1"/>
  <c r="E8" i="6"/>
  <c r="F8" i="6" s="1"/>
  <c r="E7" i="6"/>
  <c r="F7" i="6" s="1"/>
  <c r="G10" i="5" l="1"/>
  <c r="F10" i="5"/>
  <c r="E10" i="5"/>
  <c r="D10" i="5"/>
  <c r="C10" i="5"/>
  <c r="D15" i="15" l="1"/>
  <c r="C13" i="16" l="1"/>
  <c r="E8" i="7"/>
  <c r="E7" i="7"/>
  <c r="E6" i="7"/>
  <c r="E13" i="16"/>
  <c r="M20" i="15"/>
  <c r="M18" i="15"/>
  <c r="L15" i="15"/>
  <c r="K15" i="15"/>
  <c r="J15" i="15"/>
  <c r="I15" i="15"/>
  <c r="H15" i="15"/>
  <c r="G15" i="15"/>
  <c r="F15" i="15"/>
  <c r="E15" i="15"/>
  <c r="M14" i="15"/>
  <c r="M13" i="15"/>
  <c r="M12" i="15"/>
  <c r="M10" i="15"/>
  <c r="M9" i="15"/>
  <c r="E9" i="9"/>
  <c r="E7" i="9"/>
  <c r="M15" i="15" l="1"/>
</calcChain>
</file>

<file path=xl/comments1.xml><?xml version="1.0" encoding="utf-8"?>
<comments xmlns="http://schemas.openxmlformats.org/spreadsheetml/2006/main">
  <authors>
    <author>熊茂盛</author>
  </authors>
  <commentList>
    <comment ref="C7" authorId="0">
      <text>
        <r>
          <rPr>
            <sz val="9"/>
            <color indexed="81"/>
            <rFont val="宋体"/>
            <family val="3"/>
            <charset val="134"/>
            <b/>
          </rPr>
          <t xml:space="preserve">熊茂盛:</t>
        </r>
        <r>
          <rPr>
            <sz val="9"/>
            <color indexed="81"/>
            <rFont val="宋体"/>
            <family val="3"/>
            <charset val="134"/>
          </rPr>
          <t xml:space="preserve">
=FT-05141当周累计/当周实际运行时间，下同</t>
        </r>
      </text>
    </comment>
    <comment ref="D7" authorId="0">
      <text>
        <r>
          <rPr>
            <sz val="9"/>
            <color indexed="81"/>
            <rFont val="宋体"/>
            <family val="3"/>
            <charset val="134"/>
            <b/>
          </rPr>
          <t xml:space="preserve">熊茂盛:</t>
        </r>
        <r>
          <rPr>
            <sz val="9"/>
            <color indexed="81"/>
            <rFont val="宋体"/>
            <family val="3"/>
            <charset val="134"/>
          </rPr>
          <t xml:space="preserve">
=FT-05142当周累计/当周实际运行时间，下同</t>
        </r>
      </text>
    </comment>
    <comment ref="E7" authorId="0">
      <text>
        <r>
          <rPr>
            <sz val="9"/>
            <color indexed="81"/>
            <rFont val="宋体"/>
            <family val="3"/>
            <charset val="134"/>
            <b/>
          </rPr>
          <t xml:space="preserve">熊茂盛:</t>
        </r>
        <r>
          <rPr>
            <sz val="9"/>
            <color indexed="81"/>
            <rFont val="宋体"/>
            <family val="3"/>
            <charset val="134"/>
          </rPr>
          <t xml:space="preserve">
=FT-05213当周累计/当周实际运行时间，下同</t>
        </r>
      </text>
    </comment>
    <comment ref="F7" authorId="0">
      <text>
        <r>
          <rPr>
            <sz val="9"/>
            <color indexed="81"/>
            <rFont val="宋体"/>
            <family val="3"/>
            <charset val="134"/>
            <b/>
          </rPr>
          <t xml:space="preserve">熊茂盛:</t>
        </r>
        <r>
          <rPr>
            <sz val="9"/>
            <color indexed="81"/>
            <rFont val="宋体"/>
            <family val="3"/>
            <charset val="134"/>
          </rPr>
          <t xml:space="preserve">
=AT-05140当周记录的平均值，下同</t>
        </r>
      </text>
    </comment>
    <comment ref="G7" authorId="0">
      <text>
        <r>
          <rPr>
            <sz val="9"/>
            <color indexed="81"/>
            <rFont val="宋体"/>
            <family val="3"/>
            <charset val="134"/>
            <b/>
          </rPr>
          <t xml:space="preserve">熊茂盛:</t>
        </r>
        <r>
          <rPr>
            <sz val="9"/>
            <color indexed="81"/>
            <rFont val="宋体"/>
            <family val="3"/>
            <charset val="134"/>
          </rPr>
          <t xml:space="preserve">
=PT-05311当周运行记录的平均值，下同</t>
        </r>
      </text>
    </comment>
    <comment ref="H7" authorId="0">
      <text>
        <r>
          <rPr>
            <sz val="9"/>
            <color indexed="81"/>
            <rFont val="宋体"/>
            <family val="3"/>
            <charset val="134"/>
            <b/>
          </rPr>
          <t xml:space="preserve">熊茂盛:</t>
        </r>
        <r>
          <rPr>
            <sz val="9"/>
            <color indexed="81"/>
            <rFont val="宋体"/>
            <family val="3"/>
            <charset val="134"/>
          </rPr>
          <t xml:space="preserve">
=TT-05312当周记录的平均值，下同</t>
        </r>
      </text>
    </comment>
    <comment ref="I7" authorId="0">
      <text>
        <r>
          <rPr>
            <sz val="9"/>
            <color indexed="81"/>
            <rFont val="宋体"/>
            <family val="3"/>
            <charset val="134"/>
            <b/>
          </rPr>
          <t xml:space="preserve">熊茂盛:</t>
        </r>
        <r>
          <rPr>
            <sz val="9"/>
            <color indexed="81"/>
            <rFont val="宋体"/>
            <family val="3"/>
            <charset val="134"/>
          </rPr>
          <t xml:space="preserve">
=TT-05300当周运行记录的平均值，下同</t>
        </r>
      </text>
    </comment>
    <comment ref="J7" authorId="0">
      <text>
        <r>
          <rPr>
            <sz val="9"/>
            <color indexed="81"/>
            <rFont val="宋体"/>
            <family val="3"/>
            <charset val="134"/>
            <b/>
          </rPr>
          <t xml:space="preserve">熊茂盛:</t>
        </r>
        <r>
          <rPr>
            <sz val="9"/>
            <color indexed="81"/>
            <rFont val="宋体"/>
            <family val="3"/>
            <charset val="134"/>
          </rPr>
          <t xml:space="preserve">
=PT-05317当周运行记录的平均值，下同</t>
        </r>
      </text>
    </comment>
    <comment ref="K7" authorId="0">
      <text>
        <r>
          <rPr>
            <sz val="9"/>
            <color indexed="81"/>
            <rFont val="宋体"/>
            <family val="3"/>
            <charset val="134"/>
            <b/>
          </rPr>
          <t xml:space="preserve">熊茂盛:</t>
        </r>
        <r>
          <rPr>
            <sz val="9"/>
            <color indexed="81"/>
            <rFont val="宋体"/>
            <family val="3"/>
            <charset val="134"/>
          </rPr>
          <t xml:space="preserve">
=TT-05316当周运行记录的平均值，下同</t>
        </r>
      </text>
    </comment>
  </commentList>
</comments>
</file>

<file path=xl/comments2.xml><?xml version="1.0" encoding="utf-8"?>
<comments xmlns="http://schemas.openxmlformats.org/spreadsheetml/2006/main">
  <authors>
    <author>熊茂盛</author>
  </authors>
  <commentList>
    <comment ref="C7" authorId="0">
      <text>
        <r>
          <rPr>
            <sz val="9"/>
            <color indexed="81"/>
            <rFont val="宋体"/>
            <family val="3"/>
            <charset val="134"/>
            <b/>
          </rPr>
          <t xml:space="preserve">熊茂盛:</t>
        </r>
        <r>
          <rPr>
            <sz val="9"/>
            <color indexed="81"/>
            <rFont val="宋体"/>
            <family val="3"/>
            <charset val="134"/>
          </rPr>
          <t xml:space="preserve">
=当周检测数据平均值，下同</t>
        </r>
      </text>
    </comment>
    <comment ref="C8" authorId="0">
      <text>
        <r>
          <rPr>
            <sz val="9"/>
            <color indexed="81"/>
            <rFont val="宋体"/>
            <family val="3"/>
            <charset val="134"/>
            <b/>
          </rPr>
          <t xml:space="preserve">熊茂盛:</t>
        </r>
        <r>
          <rPr>
            <sz val="9"/>
            <color indexed="81"/>
            <rFont val="宋体"/>
            <family val="3"/>
            <charset val="134"/>
          </rPr>
          <t xml:space="preserve">
=当周检测数据平均值，下同</t>
        </r>
      </text>
    </comment>
    <comment ref="C9" authorId="0">
      <text>
        <r>
          <rPr>
            <sz val="9"/>
            <color indexed="81"/>
            <rFont val="宋体"/>
            <family val="3"/>
            <charset val="134"/>
            <b/>
          </rPr>
          <t xml:space="preserve">熊茂盛:</t>
        </r>
        <r>
          <rPr>
            <sz val="9"/>
            <color indexed="81"/>
            <rFont val="宋体"/>
            <family val="3"/>
            <charset val="134"/>
          </rPr>
          <t xml:space="preserve">
=当月检测数据平均值，下同</t>
        </r>
      </text>
    </comment>
    <comment ref="G9" authorId="0">
      <text>
        <r>
          <rPr>
            <sz val="9"/>
            <color indexed="81"/>
            <rFont val="宋体"/>
            <family val="3"/>
            <charset val="134"/>
            <b/>
          </rPr>
          <t xml:space="preserve">熊茂盛:</t>
        </r>
        <r>
          <rPr>
            <sz val="9"/>
            <color indexed="81"/>
            <rFont val="宋体"/>
            <family val="3"/>
            <charset val="134"/>
          </rPr>
          <t xml:space="preserve">
=FT-05411该月累计值/实际运行时间，其他同</t>
        </r>
      </text>
    </comment>
    <comment ref="C10" authorId="0">
      <text>
        <r>
          <rPr>
            <sz val="9"/>
            <color indexed="81"/>
            <rFont val="宋体"/>
            <family val="3"/>
            <charset val="134"/>
            <b/>
          </rPr>
          <t xml:space="preserve">熊茂盛:</t>
        </r>
        <r>
          <rPr>
            <sz val="9"/>
            <color indexed="81"/>
            <rFont val="宋体"/>
            <family val="3"/>
            <charset val="134"/>
          </rPr>
          <t xml:space="preserve">
两周值做减法所得，下同</t>
        </r>
      </text>
    </comment>
  </commentList>
</comments>
</file>

<file path=xl/comments3.xml><?xml version="1.0" encoding="utf-8"?>
<comments xmlns="http://schemas.openxmlformats.org/spreadsheetml/2006/main">
  <authors>
    <author>熊茂盛</author>
  </authors>
  <commentList>
    <comment ref="C6" authorId="0">
      <text>
        <r>
          <rPr>
            <sz val="9"/>
            <color indexed="81"/>
            <rFont val="宋体"/>
            <family val="3"/>
            <charset val="134"/>
            <b/>
          </rPr>
          <t xml:space="preserve">熊茂盛:</t>
        </r>
        <r>
          <rPr>
            <sz val="9"/>
            <color indexed="81"/>
            <rFont val="宋体"/>
            <family val="3"/>
            <charset val="134"/>
          </rPr>
          <t xml:space="preserve">
作为参考数据，手工填写，其他同</t>
        </r>
      </text>
    </comment>
    <comment ref="C7" authorId="0">
      <text>
        <r>
          <rPr>
            <sz val="9"/>
            <color indexed="81"/>
            <rFont val="宋体"/>
            <family val="3"/>
            <charset val="134"/>
            <b/>
          </rPr>
          <t xml:space="preserve">熊茂盛:</t>
        </r>
        <r>
          <rPr>
            <sz val="9"/>
            <color indexed="81"/>
            <rFont val="宋体"/>
            <family val="3"/>
            <charset val="134"/>
          </rPr>
          <t xml:space="preserve">
=当周检测数据平均值，下同</t>
        </r>
      </text>
    </comment>
    <comment ref="D7" authorId="0">
      <text>
        <r>
          <rPr>
            <sz val="9"/>
            <color indexed="81"/>
            <rFont val="宋体"/>
            <family val="3"/>
            <charset val="134"/>
            <b/>
          </rPr>
          <t xml:space="preserve">熊茂盛:</t>
        </r>
        <r>
          <rPr>
            <sz val="9"/>
            <color indexed="81"/>
            <rFont val="宋体"/>
            <family val="3"/>
            <charset val="134"/>
          </rPr>
          <t xml:space="preserve">
=当周检测数据平均值，下同</t>
        </r>
      </text>
    </comment>
    <comment ref="E7" authorId="0">
      <text>
        <r>
          <rPr>
            <sz val="9"/>
            <color indexed="81"/>
            <rFont val="宋体"/>
            <family val="3"/>
            <charset val="134"/>
            <b/>
          </rPr>
          <t xml:space="preserve">熊茂盛:</t>
        </r>
        <r>
          <rPr>
            <sz val="9"/>
            <color indexed="81"/>
            <rFont val="宋体"/>
            <family val="3"/>
            <charset val="134"/>
          </rPr>
          <t xml:space="preserve">
=当周检测数据平均值，下同</t>
        </r>
      </text>
    </comment>
    <comment ref="F7" authorId="0">
      <text>
        <r>
          <rPr>
            <sz val="9"/>
            <color indexed="81"/>
            <rFont val="宋体"/>
            <family val="3"/>
            <charset val="134"/>
            <b/>
          </rPr>
          <t xml:space="preserve">熊茂盛:</t>
        </r>
        <r>
          <rPr>
            <sz val="9"/>
            <color indexed="81"/>
            <rFont val="宋体"/>
            <family val="3"/>
            <charset val="134"/>
          </rPr>
          <t xml:space="preserve">
=当周检测数据平均值，下同</t>
        </r>
      </text>
    </comment>
    <comment ref="G7" authorId="0">
      <text>
        <r>
          <rPr>
            <sz val="9"/>
            <color indexed="81"/>
            <rFont val="宋体"/>
            <family val="3"/>
            <charset val="134"/>
            <b/>
          </rPr>
          <t xml:space="preserve">熊茂盛:</t>
        </r>
        <r>
          <rPr>
            <sz val="9"/>
            <color indexed="81"/>
            <rFont val="宋体"/>
            <family val="3"/>
            <charset val="134"/>
          </rPr>
          <t xml:space="preserve">
=当周检测数据平均值，下同</t>
        </r>
      </text>
    </comment>
    <comment ref="H7" authorId="0">
      <text>
        <r>
          <rPr>
            <sz val="9"/>
            <color indexed="81"/>
            <rFont val="宋体"/>
            <family val="3"/>
            <charset val="134"/>
            <b/>
          </rPr>
          <t xml:space="preserve">熊茂盛:</t>
        </r>
        <r>
          <rPr>
            <sz val="9"/>
            <color indexed="81"/>
            <rFont val="宋体"/>
            <family val="3"/>
            <charset val="134"/>
          </rPr>
          <t xml:space="preserve">
=PT-07145当周记录数据平均值，下同</t>
        </r>
      </text>
    </comment>
    <comment ref="I7" authorId="0">
      <text>
        <r>
          <rPr>
            <sz val="9"/>
            <color indexed="81"/>
            <rFont val="宋体"/>
            <family val="3"/>
            <charset val="134"/>
            <b/>
          </rPr>
          <t xml:space="preserve">熊茂盛:</t>
        </r>
        <r>
          <rPr>
            <sz val="9"/>
            <color indexed="81"/>
            <rFont val="宋体"/>
            <family val="3"/>
            <charset val="134"/>
          </rPr>
          <t xml:space="preserve">
=TT-07152当周记录数据平均值，下同</t>
        </r>
      </text>
    </comment>
    <comment ref="C10" authorId="0">
      <text>
        <r>
          <rPr>
            <sz val="9"/>
            <color indexed="81"/>
            <rFont val="宋体"/>
            <family val="3"/>
            <charset val="134"/>
            <b/>
          </rPr>
          <t xml:space="preserve">熊茂盛:</t>
        </r>
        <r>
          <rPr>
            <sz val="9"/>
            <color indexed="81"/>
            <rFont val="宋体"/>
            <family val="3"/>
            <charset val="134"/>
          </rPr>
          <t xml:space="preserve">
参考数据，手工填写，其他同</t>
        </r>
      </text>
    </comment>
  </commentList>
</comments>
</file>

<file path=xl/comments4.xml><?xml version="1.0" encoding="utf-8"?>
<comments xmlns="http://schemas.openxmlformats.org/spreadsheetml/2006/main">
  <authors>
    <author>熊茂盛</author>
  </authors>
  <commentList>
    <comment ref="C7" authorId="0">
      <text>
        <r>
          <rPr>
            <sz val="9"/>
            <color indexed="81"/>
            <rFont val="宋体"/>
            <family val="3"/>
            <charset val="134"/>
            <b/>
          </rPr>
          <t xml:space="preserve">熊茂盛:
</t>
        </r>
        <r>
          <rPr>
            <sz val="9"/>
            <color indexed="81"/>
            <rFont val="宋体"/>
            <family val="3"/>
            <charset val="134"/>
          </rPr>
          <t xml:space="preserve">=本年度检测数据取平均值，其他同</t>
        </r>
      </text>
    </comment>
    <comment ref="E7" authorId="0">
      <text>
        <r>
          <rPr>
            <sz val="9"/>
            <color indexed="81"/>
            <rFont val="宋体"/>
            <family val="3"/>
            <charset val="134"/>
            <b/>
          </rPr>
          <t xml:space="preserve">熊茂盛:</t>
        </r>
        <r>
          <rPr>
            <sz val="9"/>
            <color indexed="81"/>
            <rFont val="宋体"/>
            <family val="3"/>
            <charset val="134"/>
          </rPr>
          <t xml:space="preserve">
计算所得，下同</t>
        </r>
      </text>
    </comment>
    <comment ref="F7" authorId="0">
      <text>
        <r>
          <rPr>
            <sz val="9"/>
            <color indexed="81"/>
            <rFont val="宋体"/>
            <family val="3"/>
            <charset val="134"/>
            <b/>
          </rPr>
          <t xml:space="preserve">熊茂盛:</t>
        </r>
        <r>
          <rPr>
            <sz val="9"/>
            <color indexed="81"/>
            <rFont val="宋体"/>
            <family val="3"/>
            <charset val="134"/>
          </rPr>
          <t xml:space="preserve">
计算所得，下同</t>
        </r>
      </text>
    </comment>
    <comment ref="G7" authorId="0">
      <text>
        <r>
          <rPr>
            <sz val="9"/>
            <color indexed="81"/>
            <rFont val="宋体"/>
            <family val="3"/>
            <charset val="134"/>
            <b/>
          </rPr>
          <t xml:space="preserve">熊茂盛:
</t>
        </r>
        <r>
          <rPr>
            <sz val="9"/>
            <color indexed="81"/>
            <rFont val="宋体"/>
            <family val="3"/>
            <charset val="134"/>
          </rPr>
          <t xml:space="preserve">=本年度检测数据取平均值，其他同</t>
        </r>
      </text>
    </comment>
    <comment ref="I7" authorId="0">
      <text>
        <r>
          <rPr>
            <sz val="9"/>
            <color indexed="81"/>
            <rFont val="宋体"/>
            <family val="3"/>
            <charset val="134"/>
            <b/>
          </rPr>
          <t xml:space="preserve">熊茂盛:</t>
        </r>
        <r>
          <rPr>
            <sz val="9"/>
            <color indexed="81"/>
            <rFont val="宋体"/>
            <family val="3"/>
            <charset val="134"/>
          </rPr>
          <t xml:space="preserve">
计算所得，下同</t>
        </r>
      </text>
    </comment>
    <comment ref="J7" authorId="0">
      <text>
        <r>
          <rPr>
            <sz val="9"/>
            <color indexed="81"/>
            <rFont val="宋体"/>
            <family val="3"/>
            <charset val="134"/>
            <b/>
          </rPr>
          <t xml:space="preserve">熊茂盛:</t>
        </r>
        <r>
          <rPr>
            <sz val="9"/>
            <color indexed="81"/>
            <rFont val="宋体"/>
            <family val="3"/>
            <charset val="134"/>
          </rPr>
          <t xml:space="preserve">
计算所得，下同</t>
        </r>
      </text>
    </comment>
    <comment ref="C8" authorId="0">
      <text>
        <r>
          <rPr>
            <sz val="9"/>
            <color indexed="81"/>
            <rFont val="宋体"/>
            <family val="3"/>
            <charset val="134"/>
            <b/>
          </rPr>
          <t xml:space="preserve">熊茂盛:</t>
        </r>
        <r>
          <rPr>
            <sz val="9"/>
            <color indexed="81"/>
            <rFont val="宋体"/>
            <family val="3"/>
            <charset val="134"/>
          </rPr>
          <t xml:space="preserve">
=当周检测数据取平均值，其他同</t>
        </r>
      </text>
    </comment>
    <comment ref="G8" authorId="0">
      <text>
        <r>
          <rPr>
            <sz val="9"/>
            <color indexed="81"/>
            <rFont val="宋体"/>
            <family val="3"/>
            <charset val="134"/>
            <b/>
          </rPr>
          <t xml:space="preserve">熊茂盛:</t>
        </r>
        <r>
          <rPr>
            <sz val="9"/>
            <color indexed="81"/>
            <rFont val="宋体"/>
            <family val="3"/>
            <charset val="134"/>
          </rPr>
          <t xml:space="preserve">
=当周检测数据取平均值，其他同</t>
        </r>
      </text>
    </comment>
    <comment ref="C9" authorId="0">
      <text>
        <r>
          <rPr>
            <sz val="9"/>
            <color indexed="81"/>
            <rFont val="宋体"/>
            <family val="3"/>
            <charset val="134"/>
            <b/>
          </rPr>
          <t xml:space="preserve">熊茂盛:</t>
        </r>
        <r>
          <rPr>
            <sz val="9"/>
            <color indexed="81"/>
            <rFont val="宋体"/>
            <family val="3"/>
            <charset val="134"/>
          </rPr>
          <t xml:space="preserve">
=当周检测数据取平均值，其他同</t>
        </r>
      </text>
    </comment>
    <comment ref="G9" authorId="0">
      <text>
        <r>
          <rPr>
            <sz val="9"/>
            <color indexed="81"/>
            <rFont val="宋体"/>
            <family val="3"/>
            <charset val="134"/>
            <b/>
          </rPr>
          <t xml:space="preserve">熊茂盛:</t>
        </r>
        <r>
          <rPr>
            <sz val="9"/>
            <color indexed="81"/>
            <rFont val="宋体"/>
            <family val="3"/>
            <charset val="134"/>
          </rPr>
          <t xml:space="preserve">
=当周检测数据取平均值，其他同</t>
        </r>
      </text>
    </comment>
  </commentList>
</comments>
</file>

<file path=xl/comments5.xml><?xml version="1.0" encoding="utf-8"?>
<comments xmlns="http://schemas.openxmlformats.org/spreadsheetml/2006/main">
  <authors>
    <author>熊茂盛</author>
  </authors>
  <commentList>
    <comment ref="C6" authorId="0">
      <text>
        <r>
          <rPr>
            <sz val="9"/>
            <color indexed="81"/>
            <rFont val="宋体"/>
            <family val="3"/>
            <charset val="134"/>
            <b/>
          </rPr>
          <t xml:space="preserve">熊茂盛:</t>
        </r>
        <r>
          <rPr>
            <sz val="9"/>
            <color indexed="81"/>
            <rFont val="宋体"/>
            <family val="3"/>
            <charset val="134"/>
          </rPr>
          <t xml:space="preserve">
=当周检测数据取平均值，下同</t>
        </r>
      </text>
    </comment>
    <comment ref="D6" authorId="0">
      <text>
        <r>
          <rPr>
            <sz val="9"/>
            <color indexed="81"/>
            <rFont val="宋体"/>
            <family val="3"/>
            <charset val="134"/>
            <b/>
          </rPr>
          <t xml:space="preserve">熊茂盛:</t>
        </r>
        <r>
          <rPr>
            <sz val="9"/>
            <color indexed="81"/>
            <rFont val="宋体"/>
            <family val="3"/>
            <charset val="134"/>
          </rPr>
          <t xml:space="preserve">
=当周检测数据取平均值，下同</t>
        </r>
      </text>
    </comment>
    <comment ref="E6" authorId="0">
      <text>
        <r>
          <rPr>
            <sz val="9"/>
            <color indexed="81"/>
            <rFont val="宋体"/>
            <family val="3"/>
            <charset val="134"/>
            <b/>
          </rPr>
          <t xml:space="preserve">熊茂盛:</t>
        </r>
        <r>
          <rPr>
            <sz val="9"/>
            <color indexed="81"/>
            <rFont val="宋体"/>
            <family val="3"/>
            <charset val="134"/>
          </rPr>
          <t xml:space="preserve">
计算所得，下同</t>
        </r>
      </text>
    </comment>
    <comment ref="B14" authorId="0">
      <text>
        <r>
          <rPr>
            <sz val="9"/>
            <color indexed="81"/>
            <rFont val="宋体"/>
            <family val="3"/>
            <charset val="134"/>
            <b/>
          </rPr>
          <t xml:space="preserve">熊茂盛:</t>
        </r>
        <r>
          <rPr>
            <sz val="9"/>
            <color indexed="81"/>
            <rFont val="宋体"/>
            <family val="3"/>
            <charset val="134"/>
          </rPr>
          <t xml:space="preserve">
送检出结果后，人工填写</t>
        </r>
      </text>
    </comment>
    <comment ref="D14" authorId="0">
      <text>
        <r>
          <rPr>
            <sz val="9"/>
            <color indexed="81"/>
            <rFont val="宋体"/>
            <family val="3"/>
            <charset val="134"/>
            <b/>
          </rPr>
          <t xml:space="preserve">熊茂盛:</t>
        </r>
        <r>
          <rPr>
            <sz val="9"/>
            <color indexed="81"/>
            <rFont val="宋体"/>
            <family val="3"/>
            <charset val="134"/>
          </rPr>
          <t xml:space="preserve">
送检出结果后人工填写</t>
        </r>
      </text>
    </comment>
    <comment ref="E14" authorId="0">
      <text>
        <r>
          <rPr>
            <sz val="9"/>
            <color indexed="81"/>
            <rFont val="宋体"/>
            <family val="3"/>
            <charset val="134"/>
            <b/>
          </rPr>
          <t xml:space="preserve">熊茂盛:</t>
        </r>
        <r>
          <rPr>
            <sz val="9"/>
            <color indexed="81"/>
            <rFont val="宋体"/>
            <family val="3"/>
            <charset val="134"/>
          </rPr>
          <t xml:space="preserve">
送检出结果后人工填写</t>
        </r>
      </text>
    </comment>
    <comment ref="F14" authorId="0">
      <text>
        <r>
          <rPr>
            <sz val="9"/>
            <color indexed="81"/>
            <rFont val="宋体"/>
            <family val="3"/>
            <charset val="134"/>
            <b/>
          </rPr>
          <t xml:space="preserve">熊茂盛:</t>
        </r>
        <r>
          <rPr>
            <sz val="9"/>
            <color indexed="81"/>
            <rFont val="宋体"/>
            <family val="3"/>
            <charset val="134"/>
          </rPr>
          <t xml:space="preserve">
送检出结果后人工填写</t>
        </r>
      </text>
    </comment>
    <comment ref="G14" authorId="0">
      <text>
        <r>
          <rPr>
            <sz val="9"/>
            <color indexed="81"/>
            <rFont val="宋体"/>
            <family val="3"/>
            <charset val="134"/>
            <b/>
          </rPr>
          <t xml:space="preserve">熊茂盛:</t>
        </r>
        <r>
          <rPr>
            <sz val="9"/>
            <color indexed="81"/>
            <rFont val="宋体"/>
            <family val="3"/>
            <charset val="134"/>
          </rPr>
          <t xml:space="preserve">
以库房称量为准，人工填写</t>
        </r>
      </text>
    </comment>
    <comment ref="H14" authorId="0">
      <text>
        <r>
          <rPr>
            <sz val="9"/>
            <color indexed="81"/>
            <rFont val="宋体"/>
            <family val="3"/>
            <charset val="134"/>
            <b/>
          </rPr>
          <t xml:space="preserve">熊茂盛:</t>
        </r>
        <r>
          <rPr>
            <sz val="9"/>
            <color indexed="81"/>
            <rFont val="宋体"/>
            <family val="3"/>
            <charset val="134"/>
          </rPr>
          <t xml:space="preserve">
公式自行计算</t>
        </r>
      </text>
    </comment>
    <comment ref="I14" authorId="0">
      <text>
        <r>
          <rPr>
            <sz val="9"/>
            <color indexed="81"/>
            <rFont val="宋体"/>
            <family val="3"/>
            <charset val="134"/>
            <b/>
          </rPr>
          <t xml:space="preserve">熊茂盛:</t>
        </r>
        <r>
          <rPr>
            <sz val="9"/>
            <color indexed="81"/>
            <rFont val="宋体"/>
            <family val="3"/>
            <charset val="134"/>
          </rPr>
          <t xml:space="preserve">
送检出结果后，人工填写</t>
        </r>
      </text>
    </comment>
    <comment ref="L14" authorId="0">
      <text>
        <r>
          <rPr>
            <sz val="9"/>
            <color indexed="81"/>
            <rFont val="宋体"/>
            <family val="3"/>
            <charset val="134"/>
            <b/>
          </rPr>
          <t xml:space="preserve">熊茂盛:</t>
        </r>
        <r>
          <rPr>
            <sz val="9"/>
            <color indexed="81"/>
            <rFont val="宋体"/>
            <family val="3"/>
            <charset val="134"/>
          </rPr>
          <t xml:space="preserve">
送检出结果后，人工填写</t>
        </r>
      </text>
    </comment>
    <comment ref="M14" authorId="0">
      <text>
        <r>
          <rPr>
            <sz val="9"/>
            <color indexed="81"/>
            <rFont val="宋体"/>
            <family val="3"/>
            <charset val="134"/>
            <b/>
          </rPr>
          <t xml:space="preserve">熊茂盛:</t>
        </r>
        <r>
          <rPr>
            <sz val="9"/>
            <color indexed="81"/>
            <rFont val="宋体"/>
            <family val="3"/>
            <charset val="134"/>
          </rPr>
          <t xml:space="preserve">
送检出结果后，人工填写</t>
        </r>
      </text>
    </comment>
    <comment ref="N14" authorId="0">
      <text>
        <r>
          <rPr>
            <sz val="9"/>
            <color indexed="81"/>
            <rFont val="宋体"/>
            <family val="3"/>
            <charset val="134"/>
            <b/>
          </rPr>
          <t xml:space="preserve">熊茂盛:</t>
        </r>
        <r>
          <rPr>
            <sz val="9"/>
            <color indexed="81"/>
            <rFont val="宋体"/>
            <family val="3"/>
            <charset val="134"/>
          </rPr>
          <t xml:space="preserve">
以库房称量为准，人工填写</t>
        </r>
      </text>
    </comment>
    <comment ref="O14" authorId="0">
      <text>
        <r>
          <rPr>
            <sz val="9"/>
            <color indexed="81"/>
            <rFont val="宋体"/>
            <family val="3"/>
            <charset val="134"/>
            <b/>
          </rPr>
          <t xml:space="preserve">熊茂盛:</t>
        </r>
        <r>
          <rPr>
            <sz val="9"/>
            <color indexed="81"/>
            <rFont val="宋体"/>
            <family val="3"/>
            <charset val="134"/>
          </rPr>
          <t xml:space="preserve">
公式自行计算</t>
        </r>
      </text>
    </comment>
    <comment ref="P14" authorId="0">
      <text>
        <r>
          <rPr>
            <sz val="9"/>
            <color indexed="81"/>
            <rFont val="宋体"/>
            <family val="3"/>
            <charset val="134"/>
            <b/>
          </rPr>
          <t xml:space="preserve">熊茂盛:</t>
        </r>
        <r>
          <rPr>
            <sz val="9"/>
            <color indexed="81"/>
            <rFont val="宋体"/>
            <family val="3"/>
            <charset val="134"/>
          </rPr>
          <t xml:space="preserve">
公式自行计算</t>
        </r>
      </text>
    </comment>
    <comment ref="R14" authorId="0">
      <text>
        <r>
          <rPr>
            <sz val="9"/>
            <color indexed="81"/>
            <rFont val="宋体"/>
            <family val="3"/>
            <charset val="134"/>
            <b/>
          </rPr>
          <t xml:space="preserve">熊茂盛:</t>
        </r>
        <r>
          <rPr>
            <sz val="9"/>
            <color indexed="81"/>
            <rFont val="宋体"/>
            <family val="3"/>
            <charset val="134"/>
          </rPr>
          <t xml:space="preserve">
公式自行计算</t>
        </r>
      </text>
    </comment>
    <comment ref="S14" authorId="0">
      <text>
        <r>
          <rPr>
            <sz val="9"/>
            <color indexed="81"/>
            <rFont val="宋体"/>
            <family val="3"/>
            <charset val="134"/>
            <b/>
          </rPr>
          <t xml:space="preserve">熊茂盛:</t>
        </r>
        <r>
          <rPr>
            <sz val="9"/>
            <color indexed="81"/>
            <rFont val="宋体"/>
            <family val="3"/>
            <charset val="134"/>
          </rPr>
          <t xml:space="preserve">
公式自行计算</t>
        </r>
      </text>
    </comment>
    <comment ref="T14" authorId="0">
      <text>
        <r>
          <rPr>
            <sz val="9"/>
            <color indexed="81"/>
            <rFont val="宋体"/>
            <family val="3"/>
            <charset val="134"/>
            <b/>
          </rPr>
          <t xml:space="preserve">熊茂盛:</t>
        </r>
        <r>
          <rPr>
            <sz val="9"/>
            <color indexed="81"/>
            <rFont val="宋体"/>
            <family val="3"/>
            <charset val="134"/>
          </rPr>
          <t xml:space="preserve">
公式自行计算</t>
        </r>
      </text>
    </comment>
    <comment ref="U14" authorId="0">
      <text>
        <r>
          <rPr>
            <sz val="9"/>
            <color indexed="81"/>
            <rFont val="宋体"/>
            <family val="3"/>
            <charset val="134"/>
            <b/>
          </rPr>
          <t xml:space="preserve">熊茂盛:</t>
        </r>
        <r>
          <rPr>
            <sz val="9"/>
            <color indexed="81"/>
            <rFont val="宋体"/>
            <family val="3"/>
            <charset val="134"/>
          </rPr>
          <t xml:space="preserve">
公式自行计算</t>
        </r>
      </text>
    </comment>
    <comment ref="V14" authorId="0">
      <text>
        <r>
          <rPr>
            <sz val="9"/>
            <color indexed="81"/>
            <rFont val="宋体"/>
            <family val="3"/>
            <charset val="134"/>
            <b/>
          </rPr>
          <t xml:space="preserve">熊茂盛:</t>
        </r>
        <r>
          <rPr>
            <sz val="9"/>
            <color indexed="81"/>
            <rFont val="宋体"/>
            <family val="3"/>
            <charset val="134"/>
          </rPr>
          <t xml:space="preserve">
公式自行计算</t>
        </r>
      </text>
    </comment>
  </commentList>
</comments>
</file>

<file path=xl/comments6.xml><?xml version="1.0" encoding="utf-8"?>
<comments xmlns="http://schemas.openxmlformats.org/spreadsheetml/2006/main">
  <authors>
    <author>熊茂盛</author>
  </authors>
  <commentList>
    <comment ref="C6" authorId="0">
      <text>
        <r>
          <rPr>
            <sz val="9"/>
            <color indexed="81"/>
            <rFont val="宋体"/>
            <family val="3"/>
            <charset val="134"/>
            <b/>
          </rPr>
          <t xml:space="preserve">熊茂盛:</t>
        </r>
        <r>
          <rPr>
            <sz val="9"/>
            <color indexed="81"/>
            <rFont val="宋体"/>
            <family val="3"/>
            <charset val="134"/>
          </rPr>
          <t xml:space="preserve">
折干产量 = 当月累产量/当月班数，其他同</t>
        </r>
      </text>
    </comment>
  </commentList>
</comments>
</file>

<file path=xl/comments7.xml><?xml version="1.0" encoding="utf-8"?>
<comments xmlns="http://schemas.openxmlformats.org/spreadsheetml/2006/main">
  <authors>
    <author>熊茂盛</author>
  </authors>
  <commentList>
    <comment ref="C9" authorId="0">
      <text>
        <r>
          <rPr>
            <sz val="9"/>
            <color indexed="81"/>
            <rFont val="宋体"/>
            <family val="3"/>
            <charset val="134"/>
            <b/>
          </rPr>
          <t xml:space="preserve">熊茂盛:</t>
        </r>
        <r>
          <rPr>
            <sz val="9"/>
            <color indexed="81"/>
            <rFont val="宋体"/>
            <family val="3"/>
            <charset val="134"/>
          </rPr>
          <t xml:space="preserve">
=FT-07122当周累计量/实际运行时间</t>
        </r>
      </text>
    </comment>
    <comment ref="D9" authorId="0">
      <text>
        <r>
          <rPr>
            <sz val="9"/>
            <color indexed="81"/>
            <rFont val="宋体"/>
            <family val="3"/>
            <charset val="134"/>
            <b/>
          </rPr>
          <t xml:space="preserve">熊茂盛:</t>
        </r>
        <r>
          <rPr>
            <sz val="9"/>
            <color indexed="81"/>
            <rFont val="宋体"/>
            <family val="3"/>
            <charset val="134"/>
          </rPr>
          <t xml:space="preserve">
=FT-07122当周累计量/实际运行时间</t>
        </r>
      </text>
    </comment>
    <comment ref="E9" authorId="0">
      <text>
        <r>
          <rPr>
            <sz val="9"/>
            <color indexed="81"/>
            <rFont val="宋体"/>
            <family val="3"/>
            <charset val="134"/>
            <b/>
          </rPr>
          <t xml:space="preserve">熊茂盛:</t>
        </r>
        <r>
          <rPr>
            <sz val="9"/>
            <color indexed="81"/>
            <rFont val="宋体"/>
            <family val="3"/>
            <charset val="134"/>
          </rPr>
          <t xml:space="preserve">
计算得出=进料总量/出料总量</t>
        </r>
      </text>
    </comment>
    <comment ref="F9" authorId="0">
      <text>
        <r>
          <rPr>
            <sz val="9"/>
            <color indexed="81"/>
            <rFont val="宋体"/>
            <family val="3"/>
            <charset val="134"/>
            <b/>
          </rPr>
          <t xml:space="preserve">熊茂盛:</t>
        </r>
        <r>
          <rPr>
            <sz val="9"/>
            <color indexed="81"/>
            <rFont val="宋体"/>
            <family val="3"/>
            <charset val="134"/>
          </rPr>
          <t xml:space="preserve">
AT-07137每次出料记录的平均值</t>
        </r>
      </text>
    </comment>
    <comment ref="G9" authorId="0">
      <text>
        <r>
          <rPr>
            <sz val="9"/>
            <color indexed="81"/>
            <rFont val="宋体"/>
            <family val="3"/>
            <charset val="134"/>
            <b/>
          </rPr>
          <t xml:space="preserve">熊茂盛:</t>
        </r>
        <r>
          <rPr>
            <sz val="9"/>
            <color indexed="81"/>
            <rFont val="宋体"/>
            <family val="3"/>
            <charset val="134"/>
          </rPr>
          <t xml:space="preserve">
=FT-07126当周累计值/实际运行时间</t>
        </r>
      </text>
    </comment>
    <comment ref="C13" authorId="0">
      <text>
        <r>
          <rPr>
            <sz val="9"/>
            <color indexed="81"/>
            <rFont val="宋体"/>
            <family val="3"/>
            <charset val="134"/>
            <b/>
          </rPr>
          <t xml:space="preserve">熊茂盛:</t>
        </r>
        <r>
          <rPr>
            <sz val="9"/>
            <color indexed="81"/>
            <rFont val="宋体"/>
            <family val="3"/>
            <charset val="134"/>
          </rPr>
          <t xml:space="preserve">
=当周检测数据取平均值，下同</t>
        </r>
      </text>
    </comment>
    <comment ref="E13" authorId="0">
      <text>
        <r>
          <rPr>
            <sz val="9"/>
            <color indexed="81"/>
            <rFont val="宋体"/>
            <family val="3"/>
            <charset val="134"/>
            <b/>
          </rPr>
          <t xml:space="preserve">熊茂盛:</t>
        </r>
        <r>
          <rPr>
            <sz val="9"/>
            <color indexed="81"/>
            <rFont val="宋体"/>
            <family val="3"/>
            <charset val="134"/>
          </rPr>
          <t xml:space="preserve">
=当周检测数据取平均值，下同</t>
        </r>
      </text>
    </comment>
    <comment ref="G13" authorId="0">
      <text>
        <r>
          <rPr>
            <sz val="9"/>
            <color indexed="81"/>
            <rFont val="宋体"/>
            <family val="3"/>
            <charset val="134"/>
            <b/>
          </rPr>
          <t xml:space="preserve">熊茂盛:</t>
        </r>
        <r>
          <rPr>
            <sz val="9"/>
            <color indexed="81"/>
            <rFont val="宋体"/>
            <family val="3"/>
            <charset val="134"/>
          </rPr>
          <t xml:space="preserve">
=当周检测数据取平均值，下同</t>
        </r>
      </text>
    </comment>
  </commentList>
</comments>
</file>

<file path=xl/comments8.xml><?xml version="1.0" encoding="utf-8"?>
<comments xmlns="http://schemas.openxmlformats.org/spreadsheetml/2006/main">
  <authors>
    <author>熊茂盛</author>
  </authors>
  <commentList>
    <comment ref="C6" authorId="0">
      <text>
        <r>
          <rPr>
            <sz val="9"/>
            <color indexed="81"/>
            <rFont val="宋体"/>
            <family val="3"/>
            <charset val="134"/>
            <b/>
          </rPr>
          <t xml:space="preserve">熊茂盛:</t>
        </r>
        <r>
          <rPr>
            <sz val="9"/>
            <color indexed="81"/>
            <rFont val="宋体"/>
            <family val="3"/>
            <charset val="134"/>
          </rPr>
          <t xml:space="preserve">
当周活性炭总用量/脱色液总量（FT-06524当周累计量），下同</t>
        </r>
      </text>
    </comment>
    <comment ref="D6" authorId="0">
      <text>
        <r>
          <rPr>
            <sz val="9"/>
            <color indexed="81"/>
            <rFont val="宋体"/>
            <family val="3"/>
            <charset val="134"/>
            <b/>
          </rPr>
          <t xml:space="preserve">熊茂盛:</t>
        </r>
        <r>
          <rPr>
            <sz val="9"/>
            <color indexed="81"/>
            <rFont val="宋体"/>
            <family val="3"/>
            <charset val="134"/>
          </rPr>
          <t xml:space="preserve">
=当周检测值取平均值，下同</t>
        </r>
      </text>
    </comment>
    <comment ref="C11" authorId="0">
      <text>
        <r>
          <rPr>
            <sz val="9"/>
            <color indexed="81"/>
            <rFont val="宋体"/>
            <family val="3"/>
            <charset val="134"/>
            <b/>
          </rPr>
          <t xml:space="preserve">熊茂盛:</t>
        </r>
        <r>
          <rPr>
            <sz val="9"/>
            <color indexed="81"/>
            <rFont val="宋体"/>
            <family val="3"/>
            <charset val="134"/>
          </rPr>
          <t xml:space="preserve">
=当周检测值取平均值</t>
        </r>
      </text>
    </comment>
    <comment ref="D11" authorId="0">
      <text>
        <r>
          <rPr>
            <sz val="9"/>
            <color indexed="81"/>
            <rFont val="宋体"/>
            <family val="3"/>
            <charset val="134"/>
            <b/>
          </rPr>
          <t xml:space="preserve">熊茂盛:</t>
        </r>
        <r>
          <rPr>
            <sz val="9"/>
            <color indexed="81"/>
            <rFont val="宋体"/>
            <family val="3"/>
            <charset val="134"/>
          </rPr>
          <t xml:space="preserve">
=当周检测值取平均值</t>
        </r>
      </text>
    </comment>
    <comment ref="E11" authorId="0">
      <text>
        <r>
          <rPr>
            <sz val="9"/>
            <color indexed="81"/>
            <rFont val="宋体"/>
            <family val="3"/>
            <charset val="134"/>
            <b/>
          </rPr>
          <t xml:space="preserve">熊茂盛:</t>
        </r>
        <r>
          <rPr>
            <sz val="9"/>
            <color indexed="81"/>
            <rFont val="宋体"/>
            <family val="3"/>
            <charset val="134"/>
          </rPr>
          <t xml:space="preserve">
当周检测值取平均值</t>
        </r>
      </text>
    </comment>
    <comment ref="E12" authorId="0">
      <text>
        <r>
          <rPr>
            <sz val="9"/>
            <color indexed="81"/>
            <rFont val="宋体"/>
            <family val="3"/>
            <charset val="134"/>
            <b/>
          </rPr>
          <t xml:space="preserve">熊茂盛:</t>
        </r>
        <r>
          <rPr>
            <sz val="9"/>
            <color indexed="81"/>
            <rFont val="宋体"/>
            <family val="3"/>
            <charset val="134"/>
          </rPr>
          <t xml:space="preserve">
当周检测值取平均值</t>
        </r>
      </text>
    </comment>
  </commentList>
</comments>
</file>

<file path=xl/comments9.xml><?xml version="1.0" encoding="utf-8"?>
<comments xmlns="http://schemas.openxmlformats.org/spreadsheetml/2006/main">
  <authors>
    <author>熊茂盛</author>
  </authors>
  <commentList>
    <comment ref="C4" authorId="0">
      <text>
        <r>
          <rPr>
            <sz val="9"/>
            <color indexed="81"/>
            <rFont val="宋体"/>
            <family val="3"/>
            <charset val="134"/>
            <b/>
          </rPr>
          <t xml:space="preserve">熊茂盛:</t>
        </r>
        <r>
          <rPr>
            <sz val="9"/>
            <color indexed="81"/>
            <rFont val="宋体"/>
            <family val="3"/>
            <charset val="134"/>
          </rPr>
          <t xml:space="preserve">
手工填</t>
        </r>
      </text>
    </comment>
    <comment ref="C5" authorId="0">
      <text>
        <r>
          <rPr>
            <sz val="9"/>
            <color indexed="81"/>
            <rFont val="宋体"/>
            <family val="3"/>
            <charset val="134"/>
            <b/>
          </rPr>
          <t xml:space="preserve">熊茂盛:</t>
        </r>
        <r>
          <rPr>
            <sz val="9"/>
            <color indexed="81"/>
            <rFont val="宋体"/>
            <family val="3"/>
            <charset val="134"/>
          </rPr>
          <t xml:space="preserve">
FT-08523，当周累积量</t>
        </r>
      </text>
    </comment>
    <comment ref="C7" authorId="0">
      <text>
        <r>
          <rPr>
            <sz val="9"/>
            <color indexed="81"/>
            <rFont val="宋体"/>
            <family val="3"/>
            <charset val="134"/>
            <b/>
          </rPr>
          <t xml:space="preserve">熊茂盛:</t>
        </r>
        <r>
          <rPr>
            <sz val="9"/>
            <color indexed="81"/>
            <rFont val="宋体"/>
            <family val="3"/>
            <charset val="134"/>
          </rPr>
          <t xml:space="preserve">
当月检测值取平均，下同</t>
        </r>
      </text>
    </comment>
    <comment ref="C8" authorId="0">
      <text>
        <r>
          <rPr>
            <sz val="9"/>
            <color indexed="81"/>
            <rFont val="宋体"/>
            <family val="3"/>
            <charset val="134"/>
            <b/>
          </rPr>
          <t xml:space="preserve">熊茂盛:</t>
        </r>
        <r>
          <rPr>
            <sz val="9"/>
            <color indexed="81"/>
            <rFont val="宋体"/>
            <family val="3"/>
            <charset val="134"/>
          </rPr>
          <t xml:space="preserve">
当周检测值取平均，下同</t>
        </r>
      </text>
    </comment>
    <comment ref="C9" authorId="0">
      <text>
        <r>
          <rPr>
            <sz val="9"/>
            <color indexed="81"/>
            <rFont val="宋体"/>
            <family val="3"/>
            <charset val="134"/>
            <b/>
          </rPr>
          <t xml:space="preserve">熊茂盛:</t>
        </r>
        <r>
          <rPr>
            <sz val="9"/>
            <color indexed="81"/>
            <rFont val="宋体"/>
            <family val="3"/>
            <charset val="134"/>
          </rPr>
          <t xml:space="preserve">
当周检测值取平均，下同</t>
        </r>
      </text>
    </comment>
  </commentList>
</comments>
</file>

<file path=xl/comments10.xml><?xml version="1.0" encoding="utf-8"?>
<comments xmlns="http://schemas.openxmlformats.org/spreadsheetml/2006/main">
  <authors>
    <author>熊茂盛</author>
  </authors>
  <commentList>
    <comment ref="E15" authorId="0">
      <text>
        <r>
          <rPr>
            <sz val="9"/>
            <color indexed="81"/>
            <rFont val="宋体"/>
            <family val="3"/>
            <charset val="134"/>
            <b/>
          </rPr>
          <t xml:space="preserve">熊茂盛:</t>
        </r>
        <r>
          <rPr>
            <sz val="9"/>
            <color indexed="81"/>
            <rFont val="宋体"/>
            <family val="3"/>
            <charset val="134"/>
          </rPr>
          <t xml:space="preserve">
=白班羟基乙腈用量,有效成分，需折算（体积用量×浓度或者质量的积分累计，单位折算成t）</t>
        </r>
      </text>
    </comment>
    <comment ref="G15" authorId="0">
      <text>
        <r>
          <rPr>
            <sz val="9"/>
            <color indexed="81"/>
            <rFont val="宋体"/>
            <family val="3"/>
            <charset val="134"/>
            <b/>
          </rPr>
          <t xml:space="preserve">熊茂盛:</t>
        </r>
        <r>
          <rPr>
            <sz val="9"/>
            <color indexed="81"/>
            <rFont val="宋体"/>
            <family val="3"/>
            <charset val="134"/>
          </rPr>
          <t xml:space="preserve">
=FT-05141,白班的累计值，注意:单位转化为t</t>
        </r>
      </text>
    </comment>
    <comment ref="I15" authorId="0">
      <text>
        <r>
          <rPr>
            <sz val="9"/>
            <color indexed="81"/>
            <rFont val="宋体"/>
            <family val="3"/>
            <charset val="134"/>
            <b/>
          </rPr>
          <t xml:space="preserve">熊茂盛:</t>
        </r>
        <r>
          <rPr>
            <sz val="9"/>
            <color indexed="81"/>
            <rFont val="宋体"/>
            <family val="3"/>
            <charset val="134"/>
          </rPr>
          <t xml:space="preserve">
=FT-05411，白班的累计值</t>
        </r>
      </text>
    </comment>
    <comment ref="K15" authorId="0">
      <text>
        <r>
          <rPr>
            <sz val="9"/>
            <color indexed="81"/>
            <rFont val="宋体"/>
            <family val="3"/>
            <charset val="134"/>
            <b/>
          </rPr>
          <t xml:space="preserve">熊茂盛:</t>
        </r>
        <r>
          <rPr>
            <sz val="9"/>
            <color indexed="81"/>
            <rFont val="宋体"/>
            <family val="3"/>
            <charset val="134"/>
          </rPr>
          <t xml:space="preserve">
人工抄表，手工填写</t>
        </r>
      </text>
    </comment>
    <comment ref="M15" authorId="0">
      <text>
        <r>
          <rPr>
            <sz val="9"/>
            <color indexed="81"/>
            <rFont val="宋体"/>
            <family val="3"/>
            <charset val="134"/>
            <b/>
          </rPr>
          <t xml:space="preserve">熊茂盛:</t>
        </r>
        <r>
          <rPr>
            <sz val="9"/>
            <color indexed="81"/>
            <rFont val="宋体"/>
            <family val="3"/>
            <charset val="134"/>
          </rPr>
          <t xml:space="preserve">
=FT-05142，白班的累计值m3×0.180218/1000</t>
        </r>
      </text>
    </comment>
    <comment ref="O15" authorId="0">
      <text>
        <r>
          <rPr>
            <sz val="9"/>
            <color indexed="81"/>
            <rFont val="宋体"/>
            <family val="3"/>
            <charset val="134"/>
            <b/>
          </rPr>
          <t xml:space="preserve">熊茂盛:</t>
        </r>
        <r>
          <rPr>
            <sz val="9"/>
            <color indexed="81"/>
            <rFont val="宋体"/>
            <family val="3"/>
            <charset val="134"/>
          </rPr>
          <t xml:space="preserve">
=FT-07126，白班的累计值，注意单位为t</t>
        </r>
      </text>
    </comment>
    <comment ref="Q15" authorId="0">
      <text>
        <r>
          <rPr>
            <sz val="9"/>
            <color indexed="81"/>
            <rFont val="宋体"/>
            <family val="3"/>
            <charset val="134"/>
            <b/>
          </rPr>
          <t xml:space="preserve">熊茂盛:</t>
        </r>
        <r>
          <rPr>
            <sz val="9"/>
            <color indexed="81"/>
            <rFont val="宋体"/>
            <family val="3"/>
            <charset val="134"/>
          </rPr>
          <t xml:space="preserve">
人工抄表，手工填写</t>
        </r>
      </text>
    </comment>
    <comment ref="S15" authorId="0">
      <text>
        <r>
          <rPr>
            <sz val="9"/>
            <color indexed="81"/>
            <rFont val="宋体"/>
            <family val="3"/>
            <charset val="134"/>
            <b/>
          </rPr>
          <t xml:space="preserve">熊茂盛:</t>
        </r>
        <r>
          <rPr>
            <sz val="9"/>
            <color indexed="81"/>
            <rFont val="宋体"/>
            <family val="3"/>
            <charset val="134"/>
          </rPr>
          <t xml:space="preserve">
人工抄表，手工填写</t>
        </r>
      </text>
    </comment>
    <comment ref="U15" authorId="0">
      <text>
        <r>
          <rPr>
            <sz val="9"/>
            <color indexed="81"/>
            <rFont val="宋体"/>
            <family val="3"/>
            <charset val="134"/>
            <b/>
          </rPr>
          <t xml:space="preserve">熊茂盛:</t>
        </r>
        <r>
          <rPr>
            <sz val="9"/>
            <color indexed="81"/>
            <rFont val="宋体"/>
            <family val="3"/>
            <charset val="134"/>
          </rPr>
          <t xml:space="preserve">
=FT-05343班累计值+FT-07174班累计值</t>
        </r>
      </text>
    </comment>
    <comment ref="W15" authorId="0">
      <text>
        <r>
          <rPr>
            <sz val="9"/>
            <color indexed="81"/>
            <rFont val="宋体"/>
            <family val="3"/>
            <charset val="134"/>
            <b/>
          </rPr>
          <t xml:space="preserve">熊茂盛:</t>
        </r>
        <r>
          <rPr>
            <sz val="9"/>
            <color indexed="81"/>
            <rFont val="宋体"/>
            <family val="3"/>
            <charset val="134"/>
          </rPr>
          <t xml:space="preserve">
=FT-08523，班累计值</t>
        </r>
      </text>
    </comment>
    <comment ref="D16" authorId="0">
      <text>
        <r>
          <rPr>
            <sz val="9"/>
            <color indexed="81"/>
            <rFont val="宋体"/>
            <family val="3"/>
            <charset val="134"/>
            <b/>
          </rPr>
          <t xml:space="preserve">熊茂盛:
</t>
        </r>
        <r>
          <rPr>
            <sz val="9"/>
            <color indexed="81"/>
            <rFont val="宋体"/>
            <family val="3"/>
            <charset val="134"/>
          </rPr>
          <t xml:space="preserve">=“班组日生产过程运行质量考评表”中，白班折百产量汇总</t>
        </r>
      </text>
    </comment>
    <comment ref="E18" authorId="0">
      <text>
        <r>
          <rPr>
            <sz val="9"/>
            <color indexed="81"/>
            <rFont val="宋体"/>
            <family val="3"/>
            <charset val="134"/>
            <b/>
          </rPr>
          <t xml:space="preserve">熊茂盛:</t>
        </r>
        <r>
          <rPr>
            <sz val="9"/>
            <color indexed="81"/>
            <rFont val="宋体"/>
            <family val="3"/>
            <charset val="134"/>
          </rPr>
          <t xml:space="preserve">
=白班羟基乙腈用量,有效成分，需折算（体积用量×浓度或者质量的积分累计，单位折算成t）</t>
        </r>
      </text>
    </comment>
    <comment ref="G18" authorId="0">
      <text>
        <r>
          <rPr>
            <sz val="9"/>
            <color indexed="81"/>
            <rFont val="宋体"/>
            <family val="3"/>
            <charset val="134"/>
            <b/>
          </rPr>
          <t xml:space="preserve">熊茂盛:</t>
        </r>
        <r>
          <rPr>
            <sz val="9"/>
            <color indexed="81"/>
            <rFont val="宋体"/>
            <family val="3"/>
            <charset val="134"/>
          </rPr>
          <t xml:space="preserve">
=FT-05141,白班的累计值，注意:单位转化为t</t>
        </r>
      </text>
    </comment>
    <comment ref="I18" authorId="0">
      <text>
        <r>
          <rPr>
            <sz val="9"/>
            <color indexed="81"/>
            <rFont val="宋体"/>
            <family val="3"/>
            <charset val="134"/>
            <b/>
          </rPr>
          <t xml:space="preserve">熊茂盛:</t>
        </r>
        <r>
          <rPr>
            <sz val="9"/>
            <color indexed="81"/>
            <rFont val="宋体"/>
            <family val="3"/>
            <charset val="134"/>
          </rPr>
          <t xml:space="preserve">
=FT-05411，白班的累计值</t>
        </r>
      </text>
    </comment>
    <comment ref="K18" authorId="0">
      <text>
        <r>
          <rPr>
            <sz val="9"/>
            <color indexed="81"/>
            <rFont val="宋体"/>
            <family val="3"/>
            <charset val="134"/>
            <b/>
          </rPr>
          <t xml:space="preserve">熊茂盛:</t>
        </r>
        <r>
          <rPr>
            <sz val="9"/>
            <color indexed="81"/>
            <rFont val="宋体"/>
            <family val="3"/>
            <charset val="134"/>
          </rPr>
          <t xml:space="preserve">
人工抄表，手工填写</t>
        </r>
      </text>
    </comment>
    <comment ref="M18" authorId="0">
      <text>
        <r>
          <rPr>
            <sz val="9"/>
            <color indexed="81"/>
            <rFont val="宋体"/>
            <family val="3"/>
            <charset val="134"/>
            <b/>
          </rPr>
          <t xml:space="preserve">熊茂盛:</t>
        </r>
        <r>
          <rPr>
            <sz val="9"/>
            <color indexed="81"/>
            <rFont val="宋体"/>
            <family val="3"/>
            <charset val="134"/>
          </rPr>
          <t xml:space="preserve">
=FT-05142，白班的累计值m3×0.180218/1000</t>
        </r>
      </text>
    </comment>
    <comment ref="O18" authorId="0">
      <text>
        <r>
          <rPr>
            <sz val="9"/>
            <color indexed="81"/>
            <rFont val="宋体"/>
            <family val="3"/>
            <charset val="134"/>
            <b/>
          </rPr>
          <t xml:space="preserve">熊茂盛:</t>
        </r>
        <r>
          <rPr>
            <sz val="9"/>
            <color indexed="81"/>
            <rFont val="宋体"/>
            <family val="3"/>
            <charset val="134"/>
          </rPr>
          <t xml:space="preserve">
=FT-07126，白班的累计值，注意单位为t</t>
        </r>
      </text>
    </comment>
    <comment ref="Q18" authorId="0">
      <text>
        <r>
          <rPr>
            <sz val="9"/>
            <color indexed="81"/>
            <rFont val="宋体"/>
            <family val="3"/>
            <charset val="134"/>
            <b/>
          </rPr>
          <t xml:space="preserve">熊茂盛:</t>
        </r>
        <r>
          <rPr>
            <sz val="9"/>
            <color indexed="81"/>
            <rFont val="宋体"/>
            <family val="3"/>
            <charset val="134"/>
          </rPr>
          <t xml:space="preserve">
人工抄表，手工填写</t>
        </r>
      </text>
    </comment>
    <comment ref="S18" authorId="0">
      <text>
        <r>
          <rPr>
            <sz val="9"/>
            <color indexed="81"/>
            <rFont val="宋体"/>
            <family val="3"/>
            <charset val="134"/>
            <b/>
          </rPr>
          <t xml:space="preserve">熊茂盛:</t>
        </r>
        <r>
          <rPr>
            <sz val="9"/>
            <color indexed="81"/>
            <rFont val="宋体"/>
            <family val="3"/>
            <charset val="134"/>
          </rPr>
          <t xml:space="preserve">
人工抄表，手工填写</t>
        </r>
      </text>
    </comment>
    <comment ref="U18" authorId="0">
      <text>
        <r>
          <rPr>
            <sz val="9"/>
            <color indexed="81"/>
            <rFont val="宋体"/>
            <family val="3"/>
            <charset val="134"/>
            <b/>
          </rPr>
          <t xml:space="preserve">熊茂盛:</t>
        </r>
        <r>
          <rPr>
            <sz val="9"/>
            <color indexed="81"/>
            <rFont val="宋体"/>
            <family val="3"/>
            <charset val="134"/>
          </rPr>
          <t xml:space="preserve">
=FT-05343班累计值+FT-07174班累计值</t>
        </r>
      </text>
    </comment>
    <comment ref="W18" authorId="0">
      <text>
        <r>
          <rPr>
            <sz val="9"/>
            <color indexed="81"/>
            <rFont val="宋体"/>
            <family val="3"/>
            <charset val="134"/>
            <b/>
          </rPr>
          <t xml:space="preserve">熊茂盛:</t>
        </r>
        <r>
          <rPr>
            <sz val="9"/>
            <color indexed="81"/>
            <rFont val="宋体"/>
            <family val="3"/>
            <charset val="134"/>
          </rPr>
          <t xml:space="preserve">
=FT-08523，班累计值</t>
        </r>
      </text>
    </comment>
    <comment ref="D19" authorId="0">
      <text>
        <r>
          <rPr>
            <sz val="9"/>
            <color indexed="81"/>
            <rFont val="宋体"/>
            <family val="3"/>
            <charset val="134"/>
            <b/>
          </rPr>
          <t xml:space="preserve">熊茂盛:
</t>
        </r>
        <r>
          <rPr>
            <sz val="9"/>
            <color indexed="81"/>
            <rFont val="宋体"/>
            <family val="3"/>
            <charset val="134"/>
          </rPr>
          <t xml:space="preserve">=“班组日生产过程运行质量考评表”中，白班折百产量汇总</t>
        </r>
      </text>
    </comment>
  </commentList>
</comments>
</file>

<file path=xl/sharedStrings.xml><?xml version="1.0" encoding="utf-8"?>
<sst xmlns="http://schemas.openxmlformats.org/spreadsheetml/2006/main" count="563" uniqueCount="300">
  <si>
    <t xml:space="preserve">设计参数</t>
    <phoneticPr fontId="1" type="noConversion"/>
  </si>
  <si>
    <t xml:space="preserve">时间</t>
    <phoneticPr fontId="1" type="noConversion"/>
  </si>
  <si>
    <t xml:space="preserve">反应器
入口温度</t>
    <phoneticPr fontId="1" type="noConversion"/>
  </si>
  <si>
    <t xml:space="preserve">羟基
流量</t>
    <phoneticPr fontId="1" type="noConversion"/>
  </si>
  <si>
    <t xml:space="preserve">反应器
入口压力</t>
    <phoneticPr fontId="1" type="noConversion"/>
  </si>
  <si>
    <t xml:space="preserve">反应器
出口温度</t>
    <phoneticPr fontId="1" type="noConversion"/>
  </si>
  <si>
    <t xml:space="preserve">反应器
温度</t>
    <phoneticPr fontId="1" type="noConversion"/>
  </si>
  <si>
    <t xml:space="preserve">气氨
流量</t>
    <phoneticPr fontId="1" type="noConversion"/>
  </si>
  <si>
    <t xml:space="preserve">配比蒸汽
流量</t>
    <phoneticPr fontId="1" type="noConversion"/>
  </si>
  <si>
    <t xml:space="preserve">平均配比
摩尔比</t>
    <phoneticPr fontId="1" type="noConversion"/>
  </si>
  <si>
    <t xml:space="preserve">m3/h</t>
    <phoneticPr fontId="1" type="noConversion"/>
  </si>
  <si>
    <t xml:space="preserve">kg/h</t>
    <phoneticPr fontId="1" type="noConversion"/>
  </si>
  <si>
    <t xml:space="preserve">/</t>
    <phoneticPr fontId="1" type="noConversion"/>
  </si>
  <si>
    <t xml:space="preserve">℃</t>
    <phoneticPr fontId="1" type="noConversion"/>
  </si>
  <si>
    <t xml:space="preserve">Mpa</t>
  </si>
  <si>
    <t xml:space="preserve">Mpa</t>
    <phoneticPr fontId="1" type="noConversion"/>
  </si>
  <si>
    <t xml:space="preserve">项目</t>
    <phoneticPr fontId="1" type="noConversion"/>
  </si>
  <si>
    <t xml:space="preserve">上上周参数</t>
    <phoneticPr fontId="1" type="noConversion"/>
  </si>
  <si>
    <t xml:space="preserve">上周参数</t>
    <phoneticPr fontId="1" type="noConversion"/>
  </si>
  <si>
    <t xml:space="preserve">本周参数</t>
    <phoneticPr fontId="1" type="noConversion"/>
  </si>
  <si>
    <t xml:space="preserve">反应器
出口压力</t>
    <phoneticPr fontId="1" type="noConversion"/>
  </si>
  <si>
    <t xml:space="preserve">二乙腈含量</t>
    <phoneticPr fontId="1" type="noConversion"/>
  </si>
  <si>
    <t xml:space="preserve">二乙腈含量
（%）</t>
    <phoneticPr fontId="1" type="noConversion"/>
  </si>
  <si>
    <t xml:space="preserve">色谱法</t>
    <phoneticPr fontId="1" type="noConversion"/>
  </si>
  <si>
    <t xml:space="preserve">化分法
（%）</t>
    <phoneticPr fontId="1" type="noConversion"/>
  </si>
  <si>
    <t xml:space="preserve">色谱法
（%）</t>
    <phoneticPr fontId="1" type="noConversion"/>
  </si>
  <si>
    <t xml:space="preserve">二乙腈
含 量</t>
    <phoneticPr fontId="1" type="noConversion"/>
  </si>
  <si>
    <t xml:space="preserve">羟基乙腈
残 余</t>
    <phoneticPr fontId="1" type="noConversion"/>
  </si>
  <si>
    <t xml:space="preserve">百分比
（%）</t>
    <phoneticPr fontId="1" type="noConversion"/>
  </si>
  <si>
    <t xml:space="preserve">浓度
（g/L）</t>
    <phoneticPr fontId="1" type="noConversion"/>
  </si>
  <si>
    <t xml:space="preserve">项 目</t>
    <phoneticPr fontId="1" type="noConversion"/>
  </si>
  <si>
    <t xml:space="preserve">pH值</t>
    <phoneticPr fontId="1" type="noConversion"/>
  </si>
  <si>
    <t xml:space="preserve">硫酸用量
（kg/h）</t>
    <phoneticPr fontId="1" type="noConversion"/>
  </si>
  <si>
    <t xml:space="preserve">本月平均</t>
    <phoneticPr fontId="1" type="noConversion"/>
  </si>
  <si>
    <t xml:space="preserve">上周平均</t>
    <phoneticPr fontId="1" type="noConversion"/>
  </si>
  <si>
    <t xml:space="preserve">本周平均</t>
    <phoneticPr fontId="1" type="noConversion"/>
  </si>
  <si>
    <t xml:space="preserve">差值</t>
    <phoneticPr fontId="1" type="noConversion"/>
  </si>
  <si>
    <t xml:space="preserve">mg/L</t>
    <phoneticPr fontId="1" type="noConversion"/>
  </si>
  <si>
    <t xml:space="preserve">COD</t>
    <phoneticPr fontId="1" type="noConversion"/>
  </si>
  <si>
    <t xml:space="preserve">指标</t>
    <phoneticPr fontId="1" type="noConversion"/>
  </si>
  <si>
    <t xml:space="preserve">单位</t>
    <phoneticPr fontId="1" type="noConversion"/>
  </si>
  <si>
    <t xml:space="preserve">TCN/总腈</t>
    <phoneticPr fontId="1" type="noConversion"/>
  </si>
  <si>
    <t xml:space="preserve">NH3-N/氨氮</t>
    <phoneticPr fontId="1" type="noConversion"/>
  </si>
  <si>
    <t xml:space="preserve">HCHO/甲醛</t>
    <phoneticPr fontId="1" type="noConversion"/>
  </si>
  <si>
    <t xml:space="preserve">pH</t>
    <phoneticPr fontId="1" type="noConversion"/>
  </si>
  <si>
    <t xml:space="preserve">大生产数据</t>
    <phoneticPr fontId="1" type="noConversion"/>
  </si>
  <si>
    <t xml:space="preserve">上上周平均</t>
    <phoneticPr fontId="1" type="noConversion"/>
  </si>
  <si>
    <t xml:space="preserve">农科数据</t>
    <phoneticPr fontId="1" type="noConversion"/>
  </si>
  <si>
    <t xml:space="preserve">低蒸压力</t>
    <phoneticPr fontId="1" type="noConversion"/>
  </si>
  <si>
    <t xml:space="preserve">低蒸温度</t>
    <phoneticPr fontId="1" type="noConversion"/>
  </si>
  <si>
    <t xml:space="preserve">备注：分析密度，每24小时白班送检一次。</t>
    <phoneticPr fontId="1" type="noConversion"/>
  </si>
  <si>
    <r>
      <t xml:space="preserve">25000</t>
    </r>
    <r>
      <rPr>
        <sz val="10"/>
        <color rgb="FFFF0000"/>
        <rFont val="SimSun"/>
        <charset val="134"/>
      </rPr>
      <t xml:space="preserve">～</t>
    </r>
    <r>
      <rPr>
        <sz val="10"/>
        <color rgb="FFFF0000"/>
        <rFont val="等线"/>
        <family val="3"/>
        <charset val="134"/>
      </rPr>
      <t xml:space="preserve">30000</t>
    </r>
    <phoneticPr fontId="1" type="noConversion"/>
  </si>
  <si>
    <r>
      <t xml:space="preserve">900</t>
    </r>
    <r>
      <rPr>
        <sz val="10"/>
        <color rgb="FFFF0000"/>
        <rFont val="SimSun"/>
        <charset val="134"/>
      </rPr>
      <t xml:space="preserve">～</t>
    </r>
    <r>
      <rPr>
        <sz val="10"/>
        <color rgb="FFFF0000"/>
        <rFont val="等线"/>
        <family val="3"/>
        <charset val="134"/>
      </rPr>
      <t xml:space="preserve">1200</t>
    </r>
    <phoneticPr fontId="1" type="noConversion"/>
  </si>
  <si>
    <r>
      <t xml:space="preserve">2500</t>
    </r>
    <r>
      <rPr>
        <sz val="10"/>
        <color rgb="FFFF0000"/>
        <rFont val="SimSun"/>
        <charset val="134"/>
      </rPr>
      <t xml:space="preserve">～</t>
    </r>
    <r>
      <rPr>
        <sz val="10"/>
        <color rgb="FFFF0000"/>
        <rFont val="等线"/>
        <family val="3"/>
        <charset val="134"/>
      </rPr>
      <t xml:space="preserve">3000</t>
    </r>
    <phoneticPr fontId="1" type="noConversion"/>
  </si>
  <si>
    <r>
      <t xml:space="preserve">30</t>
    </r>
    <r>
      <rPr>
        <sz val="10"/>
        <color rgb="FFFF0000"/>
        <rFont val="SimSun"/>
        <charset val="134"/>
      </rPr>
      <t xml:space="preserve">～</t>
    </r>
    <r>
      <rPr>
        <sz val="10"/>
        <color rgb="FFFF0000"/>
        <rFont val="等线"/>
        <family val="3"/>
        <charset val="134"/>
      </rPr>
      <t xml:space="preserve">50</t>
    </r>
    <phoneticPr fontId="1" type="noConversion"/>
  </si>
  <si>
    <t xml:space="preserve">月份</t>
    <phoneticPr fontId="1" type="noConversion"/>
  </si>
  <si>
    <t xml:space="preserve">%</t>
    <phoneticPr fontId="1" type="noConversion"/>
  </si>
  <si>
    <t xml:space="preserve">水分含量</t>
    <phoneticPr fontId="1" type="noConversion"/>
  </si>
  <si>
    <t xml:space="preserve">综合含量</t>
    <phoneticPr fontId="1" type="noConversion"/>
  </si>
  <si>
    <t xml:space="preserve">未知物含量</t>
    <phoneticPr fontId="1" type="noConversion"/>
  </si>
  <si>
    <t xml:space="preserve">本年度平均</t>
    <phoneticPr fontId="1" type="noConversion"/>
  </si>
  <si>
    <t xml:space="preserve">化学分析法</t>
    <phoneticPr fontId="1" type="noConversion"/>
  </si>
  <si>
    <t xml:space="preserve">备注</t>
    <phoneticPr fontId="1" type="noConversion"/>
  </si>
  <si>
    <t xml:space="preserve">上上周</t>
    <phoneticPr fontId="1" type="noConversion"/>
  </si>
  <si>
    <t xml:space="preserve">上周</t>
    <phoneticPr fontId="1" type="noConversion"/>
  </si>
  <si>
    <t xml:space="preserve">本周</t>
    <phoneticPr fontId="1" type="noConversion"/>
  </si>
  <si>
    <t xml:space="preserve">平
均</t>
    <phoneticPr fontId="1" type="noConversion"/>
  </si>
  <si>
    <t xml:space="preserve">1月</t>
    <phoneticPr fontId="1" type="noConversion"/>
  </si>
  <si>
    <t xml:space="preserve">2月</t>
    <phoneticPr fontId="1" type="noConversion"/>
  </si>
  <si>
    <t xml:space="preserve">3月</t>
    <phoneticPr fontId="1" type="noConversion"/>
  </si>
  <si>
    <t xml:space="preserve">4月</t>
    <phoneticPr fontId="1" type="noConversion"/>
  </si>
  <si>
    <t xml:space="preserve">5月</t>
    <phoneticPr fontId="1" type="noConversion"/>
  </si>
  <si>
    <t xml:space="preserve">6月</t>
    <phoneticPr fontId="1" type="noConversion"/>
  </si>
  <si>
    <t xml:space="preserve">7月</t>
    <phoneticPr fontId="1" type="noConversion"/>
  </si>
  <si>
    <t xml:space="preserve">8月</t>
    <phoneticPr fontId="1" type="noConversion"/>
  </si>
  <si>
    <t xml:space="preserve">9月</t>
    <phoneticPr fontId="1" type="noConversion"/>
  </si>
  <si>
    <t xml:space="preserve">10月</t>
    <phoneticPr fontId="1" type="noConversion"/>
  </si>
  <si>
    <t xml:space="preserve">11月</t>
    <phoneticPr fontId="1" type="noConversion"/>
  </si>
  <si>
    <t xml:space="preserve">12月</t>
    <phoneticPr fontId="1" type="noConversion"/>
  </si>
  <si>
    <t xml:space="preserve">收
率
（%）</t>
    <phoneticPr fontId="1" type="noConversion"/>
  </si>
  <si>
    <t xml:space="preserve">班
产
量
（t）</t>
    <phoneticPr fontId="1" type="noConversion"/>
  </si>
  <si>
    <t xml:space="preserve">设计值</t>
    <phoneticPr fontId="1" type="noConversion"/>
  </si>
  <si>
    <t xml:space="preserve">进料量</t>
    <phoneticPr fontId="1" type="noConversion"/>
  </si>
  <si>
    <t xml:space="preserve">出料量</t>
    <phoneticPr fontId="1" type="noConversion"/>
  </si>
  <si>
    <t xml:space="preserve">浓缩比</t>
    <phoneticPr fontId="1" type="noConversion"/>
  </si>
  <si>
    <t xml:space="preserve">出料比重</t>
    <phoneticPr fontId="1" type="noConversion"/>
  </si>
  <si>
    <t xml:space="preserve">g/L</t>
    <phoneticPr fontId="1" type="noConversion"/>
  </si>
  <si>
    <t xml:space="preserve">蒸汽用量</t>
    <phoneticPr fontId="1" type="noConversion"/>
  </si>
  <si>
    <t xml:space="preserve">t/h</t>
    <phoneticPr fontId="1" type="noConversion"/>
  </si>
  <si>
    <t xml:space="preserve">无</t>
    <phoneticPr fontId="1" type="noConversion"/>
  </si>
  <si>
    <t xml:space="preserve">本周数据</t>
    <phoneticPr fontId="1" type="noConversion"/>
  </si>
  <si>
    <t xml:space="preserve">低蒸运行参数</t>
    <phoneticPr fontId="1" type="noConversion"/>
  </si>
  <si>
    <t xml:space="preserve">低蒸母液分析：送检频次，一天一次；管反反应液一天三次</t>
    <phoneticPr fontId="1" type="noConversion"/>
  </si>
  <si>
    <t xml:space="preserve">硫铵含量</t>
    <phoneticPr fontId="1" type="noConversion"/>
  </si>
  <si>
    <t xml:space="preserve">羟基乙腈含量</t>
    <phoneticPr fontId="1" type="noConversion"/>
  </si>
  <si>
    <t xml:space="preserve">硫铵含量
（g/L）</t>
    <phoneticPr fontId="1" type="noConversion"/>
  </si>
  <si>
    <t xml:space="preserve">羟基乙腈含量
（g/L）</t>
    <phoneticPr fontId="1" type="noConversion"/>
  </si>
  <si>
    <t xml:space="preserve">外排废液
m3废液/t产品</t>
    <phoneticPr fontId="1" type="noConversion"/>
  </si>
  <si>
    <t xml:space="preserve">本周固液比控制范围：</t>
    <phoneticPr fontId="1" type="noConversion"/>
  </si>
  <si>
    <t xml:space="preserve">本周累计外排废液量：</t>
    <phoneticPr fontId="1" type="noConversion"/>
  </si>
  <si>
    <t xml:space="preserve">m3</t>
    <phoneticPr fontId="1" type="noConversion"/>
  </si>
  <si>
    <t xml:space="preserve">二次母液
分析数据</t>
    <phoneticPr fontId="1" type="noConversion"/>
  </si>
  <si>
    <t xml:space="preserve">脱色前</t>
    <phoneticPr fontId="1" type="noConversion"/>
  </si>
  <si>
    <t xml:space="preserve">脱色后</t>
    <phoneticPr fontId="1" type="noConversion"/>
  </si>
  <si>
    <t xml:space="preserve">差 值</t>
    <phoneticPr fontId="1" type="noConversion"/>
  </si>
  <si>
    <t xml:space="preserve">上 周</t>
    <phoneticPr fontId="1" type="noConversion"/>
  </si>
  <si>
    <t xml:space="preserve">本 周</t>
    <phoneticPr fontId="1" type="noConversion"/>
  </si>
  <si>
    <t xml:space="preserve">kg/t</t>
    <phoneticPr fontId="1" type="noConversion"/>
  </si>
  <si>
    <t xml:space="preserve">活性炭单耗</t>
    <phoneticPr fontId="1" type="noConversion"/>
  </si>
  <si>
    <t xml:space="preserve">脱色
消耗</t>
    <phoneticPr fontId="1" type="noConversion"/>
  </si>
  <si>
    <t xml:space="preserve">透光率</t>
    <phoneticPr fontId="1" type="noConversion"/>
  </si>
  <si>
    <t xml:space="preserve">型号</t>
    <phoneticPr fontId="1" type="noConversion"/>
  </si>
  <si>
    <t xml:space="preserve">                指标
对比项目</t>
    <phoneticPr fontId="1" type="noConversion"/>
  </si>
  <si>
    <t xml:space="preserve">t</t>
    <phoneticPr fontId="1" type="noConversion"/>
  </si>
  <si>
    <t xml:space="preserve">t/t</t>
    <phoneticPr fontId="1" type="noConversion"/>
  </si>
  <si>
    <t xml:space="preserve">m3/t</t>
    <phoneticPr fontId="1" type="noConversion"/>
  </si>
  <si>
    <t xml:space="preserve">吨产品原料/动力及排放单耗</t>
    <phoneticPr fontId="1" type="noConversion"/>
  </si>
  <si>
    <t xml:space="preserve">日期</t>
    <phoneticPr fontId="1" type="noConversion"/>
  </si>
  <si>
    <t xml:space="preserve">星期</t>
    <phoneticPr fontId="1" type="noConversion"/>
  </si>
  <si>
    <t xml:space="preserve">五</t>
    <phoneticPr fontId="1" type="noConversion"/>
  </si>
  <si>
    <t xml:space="preserve">六</t>
    <phoneticPr fontId="1" type="noConversion"/>
  </si>
  <si>
    <t xml:space="preserve">日</t>
    <phoneticPr fontId="1" type="noConversion"/>
  </si>
  <si>
    <t xml:space="preserve">一</t>
    <phoneticPr fontId="1" type="noConversion"/>
  </si>
  <si>
    <t xml:space="preserve">二</t>
    <phoneticPr fontId="1" type="noConversion"/>
  </si>
  <si>
    <t xml:space="preserve">三</t>
    <phoneticPr fontId="1" type="noConversion"/>
  </si>
  <si>
    <t xml:space="preserve">四</t>
    <phoneticPr fontId="1" type="noConversion"/>
  </si>
  <si>
    <t xml:space="preserve">本周
平均</t>
    <phoneticPr fontId="1" type="noConversion"/>
  </si>
  <si>
    <t xml:space="preserve">上周
平均</t>
    <phoneticPr fontId="1" type="noConversion"/>
  </si>
  <si>
    <t xml:space="preserve">两周
差值</t>
    <phoneticPr fontId="1" type="noConversion"/>
  </si>
  <si>
    <t xml:space="preserve">一、反应液</t>
    <phoneticPr fontId="1" type="noConversion"/>
  </si>
  <si>
    <t xml:space="preserve">二、产品</t>
    <phoneticPr fontId="1" type="noConversion"/>
  </si>
  <si>
    <t xml:space="preserve">羟基乙腈</t>
    <phoneticPr fontId="1" type="noConversion"/>
  </si>
  <si>
    <t xml:space="preserve">二乙腈</t>
    <phoneticPr fontId="1" type="noConversion"/>
  </si>
  <si>
    <t xml:space="preserve">折百产量</t>
    <phoneticPr fontId="1" type="noConversion"/>
  </si>
  <si>
    <t xml:space="preserve">2025年第（44）周</t>
    <phoneticPr fontId="1" type="noConversion"/>
  </si>
  <si>
    <t xml:space="preserve">班次</t>
    <phoneticPr fontId="1" type="noConversion"/>
  </si>
  <si>
    <t xml:space="preserve">1号</t>
    <phoneticPr fontId="1" type="noConversion"/>
  </si>
  <si>
    <t xml:space="preserve">2号</t>
    <phoneticPr fontId="1" type="noConversion"/>
  </si>
  <si>
    <t xml:space="preserve">3号</t>
    <phoneticPr fontId="1" type="noConversion"/>
  </si>
  <si>
    <t xml:space="preserve">4号</t>
    <phoneticPr fontId="1" type="noConversion"/>
  </si>
  <si>
    <t xml:space="preserve">5号</t>
    <phoneticPr fontId="1" type="noConversion"/>
  </si>
  <si>
    <t xml:space="preserve">6号</t>
    <phoneticPr fontId="1" type="noConversion"/>
  </si>
  <si>
    <t xml:space="preserve">7号</t>
    <phoneticPr fontId="1" type="noConversion"/>
  </si>
  <si>
    <t xml:space="preserve">白</t>
    <phoneticPr fontId="1" type="noConversion"/>
  </si>
  <si>
    <t xml:space="preserve">夜</t>
    <phoneticPr fontId="1" type="noConversion"/>
  </si>
  <si>
    <t xml:space="preserve">第（44周）核心指标完成情况汇总表</t>
    <phoneticPr fontId="1" type="noConversion"/>
  </si>
  <si>
    <t xml:space="preserve">羟基乙腈
单耗</t>
    <phoneticPr fontId="1" type="noConversion"/>
  </si>
  <si>
    <t xml:space="preserve">液氨
单耗</t>
    <phoneticPr fontId="1" type="noConversion"/>
  </si>
  <si>
    <t xml:space="preserve">硫酸
单耗</t>
    <phoneticPr fontId="1" type="noConversion"/>
  </si>
  <si>
    <t xml:space="preserve">总蒸汽
单耗</t>
    <phoneticPr fontId="1" type="noConversion"/>
  </si>
  <si>
    <t xml:space="preserve">反应蒸汽
单耗</t>
    <phoneticPr fontId="1" type="noConversion"/>
  </si>
  <si>
    <t xml:space="preserve">低蒸蒸汽
单耗</t>
    <phoneticPr fontId="1" type="noConversion"/>
  </si>
  <si>
    <t xml:space="preserve">废液
外排</t>
    <phoneticPr fontId="1" type="noConversion"/>
  </si>
  <si>
    <t xml:space="preserve">废水
外排</t>
    <phoneticPr fontId="1" type="noConversion"/>
  </si>
  <si>
    <t xml:space="preserve">0，5150±0.05</t>
    <phoneticPr fontId="1" type="noConversion"/>
  </si>
  <si>
    <t xml:space="preserve">410±5g/L</t>
    <phoneticPr fontId="1" type="noConversion"/>
  </si>
  <si>
    <t xml:space="preserve">168±2℃</t>
    <phoneticPr fontId="1" type="noConversion"/>
  </si>
  <si>
    <t xml:space="preserve">≤20℃</t>
    <phoneticPr fontId="1" type="noConversion"/>
  </si>
  <si>
    <t xml:space="preserve">氨/腈摩尔比
合格率（%）</t>
    <phoneticPr fontId="1" type="noConversion"/>
  </si>
  <si>
    <t xml:space="preserve">羟基浓度
合格率（%）</t>
    <phoneticPr fontId="1" type="noConversion"/>
  </si>
  <si>
    <t xml:space="preserve">氨化反应温度
合格率（%）</t>
    <phoneticPr fontId="1" type="noConversion"/>
  </si>
  <si>
    <t xml:space="preserve">一次结晶出料
温度合格率（%）</t>
    <phoneticPr fontId="1" type="noConversion"/>
  </si>
  <si>
    <t xml:space="preserve">核心工艺指标合格率
（%）</t>
    <phoneticPr fontId="1" type="noConversion"/>
  </si>
  <si>
    <t xml:space="preserve">实际产量</t>
    <phoneticPr fontId="1" type="noConversion"/>
  </si>
  <si>
    <t xml:space="preserve">kg/班</t>
    <phoneticPr fontId="1" type="noConversion"/>
  </si>
  <si>
    <t xml:space="preserve">收率</t>
    <phoneticPr fontId="1" type="noConversion"/>
  </si>
  <si>
    <t xml:space="preserve">第21周 周报---脱色工序数据分析表</t>
    <phoneticPr fontId="1" type="noConversion"/>
  </si>
  <si>
    <t xml:space="preserve">第21周 周报---二次结晶数据分析表</t>
    <phoneticPr fontId="1" type="noConversion"/>
  </si>
  <si>
    <t xml:space="preserve">第21周 周报---产品原料/动力/排放单耗数据分析表</t>
    <phoneticPr fontId="1" type="noConversion"/>
  </si>
  <si>
    <t xml:space="preserve">第21周 周报---核心指标分析汇总表</t>
    <phoneticPr fontId="1" type="noConversion"/>
  </si>
  <si>
    <t xml:space="preserve">第21周 周报---反应工序控制参数表</t>
    <phoneticPr fontId="1" type="noConversion"/>
  </si>
  <si>
    <t xml:space="preserve">第21周 周报---闪蒸废水分析数据表</t>
    <phoneticPr fontId="1" type="noConversion"/>
  </si>
  <si>
    <t xml:space="preserve">第21周 周报---反应液分析数据表</t>
    <phoneticPr fontId="1" type="noConversion"/>
  </si>
  <si>
    <t xml:space="preserve">第21周 周报---结晶工序数据分析表</t>
    <phoneticPr fontId="1" type="noConversion"/>
  </si>
  <si>
    <t xml:space="preserve">第21周 周报---产品指标分析表</t>
    <phoneticPr fontId="1" type="noConversion"/>
  </si>
  <si>
    <t xml:space="preserve">第21周 周报---产品收率数据分析表</t>
    <phoneticPr fontId="1" type="noConversion"/>
  </si>
  <si>
    <t xml:space="preserve">第21周 周报---汇总数据分析表</t>
    <phoneticPr fontId="1" type="noConversion"/>
  </si>
  <si>
    <t xml:space="preserve">第21周 周报---低蒸数据分析表</t>
    <phoneticPr fontId="1" type="noConversion"/>
  </si>
  <si>
    <t xml:space="preserve">Cell13</t>
    <phoneticPr fontId="1" type="noConversion"/>
  </si>
  <si>
    <t xml:space="preserve">Cell15</t>
  </si>
  <si>
    <t xml:space="preserve">Cell19</t>
  </si>
  <si>
    <t xml:space="preserve">Cell22</t>
    <phoneticPr fontId="1" type="noConversion"/>
  </si>
  <si>
    <t xml:space="preserve">Cell24</t>
    <phoneticPr fontId="1" type="noConversion"/>
  </si>
  <si>
    <t xml:space="preserve">Cell25</t>
  </si>
  <si>
    <t xml:space="preserve">Cell26</t>
  </si>
  <si>
    <t xml:space="preserve">Cell27</t>
  </si>
  <si>
    <t xml:space="preserve">Cell28</t>
  </si>
  <si>
    <t xml:space="preserve">本月平均</t>
    <phoneticPr fontId="1" type="noConversion"/>
  </si>
  <si>
    <t xml:space="preserve">一次结晶</t>
    <phoneticPr fontId="1" type="noConversion"/>
  </si>
  <si>
    <t xml:space="preserve">二次结晶</t>
    <phoneticPr fontId="1" type="noConversion"/>
  </si>
  <si>
    <t xml:space="preserve">本周</t>
  </si>
  <si>
    <t xml:space="preserve">二乙腈
含量</t>
    <phoneticPr fontId="1" type="noConversion"/>
  </si>
  <si>
    <t xml:space="preserve">水分
含量</t>
    <phoneticPr fontId="1" type="noConversion"/>
  </si>
  <si>
    <t xml:space="preserve">二乙腈+水</t>
    <phoneticPr fontId="1" type="noConversion"/>
  </si>
  <si>
    <t xml:space="preserve">未知物
含量</t>
    <phoneticPr fontId="1" type="noConversion"/>
  </si>
  <si>
    <t xml:space="preserve">产量</t>
    <phoneticPr fontId="1" type="noConversion"/>
  </si>
  <si>
    <t xml:space="preserve">折百
产量</t>
    <phoneticPr fontId="1" type="noConversion"/>
  </si>
  <si>
    <t xml:space="preserve">二乙腈+水</t>
  </si>
  <si>
    <t xml:space="preserve">产量</t>
  </si>
  <si>
    <t xml:space="preserve">化分
%</t>
    <phoneticPr fontId="1" type="noConversion"/>
  </si>
  <si>
    <t xml:space="preserve">色谱
%</t>
    <phoneticPr fontId="1" type="noConversion"/>
  </si>
  <si>
    <t xml:space="preserve">kg</t>
    <phoneticPr fontId="1" type="noConversion"/>
  </si>
  <si>
    <t xml:space="preserve">%</t>
  </si>
  <si>
    <t xml:space="preserve">kg</t>
  </si>
  <si>
    <t xml:space="preserve">检测数据</t>
    <phoneticPr fontId="1" type="noConversion"/>
  </si>
  <si>
    <t xml:space="preserve">一次结晶物/一次产品</t>
    <phoneticPr fontId="1" type="noConversion"/>
  </si>
  <si>
    <t xml:space="preserve">二次结晶物/二次产品</t>
    <phoneticPr fontId="1" type="noConversion"/>
  </si>
  <si>
    <t xml:space="preserve">班合计（一次产品+二次产品）</t>
    <phoneticPr fontId="1" type="noConversion"/>
  </si>
  <si>
    <t xml:space="preserve">班产
与日平均产量的差额</t>
    <phoneticPr fontId="1" type="noConversion"/>
  </si>
  <si>
    <t xml:space="preserve">上周数据</t>
    <phoneticPr fontId="1" type="noConversion"/>
  </si>
  <si>
    <t xml:space="preserve">主要原料消耗/单耗</t>
    <phoneticPr fontId="1" type="noConversion"/>
  </si>
  <si>
    <t xml:space="preserve">序号</t>
    <phoneticPr fontId="1" type="noConversion"/>
  </si>
  <si>
    <t xml:space="preserve">液氨</t>
    <phoneticPr fontId="1" type="noConversion"/>
  </si>
  <si>
    <t xml:space="preserve">稀硫酸</t>
    <phoneticPr fontId="1" type="noConversion"/>
  </si>
  <si>
    <t xml:space="preserve">蒸汽
总消耗</t>
    <phoneticPr fontId="1" type="noConversion"/>
  </si>
  <si>
    <t xml:space="preserve">反应蒸汽
消耗</t>
    <phoneticPr fontId="1" type="noConversion"/>
  </si>
  <si>
    <t xml:space="preserve">低蒸蒸汽
消耗</t>
    <phoneticPr fontId="1" type="noConversion"/>
  </si>
  <si>
    <t xml:space="preserve">脱盐水
消耗</t>
    <phoneticPr fontId="1" type="noConversion"/>
  </si>
  <si>
    <t xml:space="preserve">电
消耗</t>
    <phoneticPr fontId="1" type="noConversion"/>
  </si>
  <si>
    <t xml:space="preserve">废水
排放</t>
    <phoneticPr fontId="1" type="noConversion"/>
  </si>
  <si>
    <t xml:space="preserve">废液
排放</t>
    <phoneticPr fontId="1" type="noConversion"/>
  </si>
  <si>
    <t xml:space="preserve">用量</t>
    <phoneticPr fontId="1" type="noConversion"/>
  </si>
  <si>
    <t xml:space="preserve">用量</t>
  </si>
  <si>
    <t xml:space="preserve">单位</t>
  </si>
  <si>
    <t xml:space="preserve"> 排放量</t>
    <phoneticPr fontId="1" type="noConversion"/>
  </si>
  <si>
    <t xml:space="preserve"> 排放量</t>
  </si>
  <si>
    <t xml:space="preserve">白班</t>
    <phoneticPr fontId="1" type="noConversion"/>
  </si>
  <si>
    <t xml:space="preserve">KWh</t>
    <phoneticPr fontId="1" type="noConversion"/>
  </si>
  <si>
    <t xml:space="preserve">折百产量(t)</t>
    <phoneticPr fontId="1" type="noConversion"/>
  </si>
  <si>
    <t xml:space="preserve">t</t>
  </si>
  <si>
    <t xml:space="preserve">单耗</t>
    <phoneticPr fontId="1" type="noConversion"/>
  </si>
  <si>
    <t xml:space="preserve">KWh/t</t>
    <phoneticPr fontId="1" type="noConversion"/>
  </si>
  <si>
    <t xml:space="preserve">m3/t</t>
  </si>
  <si>
    <t xml:space="preserve">夜班</t>
    <phoneticPr fontId="1" type="noConversion"/>
  </si>
  <si>
    <t xml:space="preserve">日消耗/排放汇总</t>
    <phoneticPr fontId="1" type="noConversion"/>
  </si>
  <si>
    <t xml:space="preserve">m3</t>
  </si>
  <si>
    <t xml:space="preserve">KWh</t>
  </si>
  <si>
    <t xml:space="preserve">日折百产量汇总</t>
    <phoneticPr fontId="1" type="noConversion"/>
  </si>
  <si>
    <t xml:space="preserve">日平均单耗/排放</t>
    <phoneticPr fontId="1" type="noConversion"/>
  </si>
  <si>
    <t xml:space="preserve">t/t</t>
  </si>
  <si>
    <t xml:space="preserve">KWh/t</t>
  </si>
  <si>
    <t xml:space="preserve">如何判断这一周再运行</t>
    <phoneticPr fontId="1" type="noConversion"/>
  </si>
  <si>
    <t xml:space="preserve">差值</t>
    <phoneticPr fontId="1" type="noConversion"/>
  </si>
  <si>
    <t xml:space="preserve">平均值</t>
    <phoneticPr fontId="1" type="noConversion"/>
  </si>
  <si>
    <t xml:space="preserve">sourcedata</t>
    <phoneticPr fontId="1" type="noConversion"/>
  </si>
  <si>
    <t xml:space="preserve">operatorInputData</t>
  </si>
  <si>
    <t xml:space="preserve">Cell11</t>
    <phoneticPr fontId="1" type="noConversion"/>
  </si>
  <si>
    <t xml:space="preserve">Cell12</t>
  </si>
  <si>
    <t xml:space="preserve">Cell13</t>
  </si>
  <si>
    <t xml:space="preserve">Cell14</t>
  </si>
  <si>
    <t xml:space="preserve">Cell17</t>
  </si>
  <si>
    <t xml:space="preserve">Cell17</t>
    <phoneticPr fontId="1" type="noConversion"/>
  </si>
  <si>
    <t xml:space="preserve">Cell1</t>
    <phoneticPr fontId="1" type="noConversion"/>
  </si>
  <si>
    <t xml:space="preserve">Cell2</t>
  </si>
  <si>
    <t xml:space="preserve">Cell3</t>
  </si>
  <si>
    <t xml:space="preserve">Cell4</t>
  </si>
  <si>
    <t xml:space="preserve">Cell5</t>
  </si>
  <si>
    <t xml:space="preserve">sourceData</t>
    <phoneticPr fontId="1" type="noConversion"/>
  </si>
  <si>
    <t xml:space="preserve"> Cell92</t>
    <phoneticPr fontId="1" type="noConversion"/>
  </si>
  <si>
    <t xml:space="preserve"> Cell106</t>
    <phoneticPr fontId="1" type="noConversion"/>
  </si>
  <si>
    <t xml:space="preserve">这两个可以从手写数据中采集么</t>
    <phoneticPr fontId="1" type="noConversion"/>
  </si>
  <si>
    <t xml:space="preserve">(Cell21*Cell26+Cell31*Cell36)/(Cell26+Cell36)</t>
    <phoneticPr fontId="1" type="noConversion"/>
  </si>
  <si>
    <t xml:space="preserve">(Cell22*Cell26+Cell32*Cell36)/(Cell26+Cell36)</t>
    <phoneticPr fontId="1" type="noConversion"/>
  </si>
  <si>
    <t xml:space="preserve">operatadata</t>
    <phoneticPr fontId="1" type="noConversion"/>
  </si>
  <si>
    <t xml:space="preserve">Cell11</t>
    <phoneticPr fontId="1" type="noConversion"/>
  </si>
  <si>
    <t xml:space="preserve">表3-需要计算</t>
    <phoneticPr fontId="1" type="noConversion"/>
  </si>
  <si>
    <t xml:space="preserve">Cell</t>
    <phoneticPr fontId="1" type="noConversion"/>
  </si>
  <si>
    <t xml:space="preserve">低温母液是单独的还是使用某个表中的数据代替</t>
    <phoneticPr fontId="1" type="noConversion"/>
  </si>
  <si>
    <t xml:space="preserve">operatedata Cell63/sourcedata Cell105</t>
    <phoneticPr fontId="1" type="noConversion"/>
  </si>
  <si>
    <t xml:space="preserve">operatedata Cell62</t>
    <phoneticPr fontId="1" type="noConversion"/>
  </si>
  <si>
    <t xml:space="preserve">operatedata Cell51</t>
    <phoneticPr fontId="1" type="noConversion"/>
  </si>
  <si>
    <t xml:space="preserve">operatedata Cell57</t>
    <phoneticPr fontId="1" type="noConversion"/>
  </si>
  <si>
    <t xml:space="preserve">operatedata Cell52</t>
    <phoneticPr fontId="1" type="noConversion"/>
  </si>
  <si>
    <t xml:space="preserve">operatedata Cell59</t>
    <phoneticPr fontId="1" type="noConversion"/>
  </si>
  <si>
    <t xml:space="preserve">operatedata Cell55</t>
    <phoneticPr fontId="1" type="noConversion"/>
  </si>
  <si>
    <t xml:space="preserve">operatedata Cell61</t>
    <phoneticPr fontId="1" type="noConversion"/>
  </si>
  <si>
    <t xml:space="preserve">                             指标
 时间</t>
    <phoneticPr fontId="1" type="noConversion"/>
  </si>
  <si>
    <t xml:space="preserve">sourcedata Cell</t>
    <phoneticPr fontId="1" type="noConversion"/>
  </si>
  <si>
    <t xml:space="preserve">operatedata</t>
    <phoneticPr fontId="1" type="noConversion"/>
  </si>
  <si>
    <t xml:space="preserve">折干=折百</t>
    <phoneticPr fontId="1" type="noConversion"/>
  </si>
  <si>
    <t xml:space="preserve">水+二乙睛</t>
    <phoneticPr fontId="1" type="noConversion"/>
  </si>
  <si>
    <t xml:space="preserve">表5 新增列</t>
    <phoneticPr fontId="1" type="noConversion"/>
  </si>
  <si>
    <t xml:space="preserve">表4</t>
    <phoneticPr fontId="1" type="noConversion"/>
  </si>
  <si>
    <t xml:space="preserve">公式算前面的平均值</t>
    <phoneticPr fontId="1" type="noConversion"/>
  </si>
  <si>
    <t xml:space="preserve">表3 采集</t>
    <phoneticPr fontId="1" type="noConversion"/>
  </si>
  <si>
    <t xml:space="preserve">液脱色前 表5</t>
    <phoneticPr fontId="1" type="noConversion"/>
  </si>
  <si>
    <t xml:space="preserve">三、收率</t>
    <phoneticPr fontId="1" type="noConversion"/>
  </si>
  <si>
    <t xml:space="preserve">四、废液</t>
    <phoneticPr fontId="1" type="noConversion"/>
  </si>
  <si>
    <t xml:space="preserve">Cell114</t>
    <phoneticPr fontId="1" type="noConversion"/>
  </si>
  <si>
    <t xml:space="preserve">Cell112</t>
    <phoneticPr fontId="1" type="noConversion"/>
  </si>
  <si>
    <t xml:space="preserve">Cell110</t>
    <phoneticPr fontId="1" type="noConversion"/>
  </si>
  <si>
    <t xml:space="preserve">累计除以产量</t>
    <phoneticPr fontId="1" type="noConversion"/>
  </si>
  <si>
    <t xml:space="preserve">2024-01-31</t>
  </si>
  <si>
    <t xml:space="preserve">2024-02-01</t>
  </si>
  <si>
    <t xml:space="preserve">2024-02-02</t>
  </si>
  <si>
    <t xml:space="preserve">2024-02-03</t>
  </si>
  <si>
    <t xml:space="preserve">2024-02-04</t>
  </si>
  <si>
    <t xml:space="preserve">2024-02-05</t>
  </si>
  <si>
    <t xml:space="preserve">2024-02-06</t>
  </si>
  <si>
    <t xml:space="preserve">2024-02-07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</si>
</sst>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76" formatCode="0.00;[Red]0.00"/>
    <numFmt numFmtId="177" formatCode="0.0000;[Red]0.0000"/>
    <numFmt numFmtId="178" formatCode="0.0;[Red]0.0"/>
    <numFmt numFmtId="179" formatCode="0.000;[Red]0.000"/>
  </numFmts>
  <fonts count="16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sz val="10"/>
      <color theme="1"/>
      <name val="等线"/>
      <family val="2"/>
      <scheme val="minor"/>
    </font>
    <font>
      <sz val="10"/>
      <color theme="1"/>
      <name val="等线"/>
      <family val="3"/>
      <charset val="134"/>
      <scheme val="minor"/>
    </font>
    <font>
      <sz val="10"/>
      <color rgb="FFFF0000"/>
      <name val="等线"/>
      <family val="2"/>
      <scheme val="minor"/>
    </font>
    <font>
      <sz val="14"/>
      <color theme="1"/>
      <name val="等线"/>
      <family val="3"/>
      <charset val="134"/>
      <scheme val="minor"/>
    </font>
    <font>
      <b/>
      <sz val="14"/>
      <color rgb="FFFF0000"/>
      <name val="等线"/>
      <family val="3"/>
      <charset val="134"/>
      <scheme val="minor"/>
    </font>
    <font>
      <sz val="10"/>
      <color rgb="FFFF0000"/>
      <name val="等线"/>
      <family val="3"/>
      <charset val="134"/>
      <scheme val="minor"/>
    </font>
    <font>
      <sz val="10"/>
      <color rgb="FFFF0000"/>
      <name val="SimSun"/>
      <charset val="134"/>
    </font>
    <font>
      <sz val="10"/>
      <color rgb="FFFF0000"/>
      <name val="等线"/>
      <family val="3"/>
      <charset val="134"/>
    </font>
    <font>
      <sz val="12"/>
      <color theme="1"/>
      <name val="等线"/>
      <family val="2"/>
      <scheme val="minor"/>
    </font>
    <font>
      <sz val="9"/>
      <color indexed="81"/>
      <name val="宋体"/>
      <family val="3"/>
      <charset val="134"/>
    </font>
    <font>
      <b/>
      <sz val="9"/>
      <color indexed="81"/>
      <name val="宋体"/>
      <family val="3"/>
      <charset val="134"/>
    </font>
    <font>
      <b/>
      <i/>
      <sz val="10"/>
      <color theme="1"/>
      <name val="等线"/>
      <family val="3"/>
      <charset val="134"/>
      <scheme val="minor"/>
    </font>
    <font>
      <sz val="14"/>
      <color rgb="FFFF0000"/>
      <name val="等线"/>
      <family val="3"/>
      <charset val="134"/>
      <scheme val="minor"/>
    </font>
    <font>
      <sz val="11"/>
      <name val="等线"/>
      <family val="2"/>
      <scheme val="minor"/>
    </font>
  </fonts>
  <fills count="13">
    <fill>
      <patternFill patternType="none"/>
    </fill>
    <fill>
      <patternFill patternType="gray125"/>
    </fill>
    <fill>
      <patternFill patternType="solid">
        <fgColor theme="4" tint="0.7999816888943144"/>
        <bgColor indexed="64"/>
      </patternFill>
    </fill>
    <fill>
      <patternFill patternType="solid">
        <fgColor theme="5" tint="0.7999816888943144"/>
        <bgColor indexed="64"/>
      </patternFill>
    </fill>
    <fill>
      <patternFill patternType="solid">
        <fgColor theme="6" tint="0.7999816888943144"/>
        <bgColor indexed="64"/>
      </patternFill>
    </fill>
    <fill>
      <patternFill patternType="solid">
        <fgColor theme="9" tint="0.7999816888943144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7" tint="0.7999816888943144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00B0F0"/>
        <bgColor indexed="64"/>
      </patternFill>
    </fill>
  </fills>
  <borders count="85">
    <border>
      <left/>
      <right/>
      <top/>
      <bottom/>
      <diagonal/>
    </border>
    <border>
      <left style="thin">
        <color auto="1"/>
      </left>
      <right style="dotted">
        <color auto="1"/>
      </right>
      <top style="thin">
        <color auto="1"/>
      </top>
      <bottom style="dotted">
        <color auto="1"/>
      </bottom>
      <diagonal/>
    </border>
    <border>
      <left style="dotted">
        <color auto="1"/>
      </left>
      <right style="dotted">
        <color auto="1"/>
      </right>
      <top style="thin">
        <color auto="1"/>
      </top>
      <bottom style="dotted">
        <color auto="1"/>
      </bottom>
      <diagonal/>
    </border>
    <border>
      <left style="dotted">
        <color auto="1"/>
      </left>
      <right style="thin">
        <color auto="1"/>
      </right>
      <top style="thin">
        <color auto="1"/>
      </top>
      <bottom style="dotted">
        <color auto="1"/>
      </bottom>
      <diagonal/>
    </border>
    <border>
      <left style="thin">
        <color auto="1"/>
      </left>
      <right style="dotted">
        <color auto="1"/>
      </right>
      <top style="dotted">
        <color auto="1"/>
      </top>
      <bottom style="dotted">
        <color auto="1"/>
      </bottom>
      <diagonal/>
    </border>
    <border>
      <left style="dotted">
        <color auto="1"/>
      </left>
      <right style="dotted">
        <color auto="1"/>
      </right>
      <top style="dotted">
        <color auto="1"/>
      </top>
      <bottom style="dotted">
        <color auto="1"/>
      </bottom>
      <diagonal/>
    </border>
    <border>
      <left style="dotted">
        <color auto="1"/>
      </left>
      <right style="thin">
        <color auto="1"/>
      </right>
      <top style="dotted">
        <color auto="1"/>
      </top>
      <bottom style="dotted">
        <color auto="1"/>
      </bottom>
      <diagonal/>
    </border>
    <border>
      <left style="thin">
        <color auto="1"/>
      </left>
      <right style="dotted">
        <color auto="1"/>
      </right>
      <top style="dotted">
        <color auto="1"/>
      </top>
      <bottom style="thin">
        <color auto="1"/>
      </bottom>
      <diagonal/>
    </border>
    <border>
      <left style="dotted">
        <color auto="1"/>
      </left>
      <right style="dotted">
        <color auto="1"/>
      </right>
      <top style="dotted">
        <color auto="1"/>
      </top>
      <bottom style="thin">
        <color auto="1"/>
      </bottom>
      <diagonal/>
    </border>
    <border>
      <left style="dotted">
        <color auto="1"/>
      </left>
      <right style="thin">
        <color auto="1"/>
      </right>
      <top style="dotted">
        <color auto="1"/>
      </top>
      <bottom style="thin">
        <color auto="1"/>
      </bottom>
      <diagonal/>
    </border>
    <border>
      <left style="thin">
        <color auto="1"/>
      </left>
      <right style="dotted">
        <color auto="1"/>
      </right>
      <top/>
      <bottom style="dotted">
        <color auto="1"/>
      </bottom>
      <diagonal/>
    </border>
    <border>
      <left style="dotted">
        <color auto="1"/>
      </left>
      <right style="dotted">
        <color auto="1"/>
      </right>
      <top/>
      <bottom style="dotted">
        <color auto="1"/>
      </bottom>
      <diagonal/>
    </border>
    <border>
      <left style="dotted">
        <color auto="1"/>
      </left>
      <right style="thin">
        <color auto="1"/>
      </right>
      <top/>
      <bottom style="dotted">
        <color auto="1"/>
      </bottom>
      <diagonal/>
    </border>
    <border>
      <left style="thin">
        <color auto="1"/>
      </left>
      <right style="dotted">
        <color auto="1"/>
      </right>
      <top style="thin">
        <color auto="1"/>
      </top>
      <bottom style="thin">
        <color auto="1"/>
      </bottom>
      <diagonal/>
    </border>
    <border>
      <left style="dotted">
        <color auto="1"/>
      </left>
      <right style="dotted">
        <color auto="1"/>
      </right>
      <top style="thin">
        <color auto="1"/>
      </top>
      <bottom style="thin">
        <color auto="1"/>
      </bottom>
      <diagonal/>
    </border>
    <border>
      <left style="dotted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dotted">
        <color auto="1"/>
      </left>
      <right/>
      <top style="thin">
        <color auto="1"/>
      </top>
      <bottom style="thin">
        <color auto="1"/>
      </bottom>
      <diagonal/>
    </border>
    <border>
      <left style="dotted">
        <color auto="1"/>
      </left>
      <right/>
      <top/>
      <bottom style="dotted">
        <color auto="1"/>
      </bottom>
      <diagonal/>
    </border>
    <border>
      <left style="dotted">
        <color auto="1"/>
      </left>
      <right/>
      <top style="dotted">
        <color auto="1"/>
      </top>
      <bottom style="dotted">
        <color auto="1"/>
      </bottom>
      <diagonal/>
    </border>
    <border>
      <left style="dotted">
        <color auto="1"/>
      </left>
      <right/>
      <top style="dotted">
        <color auto="1"/>
      </top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dotted">
        <color auto="1"/>
      </right>
      <top style="dotted">
        <color auto="1"/>
      </top>
      <bottom style="thin">
        <color auto="1"/>
      </bottom>
      <diagonal/>
    </border>
    <border>
      <left style="dotted">
        <color auto="1"/>
      </left>
      <right style="dotted">
        <color auto="1"/>
      </right>
      <top/>
      <bottom/>
      <diagonal/>
    </border>
    <border>
      <left/>
      <right style="dotted">
        <color auto="1"/>
      </right>
      <top style="dotted">
        <color auto="1"/>
      </top>
      <bottom style="dotted">
        <color auto="1"/>
      </bottom>
      <diagonal/>
    </border>
    <border>
      <left/>
      <right style="thin">
        <color auto="1"/>
      </right>
      <top style="dotted">
        <color auto="1"/>
      </top>
      <bottom style="dotted">
        <color auto="1"/>
      </bottom>
      <diagonal/>
    </border>
    <border>
      <left/>
      <right style="thin">
        <color auto="1"/>
      </right>
      <top style="dotted">
        <color auto="1"/>
      </top>
      <bottom style="thin">
        <color auto="1"/>
      </bottom>
      <diagonal/>
    </border>
    <border>
      <left style="dotted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dotted">
        <color auto="1"/>
      </right>
      <top style="dotted">
        <color auto="1"/>
      </top>
      <bottom/>
      <diagonal/>
    </border>
    <border>
      <left style="dotted">
        <color auto="1"/>
      </left>
      <right style="dotted">
        <color auto="1"/>
      </right>
      <top style="dotted">
        <color auto="1"/>
      </top>
      <bottom/>
      <diagonal/>
    </border>
    <border>
      <left style="dotted">
        <color auto="1"/>
      </left>
      <right style="thin">
        <color auto="1"/>
      </right>
      <top style="dotted">
        <color auto="1"/>
      </top>
      <bottom/>
      <diagonal/>
    </border>
    <border>
      <left style="dotted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dotted">
        <color auto="1"/>
      </left>
      <right/>
      <top style="thin">
        <color auto="1"/>
      </top>
      <bottom/>
      <diagonal/>
    </border>
    <border>
      <left/>
      <right style="dotted">
        <color auto="1"/>
      </right>
      <top style="thin">
        <color auto="1"/>
      </top>
      <bottom/>
      <diagonal/>
    </border>
    <border>
      <left/>
      <right style="dotted">
        <color auto="1"/>
      </right>
      <top/>
      <bottom style="dotted">
        <color auto="1"/>
      </bottom>
      <diagonal/>
    </border>
    <border>
      <left style="dotted">
        <color auto="1"/>
      </left>
      <right style="dotted">
        <color auto="1"/>
      </right>
      <top style="thin">
        <color auto="1"/>
      </top>
      <bottom/>
      <diagonal/>
    </border>
    <border>
      <left style="dotted">
        <color auto="1"/>
      </left>
      <right style="dotted">
        <color auto="1"/>
      </right>
      <top/>
      <bottom style="thin">
        <color auto="1"/>
      </bottom>
      <diagonal/>
    </border>
    <border>
      <left style="dotted">
        <color auto="1"/>
      </left>
      <right style="thin">
        <color auto="1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 style="thin">
        <color auto="1"/>
      </top>
      <bottom style="dotted">
        <color auto="1"/>
      </bottom>
      <diagonal/>
    </border>
    <border>
      <left/>
      <right style="thin">
        <color auto="1"/>
      </right>
      <top style="thin">
        <color auto="1"/>
      </top>
      <bottom style="dotted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thin">
        <color auto="1"/>
      </bottom>
      <diagonal/>
    </border>
    <border>
      <left style="hair">
        <color auto="1"/>
      </left>
      <right style="hair">
        <color auto="1"/>
      </right>
      <top style="thin">
        <color indexed="64"/>
      </top>
      <bottom style="hair">
        <color auto="1"/>
      </bottom>
      <diagonal/>
    </border>
    <border>
      <left style="hair">
        <color auto="1"/>
      </left>
      <right style="thin">
        <color indexed="64"/>
      </right>
      <top style="thin">
        <color indexed="64"/>
      </top>
      <bottom style="hair">
        <color auto="1"/>
      </bottom>
      <diagonal/>
    </border>
    <border>
      <left style="thin">
        <color auto="1"/>
      </left>
      <right style="hair">
        <color auto="1"/>
      </right>
      <top/>
      <bottom style="hair">
        <color auto="1"/>
      </bottom>
      <diagonal/>
    </border>
    <border>
      <left style="thin">
        <color auto="1"/>
      </left>
      <right style="hair">
        <color auto="1"/>
      </right>
      <top/>
      <bottom/>
      <diagonal/>
    </border>
    <border>
      <left style="thin">
        <color indexed="64"/>
      </left>
      <right style="hair">
        <color auto="1"/>
      </right>
      <top style="thin">
        <color indexed="64"/>
      </top>
      <bottom/>
      <diagonal/>
    </border>
    <border>
      <left style="hair">
        <color auto="1"/>
      </left>
      <right/>
      <top style="thin">
        <color indexed="64"/>
      </top>
      <bottom style="hair">
        <color auto="1"/>
      </bottom>
      <diagonal/>
    </border>
    <border>
      <left/>
      <right/>
      <top style="thin">
        <color indexed="64"/>
      </top>
      <bottom style="hair">
        <color auto="1"/>
      </bottom>
      <diagonal/>
    </border>
    <border>
      <left/>
      <right style="hair">
        <color auto="1"/>
      </right>
      <top style="thin">
        <color indexed="64"/>
      </top>
      <bottom style="hair">
        <color auto="1"/>
      </bottom>
      <diagonal/>
    </border>
    <border>
      <left style="thin">
        <color auto="1"/>
      </left>
      <right style="dotted">
        <color auto="1"/>
      </right>
      <top style="medium">
        <color auto="1"/>
      </top>
      <bottom style="dotted">
        <color auto="1"/>
      </bottom>
      <diagonal/>
    </border>
    <border>
      <left style="dotted">
        <color auto="1"/>
      </left>
      <right style="dotted">
        <color auto="1"/>
      </right>
      <top style="medium">
        <color auto="1"/>
      </top>
      <bottom style="dotted">
        <color auto="1"/>
      </bottom>
      <diagonal/>
    </border>
    <border>
      <left style="dotted">
        <color auto="1"/>
      </left>
      <right style="thin">
        <color auto="1"/>
      </right>
      <top style="medium">
        <color auto="1"/>
      </top>
      <bottom style="dotted">
        <color auto="1"/>
      </bottom>
      <diagonal/>
    </border>
    <border>
      <left style="dotted">
        <color auto="1"/>
      </left>
      <right style="medium">
        <color auto="1"/>
      </right>
      <top style="medium">
        <color auto="1"/>
      </top>
      <bottom style="dotted">
        <color auto="1"/>
      </bottom>
      <diagonal/>
    </border>
    <border>
      <left/>
      <right/>
      <top/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dotted">
        <color auto="1"/>
      </bottom>
      <diagonal/>
    </border>
    <border>
      <left style="medium">
        <color auto="1"/>
      </left>
      <right style="medium">
        <color auto="1"/>
      </right>
      <top style="dotted">
        <color auto="1"/>
      </top>
      <bottom style="dotted">
        <color auto="1"/>
      </bottom>
      <diagonal/>
    </border>
    <border>
      <left/>
      <right/>
      <top style="thin">
        <color auto="1"/>
      </top>
      <bottom/>
      <diagonal/>
    </border>
    <border>
      <left style="medium">
        <color auto="1"/>
      </left>
      <right style="dotted">
        <color auto="1"/>
      </right>
      <top style="medium">
        <color auto="1"/>
      </top>
      <bottom style="thin">
        <color auto="1"/>
      </bottom>
      <diagonal/>
    </border>
    <border>
      <left style="dotted">
        <color auto="1"/>
      </left>
      <right style="dotted">
        <color auto="1"/>
      </right>
      <top style="medium">
        <color auto="1"/>
      </top>
      <bottom style="thin">
        <color auto="1"/>
      </bottom>
      <diagonal/>
    </border>
    <border>
      <left style="dotted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dotted">
        <color auto="1"/>
      </right>
      <top/>
      <bottom style="dotted">
        <color auto="1"/>
      </bottom>
      <diagonal/>
    </border>
    <border>
      <left style="dotted">
        <color auto="1"/>
      </left>
      <right style="medium">
        <color auto="1"/>
      </right>
      <top/>
      <bottom style="dotted">
        <color auto="1"/>
      </bottom>
      <diagonal/>
    </border>
    <border>
      <left style="medium">
        <color auto="1"/>
      </left>
      <right style="dotted">
        <color auto="1"/>
      </right>
      <top style="dotted">
        <color auto="1"/>
      </top>
      <bottom/>
      <diagonal/>
    </border>
    <border>
      <left style="dotted">
        <color auto="1"/>
      </left>
      <right style="medium">
        <color auto="1"/>
      </right>
      <top style="dotted">
        <color auto="1"/>
      </top>
      <bottom/>
      <diagonal/>
    </border>
    <border>
      <left style="medium">
        <color auto="1"/>
      </left>
      <right style="dotted">
        <color auto="1"/>
      </right>
      <top style="thin">
        <color auto="1"/>
      </top>
      <bottom style="dotted">
        <color auto="1"/>
      </bottom>
      <diagonal/>
    </border>
    <border>
      <left style="dotted">
        <color auto="1"/>
      </left>
      <right style="medium">
        <color auto="1"/>
      </right>
      <top style="thin">
        <color auto="1"/>
      </top>
      <bottom style="dotted">
        <color auto="1"/>
      </bottom>
      <diagonal/>
    </border>
    <border>
      <left style="medium">
        <color auto="1"/>
      </left>
      <right style="dotted">
        <color auto="1"/>
      </right>
      <top style="dotted">
        <color auto="1"/>
      </top>
      <bottom style="dotted">
        <color auto="1"/>
      </bottom>
      <diagonal/>
    </border>
    <border>
      <left style="dotted">
        <color auto="1"/>
      </left>
      <right style="medium">
        <color auto="1"/>
      </right>
      <top style="dotted">
        <color auto="1"/>
      </top>
      <bottom style="dotted">
        <color auto="1"/>
      </bottom>
      <diagonal/>
    </border>
    <border>
      <left style="medium">
        <color auto="1"/>
      </left>
      <right style="dotted">
        <color auto="1"/>
      </right>
      <top style="dotted">
        <color auto="1"/>
      </top>
      <bottom style="thin">
        <color auto="1"/>
      </bottom>
      <diagonal/>
    </border>
    <border>
      <left style="dotted">
        <color auto="1"/>
      </left>
      <right style="medium">
        <color auto="1"/>
      </right>
      <top style="dotted">
        <color auto="1"/>
      </top>
      <bottom style="thin">
        <color auto="1"/>
      </bottom>
      <diagonal/>
    </border>
    <border>
      <left style="medium">
        <color auto="1"/>
      </left>
      <right style="dotted">
        <color auto="1"/>
      </right>
      <top style="dotted">
        <color auto="1"/>
      </top>
      <bottom style="medium">
        <color auto="1"/>
      </bottom>
      <diagonal/>
    </border>
    <border>
      <left style="dotted">
        <color auto="1"/>
      </left>
      <right style="dotted">
        <color auto="1"/>
      </right>
      <top style="dotted">
        <color auto="1"/>
      </top>
      <bottom style="medium">
        <color auto="1"/>
      </bottom>
      <diagonal/>
    </border>
    <border>
      <left style="dotted">
        <color auto="1"/>
      </left>
      <right style="medium">
        <color auto="1"/>
      </right>
      <top style="dotted">
        <color auto="1"/>
      </top>
      <bottom style="medium">
        <color auto="1"/>
      </bottom>
      <diagonal/>
    </border>
    <border>
      <left/>
      <right/>
      <top style="dotted">
        <color auto="1"/>
      </top>
      <bottom style="thin">
        <color auto="1"/>
      </bottom>
      <diagonal/>
    </border>
    <border>
      <left style="dotted">
        <color auto="1"/>
      </left>
      <right/>
      <top style="thin">
        <color auto="1"/>
      </top>
      <bottom style="dotted">
        <color auto="1"/>
      </bottom>
      <diagonal/>
    </border>
    <border>
      <left/>
      <right/>
      <top style="thin">
        <color auto="1"/>
      </top>
      <bottom style="dotted">
        <color auto="1"/>
      </bottom>
      <diagonal/>
    </border>
    <border>
      <left style="thin">
        <color indexed="64"/>
      </left>
      <right/>
      <top/>
      <bottom/>
      <diagonal/>
    </border>
  </borders>
  <cellStyleXfs count="1">
    <xf numFmtId="0" fontId="0" fillId="0" borderId="0"/>
  </cellStyleXfs>
  <cellXfs count="315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2" fillId="0" borderId="5" xfId="0" applyFont="1" applyBorder="1" applyAlignment="1">
      <alignment horizontal="center" vertical="center"/>
    </xf>
    <xf numFmtId="0" fontId="2" fillId="0" borderId="6" xfId="0" applyFont="1" applyBorder="1" applyAlignment="1">
      <alignment horizontal="center" vertical="center"/>
    </xf>
    <xf numFmtId="0" fontId="2" fillId="0" borderId="7" xfId="0" applyFont="1" applyBorder="1" applyAlignment="1">
      <alignment horizontal="center" vertical="center"/>
    </xf>
    <xf numFmtId="0" fontId="2" fillId="0" borderId="8" xfId="0" applyFont="1" applyBorder="1" applyAlignment="1">
      <alignment horizontal="center" vertical="center"/>
    </xf>
    <xf numFmtId="0" fontId="2" fillId="0" borderId="9" xfId="0" applyFont="1" applyBorder="1" applyAlignment="1">
      <alignment horizontal="center" vertical="center"/>
    </xf>
    <xf numFmtId="0" fontId="2" fillId="0" borderId="10" xfId="0" applyFont="1" applyBorder="1" applyAlignment="1">
      <alignment horizontal="center" vertical="center"/>
    </xf>
    <xf numFmtId="0" fontId="2" fillId="0" borderId="11" xfId="0" applyFont="1" applyBorder="1" applyAlignment="1">
      <alignment horizontal="center" vertical="center"/>
    </xf>
    <xf numFmtId="0" fontId="2" fillId="0" borderId="12" xfId="0" applyFont="1" applyBorder="1" applyAlignment="1">
      <alignment horizontal="center" vertical="center"/>
    </xf>
    <xf numFmtId="0" fontId="2" fillId="0" borderId="13" xfId="0" applyFont="1" applyBorder="1" applyAlignment="1">
      <alignment horizontal="center" vertical="center"/>
    </xf>
    <xf numFmtId="0" fontId="3" fillId="0" borderId="14" xfId="0" applyFont="1" applyBorder="1" applyAlignment="1">
      <alignment horizontal="center" vertical="center" wrapText="1"/>
    </xf>
    <xf numFmtId="0" fontId="3" fillId="0" borderId="15" xfId="0" applyFont="1" applyBorder="1" applyAlignment="1">
      <alignment horizontal="center" vertical="center" wrapText="1"/>
    </xf>
    <xf numFmtId="0" fontId="2" fillId="2" borderId="4" xfId="0" applyFont="1" applyFill="1" applyBorder="1" applyAlignment="1">
      <alignment horizontal="center" vertical="center"/>
    </xf>
    <xf numFmtId="0" fontId="2" fillId="2" borderId="5" xfId="0" applyFont="1" applyFill="1" applyBorder="1" applyAlignment="1">
      <alignment horizontal="center" vertical="center"/>
    </xf>
    <xf numFmtId="176" fontId="2" fillId="2" borderId="5" xfId="0" applyNumberFormat="1" applyFont="1" applyFill="1" applyBorder="1" applyAlignment="1">
      <alignment horizontal="center" vertical="center"/>
    </xf>
    <xf numFmtId="177" fontId="2" fillId="2" borderId="5" xfId="0" applyNumberFormat="1" applyFont="1" applyFill="1" applyBorder="1" applyAlignment="1">
      <alignment horizontal="center" vertical="center"/>
    </xf>
    <xf numFmtId="177" fontId="2" fillId="0" borderId="5" xfId="0" applyNumberFormat="1" applyFont="1" applyBorder="1" applyAlignment="1">
      <alignment horizontal="center" vertical="center"/>
    </xf>
    <xf numFmtId="177" fontId="2" fillId="0" borderId="8" xfId="0" applyNumberFormat="1" applyFont="1" applyBorder="1" applyAlignment="1">
      <alignment horizontal="center" vertical="center"/>
    </xf>
    <xf numFmtId="178" fontId="2" fillId="2" borderId="5" xfId="0" applyNumberFormat="1" applyFont="1" applyFill="1" applyBorder="1" applyAlignment="1">
      <alignment horizontal="center" vertical="center"/>
    </xf>
    <xf numFmtId="178" fontId="2" fillId="0" borderId="5" xfId="0" applyNumberFormat="1" applyFont="1" applyBorder="1" applyAlignment="1">
      <alignment horizontal="center" vertical="center"/>
    </xf>
    <xf numFmtId="178" fontId="2" fillId="0" borderId="8" xfId="0" applyNumberFormat="1" applyFont="1" applyBorder="1" applyAlignment="1">
      <alignment horizontal="center" vertical="center"/>
    </xf>
    <xf numFmtId="0" fontId="3" fillId="0" borderId="16" xfId="0" applyFont="1" applyBorder="1" applyAlignment="1">
      <alignment horizontal="center" vertical="center" wrapText="1"/>
    </xf>
    <xf numFmtId="0" fontId="2" fillId="0" borderId="17" xfId="0" applyFont="1" applyBorder="1" applyAlignment="1">
      <alignment horizontal="center" vertical="center"/>
    </xf>
    <xf numFmtId="178" fontId="2" fillId="0" borderId="6" xfId="0" applyNumberFormat="1" applyFont="1" applyBorder="1" applyAlignment="1">
      <alignment horizontal="center" vertical="center"/>
    </xf>
    <xf numFmtId="178" fontId="2" fillId="0" borderId="9" xfId="0" applyNumberFormat="1" applyFont="1" applyBorder="1" applyAlignment="1">
      <alignment horizontal="center" vertical="center"/>
    </xf>
    <xf numFmtId="178" fontId="2" fillId="0" borderId="18" xfId="0" applyNumberFormat="1" applyFont="1" applyBorder="1" applyAlignment="1">
      <alignment horizontal="center" vertical="center"/>
    </xf>
    <xf numFmtId="178" fontId="2" fillId="0" borderId="19" xfId="0" applyNumberFormat="1" applyFont="1" applyBorder="1" applyAlignment="1">
      <alignment horizontal="center" vertical="center"/>
    </xf>
    <xf numFmtId="0" fontId="4" fillId="2" borderId="5" xfId="0" applyFont="1" applyFill="1" applyBorder="1" applyAlignment="1">
      <alignment horizontal="center" vertical="center"/>
    </xf>
    <xf numFmtId="178" fontId="4" fillId="2" borderId="18" xfId="0" applyNumberFormat="1" applyFont="1" applyFill="1" applyBorder="1" applyAlignment="1">
      <alignment horizontal="center" vertical="center"/>
    </xf>
    <xf numFmtId="178" fontId="4" fillId="2" borderId="6" xfId="0" applyNumberFormat="1" applyFont="1" applyFill="1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3" fillId="0" borderId="4" xfId="0" applyFont="1" applyBorder="1" applyAlignment="1">
      <alignment horizontal="center" vertical="center" wrapText="1"/>
    </xf>
    <xf numFmtId="176" fontId="2" fillId="0" borderId="5" xfId="0" applyNumberFormat="1" applyFont="1" applyBorder="1" applyAlignment="1">
      <alignment horizontal="center" vertical="center"/>
    </xf>
    <xf numFmtId="176" fontId="2" fillId="0" borderId="6" xfId="0" applyNumberFormat="1" applyFont="1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176" fontId="2" fillId="0" borderId="9" xfId="0" applyNumberFormat="1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2" fillId="3" borderId="4" xfId="0" applyFont="1" applyFill="1" applyBorder="1" applyAlignment="1">
      <alignment horizontal="center" vertical="center"/>
    </xf>
    <xf numFmtId="176" fontId="4" fillId="3" borderId="5" xfId="0" applyNumberFormat="1" applyFont="1" applyFill="1" applyBorder="1" applyAlignment="1">
      <alignment horizontal="center" vertical="center"/>
    </xf>
    <xf numFmtId="0" fontId="4" fillId="3" borderId="5" xfId="0" applyFont="1" applyFill="1" applyBorder="1" applyAlignment="1">
      <alignment horizontal="center" vertical="center"/>
    </xf>
    <xf numFmtId="0" fontId="7" fillId="3" borderId="6" xfId="0" applyFont="1" applyFill="1" applyBorder="1" applyAlignment="1">
      <alignment horizontal="center" vertical="center"/>
    </xf>
    <xf numFmtId="0" fontId="4" fillId="2" borderId="6" xfId="0" applyFont="1" applyFill="1" applyBorder="1" applyAlignment="1">
      <alignment horizontal="center" vertical="center"/>
    </xf>
    <xf numFmtId="176" fontId="4" fillId="2" borderId="5" xfId="0" applyNumberFormat="1" applyFont="1" applyFill="1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0" fillId="2" borderId="7" xfId="0" applyFill="1" applyBorder="1" applyAlignment="1">
      <alignment horizontal="center" vertical="center"/>
    </xf>
    <xf numFmtId="0" fontId="0" fillId="2" borderId="8" xfId="0" applyFill="1" applyBorder="1" applyAlignment="1">
      <alignment horizontal="center" vertical="center"/>
    </xf>
    <xf numFmtId="0" fontId="0" fillId="2" borderId="9" xfId="0" applyFill="1" applyBorder="1" applyAlignment="1">
      <alignment horizontal="center" vertical="center"/>
    </xf>
    <xf numFmtId="0" fontId="2" fillId="0" borderId="1" xfId="0" applyFont="1" applyBorder="1" applyAlignment="1">
      <alignment horizontal="center" vertical="center" wrapText="1"/>
    </xf>
    <xf numFmtId="179" fontId="2" fillId="0" borderId="8" xfId="0" applyNumberFormat="1" applyFont="1" applyBorder="1" applyAlignment="1">
      <alignment horizontal="center" vertical="center"/>
    </xf>
    <xf numFmtId="179" fontId="2" fillId="0" borderId="9" xfId="0" applyNumberFormat="1" applyFont="1" applyBorder="1" applyAlignment="1">
      <alignment horizontal="center" vertical="center"/>
    </xf>
    <xf numFmtId="176" fontId="3" fillId="0" borderId="5" xfId="0" applyNumberFormat="1" applyFont="1" applyBorder="1" applyAlignment="1">
      <alignment horizontal="center" vertical="center"/>
    </xf>
    <xf numFmtId="176" fontId="3" fillId="0" borderId="8" xfId="0" applyNumberFormat="1" applyFont="1" applyBorder="1" applyAlignment="1">
      <alignment horizontal="center" vertical="center"/>
    </xf>
    <xf numFmtId="0" fontId="3" fillId="0" borderId="6" xfId="0" applyFont="1" applyBorder="1" applyAlignment="1">
      <alignment horizontal="center" vertical="center"/>
    </xf>
    <xf numFmtId="176" fontId="0" fillId="2" borderId="5" xfId="0" applyNumberFormat="1" applyFill="1" applyBorder="1" applyAlignment="1">
      <alignment horizontal="center" vertical="center"/>
    </xf>
    <xf numFmtId="176" fontId="0" fillId="2" borderId="6" xfId="0" applyNumberFormat="1" applyFill="1" applyBorder="1" applyAlignment="1">
      <alignment horizontal="center" vertical="center"/>
    </xf>
    <xf numFmtId="0" fontId="0" fillId="2" borderId="5" xfId="0" applyFill="1" applyBorder="1" applyAlignment="1">
      <alignment horizontal="center" vertical="center"/>
    </xf>
    <xf numFmtId="0" fontId="0" fillId="2" borderId="6" xfId="0" applyFill="1" applyBorder="1" applyAlignment="1">
      <alignment horizontal="center" vertical="center"/>
    </xf>
    <xf numFmtId="0" fontId="2" fillId="0" borderId="29" xfId="0" applyFont="1" applyBorder="1" applyAlignment="1">
      <alignment horizontal="center" vertical="center"/>
    </xf>
    <xf numFmtId="0" fontId="2" fillId="4" borderId="2" xfId="0" applyFont="1" applyFill="1" applyBorder="1" applyAlignment="1">
      <alignment horizontal="center" vertical="center"/>
    </xf>
    <xf numFmtId="0" fontId="2" fillId="4" borderId="8" xfId="0" applyFont="1" applyFill="1" applyBorder="1" applyAlignment="1">
      <alignment horizontal="center" vertical="center"/>
    </xf>
    <xf numFmtId="0" fontId="2" fillId="0" borderId="30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0" fontId="2" fillId="0" borderId="28" xfId="0" applyFont="1" applyBorder="1" applyAlignment="1">
      <alignment horizontal="center" vertical="center"/>
    </xf>
    <xf numFmtId="176" fontId="2" fillId="0" borderId="29" xfId="0" applyNumberFormat="1" applyFont="1" applyBorder="1" applyAlignment="1">
      <alignment horizontal="center" vertical="center"/>
    </xf>
    <xf numFmtId="0" fontId="2" fillId="5" borderId="4" xfId="0" applyFont="1" applyFill="1" applyBorder="1" applyAlignment="1">
      <alignment horizontal="center" vertical="center"/>
    </xf>
    <xf numFmtId="0" fontId="2" fillId="5" borderId="5" xfId="0" applyFont="1" applyFill="1" applyBorder="1" applyAlignment="1">
      <alignment horizontal="center" vertical="center"/>
    </xf>
    <xf numFmtId="176" fontId="2" fillId="5" borderId="5" xfId="0" applyNumberFormat="1" applyFont="1" applyFill="1" applyBorder="1" applyAlignment="1">
      <alignment horizontal="center" vertical="center"/>
    </xf>
    <xf numFmtId="0" fontId="2" fillId="5" borderId="6" xfId="0" applyFont="1" applyFill="1" applyBorder="1" applyAlignment="1">
      <alignment horizontal="center" vertical="center"/>
    </xf>
    <xf numFmtId="0" fontId="13" fillId="0" borderId="0" xfId="0" applyFont="1" applyAlignment="1">
      <alignment horizontal="center" vertical="center"/>
    </xf>
    <xf numFmtId="0" fontId="13" fillId="7" borderId="0" xfId="0" applyFont="1" applyFill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2" fillId="0" borderId="5" xfId="0" applyFont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/>
    </xf>
    <xf numFmtId="0" fontId="2" fillId="7" borderId="5" xfId="0" applyFont="1" applyFill="1" applyBorder="1" applyAlignment="1">
      <alignment horizontal="center" vertical="center"/>
    </xf>
    <xf numFmtId="0" fontId="2" fillId="7" borderId="8" xfId="0" applyFont="1" applyFill="1" applyBorder="1" applyAlignment="1">
      <alignment horizontal="center" vertical="center"/>
    </xf>
    <xf numFmtId="0" fontId="0" fillId="7" borderId="5" xfId="0" applyFill="1" applyBorder="1" applyAlignment="1">
      <alignment horizontal="center" vertical="center"/>
    </xf>
    <xf numFmtId="0" fontId="0" fillId="7" borderId="6" xfId="0" applyFill="1" applyBorder="1" applyAlignment="1">
      <alignment horizontal="center" vertical="center"/>
    </xf>
    <xf numFmtId="0" fontId="2" fillId="0" borderId="40" xfId="0" applyFont="1" applyBorder="1" applyAlignment="1">
      <alignment horizontal="center" vertical="center"/>
    </xf>
    <xf numFmtId="0" fontId="2" fillId="0" borderId="9" xfId="0" applyFont="1" applyBorder="1" applyAlignment="1">
      <alignment horizontal="center" vertical="center" wrapText="1"/>
    </xf>
    <xf numFmtId="176" fontId="4" fillId="2" borderId="9" xfId="0" applyNumberFormat="1" applyFont="1" applyFill="1" applyBorder="1" applyAlignment="1">
      <alignment horizontal="center" vertical="center"/>
    </xf>
    <xf numFmtId="0" fontId="2" fillId="7" borderId="18" xfId="0" applyFont="1" applyFill="1" applyBorder="1" applyAlignment="1">
      <alignment horizontal="center" vertical="center"/>
    </xf>
    <xf numFmtId="0" fontId="2" fillId="7" borderId="19" xfId="0" applyFont="1" applyFill="1" applyBorder="1" applyAlignment="1">
      <alignment horizontal="center" vertical="center"/>
    </xf>
    <xf numFmtId="0" fontId="0" fillId="7" borderId="25" xfId="0" applyFill="1" applyBorder="1" applyAlignment="1">
      <alignment horizontal="center" vertical="center"/>
    </xf>
    <xf numFmtId="0" fontId="0" fillId="7" borderId="26" xfId="0" applyFill="1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0" fontId="2" fillId="0" borderId="43" xfId="0" applyFont="1" applyBorder="1" applyAlignment="1">
      <alignment horizontal="center" vertical="center"/>
    </xf>
    <xf numFmtId="0" fontId="2" fillId="0" borderId="45" xfId="0" applyFont="1" applyBorder="1" applyAlignment="1">
      <alignment horizontal="center" vertical="center"/>
    </xf>
    <xf numFmtId="0" fontId="2" fillId="2" borderId="44" xfId="0" applyFont="1" applyFill="1" applyBorder="1" applyAlignment="1">
      <alignment horizontal="center" vertical="center"/>
    </xf>
    <xf numFmtId="0" fontId="2" fillId="2" borderId="43" xfId="0" applyFont="1" applyFill="1" applyBorder="1" applyAlignment="1">
      <alignment horizontal="center" vertical="center"/>
    </xf>
    <xf numFmtId="0" fontId="2" fillId="0" borderId="44" xfId="0" applyFont="1" applyBorder="1" applyAlignment="1">
      <alignment horizontal="center" vertical="center"/>
    </xf>
    <xf numFmtId="0" fontId="2" fillId="3" borderId="43" xfId="0" applyFont="1" applyFill="1" applyBorder="1" applyAlignment="1">
      <alignment horizontal="center" vertical="center"/>
    </xf>
    <xf numFmtId="0" fontId="2" fillId="3" borderId="45" xfId="0" applyFont="1" applyFill="1" applyBorder="1" applyAlignment="1">
      <alignment horizontal="center" vertical="center"/>
    </xf>
    <xf numFmtId="0" fontId="2" fillId="0" borderId="46" xfId="0" applyFont="1" applyBorder="1" applyAlignment="1">
      <alignment horizontal="center" vertical="center"/>
    </xf>
    <xf numFmtId="0" fontId="2" fillId="0" borderId="47" xfId="0" applyFont="1" applyBorder="1" applyAlignment="1">
      <alignment horizontal="center" vertical="center"/>
    </xf>
    <xf numFmtId="0" fontId="2" fillId="0" borderId="48" xfId="0" applyFont="1" applyBorder="1" applyAlignment="1">
      <alignment horizontal="center" vertical="center"/>
    </xf>
    <xf numFmtId="0" fontId="3" fillId="0" borderId="28" xfId="0" applyFont="1" applyBorder="1" applyAlignment="1">
      <alignment horizontal="center" vertical="center" wrapText="1"/>
    </xf>
    <xf numFmtId="0" fontId="3" fillId="0" borderId="29" xfId="0" applyFont="1" applyBorder="1" applyAlignment="1">
      <alignment horizontal="center" vertical="center" wrapText="1"/>
    </xf>
    <xf numFmtId="0" fontId="3" fillId="0" borderId="29" xfId="0" applyFont="1" applyBorder="1" applyAlignment="1">
      <alignment horizontal="center" vertical="center"/>
    </xf>
    <xf numFmtId="0" fontId="3" fillId="0" borderId="30" xfId="0" applyFont="1" applyBorder="1" applyAlignment="1">
      <alignment horizontal="center" vertical="center"/>
    </xf>
    <xf numFmtId="0" fontId="3" fillId="0" borderId="2" xfId="0" applyFont="1" applyBorder="1" applyAlignment="1">
      <alignment horizontal="center" vertical="center" wrapText="1"/>
    </xf>
    <xf numFmtId="0" fontId="3" fillId="0" borderId="3" xfId="0" applyFont="1" applyBorder="1" applyAlignment="1">
      <alignment horizontal="center" vertical="center" wrapText="1"/>
    </xf>
    <xf numFmtId="0" fontId="3" fillId="0" borderId="63" xfId="0" applyFont="1" applyBorder="1" applyAlignment="1">
      <alignment horizontal="center" vertical="center"/>
    </xf>
    <xf numFmtId="0" fontId="14" fillId="0" borderId="66" xfId="0" applyFont="1" applyBorder="1" applyAlignment="1">
      <alignment horizontal="center" vertical="center"/>
    </xf>
    <xf numFmtId="0" fontId="3" fillId="7" borderId="29" xfId="0" applyFont="1" applyFill="1" applyBorder="1" applyAlignment="1">
      <alignment horizontal="center" vertical="center" wrapText="1"/>
    </xf>
    <xf numFmtId="0" fontId="3" fillId="0" borderId="71" xfId="0" applyFont="1" applyBorder="1" applyAlignment="1">
      <alignment horizontal="center" vertical="center" wrapText="1"/>
    </xf>
    <xf numFmtId="176" fontId="3" fillId="7" borderId="2" xfId="0" applyNumberFormat="1" applyFont="1" applyFill="1" applyBorder="1" applyAlignment="1">
      <alignment horizontal="center" vertical="center"/>
    </xf>
    <xf numFmtId="176" fontId="3" fillId="0" borderId="2" xfId="0" applyNumberFormat="1" applyFont="1" applyBorder="1" applyAlignment="1">
      <alignment horizontal="center" vertical="center"/>
    </xf>
    <xf numFmtId="176" fontId="3" fillId="8" borderId="2" xfId="0" applyNumberFormat="1" applyFont="1" applyFill="1" applyBorder="1" applyAlignment="1">
      <alignment horizontal="center" vertical="center"/>
    </xf>
    <xf numFmtId="176" fontId="3" fillId="0" borderId="73" xfId="0" applyNumberFormat="1" applyFont="1" applyBorder="1" applyAlignment="1">
      <alignment horizontal="center" vertical="center"/>
    </xf>
    <xf numFmtId="0" fontId="3" fillId="0" borderId="5" xfId="0" applyFont="1" applyBorder="1" applyAlignment="1">
      <alignment horizontal="center" vertical="center"/>
    </xf>
    <xf numFmtId="176" fontId="3" fillId="7" borderId="5" xfId="0" applyNumberFormat="1" applyFont="1" applyFill="1" applyBorder="1" applyAlignment="1">
      <alignment horizontal="center" vertical="center"/>
    </xf>
    <xf numFmtId="176" fontId="3" fillId="0" borderId="75" xfId="0" applyNumberFormat="1" applyFont="1" applyBorder="1" applyAlignment="1">
      <alignment horizontal="center" vertical="center"/>
    </xf>
    <xf numFmtId="0" fontId="3" fillId="0" borderId="5" xfId="0" applyFont="1" applyBorder="1" applyAlignment="1">
      <alignment horizontal="center" vertical="center" wrapText="1"/>
    </xf>
    <xf numFmtId="176" fontId="3" fillId="8" borderId="5" xfId="0" applyNumberFormat="1" applyFont="1" applyFill="1" applyBorder="1" applyAlignment="1">
      <alignment horizontal="center" vertical="center"/>
    </xf>
    <xf numFmtId="0" fontId="3" fillId="0" borderId="8" xfId="0" applyFont="1" applyBorder="1" applyAlignment="1">
      <alignment horizontal="center" vertical="center" wrapText="1"/>
    </xf>
    <xf numFmtId="176" fontId="3" fillId="7" borderId="8" xfId="0" applyNumberFormat="1" applyFont="1" applyFill="1" applyBorder="1" applyAlignment="1">
      <alignment horizontal="center" vertical="center"/>
    </xf>
    <xf numFmtId="176" fontId="3" fillId="0" borderId="77" xfId="0" applyNumberFormat="1" applyFont="1" applyBorder="1" applyAlignment="1">
      <alignment horizontal="center" vertical="center"/>
    </xf>
    <xf numFmtId="176" fontId="0" fillId="7" borderId="11" xfId="0" applyNumberFormat="1" applyFill="1" applyBorder="1" applyAlignment="1">
      <alignment horizontal="center" vertical="center"/>
    </xf>
    <xf numFmtId="0" fontId="0" fillId="7" borderId="11" xfId="0" applyFill="1" applyBorder="1" applyAlignment="1">
      <alignment horizontal="center" vertical="center"/>
    </xf>
    <xf numFmtId="176" fontId="0" fillId="0" borderId="11" xfId="0" applyNumberFormat="1" applyBorder="1" applyAlignment="1">
      <alignment horizontal="center" vertical="center"/>
    </xf>
    <xf numFmtId="0" fontId="0" fillId="0" borderId="69" xfId="0" applyBorder="1" applyAlignment="1">
      <alignment horizontal="center" vertical="center"/>
    </xf>
    <xf numFmtId="176" fontId="0" fillId="7" borderId="5" xfId="0" applyNumberFormat="1" applyFill="1" applyBorder="1" applyAlignment="1">
      <alignment horizontal="center" vertical="center"/>
    </xf>
    <xf numFmtId="176" fontId="0" fillId="0" borderId="5" xfId="0" applyNumberFormat="1" applyBorder="1" applyAlignment="1">
      <alignment horizontal="center" vertical="center"/>
    </xf>
    <xf numFmtId="0" fontId="0" fillId="0" borderId="75" xfId="0" applyBorder="1" applyAlignment="1">
      <alignment horizontal="center" vertical="center"/>
    </xf>
    <xf numFmtId="176" fontId="0" fillId="7" borderId="79" xfId="0" applyNumberFormat="1" applyFill="1" applyBorder="1" applyAlignment="1">
      <alignment horizontal="center" vertical="center"/>
    </xf>
    <xf numFmtId="176" fontId="0" fillId="0" borderId="79" xfId="0" applyNumberFormat="1" applyBorder="1" applyAlignment="1">
      <alignment horizontal="center" vertical="center"/>
    </xf>
    <xf numFmtId="176" fontId="0" fillId="0" borderId="80" xfId="0" applyNumberFormat="1" applyBorder="1" applyAlignment="1">
      <alignment horizontal="center" vertical="center"/>
    </xf>
    <xf numFmtId="0" fontId="2" fillId="9" borderId="2" xfId="0" applyFont="1" applyFill="1" applyBorder="1" applyAlignment="1">
      <alignment horizontal="center" vertical="center"/>
    </xf>
    <xf numFmtId="0" fontId="2" fillId="9" borderId="8" xfId="0" applyFont="1" applyFill="1" applyBorder="1" applyAlignment="1">
      <alignment horizontal="center" vertical="center"/>
    </xf>
    <xf numFmtId="0" fontId="2" fillId="9" borderId="11" xfId="0" applyFont="1" applyFill="1" applyBorder="1" applyAlignment="1">
      <alignment horizontal="center" vertical="center"/>
    </xf>
    <xf numFmtId="0" fontId="2" fillId="9" borderId="29" xfId="0" applyFont="1" applyFill="1" applyBorder="1" applyAlignment="1">
      <alignment horizontal="center" vertical="center"/>
    </xf>
    <xf numFmtId="0" fontId="2" fillId="9" borderId="0" xfId="0" applyFont="1" applyFill="1" applyAlignment="1">
      <alignment horizontal="center" vertical="center"/>
    </xf>
    <xf numFmtId="0" fontId="0" fillId="7" borderId="0" xfId="0" applyFill="1" applyAlignment="1">
      <alignment horizontal="center" vertical="center"/>
    </xf>
    <xf numFmtId="176" fontId="3" fillId="9" borderId="1" xfId="0" applyNumberFormat="1" applyFont="1" applyFill="1" applyBorder="1" applyAlignment="1">
      <alignment horizontal="center" vertical="center"/>
    </xf>
    <xf numFmtId="176" fontId="3" fillId="10" borderId="1" xfId="0" applyNumberFormat="1" applyFont="1" applyFill="1" applyBorder="1" applyAlignment="1">
      <alignment horizontal="center" vertical="center"/>
    </xf>
    <xf numFmtId="176" fontId="3" fillId="10" borderId="2" xfId="0" applyNumberFormat="1" applyFont="1" applyFill="1" applyBorder="1" applyAlignment="1">
      <alignment horizontal="center" vertical="center"/>
    </xf>
    <xf numFmtId="176" fontId="3" fillId="9" borderId="3" xfId="0" applyNumberFormat="1" applyFont="1" applyFill="1" applyBorder="1" applyAlignment="1">
      <alignment horizontal="center" vertical="center"/>
    </xf>
    <xf numFmtId="176" fontId="3" fillId="9" borderId="2" xfId="0" applyNumberFormat="1" applyFont="1" applyFill="1" applyBorder="1" applyAlignment="1">
      <alignment horizontal="center" vertical="center"/>
    </xf>
    <xf numFmtId="176" fontId="3" fillId="9" borderId="73" xfId="0" applyNumberFormat="1" applyFont="1" applyFill="1" applyBorder="1" applyAlignment="1">
      <alignment horizontal="center" vertical="center"/>
    </xf>
    <xf numFmtId="0" fontId="0" fillId="0" borderId="0" xfId="0" applyAlignment="1">
      <alignment vertical="center"/>
    </xf>
    <xf numFmtId="0" fontId="2" fillId="9" borderId="4" xfId="0" applyFont="1" applyFill="1" applyBorder="1" applyAlignment="1">
      <alignment horizontal="center" vertical="center" wrapText="1"/>
    </xf>
    <xf numFmtId="0" fontId="2" fillId="9" borderId="7" xfId="0" applyFont="1" applyFill="1" applyBorder="1" applyAlignment="1">
      <alignment horizontal="center" vertical="center" wrapText="1"/>
    </xf>
    <xf numFmtId="0" fontId="2" fillId="9" borderId="4" xfId="0" applyFont="1" applyFill="1" applyBorder="1" applyAlignment="1">
      <alignment horizontal="center" vertical="center"/>
    </xf>
    <xf numFmtId="0" fontId="2" fillId="9" borderId="5" xfId="0" applyFont="1" applyFill="1" applyBorder="1" applyAlignment="1">
      <alignment horizontal="center" vertical="center"/>
    </xf>
    <xf numFmtId="0" fontId="2" fillId="9" borderId="7" xfId="0" applyFont="1" applyFill="1" applyBorder="1" applyAlignment="1">
      <alignment horizontal="center" vertical="center"/>
    </xf>
    <xf numFmtId="0" fontId="3" fillId="0" borderId="40" xfId="0" applyFont="1" applyBorder="1" applyAlignment="1">
      <alignment wrapText="1"/>
    </xf>
    <xf numFmtId="0" fontId="3" fillId="0" borderId="40" xfId="0" applyFont="1" applyBorder="1" applyAlignment="1">
      <alignment horizontal="center" vertical="center" wrapText="1"/>
    </xf>
    <xf numFmtId="176" fontId="3" fillId="0" borderId="40" xfId="0" applyNumberFormat="1" applyFont="1" applyBorder="1" applyAlignment="1">
      <alignment horizontal="center" vertical="center"/>
    </xf>
    <xf numFmtId="0" fontId="3" fillId="0" borderId="40" xfId="0" applyFont="1" applyBorder="1" applyAlignment="1">
      <alignment horizontal="center" vertical="center"/>
    </xf>
    <xf numFmtId="0" fontId="3" fillId="0" borderId="84" xfId="0" applyFont="1" applyBorder="1" applyAlignment="1">
      <alignment horizontal="center" vertical="center"/>
    </xf>
    <xf numFmtId="0" fontId="2" fillId="11" borderId="43" xfId="0" applyFont="1" applyFill="1" applyBorder="1" applyAlignment="1">
      <alignment horizontal="center" vertical="center"/>
    </xf>
    <xf numFmtId="0" fontId="2" fillId="11" borderId="45" xfId="0" applyFont="1" applyFill="1" applyBorder="1" applyAlignment="1">
      <alignment horizontal="center" vertical="center"/>
    </xf>
    <xf numFmtId="0" fontId="15" fillId="11" borderId="0" xfId="0" applyFont="1" applyFill="1" applyAlignment="1">
      <alignment horizontal="center" vertical="center"/>
    </xf>
    <xf numFmtId="0" fontId="0" fillId="11" borderId="0" xfId="0" applyFill="1" applyAlignment="1">
      <alignment horizontal="center" vertical="center"/>
    </xf>
    <xf numFmtId="0" fontId="2" fillId="12" borderId="4" xfId="0" applyFont="1" applyFill="1" applyBorder="1" applyAlignment="1">
      <alignment horizontal="center" vertical="center"/>
    </xf>
    <xf numFmtId="0" fontId="2" fillId="12" borderId="5" xfId="0" applyFont="1" applyFill="1" applyBorder="1" applyAlignment="1">
      <alignment horizontal="center" vertical="center"/>
    </xf>
    <xf numFmtId="0" fontId="2" fillId="12" borderId="6" xfId="0" applyFont="1" applyFill="1" applyBorder="1" applyAlignment="1">
      <alignment horizontal="center" vertical="center"/>
    </xf>
    <xf numFmtId="0" fontId="3" fillId="9" borderId="40" xfId="0" applyFont="1" applyFill="1" applyBorder="1" applyAlignment="1">
      <alignment horizontal="center" vertical="center" wrapText="1"/>
    </xf>
    <xf numFmtId="176" fontId="3" fillId="9" borderId="40" xfId="0" applyNumberFormat="1" applyFont="1" applyFill="1" applyBorder="1" applyAlignment="1">
      <alignment horizontal="center" vertical="center"/>
    </xf>
    <xf numFmtId="0" fontId="2" fillId="0" borderId="20" xfId="0" applyFont="1" applyBorder="1" applyAlignment="1">
      <alignment horizontal="center" vertical="center"/>
    </xf>
    <xf numFmtId="0" fontId="0" fillId="0" borderId="20" xfId="0" applyBorder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3" fillId="0" borderId="41" xfId="0" applyFont="1" applyBorder="1" applyAlignment="1">
      <alignment horizontal="center" vertical="center" wrapText="1"/>
    </xf>
    <xf numFmtId="0" fontId="3" fillId="0" borderId="42" xfId="0" applyFont="1" applyBorder="1" applyAlignment="1">
      <alignment horizontal="center" vertical="center" wrapText="1"/>
    </xf>
    <xf numFmtId="0" fontId="2" fillId="0" borderId="41" xfId="0" applyFont="1" applyBorder="1" applyAlignment="1">
      <alignment horizontal="center" vertical="center" wrapText="1"/>
    </xf>
    <xf numFmtId="0" fontId="2" fillId="0" borderId="42" xfId="0" applyFont="1" applyBorder="1" applyAlignment="1">
      <alignment horizontal="center" vertical="center" wrapText="1"/>
    </xf>
    <xf numFmtId="0" fontId="2" fillId="0" borderId="7" xfId="0" applyFont="1" applyBorder="1" applyAlignment="1">
      <alignment horizontal="left" vertical="center"/>
    </xf>
    <xf numFmtId="0" fontId="0" fillId="0" borderId="8" xfId="0" applyBorder="1" applyAlignment="1">
      <alignment horizontal="left" vertical="center"/>
    </xf>
    <xf numFmtId="0" fontId="0" fillId="0" borderId="9" xfId="0" applyBorder="1" applyAlignment="1">
      <alignment horizontal="left" vertical="center"/>
    </xf>
    <xf numFmtId="0" fontId="2" fillId="0" borderId="54" xfId="0" applyFont="1" applyBorder="1" applyAlignment="1">
      <alignment horizontal="center" vertical="center"/>
    </xf>
    <xf numFmtId="0" fontId="2" fillId="0" borderId="55" xfId="0" applyFont="1" applyBorder="1" applyAlignment="1">
      <alignment horizontal="center" vertical="center"/>
    </xf>
    <xf numFmtId="0" fontId="2" fillId="0" borderId="56" xfId="0" applyFont="1" applyBorder="1" applyAlignment="1">
      <alignment horizontal="center" vertical="center"/>
    </xf>
    <xf numFmtId="0" fontId="2" fillId="0" borderId="49" xfId="0" applyFont="1" applyBorder="1" applyAlignment="1">
      <alignment horizontal="center" vertical="center"/>
    </xf>
    <xf numFmtId="0" fontId="2" fillId="0" borderId="50" xfId="0" applyFont="1" applyBorder="1" applyAlignment="1">
      <alignment horizontal="center" vertical="center"/>
    </xf>
    <xf numFmtId="0" fontId="2" fillId="0" borderId="53" xfId="0" applyFont="1" applyBorder="1" applyAlignment="1">
      <alignment horizontal="center" vertical="center"/>
    </xf>
    <xf numFmtId="0" fontId="2" fillId="0" borderId="52" xfId="0" applyFont="1" applyBorder="1" applyAlignment="1">
      <alignment horizontal="center" vertical="center"/>
    </xf>
    <xf numFmtId="0" fontId="2" fillId="0" borderId="51" xfId="0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61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14" fillId="0" borderId="62" xfId="0" applyFont="1" applyBorder="1" applyAlignment="1">
      <alignment horizontal="center" vertical="center" wrapText="1"/>
    </xf>
    <xf numFmtId="0" fontId="0" fillId="0" borderId="63" xfId="0" applyBorder="1" applyAlignment="1">
      <alignment horizontal="center" vertical="center"/>
    </xf>
    <xf numFmtId="0" fontId="14" fillId="0" borderId="57" xfId="0" applyFont="1" applyBorder="1" applyAlignment="1">
      <alignment horizontal="center" vertical="center"/>
    </xf>
    <xf numFmtId="0" fontId="14" fillId="0" borderId="58" xfId="0" applyFont="1" applyBorder="1" applyAlignment="1">
      <alignment horizontal="center" vertical="center"/>
    </xf>
    <xf numFmtId="0" fontId="14" fillId="0" borderId="59" xfId="0" applyFont="1" applyBorder="1" applyAlignment="1">
      <alignment horizontal="center" vertical="center"/>
    </xf>
    <xf numFmtId="0" fontId="0" fillId="0" borderId="58" xfId="0" applyBorder="1" applyAlignment="1">
      <alignment horizontal="center" vertical="center"/>
    </xf>
    <xf numFmtId="0" fontId="0" fillId="0" borderId="60" xfId="0" applyBorder="1" applyAlignment="1">
      <alignment horizontal="center" vertical="center"/>
    </xf>
    <xf numFmtId="0" fontId="3" fillId="0" borderId="1" xfId="0" applyFont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2" fillId="6" borderId="4" xfId="0" applyFont="1" applyFill="1" applyBorder="1" applyAlignment="1">
      <alignment horizontal="left" vertical="center"/>
    </xf>
    <xf numFmtId="0" fontId="0" fillId="6" borderId="5" xfId="0" applyFill="1" applyBorder="1" applyAlignment="1">
      <alignment horizontal="left" vertical="center"/>
    </xf>
    <xf numFmtId="0" fontId="0" fillId="6" borderId="6" xfId="0" applyFill="1" applyBorder="1" applyAlignment="1">
      <alignment horizontal="left" vertical="center"/>
    </xf>
    <xf numFmtId="0" fontId="2" fillId="0" borderId="1" xfId="0" applyFont="1" applyBorder="1" applyAlignment="1">
      <alignment horizontal="center" vertical="center"/>
    </xf>
    <xf numFmtId="0" fontId="2" fillId="2" borderId="4" xfId="0" applyFont="1" applyFill="1" applyBorder="1" applyAlignment="1">
      <alignment horizontal="center" vertical="center"/>
    </xf>
    <xf numFmtId="0" fontId="0" fillId="2" borderId="5" xfId="0" applyFill="1" applyBorder="1" applyAlignment="1">
      <alignment horizontal="center" vertical="center"/>
    </xf>
    <xf numFmtId="0" fontId="0" fillId="2" borderId="6" xfId="0" applyFill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2" fillId="0" borderId="5" xfId="0" applyFont="1" applyBorder="1" applyAlignment="1">
      <alignment horizontal="center" vertical="center" wrapText="1"/>
    </xf>
    <xf numFmtId="0" fontId="2" fillId="0" borderId="6" xfId="0" applyFont="1" applyBorder="1" applyAlignment="1">
      <alignment horizontal="center" vertical="center" wrapText="1"/>
    </xf>
    <xf numFmtId="0" fontId="2" fillId="11" borderId="64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0" fillId="2" borderId="2" xfId="0" applyFill="1" applyBorder="1" applyAlignment="1">
      <alignment horizontal="center" vertical="center"/>
    </xf>
    <xf numFmtId="0" fontId="0" fillId="2" borderId="3" xfId="0" applyFill="1" applyBorder="1" applyAlignment="1">
      <alignment horizontal="center" vertical="center"/>
    </xf>
    <xf numFmtId="0" fontId="2" fillId="3" borderId="4" xfId="0" applyFont="1" applyFill="1" applyBorder="1" applyAlignment="1">
      <alignment horizontal="center" vertical="center"/>
    </xf>
    <xf numFmtId="0" fontId="0" fillId="3" borderId="5" xfId="0" applyFill="1" applyBorder="1" applyAlignment="1">
      <alignment horizontal="center" vertical="center"/>
    </xf>
    <xf numFmtId="0" fontId="0" fillId="3" borderId="6" xfId="0" applyFill="1" applyBorder="1" applyAlignment="1">
      <alignment horizontal="center" vertical="center"/>
    </xf>
    <xf numFmtId="0" fontId="2" fillId="0" borderId="5" xfId="0" applyFont="1" applyBorder="1" applyAlignment="1">
      <alignment horizontal="center" vertical="center"/>
    </xf>
    <xf numFmtId="0" fontId="2" fillId="7" borderId="18" xfId="0" applyFont="1" applyFill="1" applyBorder="1" applyAlignment="1">
      <alignment horizontal="center" vertical="center"/>
    </xf>
    <xf numFmtId="0" fontId="0" fillId="7" borderId="24" xfId="0" applyFill="1" applyBorder="1" applyAlignment="1">
      <alignment horizontal="center" vertical="center"/>
    </xf>
    <xf numFmtId="0" fontId="2" fillId="7" borderId="19" xfId="0" applyFont="1" applyFill="1" applyBorder="1" applyAlignment="1">
      <alignment horizontal="center" vertical="center"/>
    </xf>
    <xf numFmtId="0" fontId="0" fillId="7" borderId="22" xfId="0" applyFill="1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0" fontId="0" fillId="0" borderId="27" xfId="0" applyBorder="1" applyAlignment="1">
      <alignment horizontal="center" vertical="center"/>
    </xf>
    <xf numFmtId="0" fontId="0" fillId="0" borderId="12" xfId="0" applyBorder="1" applyAlignment="1">
      <alignment horizontal="center" vertical="center"/>
    </xf>
    <xf numFmtId="0" fontId="0" fillId="2" borderId="32" xfId="0" applyFill="1" applyBorder="1" applyAlignment="1">
      <alignment horizontal="center" vertical="center"/>
    </xf>
    <xf numFmtId="0" fontId="0" fillId="0" borderId="21" xfId="0" applyBorder="1" applyAlignment="1">
      <alignment horizontal="center" vertical="center"/>
    </xf>
    <xf numFmtId="0" fontId="0" fillId="0" borderId="33" xfId="0" applyBorder="1" applyAlignment="1">
      <alignment horizontal="center" vertical="center"/>
    </xf>
    <xf numFmtId="0" fontId="0" fillId="0" borderId="20" xfId="0" applyBorder="1"/>
    <xf numFmtId="0" fontId="0" fillId="0" borderId="82" xfId="0" applyBorder="1" applyAlignment="1">
      <alignment horizontal="center" vertical="center"/>
    </xf>
    <xf numFmtId="0" fontId="0" fillId="0" borderId="83" xfId="0" applyBorder="1" applyAlignment="1">
      <alignment horizontal="center" vertical="center"/>
    </xf>
    <xf numFmtId="0" fontId="0" fillId="0" borderId="42" xfId="0" applyBorder="1" applyAlignment="1">
      <alignment horizontal="center" vertical="center"/>
    </xf>
    <xf numFmtId="0" fontId="0" fillId="0" borderId="19" xfId="0" applyBorder="1" applyAlignment="1">
      <alignment horizontal="center" vertical="center"/>
    </xf>
    <xf numFmtId="0" fontId="0" fillId="0" borderId="81" xfId="0" applyBorder="1" applyAlignment="1">
      <alignment horizontal="center" vertical="center"/>
    </xf>
    <xf numFmtId="0" fontId="0" fillId="0" borderId="26" xfId="0" applyBorder="1" applyAlignment="1">
      <alignment horizontal="center" vertical="center"/>
    </xf>
    <xf numFmtId="0" fontId="0" fillId="11" borderId="64" xfId="0" applyFill="1" applyBorder="1" applyAlignment="1">
      <alignment horizontal="center"/>
    </xf>
    <xf numFmtId="0" fontId="0" fillId="0" borderId="68" xfId="0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0" fontId="0" fillId="0" borderId="74" xfId="0" applyBorder="1" applyAlignment="1">
      <alignment horizontal="center" vertical="center"/>
    </xf>
    <xf numFmtId="0" fontId="0" fillId="0" borderId="78" xfId="0" applyBorder="1" applyAlignment="1">
      <alignment horizontal="center" vertical="center"/>
    </xf>
    <xf numFmtId="0" fontId="0" fillId="0" borderId="79" xfId="0" applyBorder="1" applyAlignment="1">
      <alignment horizontal="center" vertical="center"/>
    </xf>
    <xf numFmtId="0" fontId="3" fillId="0" borderId="11" xfId="0" applyFont="1" applyBorder="1" applyAlignment="1">
      <alignment horizontal="center" vertical="center" wrapText="1"/>
    </xf>
    <xf numFmtId="0" fontId="0" fillId="0" borderId="11" xfId="0" applyBorder="1" applyAlignment="1">
      <alignment horizontal="center" vertical="center" wrapText="1"/>
    </xf>
    <xf numFmtId="0" fontId="3" fillId="7" borderId="11" xfId="0" applyFont="1" applyFill="1" applyBorder="1" applyAlignment="1">
      <alignment horizontal="center" vertical="center" wrapText="1"/>
    </xf>
    <xf numFmtId="0" fontId="0" fillId="7" borderId="11" xfId="0" applyFill="1" applyBorder="1" applyAlignment="1">
      <alignment horizontal="center" vertical="center" wrapText="1"/>
    </xf>
    <xf numFmtId="0" fontId="0" fillId="0" borderId="69" xfId="0" applyBorder="1" applyAlignment="1">
      <alignment horizontal="center" vertical="center" wrapText="1"/>
    </xf>
    <xf numFmtId="0" fontId="2" fillId="0" borderId="72" xfId="0" applyFont="1" applyBorder="1" applyAlignment="1">
      <alignment horizontal="center" vertical="center"/>
    </xf>
    <xf numFmtId="0" fontId="2" fillId="0" borderId="74" xfId="0" applyFont="1" applyBorder="1" applyAlignment="1">
      <alignment horizontal="center" vertical="center"/>
    </xf>
    <xf numFmtId="0" fontId="2" fillId="0" borderId="76" xfId="0" applyFont="1" applyBorder="1" applyAlignment="1">
      <alignment horizontal="center" vertical="center"/>
    </xf>
    <xf numFmtId="0" fontId="3" fillId="0" borderId="5" xfId="0" applyFont="1" applyBorder="1" applyAlignment="1">
      <alignment horizontal="center" vertical="center"/>
    </xf>
    <xf numFmtId="0" fontId="3" fillId="0" borderId="8" xfId="0" applyFont="1" applyBorder="1" applyAlignment="1">
      <alignment horizontal="center" vertical="center"/>
    </xf>
    <xf numFmtId="0" fontId="3" fillId="7" borderId="11" xfId="0" applyFont="1" applyFill="1" applyBorder="1" applyAlignment="1">
      <alignment horizontal="center" vertical="center"/>
    </xf>
    <xf numFmtId="0" fontId="0" fillId="7" borderId="11" xfId="0" applyFill="1" applyBorder="1" applyAlignment="1">
      <alignment horizontal="center" vertical="center"/>
    </xf>
    <xf numFmtId="0" fontId="2" fillId="0" borderId="68" xfId="0" applyFont="1" applyBorder="1" applyAlignment="1">
      <alignment horizontal="center" vertical="center"/>
    </xf>
    <xf numFmtId="0" fontId="0" fillId="0" borderId="70" xfId="0" applyBorder="1" applyAlignment="1">
      <alignment horizontal="center" vertical="center"/>
    </xf>
    <xf numFmtId="0" fontId="3" fillId="0" borderId="11" xfId="0" applyFont="1" applyBorder="1" applyAlignment="1">
      <alignment horizontal="center" vertical="center"/>
    </xf>
    <xf numFmtId="0" fontId="0" fillId="0" borderId="29" xfId="0" applyBorder="1" applyAlignment="1">
      <alignment horizontal="center" vertical="center"/>
    </xf>
    <xf numFmtId="0" fontId="2" fillId="0" borderId="1" xfId="0" applyFont="1" applyBorder="1" applyAlignment="1">
      <alignment wrapText="1"/>
    </xf>
    <xf numFmtId="0" fontId="3" fillId="0" borderId="4" xfId="0" applyFont="1" applyBorder="1"/>
    <xf numFmtId="0" fontId="10" fillId="0" borderId="0" xfId="0" applyFont="1" applyAlignment="1">
      <alignment horizontal="center" vertical="center"/>
    </xf>
    <xf numFmtId="0" fontId="14" fillId="0" borderId="65" xfId="0" applyFont="1" applyBorder="1" applyAlignment="1">
      <alignment horizontal="center" vertical="center"/>
    </xf>
    <xf numFmtId="0" fontId="0" fillId="0" borderId="66" xfId="0" applyBorder="1" applyAlignment="1">
      <alignment horizontal="center" vertical="center"/>
    </xf>
    <xf numFmtId="0" fontId="14" fillId="0" borderId="66" xfId="0" applyFont="1" applyBorder="1" applyAlignment="1">
      <alignment horizontal="center" vertical="center"/>
    </xf>
    <xf numFmtId="0" fontId="0" fillId="0" borderId="67" xfId="0" applyBorder="1" applyAlignment="1">
      <alignment horizontal="center" vertical="center"/>
    </xf>
    <xf numFmtId="0" fontId="2" fillId="0" borderId="19" xfId="0" applyFont="1" applyBorder="1" applyAlignment="1">
      <alignment horizontal="center" vertical="center"/>
    </xf>
    <xf numFmtId="0" fontId="0" fillId="0" borderId="22" xfId="0" applyBorder="1" applyAlignment="1">
      <alignment horizontal="center" vertical="center"/>
    </xf>
    <xf numFmtId="0" fontId="2" fillId="0" borderId="10" xfId="0" applyFont="1" applyBorder="1" applyAlignment="1">
      <alignment horizontal="center" vertical="center"/>
    </xf>
    <xf numFmtId="0" fontId="0" fillId="0" borderId="28" xfId="0" applyBorder="1" applyAlignment="1">
      <alignment horizontal="center" vertical="center"/>
    </xf>
    <xf numFmtId="0" fontId="2" fillId="4" borderId="1" xfId="0" applyFont="1" applyFill="1" applyBorder="1" applyAlignment="1">
      <alignment horizontal="center" vertical="center"/>
    </xf>
    <xf numFmtId="0" fontId="0" fillId="4" borderId="7" xfId="0" applyFill="1" applyBorder="1" applyAlignment="1">
      <alignment horizontal="center" vertical="center"/>
    </xf>
    <xf numFmtId="0" fontId="2" fillId="0" borderId="37" xfId="0" applyFont="1" applyBorder="1" applyAlignment="1">
      <alignment horizontal="center" vertical="center"/>
    </xf>
    <xf numFmtId="0" fontId="0" fillId="0" borderId="38" xfId="0" applyBorder="1" applyAlignment="1">
      <alignment horizontal="center" vertical="center"/>
    </xf>
    <xf numFmtId="0" fontId="2" fillId="4" borderId="37" xfId="0" applyFont="1" applyFill="1" applyBorder="1" applyAlignment="1">
      <alignment horizontal="center" vertical="center"/>
    </xf>
    <xf numFmtId="0" fontId="2" fillId="0" borderId="11" xfId="0" applyFont="1" applyBorder="1" applyAlignment="1">
      <alignment horizontal="center" vertical="center"/>
    </xf>
    <xf numFmtId="57" fontId="2" fillId="0" borderId="4" xfId="0" applyNumberFormat="1" applyFont="1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2" fillId="4" borderId="2" xfId="0" applyFont="1" applyFill="1" applyBorder="1" applyAlignment="1">
      <alignment horizontal="center" vertical="center"/>
    </xf>
    <xf numFmtId="0" fontId="0" fillId="4" borderId="8" xfId="0" applyFill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2" fillId="2" borderId="0" xfId="0" applyFont="1" applyFill="1" applyAlignment="1">
      <alignment horizontal="center" vertical="center"/>
    </xf>
    <xf numFmtId="0" fontId="0" fillId="2" borderId="0" xfId="0" applyFill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2" fillId="9" borderId="3" xfId="0" applyFont="1" applyFill="1" applyBorder="1" applyAlignment="1">
      <alignment horizontal="center" vertical="center"/>
    </xf>
    <xf numFmtId="0" fontId="0" fillId="9" borderId="9" xfId="0" applyFill="1" applyBorder="1" applyAlignment="1">
      <alignment horizontal="center" vertical="center"/>
    </xf>
    <xf numFmtId="0" fontId="2" fillId="0" borderId="34" xfId="0" applyFont="1" applyBorder="1" applyAlignment="1">
      <alignment horizontal="center" vertical="center" wrapText="1"/>
    </xf>
    <xf numFmtId="0" fontId="2" fillId="0" borderId="35" xfId="0" applyFont="1" applyBorder="1" applyAlignment="1">
      <alignment horizontal="center" vertical="center"/>
    </xf>
    <xf numFmtId="0" fontId="0" fillId="0" borderId="17" xfId="0" applyBorder="1" applyAlignment="1">
      <alignment horizontal="center" vertical="center"/>
    </xf>
    <xf numFmtId="0" fontId="0" fillId="0" borderId="36" xfId="0" applyBorder="1" applyAlignment="1">
      <alignment horizontal="center" vertical="center"/>
    </xf>
    <xf numFmtId="0" fontId="2" fillId="0" borderId="37" xfId="0" applyFont="1" applyBorder="1" applyAlignment="1">
      <alignment horizontal="center" vertical="center" wrapText="1"/>
    </xf>
    <xf numFmtId="0" fontId="0" fillId="0" borderId="23" xfId="0" applyBorder="1" applyAlignment="1">
      <alignment horizontal="center" vertical="center"/>
    </xf>
    <xf numFmtId="0" fontId="2" fillId="9" borderId="27" xfId="0" applyFont="1" applyFill="1" applyBorder="1" applyAlignment="1">
      <alignment horizontal="center" vertical="center"/>
    </xf>
    <xf numFmtId="0" fontId="0" fillId="9" borderId="39" xfId="0" applyFill="1" applyBorder="1" applyAlignment="1">
      <alignment horizontal="center" vertical="center"/>
    </xf>
    <xf numFmtId="0" fontId="2" fillId="9" borderId="39" xfId="0" applyFont="1" applyFill="1" applyBorder="1" applyAlignment="1">
      <alignment horizontal="center" vertical="center"/>
    </xf>
    <xf numFmtId="0" fontId="2" fillId="0" borderId="34" xfId="0" applyFont="1" applyBorder="1" applyAlignment="1">
      <alignment horizontal="center" vertical="center"/>
    </xf>
    <xf numFmtId="0" fontId="2" fillId="9" borderId="2" xfId="0" applyFont="1" applyFill="1" applyBorder="1" applyAlignment="1">
      <alignment horizontal="center" vertical="center"/>
    </xf>
    <xf numFmtId="0" fontId="0" fillId="9" borderId="8" xfId="0" applyFill="1" applyBorder="1" applyAlignment="1">
      <alignment horizontal="center" vertical="center"/>
    </xf>
    <xf numFmtId="0" fontId="2" fillId="9" borderId="37" xfId="0" applyFont="1" applyFill="1" applyBorder="1" applyAlignment="1">
      <alignment horizontal="center" vertical="center"/>
    </xf>
    <xf numFmtId="0" fontId="0" fillId="9" borderId="38" xfId="0" applyFill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0" fillId="0" borderId="30" xfId="0" applyBorder="1" applyAlignment="1">
      <alignment horizontal="center" vertical="center"/>
    </xf>
    <xf numFmtId="0" fontId="0" fillId="9" borderId="31" xfId="0" applyFill="1" applyBorder="1" applyAlignment="1">
      <alignment horizontal="center" vertical="center"/>
    </xf>
    <xf numFmtId="0" fontId="2" fillId="9" borderId="23" xfId="0" applyFont="1" applyFill="1" applyBorder="1" applyAlignment="1">
      <alignment horizontal="center" vertical="center"/>
    </xf>
    <xf numFmtId="0" fontId="0" fillId="9" borderId="23" xfId="0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2" fillId="0" borderId="23" xfId="0" applyFont="1" applyBorder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uri="{EB79DEF2-80B8-43e5-95BD-54CBDDF9020C}">
      <x14:slicerStyles xmlns:x14="http://schemas.microsoft.com/office/spreadsheetml/2009/9/main" defaultSlicerStyle="SlicerStyleLight1"/>
    </ext>
    <ext uri="{9260A510-F301-46a8-8635-F512D64BE5F5}">
      <x15:timelineStyles xmlns:x15="http://schemas.microsoft.com/office/spreadsheetml/2010/11/main" defaultTimelineStyle="TimeSlicerStyleLight1"/>
    </ext>
  </extLst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10" Type="http://schemas.openxmlformats.org/officeDocument/2006/relationships/worksheet" Target="worksheets/sheet10.xml" /><Relationship Id="rId11" Type="http://schemas.openxmlformats.org/officeDocument/2006/relationships/worksheet" Target="worksheets/sheet11.xml" /><Relationship Id="rId12" Type="http://schemas.openxmlformats.org/officeDocument/2006/relationships/worksheet" Target="worksheets/sheet12.xml" /><Relationship Id="rId13" Type="http://schemas.openxmlformats.org/officeDocument/2006/relationships/worksheet" Target="worksheets/sheet13.xml" /><Relationship Id="rId14" Type="http://schemas.openxmlformats.org/officeDocument/2006/relationships/theme" Target="theme/theme1.xml" /><Relationship Id="rId15" Type="http://schemas.openxmlformats.org/officeDocument/2006/relationships/styles" Target="styles.xml" /><Relationship Id="rId16" Type="http://schemas.openxmlformats.org/officeDocument/2006/relationships/sharedStrings" Target="sharedStrings.xml" /><Relationship Id="rId17" Type="http://schemas.openxmlformats.org/officeDocument/2006/relationships/calcChain" Target="calcChain.xml" /><Relationship Id="rId2" Type="http://schemas.openxmlformats.org/officeDocument/2006/relationships/worksheet" Target="worksheets/sheet2.xml" /><Relationship Id="rId3" Type="http://schemas.openxmlformats.org/officeDocument/2006/relationships/worksheet" Target="worksheets/sheet3.xml" /><Relationship Id="rId4" Type="http://schemas.openxmlformats.org/officeDocument/2006/relationships/worksheet" Target="worksheets/sheet4.xml" /><Relationship Id="rId5" Type="http://schemas.openxmlformats.org/officeDocument/2006/relationships/worksheet" Target="worksheets/sheet5.xml" /><Relationship Id="rId6" Type="http://schemas.openxmlformats.org/officeDocument/2006/relationships/worksheet" Target="worksheets/sheet6.xml" /><Relationship Id="rId7" Type="http://schemas.openxmlformats.org/officeDocument/2006/relationships/worksheet" Target="worksheets/sheet7.xml" /><Relationship Id="rId8" Type="http://schemas.openxmlformats.org/officeDocument/2006/relationships/worksheet" Target="worksheets/sheet8.xml" /><Relationship Id="rId9" Type="http://schemas.openxmlformats.org/officeDocument/2006/relationships/worksheet" Target="worksheets/sheet9.xml" /></Relationships>
</file>

<file path=xl/drawings/_rels/drawing1.xml.rels>&#65279;<?xml version="1.0" encoding="utf-8"?><Relationships xmlns="http://schemas.openxmlformats.org/package/2006/relationships"><Relationship Id="rId1" Type="http://schemas.openxmlformats.org/officeDocument/2006/relationships/image" Target="../media/image1.png" 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</xdr:row>
      <xdr:rowOff>19050</xdr:rowOff>
    </xdr:from>
    <xdr:to>
      <xdr:col>15</xdr:col>
      <xdr:colOff>579752</xdr:colOff>
      <xdr:row>33</xdr:row>
      <xdr:rowOff>56421</xdr:rowOff>
    </xdr:to>
    <xdr:pic>
      <xdr:nvPicPr>
        <xdr:cNvPr id="2" name="图片 1">
          <a:extLst>
            <a:ext uri="{FF2B5EF4-FFF2-40B4-BE49-F238E27FC236}">
              <a16:creationId xmlns:a16="http://schemas.microsoft.com/office/drawing/2014/main" id="{69FC6C3D-987A-34BE-8B30-45568DED9DE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40970" y="198120"/>
          <a:ext cx="9967592" cy="5767611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5</xdr:row>
      <xdr:rowOff>0</xdr:rowOff>
    </xdr:from>
    <xdr:to>
      <xdr:col>2</xdr:col>
      <xdr:colOff>0</xdr:colOff>
      <xdr:row>6</xdr:row>
      <xdr:rowOff>0</xdr:rowOff>
    </xdr:to>
    <xdr:cxnSp macro="">
      <xdr:nvCxnSpPr>
        <xdr:cNvPr id="6" name="直接连接符 5">
          <a:extLst>
            <a:ext uri="{FF2B5EF4-FFF2-40B4-BE49-F238E27FC236}">
              <a16:creationId xmlns:a16="http://schemas.microsoft.com/office/drawing/2014/main" id="{B2F71291-1F75-4376-A4AC-6EA46708AB7D}"/>
            </a:ext>
          </a:extLst>
        </xdr:cNvPr>
        <xdr:cNvCxnSpPr/>
      </xdr:nvCxnSpPr>
      <xdr:spPr>
        <a:xfrm>
          <a:off x="200025" y="4191000"/>
          <a:ext cx="1543050" cy="38100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9525</xdr:colOff>
      <xdr:row>4</xdr:row>
      <xdr:rowOff>19050</xdr:rowOff>
    </xdr:from>
    <xdr:to>
      <xdr:col>2</xdr:col>
      <xdr:colOff>0</xdr:colOff>
      <xdr:row>6</xdr:row>
      <xdr:rowOff>9525</xdr:rowOff>
    </xdr:to>
    <xdr:cxnSp macro="">
      <xdr:nvCxnSpPr>
        <xdr:cNvPr id="5" name="直接连接符 4">
          <a:extLst>
            <a:ext uri="{FF2B5EF4-FFF2-40B4-BE49-F238E27FC236}">
              <a16:creationId xmlns:a16="http://schemas.microsoft.com/office/drawing/2014/main" id="{27A4DC0B-C9A8-4E24-FBF6-5E83BB9F00E9}"/>
            </a:ext>
          </a:extLst>
        </xdr:cNvPr>
        <xdr:cNvCxnSpPr/>
      </xdr:nvCxnSpPr>
      <xdr:spPr>
        <a:xfrm>
          <a:off x="1381125" y="1371600"/>
          <a:ext cx="952500" cy="68580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&#65279;<?xml version="1.0" encoding="utf-8"?><Relationships xmlns="http://schemas.openxmlformats.org/package/2006/relationships"><Relationship Id="rId1" Type="http://schemas.openxmlformats.org/officeDocument/2006/relationships/drawing" Target="../drawings/drawing1.xml" /></Relationships>
</file>

<file path=xl/worksheets/_rels/sheet2.xml.rels>&#65279;<?xml version="1.0" encoding="utf-8"?><Relationships xmlns="http://schemas.openxmlformats.org/package/2006/relationships"><Relationship Id="rId1" Type="http://schemas.openxmlformats.org/officeDocument/2006/relationships/vmlDrawing" Target="../drawings/vmlDrawing1.vml" /><Relationship Id="rId2" Type="http://schemas.openxmlformats.org/officeDocument/2006/relationships/comments" Target="../comments1.xml" /></Relationships>
</file>

<file path=xl/worksheets/_rels/sheet3.xml.rels>&#65279;<?xml version="1.0" encoding="utf-8"?><Relationships xmlns="http://schemas.openxmlformats.org/package/2006/relationships"><Relationship Id="rId1" Type="http://schemas.openxmlformats.org/officeDocument/2006/relationships/printerSettings" Target="../printerSettings/printerSettings1.bin" /><Relationship Id="rId2" Type="http://schemas.openxmlformats.org/officeDocument/2006/relationships/vmlDrawing" Target="../drawings/vmlDrawing2.vml" /><Relationship Id="rId3" Type="http://schemas.openxmlformats.org/officeDocument/2006/relationships/comments" Target="../comments2.xml" /></Relationships>
</file>

<file path=xl/worksheets/_rels/sheet4.xml.rels>&#65279;<?xml version="1.0" encoding="utf-8"?><Relationships xmlns="http://schemas.openxmlformats.org/package/2006/relationships"><Relationship Id="rId1" Type="http://schemas.openxmlformats.org/officeDocument/2006/relationships/vmlDrawing" Target="../drawings/vmlDrawing3.vml" /><Relationship Id="rId2" Type="http://schemas.openxmlformats.org/officeDocument/2006/relationships/comments" Target="../comments3.xml" /></Relationships>
</file>

<file path=xl/worksheets/_rels/sheet5.xml.rels>&#65279;<?xml version="1.0" encoding="utf-8"?><Relationships xmlns="http://schemas.openxmlformats.org/package/2006/relationships"><Relationship Id="rId1" Type="http://schemas.openxmlformats.org/officeDocument/2006/relationships/printerSettings" Target="../printerSettings/printerSettings2.bin" /><Relationship Id="rId2" Type="http://schemas.openxmlformats.org/officeDocument/2006/relationships/vmlDrawing" Target="../drawings/vmlDrawing4.vml" /><Relationship Id="rId3" Type="http://schemas.openxmlformats.org/officeDocument/2006/relationships/comments" Target="../comments4.xml" /></Relationships>
</file>

<file path=xl/worksheets/_rels/sheet6.xml.rels>&#65279;<?xml version="1.0" encoding="utf-8"?><Relationships xmlns="http://schemas.openxmlformats.org/package/2006/relationships"><Relationship Id="rId1" Type="http://schemas.openxmlformats.org/officeDocument/2006/relationships/vmlDrawing" Target="../drawings/vmlDrawing5.vml" /><Relationship Id="rId2" Type="http://schemas.openxmlformats.org/officeDocument/2006/relationships/comments" Target="../comments5.xml" /></Relationships>
</file>

<file path=xl/worksheets/_rels/sheet7.xml.rels>&#65279;<?xml version="1.0" encoding="utf-8"?><Relationships xmlns="http://schemas.openxmlformats.org/package/2006/relationships"><Relationship Id="rId1" Type="http://schemas.openxmlformats.org/officeDocument/2006/relationships/vmlDrawing" Target="../drawings/vmlDrawing6.vml" /><Relationship Id="rId2" Type="http://schemas.openxmlformats.org/officeDocument/2006/relationships/comments" Target="../comments6.xml" /></Relationships>
</file>

<file path=xl/worksheets/_rels/sheet8.xml.rels>&#65279;<?xml version="1.0" encoding="utf-8"?><Relationships xmlns="http://schemas.openxmlformats.org/package/2006/relationships"><Relationship Id="rId1" Type="http://schemas.openxmlformats.org/officeDocument/2006/relationships/printerSettings" Target="../printerSettings/printerSettings3.bin" /></Relationships>
</file>

<file path=xl/worksheets/_rels/sheet9.xml.rels>&#65279;<?xml version="1.0" encoding="utf-8"?><Relationships xmlns="http://schemas.openxmlformats.org/package/2006/relationships"><Relationship Id="rId1" Type="http://schemas.openxmlformats.org/officeDocument/2006/relationships/vmlDrawing" Target="../drawings/vmlDrawing7.vml" /><Relationship Id="rId2" Type="http://schemas.openxmlformats.org/officeDocument/2006/relationships/comments" Target="../comments7.xml" /></Relationships>
</file>

<file path=xl/worksheets/_rels/sheet10.xml.rels>&#65279;<?xml version="1.0" encoding="utf-8"?><Relationships xmlns="http://schemas.openxmlformats.org/package/2006/relationships"><Relationship Id="rId1" Type="http://schemas.openxmlformats.org/officeDocument/2006/relationships/printerSettings" Target="../printerSettings/printerSettings4.bin" /><Relationship Id="rId2" Type="http://schemas.openxmlformats.org/officeDocument/2006/relationships/vmlDrawing" Target="../drawings/vmlDrawing8.vml" /><Relationship Id="rId3" Type="http://schemas.openxmlformats.org/officeDocument/2006/relationships/comments" Target="../comments8.xml" /></Relationships>
</file>

<file path=xl/worksheets/_rels/sheet11.xml.rels>&#65279;<?xml version="1.0" encoding="utf-8"?><Relationships xmlns="http://schemas.openxmlformats.org/package/2006/relationships"><Relationship Id="rId1" Type="http://schemas.openxmlformats.org/officeDocument/2006/relationships/drawing" Target="../drawings/drawing2.xml" /><Relationship Id="rId2" Type="http://schemas.openxmlformats.org/officeDocument/2006/relationships/vmlDrawing" Target="../drawings/vmlDrawing9.vml" /><Relationship Id="rId3" Type="http://schemas.openxmlformats.org/officeDocument/2006/relationships/comments" Target="../comments9.xml" /></Relationships>
</file>

<file path=xl/worksheets/_rels/sheet12.xml.rels>&#65279;<?xml version="1.0" encoding="utf-8"?><Relationships xmlns="http://schemas.openxmlformats.org/package/2006/relationships"><Relationship Id="rId1" Type="http://schemas.openxmlformats.org/officeDocument/2006/relationships/drawing" Target="../drawings/drawing3.xml" /><Relationship Id="rId2" Type="http://schemas.openxmlformats.org/officeDocument/2006/relationships/vmlDrawing" Target="../drawings/vmlDrawing10.vml" /><Relationship Id="rId3" Type="http://schemas.openxmlformats.org/officeDocument/2006/relationships/comments" Target="../comments10.xml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topLeftCell="A4" workbookViewId="0">
      <selection activeCell="R20" sqref="R20"/>
    </sheetView>
  </sheetViews>
  <sheetFormatPr defaultRowHeight="13.9"/>
  <cols>
    <col min="1" max="1" width="1.86328125" customWidth="1"/>
  </cols>
  <sheetData/>
  <phoneticPr fontId="1" type="noConversion"/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B2:L18"/>
  <sheetViews>
    <sheetView workbookViewId="0">
      <selection activeCell="A8" sqref="A8:XFD8"/>
    </sheetView>
  </sheetViews>
  <sheetFormatPr defaultColWidth="9" defaultRowHeight="12.75"/>
  <cols>
    <col min="1" max="1" width="1.59765625" style="2" customWidth="1"/>
    <col min="2" max="10" width="9" style="2"/>
  </cols>
  <sheetData>
    <row r="2" spans="2:11" ht="27.75" customHeight="1">
      <c r="B2" s="176" t="s">
        <v>170</v>
      </c>
      <c r="C2" s="176"/>
      <c r="D2" s="176"/>
      <c r="E2" s="176"/>
      <c r="F2" s="176"/>
      <c r="G2" s="176"/>
      <c r="H2" s="176"/>
      <c r="I2" s="176"/>
      <c r="J2" s="176"/>
      <c r="K2" s="176"/>
    </row>
    <row r="3" spans="2:11" ht="15" customHeight="1">
      <c r="B3" s="174"/>
      <c r="C3" s="175"/>
      <c r="D3" s="175"/>
      <c r="E3" s="175"/>
      <c r="F3" s="175"/>
      <c r="G3" s="175"/>
      <c r="H3" s="175"/>
      <c r="I3" s="175"/>
      <c r="J3" s="175"/>
      <c r="K3" s="175"/>
    </row>
    <row r="4" spans="2:11" ht="30" customHeight="1">
      <c r="B4" s="13" t="s">
        <v>16</v>
      </c>
      <c r="C4" s="14" t="s">
        <v>7</v>
      </c>
      <c r="D4" s="14" t="s">
        <v>8</v>
      </c>
      <c r="E4" s="14" t="s">
        <v>3</v>
      </c>
      <c r="F4" s="14" t="s">
        <v>9</v>
      </c>
      <c r="G4" s="14" t="s">
        <v>4</v>
      </c>
      <c r="H4" s="14" t="s">
        <v>2</v>
      </c>
      <c r="I4" s="14" t="s">
        <v>6</v>
      </c>
      <c r="J4" s="15" t="s">
        <v>20</v>
      </c>
      <c r="K4" s="25" t="s">
        <v>5</v>
      </c>
    </row>
    <row r="5" spans="2:11" ht="25.05" customHeight="1">
      <c r="B5" s="10" t="s">
        <v>1</v>
      </c>
      <c r="C5" s="11" t="s">
        <v>11</v>
      </c>
      <c r="D5" s="11" t="s">
        <v>10</v>
      </c>
      <c r="E5" s="11" t="s">
        <v>10</v>
      </c>
      <c r="F5" s="11" t="s">
        <v>12</v>
      </c>
      <c r="G5" s="11" t="s">
        <v>15</v>
      </c>
      <c r="H5" s="11" t="s">
        <v>13</v>
      </c>
      <c r="I5" s="11" t="s">
        <v>13</v>
      </c>
      <c r="J5" s="12" t="s">
        <v>14</v>
      </c>
      <c r="K5" s="26" t="s">
        <v>13</v>
      </c>
    </row>
    <row r="6" spans="2:11" ht="25.05" customHeight="1">
      <c r="B6" s="16" t="s">
        <v>0</v>
      </c>
      <c r="C6" s="17">
        <v>21.7</v>
      </c>
      <c r="D6" s="17">
        <v>1.93</v>
      </c>
      <c r="E6" s="17">
        <v>0.33</v>
      </c>
      <c r="F6" s="19">
        <v>0.51500000000000001</v>
      </c>
      <c r="G6" s="17">
        <v>1.2</v>
      </c>
      <c r="H6" s="22">
        <v>170</v>
      </c>
      <c r="I6" s="31">
        <v>183</v>
      </c>
      <c r="J6" s="33">
        <v>1</v>
      </c>
      <c r="K6" s="32">
        <v>150</v>
      </c>
    </row>
    <row r="7" spans="2:11" ht="25.05" customHeight="1">
      <c r="B7" s="4" t="s">
        <v>17</v>
      </c>
      <c r="C7" s="5">
        <v>0.514999508857727</v>
      </c>
      <c r="D7" s="5">
        <v>7.713039667578414E-05</v>
      </c>
      <c r="E7" s="5">
        <v>0</v>
      </c>
      <c r="F7" s="20">
        <v>3.2776570320129395</v>
      </c>
      <c r="G7" s="5">
        <v>-0.009924772195518017</v>
      </c>
      <c r="H7" s="23">
        <v>12.079122543334961</v>
      </c>
      <c r="I7" s="5">
        <v>0.514999508857727</v>
      </c>
      <c r="J7" s="27"/>
      <c r="K7" s="29"/>
    </row>
    <row r="8" spans="2:11" ht="25.05" customHeight="1">
      <c r="B8" s="4" t="s">
        <v>18</v>
      </c>
      <c r="C8" s="5">
        <v>0.514999508857727</v>
      </c>
      <c r="D8" s="5">
        <v>7.713039667578414E-05</v>
      </c>
      <c r="E8" s="5">
        <v>0</v>
      </c>
      <c r="F8" s="20">
        <v>3.2776570320129395</v>
      </c>
      <c r="G8" s="5">
        <v>-0.009924772195518017</v>
      </c>
      <c r="H8" s="23">
        <v>12.079122543334961</v>
      </c>
      <c r="I8" s="5">
        <v>0.514999508857727</v>
      </c>
      <c r="J8" s="27"/>
      <c r="K8" s="29"/>
    </row>
    <row r="9" spans="2:11" ht="25.05" customHeight="1">
      <c r="B9" s="7" t="s">
        <v>19</v>
      </c>
      <c r="C9" s="8">
        <v>0.514999508857727</v>
      </c>
      <c r="D9" s="8">
        <v>7.713039667578414E-05</v>
      </c>
      <c r="E9" s="8">
        <v>0</v>
      </c>
      <c r="F9" s="21">
        <v>3.2776570320129395</v>
      </c>
      <c r="G9" s="8">
        <v>-0.009924772195518017</v>
      </c>
      <c r="H9" s="24">
        <v>12.079122543334961</v>
      </c>
      <c r="I9" s="8">
        <v>0.514999508857727</v>
      </c>
      <c r="J9" s="28"/>
      <c r="K9" s="30"/>
    </row>
    <row r="10" spans="2:11" ht="20.1" customHeight="1">
      <c r="B10" s="2" t="s">
        <v>244</v>
      </c>
      <c r="C10" s="84" t="s">
        <v>178</v>
      </c>
      <c r="D10" s="84" t="s">
        <v>179</v>
      </c>
      <c r="E10" s="84" t="s">
        <v>180</v>
      </c>
      <c r="F10" s="84" t="s">
        <v>181</v>
      </c>
      <c r="G10" s="83" t="s">
        <v>182</v>
      </c>
      <c r="H10" s="83" t="s">
        <v>183</v>
      </c>
      <c r="I10" s="83" t="s">
        <v>184</v>
      </c>
      <c r="J10" s="83" t="s">
        <v>185</v>
      </c>
      <c r="K10" s="83" t="s">
        <v>186</v>
      </c>
    </row>
    <row r="11" spans="2:11" ht="20.1" customHeight="1">
      <c r="C11" s="2" t="s">
        <v>242</v>
      </c>
      <c r="D11" s="2" t="s">
        <v>242</v>
      </c>
      <c r="E11" s="2" t="s">
        <v>243</v>
      </c>
      <c r="F11" s="2" t="s">
        <v>243</v>
      </c>
      <c r="G11" s="2" t="s">
        <v>243</v>
      </c>
      <c r="H11" s="2" t="s">
        <v>243</v>
      </c>
      <c r="I11" s="2" t="s">
        <v>243</v>
      </c>
      <c r="J11" s="2" t="s">
        <v>243</v>
      </c>
      <c r="K11" s="2" t="s">
        <v>243</v>
      </c>
    </row>
    <row r="12" spans="2:11" ht="20.1" customHeight="1"/>
    <row r="18" spans="3:3">
      <c r="C18" s="2" t="s">
        <v>241</v>
      </c>
    </row>
  </sheetData>
  <mergeCells count="2">
    <mergeCell ref="B3:K3"/>
    <mergeCell ref="B2:K2"/>
  </mergeCells>
  <phoneticPr fontId="1" type="noConversion"/>
  <pageMargins left="0.7" right="0.7" top="0.75" bottom="0.75" header="0.3" footer="0.3"/>
  <legacy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B2:I12"/>
  <sheetViews>
    <sheetView workbookViewId="0">
      <selection activeCell="J9" sqref="J9"/>
    </sheetView>
  </sheetViews>
  <sheetFormatPr defaultColWidth="9" defaultRowHeight="12.75"/>
  <cols>
    <col min="1" max="1" width="3" style="2" customWidth="1"/>
    <col min="2" max="7" width="11.265625" style="2" customWidth="1"/>
    <col min="8" max="8" width="9.46484375" style="2" customWidth="1"/>
  </cols>
  <sheetData>
    <row r="2" spans="2:8" ht="17.65">
      <c r="B2" s="176" t="s">
        <v>172</v>
      </c>
      <c r="C2" s="176"/>
      <c r="D2" s="176"/>
      <c r="E2" s="176"/>
      <c r="F2" s="176"/>
      <c r="G2" s="176"/>
      <c r="H2" s="176"/>
    </row>
    <row r="4" spans="2:8" ht="25.25" customHeight="1">
      <c r="B4" s="3" t="s">
        <v>30</v>
      </c>
      <c r="C4" s="177" t="s">
        <v>26</v>
      </c>
      <c r="D4" s="178"/>
      <c r="E4" s="179" t="s">
        <v>27</v>
      </c>
      <c r="F4" s="180"/>
      <c r="G4" s="92" t="s">
        <v>31</v>
      </c>
    </row>
    <row r="5" spans="2:8" ht="25.5">
      <c r="B5" s="85"/>
      <c r="C5" s="86" t="s">
        <v>24</v>
      </c>
      <c r="D5" s="86" t="s">
        <v>25</v>
      </c>
      <c r="E5" s="86" t="s">
        <v>28</v>
      </c>
      <c r="F5" s="86" t="s">
        <v>29</v>
      </c>
      <c r="G5" s="93" t="s">
        <v>32</v>
      </c>
    </row>
    <row r="6" spans="2:8" ht="16.5" customHeight="1">
      <c r="B6" s="87" t="s">
        <v>0</v>
      </c>
      <c r="C6" s="51">
        <v>0.9000005125999451</v>
      </c>
      <c r="D6" s="51">
        <v>0.9100018739700317</v>
      </c>
      <c r="E6" s="51">
        <v>0.10000014305114746</v>
      </c>
      <c r="F6" s="51">
        <v>14</v>
      </c>
      <c r="G6" s="94">
        <v>7</v>
      </c>
    </row>
    <row r="7" spans="2:8" ht="16.5" customHeight="1">
      <c r="B7" s="3" t="s">
        <v>34</v>
      </c>
      <c r="C7" s="38">
        <v>0.9000004529953003</v>
      </c>
      <c r="D7" s="38">
        <v>0.9100018739700317</v>
      </c>
      <c r="E7" s="38">
        <v>0.10000015050172806</v>
      </c>
      <c r="F7" s="38">
        <v>14</v>
      </c>
      <c r="G7" s="41">
        <v>7</v>
      </c>
    </row>
    <row r="8" spans="2:8" ht="16.5" customHeight="1">
      <c r="B8" s="3" t="s">
        <v>35</v>
      </c>
      <c r="C8" s="38">
        <v>0.899999737739563</v>
      </c>
      <c r="D8" s="38">
        <v>0.9099987745285034</v>
      </c>
      <c r="E8" s="38">
        <v>0.099999338388443</v>
      </c>
      <c r="F8" s="38">
        <v>14</v>
      </c>
      <c r="G8" s="41">
        <v>7</v>
      </c>
    </row>
    <row r="9" spans="2:8" ht="16.5" customHeight="1">
      <c r="B9" s="3" t="s">
        <v>187</v>
      </c>
      <c r="C9" s="38"/>
      <c r="D9" s="38"/>
      <c r="E9" s="38"/>
      <c r="F9" s="38"/>
      <c r="G9" s="41"/>
    </row>
    <row r="10" spans="2:8" ht="16.5" customHeight="1">
      <c r="B10" s="92" t="s">
        <v>36</v>
      </c>
      <c r="C10" s="41">
        <f>C8-C7</f>
        <v>0</v>
      </c>
      <c r="D10" s="41">
        <f>D8-D7</f>
        <v>0</v>
      </c>
      <c r="E10" s="41">
        <f>E8-E7</f>
        <v>0</v>
      </c>
      <c r="F10" s="41">
        <f>F8-F7</f>
        <v>0</v>
      </c>
      <c r="G10" s="41">
        <f>G8-G7</f>
        <v>0</v>
      </c>
    </row>
    <row r="11" spans="2:8" ht="13.9">
      <c r="B11" s="1" t="s">
        <v>245</v>
      </c>
      <c r="C11" s="1" t="s">
        <v>246</v>
      </c>
      <c r="D11" s="1" t="s">
        <v>247</v>
      </c>
      <c r="E11" s="1" t="s">
        <v>248</v>
      </c>
      <c r="F11" s="1" t="s">
        <v>249</v>
      </c>
      <c r="G11" s="147" t="s">
        <v>251</v>
      </c>
    </row>
    <row r="12" spans="2:8">
      <c r="C12" s="2" t="s">
        <v>243</v>
      </c>
      <c r="D12" s="2" t="s">
        <v>243</v>
      </c>
      <c r="E12" s="2" t="s">
        <v>243</v>
      </c>
      <c r="F12" s="2" t="s">
        <v>243</v>
      </c>
      <c r="G12" s="2" t="s">
        <v>243</v>
      </c>
    </row>
  </sheetData>
  <mergeCells count="3">
    <mergeCell ref="B2:H2"/>
    <mergeCell ref="C4:D4"/>
    <mergeCell ref="E4:F4"/>
  </mergeCells>
  <phoneticPr fontId="1" type="noConversion"/>
  <pageMargins left="0.7" right="0.7" top="0.75" bottom="0.75" header="0.3" footer="0.3"/>
  <pageSetup paperSize="9" orientation="portrait" verticalDpi="0" r:id="rId1"/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B2:K13"/>
  <sheetViews>
    <sheetView workbookViewId="0">
      <selection activeCell="B12" sqref="B12"/>
    </sheetView>
  </sheetViews>
  <sheetFormatPr defaultColWidth="9" defaultRowHeight="17.1" customHeight="1"/>
  <cols>
    <col min="1" max="1" width="2.33203125" style="2" customWidth="1"/>
    <col min="2" max="2" width="9.1328125" style="2" bestFit="1" customWidth="1"/>
    <col min="3" max="9" width="10.73046875" style="2" customWidth="1"/>
  </cols>
  <sheetData>
    <row r="2" spans="2:10" ht="17.1" customHeight="1">
      <c r="B2" s="176" t="s">
        <v>171</v>
      </c>
      <c r="C2" s="176"/>
      <c r="D2" s="176"/>
      <c r="E2" s="176"/>
      <c r="F2" s="176"/>
      <c r="G2" s="176"/>
      <c r="H2" s="176"/>
      <c r="I2" s="176"/>
    </row>
    <row r="3" spans="2:10" ht="17.1" customHeight="1">
      <c r="B3" s="174"/>
      <c r="C3" s="175"/>
      <c r="D3" s="175"/>
      <c r="E3" s="175"/>
      <c r="F3" s="175"/>
      <c r="G3" s="175"/>
      <c r="H3" s="175"/>
      <c r="I3" s="175"/>
    </row>
    <row r="4" spans="2:10" ht="17.1" customHeight="1">
      <c r="B4" s="42" t="s">
        <v>39</v>
      </c>
      <c r="C4" s="43" t="s">
        <v>38</v>
      </c>
      <c r="D4" s="43" t="s">
        <v>41</v>
      </c>
      <c r="E4" s="43" t="s">
        <v>42</v>
      </c>
      <c r="F4" s="43" t="s">
        <v>43</v>
      </c>
      <c r="G4" s="43" t="s">
        <v>44</v>
      </c>
      <c r="H4" s="43" t="s">
        <v>48</v>
      </c>
      <c r="I4" s="44" t="s">
        <v>49</v>
      </c>
    </row>
    <row r="5" spans="2:10" ht="17.1" customHeight="1">
      <c r="B5" s="4" t="s">
        <v>40</v>
      </c>
      <c r="C5" s="5" t="s">
        <v>37</v>
      </c>
      <c r="D5" s="5" t="s">
        <v>37</v>
      </c>
      <c r="E5" s="5" t="s">
        <v>37</v>
      </c>
      <c r="F5" s="5" t="s">
        <v>37</v>
      </c>
      <c r="G5" s="5" t="s">
        <v>12</v>
      </c>
      <c r="H5" s="5" t="s">
        <v>15</v>
      </c>
      <c r="I5" s="6" t="s">
        <v>13</v>
      </c>
    </row>
    <row r="6" spans="2:10" ht="17.1" customHeight="1">
      <c r="B6" s="16" t="s">
        <v>45</v>
      </c>
      <c r="C6" s="31" t="s">
        <v>51</v>
      </c>
      <c r="D6" s="31" t="s">
        <v>52</v>
      </c>
      <c r="E6" s="31" t="s">
        <v>53</v>
      </c>
      <c r="F6" s="31" t="s">
        <v>54</v>
      </c>
      <c r="G6" s="31">
        <v>9.5</v>
      </c>
      <c r="H6" s="31" t="s">
        <v>12</v>
      </c>
      <c r="I6" s="50" t="s">
        <v>12</v>
      </c>
    </row>
    <row r="7" spans="2:10" ht="17.1" customHeight="1">
      <c r="B7" s="4" t="s">
        <v>46</v>
      </c>
      <c r="C7" s="5">
        <v>11</v>
      </c>
      <c r="D7" s="5">
        <v>12</v>
      </c>
      <c r="E7" s="5">
        <v>13</v>
      </c>
      <c r="F7" s="5">
        <v>14</v>
      </c>
      <c r="G7" s="5">
        <v>5</v>
      </c>
      <c r="H7" s="5">
        <v>-0.020216161385178566</v>
      </c>
      <c r="I7" s="6">
        <v>14.224276542663574</v>
      </c>
    </row>
    <row r="8" spans="2:10" ht="17.1" customHeight="1">
      <c r="B8" s="4" t="s">
        <v>34</v>
      </c>
      <c r="C8" s="5">
        <v>11</v>
      </c>
      <c r="D8" s="5">
        <v>12</v>
      </c>
      <c r="E8" s="5">
        <v>13</v>
      </c>
      <c r="F8" s="5">
        <v>14</v>
      </c>
      <c r="G8" s="5">
        <v>5</v>
      </c>
      <c r="H8" s="5">
        <v>-0.020216161385178566</v>
      </c>
      <c r="I8" s="6">
        <v>14.224276542663574</v>
      </c>
    </row>
    <row r="9" spans="2:10" ht="17.1" customHeight="1">
      <c r="B9" s="4" t="s">
        <v>35</v>
      </c>
      <c r="C9" s="5">
        <v>11</v>
      </c>
      <c r="D9" s="5">
        <v>12</v>
      </c>
      <c r="E9" s="5">
        <v>13</v>
      </c>
      <c r="F9" s="5">
        <v>14</v>
      </c>
      <c r="G9" s="5">
        <v>5</v>
      </c>
      <c r="H9" s="5">
        <v>-0.020216161385178566</v>
      </c>
      <c r="I9" s="6">
        <v>14.224276542663574</v>
      </c>
    </row>
    <row r="10" spans="2:10" ht="17.1" customHeight="1">
      <c r="B10" s="46" t="s">
        <v>47</v>
      </c>
      <c r="C10" s="47">
        <v>41118</v>
      </c>
      <c r="D10" s="47">
        <v>1104</v>
      </c>
      <c r="E10" s="47">
        <v>3571</v>
      </c>
      <c r="F10" s="47">
        <v>80</v>
      </c>
      <c r="G10" s="47">
        <v>9.36</v>
      </c>
      <c r="H10" s="48" t="s">
        <v>12</v>
      </c>
      <c r="I10" s="49" t="s">
        <v>12</v>
      </c>
    </row>
    <row r="11" spans="2:10" ht="17.1" customHeight="1">
      <c r="B11" s="181" t="s">
        <v>50</v>
      </c>
      <c r="C11" s="182"/>
      <c r="D11" s="182"/>
      <c r="E11" s="182"/>
      <c r="F11" s="182"/>
      <c r="G11" s="182"/>
      <c r="H11" s="182"/>
      <c r="I11" s="183"/>
    </row>
    <row r="12" spans="2:10" ht="17.1" customHeight="1">
      <c r="B12" s="1" t="s">
        <v>245</v>
      </c>
      <c r="C12" s="1" t="s">
        <v>252</v>
      </c>
      <c r="D12" s="1" t="s">
        <v>253</v>
      </c>
      <c r="E12" s="1" t="s">
        <v>254</v>
      </c>
      <c r="F12" s="1" t="s">
        <v>255</v>
      </c>
      <c r="G12" s="1" t="s">
        <v>256</v>
      </c>
    </row>
    <row r="13" spans="2:10" ht="17.1" customHeight="1">
      <c r="H13" s="2" t="s">
        <v>258</v>
      </c>
      <c r="I13" s="2" t="s">
        <v>259</v>
      </c>
      <c r="J13" s="2" t="s">
        <v>257</v>
      </c>
    </row>
  </sheetData>
  <mergeCells count="3">
    <mergeCell ref="B3:I3"/>
    <mergeCell ref="B11:I11"/>
    <mergeCell ref="B2:I2"/>
  </mergeCells>
  <phoneticPr fontId="1" type="noConversion"/>
  <pageMargins left="0.7" right="0.7" top="0.75" bottom="0.75" header="0.3" footer="0.3"/>
  <legacy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B2:K18"/>
  <sheetViews>
    <sheetView zoomScale="115" zoomScaleNormal="115" workbookViewId="0">
      <selection activeCell="I10" sqref="I10:J10"/>
    </sheetView>
  </sheetViews>
  <sheetFormatPr defaultColWidth="9" defaultRowHeight="12.75"/>
  <cols>
    <col min="1" max="1" width="1.73046875" style="2" customWidth="1"/>
    <col min="2" max="3" width="9.46484375" style="2" bestFit="1" customWidth="1"/>
    <col min="4" max="5" width="7.796875" style="2" bestFit="1" customWidth="1"/>
    <col min="6" max="7" width="9.46484375" style="2" bestFit="1" customWidth="1"/>
    <col min="8" max="9" width="7.796875" style="2" bestFit="1" customWidth="1"/>
    <col min="10" max="10" width="9.46484375" style="2" bestFit="1" customWidth="1"/>
  </cols>
  <sheetData>
    <row r="2" spans="2:10" ht="30" customHeight="1">
      <c r="B2" s="176" t="s">
        <v>173</v>
      </c>
      <c r="C2" s="176"/>
      <c r="D2" s="176"/>
      <c r="E2" s="176"/>
      <c r="F2" s="176"/>
    </row>
    <row r="3" spans="2:10" ht="15" customHeight="1">
      <c r="B3" s="174"/>
      <c r="C3" s="175"/>
      <c r="D3" s="175"/>
      <c r="E3" s="175"/>
      <c r="F3" s="175"/>
    </row>
    <row r="4" spans="2:10" ht="25.05" customHeight="1">
      <c r="B4" s="189" t="s">
        <v>55</v>
      </c>
      <c r="C4" s="184" t="s">
        <v>188</v>
      </c>
      <c r="D4" s="185"/>
      <c r="E4" s="185"/>
      <c r="F4" s="186"/>
      <c r="G4" s="187" t="s">
        <v>189</v>
      </c>
      <c r="H4" s="187"/>
      <c r="I4" s="187"/>
      <c r="J4" s="188"/>
    </row>
    <row r="5" spans="2:10" ht="25.05" customHeight="1">
      <c r="B5" s="190"/>
      <c r="C5" s="100" t="s">
        <v>21</v>
      </c>
      <c r="D5" s="100" t="s">
        <v>57</v>
      </c>
      <c r="E5" s="100" t="s">
        <v>58</v>
      </c>
      <c r="F5" s="100" t="s">
        <v>59</v>
      </c>
      <c r="G5" s="100" t="s">
        <v>21</v>
      </c>
      <c r="H5" s="100" t="s">
        <v>57</v>
      </c>
      <c r="I5" s="100" t="s">
        <v>58</v>
      </c>
      <c r="J5" s="101" t="s">
        <v>59</v>
      </c>
    </row>
    <row r="6" spans="2:10" ht="25.05" customHeight="1">
      <c r="B6" s="191"/>
      <c r="C6" s="100">
        <v>0.9500719904899597</v>
      </c>
      <c r="D6" s="100">
        <v>0.009999844245612621</v>
      </c>
      <c r="E6" s="100" t="s">
        <v>56</v>
      </c>
      <c r="F6" s="100" t="s">
        <v>56</v>
      </c>
      <c r="G6" s="100">
        <v>0.970088541507721</v>
      </c>
      <c r="H6" s="100">
        <v>0.019999688491225243</v>
      </c>
      <c r="I6" s="100" t="s">
        <v>56</v>
      </c>
      <c r="J6" s="101" t="s">
        <v>56</v>
      </c>
    </row>
    <row r="7" spans="2:10" ht="25.05" customHeight="1">
      <c r="B7" s="102" t="s">
        <v>60</v>
      </c>
      <c r="C7" s="103">
        <v>0.9499985575675964</v>
      </c>
      <c r="D7" s="103">
        <v>0.009999992325901985</v>
      </c>
      <c r="E7" s="165">
        <f>C7+D7</f>
        <v>2</v>
      </c>
      <c r="F7" s="165">
        <f>100-E7</f>
        <v>98</v>
      </c>
      <c r="G7" s="103">
        <v>0.9700009226799011</v>
      </c>
      <c r="H7" s="103">
        <v>0.01999998465180397</v>
      </c>
      <c r="I7" s="165">
        <f>G7+H7</f>
        <v>3</v>
      </c>
      <c r="J7" s="166">
        <f>100-I7</f>
        <v>97</v>
      </c>
    </row>
    <row r="8" spans="2:10" ht="25.05" customHeight="1">
      <c r="B8" s="104" t="s">
        <v>64</v>
      </c>
      <c r="C8" s="100">
        <v>0.9499984979629517</v>
      </c>
      <c r="D8" s="100">
        <v>0.009999992325901985</v>
      </c>
      <c r="E8" s="100">
        <f>C8+D8</f>
        <v>3</v>
      </c>
      <c r="F8" s="100">
        <f>100-E8</f>
        <v>97</v>
      </c>
      <c r="G8" s="105">
        <v>0.9700009226799011</v>
      </c>
      <c r="H8" s="105">
        <v>0.01999998465180397</v>
      </c>
      <c r="I8" s="105">
        <f>G8+H8</f>
        <v>0</v>
      </c>
      <c r="J8" s="106">
        <f>100-I8</f>
        <v>100</v>
      </c>
    </row>
    <row r="9" spans="2:10" ht="25.05" customHeight="1">
      <c r="B9" s="107" t="s">
        <v>190</v>
      </c>
      <c r="C9" s="108">
        <v>3</v>
      </c>
      <c r="D9" s="108">
        <v>4</v>
      </c>
      <c r="E9" s="108">
        <f>C9+D9</f>
        <v>7</v>
      </c>
      <c r="F9" s="108">
        <f>100-E9</f>
        <v>93</v>
      </c>
      <c r="G9" s="108">
        <v>3</v>
      </c>
      <c r="H9" s="108">
        <v>4</v>
      </c>
      <c r="I9" s="108">
        <f t="shared" ref="I9" si="0">G9+H9</f>
        <v>7</v>
      </c>
      <c r="J9" s="109">
        <f t="shared" ref="J9" si="1">100-I9</f>
        <v>93</v>
      </c>
    </row>
    <row r="10" spans="2:10" ht="25.05" customHeight="1">
      <c r="B10" s="1" t="s">
        <v>245</v>
      </c>
      <c r="C10" s="1">
        <v>21</v>
      </c>
      <c r="D10" s="147">
        <v>23</v>
      </c>
      <c r="E10" s="167">
        <v>24</v>
      </c>
      <c r="F10" s="167">
        <v>25</v>
      </c>
      <c r="G10" s="1">
        <v>31</v>
      </c>
      <c r="H10" s="147">
        <v>33</v>
      </c>
      <c r="I10" s="168">
        <v>34</v>
      </c>
      <c r="J10" s="168">
        <v>35</v>
      </c>
    </row>
    <row r="11" spans="2:10" ht="25.05" customHeight="1">
      <c r="E11" s="2" t="s">
        <v>260</v>
      </c>
    </row>
    <row r="17" ht="14.1" customHeight="1"/>
    <row r="18" ht="14.1" customHeight="1"/>
  </sheetData>
  <mergeCells count="5">
    <mergeCell ref="C4:F4"/>
    <mergeCell ref="G4:J4"/>
    <mergeCell ref="B4:B6"/>
    <mergeCell ref="B3:F3"/>
    <mergeCell ref="B2:F2"/>
  </mergeCells>
  <phoneticPr fontId="1" type="noConversion"/>
  <pageMargins left="0.7" right="0.7" top="0.75" bottom="0.75" header="0.3" footer="0.3"/>
  <pageSetup paperSize="9" orientation="portrait" verticalDpi="0" r:id="rId1"/>
  <legacy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B2:X26"/>
  <sheetViews>
    <sheetView zoomScale="70" zoomScaleNormal="70" workbookViewId="0">
      <selection activeCell="C9" sqref="C9"/>
    </sheetView>
  </sheetViews>
  <sheetFormatPr defaultColWidth="9" defaultRowHeight="13.9"/>
  <cols>
    <col min="1" max="1" width="2.59765625" style="1" customWidth="1"/>
    <col min="2" max="2" width="9" style="1"/>
    <col min="3" max="4" width="40.06640625" style="1" bestFit="1" customWidth="1"/>
    <col min="5" max="5" width="9.53125" style="1" bestFit="1" customWidth="1"/>
    <col min="6" max="6" width="6.796875" style="1" bestFit="1" customWidth="1"/>
    <col min="7" max="7" width="12.59765625" style="1" customWidth="1"/>
    <col min="8" max="22" width="9" style="1"/>
    <col min="23" max="23" width="8.6640625" style="1" bestFit="1" customWidth="1"/>
  </cols>
  <sheetData>
    <row r="2" spans="2:23" ht="30" customHeight="1">
      <c r="B2" s="176" t="s">
        <v>174</v>
      </c>
      <c r="C2" s="176"/>
      <c r="D2" s="176"/>
      <c r="E2" s="176"/>
      <c r="F2" s="176"/>
    </row>
    <row r="3" spans="2:23" ht="15" customHeight="1">
      <c r="B3" s="175"/>
      <c r="C3" s="175"/>
      <c r="D3" s="175"/>
      <c r="E3" s="175"/>
      <c r="F3" s="175"/>
    </row>
    <row r="4" spans="2:23" ht="25.05" customHeight="1">
      <c r="B4" s="192" t="s">
        <v>16</v>
      </c>
      <c r="C4" s="34" t="s">
        <v>61</v>
      </c>
      <c r="D4" s="34" t="s">
        <v>23</v>
      </c>
      <c r="E4" s="34" t="s">
        <v>36</v>
      </c>
      <c r="F4" s="194" t="s">
        <v>62</v>
      </c>
    </row>
    <row r="5" spans="2:23" ht="25.05" customHeight="1">
      <c r="B5" s="193"/>
      <c r="C5" s="53" t="s">
        <v>56</v>
      </c>
      <c r="D5" s="53" t="s">
        <v>56</v>
      </c>
      <c r="E5" s="53" t="s">
        <v>56</v>
      </c>
      <c r="F5" s="195"/>
    </row>
    <row r="6" spans="2:23" ht="25.05" customHeight="1">
      <c r="B6" s="40" t="s">
        <v>63</v>
      </c>
      <c r="C6" s="53">
        <v>0.9566665887832642</v>
      </c>
      <c r="D6" s="53">
        <v>0.9333333373069763</v>
      </c>
      <c r="E6" s="53">
        <f>C6-D6</f>
        <v>0</v>
      </c>
      <c r="F6" s="54"/>
    </row>
    <row r="7" spans="2:23" ht="25.05" customHeight="1">
      <c r="B7" s="40" t="s">
        <v>64</v>
      </c>
      <c r="C7" s="53">
        <v>0.9566665887832642</v>
      </c>
      <c r="D7" s="53">
        <v>0.9333333373069763</v>
      </c>
      <c r="E7" s="53">
        <f>C7-D7</f>
        <v>0</v>
      </c>
      <c r="F7" s="54"/>
    </row>
    <row r="8" spans="2:23" ht="25.05" customHeight="1">
      <c r="B8" s="58" t="s">
        <v>65</v>
      </c>
      <c r="C8" s="59">
        <v>0.9566665887832642</v>
      </c>
      <c r="D8" s="59">
        <v>0.9333333373069763</v>
      </c>
      <c r="E8" s="59">
        <f>C8-D8</f>
        <v>0</v>
      </c>
      <c r="F8" s="60"/>
    </row>
    <row r="9" spans="2:23" ht="25.05" customHeight="1">
      <c r="B9" s="1" t="s">
        <v>263</v>
      </c>
      <c r="C9" s="154" t="s">
        <v>261</v>
      </c>
      <c r="D9" s="154" t="s">
        <v>262</v>
      </c>
      <c r="E9" s="154"/>
    </row>
    <row r="12" spans="2:23" ht="14.25" thickBot="1">
      <c r="B12" s="196" t="s">
        <v>204</v>
      </c>
      <c r="C12" s="196"/>
      <c r="D12" s="196"/>
      <c r="E12" s="196"/>
      <c r="F12" s="196"/>
      <c r="G12" s="196"/>
      <c r="H12" s="196"/>
      <c r="I12" s="196"/>
      <c r="J12" s="196"/>
      <c r="K12" s="196"/>
      <c r="L12" s="196"/>
      <c r="M12" s="196"/>
      <c r="N12" s="196"/>
      <c r="O12" s="196"/>
      <c r="P12" s="196"/>
      <c r="Q12" s="196"/>
      <c r="R12" s="196"/>
      <c r="S12" s="196"/>
      <c r="T12" s="196"/>
      <c r="U12" s="196"/>
      <c r="V12" s="196"/>
    </row>
    <row r="13" spans="2:23" ht="17.65">
      <c r="B13" s="200" t="s">
        <v>205</v>
      </c>
      <c r="C13" s="201"/>
      <c r="D13" s="201"/>
      <c r="E13" s="201"/>
      <c r="F13" s="201"/>
      <c r="G13" s="201"/>
      <c r="H13" s="202"/>
      <c r="I13" s="200" t="s">
        <v>206</v>
      </c>
      <c r="J13" s="201"/>
      <c r="K13" s="201"/>
      <c r="L13" s="201"/>
      <c r="M13" s="201"/>
      <c r="N13" s="201"/>
      <c r="O13" s="202"/>
      <c r="P13" s="200" t="s">
        <v>207</v>
      </c>
      <c r="Q13" s="203"/>
      <c r="R13" s="203"/>
      <c r="S13" s="203"/>
      <c r="T13" s="203"/>
      <c r="U13" s="203"/>
      <c r="V13" s="204"/>
      <c r="W13" s="198" t="s">
        <v>208</v>
      </c>
    </row>
    <row r="14" spans="2:23" ht="25.5">
      <c r="B14" s="205" t="s">
        <v>191</v>
      </c>
      <c r="C14" s="206"/>
      <c r="D14" s="114" t="s">
        <v>192</v>
      </c>
      <c r="E14" s="114" t="s">
        <v>193</v>
      </c>
      <c r="F14" s="114" t="s">
        <v>194</v>
      </c>
      <c r="G14" s="114" t="s">
        <v>195</v>
      </c>
      <c r="H14" s="115" t="s">
        <v>196</v>
      </c>
      <c r="I14" s="205" t="s">
        <v>191</v>
      </c>
      <c r="J14" s="206"/>
      <c r="K14" s="114" t="s">
        <v>192</v>
      </c>
      <c r="L14" s="114" t="s">
        <v>197</v>
      </c>
      <c r="M14" s="114" t="s">
        <v>194</v>
      </c>
      <c r="N14" s="114" t="s">
        <v>195</v>
      </c>
      <c r="O14" s="115" t="s">
        <v>196</v>
      </c>
      <c r="P14" s="205" t="s">
        <v>191</v>
      </c>
      <c r="Q14" s="207"/>
      <c r="R14" s="114" t="s">
        <v>192</v>
      </c>
      <c r="S14" s="43" t="s">
        <v>197</v>
      </c>
      <c r="T14" s="114" t="s">
        <v>194</v>
      </c>
      <c r="U14" s="43" t="s">
        <v>198</v>
      </c>
      <c r="V14" s="115" t="s">
        <v>196</v>
      </c>
      <c r="W14" s="199"/>
    </row>
    <row r="15" spans="2:23" ht="25.5">
      <c r="B15" s="110" t="s">
        <v>199</v>
      </c>
      <c r="C15" s="111" t="s">
        <v>200</v>
      </c>
      <c r="D15" s="112" t="s">
        <v>56</v>
      </c>
      <c r="E15" s="112" t="s">
        <v>56</v>
      </c>
      <c r="F15" s="112" t="s">
        <v>56</v>
      </c>
      <c r="G15" s="112" t="s">
        <v>201</v>
      </c>
      <c r="H15" s="113" t="s">
        <v>201</v>
      </c>
      <c r="I15" s="110" t="s">
        <v>199</v>
      </c>
      <c r="J15" s="111" t="s">
        <v>200</v>
      </c>
      <c r="K15" s="112" t="s">
        <v>56</v>
      </c>
      <c r="L15" s="112" t="s">
        <v>56</v>
      </c>
      <c r="M15" s="112" t="s">
        <v>56</v>
      </c>
      <c r="N15" s="112" t="s">
        <v>201</v>
      </c>
      <c r="O15" s="113" t="s">
        <v>201</v>
      </c>
      <c r="P15" s="110" t="s">
        <v>199</v>
      </c>
      <c r="Q15" s="111" t="s">
        <v>200</v>
      </c>
      <c r="R15" s="112" t="s">
        <v>202</v>
      </c>
      <c r="S15" s="112" t="s">
        <v>202</v>
      </c>
      <c r="T15" s="112" t="s">
        <v>202</v>
      </c>
      <c r="U15" s="112" t="s">
        <v>203</v>
      </c>
      <c r="V15" s="113" t="s">
        <v>203</v>
      </c>
      <c r="W15" s="116" t="s">
        <v>201</v>
      </c>
    </row>
    <row r="16" spans="2:23">
      <c r="B16" s="1">
        <v>21</v>
      </c>
      <c r="C16" s="1">
        <v>22</v>
      </c>
      <c r="D16" s="1">
        <v>23</v>
      </c>
      <c r="E16" s="1">
        <v>24</v>
      </c>
      <c r="F16" s="1">
        <v>25</v>
      </c>
      <c r="G16" s="1">
        <v>26</v>
      </c>
      <c r="H16" s="1">
        <v>27</v>
      </c>
      <c r="I16" s="1">
        <v>31</v>
      </c>
      <c r="J16" s="1">
        <v>32</v>
      </c>
      <c r="K16" s="1">
        <v>33</v>
      </c>
      <c r="L16" s="1">
        <v>34</v>
      </c>
      <c r="M16" s="1">
        <v>35</v>
      </c>
      <c r="N16" s="1">
        <v>36</v>
      </c>
      <c r="O16" s="1">
        <v>37</v>
      </c>
      <c r="P16" s="148" t="e">
        <f>(B16*G16+I16*N16)/U16</f>
        <v>#DIV/0!</v>
      </c>
    </row>
    <row r="19" spans="2:22">
      <c r="B19" s="149">
        <v>99</v>
      </c>
      <c r="C19" s="150">
        <v>65</v>
      </c>
      <c r="D19" s="150">
        <v>1.2</v>
      </c>
      <c r="E19" s="150">
        <v>99</v>
      </c>
      <c r="F19" s="150">
        <v>0.25</v>
      </c>
      <c r="G19" s="150">
        <v>2254</v>
      </c>
      <c r="H19" s="151">
        <f>B19*G19/100</f>
        <v>2231.46</v>
      </c>
      <c r="I19" s="149">
        <v>92.3</v>
      </c>
      <c r="J19" s="150">
        <v>88.9</v>
      </c>
      <c r="K19" s="150">
        <v>3.6</v>
      </c>
      <c r="L19" s="150">
        <v>99.5</v>
      </c>
      <c r="M19" s="150">
        <v>4.0999999999999996</v>
      </c>
      <c r="N19" s="150">
        <v>150</v>
      </c>
      <c r="O19" s="151">
        <f>I19*N19/100</f>
        <v>138.44999999999999</v>
      </c>
      <c r="P19" s="148">
        <f>(B19*G19+I19*N19)/U19</f>
        <v>98.581946755407657</v>
      </c>
      <c r="Q19" s="152">
        <f>(C19*G19+J19*N19)/U19</f>
        <v>66.491264559068213</v>
      </c>
      <c r="R19" s="152">
        <f>(D19*G19+K19*N19)/U19</f>
        <v>1.3497504159733775</v>
      </c>
      <c r="S19" s="152">
        <f>(E19*G19+L19*N19)/U19</f>
        <v>99.031198003327788</v>
      </c>
      <c r="T19" s="152">
        <f>(F19*G19+M19*N19)/U19</f>
        <v>0.49022462562396008</v>
      </c>
      <c r="U19" s="152">
        <f>G19+N19</f>
        <v>2404</v>
      </c>
      <c r="V19" s="153">
        <f>H19+O19</f>
        <v>2369.91</v>
      </c>
    </row>
    <row r="26" spans="2:22">
      <c r="D26" s="197"/>
      <c r="E26" s="197"/>
      <c r="F26" s="197"/>
    </row>
  </sheetData>
  <mergeCells count="13">
    <mergeCell ref="D26:F26"/>
    <mergeCell ref="W13:W14"/>
    <mergeCell ref="B13:H13"/>
    <mergeCell ref="I13:O13"/>
    <mergeCell ref="P13:V13"/>
    <mergeCell ref="I14:J14"/>
    <mergeCell ref="P14:Q14"/>
    <mergeCell ref="B14:C14"/>
    <mergeCell ref="B4:B5"/>
    <mergeCell ref="F4:F5"/>
    <mergeCell ref="B3:F3"/>
    <mergeCell ref="B2:F2"/>
    <mergeCell ref="B12:V12"/>
  </mergeCells>
  <phoneticPr fontId="1" type="noConversion"/>
  <pageMargins left="0.7" right="0.7" top="0.75" bottom="0.75" header="0.3" footer="0.3"/>
  <legacy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sheetPr>
    <tabColor rgb="FF00B050"/>
  </sheetPr>
  <dimension ref="B2:Q7"/>
  <sheetViews>
    <sheetView workbookViewId="0">
      <selection activeCell="I7" sqref="I7"/>
    </sheetView>
  </sheetViews>
  <sheetFormatPr defaultColWidth="9" defaultRowHeight="12.75"/>
  <cols>
    <col min="1" max="1" width="2" style="2" customWidth="1"/>
    <col min="2" max="2" width="16.19921875" style="2" customWidth="1"/>
    <col min="3" max="3" width="15.6640625" style="2" bestFit="1" customWidth="1"/>
    <col min="4" max="14" width="6.59765625" style="2" customWidth="1"/>
    <col min="15" max="16" width="7.59765625" style="2" customWidth="1"/>
  </cols>
  <sheetData>
    <row r="2" spans="2:16" ht="30" customHeight="1">
      <c r="B2" s="176" t="s">
        <v>175</v>
      </c>
      <c r="C2" s="176"/>
      <c r="D2" s="176"/>
      <c r="E2" s="176"/>
      <c r="F2" s="176"/>
      <c r="G2" s="176"/>
      <c r="H2" s="176"/>
      <c r="I2" s="176"/>
      <c r="J2" s="176"/>
      <c r="K2" s="176"/>
      <c r="L2" s="176"/>
      <c r="M2" s="176"/>
      <c r="N2" s="176"/>
      <c r="O2" s="176"/>
      <c r="P2" s="176"/>
    </row>
    <row r="3" spans="2:16" ht="15" customHeight="1">
      <c r="B3" s="174"/>
      <c r="C3" s="175"/>
      <c r="D3" s="175"/>
      <c r="E3" s="175"/>
      <c r="F3" s="175"/>
      <c r="G3" s="175"/>
      <c r="H3" s="175"/>
      <c r="I3" s="175"/>
      <c r="J3" s="175"/>
      <c r="K3" s="175"/>
      <c r="L3" s="175"/>
      <c r="M3" s="175"/>
      <c r="N3" s="175"/>
      <c r="O3" s="175"/>
      <c r="P3" s="175"/>
    </row>
    <row r="4" spans="2:16" ht="60" customHeight="1">
      <c r="B4" s="61" t="s">
        <v>66</v>
      </c>
      <c r="C4" s="35" t="s">
        <v>67</v>
      </c>
      <c r="D4" s="35" t="s">
        <v>68</v>
      </c>
      <c r="E4" s="35" t="s">
        <v>69</v>
      </c>
      <c r="F4" s="35" t="s">
        <v>70</v>
      </c>
      <c r="G4" s="35" t="s">
        <v>71</v>
      </c>
      <c r="H4" s="35" t="s">
        <v>72</v>
      </c>
      <c r="I4" s="35" t="s">
        <v>73</v>
      </c>
      <c r="J4" s="35" t="s">
        <v>74</v>
      </c>
      <c r="K4" s="35" t="s">
        <v>75</v>
      </c>
      <c r="L4" s="35" t="s">
        <v>76</v>
      </c>
      <c r="M4" s="35" t="s">
        <v>77</v>
      </c>
      <c r="N4" s="35" t="s">
        <v>78</v>
      </c>
      <c r="O4" s="35" t="s">
        <v>34</v>
      </c>
      <c r="P4" s="36" t="s">
        <v>35</v>
      </c>
    </row>
    <row r="5" spans="2:16" ht="60" customHeight="1">
      <c r="B5" s="155" t="s">
        <v>79</v>
      </c>
      <c r="C5" s="38">
        <v>0.9566666483879089</v>
      </c>
      <c r="D5" s="38">
        <v>0.9566668272018433</v>
      </c>
      <c r="E5" s="38">
        <v>0.9566660523414612</v>
      </c>
      <c r="F5" s="38">
        <v>0.9566656947135925</v>
      </c>
      <c r="G5" s="38">
        <v>0.9566655158996582</v>
      </c>
      <c r="H5" s="38">
        <v>0.9566654562950134</v>
      </c>
      <c r="I5" s="38">
        <v>0.9566653966903687</v>
      </c>
      <c r="J5" s="38">
        <v>0.9566654562950134</v>
      </c>
      <c r="K5" s="38">
        <v>0.9566655158996582</v>
      </c>
      <c r="L5" s="38">
        <v>0.9566656947135925</v>
      </c>
      <c r="M5" s="38">
        <v>0.9566660523414612</v>
      </c>
      <c r="N5" s="38">
        <v>0.9566668272018433</v>
      </c>
      <c r="O5" s="38">
        <v>0.9566665887832642</v>
      </c>
      <c r="P5" s="39">
        <v>0.9566665887832642</v>
      </c>
    </row>
    <row r="6" spans="2:16" ht="60" customHeight="1">
      <c r="B6" s="156" t="s">
        <v>80</v>
      </c>
      <c r="C6" s="62">
        <v>1500</v>
      </c>
      <c r="D6" s="62">
        <v>1500</v>
      </c>
      <c r="E6" s="62">
        <v>1500</v>
      </c>
      <c r="F6" s="62">
        <v>1500</v>
      </c>
      <c r="G6" s="62">
        <v>1500</v>
      </c>
      <c r="H6" s="62">
        <v>1500</v>
      </c>
      <c r="I6" s="62">
        <v>1500</v>
      </c>
      <c r="J6" s="62">
        <v>1500</v>
      </c>
      <c r="K6" s="62">
        <v>1500</v>
      </c>
      <c r="L6" s="62">
        <v>1500</v>
      </c>
      <c r="M6" s="62">
        <v>1500</v>
      </c>
      <c r="N6" s="62">
        <v>1500</v>
      </c>
      <c r="O6" s="62">
        <v>1500</v>
      </c>
      <c r="P6" s="63">
        <v>1500</v>
      </c>
    </row>
    <row r="7" spans="2:16" ht="25.05" customHeight="1">
      <c r="B7" s="2" t="s">
        <v>279</v>
      </c>
    </row>
  </sheetData>
  <mergeCells count="2">
    <mergeCell ref="B3:P3"/>
    <mergeCell ref="B2:P2"/>
  </mergeCells>
  <phoneticPr fontId="1" type="noConversion"/>
  <pageMargins left="0.7" right="0.7" top="0.75" bottom="0.75" header="0.3" footer="0.3"/>
  <legacy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sheetPr>
    <tabColor rgb="FF00B050"/>
  </sheetPr>
  <dimension ref="B2:N25"/>
  <sheetViews>
    <sheetView tabSelected="1" workbookViewId="0">
      <selection activeCell="P8" sqref="P8"/>
    </sheetView>
  </sheetViews>
  <sheetFormatPr defaultColWidth="9" defaultRowHeight="12.75"/>
  <cols>
    <col min="1" max="1" width="1.86328125" style="2" customWidth="1"/>
    <col min="2" max="2" width="10.59765625" style="2" customWidth="1"/>
    <col min="3" max="3" width="9" style="2"/>
    <col min="4" max="4" width="15.9296875" style="2" bestFit="1" customWidth="1"/>
    <col min="5" max="12" width="9" style="2"/>
  </cols>
  <sheetData>
    <row r="2" spans="2:13" ht="30" customHeight="1">
      <c r="B2" s="176" t="s">
        <v>176</v>
      </c>
      <c r="C2" s="176"/>
      <c r="D2" s="176"/>
      <c r="E2" s="176"/>
      <c r="F2" s="176"/>
      <c r="G2" s="176"/>
      <c r="H2" s="176"/>
      <c r="I2" s="176"/>
      <c r="J2" s="176"/>
      <c r="K2" s="176"/>
      <c r="L2" s="176"/>
      <c r="M2" s="176"/>
    </row>
    <row r="3" spans="2:13" ht="30" customHeight="1">
      <c r="B3" s="211" t="s">
        <v>134</v>
      </c>
      <c r="C3" s="207"/>
      <c r="D3" s="207"/>
      <c r="E3" s="207"/>
      <c r="F3" s="207"/>
      <c r="G3" s="207"/>
      <c r="H3" s="207"/>
      <c r="I3" s="207"/>
      <c r="J3" s="207"/>
      <c r="K3" s="207"/>
      <c r="L3" s="207"/>
      <c r="M3" s="194"/>
    </row>
    <row r="4" spans="2:13" ht="10.05" customHeight="1">
      <c r="B4" s="212"/>
      <c r="C4" s="213"/>
      <c r="D4" s="213"/>
      <c r="E4" s="213"/>
      <c r="F4" s="213"/>
      <c r="G4" s="213"/>
      <c r="H4" s="213"/>
      <c r="I4" s="213"/>
      <c r="J4" s="213"/>
      <c r="K4" s="213"/>
      <c r="L4" s="213"/>
      <c r="M4" s="214"/>
    </row>
    <row r="5" spans="2:13" ht="20.1" customHeight="1">
      <c r="B5" s="215" t="s">
        <v>117</v>
      </c>
      <c r="C5" s="216" t="s">
        <v>292</v>
      </c>
      <c r="D5" s="5" t="s">
        <v>293</v>
      </c>
      <c r="E5" s="5" t="s">
        <v>294</v>
      </c>
      <c r="F5" s="5" t="s">
        <v>295</v>
      </c>
      <c r="G5" s="5" t="s">
        <v>296</v>
      </c>
      <c r="H5" s="5" t="s">
        <v>297</v>
      </c>
      <c r="I5" s="5" t="s">
        <v>298</v>
      </c>
      <c r="J5" s="5" t="s">
        <v>299</v>
      </c>
      <c r="K5" s="217" t="s">
        <v>127</v>
      </c>
      <c r="L5" s="217" t="s">
        <v>126</v>
      </c>
      <c r="M5" s="218" t="s">
        <v>128</v>
      </c>
    </row>
    <row r="6" spans="2:13" ht="20.1" customHeight="1">
      <c r="B6" s="215" t="s">
        <v>118</v>
      </c>
      <c r="C6" s="216"/>
      <c r="D6" s="5" t="s">
        <v>122</v>
      </c>
      <c r="E6" s="5" t="s">
        <v>123</v>
      </c>
      <c r="F6" s="5" t="s">
        <v>124</v>
      </c>
      <c r="G6" s="5" t="s">
        <v>125</v>
      </c>
      <c r="H6" s="5" t="s">
        <v>119</v>
      </c>
      <c r="I6" s="5" t="s">
        <v>120</v>
      </c>
      <c r="J6" s="5" t="s">
        <v>121</v>
      </c>
      <c r="K6" s="216"/>
      <c r="L6" s="216"/>
      <c r="M6" s="195"/>
    </row>
    <row r="7" spans="2:13" ht="20.1" customHeight="1">
      <c r="B7" s="208" t="s">
        <v>129</v>
      </c>
      <c r="C7" s="209"/>
      <c r="D7" s="209"/>
      <c r="E7" s="209"/>
      <c r="F7" s="209"/>
      <c r="G7" s="209"/>
      <c r="H7" s="209"/>
      <c r="I7" s="209"/>
      <c r="J7" s="209"/>
      <c r="K7" s="209"/>
      <c r="L7" s="209"/>
      <c r="M7" s="210"/>
    </row>
    <row r="8" spans="2:13" ht="20.1" customHeight="1">
      <c r="B8" s="4" t="s">
        <v>21</v>
      </c>
      <c r="C8" s="5" t="s">
        <v>56</v>
      </c>
      <c r="D8" s="147">
        <v>0.51500004529953</v>
      </c>
      <c r="E8" s="5">
        <v>0.51500004529953</v>
      </c>
      <c r="F8" s="5">
        <v>0.51500004529953</v>
      </c>
      <c r="G8" s="5">
        <v>0.51500004529953</v>
      </c>
      <c r="H8" s="5">
        <v>0.51500004529953</v>
      </c>
      <c r="I8" s="5">
        <v>0.51500004529953</v>
      </c>
      <c r="J8" s="5">
        <v>0.51500004529953</v>
      </c>
      <c r="K8" s="5">
        <v>0.514999508857727</v>
      </c>
      <c r="L8" s="5">
        <v>0.514999508857727</v>
      </c>
      <c r="M8" s="6">
        <f>K8-L8</f>
        <v>0</v>
      </c>
    </row>
    <row r="9" spans="2:13" ht="20.1" customHeight="1">
      <c r="B9" s="4" t="s">
        <v>94</v>
      </c>
      <c r="C9" s="5" t="s">
        <v>86</v>
      </c>
      <c r="D9" s="147">
        <v>0.51500004529953</v>
      </c>
      <c r="E9" s="5">
        <v>0.51500004529953</v>
      </c>
      <c r="F9" s="5">
        <v>0.51500004529953</v>
      </c>
      <c r="G9" s="5">
        <v>0.51500004529953</v>
      </c>
      <c r="H9" s="5">
        <v>0.51500004529953</v>
      </c>
      <c r="I9" s="5">
        <v>0.51500004529953</v>
      </c>
      <c r="J9" s="5">
        <v>0.51500004529953</v>
      </c>
      <c r="K9" s="5">
        <v>0.514999508857727</v>
      </c>
      <c r="L9" s="5">
        <v>0.514999508857727</v>
      </c>
      <c r="M9" s="6">
        <f t="shared" ref="M9:M10" si="0">K9-L9</f>
        <v>0</v>
      </c>
    </row>
    <row r="10" spans="2:13" ht="20.1" customHeight="1">
      <c r="B10" s="4" t="s">
        <v>44</v>
      </c>
      <c r="C10" s="5" t="s">
        <v>12</v>
      </c>
      <c r="D10" s="147">
        <v>12.41878604888916</v>
      </c>
      <c r="E10" s="5">
        <v>12.41878604888916</v>
      </c>
      <c r="F10" s="5">
        <v>12.41878604888916</v>
      </c>
      <c r="G10" s="5">
        <v>12.41878604888916</v>
      </c>
      <c r="H10" s="5">
        <v>12.41878604888916</v>
      </c>
      <c r="I10" s="5">
        <v>12.41878604888916</v>
      </c>
      <c r="J10" s="5">
        <v>12.41878604888916</v>
      </c>
      <c r="K10" s="5">
        <v>12.41878890991211</v>
      </c>
      <c r="L10" s="5">
        <v>12.41878890991211</v>
      </c>
      <c r="M10" s="6">
        <f t="shared" si="0"/>
        <v>0</v>
      </c>
    </row>
    <row r="11" spans="2:13" ht="20.1" customHeight="1">
      <c r="B11" s="208" t="s">
        <v>130</v>
      </c>
      <c r="C11" s="209"/>
      <c r="D11" s="209"/>
      <c r="E11" s="209"/>
      <c r="F11" s="209"/>
      <c r="G11" s="209"/>
      <c r="H11" s="209"/>
      <c r="I11" s="209"/>
      <c r="J11" s="209"/>
      <c r="K11" s="209"/>
      <c r="L11" s="209"/>
      <c r="M11" s="210"/>
    </row>
    <row r="12" spans="2:13" ht="20.1" customHeight="1">
      <c r="B12" s="4" t="s">
        <v>21</v>
      </c>
      <c r="C12" s="5" t="s">
        <v>56</v>
      </c>
      <c r="D12" s="88">
        <v>0.9566666483879089</v>
      </c>
      <c r="E12" s="5">
        <v>0.9566666483879089</v>
      </c>
      <c r="F12" s="5">
        <v>0.9566666483879089</v>
      </c>
      <c r="G12" s="5">
        <v>0.9566666483879089</v>
      </c>
      <c r="H12" s="5">
        <v>0.9566666483879089</v>
      </c>
      <c r="I12" s="5">
        <v>0.9566666483879089</v>
      </c>
      <c r="J12" s="5">
        <v>0.9566666483879089</v>
      </c>
      <c r="K12" s="5">
        <v>0.9566665887832642</v>
      </c>
      <c r="L12" s="5">
        <v>0.9566665887832642</v>
      </c>
      <c r="M12" s="6">
        <f>K12-L12</f>
        <v>0</v>
      </c>
    </row>
    <row r="13" spans="2:13" ht="20.1" customHeight="1">
      <c r="B13" s="4" t="s">
        <v>57</v>
      </c>
      <c r="C13" s="5" t="s">
        <v>56</v>
      </c>
      <c r="D13" s="88">
        <v>0.013333333656191826</v>
      </c>
      <c r="E13" s="5">
        <v>0.013333333656191826</v>
      </c>
      <c r="F13" s="5">
        <v>0.013333333656191826</v>
      </c>
      <c r="G13" s="5">
        <v>0.013333333656191826</v>
      </c>
      <c r="H13" s="5">
        <v>0.013333333656191826</v>
      </c>
      <c r="I13" s="5">
        <v>0.013333333656191826</v>
      </c>
      <c r="J13" s="5">
        <v>0.013333333656191826</v>
      </c>
      <c r="K13" s="5">
        <v>0.0133333345875144</v>
      </c>
      <c r="L13" s="5">
        <v>0.0133333345875144</v>
      </c>
      <c r="M13" s="6">
        <f t="shared" ref="M13:M15" si="1">K13-L13</f>
        <v>0</v>
      </c>
    </row>
    <row r="14" spans="2:13" ht="20.1" customHeight="1">
      <c r="B14" s="157" t="s">
        <v>58</v>
      </c>
      <c r="C14" s="5" t="s">
        <v>56</v>
      </c>
      <c r="D14" s="158">
        <v>0.023333333432674408</v>
      </c>
      <c r="E14" s="5">
        <v>0.023333333432674408</v>
      </c>
      <c r="F14" s="5">
        <v>0.023333333432674408</v>
      </c>
      <c r="G14" s="5">
        <v>0.023333333432674408</v>
      </c>
      <c r="H14" s="5">
        <v>0.023333333432674408</v>
      </c>
      <c r="I14" s="5">
        <v>0.023333333432674408</v>
      </c>
      <c r="J14" s="5">
        <v>0.023333333432674408</v>
      </c>
      <c r="K14" s="5">
        <v>0.023333333432674408</v>
      </c>
      <c r="L14" s="5">
        <v>0.023333333432674408</v>
      </c>
      <c r="M14" s="6">
        <f t="shared" si="1"/>
        <v>0</v>
      </c>
    </row>
    <row r="15" spans="2:13" ht="20.1" customHeight="1">
      <c r="B15" s="4" t="s">
        <v>59</v>
      </c>
      <c r="C15" s="5" t="s">
        <v>56</v>
      </c>
      <c r="D15" s="5">
        <f>100-D14</f>
        <v>1500</v>
      </c>
      <c r="E15" s="5">
        <f t="shared" ref="E15:L15" si="2">100-E14</f>
        <v>1500</v>
      </c>
      <c r="F15" s="5">
        <f t="shared" si="2"/>
        <v>1500</v>
      </c>
      <c r="G15" s="5">
        <f t="shared" si="2"/>
        <v>1500</v>
      </c>
      <c r="H15" s="5">
        <f t="shared" si="2"/>
        <v>1500</v>
      </c>
      <c r="I15" s="5">
        <f t="shared" si="2"/>
        <v>1500</v>
      </c>
      <c r="J15" s="5">
        <f t="shared" si="2"/>
        <v>1500</v>
      </c>
      <c r="K15" s="5">
        <f t="shared" si="2"/>
        <v>99.97666931152344</v>
      </c>
      <c r="L15" s="5">
        <f t="shared" si="2"/>
        <v>99.97666931152344</v>
      </c>
      <c r="M15" s="6">
        <f t="shared" si="1"/>
        <v>0</v>
      </c>
    </row>
    <row r="16" spans="2:13" ht="20.1" customHeight="1">
      <c r="B16" s="208" t="s">
        <v>286</v>
      </c>
      <c r="C16" s="209"/>
      <c r="D16" s="209"/>
      <c r="E16" s="209"/>
      <c r="F16" s="209"/>
      <c r="G16" s="209"/>
      <c r="H16" s="209"/>
      <c r="I16" s="209"/>
      <c r="J16" s="209"/>
      <c r="K16" s="209"/>
      <c r="L16" s="209"/>
      <c r="M16" s="210"/>
    </row>
    <row r="17" spans="2:13" ht="20.1" customHeight="1">
      <c r="B17" s="169" t="s">
        <v>132</v>
      </c>
      <c r="C17" s="170" t="s">
        <v>56</v>
      </c>
      <c r="D17" s="170">
        <v>14.34999942779541</v>
      </c>
      <c r="E17" s="170">
        <v>14.34999942779541</v>
      </c>
      <c r="F17" s="170">
        <v>14.34999942779541</v>
      </c>
      <c r="G17" s="170">
        <v>14.34999942779541</v>
      </c>
      <c r="H17" s="170">
        <v>14.34999942779541</v>
      </c>
      <c r="I17" s="170">
        <v>14.34999942779541</v>
      </c>
      <c r="J17" s="170">
        <v>14.34999942779541</v>
      </c>
      <c r="K17" s="170">
        <v>1500</v>
      </c>
      <c r="L17" s="170">
        <v>1500</v>
      </c>
      <c r="M17" s="171"/>
    </row>
    <row r="18" spans="2:13" ht="20.1" customHeight="1">
      <c r="B18" s="169" t="s">
        <v>133</v>
      </c>
      <c r="C18" s="170" t="s">
        <v>113</v>
      </c>
      <c r="D18" s="170">
        <v>0.020000003278255463</v>
      </c>
      <c r="E18" s="170">
        <v>0.020000003278255463</v>
      </c>
      <c r="F18" s="170">
        <v>0.020000003278255463</v>
      </c>
      <c r="G18" s="170">
        <v>0.020000003278255463</v>
      </c>
      <c r="H18" s="170">
        <v>0.020000003278255463</v>
      </c>
      <c r="I18" s="170">
        <v>0.020000003278255463</v>
      </c>
      <c r="J18" s="170">
        <v>0.020000003278255463</v>
      </c>
      <c r="K18" s="170">
        <v>14.34999942779541</v>
      </c>
      <c r="L18" s="170">
        <v>14.34999942779541</v>
      </c>
      <c r="M18" s="171">
        <f>K18-L18</f>
        <v>0</v>
      </c>
    </row>
    <row r="19" spans="2:13" ht="20.1" customHeight="1">
      <c r="B19" s="208" t="s">
        <v>287</v>
      </c>
      <c r="C19" s="209"/>
      <c r="D19" s="209"/>
      <c r="E19" s="209"/>
      <c r="F19" s="209"/>
      <c r="G19" s="209"/>
      <c r="H19" s="209"/>
      <c r="I19" s="209"/>
      <c r="J19" s="209"/>
      <c r="K19" s="209"/>
      <c r="L19" s="209"/>
      <c r="M19" s="210"/>
    </row>
    <row r="20" spans="2:13" ht="20.1" customHeight="1">
      <c r="B20" s="159" t="s">
        <v>21</v>
      </c>
      <c r="C20" s="8" t="s">
        <v>56</v>
      </c>
      <c r="D20" s="1" t="s">
        <v>281</v>
      </c>
      <c r="E20" s="8"/>
      <c r="F20" s="8"/>
      <c r="G20" s="8"/>
      <c r="H20" s="8"/>
      <c r="I20" s="8"/>
      <c r="J20" s="8"/>
      <c r="K20" s="8">
        <v>0.01999998465180397</v>
      </c>
      <c r="L20" s="8">
        <v>0.01999998465180397</v>
      </c>
      <c r="M20" s="9">
        <f>K20-L20</f>
        <v>0</v>
      </c>
    </row>
    <row r="21" spans="2:13" ht="20.1" customHeight="1">
      <c r="D21" s="1" t="s">
        <v>281</v>
      </c>
    </row>
    <row r="22" spans="2:13" ht="20.1" customHeight="1"/>
    <row r="23" spans="2:13" ht="20.1" customHeight="1"/>
    <row r="24" spans="2:13" ht="20.1" customHeight="1"/>
    <row r="25" spans="2:13" ht="20.1" customHeight="1"/>
  </sheetData>
  <mergeCells count="12">
    <mergeCell ref="B7:M7"/>
    <mergeCell ref="B11:M11"/>
    <mergeCell ref="B16:M16"/>
    <mergeCell ref="B19:M19"/>
    <mergeCell ref="B2:M2"/>
    <mergeCell ref="B3:M3"/>
    <mergeCell ref="B4:M4"/>
    <mergeCell ref="B5:C5"/>
    <mergeCell ref="K5:K6"/>
    <mergeCell ref="L5:L6"/>
    <mergeCell ref="M5:M6"/>
    <mergeCell ref="B6:C6"/>
  </mergeCells>
  <phoneticPr fontId="1" type="noConversion"/>
  <pageMargins left="0.7" right="0.7" top="0.75" bottom="0.75" header="0.3" footer="0.3"/>
  <pageSetup paperSize="9" orientation="portrait" verticalDpi="0" r:id="rId1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B2:J15"/>
  <sheetViews>
    <sheetView workbookViewId="0">
      <selection activeCell="A9" sqref="A9:XFD9"/>
    </sheetView>
  </sheetViews>
  <sheetFormatPr defaultColWidth="9" defaultRowHeight="12.75"/>
  <cols>
    <col min="1" max="1" width="1.33203125" style="2" customWidth="1"/>
    <col min="2" max="2" width="9" style="2"/>
    <col min="3" max="3" width="35.19921875" style="2" bestFit="1" customWidth="1"/>
    <col min="4" max="7" width="12.59765625" style="2" customWidth="1"/>
    <col min="8" max="8" width="9" style="2"/>
  </cols>
  <sheetData>
    <row r="2" spans="2:9" ht="30" customHeight="1">
      <c r="B2" s="176" t="s">
        <v>177</v>
      </c>
      <c r="C2" s="176"/>
      <c r="D2" s="176"/>
      <c r="E2" s="176"/>
      <c r="F2" s="176"/>
      <c r="G2" s="176"/>
    </row>
    <row r="3" spans="2:9" ht="15" customHeight="1">
      <c r="B3" s="174"/>
      <c r="C3" s="175"/>
      <c r="D3" s="175"/>
      <c r="E3" s="175"/>
      <c r="F3" s="175"/>
      <c r="G3" s="175"/>
    </row>
    <row r="4" spans="2:9" ht="15.75" customHeight="1">
      <c r="B4" s="220" t="s">
        <v>91</v>
      </c>
      <c r="C4" s="221"/>
      <c r="D4" s="221"/>
      <c r="E4" s="221"/>
      <c r="F4" s="221"/>
      <c r="G4" s="222"/>
    </row>
    <row r="5" spans="2:9" ht="25.05" customHeight="1">
      <c r="B5" s="4" t="s">
        <v>39</v>
      </c>
      <c r="C5" s="5" t="s">
        <v>82</v>
      </c>
      <c r="D5" s="5" t="s">
        <v>83</v>
      </c>
      <c r="E5" s="5" t="s">
        <v>84</v>
      </c>
      <c r="F5" s="5" t="s">
        <v>85</v>
      </c>
      <c r="G5" s="6" t="s">
        <v>87</v>
      </c>
    </row>
    <row r="6" spans="2:9" ht="25.05" customHeight="1">
      <c r="B6" s="4" t="s">
        <v>40</v>
      </c>
      <c r="C6" s="5" t="s">
        <v>10</v>
      </c>
      <c r="D6" s="5" t="s">
        <v>10</v>
      </c>
      <c r="E6" s="5" t="s">
        <v>12</v>
      </c>
      <c r="F6" s="5" t="s">
        <v>86</v>
      </c>
      <c r="G6" s="6" t="s">
        <v>88</v>
      </c>
    </row>
    <row r="7" spans="2:9" ht="25.05" customHeight="1">
      <c r="B7" s="79" t="s">
        <v>81</v>
      </c>
      <c r="C7" s="80">
        <v>0.16600000000000001</v>
      </c>
      <c r="D7" s="80">
        <v>0.04</v>
      </c>
      <c r="E7" s="81">
        <f>C7/D7</f>
        <v>4.1500000000000004</v>
      </c>
      <c r="F7" s="80">
        <v>1.17</v>
      </c>
      <c r="G7" s="82" t="s">
        <v>89</v>
      </c>
    </row>
    <row r="8" spans="2:9" ht="25.05" customHeight="1">
      <c r="B8" s="77" t="s">
        <v>209</v>
      </c>
      <c r="C8" s="71">
        <v>0</v>
      </c>
      <c r="D8" s="71">
        <v>13.642173767089844</v>
      </c>
      <c r="E8" s="78">
        <f>C8/D8</f>
        <v>0</v>
      </c>
      <c r="F8" s="71">
        <v>0.010988956317305565</v>
      </c>
      <c r="G8" s="74">
        <v>0.05000007152557373</v>
      </c>
    </row>
    <row r="9" spans="2:9" ht="25.05" customHeight="1">
      <c r="B9" s="77" t="s">
        <v>90</v>
      </c>
      <c r="C9" s="71">
        <v>0</v>
      </c>
      <c r="D9" s="71">
        <v>13.642173767089844</v>
      </c>
      <c r="E9" s="78">
        <f>C9/D9</f>
        <v>0</v>
      </c>
      <c r="F9" s="71">
        <v>0.010988956317305565</v>
      </c>
      <c r="G9" s="74">
        <v>0.05000007152557373</v>
      </c>
      <c r="H9" s="2" t="s">
        <v>244</v>
      </c>
      <c r="I9" s="2" t="s">
        <v>266</v>
      </c>
    </row>
    <row r="10" spans="2:9" ht="15.75" customHeight="1">
      <c r="B10" s="223" t="s">
        <v>92</v>
      </c>
      <c r="C10" s="224"/>
      <c r="D10" s="224"/>
      <c r="E10" s="224"/>
      <c r="F10" s="224"/>
      <c r="G10" s="225"/>
    </row>
    <row r="11" spans="2:9" ht="25.05" customHeight="1">
      <c r="B11" s="4" t="s">
        <v>39</v>
      </c>
      <c r="C11" s="226" t="s">
        <v>21</v>
      </c>
      <c r="D11" s="216"/>
      <c r="E11" s="5" t="s">
        <v>94</v>
      </c>
      <c r="F11" s="54"/>
      <c r="G11" s="5" t="s">
        <v>93</v>
      </c>
    </row>
    <row r="12" spans="2:9" ht="25.05" customHeight="1">
      <c r="B12" s="4" t="s">
        <v>40</v>
      </c>
      <c r="C12" s="226" t="s">
        <v>56</v>
      </c>
      <c r="D12" s="216"/>
      <c r="E12" s="5" t="s">
        <v>86</v>
      </c>
      <c r="F12" s="54"/>
      <c r="G12" s="5" t="s">
        <v>86</v>
      </c>
    </row>
    <row r="13" spans="2:9" ht="25.05" customHeight="1">
      <c r="B13" s="4" t="s">
        <v>34</v>
      </c>
      <c r="C13" s="227">
        <v>0.9400010704994202</v>
      </c>
      <c r="D13" s="228">
        <v>0.9100018739700317</v>
      </c>
      <c r="E13" s="95">
        <v>18</v>
      </c>
      <c r="F13" s="97"/>
      <c r="G13" s="88"/>
    </row>
    <row r="14" spans="2:9" ht="25.05" customHeight="1">
      <c r="B14" s="7" t="s">
        <v>35</v>
      </c>
      <c r="C14" s="229">
        <v>0.9400010704994202</v>
      </c>
      <c r="D14" s="230">
        <v>0.9100018739700317</v>
      </c>
      <c r="E14" s="96">
        <v>18</v>
      </c>
      <c r="F14" s="98"/>
      <c r="G14" s="89"/>
    </row>
    <row r="15" spans="2:9" ht="25.05" customHeight="1">
      <c r="C15" s="219" t="s">
        <v>267</v>
      </c>
      <c r="D15" s="219"/>
      <c r="E15" s="219"/>
      <c r="F15" s="219"/>
      <c r="G15" s="219"/>
    </row>
  </sheetData>
  <mergeCells count="9">
    <mergeCell ref="C15:G15"/>
    <mergeCell ref="B2:G2"/>
    <mergeCell ref="B4:G4"/>
    <mergeCell ref="B10:G10"/>
    <mergeCell ref="C11:D11"/>
    <mergeCell ref="C12:D12"/>
    <mergeCell ref="C13:D13"/>
    <mergeCell ref="C14:D14"/>
    <mergeCell ref="B3:G3"/>
  </mergeCells>
  <phoneticPr fontId="1" type="noConversion"/>
  <pageMargins left="0.7" right="0.7" top="0.75" bottom="0.75" header="0.3" footer="0.3"/>
  <legacy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B2:F18"/>
  <sheetViews>
    <sheetView workbookViewId="0">
      <selection activeCell="E12" sqref="E12"/>
    </sheetView>
  </sheetViews>
  <sheetFormatPr defaultColWidth="9" defaultRowHeight="13.9"/>
  <cols>
    <col min="1" max="1" width="2.265625" style="1" customWidth="1"/>
    <col min="2" max="5" width="19.59765625" style="1" customWidth="1"/>
    <col min="6" max="6" width="12.59765625" style="1" customWidth="1"/>
  </cols>
  <sheetData>
    <row r="2" spans="2:5" ht="30" customHeight="1">
      <c r="B2" s="176" t="s">
        <v>166</v>
      </c>
      <c r="C2" s="176"/>
      <c r="D2" s="176"/>
      <c r="E2" s="176"/>
    </row>
    <row r="3" spans="2:5" ht="15" customHeight="1">
      <c r="B3" s="197"/>
      <c r="C3" s="197"/>
      <c r="D3" s="197"/>
      <c r="E3" s="197"/>
    </row>
    <row r="4" spans="2:5" ht="25.05" customHeight="1">
      <c r="B4" s="231" t="s">
        <v>109</v>
      </c>
      <c r="C4" s="34" t="s">
        <v>108</v>
      </c>
      <c r="D4" s="34" t="s">
        <v>110</v>
      </c>
      <c r="E4" s="232" t="s">
        <v>111</v>
      </c>
    </row>
    <row r="5" spans="2:5" ht="25.05" customHeight="1">
      <c r="B5" s="193"/>
      <c r="C5" s="53" t="s">
        <v>107</v>
      </c>
      <c r="D5" s="53" t="s">
        <v>12</v>
      </c>
      <c r="E5" s="233"/>
    </row>
    <row r="6" spans="2:5" ht="25.05" customHeight="1">
      <c r="B6" s="40" t="s">
        <v>105</v>
      </c>
      <c r="C6" s="53" t="s">
        <v>268</v>
      </c>
      <c r="D6" s="53">
        <v>0.4399995803833008</v>
      </c>
      <c r="E6" s="54">
        <v>301</v>
      </c>
    </row>
    <row r="7" spans="2:5" ht="25.05" customHeight="1">
      <c r="B7" s="55" t="s">
        <v>106</v>
      </c>
      <c r="C7" s="56"/>
      <c r="D7" s="56">
        <v>0.43999961018562317</v>
      </c>
      <c r="E7" s="57">
        <v>301</v>
      </c>
    </row>
    <row r="8" spans="2:5" ht="15" customHeight="1">
      <c r="B8" s="234"/>
      <c r="C8" s="235"/>
      <c r="D8" s="235"/>
      <c r="E8" s="236"/>
    </row>
    <row r="9" spans="2:5" ht="25.05" customHeight="1">
      <c r="B9" s="231" t="s">
        <v>101</v>
      </c>
      <c r="C9" s="34" t="s">
        <v>21</v>
      </c>
      <c r="D9" s="34" t="s">
        <v>94</v>
      </c>
      <c r="E9" s="52" t="s">
        <v>93</v>
      </c>
    </row>
    <row r="10" spans="2:5" ht="25.05" customHeight="1">
      <c r="B10" s="193"/>
      <c r="C10" s="53" t="s">
        <v>56</v>
      </c>
      <c r="D10" s="53" t="s">
        <v>86</v>
      </c>
      <c r="E10" s="54" t="s">
        <v>86</v>
      </c>
    </row>
    <row r="11" spans="2:5" ht="25.05" customHeight="1">
      <c r="B11" s="40" t="s">
        <v>102</v>
      </c>
      <c r="C11" s="90">
        <v>0.9100018739700317</v>
      </c>
      <c r="D11" s="90">
        <v>0.9199986457824707</v>
      </c>
      <c r="E11" s="91">
        <v>15</v>
      </c>
    </row>
    <row r="12" spans="2:5" ht="25.05" customHeight="1">
      <c r="B12" s="40" t="s">
        <v>103</v>
      </c>
      <c r="C12" s="53">
        <v>0.9299993515014648</v>
      </c>
      <c r="D12" s="53">
        <v>0.03999996930360794</v>
      </c>
      <c r="E12" s="91">
        <v>17</v>
      </c>
    </row>
    <row r="13" spans="2:5" ht="25.05" customHeight="1">
      <c r="B13" s="55" t="s">
        <v>104</v>
      </c>
      <c r="C13" s="56" t="e">
        <f>C11-C12</f>
        <v>#VALUE!</v>
      </c>
      <c r="D13" s="56" t="e">
        <f>D11-D12</f>
        <v>#VALUE!</v>
      </c>
      <c r="E13" s="57" t="e">
        <f t="shared" ref="E13" si="0">E11-E12</f>
        <v>#VALUE!</v>
      </c>
    </row>
    <row r="18" ht="14.1" customHeight="1"/>
  </sheetData>
  <mergeCells count="6">
    <mergeCell ref="B2:E2"/>
    <mergeCell ref="B3:E3"/>
    <mergeCell ref="B4:B5"/>
    <mergeCell ref="E4:E5"/>
    <mergeCell ref="B9:B10"/>
    <mergeCell ref="B8:E8"/>
  </mergeCells>
  <phoneticPr fontId="1" type="noConversion"/>
  <pageMargins left="0.7" right="0.7" top="0.75" bottom="0.75" header="0.3" footer="0.3"/>
  <pageSetup paperSize="9" orientation="portrait" verticalDpi="0" r:id="rId1"/>
  <legacy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sheetPr>
    <tabColor rgb="FF00B050"/>
  </sheetPr>
  <dimension ref="B2:G11"/>
  <sheetViews>
    <sheetView workbookViewId="0">
      <selection activeCell="F13" sqref="F13"/>
    </sheetView>
  </sheetViews>
  <sheetFormatPr defaultRowHeight="13.9"/>
  <cols>
    <col min="1" max="1" width="2.59765625" customWidth="1"/>
    <col min="2" max="2" width="20.265625" customWidth="1"/>
    <col min="3" max="5" width="15.59765625" customWidth="1"/>
    <col min="6" max="6" width="12.9296875" bestFit="1" customWidth="1"/>
  </cols>
  <sheetData>
    <row r="2" spans="2:6" ht="30" customHeight="1">
      <c r="B2" s="176" t="s">
        <v>167</v>
      </c>
      <c r="C2" s="176"/>
      <c r="D2" s="176"/>
      <c r="E2" s="176"/>
    </row>
    <row r="3" spans="2:6" ht="15" customHeight="1">
      <c r="B3" s="237"/>
      <c r="C3" s="237"/>
      <c r="D3" s="237"/>
      <c r="E3" s="237"/>
    </row>
    <row r="4" spans="2:6" s="1" customFormat="1" ht="25.05" customHeight="1">
      <c r="B4" s="3" t="s">
        <v>98</v>
      </c>
      <c r="C4" s="238"/>
      <c r="D4" s="239"/>
      <c r="E4" s="240"/>
      <c r="F4" s="36" t="s">
        <v>56</v>
      </c>
    </row>
    <row r="5" spans="2:6" s="1" customFormat="1" ht="25.05" customHeight="1">
      <c r="B5" s="37" t="s">
        <v>99</v>
      </c>
      <c r="C5" s="241">
        <v>10500</v>
      </c>
      <c r="D5" s="242"/>
      <c r="E5" s="243"/>
      <c r="F5" s="66" t="s">
        <v>100</v>
      </c>
    </row>
    <row r="6" spans="2:6" s="45" customFormat="1" ht="40.25" customHeight="1">
      <c r="B6" s="160" t="s">
        <v>276</v>
      </c>
      <c r="C6" s="161" t="s">
        <v>22</v>
      </c>
      <c r="D6" s="161" t="s">
        <v>96</v>
      </c>
      <c r="E6" s="161" t="s">
        <v>95</v>
      </c>
      <c r="F6" s="172" t="s">
        <v>97</v>
      </c>
    </row>
    <row r="7" spans="2:6" ht="40.25" customHeight="1">
      <c r="B7" s="92" t="s">
        <v>33</v>
      </c>
      <c r="C7" s="162">
        <v>0.9200023412704468</v>
      </c>
      <c r="D7" s="162">
        <v>0.03000005893409252</v>
      </c>
      <c r="E7" s="162">
        <v>15</v>
      </c>
      <c r="F7" s="173">
        <v>0</v>
      </c>
    </row>
    <row r="8" spans="2:6" ht="40.25" customHeight="1">
      <c r="B8" s="163" t="s">
        <v>34</v>
      </c>
      <c r="C8" s="162">
        <v>0.9199986457824707</v>
      </c>
      <c r="D8" s="162">
        <v>0.030000004917383194</v>
      </c>
      <c r="E8" s="162">
        <v>15</v>
      </c>
      <c r="F8" s="173">
        <v>0</v>
      </c>
    </row>
    <row r="9" spans="2:6" ht="40.25" customHeight="1">
      <c r="B9" s="163" t="s">
        <v>35</v>
      </c>
      <c r="C9" s="162">
        <v>0.9199986457824707</v>
      </c>
      <c r="D9" s="162">
        <v>0.030000008642673492</v>
      </c>
      <c r="E9" s="162">
        <v>15</v>
      </c>
      <c r="F9" s="173">
        <v>0</v>
      </c>
    </row>
    <row r="10" spans="2:6">
      <c r="B10" s="164" t="s">
        <v>278</v>
      </c>
      <c r="C10" s="244" t="s">
        <v>285</v>
      </c>
      <c r="D10" s="244"/>
      <c r="E10" s="244"/>
      <c r="F10" s="244"/>
    </row>
    <row r="11" spans="2:6">
      <c r="F11" s="0" t="s">
        <v>291</v>
      </c>
    </row>
  </sheetData>
  <mergeCells count="5">
    <mergeCell ref="B2:E2"/>
    <mergeCell ref="B3:E3"/>
    <mergeCell ref="C4:E4"/>
    <mergeCell ref="C5:E5"/>
    <mergeCell ref="C10:F10"/>
  </mergeCells>
  <phoneticPr fontId="1" type="noConversion"/>
  <pageMargins left="0.7" right="0.7" top="0.75" bottom="0.75" header="0.3" footer="0.3"/>
  <drawing r:id="rId1"/>
  <legacy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sheetPr>
    <tabColor rgb="FFFFFF00"/>
  </sheetPr>
  <dimension ref="B2:Y23"/>
  <sheetViews>
    <sheetView zoomScale="85" zoomScaleNormal="85" workbookViewId="0">
      <selection activeCell="M15" sqref="M15"/>
    </sheetView>
  </sheetViews>
  <sheetFormatPr defaultRowHeight="13.9"/>
  <cols>
    <col min="1" max="1" width="2.33203125" customWidth="1"/>
    <col min="2" max="2" width="12.59765625" customWidth="1"/>
    <col min="3" max="10" width="10.59765625" customWidth="1"/>
  </cols>
  <sheetData>
    <row r="2" spans="2:24" ht="30" customHeight="1">
      <c r="B2" s="176" t="s">
        <v>168</v>
      </c>
      <c r="C2" s="176"/>
      <c r="D2" s="176"/>
      <c r="E2" s="176"/>
      <c r="F2" s="176"/>
      <c r="G2" s="176"/>
      <c r="H2" s="176"/>
      <c r="I2" s="176"/>
      <c r="J2" s="176"/>
    </row>
    <row r="3" spans="2:24" ht="25.05" customHeight="1">
      <c r="B3" s="268" t="s">
        <v>116</v>
      </c>
      <c r="C3" s="268"/>
      <c r="D3" s="268"/>
      <c r="E3" s="268"/>
      <c r="F3" s="268"/>
      <c r="G3" s="268"/>
      <c r="H3" s="268"/>
      <c r="I3" s="268"/>
      <c r="J3" s="268"/>
    </row>
    <row r="4" spans="2:24" ht="15" customHeight="1"/>
    <row r="5" spans="2:24" ht="30" customHeight="1">
      <c r="B5" s="266" t="s">
        <v>112</v>
      </c>
      <c r="C5" s="75" t="s">
        <v>146</v>
      </c>
      <c r="D5" s="75" t="s">
        <v>147</v>
      </c>
      <c r="E5" s="75" t="s">
        <v>148</v>
      </c>
      <c r="F5" s="75" t="s">
        <v>149</v>
      </c>
      <c r="G5" s="75" t="s">
        <v>150</v>
      </c>
      <c r="H5" s="75" t="s">
        <v>151</v>
      </c>
      <c r="I5" s="75" t="s">
        <v>153</v>
      </c>
      <c r="J5" s="76" t="s">
        <v>152</v>
      </c>
    </row>
    <row r="6" spans="2:24" ht="25.05" customHeight="1">
      <c r="B6" s="267"/>
      <c r="C6" s="5" t="s">
        <v>114</v>
      </c>
      <c r="D6" s="5" t="s">
        <v>114</v>
      </c>
      <c r="E6" s="5" t="s">
        <v>115</v>
      </c>
      <c r="F6" s="5" t="s">
        <v>115</v>
      </c>
      <c r="G6" s="5" t="s">
        <v>115</v>
      </c>
      <c r="H6" s="5" t="s">
        <v>115</v>
      </c>
      <c r="I6" s="5" t="s">
        <v>115</v>
      </c>
      <c r="J6" s="6" t="s">
        <v>115</v>
      </c>
    </row>
    <row r="7" spans="2:24" s="1" customFormat="1" ht="25.05" customHeight="1">
      <c r="B7" s="16" t="s">
        <v>47</v>
      </c>
      <c r="C7" s="18">
        <v>1.4630000000000001</v>
      </c>
      <c r="D7" s="18">
        <v>0.25</v>
      </c>
      <c r="E7" s="18">
        <v>0.1</v>
      </c>
      <c r="F7" s="18" t="s">
        <v>12</v>
      </c>
      <c r="G7" s="18" t="s">
        <v>12</v>
      </c>
      <c r="H7" s="18" t="s">
        <v>12</v>
      </c>
      <c r="I7" s="67">
        <v>3</v>
      </c>
      <c r="J7" s="68">
        <v>0.57499999999999996</v>
      </c>
    </row>
    <row r="8" spans="2:24" s="1" customFormat="1" ht="25.05" customHeight="1">
      <c r="B8" s="4" t="s">
        <v>33</v>
      </c>
      <c r="C8" s="5">
        <v>0</v>
      </c>
      <c r="D8" s="5">
        <v>0</v>
      </c>
      <c r="E8" s="5">
        <v>0</v>
      </c>
      <c r="F8" s="5">
        <v>0</v>
      </c>
      <c r="G8" s="5">
        <v>0</v>
      </c>
      <c r="H8" s="5">
        <v>0</v>
      </c>
      <c r="I8" s="53">
        <v>0</v>
      </c>
      <c r="J8" s="54">
        <v>0</v>
      </c>
    </row>
    <row r="9" spans="2:24" s="1" customFormat="1" ht="25.05" customHeight="1">
      <c r="B9" s="16" t="s">
        <v>105</v>
      </c>
      <c r="C9" s="17">
        <v>0</v>
      </c>
      <c r="D9" s="17">
        <v>0</v>
      </c>
      <c r="E9" s="17">
        <v>0</v>
      </c>
      <c r="F9" s="17">
        <v>0</v>
      </c>
      <c r="G9" s="17">
        <v>0</v>
      </c>
      <c r="H9" s="17">
        <v>0</v>
      </c>
      <c r="I9" s="69">
        <v>0</v>
      </c>
      <c r="J9" s="70">
        <v>0</v>
      </c>
    </row>
    <row r="10" spans="2:24" s="1" customFormat="1" ht="25.05" customHeight="1" thickBot="1">
      <c r="B10" s="7" t="s">
        <v>106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56">
        <v>0</v>
      </c>
      <c r="J10" s="57">
        <v>0</v>
      </c>
    </row>
    <row r="11" spans="2:24" s="1" customFormat="1" ht="25.05" customHeight="1" thickBot="1">
      <c r="B11" s="2"/>
      <c r="C11" s="2"/>
      <c r="D11" s="2"/>
      <c r="E11" s="2"/>
      <c r="F11" s="2"/>
      <c r="G11" s="2"/>
      <c r="H11" s="2"/>
    </row>
    <row r="12" spans="2:24" s="1" customFormat="1" ht="25.05" customHeight="1">
      <c r="B12" s="269">
        <v>2025</v>
      </c>
      <c r="C12" s="270"/>
      <c r="D12" s="117"/>
      <c r="E12" s="271" t="s">
        <v>210</v>
      </c>
      <c r="F12" s="271"/>
      <c r="G12" s="270"/>
      <c r="H12" s="270"/>
      <c r="I12" s="270"/>
      <c r="J12" s="270"/>
      <c r="K12" s="270"/>
      <c r="L12" s="270"/>
      <c r="M12" s="270"/>
      <c r="N12" s="270"/>
      <c r="O12" s="270"/>
      <c r="P12" s="270"/>
      <c r="Q12" s="270"/>
      <c r="R12" s="270"/>
      <c r="S12" s="270"/>
      <c r="T12" s="270"/>
      <c r="U12" s="270"/>
      <c r="V12" s="270"/>
      <c r="W12" s="270"/>
      <c r="X12" s="272"/>
    </row>
    <row r="13" spans="2:24" s="1" customFormat="1" ht="25.05" customHeight="1">
      <c r="B13" s="262" t="s">
        <v>117</v>
      </c>
      <c r="C13" s="264" t="s">
        <v>135</v>
      </c>
      <c r="D13" s="264" t="s">
        <v>211</v>
      </c>
      <c r="E13" s="252" t="s">
        <v>131</v>
      </c>
      <c r="F13" s="253"/>
      <c r="G13" s="250" t="s">
        <v>212</v>
      </c>
      <c r="H13" s="251"/>
      <c r="I13" s="260" t="s">
        <v>213</v>
      </c>
      <c r="J13" s="261"/>
      <c r="K13" s="250" t="s">
        <v>214</v>
      </c>
      <c r="L13" s="251"/>
      <c r="M13" s="252" t="s">
        <v>215</v>
      </c>
      <c r="N13" s="253"/>
      <c r="O13" s="250" t="s">
        <v>216</v>
      </c>
      <c r="P13" s="251"/>
      <c r="Q13" s="252" t="s">
        <v>217</v>
      </c>
      <c r="R13" s="253"/>
      <c r="S13" s="250" t="s">
        <v>218</v>
      </c>
      <c r="T13" s="251"/>
      <c r="U13" s="252" t="s">
        <v>219</v>
      </c>
      <c r="V13" s="253"/>
      <c r="W13" s="251" t="s">
        <v>220</v>
      </c>
      <c r="X13" s="254"/>
    </row>
    <row r="14" spans="2:24" ht="25.05" customHeight="1">
      <c r="B14" s="263"/>
      <c r="C14" s="265"/>
      <c r="D14" s="265"/>
      <c r="E14" s="118" t="s">
        <v>221</v>
      </c>
      <c r="F14" s="118" t="s">
        <v>40</v>
      </c>
      <c r="G14" s="111" t="s">
        <v>221</v>
      </c>
      <c r="H14" s="111" t="s">
        <v>40</v>
      </c>
      <c r="I14" s="118" t="s">
        <v>221</v>
      </c>
      <c r="J14" s="118" t="s">
        <v>40</v>
      </c>
      <c r="K14" s="111" t="s">
        <v>222</v>
      </c>
      <c r="L14" s="111" t="s">
        <v>223</v>
      </c>
      <c r="M14" s="118" t="s">
        <v>222</v>
      </c>
      <c r="N14" s="118" t="s">
        <v>223</v>
      </c>
      <c r="O14" s="111" t="s">
        <v>222</v>
      </c>
      <c r="P14" s="111" t="s">
        <v>223</v>
      </c>
      <c r="Q14" s="118" t="s">
        <v>222</v>
      </c>
      <c r="R14" s="118" t="s">
        <v>223</v>
      </c>
      <c r="S14" s="111" t="s">
        <v>222</v>
      </c>
      <c r="T14" s="111" t="s">
        <v>223</v>
      </c>
      <c r="U14" s="118" t="s">
        <v>224</v>
      </c>
      <c r="V14" s="118" t="s">
        <v>40</v>
      </c>
      <c r="W14" s="111" t="s">
        <v>225</v>
      </c>
      <c r="X14" s="119" t="s">
        <v>223</v>
      </c>
    </row>
    <row r="15" spans="2:24">
      <c r="B15" s="255">
        <v>1201</v>
      </c>
      <c r="C15" s="206" t="s">
        <v>226</v>
      </c>
      <c r="D15" s="43" t="s">
        <v>12</v>
      </c>
      <c r="E15" s="120"/>
      <c r="F15" s="120" t="s">
        <v>113</v>
      </c>
      <c r="G15" s="121"/>
      <c r="H15" s="121" t="s">
        <v>113</v>
      </c>
      <c r="I15" s="120"/>
      <c r="J15" s="120" t="s">
        <v>100</v>
      </c>
      <c r="K15" s="122"/>
      <c r="L15" s="121" t="s">
        <v>113</v>
      </c>
      <c r="M15" s="120"/>
      <c r="N15" s="120" t="s">
        <v>113</v>
      </c>
      <c r="O15" s="121"/>
      <c r="P15" s="121" t="s">
        <v>113</v>
      </c>
      <c r="Q15" s="122"/>
      <c r="R15" s="120" t="s">
        <v>113</v>
      </c>
      <c r="S15" s="122"/>
      <c r="T15" s="121" t="s">
        <v>227</v>
      </c>
      <c r="U15" s="120"/>
      <c r="V15" s="120" t="s">
        <v>100</v>
      </c>
      <c r="W15" s="121">
        <v>1</v>
      </c>
      <c r="X15" s="123" t="s">
        <v>100</v>
      </c>
    </row>
    <row r="16" spans="2:24">
      <c r="B16" s="256"/>
      <c r="C16" s="258"/>
      <c r="D16" s="124" t="s">
        <v>228</v>
      </c>
      <c r="E16" s="125"/>
      <c r="F16" s="125" t="s">
        <v>113</v>
      </c>
      <c r="G16" s="64"/>
      <c r="H16" s="64" t="s">
        <v>113</v>
      </c>
      <c r="I16" s="125"/>
      <c r="J16" s="125" t="s">
        <v>113</v>
      </c>
      <c r="K16" s="64"/>
      <c r="L16" s="64" t="s">
        <v>113</v>
      </c>
      <c r="M16" s="125"/>
      <c r="N16" s="125" t="s">
        <v>113</v>
      </c>
      <c r="O16" s="64"/>
      <c r="P16" s="64" t="s">
        <v>113</v>
      </c>
      <c r="Q16" s="125"/>
      <c r="R16" s="125" t="s">
        <v>113</v>
      </c>
      <c r="S16" s="64"/>
      <c r="T16" s="64" t="s">
        <v>113</v>
      </c>
      <c r="U16" s="125"/>
      <c r="V16" s="125" t="s">
        <v>113</v>
      </c>
      <c r="W16" s="64"/>
      <c r="X16" s="126" t="s">
        <v>229</v>
      </c>
    </row>
    <row r="17" spans="2:24">
      <c r="B17" s="256"/>
      <c r="C17" s="258"/>
      <c r="D17" s="127" t="s">
        <v>230</v>
      </c>
      <c r="E17" s="125" t="e">
        <f>E15/E16</f>
        <v>#DIV/0!</v>
      </c>
      <c r="F17" s="125" t="s">
        <v>114</v>
      </c>
      <c r="G17" s="64" t="e">
        <f>G15/G16</f>
        <v>#DIV/0!</v>
      </c>
      <c r="H17" s="64" t="s">
        <v>114</v>
      </c>
      <c r="I17" s="125" t="e">
        <f>I15/I16</f>
        <v>#DIV/0!</v>
      </c>
      <c r="J17" s="125" t="s">
        <v>115</v>
      </c>
      <c r="K17" s="64" t="e">
        <f>K15/K16</f>
        <v>#DIV/0!</v>
      </c>
      <c r="L17" s="64" t="s">
        <v>114</v>
      </c>
      <c r="M17" s="125" t="e">
        <f>M15/M16</f>
        <v>#DIV/0!</v>
      </c>
      <c r="N17" s="125" t="s">
        <v>114</v>
      </c>
      <c r="O17" s="64" t="e">
        <f>O15/O16</f>
        <v>#DIV/0!</v>
      </c>
      <c r="P17" s="64" t="s">
        <v>114</v>
      </c>
      <c r="Q17" s="125" t="e">
        <f>Q15/Q16</f>
        <v>#DIV/0!</v>
      </c>
      <c r="R17" s="125" t="s">
        <v>114</v>
      </c>
      <c r="S17" s="64" t="e">
        <f>S15/S16</f>
        <v>#DIV/0!</v>
      </c>
      <c r="T17" s="64" t="s">
        <v>231</v>
      </c>
      <c r="U17" s="125" t="e">
        <f>U15/U16</f>
        <v>#DIV/0!</v>
      </c>
      <c r="V17" s="125" t="s">
        <v>232</v>
      </c>
      <c r="W17" s="64" t="e">
        <f>W15/W16</f>
        <v>#DIV/0!</v>
      </c>
      <c r="X17" s="126" t="s">
        <v>115</v>
      </c>
    </row>
    <row r="18" spans="2:24">
      <c r="B18" s="256"/>
      <c r="C18" s="258" t="s">
        <v>233</v>
      </c>
      <c r="D18" s="124" t="s">
        <v>12</v>
      </c>
      <c r="E18" s="125"/>
      <c r="F18" s="125" t="s">
        <v>113</v>
      </c>
      <c r="G18" s="64"/>
      <c r="H18" s="64" t="s">
        <v>113</v>
      </c>
      <c r="I18" s="125"/>
      <c r="J18" s="125" t="s">
        <v>100</v>
      </c>
      <c r="K18" s="128"/>
      <c r="L18" s="64" t="s">
        <v>113</v>
      </c>
      <c r="M18" s="125"/>
      <c r="N18" s="125" t="s">
        <v>113</v>
      </c>
      <c r="O18" s="64"/>
      <c r="P18" s="64" t="s">
        <v>113</v>
      </c>
      <c r="Q18" s="128"/>
      <c r="R18" s="125" t="s">
        <v>113</v>
      </c>
      <c r="S18" s="128"/>
      <c r="T18" s="64" t="s">
        <v>227</v>
      </c>
      <c r="U18" s="125"/>
      <c r="V18" s="125" t="s">
        <v>100</v>
      </c>
      <c r="W18" s="64"/>
      <c r="X18" s="126" t="s">
        <v>100</v>
      </c>
    </row>
    <row r="19" spans="2:24">
      <c r="B19" s="256"/>
      <c r="C19" s="258"/>
      <c r="D19" s="124" t="s">
        <v>228</v>
      </c>
      <c r="E19" s="125"/>
      <c r="F19" s="125" t="s">
        <v>113</v>
      </c>
      <c r="G19" s="64"/>
      <c r="H19" s="64" t="s">
        <v>113</v>
      </c>
      <c r="I19" s="125"/>
      <c r="J19" s="125" t="s">
        <v>113</v>
      </c>
      <c r="K19" s="64"/>
      <c r="L19" s="64" t="s">
        <v>113</v>
      </c>
      <c r="M19" s="125"/>
      <c r="N19" s="125" t="s">
        <v>113</v>
      </c>
      <c r="O19" s="64"/>
      <c r="P19" s="64" t="s">
        <v>113</v>
      </c>
      <c r="Q19" s="125"/>
      <c r="R19" s="125" t="s">
        <v>113</v>
      </c>
      <c r="S19" s="64"/>
      <c r="T19" s="64" t="s">
        <v>113</v>
      </c>
      <c r="U19" s="125"/>
      <c r="V19" s="125" t="s">
        <v>113</v>
      </c>
      <c r="W19" s="64"/>
      <c r="X19" s="126" t="s">
        <v>229</v>
      </c>
    </row>
    <row r="20" spans="2:24">
      <c r="B20" s="257"/>
      <c r="C20" s="259"/>
      <c r="D20" s="129" t="s">
        <v>230</v>
      </c>
      <c r="E20" s="130" t="e">
        <f>E18/E19</f>
        <v>#DIV/0!</v>
      </c>
      <c r="F20" s="130" t="s">
        <v>114</v>
      </c>
      <c r="G20" s="65" t="e">
        <f>G18/G19</f>
        <v>#DIV/0!</v>
      </c>
      <c r="H20" s="65" t="s">
        <v>114</v>
      </c>
      <c r="I20" s="130" t="e">
        <f>I18/I19</f>
        <v>#DIV/0!</v>
      </c>
      <c r="J20" s="130" t="s">
        <v>115</v>
      </c>
      <c r="K20" s="65" t="e">
        <f>K18/K19</f>
        <v>#DIV/0!</v>
      </c>
      <c r="L20" s="65" t="s">
        <v>114</v>
      </c>
      <c r="M20" s="130" t="e">
        <f>M18/M19</f>
        <v>#DIV/0!</v>
      </c>
      <c r="N20" s="130" t="s">
        <v>114</v>
      </c>
      <c r="O20" s="65" t="e">
        <f>O18/O19</f>
        <v>#DIV/0!</v>
      </c>
      <c r="P20" s="65" t="s">
        <v>114</v>
      </c>
      <c r="Q20" s="130" t="e">
        <f>Q18/Q19</f>
        <v>#DIV/0!</v>
      </c>
      <c r="R20" s="130" t="s">
        <v>114</v>
      </c>
      <c r="S20" s="65" t="e">
        <f>S18/S19</f>
        <v>#DIV/0!</v>
      </c>
      <c r="T20" s="65" t="s">
        <v>231</v>
      </c>
      <c r="U20" s="130" t="e">
        <f>U18/U19</f>
        <v>#DIV/0!</v>
      </c>
      <c r="V20" s="130" t="s">
        <v>115</v>
      </c>
      <c r="W20" s="65" t="e">
        <f>W18/W19</f>
        <v>#DIV/0!</v>
      </c>
      <c r="X20" s="131" t="s">
        <v>115</v>
      </c>
    </row>
    <row r="21" spans="2:24">
      <c r="B21" s="245" t="s">
        <v>234</v>
      </c>
      <c r="C21" s="246"/>
      <c r="D21" s="246"/>
      <c r="E21" s="132"/>
      <c r="F21" s="133" t="s">
        <v>229</v>
      </c>
      <c r="G21" s="134">
        <f>G15+G18</f>
        <v>0</v>
      </c>
      <c r="H21" s="99" t="s">
        <v>229</v>
      </c>
      <c r="I21" s="132">
        <f>I15+I18</f>
        <v>0</v>
      </c>
      <c r="J21" s="133" t="s">
        <v>235</v>
      </c>
      <c r="K21" s="134">
        <f>K15+K18</f>
        <v>0</v>
      </c>
      <c r="L21" s="99" t="s">
        <v>229</v>
      </c>
      <c r="M21" s="132">
        <f>M15+M18</f>
        <v>0</v>
      </c>
      <c r="N21" s="133" t="s">
        <v>229</v>
      </c>
      <c r="O21" s="134">
        <f>O15+O18</f>
        <v>0</v>
      </c>
      <c r="P21" s="99" t="s">
        <v>229</v>
      </c>
      <c r="Q21" s="132">
        <f>Q15+Q18</f>
        <v>0</v>
      </c>
      <c r="R21" s="133" t="s">
        <v>229</v>
      </c>
      <c r="S21" s="134">
        <f>S15+S18</f>
        <v>0</v>
      </c>
      <c r="T21" s="99" t="s">
        <v>236</v>
      </c>
      <c r="U21" s="132">
        <f>U15+U18</f>
        <v>0</v>
      </c>
      <c r="V21" s="133" t="s">
        <v>235</v>
      </c>
      <c r="W21" s="134">
        <f>W15+W18</f>
        <v>1</v>
      </c>
      <c r="X21" s="135" t="s">
        <v>235</v>
      </c>
    </row>
    <row r="22" spans="2:24">
      <c r="B22" s="247" t="s">
        <v>237</v>
      </c>
      <c r="C22" s="216"/>
      <c r="D22" s="216"/>
      <c r="E22" s="136"/>
      <c r="F22" s="90" t="s">
        <v>229</v>
      </c>
      <c r="G22" s="137">
        <f>G16+G19</f>
        <v>0</v>
      </c>
      <c r="H22" s="53" t="s">
        <v>229</v>
      </c>
      <c r="I22" s="136">
        <f>I16+I19</f>
        <v>0</v>
      </c>
      <c r="J22" s="90" t="s">
        <v>229</v>
      </c>
      <c r="K22" s="137">
        <f>K16+K19</f>
        <v>0</v>
      </c>
      <c r="L22" s="53" t="s">
        <v>229</v>
      </c>
      <c r="M22" s="136">
        <f>M16+M19</f>
        <v>0</v>
      </c>
      <c r="N22" s="90" t="s">
        <v>229</v>
      </c>
      <c r="O22" s="137">
        <f>O16+O19</f>
        <v>0</v>
      </c>
      <c r="P22" s="53" t="s">
        <v>229</v>
      </c>
      <c r="Q22" s="136">
        <f>Q16+Q19</f>
        <v>0</v>
      </c>
      <c r="R22" s="90" t="s">
        <v>229</v>
      </c>
      <c r="S22" s="137">
        <f>S16+S19</f>
        <v>0</v>
      </c>
      <c r="T22" s="53" t="s">
        <v>229</v>
      </c>
      <c r="U22" s="136">
        <f>U16+U19</f>
        <v>0</v>
      </c>
      <c r="V22" s="90" t="s">
        <v>229</v>
      </c>
      <c r="W22" s="137">
        <f>W16+W19</f>
        <v>0</v>
      </c>
      <c r="X22" s="138" t="s">
        <v>229</v>
      </c>
    </row>
    <row r="23" spans="2:24" ht="14.25" thickBot="1">
      <c r="B23" s="248" t="s">
        <v>238</v>
      </c>
      <c r="C23" s="249"/>
      <c r="D23" s="249"/>
      <c r="E23" s="139" t="e">
        <f>E21/E22</f>
        <v>#DIV/0!</v>
      </c>
      <c r="F23" s="139" t="s">
        <v>239</v>
      </c>
      <c r="G23" s="140" t="e">
        <f>G21/G22</f>
        <v>#DIV/0!</v>
      </c>
      <c r="H23" s="140" t="s">
        <v>239</v>
      </c>
      <c r="I23" s="139" t="e">
        <f>I21/I22</f>
        <v>#DIV/0!</v>
      </c>
      <c r="J23" s="139" t="s">
        <v>232</v>
      </c>
      <c r="K23" s="140" t="e">
        <f>K21/K22</f>
        <v>#DIV/0!</v>
      </c>
      <c r="L23" s="140" t="s">
        <v>239</v>
      </c>
      <c r="M23" s="139" t="e">
        <f>M21/M22</f>
        <v>#DIV/0!</v>
      </c>
      <c r="N23" s="139" t="s">
        <v>239</v>
      </c>
      <c r="O23" s="140" t="e">
        <f>O21/O22</f>
        <v>#DIV/0!</v>
      </c>
      <c r="P23" s="140" t="s">
        <v>239</v>
      </c>
      <c r="Q23" s="139" t="e">
        <f>Q21/Q22</f>
        <v>#DIV/0!</v>
      </c>
      <c r="R23" s="139" t="s">
        <v>239</v>
      </c>
      <c r="S23" s="140" t="e">
        <f>S21/S22</f>
        <v>#DIV/0!</v>
      </c>
      <c r="T23" s="140" t="s">
        <v>240</v>
      </c>
      <c r="U23" s="139" t="e">
        <f>U21/U22</f>
        <v>#DIV/0!</v>
      </c>
      <c r="V23" s="139" t="s">
        <v>232</v>
      </c>
      <c r="W23" s="140" t="e">
        <f>W21/W22</f>
        <v>#DIV/0!</v>
      </c>
      <c r="X23" s="141" t="s">
        <v>232</v>
      </c>
    </row>
  </sheetData>
  <mergeCells count="24">
    <mergeCell ref="B5:B6"/>
    <mergeCell ref="B3:J3"/>
    <mergeCell ref="B2:J2"/>
    <mergeCell ref="B12:C12"/>
    <mergeCell ref="E12:X12"/>
    <mergeCell ref="W13:X13"/>
    <mergeCell ref="B15:B20"/>
    <mergeCell ref="C15:C17"/>
    <mergeCell ref="C18:C20"/>
    <mergeCell ref="I13:J13"/>
    <mergeCell ref="K13:L13"/>
    <mergeCell ref="M13:N13"/>
    <mergeCell ref="O13:P13"/>
    <mergeCell ref="Q13:R13"/>
    <mergeCell ref="B13:B14"/>
    <mergeCell ref="C13:C14"/>
    <mergeCell ref="D13:D14"/>
    <mergeCell ref="E13:F13"/>
    <mergeCell ref="G13:H13"/>
    <mergeCell ref="B21:D21"/>
    <mergeCell ref="B22:D22"/>
    <mergeCell ref="B23:D23"/>
    <mergeCell ref="S13:T13"/>
    <mergeCell ref="U13:V13"/>
  </mergeCells>
  <phoneticPr fontId="1" type="noConversion"/>
  <pageMargins left="0.7" right="0.7" top="0.75" bottom="0.75" header="0.3" footer="0.3"/>
  <drawing r:id="rId1"/>
  <legacyDrawing r:id="rId2"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sheetPr>
    <tabColor rgb="FF00B050"/>
  </sheetPr>
  <dimension ref="B2:S30"/>
  <sheetViews>
    <sheetView workbookViewId="0">
      <selection activeCell="T30" sqref="T30"/>
    </sheetView>
  </sheetViews>
  <sheetFormatPr defaultColWidth="9" defaultRowHeight="12.75"/>
  <cols>
    <col min="1" max="1" width="2.265625" style="2" customWidth="1"/>
    <col min="2" max="2" width="10" style="2" bestFit="1" customWidth="1"/>
    <col min="3" max="9" width="5.59765625" style="2" customWidth="1"/>
    <col min="10" max="11" width="8.59765625" style="2" customWidth="1"/>
    <col min="12" max="12" width="16" style="2" bestFit="1" customWidth="1"/>
    <col min="13" max="13" width="10.59765625" style="2" customWidth="1"/>
    <col min="14" max="15" width="6.59765625" style="2" customWidth="1"/>
    <col min="16" max="17" width="5.59765625" style="2" customWidth="1"/>
    <col min="18" max="18" width="21.73046875" style="2" customWidth="1"/>
  </cols>
  <sheetData>
    <row r="2" spans="2:18" ht="30" customHeight="1">
      <c r="B2" s="176" t="s">
        <v>169</v>
      </c>
      <c r="C2" s="176"/>
      <c r="D2" s="176"/>
      <c r="E2" s="176"/>
      <c r="F2" s="176"/>
      <c r="G2" s="176"/>
      <c r="H2" s="176"/>
      <c r="I2" s="176"/>
      <c r="J2" s="176"/>
      <c r="K2" s="176"/>
      <c r="L2" s="176"/>
      <c r="M2" s="176"/>
      <c r="N2" s="176"/>
      <c r="O2" s="176"/>
      <c r="P2" s="176"/>
      <c r="Q2" s="176"/>
      <c r="R2" s="176"/>
    </row>
    <row r="3" spans="2:18" ht="30" customHeight="1">
      <c r="B3" s="291" t="s">
        <v>145</v>
      </c>
      <c r="C3" s="291"/>
      <c r="D3" s="291"/>
      <c r="E3" s="291"/>
      <c r="F3" s="291"/>
      <c r="G3" s="291"/>
      <c r="H3" s="291"/>
      <c r="I3" s="291"/>
      <c r="J3" s="291"/>
      <c r="K3" s="291"/>
      <c r="L3" s="291"/>
      <c r="M3" s="291"/>
      <c r="N3" s="291"/>
      <c r="O3" s="291"/>
      <c r="P3" s="291"/>
      <c r="Q3" s="291"/>
      <c r="R3" s="291"/>
    </row>
    <row r="4" spans="2:18" ht="10.05" customHeight="1">
      <c r="B4" s="289"/>
      <c r="C4" s="290"/>
      <c r="D4" s="290"/>
      <c r="E4" s="290"/>
      <c r="F4" s="290"/>
      <c r="G4" s="290"/>
      <c r="H4" s="290"/>
      <c r="I4" s="290"/>
      <c r="J4" s="290"/>
      <c r="K4" s="290"/>
      <c r="L4" s="290"/>
      <c r="M4" s="290"/>
      <c r="N4" s="290"/>
      <c r="O4" s="290"/>
      <c r="P4" s="290"/>
      <c r="Q4" s="290"/>
      <c r="R4" s="290"/>
    </row>
    <row r="5" spans="2:18" ht="15.6" customHeight="1">
      <c r="B5" s="3" t="s">
        <v>117</v>
      </c>
      <c r="C5" s="287" t="s">
        <v>135</v>
      </c>
      <c r="D5" s="294" t="s">
        <v>158</v>
      </c>
      <c r="E5" s="295"/>
      <c r="F5" s="294" t="s">
        <v>159</v>
      </c>
      <c r="G5" s="295"/>
      <c r="H5" s="294" t="s">
        <v>160</v>
      </c>
      <c r="I5" s="295"/>
      <c r="J5" s="294" t="s">
        <v>161</v>
      </c>
      <c r="K5" s="295"/>
      <c r="L5" s="298" t="s">
        <v>162</v>
      </c>
      <c r="M5" s="279" t="s">
        <v>163</v>
      </c>
      <c r="N5" s="303" t="s">
        <v>133</v>
      </c>
      <c r="O5" s="295"/>
      <c r="P5" s="303" t="s">
        <v>165</v>
      </c>
      <c r="Q5" s="295"/>
      <c r="R5" s="308" t="s">
        <v>62</v>
      </c>
    </row>
    <row r="6" spans="2:18" ht="15.6" customHeight="1">
      <c r="B6" s="283">
        <v>45992</v>
      </c>
      <c r="C6" s="226"/>
      <c r="D6" s="296"/>
      <c r="E6" s="297"/>
      <c r="F6" s="296"/>
      <c r="G6" s="297"/>
      <c r="H6" s="296"/>
      <c r="I6" s="297"/>
      <c r="J6" s="296"/>
      <c r="K6" s="297"/>
      <c r="L6" s="299"/>
      <c r="M6" s="246"/>
      <c r="N6" s="296"/>
      <c r="O6" s="297"/>
      <c r="P6" s="296"/>
      <c r="Q6" s="297"/>
      <c r="R6" s="195"/>
    </row>
    <row r="7" spans="2:18" ht="13.9">
      <c r="B7" s="276"/>
      <c r="C7" s="265"/>
      <c r="D7" s="273" t="s">
        <v>154</v>
      </c>
      <c r="E7" s="274"/>
      <c r="F7" s="273" t="s">
        <v>155</v>
      </c>
      <c r="G7" s="274"/>
      <c r="H7" s="273" t="s">
        <v>156</v>
      </c>
      <c r="I7" s="274"/>
      <c r="J7" s="273" t="s">
        <v>157</v>
      </c>
      <c r="K7" s="274"/>
      <c r="L7" s="280"/>
      <c r="M7" s="71" t="s">
        <v>164</v>
      </c>
      <c r="N7" s="273" t="s">
        <v>164</v>
      </c>
      <c r="O7" s="274"/>
      <c r="P7" s="273" t="s">
        <v>56</v>
      </c>
      <c r="Q7" s="274"/>
      <c r="R7" s="309"/>
    </row>
    <row r="8" spans="2:18" ht="15.6" customHeight="1">
      <c r="B8" s="277" t="s">
        <v>292</v>
      </c>
      <c r="C8" s="72" t="s">
        <v>143</v>
      </c>
      <c r="D8" s="72"/>
      <c r="E8" s="285">
        <v>0</v>
      </c>
      <c r="F8" s="72">
        <v>0</v>
      </c>
      <c r="G8" s="285">
        <v>100</v>
      </c>
      <c r="H8" s="72"/>
      <c r="I8" s="285">
        <v>750</v>
      </c>
      <c r="J8" s="72">
        <v>7.174999713897705</v>
      </c>
      <c r="K8" s="285">
        <v>0.9566666483879089</v>
      </c>
      <c r="L8" s="285" t="s">
        <v>283</v>
      </c>
      <c r="M8" s="142"/>
      <c r="N8" s="142"/>
      <c r="O8" s="304"/>
      <c r="P8" s="142"/>
      <c r="Q8" s="304"/>
      <c r="R8" s="292"/>
    </row>
    <row r="9" spans="2:18" ht="15.6" customHeight="1">
      <c r="B9" s="278"/>
      <c r="C9" s="73" t="s">
        <v>144</v>
      </c>
      <c r="D9" s="73"/>
      <c r="E9" s="286">
        <v>0</v>
      </c>
      <c r="F9" s="73">
        <v>0</v>
      </c>
      <c r="G9" s="286">
        <v>100</v>
      </c>
      <c r="H9" s="73"/>
      <c r="I9" s="288">
        <v>750</v>
      </c>
      <c r="J9" s="73">
        <v>7.174999713897705</v>
      </c>
      <c r="K9" s="288">
        <v>0.9566666483879089</v>
      </c>
      <c r="L9" s="288"/>
      <c r="M9" s="143"/>
      <c r="N9" s="143"/>
      <c r="O9" s="305"/>
      <c r="P9" s="143"/>
      <c r="Q9" s="305"/>
      <c r="R9" s="293"/>
    </row>
    <row r="10" spans="2:18" ht="15.6" customHeight="1">
      <c r="B10" s="211" t="s">
        <v>293</v>
      </c>
      <c r="C10" s="35" t="s">
        <v>143</v>
      </c>
      <c r="D10" s="35"/>
      <c r="E10" s="287">
        <v>0</v>
      </c>
      <c r="F10" s="35">
        <v>0</v>
      </c>
      <c r="G10" s="287">
        <v>100</v>
      </c>
      <c r="H10" s="35"/>
      <c r="I10" s="279">
        <v>750</v>
      </c>
      <c r="J10" s="35">
        <v>7.174999713897705</v>
      </c>
      <c r="K10" s="279">
        <v>0.9566666483879089</v>
      </c>
      <c r="L10" s="279"/>
      <c r="M10" s="142"/>
      <c r="N10" s="142"/>
      <c r="O10" s="306"/>
      <c r="P10" s="142"/>
      <c r="Q10" s="306"/>
      <c r="R10" s="300"/>
    </row>
    <row r="11" spans="2:18" ht="15.6" customHeight="1">
      <c r="B11" s="284"/>
      <c r="C11" s="8" t="s">
        <v>144</v>
      </c>
      <c r="D11" s="8"/>
      <c r="E11" s="288">
        <v>0</v>
      </c>
      <c r="F11" s="8">
        <v>0</v>
      </c>
      <c r="G11" s="288">
        <v>100</v>
      </c>
      <c r="H11" s="8"/>
      <c r="I11" s="280">
        <v>750</v>
      </c>
      <c r="J11" s="8">
        <v>7.174999713897705</v>
      </c>
      <c r="K11" s="280">
        <v>0.9566666483879089</v>
      </c>
      <c r="L11" s="280"/>
      <c r="M11" s="143"/>
      <c r="N11" s="143"/>
      <c r="O11" s="307"/>
      <c r="P11" s="143"/>
      <c r="Q11" s="307"/>
      <c r="R11" s="310"/>
    </row>
    <row r="12" spans="2:18" ht="15.6" customHeight="1">
      <c r="B12" s="277" t="s">
        <v>294</v>
      </c>
      <c r="C12" s="72" t="s">
        <v>143</v>
      </c>
      <c r="D12" s="72"/>
      <c r="E12" s="285">
        <v>0</v>
      </c>
      <c r="F12" s="72">
        <v>0</v>
      </c>
      <c r="G12" s="285">
        <v>100</v>
      </c>
      <c r="H12" s="72"/>
      <c r="I12" s="281">
        <v>750</v>
      </c>
      <c r="J12" s="72">
        <v>7.174999713897705</v>
      </c>
      <c r="K12" s="281">
        <v>0.9566666483879089</v>
      </c>
      <c r="L12" s="281"/>
      <c r="M12" s="142"/>
      <c r="N12" s="142"/>
      <c r="O12" s="306"/>
      <c r="P12" s="142"/>
      <c r="Q12" s="306"/>
      <c r="R12" s="300"/>
    </row>
    <row r="13" spans="2:18" ht="15.6" customHeight="1">
      <c r="B13" s="278"/>
      <c r="C13" s="73" t="s">
        <v>144</v>
      </c>
      <c r="D13" s="73"/>
      <c r="E13" s="286">
        <v>0</v>
      </c>
      <c r="F13" s="73">
        <v>0</v>
      </c>
      <c r="G13" s="286">
        <v>100</v>
      </c>
      <c r="H13" s="73"/>
      <c r="I13" s="280">
        <v>750</v>
      </c>
      <c r="J13" s="73">
        <v>7.174999713897705</v>
      </c>
      <c r="K13" s="280">
        <v>0.9566666483879089</v>
      </c>
      <c r="L13" s="280"/>
      <c r="M13" s="143"/>
      <c r="N13" s="143"/>
      <c r="O13" s="307"/>
      <c r="P13" s="143"/>
      <c r="Q13" s="307"/>
      <c r="R13" s="310"/>
    </row>
    <row r="14" spans="2:18" ht="15.6" customHeight="1">
      <c r="B14" s="275" t="s">
        <v>295</v>
      </c>
      <c r="C14" s="11" t="s">
        <v>143</v>
      </c>
      <c r="D14" s="11"/>
      <c r="E14" s="282">
        <v>0</v>
      </c>
      <c r="F14" s="11">
        <v>0</v>
      </c>
      <c r="G14" s="282">
        <v>100</v>
      </c>
      <c r="H14" s="11"/>
      <c r="I14" s="279">
        <v>750</v>
      </c>
      <c r="J14" s="11">
        <v>7.174999713897705</v>
      </c>
      <c r="K14" s="279">
        <v>0.9566666483879089</v>
      </c>
      <c r="L14" s="279"/>
      <c r="M14" s="144"/>
      <c r="N14" s="144"/>
      <c r="O14" s="306"/>
      <c r="P14" s="144"/>
      <c r="Q14" s="306"/>
      <c r="R14" s="300"/>
    </row>
    <row r="15" spans="2:18" ht="15.6" customHeight="1">
      <c r="B15" s="276"/>
      <c r="C15" s="71" t="s">
        <v>144</v>
      </c>
      <c r="D15" s="71"/>
      <c r="E15" s="265">
        <v>0</v>
      </c>
      <c r="F15" s="71">
        <v>0</v>
      </c>
      <c r="G15" s="265">
        <v>100</v>
      </c>
      <c r="H15" s="71"/>
      <c r="I15" s="299">
        <v>750</v>
      </c>
      <c r="J15" s="71">
        <v>7.174999713897705</v>
      </c>
      <c r="K15" s="299">
        <v>0.9566666483879089</v>
      </c>
      <c r="L15" s="299"/>
      <c r="M15" s="145"/>
      <c r="N15" s="145"/>
      <c r="O15" s="312"/>
      <c r="P15" s="145"/>
      <c r="Q15" s="312"/>
      <c r="R15" s="301"/>
    </row>
    <row r="16" spans="2:18" ht="15.6" customHeight="1">
      <c r="B16" s="277" t="s">
        <v>296</v>
      </c>
      <c r="C16" s="72" t="s">
        <v>143</v>
      </c>
      <c r="D16" s="72"/>
      <c r="E16" s="285">
        <v>0</v>
      </c>
      <c r="F16" s="72">
        <v>0</v>
      </c>
      <c r="G16" s="285">
        <v>100</v>
      </c>
      <c r="H16" s="72"/>
      <c r="I16" s="285">
        <v>750</v>
      </c>
      <c r="J16" s="72">
        <v>7.174999713897705</v>
      </c>
      <c r="K16" s="285">
        <v>0.9566666483879089</v>
      </c>
      <c r="L16" s="285"/>
      <c r="M16" s="142"/>
      <c r="N16" s="142"/>
      <c r="O16" s="304"/>
      <c r="P16" s="142"/>
      <c r="Q16" s="142"/>
      <c r="R16" s="292"/>
    </row>
    <row r="17" spans="2:18" ht="15.6" customHeight="1">
      <c r="B17" s="278"/>
      <c r="C17" s="73" t="s">
        <v>144</v>
      </c>
      <c r="D17" s="73"/>
      <c r="E17" s="286">
        <v>0</v>
      </c>
      <c r="F17" s="73">
        <v>0</v>
      </c>
      <c r="G17" s="286">
        <v>100</v>
      </c>
      <c r="H17" s="73"/>
      <c r="I17" s="288">
        <v>750</v>
      </c>
      <c r="J17" s="73">
        <v>7.174999713897705</v>
      </c>
      <c r="K17" s="288">
        <v>0.9566666483879089</v>
      </c>
      <c r="L17" s="288"/>
      <c r="M17" s="143"/>
      <c r="N17" s="143"/>
      <c r="O17" s="305"/>
      <c r="P17" s="143"/>
      <c r="Q17" s="143"/>
      <c r="R17" s="293"/>
    </row>
    <row r="18" spans="2:18" ht="15.6" customHeight="1">
      <c r="B18" s="275" t="s">
        <v>297</v>
      </c>
      <c r="C18" s="11" t="s">
        <v>143</v>
      </c>
      <c r="D18" s="11"/>
      <c r="E18" s="282">
        <v>0</v>
      </c>
      <c r="F18" s="11">
        <v>0</v>
      </c>
      <c r="G18" s="282">
        <v>100</v>
      </c>
      <c r="H18" s="11"/>
      <c r="I18" s="314">
        <v>750</v>
      </c>
      <c r="J18" s="11">
        <v>7.174999713897705</v>
      </c>
      <c r="K18" s="314">
        <v>0.9566666483879089</v>
      </c>
      <c r="L18" s="314"/>
      <c r="M18" s="144"/>
      <c r="N18" s="144"/>
      <c r="O18" s="311"/>
      <c r="P18" s="144"/>
      <c r="Q18" s="311"/>
      <c r="R18" s="302"/>
    </row>
    <row r="19" spans="2:18" ht="15.6" customHeight="1">
      <c r="B19" s="276"/>
      <c r="C19" s="71" t="s">
        <v>144</v>
      </c>
      <c r="D19" s="71"/>
      <c r="E19" s="265">
        <v>0</v>
      </c>
      <c r="F19" s="71">
        <v>0</v>
      </c>
      <c r="G19" s="265">
        <v>100</v>
      </c>
      <c r="H19" s="71"/>
      <c r="I19" s="299">
        <v>750</v>
      </c>
      <c r="J19" s="71">
        <v>7.174999713897705</v>
      </c>
      <c r="K19" s="299">
        <v>0.9566666483879089</v>
      </c>
      <c r="L19" s="299"/>
      <c r="M19" s="145"/>
      <c r="N19" s="145"/>
      <c r="O19" s="312"/>
      <c r="P19" s="145"/>
      <c r="Q19" s="312"/>
      <c r="R19" s="301"/>
    </row>
    <row r="20" spans="2:18" ht="15.6" customHeight="1">
      <c r="B20" s="277" t="s">
        <v>298</v>
      </c>
      <c r="C20" s="72" t="s">
        <v>143</v>
      </c>
      <c r="D20" s="72"/>
      <c r="E20" s="285">
        <v>0</v>
      </c>
      <c r="F20" s="72">
        <v>0</v>
      </c>
      <c r="G20" s="285">
        <v>100</v>
      </c>
      <c r="H20" s="72"/>
      <c r="I20" s="285">
        <v>750</v>
      </c>
      <c r="J20" s="72">
        <v>7.174999713897705</v>
      </c>
      <c r="K20" s="285">
        <v>0.9566666483879089</v>
      </c>
      <c r="L20" s="285"/>
      <c r="M20" s="142"/>
      <c r="N20" s="142"/>
      <c r="O20" s="304"/>
      <c r="P20" s="142"/>
      <c r="Q20" s="304"/>
      <c r="R20" s="292"/>
    </row>
    <row r="21" spans="2:18" ht="15.6" customHeight="1">
      <c r="B21" s="278"/>
      <c r="C21" s="73" t="s">
        <v>144</v>
      </c>
      <c r="D21" s="73"/>
      <c r="E21" s="286">
        <v>0</v>
      </c>
      <c r="F21" s="73">
        <v>0</v>
      </c>
      <c r="G21" s="286">
        <v>100</v>
      </c>
      <c r="H21" s="73"/>
      <c r="I21" s="288">
        <v>750</v>
      </c>
      <c r="J21" s="73">
        <v>7.174999713897705</v>
      </c>
      <c r="K21" s="288">
        <v>0.9566666483879089</v>
      </c>
      <c r="L21" s="288"/>
      <c r="M21" s="143"/>
      <c r="N21" s="143"/>
      <c r="O21" s="305"/>
      <c r="P21" s="143"/>
      <c r="Q21" s="305"/>
      <c r="R21" s="293"/>
    </row>
    <row r="22" spans="2:18" ht="15.6" customHeight="1">
      <c r="M22" s="146"/>
      <c r="N22" s="146"/>
      <c r="O22" s="146"/>
      <c r="P22" s="146"/>
      <c r="Q22" s="146"/>
      <c r="R22" s="146"/>
    </row>
    <row r="23" spans="2:18" ht="15.6" customHeight="1">
      <c r="M23" s="313" t="s">
        <v>284</v>
      </c>
      <c r="N23" s="313"/>
      <c r="O23" s="313"/>
      <c r="P23" s="313"/>
      <c r="Q23" s="313"/>
    </row>
    <row r="24" spans="2:18" ht="15.6" customHeight="1">
      <c r="L24" s="146"/>
      <c r="M24" s="146"/>
      <c r="N24" s="146"/>
      <c r="O24" s="146"/>
      <c r="P24" s="146"/>
      <c r="Q24" s="146"/>
    </row>
    <row r="25" spans="2:18" ht="15.6" customHeight="1"/>
    <row r="26" spans="2:18" ht="15.6" customHeight="1"/>
    <row r="27" spans="2:18" ht="15.6" customHeight="1"/>
    <row r="28" spans="2:18" ht="15.6" customHeight="1"/>
    <row r="29" spans="2:18" ht="15.6" customHeight="1"/>
    <row r="30" spans="2:18" ht="15.6" customHeight="1"/>
  </sheetData>
  <mergeCells count="83">
    <mergeCell ref="M23:Q23"/>
    <mergeCell ref="K20:K21"/>
    <mergeCell ref="I20:I21"/>
    <mergeCell ref="I14:I15"/>
    <mergeCell ref="I18:I19"/>
    <mergeCell ref="I16:I17"/>
    <mergeCell ref="K16:K17"/>
    <mergeCell ref="K14:K15"/>
    <mergeCell ref="K18:K19"/>
    <mergeCell ref="Q14:Q15"/>
    <mergeCell ref="Q18:Q19"/>
    <mergeCell ref="Q20:Q21"/>
    <mergeCell ref="L14:L15"/>
    <mergeCell ref="L16:L17"/>
    <mergeCell ref="L18:L19"/>
    <mergeCell ref="O14:O15"/>
    <mergeCell ref="O18:O19"/>
    <mergeCell ref="O16:O17"/>
    <mergeCell ref="O20:O21"/>
    <mergeCell ref="L20:L21"/>
    <mergeCell ref="K10:K11"/>
    <mergeCell ref="L10:L11"/>
    <mergeCell ref="O10:O11"/>
    <mergeCell ref="O12:O13"/>
    <mergeCell ref="L12:L13"/>
    <mergeCell ref="K12:K13"/>
    <mergeCell ref="R14:R15"/>
    <mergeCell ref="R16:R17"/>
    <mergeCell ref="R18:R19"/>
    <mergeCell ref="R20:R21"/>
    <mergeCell ref="M5:M6"/>
    <mergeCell ref="N5:O6"/>
    <mergeCell ref="N7:O7"/>
    <mergeCell ref="O8:O9"/>
    <mergeCell ref="P5:Q6"/>
    <mergeCell ref="P7:Q7"/>
    <mergeCell ref="Q8:Q9"/>
    <mergeCell ref="Q10:Q11"/>
    <mergeCell ref="Q12:Q13"/>
    <mergeCell ref="R5:R7"/>
    <mergeCell ref="R10:R11"/>
    <mergeCell ref="R12:R13"/>
    <mergeCell ref="B4:R4"/>
    <mergeCell ref="B3:R3"/>
    <mergeCell ref="B2:R2"/>
    <mergeCell ref="R8:R9"/>
    <mergeCell ref="C5:C7"/>
    <mergeCell ref="D5:E6"/>
    <mergeCell ref="D7:E7"/>
    <mergeCell ref="I8:I9"/>
    <mergeCell ref="K8:K9"/>
    <mergeCell ref="L8:L9"/>
    <mergeCell ref="J5:K6"/>
    <mergeCell ref="J7:K7"/>
    <mergeCell ref="L5:L7"/>
    <mergeCell ref="F5:G6"/>
    <mergeCell ref="F7:G7"/>
    <mergeCell ref="H5:I6"/>
    <mergeCell ref="E20:E21"/>
    <mergeCell ref="G8:G9"/>
    <mergeCell ref="G10:G11"/>
    <mergeCell ref="G12:G13"/>
    <mergeCell ref="G14:G15"/>
    <mergeCell ref="G16:G17"/>
    <mergeCell ref="G18:G19"/>
    <mergeCell ref="G20:G21"/>
    <mergeCell ref="E8:E9"/>
    <mergeCell ref="E10:E11"/>
    <mergeCell ref="E12:E13"/>
    <mergeCell ref="E14:E15"/>
    <mergeCell ref="E16:E17"/>
    <mergeCell ref="B20:B21"/>
    <mergeCell ref="B6:B7"/>
    <mergeCell ref="B8:B9"/>
    <mergeCell ref="B10:B11"/>
    <mergeCell ref="B12:B13"/>
    <mergeCell ref="H7:I7"/>
    <mergeCell ref="B14:B15"/>
    <mergeCell ref="B16:B17"/>
    <mergeCell ref="B18:B19"/>
    <mergeCell ref="I10:I11"/>
    <mergeCell ref="I12:I13"/>
    <mergeCell ref="E18:E19"/>
  </mergeCells>
  <phoneticPr fontId="1" type="noConversion"/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Company/>
  <ScaleCrop>false</ScaleCrop>
  <HeadingPairs>
    <vt:vector baseType="variant" size="2">
      <vt:variant>
        <vt:lpstr>工作表</vt:lpstr>
      </vt:variant>
      <vt:variant>
        <vt:i4>13</vt:i4>
      </vt:variant>
    </vt:vector>
  </HeadingPairs>
  <TitlesOfParts>
    <vt:vector baseType="lpstr" size="13">
      <vt:lpstr>第一页</vt:lpstr>
      <vt:lpstr>第二页反应工序</vt:lpstr>
      <vt:lpstr>第三页反应液分析数据</vt:lpstr>
      <vt:lpstr>第四页闪蒸工序</vt:lpstr>
      <vt:lpstr>第五页一次结晶工序</vt:lpstr>
      <vt:lpstr>第六页产品分析指标</vt:lpstr>
      <vt:lpstr>第七页产品收率分析表</vt:lpstr>
      <vt:lpstr>第八页周汇总数据</vt:lpstr>
      <vt:lpstr>第九页低蒸工序</vt:lpstr>
      <vt:lpstr>第十页脱色工序</vt:lpstr>
      <vt:lpstr>第十一页二次结晶工序</vt:lpstr>
      <vt:lpstr>第十二页产品原料单耗</vt:lpstr>
      <vt:lpstr>第十三页周核心指标完成情况</vt:lpstr>
    </vt:vector>
  </TitlesOfParts>
  <LinksUpToDate>false</LinksUpToDate>
  <SharedDoc>false</SharedDoc>
  <HyperlinksChanged>false</HyperlinksChanged>
  <Application>Microsoft Excel</Application>
  <AppVersion>16.0300</AppVers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2015-06-05T18:19:34Z</dcterms:created>
  <dc:creator>熊茂盛</dc:creator>
  <cp:lastModifiedBy>宏宇 汪</cp:lastModifiedBy>
  <dcterms:modified xsi:type="dcterms:W3CDTF">2026-03-18T02:25:36Z</dcterms:modified>
</coreProperties>
</file>

<file path=docProps/custom.xml><?xml version="1.0" encoding="utf-8"?>
<Properties xmlns="http://schemas.openxmlformats.org/officeDocument/2006/custom-properties">
  <property fmtid="{D5CDD505-2E9C-101B-9397-08002B2CF9AE}" pid="2" name="Generator">
    <lpwstr xmlns="http://schemas.openxmlformats.org/officeDocument/2006/docPropsVTypes">NPOI</lpwstr>
  </property>
  <property fmtid="{D5CDD505-2E9C-101B-9397-08002B2CF9AE}" pid="3" name="Generator Version">
    <lpwstr xmlns="http://schemas.openxmlformats.org/officeDocument/2006/docPropsVTypes">2.7.5</lpwstr>
  </property>
</Properties>
</file>