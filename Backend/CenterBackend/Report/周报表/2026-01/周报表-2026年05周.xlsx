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bookViews>
    <workbookView xWindow="57480" yWindow="-120" windowWidth="29040" windowHeight="15840" tabRatio="967" firstSheet="1" activeTab="8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" i="15" l="1"/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<sst xmlns="http://schemas.openxmlformats.org/spreadsheetml/2006/main" count="564" uniqueCount="301">
  <si>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</si>
  <si>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</si>
  <si>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</si>
  <si>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</si>
  <si>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</si>
  <si>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</si>
  <si>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</si>
  <si>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</si>
  <si>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</si>
  <si>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</si>
  <si>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</si>
  <si>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</si>
  <si>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</si>
  <si>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</si>
  <si>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</si>
  <si>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</si>
  <si>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</si>
  <si>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</si>
  <si>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</si>
  <si>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</si>
  <si>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</si>
  <si>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</si>
  <si>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</si>
  <si>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</si>
  <si>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</si>
  <si>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</si>
  <si>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</si>
  <si>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</si>
  <si>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</si>
  <si>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</si>
  <si>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</si>
  <si>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</si>
  <si>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</si>
  <si>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</si>
  <si>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</si>
  <si>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</si>
  <si>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</si>
  <si>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</si>
  <si>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</si>
  <si>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</si>
  <si>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</si>
  <si>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</si>
  <si>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</si>
  <si>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</si>
  <si>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</si>
  <si>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</si>
  <si>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</si>
  <si>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</si>
  <si>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</si>
  <si>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</si>
  <si>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</si>
  <si>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</si>
  <si>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</si>
  <si>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</si>
  <si>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</si>
  <si>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</si>
  <si>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</si>
  <si>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</si>
  <si>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</si>
  <si>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</si>
  <si>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</si>
  <si>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</si>
  <si>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</si>
  <si>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</si>
  <si>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</si>
  <si>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</si>
  <si>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</si>
  <si>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</si>
  <si>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</si>
  <si>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</si>
  <si>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</si>
  <si>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</si>
  <si>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</si>
  <si>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</si>
  <si>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</si>
  <si>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</si>
  <si>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</si>
  <si>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</si>
  <si>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</si>
  <si>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</si>
  <si>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</si>
  <si>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</si>
  <si>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</si>
  <si>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</si>
  <si>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</si>
  <si>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</si>
  <si>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</si>
  <si>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</si>
  <si>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</si>
  <si>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</si>
  <si>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</si>
  <si>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</si>
  <si>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</si>
  <si>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</si>
  <si>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</si>
  <si>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</si>
  <si>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</si>
  <si>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</si>
  <si>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</si>
  <si>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</si>
  <si>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</si>
  <si>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</si>
  <si>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</si>
  <si>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</si>
  <si>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</si>
  <si>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</si>
  <si>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</si>
  <si>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</si>
  <si>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</si>
  <si>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</si>
  <si>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</si>
  <si>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</si>
  <si>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</si>
  <si>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</si>
  <si>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</si>
  <si>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</si>
  <si>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</si>
  <si>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</si>
  <si>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</si>
  <si>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</si>
  <si>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</si>
  <si>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</si>
  <si>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</si>
  <si>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</si>
  <si>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</si>
  <si>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</si>
  <si>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</si>
  <si>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</si>
  <si>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</si>
  <si>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</si>
  <si>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</si>
  <si>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</si>
  <si>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</si>
  <si>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</si>
  <si>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</si>
  <si>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</si>
  <si>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</si>
  <si>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</si>
  <si>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</si>
  <si>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</si>
  <si>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</si>
  <si>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</si>
  <si>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</si>
  <si>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</si>
  <si>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</si>
  <si>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</si>
  <si>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</si>
  <si>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</si>
  <si>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</si>
  <si>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</si>
  <si>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</si>
  <si>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</si>
  <si>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</si>
  <si>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</si>
  <si>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</si>
  <si>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</si>
  <si>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</si>
  <si>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</si>
  <si>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</si>
  <si>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</si>
  <si>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</si>
  <si>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</si>
  <si>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</si>
  <si>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</si>
  <si>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</si>
  <si>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</si>
  <si>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</si>
  <si>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</si>
  <si>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</si>
  <si>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</si>
  <si>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</si>
  <si>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</si>
  <si>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</si>
  <si>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</si>
  <si>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</si>
  <si>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</si>
  <si>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</si>
  <si>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</si>
  <si>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</si>
  <si>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</si>
  <si>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</si>
  <si>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</si>
  <si>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</si>
  <si>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</si>
  <si>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</si>
  <si>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</si>
  <si>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</si>
  <si>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</si>
  <si>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</si>
  <si>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</si>
  <si>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</si>
  <si>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</si>
  <si>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</si>
  <si>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</si>
  <si>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</si>
  <si>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</si>
  <si>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</si>
  <si>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</si>
  <si>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</si>
  <si>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</si>
  <si>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</si>
  <si>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</si>
  <si>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</si>
  <si>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</si>
  <si>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</si>
  <si>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</si>
  <si>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</si>
  <si>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</si>
  <si>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</si>
  <si>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</si>
  <si>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</si>
  <si>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</si>
  <si>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</si>
  <si>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</si>
  <si>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</si>
  <si>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</si>
  <si>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</si>
  <si>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</si>
  <si>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</si>
  <si>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</si>
  <si>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</si>
  <si>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</si>
  <si>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</si>
  <si>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</si>
  <si>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</si>
  <si>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</si>
  <si>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</si>
  <si>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</si>
  <si>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</si>
  <si>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</si>
  <si>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</si>
  <si>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</si>
  <si>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</si>
  <si>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</si>
  <si>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</si>
  <si>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</si>
  <si>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</si>
  <si>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</si>
  <si>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</si>
  <si>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</si>
  <si>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</si>
  <si>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</si>
  <si>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</si>
  <si>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</si>
  <si>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</si>
  <si>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</si>
  <si>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</si>
  <si>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</si>
  <si>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</si>
  <si>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</si>
  <si>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</si>
  <si>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</si>
  <si>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</si>
  <si>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</si>
  <si>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</si>
  <si>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</si>
  <si>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</si>
  <si>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</si>
  <si>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</si>
  <si>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</si>
  <si>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</si>
  <si>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</si>
  <si>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</si>
  <si>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</si>
  <si>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</si>
  <si>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</si>
  <si>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</si>
  <si>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</si>
  <si>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</si>
  <si>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</si>
  <si>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</si>
  <si>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</si>
  <si>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</si>
  <si>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</si>
  <si>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</si>
  <si>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</si>
  <si>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</si>
  <si>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</si>
  <si>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</si>
  <si>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</si>
  <si>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表3 二乙睛化分平均</t>
    <phoneticPr fontId="1" type="noConversion"/>
  </si>
  <si>
    <t xml:space="preserve">表3 产量汇总最下角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</si>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</sst>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176" fontId="2" fillId="0" borderId="26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6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2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76" fontId="0" fillId="7" borderId="74" xfId="0" applyNumberFormat="1" applyFill="1" applyBorder="1" applyAlignment="1">
      <alignment horizontal="center" vertical="center"/>
    </xf>
    <xf numFmtId="176" fontId="0" fillId="0" borderId="74" xfId="0" applyNumberFormat="1" applyBorder="1" applyAlignment="1">
      <alignment horizontal="center" vertical="center"/>
    </xf>
    <xf numFmtId="176" fontId="0" fillId="0" borderId="75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6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68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5" xfId="0" applyFont="1" applyBorder="1" applyAlignment="1">
      <alignment wrapText="1"/>
    </xf>
    <xf numFmtId="0" fontId="3" fillId="0" borderId="35" xfId="0" applyFont="1" applyBorder="1" applyAlignment="1">
      <alignment horizontal="center" vertical="center" wrapText="1"/>
    </xf>
    <xf numFmtId="176" fontId="3" fillId="0" borderId="35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79" xfId="0" applyFont="1" applyFill="1" applyBorder="1" applyAlignment="1">
      <alignment horizontal="center" vertical="center"/>
    </xf>
    <xf numFmtId="0" fontId="2" fillId="11" borderId="38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 wrapText="1"/>
    </xf>
    <xf numFmtId="176" fontId="3" fillId="9" borderId="3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5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5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0" xfId="0" applyBorder="1"/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1" borderId="59" xfId="0" applyFill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8" xfId="0" applyFont="1" applyFill="1" applyBorder="1" applyAlignment="1">
      <alignment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0" width="9" style="2"/>
  </cols>
  <sheetData>
    <row r="2" spans="2:11" ht="27.75" customHeight="1">
      <c r="B2" s="187" t="s">
        <v>170</v>
      </c>
      <c r="C2" s="187"/>
      <c r="D2" s="187"/>
      <c r="E2" s="187"/>
      <c r="F2" s="187"/>
      <c r="G2" s="187"/>
      <c r="H2" s="187"/>
      <c r="I2" s="187"/>
      <c r="J2" s="187"/>
      <c r="K2" s="187"/>
    </row>
    <row r="3" spans="2:11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/>
      <c r="D7" s="5"/>
      <c r="E7" s="5"/>
      <c r="F7" s="20"/>
      <c r="G7" s="5"/>
      <c r="H7" s="23"/>
      <c r="I7" s="5"/>
      <c r="J7" s="27"/>
      <c r="K7" s="29"/>
    </row>
    <row r="8" spans="2:11" ht="25" customHeight="1">
      <c r="B8" s="4" t="s">
        <v>18</v>
      </c>
      <c r="C8" s="5"/>
      <c r="D8" s="5"/>
      <c r="E8" s="5"/>
      <c r="F8" s="20"/>
      <c r="G8" s="5"/>
      <c r="H8" s="23"/>
      <c r="I8" s="5"/>
      <c r="J8" s="27"/>
      <c r="K8" s="29"/>
    </row>
    <row r="9" spans="2:11" ht="2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</cols>
  <sheetData>
    <row r="2" spans="2:8" ht="17.7">
      <c r="B2" s="187" t="s">
        <v>172</v>
      </c>
      <c r="C2" s="187"/>
      <c r="D2" s="187"/>
      <c r="E2" s="187"/>
      <c r="F2" s="187"/>
      <c r="G2" s="187"/>
      <c r="H2" s="187"/>
    </row>
    <row r="4" spans="2:8" ht="25.2" customHeight="1">
      <c r="B4" s="85" t="s">
        <v>30</v>
      </c>
      <c r="C4" s="188" t="s">
        <v>26</v>
      </c>
      <c r="D4" s="189"/>
      <c r="E4" s="190" t="s">
        <v>27</v>
      </c>
      <c r="F4" s="191"/>
      <c r="G4" s="93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4" t="s">
        <v>32</v>
      </c>
    </row>
    <row r="6" spans="2:8" ht="16.5" customHeight="1">
      <c r="B6" s="88" t="s">
        <v>0</v>
      </c>
      <c r="C6" s="51">
        <v>33.1</v>
      </c>
      <c r="D6" s="51">
        <v>29.1</v>
      </c>
      <c r="E6" s="51">
        <v>1.6</v>
      </c>
      <c r="F6" s="51">
        <v>17.600000000000001</v>
      </c>
      <c r="G6" s="95">
        <v>6.28</v>
      </c>
    </row>
    <row r="7" spans="2:8" ht="16.5" customHeight="1">
      <c r="B7" s="85" t="s">
        <v>34</v>
      </c>
      <c r="C7" s="38"/>
      <c r="D7" s="38"/>
      <c r="E7" s="38"/>
      <c r="F7" s="38"/>
      <c r="G7" s="41"/>
    </row>
    <row r="8" spans="2:8" ht="16.5" customHeight="1">
      <c r="B8" s="85" t="s">
        <v>35</v>
      </c>
      <c r="C8" s="38"/>
      <c r="D8" s="38"/>
      <c r="E8" s="38"/>
      <c r="F8" s="38"/>
      <c r="G8" s="41"/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3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0" t="s">
        <v>245</v>
      </c>
      <c r="C11" s="120" t="s">
        <v>246</v>
      </c>
      <c r="D11" s="120" t="s">
        <v>247</v>
      </c>
      <c r="E11" s="120" t="s">
        <v>248</v>
      </c>
      <c r="F11" s="120" t="s">
        <v>249</v>
      </c>
      <c r="G11" s="152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4765625" style="2" customWidth="1"/>
    <col min="2" max="2" width="9.1484375" style="2" bestFit="1" customWidth="1"/>
    <col min="3" max="9" width="10.75" style="2" customWidth="1"/>
  </cols>
  <sheetData>
    <row r="2" spans="2:10" ht="17.1" customHeight="1">
      <c r="B2" s="187" t="s">
        <v>171</v>
      </c>
      <c r="C2" s="187"/>
      <c r="D2" s="187"/>
      <c r="E2" s="187"/>
      <c r="F2" s="187"/>
      <c r="G2" s="187"/>
      <c r="H2" s="187"/>
      <c r="I2" s="187"/>
    </row>
    <row r="3" spans="2:10" ht="17.1" customHeight="1">
      <c r="B3" s="185"/>
      <c r="C3" s="186"/>
      <c r="D3" s="186"/>
      <c r="E3" s="186"/>
      <c r="F3" s="186"/>
      <c r="G3" s="186"/>
      <c r="H3" s="186"/>
      <c r="I3" s="186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10" ht="17.1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10" ht="17.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92" t="s">
        <v>50</v>
      </c>
      <c r="C11" s="193"/>
      <c r="D11" s="193"/>
      <c r="E11" s="193"/>
      <c r="F11" s="193"/>
      <c r="G11" s="193"/>
      <c r="H11" s="193"/>
      <c r="I11" s="194"/>
    </row>
    <row r="12" spans="2:10" ht="17.1" customHeight="1">
      <c r="B12" s="120" t="s">
        <v>245</v>
      </c>
      <c r="C12" s="120" t="s">
        <v>252</v>
      </c>
      <c r="D12" s="120" t="s">
        <v>253</v>
      </c>
      <c r="E12" s="120" t="s">
        <v>254</v>
      </c>
      <c r="F12" s="120" t="s">
        <v>255</v>
      </c>
      <c r="G12" s="120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" width="9" style="2"/>
  </cols>
  <sheetData>
    <row r="2" spans="2:17" ht="30" customHeight="1">
      <c r="B2" s="187" t="s">
        <v>173</v>
      </c>
      <c r="C2" s="187"/>
      <c r="D2" s="187"/>
      <c r="E2" s="187"/>
      <c r="F2" s="187"/>
    </row>
    <row r="3" spans="2:17" ht="15" customHeight="1">
      <c r="B3" s="185"/>
      <c r="C3" s="186"/>
      <c r="D3" s="186"/>
      <c r="E3" s="186"/>
      <c r="F3" s="186"/>
    </row>
    <row r="4" spans="2:17" ht="25" customHeight="1">
      <c r="B4" s="200" t="s">
        <v>55</v>
      </c>
      <c r="C4" s="195" t="s">
        <v>188</v>
      </c>
      <c r="D4" s="196"/>
      <c r="E4" s="196"/>
      <c r="F4" s="197"/>
      <c r="G4" s="198" t="s">
        <v>189</v>
      </c>
      <c r="H4" s="198"/>
      <c r="I4" s="198"/>
      <c r="J4" s="199"/>
    </row>
    <row r="5" spans="2:17" ht="25" customHeight="1">
      <c r="B5" s="201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7" ht="25" customHeight="1">
      <c r="B6" s="202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7" ht="25" customHeight="1">
      <c r="B7" s="102" t="s">
        <v>60</v>
      </c>
      <c r="C7" s="103">
        <v>1</v>
      </c>
      <c r="D7" s="103">
        <v>1</v>
      </c>
      <c r="E7" s="170">
        <f>C7+D7</f>
        <v>2</v>
      </c>
      <c r="F7" s="170">
        <f>100-E7</f>
        <v>98</v>
      </c>
      <c r="G7" s="103">
        <v>2</v>
      </c>
      <c r="H7" s="103">
        <v>1</v>
      </c>
      <c r="I7" s="170">
        <f>G7+H7</f>
        <v>3</v>
      </c>
      <c r="J7" s="171">
        <f>100-I7</f>
        <v>97</v>
      </c>
    </row>
    <row r="8" spans="2:17" ht="25" customHeight="1">
      <c r="B8" s="104" t="s">
        <v>64</v>
      </c>
      <c r="C8" s="100">
        <v>1</v>
      </c>
      <c r="D8" s="100">
        <v>2</v>
      </c>
      <c r="E8" s="100">
        <f>C8+D8</f>
        <v>3</v>
      </c>
      <c r="F8" s="100">
        <f>100-E8</f>
        <v>97</v>
      </c>
      <c r="G8" s="105"/>
      <c r="H8" s="105"/>
      <c r="I8" s="105">
        <f>G8+H8</f>
        <v>0</v>
      </c>
      <c r="J8" s="106">
        <f>100-I8</f>
        <v>100</v>
      </c>
    </row>
    <row r="9" spans="2:17" ht="2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7" ht="25" customHeight="1">
      <c r="B10" s="120" t="s">
        <v>245</v>
      </c>
      <c r="C10" s="120">
        <v>21</v>
      </c>
      <c r="D10" s="152">
        <v>23</v>
      </c>
      <c r="E10" s="172">
        <v>24</v>
      </c>
      <c r="F10" s="172">
        <v>25</v>
      </c>
      <c r="G10" s="120">
        <v>31</v>
      </c>
      <c r="H10" s="152">
        <v>33</v>
      </c>
      <c r="I10" s="173">
        <v>34</v>
      </c>
      <c r="J10" s="173">
        <v>35</v>
      </c>
    </row>
    <row r="11" spans="2:17" ht="25" customHeight="1">
      <c r="E11" s="2" t="s">
        <v>260</v>
      </c>
    </row>
    <row r="16" spans="2:17">
      <c r="Q16" s="110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Z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24" width="9" style="1"/>
  </cols>
  <sheetData>
    <row r="2" spans="2:25" ht="30" customHeight="1">
      <c r="B2" s="187" t="s">
        <v>174</v>
      </c>
      <c r="C2" s="187"/>
      <c r="D2" s="187"/>
      <c r="E2" s="187"/>
      <c r="F2" s="187"/>
    </row>
    <row r="3" spans="2:25" ht="15" customHeight="1">
      <c r="B3" s="186"/>
      <c r="C3" s="186"/>
      <c r="D3" s="186"/>
      <c r="E3" s="186"/>
      <c r="F3" s="186"/>
    </row>
    <row r="4" spans="2:25" ht="25" customHeight="1">
      <c r="B4" s="203" t="s">
        <v>16</v>
      </c>
      <c r="C4" s="34" t="s">
        <v>61</v>
      </c>
      <c r="D4" s="34" t="s">
        <v>23</v>
      </c>
      <c r="E4" s="34" t="s">
        <v>36</v>
      </c>
      <c r="F4" s="205" t="s">
        <v>62</v>
      </c>
    </row>
    <row r="5" spans="2:25" ht="25" customHeight="1">
      <c r="B5" s="204"/>
      <c r="C5" s="53" t="s">
        <v>56</v>
      </c>
      <c r="D5" s="53" t="s">
        <v>56</v>
      </c>
      <c r="E5" s="53" t="s">
        <v>56</v>
      </c>
      <c r="F5" s="206"/>
    </row>
    <row r="6" spans="2:25" ht="25" customHeight="1">
      <c r="B6" s="40" t="s">
        <v>63</v>
      </c>
      <c r="C6" s="53">
        <v>1</v>
      </c>
      <c r="D6" s="53">
        <v>1</v>
      </c>
      <c r="E6" s="53">
        <f>C6-D6</f>
        <v>0</v>
      </c>
      <c r="F6" s="54"/>
    </row>
    <row r="7" spans="2:25" ht="25" customHeight="1">
      <c r="B7" s="40" t="s">
        <v>64</v>
      </c>
      <c r="C7" s="53"/>
      <c r="D7" s="53"/>
      <c r="E7" s="53">
        <f>C7-D7</f>
        <v>0</v>
      </c>
      <c r="F7" s="54"/>
    </row>
    <row r="8" spans="2:25" ht="25" customHeight="1">
      <c r="B8" s="58" t="s">
        <v>65</v>
      </c>
      <c r="C8" s="59">
        <v>26.80645179748535</v>
      </c>
      <c r="D8" s="59">
        <v>0</v>
      </c>
      <c r="E8" s="59">
        <f>C8-D8</f>
        <v>0</v>
      </c>
      <c r="F8" s="60"/>
    </row>
    <row r="9" spans="2:25" ht="25" customHeight="1">
      <c r="B9" s="1" t="s">
        <v>263</v>
      </c>
      <c r="C9" s="159" t="s">
        <v>261</v>
      </c>
      <c r="D9" s="159" t="s">
        <v>262</v>
      </c>
      <c r="E9" s="159"/>
    </row>
    <row r="12" spans="2:25" ht="14.4" thickBot="1">
      <c r="B12" s="207" t="s">
        <v>204</v>
      </c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</row>
    <row r="13" spans="2:25" ht="17.7">
      <c r="B13" s="211" t="s">
        <v>205</v>
      </c>
      <c r="C13" s="212"/>
      <c r="D13" s="212"/>
      <c r="E13" s="212"/>
      <c r="F13" s="212"/>
      <c r="G13" s="212"/>
      <c r="H13" s="213"/>
      <c r="I13" s="211" t="s">
        <v>206</v>
      </c>
      <c r="J13" s="212"/>
      <c r="K13" s="212"/>
      <c r="L13" s="212"/>
      <c r="M13" s="212"/>
      <c r="N13" s="212"/>
      <c r="O13" s="213"/>
      <c r="P13" s="211" t="s">
        <v>207</v>
      </c>
      <c r="Q13" s="214"/>
      <c r="R13" s="214"/>
      <c r="S13" s="214"/>
      <c r="T13" s="214"/>
      <c r="U13" s="214"/>
      <c r="V13" s="215"/>
      <c r="W13" s="209" t="s">
        <v>208</v>
      </c>
    </row>
    <row r="14" spans="2:25" ht="25.2">
      <c r="B14" s="216" t="s">
        <v>191</v>
      </c>
      <c r="C14" s="217"/>
      <c r="D14" s="116" t="s">
        <v>192</v>
      </c>
      <c r="E14" s="116" t="s">
        <v>193</v>
      </c>
      <c r="F14" s="116" t="s">
        <v>194</v>
      </c>
      <c r="G14" s="116" t="s">
        <v>195</v>
      </c>
      <c r="H14" s="117" t="s">
        <v>196</v>
      </c>
      <c r="I14" s="216" t="s">
        <v>191</v>
      </c>
      <c r="J14" s="217"/>
      <c r="K14" s="116" t="s">
        <v>192</v>
      </c>
      <c r="L14" s="116" t="s">
        <v>197</v>
      </c>
      <c r="M14" s="116" t="s">
        <v>194</v>
      </c>
      <c r="N14" s="116" t="s">
        <v>195</v>
      </c>
      <c r="O14" s="117" t="s">
        <v>196</v>
      </c>
      <c r="P14" s="216" t="s">
        <v>191</v>
      </c>
      <c r="Q14" s="218"/>
      <c r="R14" s="116" t="s">
        <v>192</v>
      </c>
      <c r="S14" s="43" t="s">
        <v>197</v>
      </c>
      <c r="T14" s="116" t="s">
        <v>194</v>
      </c>
      <c r="U14" s="43" t="s">
        <v>198</v>
      </c>
      <c r="V14" s="117" t="s">
        <v>196</v>
      </c>
      <c r="W14" s="210"/>
    </row>
    <row r="15" spans="2:25" ht="25.2">
      <c r="B15" s="111" t="s">
        <v>199</v>
      </c>
      <c r="C15" s="112" t="s">
        <v>200</v>
      </c>
      <c r="D15" s="113" t="s">
        <v>56</v>
      </c>
      <c r="E15" s="113" t="s">
        <v>56</v>
      </c>
      <c r="F15" s="113" t="s">
        <v>56</v>
      </c>
      <c r="G15" s="113" t="s">
        <v>201</v>
      </c>
      <c r="H15" s="114" t="s">
        <v>201</v>
      </c>
      <c r="I15" s="111" t="s">
        <v>199</v>
      </c>
      <c r="J15" s="112" t="s">
        <v>200</v>
      </c>
      <c r="K15" s="113" t="s">
        <v>56</v>
      </c>
      <c r="L15" s="113" t="s">
        <v>56</v>
      </c>
      <c r="M15" s="113" t="s">
        <v>56</v>
      </c>
      <c r="N15" s="113" t="s">
        <v>201</v>
      </c>
      <c r="O15" s="114" t="s">
        <v>201</v>
      </c>
      <c r="P15" s="111" t="s">
        <v>199</v>
      </c>
      <c r="Q15" s="112" t="s">
        <v>200</v>
      </c>
      <c r="R15" s="113" t="s">
        <v>202</v>
      </c>
      <c r="S15" s="113" t="s">
        <v>202</v>
      </c>
      <c r="T15" s="113" t="s">
        <v>202</v>
      </c>
      <c r="U15" s="113" t="s">
        <v>203</v>
      </c>
      <c r="V15" s="114" t="s">
        <v>203</v>
      </c>
      <c r="W15" s="118" t="s">
        <v>201</v>
      </c>
    </row>
    <row r="16" spans="2:25">
      <c r="B16" s="120">
        <v>21</v>
      </c>
      <c r="C16" s="120">
        <v>22</v>
      </c>
      <c r="D16" s="120">
        <v>23</v>
      </c>
      <c r="E16" s="120">
        <v>24</v>
      </c>
      <c r="F16" s="120">
        <v>25</v>
      </c>
      <c r="G16" s="120">
        <v>26</v>
      </c>
      <c r="H16" s="120">
        <v>27</v>
      </c>
      <c r="I16" s="120">
        <v>31</v>
      </c>
      <c r="J16" s="120">
        <v>32</v>
      </c>
      <c r="K16" s="120">
        <v>33</v>
      </c>
      <c r="L16" s="120">
        <v>34</v>
      </c>
      <c r="M16" s="120">
        <v>35</v>
      </c>
      <c r="N16" s="120">
        <v>36</v>
      </c>
      <c r="O16" s="120">
        <v>37</v>
      </c>
      <c r="P16" s="153" t="e">
        <f>(B16*G16+I16*N16)/U16</f>
        <v>#DIV/0!</v>
      </c>
      <c r="Q16" s="92"/>
      <c r="R16" s="92"/>
      <c r="S16" s="92"/>
      <c r="T16" s="92"/>
      <c r="U16" s="92"/>
      <c r="V16" s="92"/>
      <c r="W16" s="92"/>
      <c r="Y16" s="92"/>
    </row>
    <row r="19" spans="2:22">
      <c r="B19" s="154">
        <v>99</v>
      </c>
      <c r="C19" s="155">
        <v>65</v>
      </c>
      <c r="D19" s="155">
        <v>1.2</v>
      </c>
      <c r="E19" s="155">
        <v>99</v>
      </c>
      <c r="F19" s="155">
        <v>0.25</v>
      </c>
      <c r="G19" s="155">
        <v>2254</v>
      </c>
      <c r="H19" s="156">
        <f>B19*G19/100</f>
        <v>2231.46</v>
      </c>
      <c r="I19" s="154">
        <v>92.3</v>
      </c>
      <c r="J19" s="155">
        <v>88.9</v>
      </c>
      <c r="K19" s="155">
        <v>3.6</v>
      </c>
      <c r="L19" s="155">
        <v>99.5</v>
      </c>
      <c r="M19" s="155">
        <v>4.0999999999999996</v>
      </c>
      <c r="N19" s="155">
        <v>150</v>
      </c>
      <c r="O19" s="156">
        <f>I19*N19/100</f>
        <v>138.44999999999999</v>
      </c>
      <c r="P19" s="153">
        <f>(B19*G19+I19*N19)/U19</f>
        <v>98.581946755407657</v>
      </c>
      <c r="Q19" s="157">
        <f>(C19*G19+J19*N19)/U19</f>
        <v>66.491264559068213</v>
      </c>
      <c r="R19" s="157">
        <f>(D19*G19+K19*N19)/U19</f>
        <v>1.3497504159733775</v>
      </c>
      <c r="S19" s="157">
        <f>(E19*G19+L19*N19)/U19</f>
        <v>99.031198003327788</v>
      </c>
      <c r="T19" s="157">
        <f>(F19*G19+M19*N19)/U19</f>
        <v>0.49022462562396008</v>
      </c>
      <c r="U19" s="157">
        <f>G19+N19</f>
        <v>2404</v>
      </c>
      <c r="V19" s="158">
        <f>H19+O19</f>
        <v>2369.91</v>
      </c>
    </row>
    <row r="26" spans="2:22">
      <c r="D26" s="208"/>
      <c r="E26" s="208"/>
      <c r="F26" s="208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C1" sqref="C1:P1048576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87" t="s">
        <v>175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</row>
    <row r="3" spans="2:16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0" t="s">
        <v>79</v>
      </c>
      <c r="C5" s="38" t="s">
        <v>280</v>
      </c>
      <c r="D5" s="38"/>
      <c r="E5" s="38">
        <v>26.806455612182617</v>
      </c>
      <c r="F5" s="38">
        <v>26.806453704833984</v>
      </c>
      <c r="G5" s="38">
        <v>26.806453704833984</v>
      </c>
      <c r="H5" s="38">
        <v>26.806453704833984</v>
      </c>
      <c r="I5" s="38">
        <v>26.806453704833984</v>
      </c>
      <c r="J5" s="38">
        <v>26.806453704833984</v>
      </c>
      <c r="K5" s="38">
        <v>26.806453704833984</v>
      </c>
      <c r="L5" s="38">
        <v>26.806453704833984</v>
      </c>
      <c r="M5" s="38">
        <v>26.806453704833984</v>
      </c>
      <c r="N5" s="38">
        <v>26.806453704833984</v>
      </c>
      <c r="O5" s="38"/>
      <c r="P5" s="39">
        <v>26.80645179748535</v>
      </c>
    </row>
    <row r="6" spans="2:16" ht="60" customHeight="1">
      <c r="B6" s="161" t="s">
        <v>80</v>
      </c>
      <c r="C6" s="62" t="s">
        <v>281</v>
      </c>
      <c r="D6" s="62"/>
      <c r="E6" s="62">
        <v>620</v>
      </c>
      <c r="F6" s="62">
        <v>618.48779296875</v>
      </c>
      <c r="G6" s="62">
        <v>618.48779296875</v>
      </c>
      <c r="H6" s="62">
        <v>618.48779296875</v>
      </c>
      <c r="I6" s="62">
        <v>618.48779296875</v>
      </c>
      <c r="J6" s="62">
        <v>618.48779296875</v>
      </c>
      <c r="K6" s="62">
        <v>618.48779296875</v>
      </c>
      <c r="L6" s="62">
        <v>618.48779296875</v>
      </c>
      <c r="M6" s="62">
        <v>618.48779296875</v>
      </c>
      <c r="N6" s="62">
        <v>618.48779296875</v>
      </c>
      <c r="O6" s="62"/>
      <c r="P6" s="63">
        <v>620</v>
      </c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workbookViewId="0">
      <selection activeCell="Q17" sqref="Q17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2" width="9" style="2"/>
  </cols>
  <sheetData>
    <row r="2" spans="2:13" ht="30" customHeight="1">
      <c r="B2" s="187" t="s">
        <v>176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</row>
    <row r="3" spans="2:13" ht="30" customHeight="1">
      <c r="B3" s="222" t="s">
        <v>134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05"/>
    </row>
    <row r="4" spans="2:13" ht="10" customHeight="1">
      <c r="B4" s="223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5"/>
    </row>
    <row r="5" spans="2:13" ht="20.1" customHeight="1">
      <c r="B5" s="226" t="s">
        <v>117</v>
      </c>
      <c r="C5" s="227" t="s">
        <v>293</v>
      </c>
      <c r="D5" s="5" t="s">
        <v>294</v>
      </c>
      <c r="E5" s="5" t="s">
        <v>295</v>
      </c>
      <c r="F5" s="5" t="s">
        <v>296</v>
      </c>
      <c r="G5" s="5" t="s">
        <v>297</v>
      </c>
      <c r="H5" s="5" t="s">
        <v>298</v>
      </c>
      <c r="I5" s="5" t="s">
        <v>299</v>
      </c>
      <c r="J5" s="5" t="s">
        <v>300</v>
      </c>
      <c r="K5" s="228" t="s">
        <v>127</v>
      </c>
      <c r="L5" s="228" t="s">
        <v>126</v>
      </c>
      <c r="M5" s="229" t="s">
        <v>128</v>
      </c>
    </row>
    <row r="6" spans="2:13" ht="20.1" customHeight="1">
      <c r="B6" s="226" t="s">
        <v>118</v>
      </c>
      <c r="C6" s="227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27"/>
      <c r="L6" s="227"/>
      <c r="M6" s="206"/>
    </row>
    <row r="7" spans="2:13" ht="20.1" customHeight="1">
      <c r="B7" s="219" t="s">
        <v>129</v>
      </c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1"/>
    </row>
    <row r="8" spans="2:13" ht="20.1" customHeight="1">
      <c r="B8" s="4" t="s">
        <v>21</v>
      </c>
      <c r="C8" s="5" t="s">
        <v>56</v>
      </c>
      <c r="D8" s="152" t="s">
        <v>264</v>
      </c>
      <c r="E8" s="5"/>
      <c r="F8" s="5"/>
      <c r="G8" s="5"/>
      <c r="H8" s="5"/>
      <c r="I8" s="5"/>
      <c r="J8" s="5"/>
      <c r="K8" s="5"/>
      <c r="L8" s="5">
        <v>9</v>
      </c>
      <c r="M8" s="6">
        <f>K8-L8</f>
        <v>-9</v>
      </c>
    </row>
    <row r="9" spans="2:13" ht="20.1" customHeight="1">
      <c r="B9" s="4" t="s">
        <v>94</v>
      </c>
      <c r="C9" s="5" t="s">
        <v>86</v>
      </c>
      <c r="D9" s="152" t="s">
        <v>248</v>
      </c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52" t="s">
        <v>250</v>
      </c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" customHeight="1">
      <c r="B11" s="219" t="s">
        <v>130</v>
      </c>
      <c r="C11" s="220"/>
      <c r="D11" s="220"/>
      <c r="E11" s="220"/>
      <c r="F11" s="220"/>
      <c r="G11" s="220"/>
      <c r="H11" s="220"/>
      <c r="I11" s="220"/>
      <c r="J11" s="220"/>
      <c r="K11" s="220"/>
      <c r="L11" s="220"/>
      <c r="M11" s="221"/>
    </row>
    <row r="12" spans="2:13" ht="20.1" customHeight="1">
      <c r="B12" s="4" t="s">
        <v>21</v>
      </c>
      <c r="C12" s="5" t="s">
        <v>56</v>
      </c>
      <c r="D12" s="89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/>
      <c r="L12" s="5"/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9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/>
      <c r="L13" s="5"/>
      <c r="M13" s="6">
        <f t="shared" ref="M13:M15" si="1">K13-L13</f>
        <v>0</v>
      </c>
    </row>
    <row r="14" spans="2:13" ht="20.1" customHeight="1">
      <c r="B14" s="162" t="s">
        <v>58</v>
      </c>
      <c r="C14" s="5" t="s">
        <v>56</v>
      </c>
      <c r="D14" s="163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/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0</v>
      </c>
      <c r="E15" s="5">
        <f t="shared" ref="E15:L15" si="2">100-E14</f>
        <v>0</v>
      </c>
      <c r="F15" s="5">
        <f t="shared" si="2"/>
        <v>0</v>
      </c>
      <c r="G15" s="5">
        <f t="shared" si="2"/>
        <v>0</v>
      </c>
      <c r="H15" s="5">
        <f t="shared" si="2"/>
        <v>0</v>
      </c>
      <c r="I15" s="5">
        <f t="shared" si="2"/>
        <v>0</v>
      </c>
      <c r="J15" s="5">
        <f t="shared" si="2"/>
        <v>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219" t="s">
        <v>287</v>
      </c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1"/>
    </row>
    <row r="17" spans="2:13" ht="20.1" customHeight="1">
      <c r="B17" s="174" t="s">
        <v>132</v>
      </c>
      <c r="C17" s="175" t="s">
        <v>56</v>
      </c>
      <c r="D17" s="175">
        <v>0</v>
      </c>
      <c r="E17" s="175">
        <v>0</v>
      </c>
      <c r="F17" s="175">
        <v>0</v>
      </c>
      <c r="G17" s="175">
        <v>0</v>
      </c>
      <c r="H17" s="175">
        <v>0</v>
      </c>
      <c r="I17" s="175">
        <v>0</v>
      </c>
      <c r="J17" s="175">
        <v>0</v>
      </c>
      <c r="K17" s="175"/>
      <c r="L17" s="175"/>
      <c r="M17" s="176"/>
    </row>
    <row r="18" spans="2:13" ht="20.1" customHeight="1">
      <c r="B18" s="174" t="s">
        <v>133</v>
      </c>
      <c r="C18" s="175" t="s">
        <v>113</v>
      </c>
      <c r="D18" s="175" t="s">
        <v>265</v>
      </c>
      <c r="E18" s="175"/>
      <c r="F18" s="175"/>
      <c r="G18" s="175"/>
      <c r="H18" s="175"/>
      <c r="I18" s="175"/>
      <c r="J18" s="175"/>
      <c r="K18" s="175"/>
      <c r="L18" s="175"/>
      <c r="M18" s="176">
        <f>K18-L18</f>
        <v>0</v>
      </c>
    </row>
    <row r="19" spans="2:13" ht="20.1" customHeight="1">
      <c r="B19" s="219" t="s">
        <v>288</v>
      </c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1"/>
    </row>
    <row r="20" spans="2:13" ht="20.1" customHeight="1">
      <c r="B20" s="164" t="s">
        <v>21</v>
      </c>
      <c r="C20" s="8" t="s">
        <v>56</v>
      </c>
      <c r="D20" s="120" t="s">
        <v>283</v>
      </c>
      <c r="E20" s="8"/>
      <c r="F20" s="8"/>
      <c r="G20" s="8"/>
      <c r="H20" s="8"/>
      <c r="I20" s="8"/>
      <c r="J20" s="8"/>
      <c r="K20" s="8"/>
      <c r="L20" s="8"/>
      <c r="M20" s="9">
        <f>K20-L20</f>
        <v>0</v>
      </c>
    </row>
    <row r="21" spans="2:13" ht="20.1" customHeight="1">
      <c r="D21" s="120" t="s">
        <v>283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tabSelected="1" workbookViewId="0">
      <selection activeCell="I12" sqref="I12"/>
    </sheetView>
  </sheetViews>
  <sheetFormatPr defaultColWidth="9" defaultRowHeight="12.6"/>
  <cols>
    <col min="1" max="1" width="1.34765625" style="2" customWidth="1"/>
    <col min="2" max="2" width="9" style="2"/>
    <col min="3" max="7" width="13.34765625" style="2" customWidth="1"/>
    <col min="8" max="8" width="9" style="2"/>
  </cols>
  <sheetData>
    <row r="2" spans="2:9" ht="30" customHeight="1">
      <c r="B2" s="187" t="s">
        <v>177</v>
      </c>
      <c r="C2" s="187"/>
      <c r="D2" s="187"/>
      <c r="E2" s="187"/>
      <c r="F2" s="187"/>
      <c r="G2" s="187"/>
    </row>
    <row r="3" spans="2:9" ht="15" customHeight="1">
      <c r="B3" s="185"/>
      <c r="C3" s="186"/>
      <c r="D3" s="186"/>
      <c r="E3" s="186"/>
      <c r="F3" s="186"/>
      <c r="G3" s="186"/>
    </row>
    <row r="4" spans="2:9" ht="15.75" customHeight="1">
      <c r="B4" s="231" t="s">
        <v>91</v>
      </c>
      <c r="C4" s="232"/>
      <c r="D4" s="232"/>
      <c r="E4" s="232"/>
      <c r="F4" s="232"/>
      <c r="G4" s="233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/>
      <c r="D8" s="71"/>
      <c r="E8" s="78"/>
      <c r="F8" s="71"/>
      <c r="G8" s="74"/>
    </row>
    <row r="9" spans="2:9" ht="25" customHeight="1">
      <c r="B9" s="77" t="s">
        <v>90</v>
      </c>
      <c r="C9" s="71" t="s">
        <v>289</v>
      </c>
      <c r="D9" s="71" t="s">
        <v>289</v>
      </c>
      <c r="E9" s="78"/>
      <c r="F9" s="71" t="s">
        <v>290</v>
      </c>
      <c r="G9" s="74" t="s">
        <v>291</v>
      </c>
      <c r="H9" s="2" t="s">
        <v>244</v>
      </c>
      <c r="I9" s="2" t="s">
        <v>266</v>
      </c>
    </row>
    <row r="10" spans="2:9" ht="15.75" customHeight="1">
      <c r="B10" s="234" t="s">
        <v>92</v>
      </c>
      <c r="C10" s="235"/>
      <c r="D10" s="235"/>
      <c r="E10" s="235"/>
      <c r="F10" s="235"/>
      <c r="G10" s="236"/>
    </row>
    <row r="11" spans="2:9" ht="25" customHeight="1">
      <c r="B11" s="4" t="s">
        <v>39</v>
      </c>
      <c r="C11" s="311" t="s">
        <v>21</v>
      </c>
      <c r="D11" s="98" t="s">
        <v>94</v>
      </c>
      <c r="E11" s="179" t="s">
        <v>93</v>
      </c>
      <c r="F11" s="96"/>
      <c r="G11" s="5"/>
    </row>
    <row r="12" spans="2:9" ht="25" customHeight="1">
      <c r="B12" s="4" t="s">
        <v>40</v>
      </c>
      <c r="C12" s="311" t="s">
        <v>56</v>
      </c>
      <c r="D12" s="98" t="s">
        <v>86</v>
      </c>
      <c r="E12" s="179" t="s">
        <v>86</v>
      </c>
      <c r="F12" s="96"/>
      <c r="G12" s="5"/>
    </row>
    <row r="13" spans="2:9" ht="25" customHeight="1">
      <c r="B13" s="4" t="s">
        <v>34</v>
      </c>
      <c r="C13" s="312"/>
      <c r="D13" s="313"/>
      <c r="E13" s="314"/>
      <c r="F13" s="314"/>
      <c r="G13" s="315"/>
    </row>
    <row r="14" spans="2:9" ht="25" customHeight="1">
      <c r="B14" s="7" t="s">
        <v>35</v>
      </c>
      <c r="C14" s="316"/>
      <c r="D14" s="317"/>
      <c r="E14" s="314"/>
      <c r="F14" s="314"/>
      <c r="G14" s="318"/>
    </row>
    <row r="15" spans="2:9" ht="25" customHeight="1">
      <c r="C15" s="230" t="s">
        <v>267</v>
      </c>
      <c r="D15" s="230"/>
      <c r="E15" s="230"/>
      <c r="F15" s="230"/>
      <c r="G15" s="230"/>
    </row>
  </sheetData>
  <mergeCells count="5">
    <mergeCell ref="C15:G15"/>
    <mergeCell ref="B2:G2"/>
    <mergeCell ref="B4:G4"/>
    <mergeCell ref="B10:G10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9" width="9" style="1"/>
  </cols>
  <sheetData>
    <row r="2" spans="2:5" ht="30" customHeight="1">
      <c r="B2" s="187" t="s">
        <v>166</v>
      </c>
      <c r="C2" s="187"/>
      <c r="D2" s="187"/>
      <c r="E2" s="187"/>
    </row>
    <row r="3" spans="2:5" ht="15" customHeight="1">
      <c r="B3" s="208"/>
      <c r="C3" s="208"/>
      <c r="D3" s="208"/>
      <c r="E3" s="208"/>
    </row>
    <row r="4" spans="2:5" ht="25" customHeight="1">
      <c r="B4" s="238" t="s">
        <v>109</v>
      </c>
      <c r="C4" s="34" t="s">
        <v>108</v>
      </c>
      <c r="D4" s="34" t="s">
        <v>110</v>
      </c>
      <c r="E4" s="239" t="s">
        <v>111</v>
      </c>
    </row>
    <row r="5" spans="2:5" ht="25" customHeight="1">
      <c r="B5" s="204"/>
      <c r="C5" s="53" t="s">
        <v>107</v>
      </c>
      <c r="D5" s="53" t="s">
        <v>12</v>
      </c>
      <c r="E5" s="240"/>
    </row>
    <row r="6" spans="2:5" ht="25" customHeight="1">
      <c r="B6" s="40" t="s">
        <v>105</v>
      </c>
      <c r="C6" s="53" t="s">
        <v>268</v>
      </c>
      <c r="D6" s="119" t="s">
        <v>269</v>
      </c>
      <c r="E6" s="54">
        <v>301</v>
      </c>
    </row>
    <row r="7" spans="2:5" ht="25" customHeight="1">
      <c r="B7" s="55" t="s">
        <v>106</v>
      </c>
      <c r="C7" s="56"/>
      <c r="D7" s="56"/>
      <c r="E7" s="57">
        <v>301</v>
      </c>
    </row>
    <row r="8" spans="2:5" ht="15" customHeight="1">
      <c r="B8" s="241"/>
      <c r="C8" s="242"/>
      <c r="D8" s="242"/>
      <c r="E8" s="243"/>
    </row>
    <row r="9" spans="2:5" ht="25" customHeight="1">
      <c r="B9" s="238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4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0" t="s">
        <v>270</v>
      </c>
      <c r="D11" s="90" t="s">
        <v>272</v>
      </c>
      <c r="E11" s="91" t="s">
        <v>274</v>
      </c>
    </row>
    <row r="12" spans="2:5" ht="25" customHeight="1">
      <c r="B12" s="40" t="s">
        <v>103</v>
      </c>
      <c r="C12" s="119" t="s">
        <v>271</v>
      </c>
      <c r="D12" s="119" t="s">
        <v>273</v>
      </c>
      <c r="E12" s="91" t="s">
        <v>275</v>
      </c>
    </row>
    <row r="13" spans="2:5" ht="25" customHeight="1">
      <c r="B13" s="55" t="s">
        <v>104</v>
      </c>
      <c r="C13" s="56" t="e">
        <f>C11-C12</f>
        <v>#VALUE!</v>
      </c>
      <c r="D13" s="121" t="e">
        <f>D11-D12</f>
        <v>#VALUE!</v>
      </c>
      <c r="E13" s="57" t="e">
        <f t="shared" ref="E13" si="0">E11-E12</f>
        <v>#VALUE!</v>
      </c>
    </row>
    <row r="17" spans="6:10">
      <c r="F17" s="120"/>
      <c r="G17" s="120"/>
      <c r="H17" s="120"/>
      <c r="I17" s="120"/>
      <c r="J17" s="120"/>
    </row>
    <row r="18" spans="6:10" ht="14.1" customHeight="1">
      <c r="F18" s="120"/>
      <c r="G18" s="120"/>
      <c r="H18" s="120"/>
      <c r="I18" s="120"/>
      <c r="J18" s="120"/>
    </row>
    <row r="19" spans="6:10">
      <c r="F19" s="120"/>
      <c r="G19" s="120"/>
      <c r="H19" s="120"/>
      <c r="I19" s="120"/>
      <c r="J19" s="120"/>
    </row>
    <row r="20" spans="6:10">
      <c r="F20" s="120"/>
      <c r="G20" s="120"/>
      <c r="H20" s="120"/>
      <c r="I20" s="120"/>
      <c r="J20" s="120"/>
    </row>
    <row r="21" spans="6:10">
      <c r="F21" s="120"/>
      <c r="G21" s="120"/>
      <c r="H21" s="120"/>
      <c r="I21" s="120"/>
      <c r="J21" s="120"/>
    </row>
    <row r="22" spans="6:10">
      <c r="F22" s="120"/>
      <c r="G22" s="120"/>
      <c r="H22" s="120"/>
      <c r="I22" s="120"/>
      <c r="J22" s="120"/>
    </row>
    <row r="23" spans="6:10">
      <c r="F23" s="120"/>
      <c r="G23" s="120"/>
      <c r="H23" s="120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C5" sqref="C5:E5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87" t="s">
        <v>167</v>
      </c>
      <c r="C2" s="187"/>
      <c r="D2" s="187"/>
      <c r="E2" s="187"/>
    </row>
    <row r="3" spans="2:6" ht="15" customHeight="1">
      <c r="B3" s="244"/>
      <c r="C3" s="244"/>
      <c r="D3" s="244"/>
      <c r="E3" s="244"/>
    </row>
    <row r="4" spans="2:6" s="1" customFormat="1" ht="25" customHeight="1">
      <c r="B4" s="3" t="s">
        <v>98</v>
      </c>
      <c r="C4" s="245"/>
      <c r="D4" s="246"/>
      <c r="E4" s="247"/>
      <c r="F4" s="122" t="s">
        <v>56</v>
      </c>
    </row>
    <row r="5" spans="2:6" s="1" customFormat="1" ht="25" customHeight="1">
      <c r="B5" s="37" t="s">
        <v>99</v>
      </c>
      <c r="C5" s="248">
        <v>0</v>
      </c>
      <c r="D5" s="249"/>
      <c r="E5" s="250"/>
      <c r="F5" s="66" t="s">
        <v>100</v>
      </c>
    </row>
    <row r="6" spans="2:6" s="45" customFormat="1" ht="40.2" customHeight="1">
      <c r="B6" s="165" t="s">
        <v>276</v>
      </c>
      <c r="C6" s="166" t="s">
        <v>22</v>
      </c>
      <c r="D6" s="166" t="s">
        <v>96</v>
      </c>
      <c r="E6" s="166" t="s">
        <v>95</v>
      </c>
      <c r="F6" s="177" t="s">
        <v>97</v>
      </c>
    </row>
    <row r="7" spans="2:6" ht="40.2" customHeight="1">
      <c r="B7" s="93" t="s">
        <v>33</v>
      </c>
      <c r="C7" s="167">
        <v>52</v>
      </c>
      <c r="D7" s="167">
        <v>53</v>
      </c>
      <c r="E7" s="167">
        <v>55</v>
      </c>
      <c r="F7" s="178">
        <v>0</v>
      </c>
    </row>
    <row r="8" spans="2:6" ht="40.2" customHeight="1">
      <c r="B8" s="168" t="s">
        <v>34</v>
      </c>
      <c r="C8" s="167">
        <v>1</v>
      </c>
      <c r="D8" s="167"/>
      <c r="E8" s="167">
        <v>2</v>
      </c>
      <c r="F8" s="178"/>
    </row>
    <row r="9" spans="2:6" ht="40.2" customHeight="1">
      <c r="B9" s="168" t="s">
        <v>35</v>
      </c>
      <c r="C9" s="167"/>
      <c r="D9" s="167">
        <v>1</v>
      </c>
      <c r="E9" s="167"/>
      <c r="F9" s="178"/>
    </row>
    <row r="10" spans="2:6">
      <c r="B10" s="169" t="s">
        <v>278</v>
      </c>
      <c r="C10" s="251" t="s">
        <v>286</v>
      </c>
      <c r="D10" s="251"/>
      <c r="E10" s="251"/>
      <c r="F10" s="251"/>
    </row>
    <row r="11" spans="2:6">
      <c r="F11" s="0" t="s">
        <v>292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J8" sqref="J8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87" t="s">
        <v>168</v>
      </c>
      <c r="C2" s="187"/>
      <c r="D2" s="187"/>
      <c r="E2" s="187"/>
      <c r="F2" s="187"/>
      <c r="G2" s="187"/>
      <c r="H2" s="187"/>
      <c r="I2" s="187"/>
      <c r="J2" s="187"/>
    </row>
    <row r="3" spans="2:24" ht="25" customHeight="1">
      <c r="B3" s="275" t="s">
        <v>116</v>
      </c>
      <c r="C3" s="275"/>
      <c r="D3" s="275"/>
      <c r="E3" s="275"/>
      <c r="F3" s="275"/>
      <c r="G3" s="275"/>
      <c r="H3" s="275"/>
      <c r="I3" s="275"/>
      <c r="J3" s="275"/>
    </row>
    <row r="4" spans="2:24" ht="15" customHeight="1"/>
    <row r="5" spans="2:24" ht="30" customHeight="1">
      <c r="B5" s="273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74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76">
        <v>2025</v>
      </c>
      <c r="C12" s="277"/>
      <c r="D12" s="123"/>
      <c r="E12" s="278" t="s">
        <v>210</v>
      </c>
      <c r="F12" s="278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9"/>
    </row>
    <row r="13" spans="2:24" s="1" customFormat="1" ht="25" customHeight="1">
      <c r="B13" s="269" t="s">
        <v>117</v>
      </c>
      <c r="C13" s="271" t="s">
        <v>135</v>
      </c>
      <c r="D13" s="271" t="s">
        <v>211</v>
      </c>
      <c r="E13" s="259" t="s">
        <v>131</v>
      </c>
      <c r="F13" s="260"/>
      <c r="G13" s="257" t="s">
        <v>212</v>
      </c>
      <c r="H13" s="258"/>
      <c r="I13" s="267" t="s">
        <v>213</v>
      </c>
      <c r="J13" s="268"/>
      <c r="K13" s="257" t="s">
        <v>214</v>
      </c>
      <c r="L13" s="258"/>
      <c r="M13" s="259" t="s">
        <v>215</v>
      </c>
      <c r="N13" s="260"/>
      <c r="O13" s="257" t="s">
        <v>216</v>
      </c>
      <c r="P13" s="258"/>
      <c r="Q13" s="259" t="s">
        <v>217</v>
      </c>
      <c r="R13" s="260"/>
      <c r="S13" s="257" t="s">
        <v>218</v>
      </c>
      <c r="T13" s="258"/>
      <c r="U13" s="259" t="s">
        <v>219</v>
      </c>
      <c r="V13" s="260"/>
      <c r="W13" s="258" t="s">
        <v>220</v>
      </c>
      <c r="X13" s="261"/>
    </row>
    <row r="14" spans="2:24" ht="25" customHeight="1">
      <c r="B14" s="270"/>
      <c r="C14" s="272"/>
      <c r="D14" s="272"/>
      <c r="E14" s="124" t="s">
        <v>221</v>
      </c>
      <c r="F14" s="124" t="s">
        <v>40</v>
      </c>
      <c r="G14" s="112" t="s">
        <v>221</v>
      </c>
      <c r="H14" s="112" t="s">
        <v>40</v>
      </c>
      <c r="I14" s="124" t="s">
        <v>221</v>
      </c>
      <c r="J14" s="124" t="s">
        <v>40</v>
      </c>
      <c r="K14" s="112" t="s">
        <v>222</v>
      </c>
      <c r="L14" s="112" t="s">
        <v>223</v>
      </c>
      <c r="M14" s="124" t="s">
        <v>222</v>
      </c>
      <c r="N14" s="124" t="s">
        <v>223</v>
      </c>
      <c r="O14" s="112" t="s">
        <v>222</v>
      </c>
      <c r="P14" s="112" t="s">
        <v>223</v>
      </c>
      <c r="Q14" s="124" t="s">
        <v>222</v>
      </c>
      <c r="R14" s="124" t="s">
        <v>223</v>
      </c>
      <c r="S14" s="112" t="s">
        <v>222</v>
      </c>
      <c r="T14" s="112" t="s">
        <v>223</v>
      </c>
      <c r="U14" s="124" t="s">
        <v>224</v>
      </c>
      <c r="V14" s="124" t="s">
        <v>40</v>
      </c>
      <c r="W14" s="112" t="s">
        <v>225</v>
      </c>
      <c r="X14" s="125" t="s">
        <v>223</v>
      </c>
    </row>
    <row r="15" spans="2:24">
      <c r="B15" s="262">
        <v>1201</v>
      </c>
      <c r="C15" s="217" t="s">
        <v>226</v>
      </c>
      <c r="D15" s="115" t="s">
        <v>12</v>
      </c>
      <c r="E15" s="126"/>
      <c r="F15" s="126" t="s">
        <v>113</v>
      </c>
      <c r="G15" s="127"/>
      <c r="H15" s="127" t="s">
        <v>113</v>
      </c>
      <c r="I15" s="126"/>
      <c r="J15" s="126" t="s">
        <v>100</v>
      </c>
      <c r="K15" s="128"/>
      <c r="L15" s="127" t="s">
        <v>113</v>
      </c>
      <c r="M15" s="126"/>
      <c r="N15" s="126" t="s">
        <v>113</v>
      </c>
      <c r="O15" s="127"/>
      <c r="P15" s="127" t="s">
        <v>113</v>
      </c>
      <c r="Q15" s="128"/>
      <c r="R15" s="126" t="s">
        <v>113</v>
      </c>
      <c r="S15" s="128"/>
      <c r="T15" s="127" t="s">
        <v>227</v>
      </c>
      <c r="U15" s="126"/>
      <c r="V15" s="126" t="s">
        <v>100</v>
      </c>
      <c r="W15" s="127">
        <v>1</v>
      </c>
      <c r="X15" s="129" t="s">
        <v>100</v>
      </c>
    </row>
    <row r="16" spans="2:24">
      <c r="B16" s="263"/>
      <c r="C16" s="265"/>
      <c r="D16" s="130" t="s">
        <v>228</v>
      </c>
      <c r="E16" s="131"/>
      <c r="F16" s="131" t="s">
        <v>113</v>
      </c>
      <c r="G16" s="64"/>
      <c r="H16" s="64" t="s">
        <v>113</v>
      </c>
      <c r="I16" s="131"/>
      <c r="J16" s="131" t="s">
        <v>113</v>
      </c>
      <c r="K16" s="64"/>
      <c r="L16" s="64" t="s">
        <v>113</v>
      </c>
      <c r="M16" s="131"/>
      <c r="N16" s="131" t="s">
        <v>113</v>
      </c>
      <c r="O16" s="64"/>
      <c r="P16" s="64" t="s">
        <v>113</v>
      </c>
      <c r="Q16" s="131"/>
      <c r="R16" s="131" t="s">
        <v>113</v>
      </c>
      <c r="S16" s="64"/>
      <c r="T16" s="64" t="s">
        <v>113</v>
      </c>
      <c r="U16" s="131"/>
      <c r="V16" s="131" t="s">
        <v>113</v>
      </c>
      <c r="W16" s="64"/>
      <c r="X16" s="132" t="s">
        <v>229</v>
      </c>
    </row>
    <row r="17" spans="2:24">
      <c r="B17" s="263"/>
      <c r="C17" s="265"/>
      <c r="D17" s="133" t="s">
        <v>230</v>
      </c>
      <c r="E17" s="131" t="e">
        <f>E15/E16</f>
        <v>#DIV/0!</v>
      </c>
      <c r="F17" s="131" t="s">
        <v>114</v>
      </c>
      <c r="G17" s="64" t="e">
        <f>G15/G16</f>
        <v>#DIV/0!</v>
      </c>
      <c r="H17" s="64" t="s">
        <v>114</v>
      </c>
      <c r="I17" s="131" t="e">
        <f>I15/I16</f>
        <v>#DIV/0!</v>
      </c>
      <c r="J17" s="131" t="s">
        <v>115</v>
      </c>
      <c r="K17" s="64" t="e">
        <f>K15/K16</f>
        <v>#DIV/0!</v>
      </c>
      <c r="L17" s="64" t="s">
        <v>114</v>
      </c>
      <c r="M17" s="131" t="e">
        <f>M15/M16</f>
        <v>#DIV/0!</v>
      </c>
      <c r="N17" s="131" t="s">
        <v>114</v>
      </c>
      <c r="O17" s="64" t="e">
        <f>O15/O16</f>
        <v>#DIV/0!</v>
      </c>
      <c r="P17" s="64" t="s">
        <v>114</v>
      </c>
      <c r="Q17" s="131" t="e">
        <f>Q15/Q16</f>
        <v>#DIV/0!</v>
      </c>
      <c r="R17" s="131" t="s">
        <v>114</v>
      </c>
      <c r="S17" s="64" t="e">
        <f>S15/S16</f>
        <v>#DIV/0!</v>
      </c>
      <c r="T17" s="64" t="s">
        <v>231</v>
      </c>
      <c r="U17" s="131" t="e">
        <f>U15/U16</f>
        <v>#DIV/0!</v>
      </c>
      <c r="V17" s="131" t="s">
        <v>232</v>
      </c>
      <c r="W17" s="64" t="e">
        <f>W15/W16</f>
        <v>#DIV/0!</v>
      </c>
      <c r="X17" s="132" t="s">
        <v>115</v>
      </c>
    </row>
    <row r="18" spans="2:24">
      <c r="B18" s="263"/>
      <c r="C18" s="265" t="s">
        <v>233</v>
      </c>
      <c r="D18" s="130" t="s">
        <v>12</v>
      </c>
      <c r="E18" s="131"/>
      <c r="F18" s="131" t="s">
        <v>113</v>
      </c>
      <c r="G18" s="64"/>
      <c r="H18" s="64" t="s">
        <v>113</v>
      </c>
      <c r="I18" s="131"/>
      <c r="J18" s="131" t="s">
        <v>100</v>
      </c>
      <c r="K18" s="134"/>
      <c r="L18" s="64" t="s">
        <v>113</v>
      </c>
      <c r="M18" s="131"/>
      <c r="N18" s="131" t="s">
        <v>113</v>
      </c>
      <c r="O18" s="64"/>
      <c r="P18" s="64" t="s">
        <v>113</v>
      </c>
      <c r="Q18" s="134"/>
      <c r="R18" s="131" t="s">
        <v>113</v>
      </c>
      <c r="S18" s="134"/>
      <c r="T18" s="64" t="s">
        <v>227</v>
      </c>
      <c r="U18" s="131"/>
      <c r="V18" s="131" t="s">
        <v>100</v>
      </c>
      <c r="W18" s="64"/>
      <c r="X18" s="132" t="s">
        <v>100</v>
      </c>
    </row>
    <row r="19" spans="2:24">
      <c r="B19" s="263"/>
      <c r="C19" s="265"/>
      <c r="D19" s="130" t="s">
        <v>228</v>
      </c>
      <c r="E19" s="131"/>
      <c r="F19" s="131" t="s">
        <v>113</v>
      </c>
      <c r="G19" s="64"/>
      <c r="H19" s="64" t="s">
        <v>113</v>
      </c>
      <c r="I19" s="131"/>
      <c r="J19" s="131" t="s">
        <v>113</v>
      </c>
      <c r="K19" s="64"/>
      <c r="L19" s="64" t="s">
        <v>113</v>
      </c>
      <c r="M19" s="131"/>
      <c r="N19" s="131" t="s">
        <v>113</v>
      </c>
      <c r="O19" s="64"/>
      <c r="P19" s="64" t="s">
        <v>113</v>
      </c>
      <c r="Q19" s="131"/>
      <c r="R19" s="131" t="s">
        <v>113</v>
      </c>
      <c r="S19" s="64"/>
      <c r="T19" s="64" t="s">
        <v>113</v>
      </c>
      <c r="U19" s="131"/>
      <c r="V19" s="131" t="s">
        <v>113</v>
      </c>
      <c r="W19" s="64"/>
      <c r="X19" s="132" t="s">
        <v>229</v>
      </c>
    </row>
    <row r="20" spans="2:24">
      <c r="B20" s="264"/>
      <c r="C20" s="266"/>
      <c r="D20" s="135" t="s">
        <v>230</v>
      </c>
      <c r="E20" s="136" t="e">
        <f>E18/E19</f>
        <v>#DIV/0!</v>
      </c>
      <c r="F20" s="136" t="s">
        <v>114</v>
      </c>
      <c r="G20" s="65" t="e">
        <f>G18/G19</f>
        <v>#DIV/0!</v>
      </c>
      <c r="H20" s="65" t="s">
        <v>114</v>
      </c>
      <c r="I20" s="136" t="e">
        <f>I18/I19</f>
        <v>#DIV/0!</v>
      </c>
      <c r="J20" s="136" t="s">
        <v>115</v>
      </c>
      <c r="K20" s="65" t="e">
        <f>K18/K19</f>
        <v>#DIV/0!</v>
      </c>
      <c r="L20" s="65" t="s">
        <v>114</v>
      </c>
      <c r="M20" s="136" t="e">
        <f>M18/M19</f>
        <v>#DIV/0!</v>
      </c>
      <c r="N20" s="136" t="s">
        <v>114</v>
      </c>
      <c r="O20" s="65" t="e">
        <f>O18/O19</f>
        <v>#DIV/0!</v>
      </c>
      <c r="P20" s="65" t="s">
        <v>114</v>
      </c>
      <c r="Q20" s="136" t="e">
        <f>Q18/Q19</f>
        <v>#DIV/0!</v>
      </c>
      <c r="R20" s="136" t="s">
        <v>114</v>
      </c>
      <c r="S20" s="65" t="e">
        <f>S18/S19</f>
        <v>#DIV/0!</v>
      </c>
      <c r="T20" s="65" t="s">
        <v>231</v>
      </c>
      <c r="U20" s="136" t="e">
        <f>U18/U19</f>
        <v>#DIV/0!</v>
      </c>
      <c r="V20" s="136" t="s">
        <v>115</v>
      </c>
      <c r="W20" s="65" t="e">
        <f>W18/W19</f>
        <v>#DIV/0!</v>
      </c>
      <c r="X20" s="137" t="s">
        <v>115</v>
      </c>
    </row>
    <row r="21" spans="2:24">
      <c r="B21" s="252" t="s">
        <v>234</v>
      </c>
      <c r="C21" s="253"/>
      <c r="D21" s="253"/>
      <c r="E21" s="138"/>
      <c r="F21" s="139" t="s">
        <v>229</v>
      </c>
      <c r="G21" s="140">
        <f>G15+G18</f>
        <v>0</v>
      </c>
      <c r="H21" s="99" t="s">
        <v>229</v>
      </c>
      <c r="I21" s="138">
        <f>I15+I18</f>
        <v>0</v>
      </c>
      <c r="J21" s="139" t="s">
        <v>235</v>
      </c>
      <c r="K21" s="140">
        <f>K15+K18</f>
        <v>0</v>
      </c>
      <c r="L21" s="99" t="s">
        <v>229</v>
      </c>
      <c r="M21" s="138">
        <f>M15+M18</f>
        <v>0</v>
      </c>
      <c r="N21" s="139" t="s">
        <v>229</v>
      </c>
      <c r="O21" s="140">
        <f>O15+O18</f>
        <v>0</v>
      </c>
      <c r="P21" s="99" t="s">
        <v>229</v>
      </c>
      <c r="Q21" s="138">
        <f>Q15+Q18</f>
        <v>0</v>
      </c>
      <c r="R21" s="139" t="s">
        <v>229</v>
      </c>
      <c r="S21" s="140">
        <f>S15+S18</f>
        <v>0</v>
      </c>
      <c r="T21" s="99" t="s">
        <v>236</v>
      </c>
      <c r="U21" s="138">
        <f>U15+U18</f>
        <v>0</v>
      </c>
      <c r="V21" s="139" t="s">
        <v>235</v>
      </c>
      <c r="W21" s="140">
        <f>W15+W18</f>
        <v>1</v>
      </c>
      <c r="X21" s="141" t="s">
        <v>235</v>
      </c>
    </row>
    <row r="22" spans="2:24">
      <c r="B22" s="254" t="s">
        <v>237</v>
      </c>
      <c r="C22" s="227"/>
      <c r="D22" s="227"/>
      <c r="E22" s="142"/>
      <c r="F22" s="90" t="s">
        <v>229</v>
      </c>
      <c r="G22" s="143">
        <f>G16+G19</f>
        <v>0</v>
      </c>
      <c r="H22" s="97" t="s">
        <v>229</v>
      </c>
      <c r="I22" s="142">
        <f>I16+I19</f>
        <v>0</v>
      </c>
      <c r="J22" s="90" t="s">
        <v>229</v>
      </c>
      <c r="K22" s="143">
        <f>K16+K19</f>
        <v>0</v>
      </c>
      <c r="L22" s="97" t="s">
        <v>229</v>
      </c>
      <c r="M22" s="142">
        <f>M16+M19</f>
        <v>0</v>
      </c>
      <c r="N22" s="90" t="s">
        <v>229</v>
      </c>
      <c r="O22" s="143">
        <f>O16+O19</f>
        <v>0</v>
      </c>
      <c r="P22" s="97" t="s">
        <v>229</v>
      </c>
      <c r="Q22" s="142">
        <f>Q16+Q19</f>
        <v>0</v>
      </c>
      <c r="R22" s="90" t="s">
        <v>229</v>
      </c>
      <c r="S22" s="143">
        <f>S16+S19</f>
        <v>0</v>
      </c>
      <c r="T22" s="97" t="s">
        <v>229</v>
      </c>
      <c r="U22" s="142">
        <f>U16+U19</f>
        <v>0</v>
      </c>
      <c r="V22" s="90" t="s">
        <v>229</v>
      </c>
      <c r="W22" s="143">
        <f>W16+W19</f>
        <v>0</v>
      </c>
      <c r="X22" s="144" t="s">
        <v>229</v>
      </c>
    </row>
    <row r="23" spans="2:24" ht="14.4" thickBot="1">
      <c r="B23" s="255" t="s">
        <v>238</v>
      </c>
      <c r="C23" s="256"/>
      <c r="D23" s="256"/>
      <c r="E23" s="145" t="e">
        <f>E21/E22</f>
        <v>#DIV/0!</v>
      </c>
      <c r="F23" s="145" t="s">
        <v>239</v>
      </c>
      <c r="G23" s="146" t="e">
        <f>G21/G22</f>
        <v>#DIV/0!</v>
      </c>
      <c r="H23" s="146" t="s">
        <v>239</v>
      </c>
      <c r="I23" s="145" t="e">
        <f>I21/I22</f>
        <v>#DIV/0!</v>
      </c>
      <c r="J23" s="145" t="s">
        <v>232</v>
      </c>
      <c r="K23" s="146" t="e">
        <f>K21/K22</f>
        <v>#DIV/0!</v>
      </c>
      <c r="L23" s="146" t="s">
        <v>239</v>
      </c>
      <c r="M23" s="145" t="e">
        <f>M21/M22</f>
        <v>#DIV/0!</v>
      </c>
      <c r="N23" s="145" t="s">
        <v>239</v>
      </c>
      <c r="O23" s="146" t="e">
        <f>O21/O22</f>
        <v>#DIV/0!</v>
      </c>
      <c r="P23" s="146" t="s">
        <v>239</v>
      </c>
      <c r="Q23" s="145" t="e">
        <f>Q21/Q22</f>
        <v>#DIV/0!</v>
      </c>
      <c r="R23" s="145" t="s">
        <v>239</v>
      </c>
      <c r="S23" s="146" t="e">
        <f>S21/S22</f>
        <v>#DIV/0!</v>
      </c>
      <c r="T23" s="146" t="s">
        <v>240</v>
      </c>
      <c r="U23" s="145" t="e">
        <f>U21/U22</f>
        <v>#DIV/0!</v>
      </c>
      <c r="V23" s="145" t="s">
        <v>232</v>
      </c>
      <c r="W23" s="146" t="e">
        <f>W21/W22</f>
        <v>#DIV/0!</v>
      </c>
      <c r="X23" s="147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M30"/>
  <sheetViews>
    <sheetView workbookViewId="0">
      <selection activeCell="B5" sqref="B5:B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</cols>
  <sheetData>
    <row r="2" spans="2:12" ht="30" customHeight="1">
      <c r="B2" s="187" t="s">
        <v>169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2:12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</row>
    <row r="4" spans="2:12" ht="10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</row>
    <row r="5" spans="2:12" ht="15.6" customHeight="1">
      <c r="B5" s="308" t="s">
        <v>117</v>
      </c>
      <c r="C5" s="288" t="s">
        <v>135</v>
      </c>
      <c r="D5" s="294" t="s">
        <v>158</v>
      </c>
      <c r="E5" s="294" t="s">
        <v>159</v>
      </c>
      <c r="F5" s="294" t="s">
        <v>160</v>
      </c>
      <c r="G5" s="294" t="s">
        <v>161</v>
      </c>
      <c r="H5" s="296" t="s">
        <v>162</v>
      </c>
      <c r="I5" s="284" t="s">
        <v>163</v>
      </c>
      <c r="J5" s="301" t="s">
        <v>133</v>
      </c>
      <c r="K5" s="301" t="s">
        <v>165</v>
      </c>
      <c r="L5" s="302" t="s">
        <v>62</v>
      </c>
    </row>
    <row r="6" spans="2:12" ht="15.6" customHeight="1">
      <c r="B6" s="309"/>
      <c r="C6" s="237"/>
      <c r="D6" s="295"/>
      <c r="E6" s="295"/>
      <c r="F6" s="295"/>
      <c r="G6" s="295"/>
      <c r="H6" s="297"/>
      <c r="I6" s="253"/>
      <c r="J6" s="295"/>
      <c r="K6" s="295"/>
      <c r="L6" s="206"/>
    </row>
    <row r="7" spans="2:12" ht="12.6" customHeight="1">
      <c r="B7" s="310"/>
      <c r="C7" s="272"/>
      <c r="D7" s="182" t="s">
        <v>154</v>
      </c>
      <c r="E7" s="182" t="s">
        <v>155</v>
      </c>
      <c r="F7" s="182" t="s">
        <v>156</v>
      </c>
      <c r="G7" s="182" t="s">
        <v>157</v>
      </c>
      <c r="H7" s="285"/>
      <c r="I7" s="71" t="s">
        <v>164</v>
      </c>
      <c r="J7" s="182" t="s">
        <v>164</v>
      </c>
      <c r="K7" s="182" t="s">
        <v>56</v>
      </c>
      <c r="L7" s="303"/>
    </row>
    <row r="8" spans="2:12" ht="15.6" customHeight="1">
      <c r="B8" s="282" t="s">
        <v>293</v>
      </c>
      <c r="C8" s="72" t="s">
        <v>143</v>
      </c>
      <c r="D8" s="180"/>
      <c r="E8" s="180"/>
      <c r="F8" s="180"/>
      <c r="G8" s="180"/>
      <c r="H8" s="286" t="s">
        <v>284</v>
      </c>
      <c r="I8" s="181">
        <v>0</v>
      </c>
      <c r="J8" s="181">
        <v>0</v>
      </c>
      <c r="K8" s="181">
        <v>0</v>
      </c>
      <c r="L8" s="292"/>
    </row>
    <row r="9" spans="2:12" ht="15.6" customHeight="1">
      <c r="B9" s="283"/>
      <c r="C9" s="73" t="s">
        <v>144</v>
      </c>
      <c r="D9" s="73"/>
      <c r="E9" s="73"/>
      <c r="F9" s="73"/>
      <c r="G9" s="73"/>
      <c r="H9" s="306"/>
      <c r="I9" s="148">
        <v>0</v>
      </c>
      <c r="J9" s="148">
        <v>0</v>
      </c>
      <c r="K9" s="148">
        <v>0</v>
      </c>
      <c r="L9" s="293"/>
    </row>
    <row r="10" spans="2:12" ht="15.6" customHeight="1">
      <c r="B10" s="222" t="s">
        <v>294</v>
      </c>
      <c r="C10" s="35" t="s">
        <v>143</v>
      </c>
      <c r="D10" s="183"/>
      <c r="E10" s="183"/>
      <c r="F10" s="183"/>
      <c r="G10" s="183"/>
      <c r="H10" s="284"/>
      <c r="I10" s="181">
        <v>0</v>
      </c>
      <c r="J10" s="181">
        <v>0</v>
      </c>
      <c r="K10" s="181">
        <v>0</v>
      </c>
      <c r="L10" s="298"/>
    </row>
    <row r="11" spans="2:12" ht="15.6" customHeight="1">
      <c r="B11" s="287"/>
      <c r="C11" s="8" t="s">
        <v>144</v>
      </c>
      <c r="D11" s="8"/>
      <c r="E11" s="8"/>
      <c r="F11" s="8"/>
      <c r="G11" s="8"/>
      <c r="H11" s="307"/>
      <c r="I11" s="148">
        <v>0</v>
      </c>
      <c r="J11" s="148">
        <v>0</v>
      </c>
      <c r="K11" s="148">
        <v>0</v>
      </c>
      <c r="L11" s="304"/>
    </row>
    <row r="12" spans="2:12" ht="15.6" customHeight="1">
      <c r="B12" s="282" t="s">
        <v>295</v>
      </c>
      <c r="C12" s="72" t="s">
        <v>143</v>
      </c>
      <c r="D12" s="180"/>
      <c r="E12" s="180"/>
      <c r="F12" s="180"/>
      <c r="G12" s="180"/>
      <c r="H12" s="286"/>
      <c r="I12" s="181">
        <v>0</v>
      </c>
      <c r="J12" s="181">
        <v>0</v>
      </c>
      <c r="K12" s="181">
        <v>0</v>
      </c>
      <c r="L12" s="298"/>
    </row>
    <row r="13" spans="2:12" ht="15.6" customHeight="1">
      <c r="B13" s="283"/>
      <c r="C13" s="73" t="s">
        <v>144</v>
      </c>
      <c r="D13" s="73"/>
      <c r="E13" s="73"/>
      <c r="F13" s="73"/>
      <c r="G13" s="73"/>
      <c r="H13" s="306"/>
      <c r="I13" s="148">
        <v>0</v>
      </c>
      <c r="J13" s="148">
        <v>0</v>
      </c>
      <c r="K13" s="148">
        <v>0</v>
      </c>
      <c r="L13" s="304"/>
    </row>
    <row r="14" spans="2:12" ht="15.6" customHeight="1">
      <c r="B14" s="280" t="s">
        <v>296</v>
      </c>
      <c r="C14" s="11" t="s">
        <v>143</v>
      </c>
      <c r="D14" s="184"/>
      <c r="E14" s="184"/>
      <c r="F14" s="184"/>
      <c r="G14" s="184"/>
      <c r="H14" s="284"/>
      <c r="I14" s="149">
        <v>0</v>
      </c>
      <c r="J14" s="149">
        <v>0</v>
      </c>
      <c r="K14" s="149">
        <v>0</v>
      </c>
      <c r="L14" s="298"/>
    </row>
    <row r="15" spans="2:12" ht="15.6" customHeight="1">
      <c r="B15" s="281"/>
      <c r="C15" s="71" t="s">
        <v>144</v>
      </c>
      <c r="D15" s="71"/>
      <c r="E15" s="71"/>
      <c r="F15" s="71"/>
      <c r="G15" s="71"/>
      <c r="H15" s="307"/>
      <c r="I15" s="150">
        <v>0</v>
      </c>
      <c r="J15" s="150">
        <v>0</v>
      </c>
      <c r="K15" s="150">
        <v>0</v>
      </c>
      <c r="L15" s="299"/>
    </row>
    <row r="16" spans="2:12" ht="15.6" customHeight="1">
      <c r="B16" s="282" t="s">
        <v>297</v>
      </c>
      <c r="C16" s="72" t="s">
        <v>143</v>
      </c>
      <c r="D16" s="180"/>
      <c r="E16" s="180"/>
      <c r="F16" s="180"/>
      <c r="G16" s="180"/>
      <c r="H16" s="286"/>
      <c r="I16" s="181">
        <v>0</v>
      </c>
      <c r="J16" s="181">
        <v>0</v>
      </c>
      <c r="K16" s="181">
        <v>0</v>
      </c>
      <c r="L16" s="292"/>
    </row>
    <row r="17" spans="2:12" ht="15.6" customHeight="1">
      <c r="B17" s="283"/>
      <c r="C17" s="73" t="s">
        <v>144</v>
      </c>
      <c r="D17" s="73"/>
      <c r="E17" s="73"/>
      <c r="F17" s="73"/>
      <c r="G17" s="73"/>
      <c r="H17" s="306"/>
      <c r="I17" s="148">
        <v>0</v>
      </c>
      <c r="J17" s="148">
        <v>0</v>
      </c>
      <c r="K17" s="148">
        <v>0</v>
      </c>
      <c r="L17" s="293"/>
    </row>
    <row r="18" spans="2:12" ht="15.6" customHeight="1">
      <c r="B18" s="280" t="s">
        <v>298</v>
      </c>
      <c r="C18" s="11" t="s">
        <v>143</v>
      </c>
      <c r="D18" s="184"/>
      <c r="E18" s="184"/>
      <c r="F18" s="184"/>
      <c r="G18" s="184"/>
      <c r="H18" s="284"/>
      <c r="I18" s="149">
        <v>0</v>
      </c>
      <c r="J18" s="149">
        <v>0</v>
      </c>
      <c r="K18" s="149">
        <v>0</v>
      </c>
      <c r="L18" s="300"/>
    </row>
    <row r="19" spans="2:12" ht="15.6" customHeight="1">
      <c r="B19" s="281"/>
      <c r="C19" s="71" t="s">
        <v>144</v>
      </c>
      <c r="D19" s="71"/>
      <c r="E19" s="71"/>
      <c r="F19" s="71"/>
      <c r="G19" s="71"/>
      <c r="H19" s="307"/>
      <c r="I19" s="150">
        <v>0</v>
      </c>
      <c r="J19" s="150">
        <v>0</v>
      </c>
      <c r="K19" s="150">
        <v>0</v>
      </c>
      <c r="L19" s="299"/>
    </row>
    <row r="20" spans="2:12" ht="15.6" customHeight="1">
      <c r="B20" s="282" t="s">
        <v>299</v>
      </c>
      <c r="C20" s="72" t="s">
        <v>143</v>
      </c>
      <c r="D20" s="180"/>
      <c r="E20" s="180"/>
      <c r="F20" s="180"/>
      <c r="G20" s="180"/>
      <c r="H20" s="286"/>
      <c r="I20" s="181">
        <v>0</v>
      </c>
      <c r="J20" s="181">
        <v>0</v>
      </c>
      <c r="K20" s="181">
        <v>0</v>
      </c>
      <c r="L20" s="292"/>
    </row>
    <row r="21" spans="2:12" ht="15.6" customHeight="1">
      <c r="B21" s="283"/>
      <c r="C21" s="73" t="s">
        <v>144</v>
      </c>
      <c r="D21" s="73"/>
      <c r="E21" s="73"/>
      <c r="F21" s="73"/>
      <c r="G21" s="73"/>
      <c r="H21" s="306"/>
      <c r="I21" s="148">
        <v>0</v>
      </c>
      <c r="J21" s="148">
        <v>0</v>
      </c>
      <c r="K21" s="148">
        <v>0</v>
      </c>
      <c r="L21" s="293"/>
    </row>
    <row r="22" spans="2:12" ht="15.6" customHeight="1">
      <c r="I22" s="151"/>
      <c r="J22" s="151"/>
      <c r="K22" s="151"/>
      <c r="L22" s="151"/>
    </row>
    <row r="23" spans="2:12" ht="15.6" customHeight="1">
      <c r="I23" s="305" t="s">
        <v>285</v>
      </c>
      <c r="J23" s="305"/>
      <c r="K23" s="305"/>
    </row>
    <row r="24" spans="2:12" ht="15.6" customHeight="1">
      <c r="H24" s="151"/>
      <c r="I24" s="151"/>
      <c r="J24" s="151"/>
      <c r="K24" s="151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8:B9"/>
    <mergeCell ref="B10:B11"/>
    <mergeCell ref="B12:B13"/>
    <mergeCell ref="B5:B7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曹平</cp:lastModifiedBy>
  <dcterms:modified xsi:type="dcterms:W3CDTF">2026-03-16T06:18:32Z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