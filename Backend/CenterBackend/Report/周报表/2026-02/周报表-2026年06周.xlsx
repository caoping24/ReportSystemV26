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-120" yWindow="-16320" windowWidth="29040" windowHeight="15720" tabRatio="96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definedNames>
    <definedName name="_xlnm.Print_Area" localSheetId="2"><![CDATA[第三页反应液分析数据!$A$1:$H$1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M8" i="15"/>
  <c r="G9" i="5" l="1"/>
  <c r="F9" i="5"/>
  <c r="E9" i="5"/>
  <c r="D9" i="5"/>
  <c r="C9" i="5"/>
  <c r="E8" i="7" l="1"/>
  <c r="E7" i="7"/>
  <c r="E6" i="7"/>
  <c r="M20" i="15"/>
  <c r="M18" i="15"/>
  <c r="M14" i="15"/>
  <c r="M13" i="15"/>
  <c r="M12" i="15"/>
  <c r="M10" i="15"/>
  <c r="M9" i="15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<sst xmlns="http://schemas.openxmlformats.org/spreadsheetml/2006/main" count="435" uniqueCount="253">
  <si>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</si>
  <si>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</si>
  <si>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</si>
  <si>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</si>
  <si>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</si>
  <si>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</si>
  <si>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</si>
  <si>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</si>
  <si>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</si>
  <si>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</si>
  <si>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</si>
  <si>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</si>
  <si>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</si>
  <si>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</si>
  <si>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</si>
  <si>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</si>
  <si>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</si>
  <si>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</si>
  <si>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</si>
  <si>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</si>
  <si>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</si>
  <si>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</si>
  <si>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</si>
  <si>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</si>
  <si>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</si>
  <si>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</si>
  <si>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</si>
  <si>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</si>
  <si>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</si>
  <si>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</si>
  <si>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</si>
  <si>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</si>
  <si>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</si>
  <si>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</si>
  <si>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</si>
  <si>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</si>
  <si>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</si>
  <si>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</si>
  <si>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</si>
  <si>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</si>
  <si>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</si>
  <si>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</si>
  <si>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</si>
  <si>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</si>
  <si>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</si>
  <si>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</si>
  <si>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</si>
  <si>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</si>
  <si>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</si>
  <si>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</si>
  <si>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</si>
  <si>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</si>
  <si>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</si>
  <si>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</si>
  <si>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</si>
  <si>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</si>
  <si>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</si>
  <si>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</si>
  <si>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</si>
  <si>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</si>
  <si>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</si>
  <si>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</si>
  <si>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</si>
  <si>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</si>
  <si>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</si>
  <si>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</si>
  <si>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</si>
  <si>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</si>
  <si>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</si>
  <si>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</si>
  <si>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</si>
  <si>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</si>
  <si>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</si>
  <si>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</si>
  <si>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</si>
  <si>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</si>
  <si>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</si>
  <si>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</si>
  <si>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</si>
  <si>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</si>
  <si>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</si>
  <si>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</si>
  <si>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</si>
  <si>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</si>
  <si>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</si>
  <si>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</si>
  <si>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</si>
  <si>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</si>
  <si>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</si>
  <si>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</si>
  <si>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</si>
  <si>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</si>
  <si>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</si>
  <si>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</si>
  <si>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</si>
  <si>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</si>
  <si>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</si>
  <si>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</si>
  <si>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</si>
  <si>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</si>
  <si>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</si>
  <si>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</si>
  <si>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</si>
  <si>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</si>
  <si>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</si>
  <si>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</si>
  <si>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</si>
  <si>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</si>
  <si>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</si>
  <si>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</si>
  <si>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</si>
  <si>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</si>
  <si>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</si>
  <si>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</si>
  <si>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</si>
  <si>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</si>
  <si>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</si>
  <si>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</si>
  <si>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</si>
  <si>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</si>
  <si>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</si>
  <si>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</si>
  <si>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</si>
  <si>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</si>
  <si>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</si>
  <si>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</si>
  <si>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</si>
  <si>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</si>
  <si>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</si>
  <si>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</si>
  <si>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</si>
  <si>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</si>
  <si>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</si>
  <si>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</si>
  <si>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</si>
  <si>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</si>
  <si>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</si>
  <si>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</si>
  <si>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</si>
  <si>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</si>
  <si>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</si>
  <si>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</si>
  <si>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</si>
  <si>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</si>
  <si>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</si>
  <si>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</si>
  <si>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</si>
  <si>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</si>
  <si>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</si>
  <si>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</si>
  <si>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</si>
  <si>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</si>
  <si>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</si>
  <si>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</si>
  <si>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</si>
  <si>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</si>
  <si>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</si>
  <si>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</si>
  <si>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</si>
  <si>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</si>
  <si>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</si>
  <si>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</si>
  <si>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</si>
  <si>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</si>
  <si>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</si>
  <si>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</si>
  <si>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</si>
  <si>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</si>
  <si>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上周数据</t>
    <phoneticPr fontId="1" type="noConversion"/>
  </si>
  <si>
    <t xml:space="preserve">                             指标
 时间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</si>
  <si>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</si>
  <si>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</si>
  <si>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周报-反应液分析数据表</t>
  </si>
  <si>
    <t xml:space="preserve">周报-反应工序控制参数表</t>
    <phoneticPr fontId="1" type="noConversion"/>
  </si>
  <si>
    <t xml:space="preserve">周报-闪蒸废水分析数据表</t>
    <phoneticPr fontId="1" type="noConversion"/>
  </si>
  <si>
    <t xml:space="preserve">周报-结晶工序数据分析表</t>
    <phoneticPr fontId="1" type="noConversion"/>
  </si>
  <si>
    <t xml:space="preserve">周报-产品指标分析表</t>
    <phoneticPr fontId="1" type="noConversion"/>
  </si>
  <si>
    <t xml:space="preserve">周报-产品收率数据分析表</t>
    <phoneticPr fontId="1" type="noConversion"/>
  </si>
  <si>
    <t xml:space="preserve">周报-汇总数据分析表</t>
    <phoneticPr fontId="1" type="noConversion"/>
  </si>
  <si>
    <t xml:space="preserve">周报-低蒸数据分析表</t>
    <phoneticPr fontId="1" type="noConversion"/>
  </si>
  <si>
    <t xml:space="preserve">周报-脱色工序数据分析表</t>
    <phoneticPr fontId="1" type="noConversion"/>
  </si>
  <si>
    <t xml:space="preserve">周报-二次结晶数据分析表</t>
    <phoneticPr fontId="1" type="noConversion"/>
  </si>
  <si>
    <t xml:space="preserve">周报-产品原料/动力/排放单耗数据分析表</t>
    <phoneticPr fontId="1" type="noConversion"/>
  </si>
  <si>
    <t xml:space="preserve">周报-核心指标分析汇总表</t>
    <phoneticPr fontId="1" type="noConversion"/>
  </si>
  <si>
    <t xml:space="preserve">核心指标完成情况汇总表</t>
    <phoneticPr fontId="1" type="noConversion"/>
  </si>
  <si>
    <t xml:space="preserve">二乙睛中试车间周报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</si>
  <si>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</si>
  <si>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</si>
  <si>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</si>
  <si>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一、产品</t>
    <phoneticPr fontId="1" type="noConversion"/>
  </si>
  <si>
    <t xml:space="preserve">二、原料消耗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</si>
  <si>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</si>
  <si>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</si>
  <si>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</si>
  <si>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</si>
  <si>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</si>
  <si>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</si>
  <si>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</si>
  <si>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</si>
  <si>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</si>
  <si>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</si>
  <si>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</si>
  <si>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反应压力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</si>
  <si>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</si>
  <si>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</si>
  <si>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</si>
  <si>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</si>
  <si>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</si>
  <si>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</si>
  <si>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</si>
  <si>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</si>
  <si>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反应液组成</t>
    <phoneticPr fontId="1" type="noConversion"/>
  </si>
  <si>
    <t xml:space="preserve">--</t>
    <phoneticPr fontId="1" type="noConversion"/>
  </si>
  <si>
    <t xml:space="preserve">羟基乙腈残余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</si>
  <si>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</si>
  <si>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</si>
  <si>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</si>
  <si>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</si>
  <si>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</si>
  <si>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废液组成</t>
    <phoneticPr fontId="1" type="noConversion"/>
  </si>
  <si>
    <t xml:space="preserve">羟基乙腈</t>
    <phoneticPr fontId="1" type="noConversion"/>
  </si>
  <si>
    <t xml:space="preserve">硫铵</t>
    <phoneticPr fontId="1" type="noConversion"/>
  </si>
  <si>
    <t xml:space="preserve">其它</t>
    <phoneticPr fontId="1" type="noConversion"/>
  </si>
  <si>
    <t xml:space="preserve">%</t>
  </si>
  <si>
    <t xml:space="preserve">水分</t>
    <phoneticPr fontId="1" type="noConversion"/>
  </si>
  <si>
    <t xml:space="preserve">五、其他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</si>
  <si>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</si>
  <si>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</si>
  <si>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</si>
  <si>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</si>
  <si>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</si>
  <si>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</si>
  <si>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</si>
  <si>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</si>
  <si>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</si>
  <si>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</si>
  <si>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≤20</t>
    <phoneticPr fontId="1" type="noConversion"/>
  </si>
  <si>
    <t xml:space="preserve">48±2</t>
  </si>
  <si>
    <t xml:space="preserve">≤20</t>
  </si>
  <si>
    <t xml:space="preserve">/</t>
  </si>
  <si>
    <t xml:space="preserve">≤0.38</t>
  </si>
  <si>
    <t xml:space="preserve">2026-02-06</t>
  </si>
  <si>
    <t xml:space="preserve">2026年6周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</si>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</sst>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;[Red]0.00"/>
    <numFmt numFmtId="177" formatCode="0.0000;[Red]0.0000"/>
    <numFmt numFmtId="178" formatCode="0.0;[Red]0.0"/>
    <numFmt numFmtId="179" formatCode="0.000;[Red]0.000"/>
    <numFmt numFmtId="180" formatCode="0.00_ "/>
    <numFmt numFmtId="181" formatCode="0.000_ "/>
  </numFmts>
  <fonts count="2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i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176" fontId="3" fillId="0" borderId="23" xfId="0" applyNumberFormat="1" applyFont="1" applyBorder="1" applyAlignment="1">
      <alignment horizontal="center" vertical="center"/>
    </xf>
    <xf numFmtId="0" fontId="0" fillId="0" borderId="23" xfId="0" applyBorder="1"/>
    <xf numFmtId="0" fontId="2" fillId="0" borderId="23" xfId="0" applyFont="1" applyBorder="1" applyAlignment="1">
      <alignment horizontal="center" vertical="center" wrapText="1"/>
    </xf>
    <xf numFmtId="176" fontId="2" fillId="2" borderId="23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vertical="center"/>
    </xf>
    <xf numFmtId="0" fontId="16" fillId="5" borderId="17" xfId="0" applyFont="1" applyFill="1" applyBorder="1" applyAlignment="1">
      <alignment vertical="center"/>
    </xf>
    <xf numFmtId="0" fontId="16" fillId="5" borderId="17" xfId="0" applyFont="1" applyFill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180" fontId="3" fillId="0" borderId="23" xfId="0" applyNumberFormat="1" applyFont="1" applyBorder="1" applyAlignment="1">
      <alignment horizontal="center" vertical="center"/>
    </xf>
    <xf numFmtId="180" fontId="3" fillId="0" borderId="21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181" fontId="18" fillId="0" borderId="23" xfId="0" applyNumberFormat="1" applyFont="1" applyBorder="1" applyAlignment="1">
      <alignment horizontal="center" vertical="center"/>
    </xf>
    <xf numFmtId="181" fontId="17" fillId="0" borderId="23" xfId="0" quotePrefix="1" applyNumberFormat="1" applyFont="1" applyBorder="1" applyAlignment="1">
      <alignment horizontal="center" vertical="center"/>
    </xf>
    <xf numFmtId="181" fontId="18" fillId="0" borderId="46" xfId="0" applyNumberFormat="1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0" borderId="23" xfId="0" applyFont="1" applyBorder="1" applyAlignment="1">
      <alignment wrapText="1"/>
    </xf>
    <xf numFmtId="0" fontId="3" fillId="0" borderId="23" xfId="0" applyFont="1" applyBorder="1"/>
    <xf numFmtId="0" fontId="9" fillId="0" borderId="23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57" fontId="2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</cellXfs>
  <cellStyles count="1">
    <cellStyle name="常规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Q13" sqref="Q13"/>
    </sheetView>
  </sheetViews>
  <sheetFormatPr defaultRowHeight="18.5" customHeight="1"/>
  <cols>
    <col min="1" max="1" width="1.83203125" customWidth="1"/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7.25" bestFit="1" customWidth="1"/>
    <col min="16" max="16" width="11.58203125" customWidth="1"/>
  </cols>
  <sheetData>
    <row r="1" spans="2:10" ht="14.5" thickBot="1"/>
    <row r="2" spans="2:10" ht="21">
      <c r="B2" s="107" t="s">
        <v>185</v>
      </c>
      <c r="C2" s="108"/>
      <c r="D2" s="108"/>
      <c r="E2" s="108"/>
      <c r="F2" s="108"/>
      <c r="G2" s="108"/>
      <c r="H2" s="108"/>
      <c r="I2" s="108"/>
      <c r="J2" s="109"/>
    </row>
    <row r="3" spans="2:10" ht="14">
      <c r="B3" s="72"/>
      <c r="C3" s="73"/>
      <c r="D3" s="73"/>
      <c r="E3" s="73"/>
      <c r="F3" s="73"/>
      <c r="G3" s="74" t="s">
        <v>241</v>
      </c>
      <c r="H3" s="110" t="s">
        <v>242</v>
      </c>
      <c r="I3" s="110"/>
      <c r="J3" s="111"/>
    </row>
    <row r="4" spans="2:10" ht="21">
      <c r="B4" s="112" t="s">
        <v>16</v>
      </c>
      <c r="C4" s="113"/>
      <c r="D4" s="114"/>
      <c r="E4" s="75" t="s">
        <v>40</v>
      </c>
      <c r="F4" s="75" t="s">
        <v>186</v>
      </c>
      <c r="G4" s="75" t="s">
        <v>187</v>
      </c>
      <c r="H4" s="115" t="s">
        <v>188</v>
      </c>
      <c r="I4" s="114"/>
      <c r="J4" s="76" t="s">
        <v>62</v>
      </c>
    </row>
    <row r="5" spans="2:10" ht="14">
      <c r="B5" s="77" t="s">
        <v>189</v>
      </c>
      <c r="C5" s="92" t="s">
        <v>163</v>
      </c>
      <c r="D5" s="92"/>
      <c r="E5" s="78" t="s">
        <v>56</v>
      </c>
      <c r="F5" s="86">
        <v>90</v>
      </c>
      <c r="G5" s="169">
        <v>26.806453704833984</v>
      </c>
      <c r="H5" s="79">
        <f>(G5-F5)/F5*100</f>
        <v>-100</v>
      </c>
      <c r="I5" s="80" t="s">
        <v>56</v>
      </c>
      <c r="J5" s="81"/>
    </row>
    <row r="6" spans="2:10" ht="14">
      <c r="B6" s="89" t="s">
        <v>190</v>
      </c>
      <c r="C6" s="92" t="s">
        <v>191</v>
      </c>
      <c r="D6" s="92"/>
      <c r="E6" s="78" t="s">
        <v>107</v>
      </c>
      <c r="F6" s="86" t="s">
        <v>226</v>
      </c>
      <c r="G6" s="169">
        <v>0</v>
      </c>
      <c r="H6" s="51" t="str">
        <f>IF($G6="","",IF(AND($G6&gt;=0,$G6&lt;=1427),"合格","不合格"))</f>
        <v/>
      </c>
      <c r="I6" s="82" t="s">
        <v>12</v>
      </c>
      <c r="J6" s="81"/>
    </row>
    <row r="7" spans="2:10" ht="14">
      <c r="B7" s="90"/>
      <c r="C7" s="92" t="s">
        <v>192</v>
      </c>
      <c r="D7" s="92"/>
      <c r="E7" s="78" t="s">
        <v>107</v>
      </c>
      <c r="F7" s="86" t="s">
        <v>227</v>
      </c>
      <c r="G7" s="169">
        <v>0</v>
      </c>
      <c r="H7" s="51" t="str">
        <f>IF($G7="","",IF(AND($G7&gt;=210,$G7&lt;=220),"合格","不合格"))</f>
        <v/>
      </c>
      <c r="I7" s="82" t="s">
        <v>12</v>
      </c>
      <c r="J7" s="81"/>
    </row>
    <row r="8" spans="2:10" ht="14">
      <c r="B8" s="91"/>
      <c r="C8" s="92" t="s">
        <v>193</v>
      </c>
      <c r="D8" s="92"/>
      <c r="E8" s="78" t="s">
        <v>107</v>
      </c>
      <c r="F8" s="86" t="s">
        <v>228</v>
      </c>
      <c r="G8" s="169">
        <v>0</v>
      </c>
      <c r="H8" s="51" t="str">
        <f>IF($G8="","",IF(AND($G8&gt;=190,$G8&lt;=210),"合格","不合格"))</f>
        <v/>
      </c>
      <c r="I8" s="82" t="s">
        <v>12</v>
      </c>
      <c r="J8" s="81"/>
    </row>
    <row r="9" spans="2:10" ht="14">
      <c r="B9" s="89" t="s">
        <v>194</v>
      </c>
      <c r="C9" s="78" t="s">
        <v>195</v>
      </c>
      <c r="D9" s="78" t="s">
        <v>196</v>
      </c>
      <c r="E9" s="78" t="s">
        <v>197</v>
      </c>
      <c r="F9" s="86" t="s">
        <v>229</v>
      </c>
      <c r="G9" s="169">
        <v>316.02032470703125</v>
      </c>
      <c r="H9" s="51" t="str">
        <f>IF($G9="","",IF(AND($G9&gt;=412,$G9&lt;=422),"合格","不合格"))</f>
        <v/>
      </c>
      <c r="I9" s="82" t="s">
        <v>12</v>
      </c>
      <c r="J9" s="81"/>
    </row>
    <row r="10" spans="2:10" ht="14">
      <c r="B10" s="90"/>
      <c r="C10" s="92" t="s">
        <v>198</v>
      </c>
      <c r="D10" s="78" t="s">
        <v>199</v>
      </c>
      <c r="E10" s="82" t="s">
        <v>12</v>
      </c>
      <c r="F10" s="86" t="s">
        <v>230</v>
      </c>
      <c r="G10" s="169">
        <v>0.5090618133544922</v>
      </c>
      <c r="H10" s="51" t="str">
        <f>IF($G10="","",IF(AND($G10&gt;=0.525,$G10&lt;=0.5357),"合格","不合格"))</f>
        <v/>
      </c>
      <c r="I10" s="82" t="s">
        <v>12</v>
      </c>
      <c r="J10" s="81"/>
    </row>
    <row r="11" spans="2:10" ht="14">
      <c r="B11" s="90"/>
      <c r="C11" s="92"/>
      <c r="D11" s="78" t="s">
        <v>200</v>
      </c>
      <c r="E11" s="78" t="s">
        <v>201</v>
      </c>
      <c r="F11" s="86">
        <v>46.63</v>
      </c>
      <c r="G11" s="169"/>
      <c r="H11" s="51"/>
      <c r="I11" s="82" t="s">
        <v>12</v>
      </c>
      <c r="J11" s="81"/>
    </row>
    <row r="12" spans="2:10" ht="14">
      <c r="B12" s="90"/>
      <c r="C12" s="92"/>
      <c r="D12" s="78" t="s">
        <v>202</v>
      </c>
      <c r="E12" s="78" t="s">
        <v>15</v>
      </c>
      <c r="F12" s="86" t="s">
        <v>231</v>
      </c>
      <c r="G12" s="169">
        <v>0.11198066174983978</v>
      </c>
      <c r="H12" s="51" t="str">
        <f>IF($G12="","",IF(AND($G12&gt;=0.745,$G12&lt;=0.755),"合格","不合格"))</f>
        <v/>
      </c>
      <c r="I12" s="82" t="s">
        <v>12</v>
      </c>
      <c r="J12" s="81"/>
    </row>
    <row r="13" spans="2:10" ht="14">
      <c r="B13" s="90"/>
      <c r="C13" s="92"/>
      <c r="D13" s="78" t="s">
        <v>203</v>
      </c>
      <c r="E13" s="78" t="s">
        <v>13</v>
      </c>
      <c r="F13" s="86" t="s">
        <v>232</v>
      </c>
      <c r="G13" s="169">
        <v>36.09604263305664</v>
      </c>
      <c r="H13" s="51" t="str">
        <f>IF($G13="","",IF(AND($G13&gt;=88,$G13&lt;=92),"合格","不合格"))</f>
        <v/>
      </c>
      <c r="I13" s="82" t="s">
        <v>12</v>
      </c>
      <c r="J13" s="81"/>
    </row>
    <row r="14" spans="2:10" ht="14">
      <c r="B14" s="90"/>
      <c r="C14" s="92"/>
      <c r="D14" s="78" t="s">
        <v>204</v>
      </c>
      <c r="E14" s="78" t="s">
        <v>13</v>
      </c>
      <c r="F14" s="86" t="s">
        <v>233</v>
      </c>
      <c r="G14" s="169">
        <v>50.462890625</v>
      </c>
      <c r="H14" s="51" t="str">
        <f>IF($G14="","",IF(AND($G14&gt;=143,$G14&lt;=147),"合格","不合格"))</f>
        <v/>
      </c>
      <c r="I14" s="82" t="s">
        <v>12</v>
      </c>
      <c r="J14" s="81"/>
    </row>
    <row r="15" spans="2:10" ht="14">
      <c r="B15" s="90"/>
      <c r="C15" s="92"/>
      <c r="D15" s="78" t="s">
        <v>205</v>
      </c>
      <c r="E15" s="78" t="s">
        <v>13</v>
      </c>
      <c r="F15" s="86" t="s">
        <v>234</v>
      </c>
      <c r="G15" s="169">
        <v>59.736759185791016</v>
      </c>
      <c r="H15" s="51" t="str">
        <f>IF($G15="","",IF(AND($G15&gt;=166,$G15&lt;=170),"合格","不合格"))</f>
        <v/>
      </c>
      <c r="I15" s="82" t="s">
        <v>12</v>
      </c>
      <c r="J15" s="81"/>
    </row>
    <row r="16" spans="2:10" ht="14">
      <c r="B16" s="90"/>
      <c r="C16" s="92" t="s">
        <v>206</v>
      </c>
      <c r="D16" s="78" t="s">
        <v>207</v>
      </c>
      <c r="E16" s="78" t="s">
        <v>13</v>
      </c>
      <c r="F16" s="86" t="s">
        <v>235</v>
      </c>
      <c r="G16" s="169">
        <v>33.456905364990234</v>
      </c>
      <c r="H16" s="51" t="str">
        <f>IF($G16="","",IF(AND($G16&gt;=0,$G16&lt;=45),"合格","不合格"))</f>
        <v/>
      </c>
      <c r="I16" s="82" t="s">
        <v>12</v>
      </c>
      <c r="J16" s="81"/>
    </row>
    <row r="17" spans="2:10" ht="14">
      <c r="B17" s="90"/>
      <c r="C17" s="92"/>
      <c r="D17" s="78" t="s">
        <v>208</v>
      </c>
      <c r="E17" s="78" t="s">
        <v>13</v>
      </c>
      <c r="F17" s="86" t="s">
        <v>236</v>
      </c>
      <c r="G17" s="169">
        <v>30.61983871459961</v>
      </c>
      <c r="H17" s="51" t="str">
        <f>IF($G17="","",IF(AND($G17&gt;=0,$G17&lt;=20),"合格","不合格"))</f>
        <v/>
      </c>
      <c r="I17" s="82" t="s">
        <v>12</v>
      </c>
      <c r="J17" s="81"/>
    </row>
    <row r="18" spans="2:10" ht="14">
      <c r="B18" s="90"/>
      <c r="C18" s="92"/>
      <c r="D18" s="78" t="s">
        <v>209</v>
      </c>
      <c r="E18" s="78" t="s">
        <v>13</v>
      </c>
      <c r="F18" s="86" t="s">
        <v>237</v>
      </c>
      <c r="G18" s="169"/>
      <c r="H18" s="51" t="str">
        <f>IF($G18="","",IF(AND($G18&gt;=46,$G18&lt;=50),"合格","不合格"))</f>
        <v/>
      </c>
      <c r="I18" s="82" t="s">
        <v>12</v>
      </c>
      <c r="J18" s="81"/>
    </row>
    <row r="19" spans="2:10" ht="14">
      <c r="B19" s="90"/>
      <c r="C19" s="92"/>
      <c r="D19" s="78" t="s">
        <v>210</v>
      </c>
      <c r="E19" s="78" t="s">
        <v>13</v>
      </c>
      <c r="F19" s="86" t="s">
        <v>238</v>
      </c>
      <c r="G19" s="169">
        <v>8.788883209228516</v>
      </c>
      <c r="H19" s="51" t="str">
        <f>IF($G19="","",IF(AND($G19&gt;=0,$G19&lt;=20),"合格","不合格"))</f>
        <v/>
      </c>
      <c r="I19" s="82" t="s">
        <v>12</v>
      </c>
      <c r="J19" s="81"/>
    </row>
    <row r="20" spans="2:10" ht="14">
      <c r="B20" s="90"/>
      <c r="C20" s="92" t="s">
        <v>211</v>
      </c>
      <c r="D20" s="78" t="s">
        <v>21</v>
      </c>
      <c r="E20" s="78" t="s">
        <v>56</v>
      </c>
      <c r="F20" s="87" t="s">
        <v>239</v>
      </c>
      <c r="G20" s="169">
        <v>11</v>
      </c>
      <c r="H20" s="83" t="s">
        <v>212</v>
      </c>
      <c r="I20" s="82" t="s">
        <v>12</v>
      </c>
      <c r="J20" s="81"/>
    </row>
    <row r="21" spans="2:10" ht="14">
      <c r="B21" s="90"/>
      <c r="C21" s="92"/>
      <c r="D21" s="78" t="s">
        <v>213</v>
      </c>
      <c r="E21" s="78" t="s">
        <v>56</v>
      </c>
      <c r="F21" s="87" t="s">
        <v>239</v>
      </c>
      <c r="G21" s="169">
        <v>13</v>
      </c>
      <c r="H21" s="83" t="s">
        <v>212</v>
      </c>
      <c r="I21" s="82" t="s">
        <v>12</v>
      </c>
      <c r="J21" s="81"/>
    </row>
    <row r="22" spans="2:10" ht="14">
      <c r="B22" s="90"/>
      <c r="C22" s="92"/>
      <c r="D22" s="78" t="s">
        <v>31</v>
      </c>
      <c r="E22" s="82" t="s">
        <v>12</v>
      </c>
      <c r="F22" s="87" t="s">
        <v>239</v>
      </c>
      <c r="G22" s="169">
        <v>17</v>
      </c>
      <c r="H22" s="83" t="s">
        <v>212</v>
      </c>
      <c r="I22" s="82" t="s">
        <v>12</v>
      </c>
      <c r="J22" s="81"/>
    </row>
    <row r="23" spans="2:10" ht="14">
      <c r="B23" s="90"/>
      <c r="C23" s="92"/>
      <c r="D23" s="78" t="s">
        <v>214</v>
      </c>
      <c r="E23" s="78" t="s">
        <v>197</v>
      </c>
      <c r="F23" s="87" t="s">
        <v>239</v>
      </c>
      <c r="G23" s="169">
        <v>15</v>
      </c>
      <c r="H23" s="83" t="s">
        <v>212</v>
      </c>
      <c r="I23" s="82" t="s">
        <v>12</v>
      </c>
      <c r="J23" s="81"/>
    </row>
    <row r="24" spans="2:10" ht="14">
      <c r="B24" s="91"/>
      <c r="C24" s="92"/>
      <c r="D24" s="78" t="s">
        <v>215</v>
      </c>
      <c r="E24" s="78" t="s">
        <v>197</v>
      </c>
      <c r="F24" s="87" t="s">
        <v>239</v>
      </c>
      <c r="G24" s="169">
        <v>16</v>
      </c>
      <c r="H24" s="83" t="s">
        <v>212</v>
      </c>
      <c r="I24" s="82" t="s">
        <v>12</v>
      </c>
      <c r="J24" s="81"/>
    </row>
    <row r="25" spans="2:10" ht="14">
      <c r="B25" s="105" t="s">
        <v>171</v>
      </c>
      <c r="C25" s="78" t="s">
        <v>216</v>
      </c>
      <c r="D25" s="78" t="s">
        <v>217</v>
      </c>
      <c r="E25" s="78" t="s">
        <v>218</v>
      </c>
      <c r="F25" s="86" t="s">
        <v>240</v>
      </c>
      <c r="G25" s="169">
        <v>0</v>
      </c>
      <c r="H25" s="51" t="str">
        <f>IF($G25="","",IF(AND($G25&gt;=0,$G25&lt;=0.38),"合格","不合格"))</f>
        <v/>
      </c>
      <c r="I25" s="82" t="s">
        <v>12</v>
      </c>
      <c r="J25" s="81"/>
    </row>
    <row r="26" spans="2:10" ht="15.5">
      <c r="B26" s="105"/>
      <c r="C26" s="92" t="s">
        <v>219</v>
      </c>
      <c r="D26" s="78" t="s">
        <v>220</v>
      </c>
      <c r="E26" s="78" t="s">
        <v>56</v>
      </c>
      <c r="F26" s="86">
        <v>7</v>
      </c>
      <c r="G26" s="169">
        <v>74</v>
      </c>
      <c r="H26" s="170" t="str">
        <f>IF($G26="","",IF(AND($G26&gt;=0,$G26&lt;=7),"↓","↑"))</f>
        <v/>
      </c>
      <c r="I26" s="82" t="s">
        <v>12</v>
      </c>
      <c r="J26" s="81"/>
    </row>
    <row r="27" spans="2:10" ht="15.5">
      <c r="B27" s="105"/>
      <c r="C27" s="92"/>
      <c r="D27" s="78" t="s">
        <v>221</v>
      </c>
      <c r="E27" s="78" t="s">
        <v>56</v>
      </c>
      <c r="F27" s="86">
        <v>15</v>
      </c>
      <c r="G27" s="169">
        <v>75</v>
      </c>
      <c r="H27" s="170" t="str">
        <f>IF($G27="","",IF(AND($G27&gt;=0,$G27&lt;=15),"↓","↑"))</f>
        <v/>
      </c>
      <c r="I27" s="82" t="s">
        <v>12</v>
      </c>
      <c r="J27" s="81"/>
    </row>
    <row r="28" spans="2:10" ht="15.5">
      <c r="B28" s="105"/>
      <c r="C28" s="92"/>
      <c r="D28" s="78" t="s">
        <v>131</v>
      </c>
      <c r="E28" s="78" t="s">
        <v>56</v>
      </c>
      <c r="F28" s="86">
        <v>4</v>
      </c>
      <c r="G28" s="169">
        <v>76</v>
      </c>
      <c r="H28" s="170" t="str">
        <f>IF($G28="","",IF(AND($G28&gt;=0,$G28&lt;=4),"↓","↑"))</f>
        <v/>
      </c>
      <c r="I28" s="82" t="s">
        <v>12</v>
      </c>
      <c r="J28" s="81"/>
    </row>
    <row r="29" spans="2:10" ht="15.5">
      <c r="B29" s="105"/>
      <c r="C29" s="92"/>
      <c r="D29" s="78" t="s">
        <v>214</v>
      </c>
      <c r="E29" s="78" t="s">
        <v>56</v>
      </c>
      <c r="F29" s="86">
        <v>7</v>
      </c>
      <c r="G29" s="169">
        <v>77</v>
      </c>
      <c r="H29" s="170" t="str">
        <f t="shared" ref="H29:H34" si="0">IF($G29="","",IF(AND($G29&gt;=0,$G29&lt;=7),"↓","↑"))</f>
        <v/>
      </c>
      <c r="I29" s="82" t="s">
        <v>12</v>
      </c>
      <c r="J29" s="81"/>
    </row>
    <row r="30" spans="2:10" ht="15.5">
      <c r="B30" s="105"/>
      <c r="C30" s="92"/>
      <c r="D30" s="78" t="s">
        <v>215</v>
      </c>
      <c r="E30" s="78" t="s">
        <v>56</v>
      </c>
      <c r="F30" s="86">
        <v>7</v>
      </c>
      <c r="G30" s="169">
        <v>78</v>
      </c>
      <c r="H30" s="170" t="str">
        <f t="shared" si="0"/>
        <v/>
      </c>
      <c r="I30" s="82" t="s">
        <v>12</v>
      </c>
      <c r="J30" s="81"/>
    </row>
    <row r="31" spans="2:10" ht="15.5">
      <c r="B31" s="105"/>
      <c r="C31" s="92"/>
      <c r="D31" s="78" t="s">
        <v>222</v>
      </c>
      <c r="E31" s="78" t="s">
        <v>223</v>
      </c>
      <c r="F31" s="86">
        <v>10</v>
      </c>
      <c r="G31" s="169">
        <v>79</v>
      </c>
      <c r="H31" s="170" t="str">
        <f>IF($G31="","",IF(AND($G31&gt;=0,$G31&lt;=10),"↓","↑"))</f>
        <v/>
      </c>
      <c r="I31" s="82" t="s">
        <v>12</v>
      </c>
      <c r="J31" s="81"/>
    </row>
    <row r="32" spans="2:10" ht="16" thickBot="1">
      <c r="B32" s="89"/>
      <c r="C32" s="106"/>
      <c r="D32" s="85" t="s">
        <v>224</v>
      </c>
      <c r="E32" s="85" t="s">
        <v>56</v>
      </c>
      <c r="F32" s="88">
        <v>50</v>
      </c>
      <c r="G32" s="171">
        <v>80</v>
      </c>
      <c r="H32" s="170" t="str">
        <f>IF($G32="","",IF(AND($G32&gt;=0,$G32&lt;=50),"↓","↑"))</f>
        <v/>
      </c>
      <c r="I32" s="82" t="s">
        <v>12</v>
      </c>
      <c r="J32" s="84"/>
    </row>
    <row r="33" spans="2:10" ht="14">
      <c r="B33" s="93" t="s">
        <v>225</v>
      </c>
      <c r="C33" s="96"/>
      <c r="D33" s="97"/>
      <c r="E33" s="97"/>
      <c r="F33" s="97"/>
      <c r="G33" s="97"/>
      <c r="H33" s="97"/>
      <c r="I33" s="97"/>
      <c r="J33" s="98"/>
    </row>
    <row r="34" spans="2:10" ht="14">
      <c r="B34" s="94"/>
      <c r="C34" s="99"/>
      <c r="D34" s="100"/>
      <c r="E34" s="100"/>
      <c r="F34" s="100"/>
      <c r="G34" s="100"/>
      <c r="H34" s="100"/>
      <c r="I34" s="100"/>
      <c r="J34" s="101"/>
    </row>
    <row r="35" spans="2:10" ht="14.5" thickBot="1">
      <c r="B35" s="95"/>
      <c r="C35" s="102"/>
      <c r="D35" s="103"/>
      <c r="E35" s="103"/>
      <c r="F35" s="103"/>
      <c r="G35" s="103"/>
      <c r="H35" s="103"/>
      <c r="I35" s="103"/>
      <c r="J35" s="104"/>
    </row>
  </sheetData>
  <sheetCalcPr fullCalcOnLoad="1"/>
  <mergeCells count="17">
    <mergeCell ref="B4:D4"/>
    <mergeCell ref="C5:D5"/>
    <mergeCell ref="B2:J2"/>
    <mergeCell ref="H3:J3"/>
    <mergeCell ref="H4:I4"/>
    <mergeCell ref="B6:B8"/>
    <mergeCell ref="C6:D6"/>
    <mergeCell ref="C7:D7"/>
    <mergeCell ref="C8:D8"/>
    <mergeCell ref="B33:B35"/>
    <mergeCell ref="B9:B24"/>
    <mergeCell ref="C10:C15"/>
    <mergeCell ref="C16:C19"/>
    <mergeCell ref="C20:C24"/>
    <mergeCell ref="B25:B32"/>
    <mergeCell ref="C26:C32"/>
    <mergeCell ref="C33:J35"/>
  </mergeCells>
  <phoneticPr fontId="1" type="noConversion"/>
  <conditionalFormatting sqref="H5">
    <cfRule type="cellIs" dxfId="10" priority="5" aboveAverage="1" operator="equal">
      <formula>0</formula>
    </cfRule>
    <cfRule type="cellIs" dxfId="9" priority="6" aboveAverage="1" operator="lessThan">
      <formula>0</formula>
    </cfRule>
    <cfRule type="cellIs" dxfId="8" priority="7" aboveAverage="1" operator="greaterThan">
      <formula>0</formula>
    </cfRule>
  </conditionalFormatting>
  <conditionalFormatting sqref="H6:H19">
    <cfRule type="cellIs" dxfId="7" priority="8" aboveAverage="1" operator="equal">
      <formula>"合格"</formula>
    </cfRule>
    <cfRule type="cellIs" dxfId="6" priority="9" aboveAverage="1" operator="equal">
      <formula>"不合格"</formula>
    </cfRule>
    <cfRule type="containsText" dxfId="5" priority="10" aboveAverage="1" operator="containsText" text="不合格">
      <formula>NOT(ISERROR(SEARCH("不合格",H6)))</formula>
    </cfRule>
    <cfRule type="cellIs" dxfId="4" priority="11" aboveAverage="1" operator="equal">
      <formula>"合格"</formula>
    </cfRule>
  </conditionalFormatting>
  <conditionalFormatting sqref="H25:H32">
    <cfRule type="cellIs" dxfId="3" priority="1" aboveAverage="1" operator="equal">
      <formula>"合格"</formula>
    </cfRule>
    <cfRule type="cellIs" dxfId="2" priority="2" aboveAverage="1" operator="equal">
      <formula>"不合格"</formula>
    </cfRule>
    <cfRule type="containsText" dxfId="1" priority="3" aboveAverage="1" operator="containsText" text="不合格">
      <formula>NOT(ISERROR(SEARCH("不合格",H25)))</formula>
    </cfRule>
    <cfRule type="cellIs" dxfId="0" priority="4" aboveAverage="1" operator="equal">
      <formula>"合格"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2"/>
  <sheetViews>
    <sheetView workbookViewId="0">
      <selection activeCell="C6" sqref="C6:K6"/>
    </sheetView>
  </sheetViews>
  <sheetFormatPr defaultColWidth="9" defaultRowHeight="13"/>
  <cols>
    <col min="1" max="1" width="1.58203125" style="2" customWidth="1"/>
    <col min="2" max="10" width="9" style="2"/>
  </cols>
  <sheetData>
    <row r="2" spans="2:11" ht="27.75" customHeight="1">
      <c r="B2" s="118" t="s">
        <v>173</v>
      </c>
      <c r="C2" s="118"/>
      <c r="D2" s="118"/>
      <c r="E2" s="118"/>
      <c r="F2" s="118"/>
      <c r="G2" s="118"/>
      <c r="H2" s="118"/>
      <c r="I2" s="118"/>
      <c r="J2" s="118"/>
      <c r="K2" s="118"/>
    </row>
    <row r="3" spans="2:11" ht="15" customHeight="1">
      <c r="B3" s="116"/>
      <c r="C3" s="117"/>
      <c r="D3" s="117"/>
      <c r="E3" s="117"/>
      <c r="F3" s="117"/>
      <c r="G3" s="117"/>
      <c r="H3" s="117"/>
      <c r="I3" s="117"/>
      <c r="J3" s="117"/>
      <c r="K3" s="117"/>
    </row>
    <row r="4" spans="2:11" ht="30" customHeight="1">
      <c r="B4" s="10" t="s">
        <v>16</v>
      </c>
      <c r="C4" s="11" t="s">
        <v>7</v>
      </c>
      <c r="D4" s="11" t="s">
        <v>8</v>
      </c>
      <c r="E4" s="11" t="s">
        <v>3</v>
      </c>
      <c r="F4" s="11" t="s">
        <v>9</v>
      </c>
      <c r="G4" s="11" t="s">
        <v>4</v>
      </c>
      <c r="H4" s="11" t="s">
        <v>2</v>
      </c>
      <c r="I4" s="11" t="s">
        <v>6</v>
      </c>
      <c r="J4" s="12" t="s">
        <v>20</v>
      </c>
      <c r="K4" s="12" t="s">
        <v>5</v>
      </c>
    </row>
    <row r="5" spans="2:11" ht="25" customHeight="1">
      <c r="B5" s="56" t="s">
        <v>241</v>
      </c>
      <c r="C5" s="57" t="s">
        <v>11</v>
      </c>
      <c r="D5" s="57" t="s">
        <v>10</v>
      </c>
      <c r="E5" s="57" t="s">
        <v>10</v>
      </c>
      <c r="F5" s="57" t="s">
        <v>12</v>
      </c>
      <c r="G5" s="57" t="s">
        <v>15</v>
      </c>
      <c r="H5" s="57" t="s">
        <v>13</v>
      </c>
      <c r="I5" s="57" t="s">
        <v>13</v>
      </c>
      <c r="J5" s="9" t="s">
        <v>14</v>
      </c>
      <c r="K5" s="9" t="s">
        <v>13</v>
      </c>
    </row>
    <row r="6" spans="2:11" ht="25" customHeight="1">
      <c r="B6" s="13" t="s">
        <v>0</v>
      </c>
      <c r="C6" s="20">
        <v>21.7</v>
      </c>
      <c r="D6" s="20">
        <v>1.93</v>
      </c>
      <c r="E6" s="20">
        <v>0.33</v>
      </c>
      <c r="F6" s="20">
        <v>0.51500000000000001</v>
      </c>
      <c r="G6" s="20">
        <v>1.2</v>
      </c>
      <c r="H6" s="20">
        <v>170</v>
      </c>
      <c r="I6" s="20">
        <v>183</v>
      </c>
      <c r="J6" s="20">
        <v>1</v>
      </c>
      <c r="K6" s="20">
        <v>150</v>
      </c>
    </row>
    <row r="7" spans="2:11" ht="25" customHeight="1">
      <c r="B7" s="4" t="s">
        <v>17</v>
      </c>
      <c r="C7" s="5">
        <v>90.30990600585938</v>
      </c>
      <c r="D7" s="5">
        <v>90.30990600585938</v>
      </c>
      <c r="E7" s="5">
        <v>90.30990600585938</v>
      </c>
      <c r="F7" s="14">
        <v>90.30990600585938</v>
      </c>
      <c r="G7" s="5">
        <v>90.30990600585938</v>
      </c>
      <c r="H7" s="16">
        <v>90.30990600585938</v>
      </c>
      <c r="I7" s="5">
        <v>90.30990600585938</v>
      </c>
      <c r="J7" s="18"/>
      <c r="K7" s="18"/>
    </row>
    <row r="8" spans="2:11" ht="25" customHeight="1">
      <c r="B8" s="4" t="s">
        <v>18</v>
      </c>
      <c r="C8" s="5">
        <v>24.377199172973633</v>
      </c>
      <c r="D8" s="5">
        <v>25.676193237304688</v>
      </c>
      <c r="E8" s="5">
        <v>24.536865234375</v>
      </c>
      <c r="F8" s="14">
        <v>24.625598907470703</v>
      </c>
      <c r="G8" s="5">
        <v>24.757617950439453</v>
      </c>
      <c r="H8" s="16">
        <v>91.01581573486328</v>
      </c>
      <c r="I8" s="5">
        <v>97.69420623779297</v>
      </c>
      <c r="J8" s="18"/>
      <c r="K8" s="18"/>
    </row>
    <row r="9" spans="2:11" ht="25" customHeight="1">
      <c r="B9" s="7" t="s">
        <v>19</v>
      </c>
      <c r="C9" s="8">
        <v>5.158846378326416</v>
      </c>
      <c r="D9" s="8">
        <v>0.7523414492607117</v>
      </c>
      <c r="E9" s="8">
        <v>0.08304993063211441</v>
      </c>
      <c r="F9" s="15">
        <v>9.82533492584606E+28</v>
      </c>
      <c r="G9" s="8">
        <v>0.1981475055217743</v>
      </c>
      <c r="H9" s="17">
        <v>50.462890625</v>
      </c>
      <c r="I9" s="8">
        <v>59.736759185791016</v>
      </c>
      <c r="J9" s="19"/>
      <c r="K9" s="19"/>
    </row>
    <row r="10" spans="2:11" ht="20.15" customHeight="1"/>
    <row r="11" spans="2:11" ht="20.15" customHeight="1"/>
    <row r="12" spans="2:11" ht="20.15" customHeight="1"/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9"/>
  <sheetViews>
    <sheetView zoomScaleNormal="100" zoomScaleSheetLayoutView="130" workbookViewId="0">
      <selection activeCell="C5" sqref="C5"/>
    </sheetView>
  </sheetViews>
  <sheetFormatPr defaultColWidth="9" defaultRowHeight="13"/>
  <cols>
    <col min="1" max="1" width="3" style="2" customWidth="1"/>
    <col min="2" max="7" width="11.25" style="2" customWidth="1"/>
    <col min="8" max="8" width="3.83203125" style="2" customWidth="1"/>
  </cols>
  <sheetData>
    <row r="2" spans="2:7" ht="17.5">
      <c r="B2" s="119" t="s">
        <v>172</v>
      </c>
      <c r="C2" s="120"/>
      <c r="D2" s="120"/>
      <c r="E2" s="120"/>
      <c r="F2" s="120"/>
      <c r="G2" s="121"/>
    </row>
    <row r="3" spans="2:7" ht="25.25" customHeight="1">
      <c r="B3" s="3" t="s">
        <v>30</v>
      </c>
      <c r="C3" s="122" t="s">
        <v>26</v>
      </c>
      <c r="D3" s="123"/>
      <c r="E3" s="124" t="s">
        <v>27</v>
      </c>
      <c r="F3" s="125"/>
      <c r="G3" s="48" t="s">
        <v>31</v>
      </c>
    </row>
    <row r="4" spans="2:7" ht="26">
      <c r="B4" s="53"/>
      <c r="C4" s="54" t="s">
        <v>24</v>
      </c>
      <c r="D4" s="54" t="s">
        <v>25</v>
      </c>
      <c r="E4" s="54" t="s">
        <v>28</v>
      </c>
      <c r="F4" s="54" t="s">
        <v>29</v>
      </c>
      <c r="G4" s="49" t="s">
        <v>32</v>
      </c>
    </row>
    <row r="5" spans="2:7" ht="16.5" customHeight="1">
      <c r="B5" s="55" t="s">
        <v>241</v>
      </c>
      <c r="C5" s="20">
        <v>33.1</v>
      </c>
      <c r="D5" s="20">
        <v>29.1</v>
      </c>
      <c r="E5" s="20">
        <v>1.6</v>
      </c>
      <c r="F5" s="20">
        <v>17.600000000000001</v>
      </c>
      <c r="G5" s="20">
        <v>6.28</v>
      </c>
    </row>
    <row r="6" spans="2:7" ht="16.5" customHeight="1">
      <c r="B6" s="3" t="s">
        <v>34</v>
      </c>
      <c r="C6" s="25">
        <v>11</v>
      </c>
      <c r="D6" s="25">
        <v>12</v>
      </c>
      <c r="E6" s="25">
        <v>13</v>
      </c>
      <c r="F6" s="25">
        <v>14</v>
      </c>
      <c r="G6" s="28">
        <v>17</v>
      </c>
    </row>
    <row r="7" spans="2:7" ht="16.5" customHeight="1">
      <c r="B7" s="3" t="s">
        <v>35</v>
      </c>
      <c r="C7" s="25">
        <v>11</v>
      </c>
      <c r="D7" s="25">
        <v>12</v>
      </c>
      <c r="E7" s="25">
        <v>13</v>
      </c>
      <c r="F7" s="25">
        <v>14</v>
      </c>
      <c r="G7" s="28">
        <v>17</v>
      </c>
    </row>
    <row r="8" spans="2:7" ht="16.5" customHeight="1">
      <c r="B8" s="3" t="s">
        <v>164</v>
      </c>
      <c r="C8" s="25">
        <v>11</v>
      </c>
      <c r="D8" s="25">
        <v>12</v>
      </c>
      <c r="E8" s="25">
        <v>13</v>
      </c>
      <c r="F8" s="25">
        <v>14</v>
      </c>
      <c r="G8" s="28">
        <v>17</v>
      </c>
    </row>
    <row r="9" spans="2:7" ht="16.5" customHeight="1">
      <c r="B9" s="48" t="s">
        <v>36</v>
      </c>
      <c r="C9" s="28">
        <f>C7-C6</f>
        <v>0</v>
      </c>
      <c r="D9" s="28">
        <f>D7-D6</f>
        <v>0</v>
      </c>
      <c r="E9" s="28">
        <f>E7-E6</f>
        <v>0</v>
      </c>
      <c r="F9" s="28">
        <f>F7-F6</f>
        <v>0</v>
      </c>
      <c r="G9" s="28">
        <f>G7-G6</f>
        <v>0</v>
      </c>
    </row>
  </sheetData>
  <mergeCells count="3">
    <mergeCell ref="B2:G2"/>
    <mergeCell ref="C3:D3"/>
    <mergeCell ref="E3:F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2"/>
  <sheetViews>
    <sheetView workbookViewId="0">
      <selection activeCell="K6" sqref="K6"/>
    </sheetView>
  </sheetViews>
  <sheetFormatPr defaultColWidth="9" defaultRowHeight="17.15" customHeight="1"/>
  <cols>
    <col min="1" max="1" width="2.33203125" style="2" customWidth="1"/>
    <col min="2" max="2" width="9.1640625" style="2" bestFit="1" customWidth="1"/>
    <col min="3" max="9" width="10.75" style="2" customWidth="1"/>
  </cols>
  <sheetData>
    <row r="2" spans="2:9" ht="17.15" customHeight="1">
      <c r="B2" s="129" t="s">
        <v>174</v>
      </c>
      <c r="C2" s="129"/>
      <c r="D2" s="129"/>
      <c r="E2" s="129"/>
      <c r="F2" s="129"/>
      <c r="G2" s="129"/>
      <c r="H2" s="129"/>
      <c r="I2" s="129"/>
    </row>
    <row r="3" spans="2:9" ht="17.15" customHeight="1">
      <c r="B3" s="116"/>
      <c r="C3" s="117"/>
      <c r="D3" s="117"/>
      <c r="E3" s="117"/>
      <c r="F3" s="117"/>
      <c r="G3" s="117"/>
      <c r="H3" s="117"/>
      <c r="I3" s="117"/>
    </row>
    <row r="4" spans="2:9" ht="17.15" customHeight="1">
      <c r="B4" s="29" t="s">
        <v>39</v>
      </c>
      <c r="C4" s="30" t="s">
        <v>38</v>
      </c>
      <c r="D4" s="30" t="s">
        <v>41</v>
      </c>
      <c r="E4" s="30" t="s">
        <v>42</v>
      </c>
      <c r="F4" s="30" t="s">
        <v>43</v>
      </c>
      <c r="G4" s="30" t="s">
        <v>44</v>
      </c>
      <c r="H4" s="30" t="s">
        <v>48</v>
      </c>
      <c r="I4" s="31" t="s">
        <v>49</v>
      </c>
    </row>
    <row r="5" spans="2:9" ht="17.15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9" ht="17.15" customHeight="1">
      <c r="B6" s="13" t="s">
        <v>45</v>
      </c>
      <c r="C6" s="20" t="s">
        <v>51</v>
      </c>
      <c r="D6" s="20" t="s">
        <v>52</v>
      </c>
      <c r="E6" s="20" t="s">
        <v>53</v>
      </c>
      <c r="F6" s="20" t="s">
        <v>54</v>
      </c>
      <c r="G6" s="20">
        <v>9.5</v>
      </c>
      <c r="H6" s="20" t="s">
        <v>12</v>
      </c>
      <c r="I6" s="37" t="s">
        <v>12</v>
      </c>
    </row>
    <row r="7" spans="2:9" ht="17.15" customHeight="1">
      <c r="B7" s="4" t="s">
        <v>46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90.30990600585938</v>
      </c>
      <c r="I7" s="6">
        <v>90.30990600585938</v>
      </c>
    </row>
    <row r="8" spans="2:9" ht="17.15" customHeight="1">
      <c r="B8" s="4" t="s">
        <v>34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-7.838959693908691</v>
      </c>
      <c r="I8" s="6">
        <v>45.127647399902344</v>
      </c>
    </row>
    <row r="9" spans="2:9" ht="17.15" customHeight="1">
      <c r="B9" s="4" t="s">
        <v>35</v>
      </c>
      <c r="C9" s="5">
        <v>1</v>
      </c>
      <c r="D9" s="5">
        <v>2</v>
      </c>
      <c r="E9" s="5">
        <v>3</v>
      </c>
      <c r="F9" s="5">
        <v>4</v>
      </c>
      <c r="G9" s="5">
        <v>5</v>
      </c>
      <c r="H9" s="5">
        <v>-36.48563003540039</v>
      </c>
      <c r="I9" s="6">
        <v>30.91645622253418</v>
      </c>
    </row>
    <row r="10" spans="2:9" ht="17.15" customHeight="1">
      <c r="B10" s="33" t="s">
        <v>47</v>
      </c>
      <c r="C10" s="34">
        <v>41118</v>
      </c>
      <c r="D10" s="34">
        <v>1104</v>
      </c>
      <c r="E10" s="34">
        <v>3571</v>
      </c>
      <c r="F10" s="34">
        <v>80</v>
      </c>
      <c r="G10" s="34">
        <v>9.36</v>
      </c>
      <c r="H10" s="35" t="s">
        <v>12</v>
      </c>
      <c r="I10" s="36" t="s">
        <v>12</v>
      </c>
    </row>
    <row r="11" spans="2:9" ht="17.15" customHeight="1">
      <c r="B11" s="126" t="s">
        <v>50</v>
      </c>
      <c r="C11" s="127"/>
      <c r="D11" s="127"/>
      <c r="E11" s="127"/>
      <c r="F11" s="127"/>
      <c r="G11" s="127"/>
      <c r="H11" s="127"/>
      <c r="I11" s="128"/>
    </row>
    <row r="12" spans="2:9" ht="17.15" customHeight="1">
      <c r="B12" s="1"/>
      <c r="C12" s="1"/>
      <c r="D12" s="1"/>
      <c r="E12" s="1"/>
      <c r="F12" s="1"/>
      <c r="G12" s="1"/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="115" zoomScaleNormal="115" workbookViewId="0">
      <selection activeCell="M8" sqref="M8"/>
    </sheetView>
  </sheetViews>
  <sheetFormatPr defaultColWidth="9" defaultRowHeight="13"/>
  <cols>
    <col min="1" max="1" width="2.25" style="2" customWidth="1"/>
    <col min="2" max="3" width="9.4140625" style="2" bestFit="1" customWidth="1"/>
    <col min="4" max="5" width="7.83203125" style="2" bestFit="1" customWidth="1"/>
    <col min="6" max="7" width="9.4140625" style="2" bestFit="1" customWidth="1"/>
    <col min="8" max="9" width="7.83203125" style="2" bestFit="1" customWidth="1"/>
    <col min="10" max="10" width="9.4140625" style="2" bestFit="1" customWidth="1"/>
  </cols>
  <sheetData>
    <row r="2" spans="2:10" ht="30" customHeight="1">
      <c r="B2" s="131" t="s">
        <v>175</v>
      </c>
      <c r="C2" s="131"/>
      <c r="D2" s="131"/>
      <c r="E2" s="131"/>
      <c r="F2" s="131"/>
      <c r="G2" s="131"/>
      <c r="H2" s="131"/>
      <c r="I2" s="131"/>
      <c r="J2" s="131"/>
    </row>
    <row r="3" spans="2:10" ht="15" customHeight="1">
      <c r="B3" s="131"/>
      <c r="C3" s="131"/>
      <c r="D3" s="131"/>
      <c r="E3" s="131"/>
      <c r="F3" s="131"/>
      <c r="G3" s="131"/>
      <c r="H3" s="131"/>
      <c r="I3" s="131"/>
      <c r="J3" s="131"/>
    </row>
    <row r="4" spans="2:10" ht="25" customHeight="1">
      <c r="B4" s="130" t="s">
        <v>55</v>
      </c>
      <c r="C4" s="130" t="s">
        <v>165</v>
      </c>
      <c r="D4" s="130"/>
      <c r="E4" s="130"/>
      <c r="F4" s="130"/>
      <c r="G4" s="130" t="s">
        <v>166</v>
      </c>
      <c r="H4" s="130"/>
      <c r="I4" s="130"/>
      <c r="J4" s="130"/>
    </row>
    <row r="5" spans="2:10" ht="25" customHeight="1">
      <c r="B5" s="130"/>
      <c r="C5" s="48" t="s">
        <v>21</v>
      </c>
      <c r="D5" s="48" t="s">
        <v>57</v>
      </c>
      <c r="E5" s="48" t="s">
        <v>58</v>
      </c>
      <c r="F5" s="48" t="s">
        <v>59</v>
      </c>
      <c r="G5" s="48" t="s">
        <v>21</v>
      </c>
      <c r="H5" s="48" t="s">
        <v>57</v>
      </c>
      <c r="I5" s="48" t="s">
        <v>58</v>
      </c>
      <c r="J5" s="48" t="s">
        <v>59</v>
      </c>
    </row>
    <row r="6" spans="2:10" ht="25" customHeight="1">
      <c r="B6" s="130"/>
      <c r="C6" s="48">
        <v>21</v>
      </c>
      <c r="D6" s="48">
        <v>23</v>
      </c>
      <c r="E6" s="48" t="s">
        <v>56</v>
      </c>
      <c r="F6" s="48" t="s">
        <v>56</v>
      </c>
      <c r="G6" s="48">
        <v>31</v>
      </c>
      <c r="H6" s="48">
        <v>33</v>
      </c>
      <c r="I6" s="48" t="s">
        <v>56</v>
      </c>
      <c r="J6" s="48" t="s">
        <v>56</v>
      </c>
    </row>
    <row r="7" spans="2:10" ht="25" customHeight="1">
      <c r="B7" s="58" t="s">
        <v>60</v>
      </c>
      <c r="C7" s="48">
        <v>21</v>
      </c>
      <c r="D7" s="48">
        <v>23</v>
      </c>
      <c r="E7" s="48"/>
      <c r="F7" s="48"/>
      <c r="G7" s="48">
        <v>31</v>
      </c>
      <c r="H7" s="48">
        <v>33</v>
      </c>
      <c r="I7" s="48"/>
      <c r="J7" s="48"/>
    </row>
    <row r="8" spans="2:10" ht="25" customHeight="1">
      <c r="B8" s="48" t="s">
        <v>64</v>
      </c>
      <c r="C8" s="48">
        <v>21</v>
      </c>
      <c r="D8" s="48">
        <v>23</v>
      </c>
      <c r="E8" s="48"/>
      <c r="F8" s="48"/>
      <c r="G8" s="48">
        <v>31</v>
      </c>
      <c r="H8" s="48">
        <v>33</v>
      </c>
      <c r="I8" s="48"/>
      <c r="J8" s="48"/>
    </row>
    <row r="9" spans="2:10" ht="25" customHeight="1">
      <c r="B9" s="48" t="s">
        <v>167</v>
      </c>
      <c r="C9" s="48"/>
      <c r="D9" s="48"/>
      <c r="E9" s="48"/>
      <c r="F9" s="48"/>
      <c r="G9" s="48"/>
      <c r="H9" s="48"/>
      <c r="I9" s="48"/>
      <c r="J9" s="48"/>
    </row>
    <row r="10" spans="2:10" ht="25" customHeight="1"/>
    <row r="11" spans="2:10" ht="25" customHeight="1"/>
    <row r="17" ht="14.15" customHeight="1"/>
    <row r="18" ht="14.15" customHeight="1"/>
  </sheetData>
  <mergeCells count="4">
    <mergeCell ref="C4:F4"/>
    <mergeCell ref="G4:J4"/>
    <mergeCell ref="B4:B6"/>
    <mergeCell ref="B2:J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1"/>
  <sheetViews>
    <sheetView zoomScale="70" zoomScaleNormal="70" workbookViewId="0">
      <selection activeCell="J6" sqref="J6"/>
    </sheetView>
  </sheetViews>
  <sheetFormatPr defaultColWidth="9" defaultRowHeight="14"/>
  <cols>
    <col min="1" max="1" width="2.58203125" style="1" customWidth="1"/>
    <col min="2" max="2" width="9" style="1"/>
    <col min="3" max="4" width="40.08203125" style="1" bestFit="1" customWidth="1"/>
    <col min="5" max="5" width="9.58203125" style="1" bestFit="1" customWidth="1"/>
    <col min="6" max="6" width="6.83203125" style="1" bestFit="1" customWidth="1"/>
    <col min="7" max="7" width="12.58203125" style="1" customWidth="1"/>
    <col min="8" max="22" width="9" style="1"/>
    <col min="23" max="23" width="8.6640625" style="1" bestFit="1" customWidth="1"/>
  </cols>
  <sheetData>
    <row r="2" spans="2:6" ht="30" customHeight="1">
      <c r="B2" s="134" t="s">
        <v>176</v>
      </c>
      <c r="C2" s="135"/>
      <c r="D2" s="135"/>
      <c r="E2" s="135"/>
      <c r="F2" s="136"/>
    </row>
    <row r="3" spans="2:6" ht="15" customHeight="1">
      <c r="B3" s="137"/>
      <c r="C3" s="138"/>
      <c r="D3" s="138"/>
      <c r="E3" s="138"/>
      <c r="F3" s="139"/>
    </row>
    <row r="4" spans="2:6" ht="25" customHeight="1">
      <c r="B4" s="133" t="s">
        <v>16</v>
      </c>
      <c r="C4" s="59" t="s">
        <v>61</v>
      </c>
      <c r="D4" s="59" t="s">
        <v>23</v>
      </c>
      <c r="E4" s="59" t="s">
        <v>36</v>
      </c>
      <c r="F4" s="133" t="s">
        <v>62</v>
      </c>
    </row>
    <row r="5" spans="2:6" ht="25" customHeight="1">
      <c r="B5" s="133"/>
      <c r="C5" s="59" t="s">
        <v>56</v>
      </c>
      <c r="D5" s="59" t="s">
        <v>56</v>
      </c>
      <c r="E5" s="59" t="s">
        <v>56</v>
      </c>
      <c r="F5" s="133"/>
    </row>
    <row r="6" spans="2:6" ht="25" customHeight="1">
      <c r="B6" s="59" t="s">
        <v>63</v>
      </c>
      <c r="C6" s="59">
        <v>26.806453704833984</v>
      </c>
      <c r="D6" s="59">
        <v>27.806453704833984</v>
      </c>
      <c r="E6" s="59">
        <f>C6-D6</f>
        <v>0</v>
      </c>
      <c r="F6" s="59"/>
    </row>
    <row r="7" spans="2:6" ht="25" customHeight="1">
      <c r="B7" s="59" t="s">
        <v>64</v>
      </c>
      <c r="C7" s="59">
        <v>26.806453704833984</v>
      </c>
      <c r="D7" s="59">
        <v>27.806453704833984</v>
      </c>
      <c r="E7" s="59">
        <f>C7-D7</f>
        <v>0</v>
      </c>
      <c r="F7" s="59"/>
    </row>
    <row r="8" spans="2:6" ht="25" customHeight="1">
      <c r="B8" s="60" t="s">
        <v>65</v>
      </c>
      <c r="C8" s="60">
        <v>26.806453704833984</v>
      </c>
      <c r="D8" s="60">
        <v>27.806453704833984</v>
      </c>
      <c r="E8" s="60">
        <f>C8-D8</f>
        <v>0</v>
      </c>
      <c r="F8" s="60"/>
    </row>
    <row r="11" spans="2:6">
      <c r="D11" s="132"/>
      <c r="E11" s="132"/>
      <c r="F11" s="132"/>
    </row>
  </sheetData>
  <mergeCells count="4">
    <mergeCell ref="D11:F11"/>
    <mergeCell ref="B4:B5"/>
    <mergeCell ref="F4:F5"/>
    <mergeCell ref="B2:F3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7"/>
  <sheetViews>
    <sheetView workbookViewId="0">
      <selection activeCell="R29" sqref="R29"/>
    </sheetView>
  </sheetViews>
  <sheetFormatPr defaultColWidth="9" defaultRowHeight="13"/>
  <cols>
    <col min="1" max="1" width="2" style="2" customWidth="1"/>
    <col min="2" max="2" width="16.1640625" style="2" customWidth="1"/>
    <col min="3" max="3" width="15.6640625" style="2" bestFit="1" customWidth="1"/>
    <col min="4" max="14" width="6.58203125" style="2" customWidth="1"/>
    <col min="15" max="16" width="7.58203125" style="2" customWidth="1"/>
  </cols>
  <sheetData>
    <row r="2" spans="2:16" ht="30" customHeight="1">
      <c r="B2" s="129" t="s">
        <v>177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3" spans="2:16" ht="15" customHeight="1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2:16" ht="60" customHeight="1">
      <c r="B4" s="44" t="s">
        <v>66</v>
      </c>
      <c r="C4" s="22" t="s">
        <v>67</v>
      </c>
      <c r="D4" s="22" t="s">
        <v>68</v>
      </c>
      <c r="E4" s="22" t="s">
        <v>69</v>
      </c>
      <c r="F4" s="22" t="s">
        <v>70</v>
      </c>
      <c r="G4" s="22" t="s">
        <v>71</v>
      </c>
      <c r="H4" s="22" t="s">
        <v>72</v>
      </c>
      <c r="I4" s="22" t="s">
        <v>73</v>
      </c>
      <c r="J4" s="22" t="s">
        <v>74</v>
      </c>
      <c r="K4" s="22" t="s">
        <v>75</v>
      </c>
      <c r="L4" s="22" t="s">
        <v>76</v>
      </c>
      <c r="M4" s="22" t="s">
        <v>77</v>
      </c>
      <c r="N4" s="22" t="s">
        <v>78</v>
      </c>
      <c r="O4" s="22" t="s">
        <v>34</v>
      </c>
      <c r="P4" s="23" t="s">
        <v>35</v>
      </c>
    </row>
    <row r="5" spans="2:16" ht="60" customHeight="1">
      <c r="B5" s="61" t="s">
        <v>79</v>
      </c>
      <c r="C5" s="25">
        <v>26.80645179748535</v>
      </c>
      <c r="D5" s="25">
        <v>26.806455612182617</v>
      </c>
      <c r="E5" s="25">
        <v>26.806455612182617</v>
      </c>
      <c r="F5" s="25"/>
      <c r="G5" s="25"/>
      <c r="H5" s="25"/>
      <c r="I5" s="25"/>
      <c r="J5" s="25"/>
      <c r="K5" s="25"/>
      <c r="L5" s="25"/>
      <c r="M5" s="25"/>
      <c r="N5" s="25"/>
      <c r="O5" s="25">
        <v>26.806453704833984</v>
      </c>
      <c r="P5" s="26">
        <v>26.806453704833984</v>
      </c>
    </row>
    <row r="6" spans="2:16" ht="60" customHeight="1">
      <c r="B6" s="62" t="s">
        <v>80</v>
      </c>
      <c r="C6" s="45">
        <v>620</v>
      </c>
      <c r="D6" s="45">
        <v>620</v>
      </c>
      <c r="E6" s="45">
        <v>615.2307739257812</v>
      </c>
      <c r="F6" s="45"/>
      <c r="G6" s="45"/>
      <c r="H6" s="45"/>
      <c r="I6" s="45"/>
      <c r="J6" s="45"/>
      <c r="K6" s="45"/>
      <c r="L6" s="45"/>
      <c r="M6" s="45"/>
      <c r="N6" s="45"/>
      <c r="O6" s="45">
        <v>620</v>
      </c>
      <c r="P6" s="46">
        <v>620</v>
      </c>
    </row>
    <row r="7" spans="2:16" ht="25" customHeight="1"/>
  </sheetData>
  <mergeCells count="1">
    <mergeCell ref="B2:P3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25"/>
  <sheetViews>
    <sheetView zoomScale="85" zoomScaleNormal="85" workbookViewId="0">
      <selection activeCell="R29" sqref="R29"/>
    </sheetView>
  </sheetViews>
  <sheetFormatPr defaultColWidth="9" defaultRowHeight="13"/>
  <cols>
    <col min="1" max="1" width="1.83203125" style="2" customWidth="1"/>
    <col min="2" max="2" width="10.58203125" style="2" customWidth="1"/>
    <col min="3" max="3" width="9" style="2"/>
    <col min="4" max="4" width="15.9140625" style="2" bestFit="1" customWidth="1"/>
    <col min="5" max="12" width="9" style="2"/>
  </cols>
  <sheetData>
    <row r="2" spans="2:13" ht="30" customHeight="1">
      <c r="B2" s="131" t="s">
        <v>178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2:13" ht="30" customHeight="1">
      <c r="B3" s="130" t="s">
        <v>133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2:13" ht="10" customHeight="1"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2:13" ht="20.15" customHeight="1">
      <c r="B5" s="130" t="s">
        <v>117</v>
      </c>
      <c r="C5" s="144"/>
      <c r="D5" s="51" t="s">
        <v>243</v>
      </c>
      <c r="E5" s="51" t="s">
        <v>244</v>
      </c>
      <c r="F5" s="51" t="s">
        <v>245</v>
      </c>
      <c r="G5" s="51" t="s">
        <v>246</v>
      </c>
      <c r="H5" s="51" t="s">
        <v>241</v>
      </c>
      <c r="I5" s="51" t="s">
        <v>247</v>
      </c>
      <c r="J5" s="51" t="s">
        <v>248</v>
      </c>
      <c r="K5" s="145" t="s">
        <v>127</v>
      </c>
      <c r="L5" s="145" t="s">
        <v>126</v>
      </c>
      <c r="M5" s="145" t="s">
        <v>128</v>
      </c>
    </row>
    <row r="6" spans="2:13" ht="20.15" customHeight="1">
      <c r="B6" s="130" t="s">
        <v>118</v>
      </c>
      <c r="C6" s="144"/>
      <c r="D6" s="51" t="s">
        <v>122</v>
      </c>
      <c r="E6" s="51" t="s">
        <v>123</v>
      </c>
      <c r="F6" s="51" t="s">
        <v>124</v>
      </c>
      <c r="G6" s="51" t="s">
        <v>125</v>
      </c>
      <c r="H6" s="51" t="s">
        <v>119</v>
      </c>
      <c r="I6" s="51" t="s">
        <v>120</v>
      </c>
      <c r="J6" s="51" t="s">
        <v>121</v>
      </c>
      <c r="K6" s="144"/>
      <c r="L6" s="144"/>
      <c r="M6" s="144"/>
    </row>
    <row r="7" spans="2:13" ht="20.15" customHeight="1">
      <c r="B7" s="140" t="s">
        <v>129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</row>
    <row r="8" spans="2:13" ht="20.15" customHeight="1">
      <c r="B8" s="51" t="s">
        <v>21</v>
      </c>
      <c r="C8" s="51" t="s">
        <v>56</v>
      </c>
      <c r="D8" s="63">
        <v>46.332462310791016</v>
      </c>
      <c r="E8" s="51">
        <v>12.122035026550293</v>
      </c>
      <c r="F8" s="51">
        <v>11.664495468139648</v>
      </c>
      <c r="G8" s="51">
        <v>63.016822814941406</v>
      </c>
      <c r="H8" s="51">
        <v>15.435113906860352</v>
      </c>
      <c r="I8" s="51"/>
      <c r="J8" s="51"/>
      <c r="K8" s="51">
        <v>70.79871368408203</v>
      </c>
      <c r="L8" s="51">
        <v>32.36862564086914</v>
      </c>
      <c r="M8" s="51">
        <f>K8-L8</f>
        <v>0</v>
      </c>
    </row>
    <row r="9" spans="2:13" ht="20.15" customHeight="1">
      <c r="B9" s="51" t="s">
        <v>94</v>
      </c>
      <c r="C9" s="51" t="s">
        <v>86</v>
      </c>
      <c r="D9" s="63">
        <v>6.633261203765869</v>
      </c>
      <c r="E9" s="51">
        <v>0</v>
      </c>
      <c r="F9" s="51">
        <v>0</v>
      </c>
      <c r="G9" s="51">
        <v>13.617236137390137</v>
      </c>
      <c r="H9" s="51">
        <v>6.929327964782715</v>
      </c>
      <c r="I9" s="51"/>
      <c r="J9" s="51"/>
      <c r="K9" s="51">
        <v>24.377199172973633</v>
      </c>
      <c r="L9" s="51">
        <v>5.158846378326416</v>
      </c>
      <c r="M9" s="51">
        <f t="shared" ref="M9:M10" si="0">K9-L9</f>
        <v>0</v>
      </c>
    </row>
    <row r="10" spans="2:13" ht="20.15" customHeight="1">
      <c r="B10" s="51" t="s">
        <v>44</v>
      </c>
      <c r="C10" s="51" t="s">
        <v>12</v>
      </c>
      <c r="D10" s="63">
        <v>61.800209045410156</v>
      </c>
      <c r="E10" s="51">
        <v>15.315154075622559</v>
      </c>
      <c r="F10" s="51">
        <v>11.749001502990723</v>
      </c>
      <c r="G10" s="51">
        <v>103.55146789550781</v>
      </c>
      <c r="H10" s="51">
        <v>115.40364837646484</v>
      </c>
      <c r="I10" s="51"/>
      <c r="J10" s="51"/>
      <c r="K10" s="51">
        <v>87.7813720703125</v>
      </c>
      <c r="L10" s="51">
        <v>51.60978698730469</v>
      </c>
      <c r="M10" s="51">
        <f t="shared" si="0"/>
        <v>0</v>
      </c>
    </row>
    <row r="11" spans="2:13" ht="20.15" customHeight="1">
      <c r="B11" s="140" t="s">
        <v>130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</row>
    <row r="12" spans="2:13" ht="20.15" customHeight="1">
      <c r="B12" s="51" t="s">
        <v>21</v>
      </c>
      <c r="C12" s="51" t="s">
        <v>56</v>
      </c>
      <c r="D12" s="51">
        <v>26.80645179748535</v>
      </c>
      <c r="E12" s="51">
        <v>26.80645179748535</v>
      </c>
      <c r="F12" s="51">
        <v>26.80645179748535</v>
      </c>
      <c r="G12" s="51">
        <v>26.80645179748535</v>
      </c>
      <c r="H12" s="51">
        <v>26.80645179748535</v>
      </c>
      <c r="I12" s="51">
        <v>26.80645179748535</v>
      </c>
      <c r="J12" s="51">
        <v>26.80645179748535</v>
      </c>
      <c r="K12" s="51">
        <v>26.806453704833984</v>
      </c>
      <c r="L12" s="51">
        <v>26.806453704833984</v>
      </c>
      <c r="M12" s="51">
        <f>K12-L12</f>
        <v>0</v>
      </c>
    </row>
    <row r="13" spans="2:13" ht="20.15" customHeight="1">
      <c r="B13" s="51" t="s">
        <v>57</v>
      </c>
      <c r="C13" s="51" t="s">
        <v>56</v>
      </c>
      <c r="D13" s="51">
        <v>28.80645179748535</v>
      </c>
      <c r="E13" s="51">
        <v>28.80645179748535</v>
      </c>
      <c r="F13" s="51">
        <v>28.80645179748535</v>
      </c>
      <c r="G13" s="51">
        <v>28.80645179748535</v>
      </c>
      <c r="H13" s="51">
        <v>28.80645179748535</v>
      </c>
      <c r="I13" s="51">
        <v>28.80645179748535</v>
      </c>
      <c r="J13" s="51">
        <v>28.80645179748535</v>
      </c>
      <c r="K13" s="51">
        <v>28.806453704833984</v>
      </c>
      <c r="L13" s="51">
        <v>28.806453704833984</v>
      </c>
      <c r="M13" s="51">
        <f t="shared" ref="M13:M15" si="1">K13-L13</f>
        <v>0</v>
      </c>
    </row>
    <row r="14" spans="2:13" ht="20.15" customHeight="1">
      <c r="B14" s="51" t="s">
        <v>58</v>
      </c>
      <c r="C14" s="51" t="s">
        <v>56</v>
      </c>
      <c r="D14" s="51">
        <v>29.80645179748535</v>
      </c>
      <c r="E14" s="51">
        <v>29.80645179748535</v>
      </c>
      <c r="F14" s="51">
        <v>29.80645179748535</v>
      </c>
      <c r="G14" s="51">
        <v>29.80645179748535</v>
      </c>
      <c r="H14" s="51">
        <v>29.80645179748535</v>
      </c>
      <c r="I14" s="51">
        <v>29.80645179748535</v>
      </c>
      <c r="J14" s="51">
        <v>29.80645179748535</v>
      </c>
      <c r="K14" s="51">
        <v>29.806453704833984</v>
      </c>
      <c r="L14" s="51">
        <v>29.806453704833984</v>
      </c>
      <c r="M14" s="51">
        <f t="shared" si="1"/>
        <v>0</v>
      </c>
    </row>
    <row r="15" spans="2:13" ht="20.15" customHeight="1">
      <c r="B15" s="51" t="s">
        <v>59</v>
      </c>
      <c r="C15" s="51" t="s">
        <v>56</v>
      </c>
      <c r="D15" s="51">
        <v>620</v>
      </c>
      <c r="E15" s="51">
        <v>620</v>
      </c>
      <c r="F15" s="51">
        <v>620</v>
      </c>
      <c r="G15" s="51">
        <v>620</v>
      </c>
      <c r="H15" s="51">
        <v>620</v>
      </c>
      <c r="I15" s="51">
        <v>620</v>
      </c>
      <c r="J15" s="51">
        <v>620</v>
      </c>
      <c r="K15" s="51">
        <v>70.19354248046875</v>
      </c>
      <c r="L15" s="51">
        <v>70.19354248046875</v>
      </c>
      <c r="M15" s="51">
        <f t="shared" si="1"/>
        <v>0</v>
      </c>
    </row>
    <row r="16" spans="2:13" ht="20.15" customHeight="1">
      <c r="B16" s="140" t="s">
        <v>170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</row>
    <row r="17" spans="2:13" ht="20.15" customHeight="1">
      <c r="B17" s="51" t="s">
        <v>131</v>
      </c>
      <c r="C17" s="51" t="s">
        <v>56</v>
      </c>
      <c r="D17" s="51">
        <v>166.19998168945312</v>
      </c>
      <c r="E17" s="51">
        <v>166.19998168945312</v>
      </c>
      <c r="F17" s="51">
        <v>166.19998168945312</v>
      </c>
      <c r="G17" s="51">
        <v>166.19998168945312</v>
      </c>
      <c r="H17" s="51">
        <v>166.19998168945312</v>
      </c>
      <c r="I17" s="51">
        <v>166.19998168945312</v>
      </c>
      <c r="J17" s="51">
        <v>166.19998168945312</v>
      </c>
      <c r="K17" s="51">
        <v>620</v>
      </c>
      <c r="L17" s="51">
        <v>620</v>
      </c>
      <c r="M17" s="51"/>
    </row>
    <row r="18" spans="2:13" ht="20.15" customHeight="1">
      <c r="B18" s="51" t="s">
        <v>132</v>
      </c>
      <c r="C18" s="51" t="s">
        <v>113</v>
      </c>
      <c r="D18" s="51">
        <v>63</v>
      </c>
      <c r="E18" s="51">
        <v>63</v>
      </c>
      <c r="F18" s="51">
        <v>63</v>
      </c>
      <c r="G18" s="51">
        <v>63</v>
      </c>
      <c r="H18" s="51">
        <v>63</v>
      </c>
      <c r="I18" s="51">
        <v>63</v>
      </c>
      <c r="J18" s="51">
        <v>63</v>
      </c>
      <c r="K18" s="51">
        <v>166.19996643066406</v>
      </c>
      <c r="L18" s="51">
        <v>166.19996643066406</v>
      </c>
      <c r="M18" s="51">
        <f>K18-L18</f>
        <v>0</v>
      </c>
    </row>
    <row r="19" spans="2:13" ht="20.15" customHeight="1">
      <c r="B19" s="140" t="s">
        <v>171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</row>
    <row r="20" spans="2:13" ht="20.15" customHeight="1">
      <c r="B20" s="51" t="s">
        <v>21</v>
      </c>
      <c r="C20" s="51" t="s">
        <v>56</v>
      </c>
      <c r="D20" s="63"/>
      <c r="E20" s="51"/>
      <c r="F20" s="51"/>
      <c r="G20" s="51"/>
      <c r="H20" s="51"/>
      <c r="I20" s="51"/>
      <c r="J20" s="51"/>
      <c r="K20" s="51">
        <v>63</v>
      </c>
      <c r="L20" s="51">
        <v>63</v>
      </c>
      <c r="M20" s="51">
        <f>K20-L20</f>
        <v>0</v>
      </c>
    </row>
    <row r="21" spans="2:13" ht="20.15" customHeight="1">
      <c r="D21" s="1"/>
    </row>
    <row r="22" spans="2:13" ht="20.15" customHeight="1"/>
    <row r="23" spans="2:13" ht="20.15" customHeight="1"/>
    <row r="24" spans="2:13" ht="20.15" customHeight="1"/>
    <row r="25" spans="2:13" ht="20.15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4"/>
  <sheetViews>
    <sheetView workbookViewId="0">
      <selection activeCell="C13" sqref="C13:D13"/>
    </sheetView>
  </sheetViews>
  <sheetFormatPr defaultColWidth="9" defaultRowHeight="13"/>
  <cols>
    <col min="1" max="1" width="1.33203125" style="2" customWidth="1"/>
    <col min="2" max="2" width="9" style="2"/>
    <col min="3" max="3" width="35.1640625" style="2" bestFit="1" customWidth="1"/>
    <col min="4" max="7" width="12.58203125" style="2" customWidth="1"/>
  </cols>
  <sheetData>
    <row r="2" spans="2:7" ht="30" customHeight="1">
      <c r="B2" s="131" t="s">
        <v>179</v>
      </c>
      <c r="C2" s="131"/>
      <c r="D2" s="131"/>
      <c r="E2" s="131"/>
      <c r="F2" s="131"/>
      <c r="G2" s="131"/>
    </row>
    <row r="3" spans="2:7" ht="15" customHeight="1">
      <c r="B3" s="130"/>
      <c r="C3" s="130"/>
      <c r="D3" s="130"/>
      <c r="E3" s="130"/>
      <c r="F3" s="130"/>
      <c r="G3" s="130"/>
    </row>
    <row r="4" spans="2:7" ht="15.75" customHeight="1">
      <c r="B4" s="130" t="s">
        <v>91</v>
      </c>
      <c r="C4" s="130"/>
      <c r="D4" s="130"/>
      <c r="E4" s="130"/>
      <c r="F4" s="130"/>
      <c r="G4" s="130"/>
    </row>
    <row r="5" spans="2:7" ht="25" customHeight="1">
      <c r="B5" s="48" t="s">
        <v>39</v>
      </c>
      <c r="C5" s="48" t="s">
        <v>82</v>
      </c>
      <c r="D5" s="48" t="s">
        <v>83</v>
      </c>
      <c r="E5" s="48" t="s">
        <v>84</v>
      </c>
      <c r="F5" s="48" t="s">
        <v>85</v>
      </c>
      <c r="G5" s="48" t="s">
        <v>87</v>
      </c>
    </row>
    <row r="6" spans="2:7" ht="25" customHeight="1">
      <c r="B6" s="48" t="s">
        <v>40</v>
      </c>
      <c r="C6" s="48" t="s">
        <v>10</v>
      </c>
      <c r="D6" s="48" t="s">
        <v>10</v>
      </c>
      <c r="E6" s="48" t="s">
        <v>12</v>
      </c>
      <c r="F6" s="48" t="s">
        <v>86</v>
      </c>
      <c r="G6" s="48" t="s">
        <v>88</v>
      </c>
    </row>
    <row r="7" spans="2:7" ht="25" customHeight="1">
      <c r="B7" s="48" t="s">
        <v>81</v>
      </c>
      <c r="C7" s="48">
        <v>0.16600000000000001</v>
      </c>
      <c r="D7" s="48">
        <v>0.04</v>
      </c>
      <c r="E7" s="64">
        <f>C7/D7</f>
        <v>4.1500000000000004</v>
      </c>
      <c r="F7" s="48">
        <v>1.17</v>
      </c>
      <c r="G7" s="48" t="s">
        <v>89</v>
      </c>
    </row>
    <row r="8" spans="2:7" ht="25" customHeight="1">
      <c r="B8" s="48" t="s">
        <v>168</v>
      </c>
      <c r="C8" s="48">
        <v>-50.30988311767578</v>
      </c>
      <c r="D8" s="48">
        <v>1846.115966796875</v>
      </c>
      <c r="E8" s="64">
        <v>-0.027251746505498886</v>
      </c>
      <c r="F8" s="48">
        <v>25.284229278564453</v>
      </c>
      <c r="G8" s="48">
        <v>510.7483825683594</v>
      </c>
    </row>
    <row r="9" spans="2:7" ht="25" customHeight="1">
      <c r="B9" s="48" t="s">
        <v>90</v>
      </c>
      <c r="C9" s="48">
        <v>0</v>
      </c>
      <c r="D9" s="48">
        <v>350.2568054199219</v>
      </c>
      <c r="E9" s="64">
        <v>0</v>
      </c>
      <c r="F9" s="48">
        <v>0.011030985973775387</v>
      </c>
      <c r="G9" s="48">
        <v>486.453125</v>
      </c>
    </row>
    <row r="10" spans="2:7" ht="15.75" customHeight="1">
      <c r="B10" s="130" t="s">
        <v>92</v>
      </c>
      <c r="C10" s="130"/>
      <c r="D10" s="130"/>
      <c r="E10" s="130"/>
      <c r="F10" s="130"/>
      <c r="G10" s="130"/>
    </row>
    <row r="11" spans="2:7" ht="25" customHeight="1">
      <c r="B11" s="48" t="s">
        <v>39</v>
      </c>
      <c r="C11" s="130" t="s">
        <v>21</v>
      </c>
      <c r="D11" s="130"/>
      <c r="E11" s="48" t="s">
        <v>94</v>
      </c>
      <c r="F11" s="59"/>
      <c r="G11" s="48" t="s">
        <v>93</v>
      </c>
    </row>
    <row r="12" spans="2:7" ht="25" customHeight="1">
      <c r="B12" s="48" t="s">
        <v>40</v>
      </c>
      <c r="C12" s="130" t="s">
        <v>56</v>
      </c>
      <c r="D12" s="130"/>
      <c r="E12" s="48" t="s">
        <v>86</v>
      </c>
      <c r="F12" s="59"/>
      <c r="G12" s="48" t="s">
        <v>86</v>
      </c>
    </row>
    <row r="13" spans="2:7" ht="25" customHeight="1">
      <c r="B13" s="48" t="s">
        <v>34</v>
      </c>
      <c r="C13" s="130">
        <v>41</v>
      </c>
      <c r="D13" s="130">
        <v>43</v>
      </c>
      <c r="E13" s="48">
        <v>45</v>
      </c>
      <c r="F13" s="59"/>
      <c r="G13" s="48"/>
    </row>
    <row r="14" spans="2:7" ht="25" customHeight="1">
      <c r="B14" s="48" t="s">
        <v>35</v>
      </c>
      <c r="C14" s="130">
        <v>41</v>
      </c>
      <c r="D14" s="130">
        <v>43</v>
      </c>
      <c r="E14" s="48">
        <v>45</v>
      </c>
      <c r="F14" s="59"/>
      <c r="G14" s="48"/>
    </row>
  </sheetData>
  <mergeCells count="8">
    <mergeCell ref="C13:D13"/>
    <mergeCell ref="C14:D14"/>
    <mergeCell ref="B3:G3"/>
    <mergeCell ref="B2:G2"/>
    <mergeCell ref="B4:G4"/>
    <mergeCell ref="B10:G10"/>
    <mergeCell ref="C11:D11"/>
    <mergeCell ref="C12:D12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8"/>
  <sheetViews>
    <sheetView workbookViewId="0">
      <selection activeCell="C7" sqref="C7"/>
    </sheetView>
  </sheetViews>
  <sheetFormatPr defaultColWidth="9" defaultRowHeight="14"/>
  <cols>
    <col min="1" max="1" width="2.25" style="1" customWidth="1"/>
    <col min="2" max="5" width="19.58203125" style="1" customWidth="1"/>
    <col min="6" max="6" width="12.58203125" style="1" customWidth="1"/>
  </cols>
  <sheetData>
    <row r="2" spans="2:5" ht="30" customHeight="1">
      <c r="B2" s="129" t="s">
        <v>180</v>
      </c>
      <c r="C2" s="129"/>
      <c r="D2" s="129"/>
      <c r="E2" s="129"/>
    </row>
    <row r="3" spans="2:5" ht="15" customHeight="1">
      <c r="B3" s="132"/>
      <c r="C3" s="132"/>
      <c r="D3" s="132"/>
      <c r="E3" s="132"/>
    </row>
    <row r="4" spans="2:5" ht="25" customHeight="1">
      <c r="B4" s="146" t="s">
        <v>109</v>
      </c>
      <c r="C4" s="21" t="s">
        <v>108</v>
      </c>
      <c r="D4" s="21" t="s">
        <v>110</v>
      </c>
      <c r="E4" s="148" t="s">
        <v>111</v>
      </c>
    </row>
    <row r="5" spans="2:5" ht="25" customHeight="1">
      <c r="B5" s="147"/>
      <c r="C5" s="39" t="s">
        <v>107</v>
      </c>
      <c r="D5" s="39" t="s">
        <v>12</v>
      </c>
      <c r="E5" s="149"/>
    </row>
    <row r="6" spans="2:5" ht="25" customHeight="1">
      <c r="B6" s="27" t="s">
        <v>105</v>
      </c>
      <c r="C6" s="39">
        <v>0</v>
      </c>
      <c r="D6" s="39">
        <v>62</v>
      </c>
      <c r="E6" s="40">
        <v>301</v>
      </c>
    </row>
    <row r="7" spans="2:5" ht="25" customHeight="1">
      <c r="B7" s="41" t="s">
        <v>106</v>
      </c>
      <c r="C7" s="42"/>
      <c r="D7" s="42">
        <v>62</v>
      </c>
      <c r="E7" s="43">
        <v>301</v>
      </c>
    </row>
    <row r="8" spans="2:5" ht="15" customHeight="1">
      <c r="B8" s="150"/>
      <c r="C8" s="151"/>
      <c r="D8" s="151"/>
      <c r="E8" s="152"/>
    </row>
    <row r="9" spans="2:5" ht="25" customHeight="1">
      <c r="B9" s="146" t="s">
        <v>101</v>
      </c>
      <c r="C9" s="21" t="s">
        <v>21</v>
      </c>
      <c r="D9" s="21" t="s">
        <v>94</v>
      </c>
      <c r="E9" s="38" t="s">
        <v>93</v>
      </c>
    </row>
    <row r="10" spans="2:5" ht="25" customHeight="1">
      <c r="B10" s="147"/>
      <c r="C10" s="39" t="s">
        <v>56</v>
      </c>
      <c r="D10" s="39" t="s">
        <v>86</v>
      </c>
      <c r="E10" s="40" t="s">
        <v>86</v>
      </c>
    </row>
    <row r="11" spans="2:5" ht="25" customHeight="1">
      <c r="B11" s="27" t="s">
        <v>102</v>
      </c>
      <c r="C11" s="39">
        <v>51</v>
      </c>
      <c r="D11" s="39">
        <v>52</v>
      </c>
      <c r="E11" s="40">
        <v>55</v>
      </c>
    </row>
    <row r="12" spans="2:5" ht="25" customHeight="1">
      <c r="B12" s="27" t="s">
        <v>103</v>
      </c>
      <c r="C12" s="39">
        <v>57</v>
      </c>
      <c r="D12" s="39">
        <v>59</v>
      </c>
      <c r="E12" s="40">
        <v>61</v>
      </c>
    </row>
    <row r="13" spans="2:5" ht="25" customHeight="1">
      <c r="B13" s="41" t="s">
        <v>104</v>
      </c>
      <c r="C13" s="42"/>
      <c r="D13" s="42"/>
      <c r="E13" s="43"/>
    </row>
    <row r="18" ht="14.15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0"/>
  <sheetViews>
    <sheetView workbookViewId="0">
      <selection activeCell="R29" sqref="R29"/>
    </sheetView>
  </sheetViews>
  <sheetFormatPr defaultRowHeight="14"/>
  <cols>
    <col min="1" max="1" width="2.58203125" customWidth="1"/>
    <col min="2" max="2" width="20.25" customWidth="1"/>
    <col min="3" max="5" width="15.58203125" customWidth="1"/>
    <col min="6" max="6" width="12.9140625" bestFit="1" customWidth="1"/>
  </cols>
  <sheetData>
    <row r="2" spans="2:6" ht="30" customHeight="1">
      <c r="B2" s="129" t="s">
        <v>181</v>
      </c>
      <c r="C2" s="129"/>
      <c r="D2" s="129"/>
      <c r="E2" s="129"/>
    </row>
    <row r="3" spans="2:6" ht="15" customHeight="1">
      <c r="B3" s="153"/>
      <c r="C3" s="153"/>
      <c r="D3" s="153"/>
      <c r="E3" s="153"/>
    </row>
    <row r="4" spans="2:6" s="1" customFormat="1" ht="25" customHeight="1">
      <c r="B4" s="3" t="s">
        <v>98</v>
      </c>
      <c r="C4" s="154"/>
      <c r="D4" s="155"/>
      <c r="E4" s="156"/>
      <c r="F4" s="23" t="s">
        <v>56</v>
      </c>
    </row>
    <row r="5" spans="2:6" s="1" customFormat="1" ht="25" customHeight="1">
      <c r="B5" s="24" t="s">
        <v>99</v>
      </c>
      <c r="C5" s="157">
        <v>4340</v>
      </c>
      <c r="D5" s="158"/>
      <c r="E5" s="159"/>
      <c r="F5" s="47" t="s">
        <v>100</v>
      </c>
    </row>
    <row r="6" spans="2:6" s="32" customFormat="1" ht="40.25" customHeight="1">
      <c r="B6" s="50" t="s">
        <v>169</v>
      </c>
      <c r="C6" s="65" t="s">
        <v>22</v>
      </c>
      <c r="D6" s="65" t="s">
        <v>96</v>
      </c>
      <c r="E6" s="65" t="s">
        <v>95</v>
      </c>
      <c r="F6" s="65" t="s">
        <v>97</v>
      </c>
    </row>
    <row r="7" spans="2:6" ht="40.25" customHeight="1">
      <c r="B7" s="48" t="s">
        <v>33</v>
      </c>
      <c r="C7" s="66">
        <v>52</v>
      </c>
      <c r="D7" s="66">
        <v>53</v>
      </c>
      <c r="E7" s="66">
        <v>55</v>
      </c>
      <c r="F7" s="66">
        <v>-0.004152931272983551</v>
      </c>
    </row>
    <row r="8" spans="2:6" ht="40.25" customHeight="1">
      <c r="B8" s="51" t="s">
        <v>34</v>
      </c>
      <c r="C8" s="66">
        <v>52</v>
      </c>
      <c r="D8" s="66">
        <v>53</v>
      </c>
      <c r="E8" s="66">
        <v>55</v>
      </c>
      <c r="F8" s="66">
        <v>-0.004665367770940065</v>
      </c>
    </row>
    <row r="9" spans="2:6" ht="40.25" customHeight="1">
      <c r="B9" s="51" t="s">
        <v>35</v>
      </c>
      <c r="C9" s="66">
        <v>52</v>
      </c>
      <c r="D9" s="66">
        <v>53</v>
      </c>
      <c r="E9" s="66">
        <v>55</v>
      </c>
      <c r="F9" s="66">
        <v>-0.01614326983690262</v>
      </c>
    </row>
    <row r="10" spans="2:6">
      <c r="B10" s="52"/>
      <c r="C10" s="160"/>
      <c r="D10" s="160"/>
      <c r="E10" s="160"/>
      <c r="F10" s="160"/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0"/>
  <sheetViews>
    <sheetView topLeftCell="D1" zoomScale="70" zoomScaleNormal="70" workbookViewId="0">
      <selection activeCell="R29" sqref="R29"/>
    </sheetView>
  </sheetViews>
  <sheetFormatPr defaultRowHeight="14"/>
  <cols>
    <col min="1" max="1" width="2.33203125" customWidth="1"/>
    <col min="2" max="2" width="12.58203125" customWidth="1"/>
    <col min="3" max="10" width="10.58203125" customWidth="1"/>
  </cols>
  <sheetData>
    <row r="2" spans="2:10" ht="30" customHeight="1">
      <c r="B2" s="131" t="s">
        <v>182</v>
      </c>
      <c r="C2" s="131"/>
      <c r="D2" s="131"/>
      <c r="E2" s="131"/>
      <c r="F2" s="131"/>
      <c r="G2" s="131"/>
      <c r="H2" s="131"/>
      <c r="I2" s="131"/>
      <c r="J2" s="131"/>
    </row>
    <row r="3" spans="2:10" ht="25" customHeight="1">
      <c r="B3" s="163" t="s">
        <v>116</v>
      </c>
      <c r="C3" s="163"/>
      <c r="D3" s="163"/>
      <c r="E3" s="163"/>
      <c r="F3" s="163"/>
      <c r="G3" s="163"/>
      <c r="H3" s="163"/>
      <c r="I3" s="163"/>
      <c r="J3" s="163"/>
    </row>
    <row r="4" spans="2:10" ht="15" customHeight="1">
      <c r="B4" s="67"/>
      <c r="C4" s="67"/>
      <c r="D4" s="67"/>
      <c r="E4" s="67"/>
      <c r="F4" s="67"/>
      <c r="G4" s="67"/>
      <c r="H4" s="67"/>
      <c r="I4" s="67"/>
      <c r="J4" s="67"/>
    </row>
    <row r="5" spans="2:10" ht="30" customHeight="1">
      <c r="B5" s="161" t="s">
        <v>112</v>
      </c>
      <c r="C5" s="68" t="s">
        <v>144</v>
      </c>
      <c r="D5" s="68" t="s">
        <v>145</v>
      </c>
      <c r="E5" s="68" t="s">
        <v>146</v>
      </c>
      <c r="F5" s="68" t="s">
        <v>147</v>
      </c>
      <c r="G5" s="68" t="s">
        <v>148</v>
      </c>
      <c r="H5" s="68" t="s">
        <v>149</v>
      </c>
      <c r="I5" s="68" t="s">
        <v>151</v>
      </c>
      <c r="J5" s="68" t="s">
        <v>150</v>
      </c>
    </row>
    <row r="6" spans="2:10" ht="25" customHeight="1">
      <c r="B6" s="162"/>
      <c r="C6" s="48" t="s">
        <v>114</v>
      </c>
      <c r="D6" s="48" t="s">
        <v>114</v>
      </c>
      <c r="E6" s="48" t="s">
        <v>115</v>
      </c>
      <c r="F6" s="48" t="s">
        <v>115</v>
      </c>
      <c r="G6" s="48" t="s">
        <v>115</v>
      </c>
      <c r="H6" s="48" t="s">
        <v>115</v>
      </c>
      <c r="I6" s="48" t="s">
        <v>115</v>
      </c>
      <c r="J6" s="48" t="s">
        <v>115</v>
      </c>
    </row>
    <row r="7" spans="2:10" s="1" customFormat="1" ht="25" customHeight="1">
      <c r="B7" s="58" t="s">
        <v>47</v>
      </c>
      <c r="C7" s="69">
        <v>1.4630000000000001</v>
      </c>
      <c r="D7" s="69">
        <v>0.25</v>
      </c>
      <c r="E7" s="69">
        <v>0.1</v>
      </c>
      <c r="F7" s="69" t="s">
        <v>12</v>
      </c>
      <c r="G7" s="69" t="s">
        <v>12</v>
      </c>
      <c r="H7" s="69" t="s">
        <v>12</v>
      </c>
      <c r="I7" s="70">
        <v>3</v>
      </c>
      <c r="J7" s="70">
        <v>0.57499999999999996</v>
      </c>
    </row>
    <row r="8" spans="2:10" s="1" customFormat="1" ht="25" customHeight="1">
      <c r="B8" s="48" t="s">
        <v>33</v>
      </c>
      <c r="C8" s="48">
        <v>0</v>
      </c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59">
        <v>0</v>
      </c>
      <c r="J8" s="59">
        <v>0</v>
      </c>
    </row>
    <row r="9" spans="2:10" s="1" customFormat="1" ht="25" customHeight="1">
      <c r="B9" s="58" t="s">
        <v>105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  <c r="H9" s="58">
        <v>0</v>
      </c>
      <c r="I9" s="60">
        <v>0</v>
      </c>
      <c r="J9" s="60">
        <v>0</v>
      </c>
    </row>
    <row r="10" spans="2:10" s="1" customFormat="1" ht="25" customHeight="1">
      <c r="B10" s="48" t="s">
        <v>106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59">
        <v>0</v>
      </c>
      <c r="J10" s="59">
        <v>0</v>
      </c>
    </row>
  </sheetData>
  <mergeCells count="3">
    <mergeCell ref="B5:B6"/>
    <mergeCell ref="B3:J3"/>
    <mergeCell ref="B2:J2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S30"/>
  <sheetViews>
    <sheetView zoomScale="85" zoomScaleNormal="85" workbookViewId="0">
      <selection activeCell="R29" sqref="R29"/>
    </sheetView>
  </sheetViews>
  <sheetFormatPr defaultColWidth="9" defaultRowHeight="13"/>
  <cols>
    <col min="1" max="1" width="2.25" style="2" customWidth="1"/>
    <col min="2" max="2" width="10" style="2" bestFit="1" customWidth="1"/>
    <col min="3" max="9" width="5.58203125" style="2" customWidth="1"/>
    <col min="10" max="11" width="8.58203125" style="2" customWidth="1"/>
    <col min="12" max="12" width="16" style="2" bestFit="1" customWidth="1"/>
    <col min="13" max="13" width="10.58203125" style="2" customWidth="1"/>
    <col min="14" max="15" width="6.58203125" style="2" customWidth="1"/>
    <col min="16" max="17" width="5.58203125" style="2" customWidth="1"/>
    <col min="18" max="18" width="21.75" style="2" customWidth="1"/>
  </cols>
  <sheetData>
    <row r="2" spans="2:18" ht="30" customHeight="1">
      <c r="B2" s="131" t="s">
        <v>183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2:18" ht="30" customHeight="1">
      <c r="B3" s="167" t="s">
        <v>184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</row>
    <row r="4" spans="2:18" ht="10" customHeight="1"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</row>
    <row r="5" spans="2:18" ht="15.65" customHeight="1">
      <c r="B5" s="48" t="s">
        <v>117</v>
      </c>
      <c r="C5" s="130" t="s">
        <v>134</v>
      </c>
      <c r="D5" s="168" t="s">
        <v>156</v>
      </c>
      <c r="E5" s="130"/>
      <c r="F5" s="168" t="s">
        <v>157</v>
      </c>
      <c r="G5" s="130"/>
      <c r="H5" s="168" t="s">
        <v>158</v>
      </c>
      <c r="I5" s="130"/>
      <c r="J5" s="168" t="s">
        <v>159</v>
      </c>
      <c r="K5" s="130"/>
      <c r="L5" s="168" t="s">
        <v>160</v>
      </c>
      <c r="M5" s="130" t="s">
        <v>161</v>
      </c>
      <c r="N5" s="130" t="s">
        <v>132</v>
      </c>
      <c r="O5" s="130"/>
      <c r="P5" s="130" t="s">
        <v>163</v>
      </c>
      <c r="Q5" s="130"/>
      <c r="R5" s="130" t="s">
        <v>62</v>
      </c>
    </row>
    <row r="6" spans="2:18" ht="15.65" customHeight="1">
      <c r="B6" s="166">
        <v>45992</v>
      </c>
      <c r="C6" s="130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</row>
    <row r="7" spans="2:18" ht="14">
      <c r="B7" s="133" t="s">
        <v>241</v>
      </c>
      <c r="C7" s="133"/>
      <c r="D7" s="130" t="s">
        <v>152</v>
      </c>
      <c r="E7" s="133"/>
      <c r="F7" s="130" t="s">
        <v>153</v>
      </c>
      <c r="G7" s="133"/>
      <c r="H7" s="130" t="s">
        <v>154</v>
      </c>
      <c r="I7" s="133"/>
      <c r="J7" s="130" t="s">
        <v>155</v>
      </c>
      <c r="K7" s="133"/>
      <c r="L7" s="133"/>
      <c r="M7" s="48" t="s">
        <v>162</v>
      </c>
      <c r="N7" s="130" t="s">
        <v>162</v>
      </c>
      <c r="O7" s="133"/>
      <c r="P7" s="130" t="s">
        <v>56</v>
      </c>
      <c r="Q7" s="133"/>
      <c r="R7" s="133"/>
    </row>
    <row r="8" spans="2:18" ht="15.65" customHeight="1">
      <c r="B8" s="164" t="s">
        <v>241</v>
      </c>
      <c r="C8" s="71" t="s">
        <v>142</v>
      </c>
      <c r="D8" s="71"/>
      <c r="E8" s="164">
        <v>72.72699737548828</v>
      </c>
      <c r="F8" s="71">
        <v>0</v>
      </c>
      <c r="G8" s="164">
        <v>18.18199920654297</v>
      </c>
      <c r="H8" s="71"/>
      <c r="I8" s="164">
        <v>310</v>
      </c>
      <c r="J8" s="71">
        <v>83.09999084472656</v>
      </c>
      <c r="K8" s="164">
        <v>26.80645179748535</v>
      </c>
      <c r="L8" s="164"/>
      <c r="M8" s="48"/>
      <c r="N8" s="48"/>
      <c r="O8" s="130"/>
      <c r="P8" s="48"/>
      <c r="Q8" s="130"/>
      <c r="R8" s="130"/>
    </row>
    <row r="9" spans="2:18" ht="15.65" customHeight="1">
      <c r="B9" s="165"/>
      <c r="C9" s="71" t="s">
        <v>143</v>
      </c>
      <c r="D9" s="71"/>
      <c r="E9" s="165">
        <v>8.333000183105469</v>
      </c>
      <c r="F9" s="71">
        <v>0</v>
      </c>
      <c r="G9" s="165">
        <v>0</v>
      </c>
      <c r="H9" s="71"/>
      <c r="I9" s="133">
        <v>310</v>
      </c>
      <c r="J9" s="71">
        <v>83.09999084472656</v>
      </c>
      <c r="K9" s="133">
        <v>26.80645179748535</v>
      </c>
      <c r="L9" s="133"/>
      <c r="M9" s="48"/>
      <c r="N9" s="48"/>
      <c r="O9" s="133"/>
      <c r="P9" s="48"/>
      <c r="Q9" s="133"/>
      <c r="R9" s="133"/>
    </row>
    <row r="10" spans="2:18" ht="15.65" customHeight="1">
      <c r="B10" s="130" t="s">
        <v>247</v>
      </c>
      <c r="C10" s="48" t="s">
        <v>142</v>
      </c>
      <c r="D10" s="48"/>
      <c r="E10" s="130">
        <v>25</v>
      </c>
      <c r="F10" s="48">
        <v>0</v>
      </c>
      <c r="G10" s="130">
        <v>41.66699981689453</v>
      </c>
      <c r="H10" s="48"/>
      <c r="I10" s="130">
        <v>310</v>
      </c>
      <c r="J10" s="48">
        <v>83.09999084472656</v>
      </c>
      <c r="K10" s="130">
        <v>26.80645179748535</v>
      </c>
      <c r="L10" s="130"/>
      <c r="M10" s="48"/>
      <c r="N10" s="48"/>
      <c r="O10" s="130"/>
      <c r="P10" s="48"/>
      <c r="Q10" s="130"/>
      <c r="R10" s="130"/>
    </row>
    <row r="11" spans="2:18" ht="15.65" customHeight="1">
      <c r="B11" s="133"/>
      <c r="C11" s="48" t="s">
        <v>143</v>
      </c>
      <c r="D11" s="48"/>
      <c r="E11" s="133">
        <v>0</v>
      </c>
      <c r="F11" s="48">
        <v>0</v>
      </c>
      <c r="G11" s="133">
        <v>0</v>
      </c>
      <c r="H11" s="48"/>
      <c r="I11" s="133">
        <v>310</v>
      </c>
      <c r="J11" s="48">
        <v>83.09999084472656</v>
      </c>
      <c r="K11" s="133">
        <v>26.80645179748535</v>
      </c>
      <c r="L11" s="133"/>
      <c r="M11" s="48"/>
      <c r="N11" s="48"/>
      <c r="O11" s="133"/>
      <c r="P11" s="48"/>
      <c r="Q11" s="133"/>
      <c r="R11" s="133"/>
    </row>
    <row r="12" spans="2:18" ht="15.65" customHeight="1">
      <c r="B12" s="164" t="s">
        <v>248</v>
      </c>
      <c r="C12" s="71" t="s">
        <v>142</v>
      </c>
      <c r="D12" s="71"/>
      <c r="E12" s="164">
        <v>0</v>
      </c>
      <c r="F12" s="71">
        <v>0</v>
      </c>
      <c r="G12" s="164">
        <v>0</v>
      </c>
      <c r="H12" s="71"/>
      <c r="I12" s="164">
        <v>310</v>
      </c>
      <c r="J12" s="71">
        <v>83.09999084472656</v>
      </c>
      <c r="K12" s="164">
        <v>26.80645179748535</v>
      </c>
      <c r="L12" s="164"/>
      <c r="M12" s="48"/>
      <c r="N12" s="48"/>
      <c r="O12" s="130"/>
      <c r="P12" s="48"/>
      <c r="Q12" s="130"/>
      <c r="R12" s="130"/>
    </row>
    <row r="13" spans="2:18" ht="15.65" customHeight="1">
      <c r="B13" s="165"/>
      <c r="C13" s="71" t="s">
        <v>143</v>
      </c>
      <c r="D13" s="71"/>
      <c r="E13" s="165">
        <v>0</v>
      </c>
      <c r="F13" s="71">
        <v>0</v>
      </c>
      <c r="G13" s="165">
        <v>0</v>
      </c>
      <c r="H13" s="71"/>
      <c r="I13" s="133">
        <v>310</v>
      </c>
      <c r="J13" s="71">
        <v>83.09999084472656</v>
      </c>
      <c r="K13" s="133">
        <v>26.80645179748535</v>
      </c>
      <c r="L13" s="133"/>
      <c r="M13" s="48"/>
      <c r="N13" s="48"/>
      <c r="O13" s="133"/>
      <c r="P13" s="48"/>
      <c r="Q13" s="133"/>
      <c r="R13" s="133"/>
    </row>
    <row r="14" spans="2:18" ht="15.65" customHeight="1">
      <c r="B14" s="130" t="s">
        <v>249</v>
      </c>
      <c r="C14" s="48" t="s">
        <v>142</v>
      </c>
      <c r="D14" s="48">
        <v>100</v>
      </c>
      <c r="E14" s="130">
        <v>9.090999603271484</v>
      </c>
      <c r="F14" s="48">
        <v>0</v>
      </c>
      <c r="G14" s="130">
        <v>63.63600158691406</v>
      </c>
      <c r="H14" s="48"/>
      <c r="I14" s="130">
        <v>310</v>
      </c>
      <c r="J14" s="48">
        <v>83.09999084472656</v>
      </c>
      <c r="K14" s="130">
        <v>26.80645179748535</v>
      </c>
      <c r="L14" s="130"/>
      <c r="M14" s="48"/>
      <c r="N14" s="48"/>
      <c r="O14" s="130"/>
      <c r="P14" s="48"/>
      <c r="Q14" s="130"/>
      <c r="R14" s="130"/>
    </row>
    <row r="15" spans="2:18" ht="15.65" customHeight="1">
      <c r="B15" s="133"/>
      <c r="C15" s="48" t="s">
        <v>143</v>
      </c>
      <c r="D15" s="48">
        <v>100</v>
      </c>
      <c r="E15" s="133">
        <v>58.33300018310547</v>
      </c>
      <c r="F15" s="48">
        <v>0</v>
      </c>
      <c r="G15" s="133">
        <v>91.66699981689453</v>
      </c>
      <c r="H15" s="48"/>
      <c r="I15" s="133">
        <v>310</v>
      </c>
      <c r="J15" s="48">
        <v>83.09999084472656</v>
      </c>
      <c r="K15" s="133">
        <v>26.80645179748535</v>
      </c>
      <c r="L15" s="133"/>
      <c r="M15" s="48"/>
      <c r="N15" s="48"/>
      <c r="O15" s="133"/>
      <c r="P15" s="48"/>
      <c r="Q15" s="133"/>
      <c r="R15" s="133"/>
    </row>
    <row r="16" spans="2:18" ht="15.65" customHeight="1">
      <c r="B16" s="164" t="s">
        <v>250</v>
      </c>
      <c r="C16" s="71" t="s">
        <v>142</v>
      </c>
      <c r="D16" s="71">
        <v>80</v>
      </c>
      <c r="E16" s="164">
        <v>60</v>
      </c>
      <c r="F16" s="71">
        <v>0</v>
      </c>
      <c r="G16" s="164">
        <v>100</v>
      </c>
      <c r="H16" s="71"/>
      <c r="I16" s="164">
        <v>310</v>
      </c>
      <c r="J16" s="71">
        <v>83.09999084472656</v>
      </c>
      <c r="K16" s="164">
        <v>26.80645179748535</v>
      </c>
      <c r="L16" s="164"/>
      <c r="M16" s="48"/>
      <c r="N16" s="48"/>
      <c r="O16" s="130"/>
      <c r="P16" s="48"/>
      <c r="Q16" s="48"/>
      <c r="R16" s="130"/>
    </row>
    <row r="17" spans="2:18" ht="15.65" customHeight="1">
      <c r="B17" s="165"/>
      <c r="C17" s="71" t="s">
        <v>143</v>
      </c>
      <c r="D17" s="71"/>
      <c r="E17" s="165"/>
      <c r="F17" s="71"/>
      <c r="G17" s="165"/>
      <c r="H17" s="71"/>
      <c r="I17" s="133">
        <v>310</v>
      </c>
      <c r="J17" s="71">
        <v>83.09999084472656</v>
      </c>
      <c r="K17" s="133">
        <v>26.80645179748535</v>
      </c>
      <c r="L17" s="133"/>
      <c r="M17" s="48"/>
      <c r="N17" s="48"/>
      <c r="O17" s="133"/>
      <c r="P17" s="48"/>
      <c r="Q17" s="48"/>
      <c r="R17" s="133"/>
    </row>
    <row r="18" spans="2:18" ht="15.65" customHeight="1">
      <c r="B18" s="130" t="s">
        <v>251</v>
      </c>
      <c r="C18" s="48" t="s">
        <v>142</v>
      </c>
      <c r="D18" s="48"/>
      <c r="E18" s="130"/>
      <c r="F18" s="48"/>
      <c r="G18" s="130"/>
      <c r="H18" s="48"/>
      <c r="I18" s="130">
        <v>310</v>
      </c>
      <c r="J18" s="48">
        <v>83.09999084472656</v>
      </c>
      <c r="K18" s="130">
        <v>26.80645179748535</v>
      </c>
      <c r="L18" s="130"/>
      <c r="M18" s="48"/>
      <c r="N18" s="48"/>
      <c r="O18" s="130"/>
      <c r="P18" s="48"/>
      <c r="Q18" s="130"/>
      <c r="R18" s="130"/>
    </row>
    <row r="19" spans="2:18" ht="15.65" customHeight="1">
      <c r="B19" s="133"/>
      <c r="C19" s="48" t="s">
        <v>143</v>
      </c>
      <c r="D19" s="48"/>
      <c r="E19" s="133"/>
      <c r="F19" s="48"/>
      <c r="G19" s="133"/>
      <c r="H19" s="48"/>
      <c r="I19" s="133">
        <v>310</v>
      </c>
      <c r="J19" s="48">
        <v>83.09999084472656</v>
      </c>
      <c r="K19" s="133">
        <v>26.80645179748535</v>
      </c>
      <c r="L19" s="133"/>
      <c r="M19" s="48"/>
      <c r="N19" s="48"/>
      <c r="O19" s="133"/>
      <c r="P19" s="48"/>
      <c r="Q19" s="133"/>
      <c r="R19" s="133"/>
    </row>
    <row r="20" spans="2:18" ht="15.65" customHeight="1">
      <c r="B20" s="164" t="s">
        <v>252</v>
      </c>
      <c r="C20" s="71" t="s">
        <v>142</v>
      </c>
      <c r="D20" s="71"/>
      <c r="E20" s="164"/>
      <c r="F20" s="71"/>
      <c r="G20" s="164"/>
      <c r="H20" s="71"/>
      <c r="I20" s="164">
        <v>310</v>
      </c>
      <c r="J20" s="71">
        <v>83.09999084472656</v>
      </c>
      <c r="K20" s="164">
        <v>26.80645179748535</v>
      </c>
      <c r="L20" s="164"/>
      <c r="M20" s="48"/>
      <c r="N20" s="48"/>
      <c r="O20" s="130"/>
      <c r="P20" s="48"/>
      <c r="Q20" s="130"/>
      <c r="R20" s="130"/>
    </row>
    <row r="21" spans="2:18" ht="15.65" customHeight="1">
      <c r="B21" s="165"/>
      <c r="C21" s="71" t="s">
        <v>143</v>
      </c>
      <c r="D21" s="71"/>
      <c r="E21" s="165"/>
      <c r="F21" s="71"/>
      <c r="G21" s="165"/>
      <c r="H21" s="71"/>
      <c r="I21" s="133">
        <v>310</v>
      </c>
      <c r="J21" s="71">
        <v>83.09999084472656</v>
      </c>
      <c r="K21" s="133">
        <v>26.80645179748535</v>
      </c>
      <c r="L21" s="133"/>
      <c r="M21" s="48"/>
      <c r="N21" s="48"/>
      <c r="O21" s="133"/>
      <c r="P21" s="48"/>
      <c r="Q21" s="133"/>
      <c r="R21" s="133"/>
    </row>
    <row r="22" spans="2:18" ht="15.65" customHeight="1"/>
    <row r="23" spans="2:18" ht="15.65" customHeight="1"/>
    <row r="24" spans="2:18" ht="15.65" customHeight="1"/>
    <row r="25" spans="2:18" ht="15.65" customHeight="1"/>
    <row r="26" spans="2:18" ht="15.65" customHeight="1"/>
    <row r="27" spans="2:18" ht="15.65" customHeight="1"/>
    <row r="28" spans="2:18" ht="15.65" customHeight="1"/>
    <row r="29" spans="2:18" ht="15.65" customHeight="1"/>
    <row r="30" spans="2:18" ht="15.65" customHeight="1"/>
  </sheetData>
  <mergeCells count="82">
    <mergeCell ref="K20:K21"/>
    <mergeCell ref="I20:I21"/>
    <mergeCell ref="I14:I15"/>
    <mergeCell ref="I18:I19"/>
    <mergeCell ref="I16:I17"/>
    <mergeCell ref="K16:K17"/>
    <mergeCell ref="K14:K15"/>
    <mergeCell ref="K18:K19"/>
    <mergeCell ref="Q14:Q15"/>
    <mergeCell ref="Q18:Q19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O12:O13"/>
    <mergeCell ref="L12:L13"/>
    <mergeCell ref="K12:K13"/>
    <mergeCell ref="R14:R15"/>
    <mergeCell ref="R16:R17"/>
    <mergeCell ref="R18:R19"/>
    <mergeCell ref="R20:R21"/>
    <mergeCell ref="M5:M6"/>
    <mergeCell ref="N5:O6"/>
    <mergeCell ref="N7:O7"/>
    <mergeCell ref="O8:O9"/>
    <mergeCell ref="P5:Q6"/>
    <mergeCell ref="P7:Q7"/>
    <mergeCell ref="Q8:Q9"/>
    <mergeCell ref="Q10:Q11"/>
    <mergeCell ref="Q12:Q13"/>
    <mergeCell ref="R5:R7"/>
    <mergeCell ref="R10:R11"/>
    <mergeCell ref="R12:R13"/>
    <mergeCell ref="B4:R4"/>
    <mergeCell ref="B3:R3"/>
    <mergeCell ref="B2:R2"/>
    <mergeCell ref="R8:R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H5:I6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B20:B21"/>
    <mergeCell ref="B6:B7"/>
    <mergeCell ref="B8:B9"/>
    <mergeCell ref="B10:B11"/>
    <mergeCell ref="B12:B13"/>
    <mergeCell ref="H7:I7"/>
    <mergeCell ref="B14:B15"/>
    <mergeCell ref="B16:B17"/>
    <mergeCell ref="B18:B19"/>
    <mergeCell ref="I10:I11"/>
    <mergeCell ref="I12:I13"/>
    <mergeCell ref="E18:E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baseType="lpstr" size="14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  <vt:lpstr>第三页反应液分析数据!Print_Area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2026-05-12T01:18:42Z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