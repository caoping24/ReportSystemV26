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 activeTab="4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Sheet1" sheetId="13" r:id="rId6"/>
    <sheet name="日报表" sheetId="12" r:id="rId7"/>
  </sheets>
  <definedNames>
    <definedName name="_xlnm.Print_Area" localSheetId="4"><![CDATA['班组＆日生产过程运行质量考评表'!$A$1:$AK$44]]></definedName>
  </definedName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" i="11" l="1"/>
  <c r="E7" i="11"/>
  <c r="Z7" i="11"/>
  <c r="AC12" i="11" l="1"/>
  <c r="H17" i="11"/>
  <c r="M17" i="11"/>
  <c r="P17" i="11"/>
  <c r="U17" i="11"/>
  <c r="AE17" i="11"/>
  <c r="AH17" i="11"/>
  <c r="F22" i="11"/>
  <c r="I22" i="11"/>
  <c r="L22" i="11"/>
  <c r="O22" i="11"/>
  <c r="Z28" i="11"/>
  <c r="E28" i="11"/>
  <c r="S33" i="11"/>
  <c r="Y33" i="11"/>
  <c r="AC33" i="11"/>
  <c r="H38" i="11"/>
  <c r="M38" i="11"/>
  <c r="P38" i="11"/>
  <c r="U38" i="1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一天24小时，总计24点，每个点取当前1小时的平均值，与标准值做比较，在标准值范围内为合格。合格的点数除以24点所得百分比即为实际合格率。
精准配料指标雷同</t>
        </r>
      </text>
    </comment>
    <comment ref="H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二乙腈含量（化分）≥90%的质量汇总值除以当日的总产量的百分比（以折百产量计）</t>
        </r>
      </text>
    </comment>
    <comment ref="B20" authorId="0">
      <text>
        <r>
          <rPr>
            <sz val="8"/>
            <color indexed="81"/>
            <rFont val="宋体"/>
            <family val="3"/>
            <charset val="134"/>
            <b/>
          </rPr>
          <t xml:space="preserve">作者:</t>
        </r>
        <r>
          <rPr>
            <sz val="8"/>
            <color indexed="81"/>
            <rFont val="宋体"/>
            <family val="3"/>
            <charset val="134"/>
          </rPr>
          <t xml:space="preserve">
= 日常手写记录表3中，当日数据班合计（一次产品+二次产品产量汇总数据）</t>
        </r>
      </text>
    </comment>
    <comment ref="D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日常手写记录表3中，当日数据班合计（一次产品+二次产品折百产量汇总数据）</t>
        </r>
      </text>
    </comment>
    <comment ref="F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与前一日的折百产量比较，如果增产则将增产的数值自动填入</t>
        </r>
      </text>
    </comment>
    <comment ref="H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与前一日的折百产量比较，如果减产则将减产的数值自动填入</t>
        </r>
      </text>
    </comment>
    <comment ref="J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日常手写记录表3中，班合计（一次产品+二次产品）当日数据二乙腈+水平均数据</t>
        </r>
      </text>
    </comment>
    <comment ref="L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日常手写记录表3中，班合计（一次产品+二次产品）当日数据水分含量平均数据</t>
        </r>
      </text>
    </comment>
    <comment ref="N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= 日常手写记录表3中，班合计（一次产品+二次产品）当日数据未知物含量平均数据</t>
        </r>
      </text>
    </comment>
    <comment ref="P2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人工填写</t>
        </r>
      </text>
    </comment>
  </commentList>
</comments>
</file>

<file path=xl/sharedStrings.xml><?xml version="1.0" encoding="utf-8"?>
<sst xmlns="http://schemas.openxmlformats.org/spreadsheetml/2006/main" count="1509" uniqueCount="465">
  <si>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</si>
  <si>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</si>
  <si>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</si>
  <si>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</si>
  <si>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</si>
  <si>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</si>
  <si>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</si>
  <si>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</si>
  <si>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</si>
  <si>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</si>
  <si>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</si>
  <si>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</si>
  <si>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</si>
  <si>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</si>
  <si>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</si>
  <si>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</si>
  <si>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</si>
  <si>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</si>
  <si>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</si>
  <si>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</si>
  <si>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</si>
  <si>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</si>
  <si>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</si>
  <si>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</si>
  <si>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</si>
  <si>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</si>
  <si>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</si>
  <si>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</si>
  <si>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</si>
  <si>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</si>
  <si>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</si>
  <si>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</si>
  <si>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</si>
  <si>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</si>
  <si>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</si>
  <si>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</si>
  <si>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</si>
  <si>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</si>
  <si>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</si>
  <si>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</si>
  <si>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</si>
  <si>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</si>
  <si>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</si>
  <si>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</si>
  <si>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</si>
  <si>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</si>
  <si>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</si>
  <si>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</si>
  <si>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</si>
  <si>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</si>
  <si>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</si>
  <si>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</si>
  <si>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</si>
  <si>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</si>
  <si>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</si>
  <si>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</si>
  <si>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</si>
  <si>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</si>
  <si>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</si>
  <si>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</si>
  <si>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</si>
  <si>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</si>
  <si>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</si>
  <si>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</si>
  <si>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</si>
  <si>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</si>
  <si>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</si>
  <si>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</si>
  <si>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</si>
  <si>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</si>
  <si>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</si>
  <si>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</si>
  <si>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</si>
  <si>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</si>
  <si>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</si>
  <si>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</si>
  <si>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</si>
  <si>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</si>
  <si>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</si>
  <si>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</si>
  <si>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</si>
  <si>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</si>
  <si>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</si>
  <si>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</si>
  <si>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</si>
  <si>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</si>
  <si>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</si>
  <si>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</si>
  <si>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</si>
  <si>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</si>
  <si>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</si>
  <si>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</si>
  <si>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</si>
  <si>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</si>
  <si>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</si>
  <si>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</si>
  <si>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</si>
  <si>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</si>
  <si>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</si>
  <si>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</si>
  <si>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</si>
  <si>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</si>
  <si>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</si>
  <si>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</si>
  <si>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</si>
  <si>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</si>
  <si>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</si>
  <si>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</si>
  <si>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</si>
  <si>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</si>
  <si>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</si>
  <si>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</si>
  <si>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</si>
  <si>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</si>
  <si>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</si>
  <si>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</si>
  <si>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</si>
  <si>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</si>
  <si>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</si>
  <si>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</si>
  <si>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</si>
  <si>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</si>
  <si>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</si>
  <si>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</si>
  <si>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</si>
  <si>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</si>
  <si>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</si>
  <si>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</si>
  <si>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</si>
  <si>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</si>
  <si>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</si>
  <si>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</si>
  <si>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</si>
  <si>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</si>
  <si>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</si>
  <si>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</si>
  <si>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</si>
  <si>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</si>
  <si>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</si>
  <si>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</si>
  <si>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</si>
  <si>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</si>
  <si>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</si>
  <si>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</si>
  <si>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</si>
  <si>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</si>
  <si>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</si>
  <si>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</si>
  <si>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</si>
  <si>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</si>
  <si>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</si>
  <si>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</si>
  <si>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</si>
  <si>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</si>
  <si>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</si>
  <si>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</si>
  <si>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</si>
  <si>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</si>
  <si>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</si>
  <si>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</si>
  <si>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</si>
  <si>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</si>
  <si>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</si>
  <si>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</si>
  <si>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</si>
  <si>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</si>
  <si>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</si>
  <si>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</si>
  <si>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</si>
  <si>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</si>
  <si>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</si>
  <si>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</si>
  <si>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</si>
  <si>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</si>
  <si>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</si>
  <si>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</si>
  <si>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</si>
  <si>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</si>
  <si>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</si>
  <si>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</si>
  <si>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</si>
  <si>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</si>
  <si>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</si>
  <si>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</si>
  <si>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</si>
  <si>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</si>
  <si>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</si>
  <si>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</si>
  <si>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</si>
  <si>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</si>
  <si>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</si>
  <si>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</si>
  <si>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</si>
  <si>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</si>
  <si>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</si>
  <si>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</si>
  <si>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</si>
  <si>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</si>
  <si>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</si>
  <si>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</si>
  <si>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</si>
  <si>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</si>
  <si>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</si>
  <si>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</si>
  <si>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</si>
  <si>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</si>
  <si>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</si>
  <si>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</si>
  <si>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</si>
  <si>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</si>
  <si>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</si>
  <si>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</si>
  <si>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</si>
  <si>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</si>
  <si>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</si>
  <si>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</si>
  <si>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</si>
  <si>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</si>
  <si>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</si>
  <si>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</si>
  <si>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</si>
  <si>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</si>
  <si>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</si>
  <si>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</si>
  <si>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</si>
  <si>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</si>
  <si>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</si>
  <si>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</si>
  <si>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</si>
  <si>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</si>
  <si>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</si>
  <si>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</si>
  <si>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</si>
  <si>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</si>
  <si>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</si>
  <si>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</si>
  <si>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</si>
  <si>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</si>
  <si>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</si>
  <si>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</si>
  <si>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</si>
  <si>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</si>
  <si>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</si>
  <si>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</si>
  <si>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</si>
  <si>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</si>
  <si>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</si>
  <si>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</si>
  <si>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</si>
  <si>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</si>
  <si>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</si>
  <si>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</si>
  <si>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</si>
  <si>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</si>
  <si>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</si>
  <si>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</si>
  <si>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</si>
  <si>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</si>
  <si>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</si>
  <si>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</si>
  <si>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</si>
  <si>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</si>
  <si>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</si>
  <si>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</si>
  <si>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</si>
  <si>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</si>
  <si>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</si>
  <si>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</si>
  <si>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</si>
  <si>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</si>
  <si>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</si>
  <si>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</si>
  <si>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</si>
  <si>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</si>
  <si>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</si>
  <si>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</si>
  <si>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</si>
  <si>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</si>
  <si>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</si>
  <si>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</si>
  <si>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</si>
  <si>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</si>
  <si>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</si>
  <si>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</si>
  <si>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</si>
  <si>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</si>
  <si>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</si>
  <si>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</si>
  <si>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</si>
  <si>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</si>
  <si>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</si>
  <si>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</si>
  <si>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</si>
  <si>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</si>
  <si>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</si>
  <si>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</si>
  <si>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</si>
  <si>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9.65</t>
    <phoneticPr fontId="1" type="noConversion"/>
  </si>
  <si>
    <t xml:space="preserve">87.8</t>
    <phoneticPr fontId="1" type="noConversion"/>
  </si>
  <si>
    <t xml:space="preserve">17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</si>
  <si>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</si>
  <si>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</si>
  <si>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</si>
  <si>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</si>
  <si>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</si>
  <si>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</si>
  <si>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</si>
  <si>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</si>
  <si>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</si>
  <si>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</si>
  <si>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</si>
  <si>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</si>
  <si>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</si>
  <si>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</si>
  <si>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</si>
  <si>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</si>
  <si>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</si>
  <si>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</si>
  <si>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</si>
  <si>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</si>
  <si>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</si>
  <si>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</si>
  <si>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</si>
  <si>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</si>
  <si>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</si>
  <si>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</si>
  <si>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</si>
  <si>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</si>
  <si>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</si>
  <si>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</si>
  <si>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</si>
  <si>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</si>
  <si>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</si>
  <si>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</si>
  <si>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</si>
  <si>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</si>
  <si>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</si>
  <si>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</si>
  <si>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</si>
  <si>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</si>
  <si>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1.035</t>
    <phoneticPr fontId="1" type="noConversion"/>
  </si>
  <si>
    <t xml:space="preserve">33.1</t>
    <phoneticPr fontId="1" type="noConversion"/>
  </si>
  <si>
    <t xml:space="preserve">0.515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</si>
  <si>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</si>
  <si>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</si>
  <si>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</si>
  <si>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</si>
  <si>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</si>
  <si>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</si>
  <si>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</si>
  <si>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</si>
  <si>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</si>
  <si>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</si>
  <si>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</si>
  <si>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</si>
  <si>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</si>
  <si>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</si>
  <si>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</si>
  <si>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</si>
  <si>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</si>
  <si>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</si>
  <si>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</si>
  <si>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</si>
  <si>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</si>
  <si>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</si>
  <si>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</si>
  <si>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</si>
  <si>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</si>
  <si>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</si>
  <si>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</si>
  <si>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</si>
  <si>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</si>
  <si>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</si>
  <si>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</si>
  <si>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</si>
  <si>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</si>
  <si>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</si>
  <si>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</si>
  <si>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</si>
  <si>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</si>
  <si>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</si>
  <si>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</si>
  <si>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</si>
  <si>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</si>
  <si>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</si>
  <si>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</si>
  <si>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</si>
  <si>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</si>
  <si>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</si>
  <si>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</si>
  <si>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</si>
  <si>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</si>
  <si>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</si>
  <si>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</si>
  <si>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</si>
  <si>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</si>
  <si>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</si>
  <si>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</si>
  <si>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</si>
  <si>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</si>
  <si>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</si>
  <si>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</si>
  <si>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</si>
  <si>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</si>
  <si>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</si>
  <si>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</si>
  <si>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</si>
  <si>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</si>
  <si>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</si>
  <si>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</si>
  <si>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</si>
  <si>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</si>
  <si>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</si>
  <si>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和邦生物化工研究院
二乙腈中试装置责任目标一级考核日考评表</t>
    <phoneticPr fontId="1" type="noConversion"/>
  </si>
  <si>
    <t xml:space="preserve">一、核心工艺指标</t>
    <phoneticPr fontId="1" type="noConversion"/>
  </si>
  <si>
    <t xml:space="preserve">班次</t>
    <phoneticPr fontId="1" type="noConversion"/>
  </si>
  <si>
    <t xml:space="preserve">目标
合格率</t>
    <phoneticPr fontId="1" type="noConversion"/>
  </si>
  <si>
    <t xml:space="preserve">实际
合格率</t>
    <phoneticPr fontId="1" type="noConversion"/>
  </si>
  <si>
    <t xml:space="preserve">督查情况</t>
    <phoneticPr fontId="1" type="noConversion"/>
  </si>
  <si>
    <t xml:space="preserve">考评
得分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</si>
  <si>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羟基乙腈浓度</t>
    </r>
    <phoneticPr fontId="1" type="noConversion"/>
  </si>
  <si>
    <t xml:space="preserve">全天</t>
    <phoneticPr fontId="1" type="noConversion"/>
  </si>
  <si>
    <t xml:space="preserve">≥98%</t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</si>
  <si>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氨化反应热点温度</t>
    </r>
    <phoneticPr fontId="1" type="noConversion"/>
  </si>
  <si>
    <r>
      <t xml:space="preserve">3 </t>
    </r>
    <r>
      <rPr>
        <sz val="12"/>
        <rFont val="宋体"/>
        <family val="1"/>
        <charset val="134"/>
      </rPr>
      <t xml:space="preserve">一次结晶温度</t>
    </r>
    <phoneticPr fontId="1" type="noConversion"/>
  </si>
  <si>
    <t xml:space="preserve">二、精准配料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</si>
  <si>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羟基浓度</t>
    </r>
    <phoneticPr fontId="1" type="noConversion"/>
  </si>
  <si>
    <r>
      <t xml:space="preserve">2 </t>
    </r>
    <r>
      <rPr>
        <sz val="12"/>
        <rFont val="宋体"/>
        <family val="1"/>
        <charset val="134"/>
      </rPr>
      <t xml:space="preserve">氨/腈摩尔比</t>
    </r>
    <phoneticPr fontId="1" type="noConversion"/>
  </si>
  <si>
    <t xml:space="preserve">三、收率</t>
    <phoneticPr fontId="1" type="noConversion"/>
  </si>
  <si>
    <t xml:space="preserve">责任目标</t>
    <phoneticPr fontId="1" type="noConversion"/>
  </si>
  <si>
    <t xml:space="preserve">实际
完成率</t>
    <phoneticPr fontId="1" type="noConversion"/>
  </si>
  <si>
    <r>
      <t xml:space="preserve">1 </t>
    </r>
    <r>
      <rPr>
        <sz val="12"/>
        <rFont val="宋体"/>
        <family val="1"/>
        <charset val="134"/>
      </rPr>
      <t xml:space="preserve">二乙腈</t>
    </r>
    <phoneticPr fontId="1" type="noConversion"/>
  </si>
  <si>
    <t xml:space="preserve">≥90%</t>
    <phoneticPr fontId="1" type="noConversion"/>
  </si>
  <si>
    <t xml:space="preserve">四、安全环保指标</t>
    <phoneticPr fontId="1" type="noConversion"/>
  </si>
  <si>
    <t xml:space="preserve">安全环保有无异常情况</t>
    <phoneticPr fontId="1" type="noConversion"/>
  </si>
  <si>
    <t xml:space="preserve">二乙腈中试
安全环保状况</t>
    <phoneticPr fontId="1" type="noConversion"/>
  </si>
  <si>
    <t xml:space="preserve">五、合计得分</t>
    <phoneticPr fontId="1" type="noConversion"/>
  </si>
  <si>
    <t xml:space="preserve">考核单元</t>
    <phoneticPr fontId="1" type="noConversion"/>
  </si>
  <si>
    <t xml:space="preserve">合计
得分</t>
    <phoneticPr fontId="1" type="noConversion"/>
  </si>
  <si>
    <t xml:space="preserve">二乙腈中试装置</t>
    <phoneticPr fontId="1" type="noConversion"/>
  </si>
  <si>
    <t xml:space="preserve">产量/质量情况简报</t>
    <phoneticPr fontId="1" type="noConversion"/>
  </si>
  <si>
    <t xml:space="preserve">当日总产量</t>
    <phoneticPr fontId="1" type="noConversion"/>
  </si>
  <si>
    <t xml:space="preserve">折百产量</t>
    <phoneticPr fontId="1" type="noConversion"/>
  </si>
  <si>
    <t xml:space="preserve">同比增加</t>
    <phoneticPr fontId="1" type="noConversion"/>
  </si>
  <si>
    <t xml:space="preserve">同比减少</t>
    <phoneticPr fontId="1" type="noConversion"/>
  </si>
  <si>
    <t xml:space="preserve">综合含量</t>
    <phoneticPr fontId="1" type="noConversion"/>
  </si>
  <si>
    <t xml:space="preserve">水分含量</t>
    <phoneticPr fontId="1" type="noConversion"/>
  </si>
  <si>
    <t xml:space="preserve">未知物含量</t>
    <phoneticPr fontId="1" type="noConversion"/>
  </si>
  <si>
    <t xml:space="preserve">其他事项说明</t>
    <phoneticPr fontId="1" type="noConversion"/>
  </si>
  <si>
    <t xml:space="preserve">Kg</t>
  </si>
  <si>
    <t xml:space="preserve">Kg</t>
    <phoneticPr fontId="1" type="noConversion"/>
  </si>
  <si>
    <t xml:space="preserve">呈报人：</t>
    <phoneticPr fontId="1" type="noConversion"/>
  </si>
  <si>
    <t xml:space="preserve">督查人：</t>
    <phoneticPr fontId="1" type="noConversion"/>
  </si>
  <si>
    <t xml:space="preserve">考评人：</t>
    <phoneticPr fontId="1" type="noConversion"/>
  </si>
  <si>
    <t xml:space="preserve">呈报单位负责人：</t>
    <phoneticPr fontId="1" type="noConversion"/>
  </si>
  <si>
    <t xml:space="preserve">督查办负责人：</t>
    <phoneticPr fontId="1" type="noConversion"/>
  </si>
  <si>
    <t xml:space="preserve">考评办负责人：</t>
    <phoneticPr fontId="1" type="noConversion"/>
  </si>
  <si>
    <t xml:space="preserve">编号：HB/ZS26-01</t>
    <phoneticPr fontId="1" type="noConversion"/>
  </si>
  <si>
    <t xml:space="preserve">日期: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</si>
  <si>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</si>
  <si>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</si>
  <si>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</si>
  <si>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</si>
  <si>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2026-04-18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</si>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</sst>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;[Red]0.00"/>
    <numFmt numFmtId="181" formatCode="0.000_);[Red]\(0.000\)"/>
  </numFmts>
  <fonts count="4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sz val="11"/>
      <color rgb="FFFF0000"/>
      <name val="宋体"/>
      <family val="3"/>
      <charset val="134"/>
      <scheme val="minor"/>
    </font>
    <font>
      <sz val="8"/>
      <color rgb="FFFF0000"/>
      <name val="宋体"/>
      <family val="3"/>
      <charset val="134"/>
    </font>
    <font>
      <sz val="10"/>
      <name val="Times New Roman"/>
      <family val="1"/>
    </font>
    <font>
      <b/>
      <sz val="14"/>
      <name val="宋体"/>
      <family val="3"/>
      <charset val="134"/>
    </font>
    <font>
      <b/>
      <sz val="14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2"/>
      <name val="宋体"/>
      <family val="1"/>
      <charset val="134"/>
    </font>
    <font>
      <sz val="12"/>
      <name val="Times New Roman"/>
      <family val="1"/>
    </font>
    <font>
      <sz val="12"/>
      <color theme="1"/>
      <name val="宋体"/>
      <family val="2"/>
      <scheme val="minor"/>
    </font>
    <font>
      <b/>
      <sz val="12"/>
      <name val="宋体"/>
      <family val="1"/>
      <charset val="134"/>
    </font>
    <font>
      <b/>
      <sz val="12"/>
      <color theme="1"/>
      <name val="宋体"/>
      <family val="2"/>
      <scheme val="minor"/>
    </font>
    <font>
      <b/>
      <sz val="12"/>
      <name val="Times New Roman"/>
      <family val="1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Wingdings 3"/>
      <family val="1"/>
      <charset val="2"/>
    </font>
    <font>
      <b/>
      <sz val="11"/>
      <color rgb="FF00B0F0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4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2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2" fillId="2" borderId="30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2" fontId="2" fillId="0" borderId="51" xfId="0" applyNumberFormat="1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2" fillId="0" borderId="48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2" fillId="0" borderId="3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177" fontId="19" fillId="0" borderId="74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/>
    <xf numFmtId="0" fontId="30" fillId="0" borderId="0" xfId="0" applyFont="1"/>
    <xf numFmtId="0" fontId="32" fillId="0" borderId="22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29" fillId="0" borderId="0" xfId="0" applyFont="1"/>
    <xf numFmtId="0" fontId="30" fillId="0" borderId="0" xfId="0" applyFont="1" applyFill="1"/>
    <xf numFmtId="0" fontId="29" fillId="0" borderId="84" xfId="0" applyFont="1" applyFill="1" applyBorder="1"/>
    <xf numFmtId="0" fontId="31" fillId="0" borderId="85" xfId="0" applyFont="1" applyFill="1" applyBorder="1"/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81" fontId="2" fillId="0" borderId="4" xfId="0" applyNumberFormat="1" applyFont="1" applyBorder="1" applyAlignment="1">
      <alignment horizontal="center" vertical="center" wrapText="1"/>
    </xf>
    <xf numFmtId="181" fontId="2" fillId="0" borderId="47" xfId="0" applyNumberFormat="1" applyFont="1" applyBorder="1" applyAlignment="1">
      <alignment horizontal="center" vertical="center" wrapText="1"/>
    </xf>
    <xf numFmtId="181" fontId="2" fillId="0" borderId="12" xfId="0" applyNumberFormat="1" applyFont="1" applyBorder="1" applyAlignment="1">
      <alignment horizontal="center" vertical="center" wrapText="1"/>
    </xf>
    <xf numFmtId="181" fontId="5" fillId="0" borderId="4" xfId="0" applyNumberFormat="1" applyFont="1" applyBorder="1" applyAlignment="1">
      <alignment horizontal="center" vertical="center" wrapText="1"/>
    </xf>
    <xf numFmtId="181" fontId="4" fillId="0" borderId="4" xfId="0" applyNumberFormat="1" applyFont="1" applyBorder="1" applyAlignment="1">
      <alignment horizontal="center" vertical="center" wrapText="1"/>
    </xf>
    <xf numFmtId="181" fontId="4" fillId="2" borderId="4" xfId="0" applyNumberFormat="1" applyFont="1" applyFill="1" applyBorder="1" applyAlignment="1">
      <alignment horizontal="center" vertical="center" wrapText="1"/>
    </xf>
    <xf numFmtId="181" fontId="4" fillId="0" borderId="47" xfId="0" applyNumberFormat="1" applyFont="1" applyBorder="1" applyAlignment="1">
      <alignment horizontal="center" vertical="center" wrapText="1"/>
    </xf>
    <xf numFmtId="181" fontId="4" fillId="0" borderId="41" xfId="0" applyNumberFormat="1" applyFont="1" applyBorder="1" applyAlignment="1">
      <alignment horizontal="center" vertical="center" wrapText="1"/>
    </xf>
    <xf numFmtId="181" fontId="4" fillId="0" borderId="11" xfId="0" applyNumberFormat="1" applyFont="1" applyBorder="1" applyAlignment="1">
      <alignment horizontal="center" vertical="center" wrapText="1"/>
    </xf>
    <xf numFmtId="181" fontId="4" fillId="0" borderId="5" xfId="0" applyNumberFormat="1" applyFont="1" applyBorder="1" applyAlignment="1">
      <alignment horizontal="center" vertical="center" wrapText="1"/>
    </xf>
    <xf numFmtId="181" fontId="2" fillId="0" borderId="30" xfId="0" applyNumberFormat="1" applyFont="1" applyBorder="1" applyAlignment="1">
      <alignment horizontal="center" vertical="center" wrapText="1"/>
    </xf>
    <xf numFmtId="181" fontId="2" fillId="0" borderId="48" xfId="0" applyNumberFormat="1" applyFont="1" applyBorder="1" applyAlignment="1">
      <alignment horizontal="center" vertical="center" wrapText="1"/>
    </xf>
    <xf numFmtId="181" fontId="2" fillId="0" borderId="45" xfId="0" applyNumberFormat="1" applyFont="1" applyBorder="1" applyAlignment="1">
      <alignment horizontal="center" vertical="center" wrapText="1"/>
    </xf>
    <xf numFmtId="181" fontId="5" fillId="0" borderId="30" xfId="0" applyNumberFormat="1" applyFont="1" applyBorder="1" applyAlignment="1">
      <alignment horizontal="center" vertical="center" wrapText="1"/>
    </xf>
    <xf numFmtId="181" fontId="4" fillId="0" borderId="30" xfId="0" applyNumberFormat="1" applyFont="1" applyBorder="1" applyAlignment="1">
      <alignment horizontal="center" vertical="center" wrapText="1"/>
    </xf>
    <xf numFmtId="181" fontId="4" fillId="2" borderId="30" xfId="0" applyNumberFormat="1" applyFont="1" applyFill="1" applyBorder="1" applyAlignment="1">
      <alignment horizontal="center" vertical="center" wrapText="1"/>
    </xf>
    <xf numFmtId="181" fontId="4" fillId="0" borderId="48" xfId="0" applyNumberFormat="1" applyFont="1" applyBorder="1" applyAlignment="1">
      <alignment horizontal="center" vertical="center" wrapText="1"/>
    </xf>
    <xf numFmtId="181" fontId="4" fillId="0" borderId="57" xfId="0" applyNumberFormat="1" applyFont="1" applyBorder="1" applyAlignment="1">
      <alignment horizontal="center" vertical="center" wrapText="1"/>
    </xf>
    <xf numFmtId="181" fontId="4" fillId="0" borderId="39" xfId="0" applyNumberFormat="1" applyFont="1" applyBorder="1" applyAlignment="1">
      <alignment horizontal="center" vertical="center" wrapText="1"/>
    </xf>
    <xf numFmtId="181" fontId="4" fillId="0" borderId="31" xfId="0" applyNumberFormat="1" applyFont="1" applyBorder="1" applyAlignment="1">
      <alignment horizontal="center" vertical="center" wrapText="1"/>
    </xf>
    <xf numFmtId="181" fontId="5" fillId="0" borderId="47" xfId="0" applyNumberFormat="1" applyFont="1" applyBorder="1" applyAlignment="1">
      <alignment horizontal="center" vertical="center" wrapText="1"/>
    </xf>
    <xf numFmtId="181" fontId="5" fillId="0" borderId="51" xfId="0" applyNumberFormat="1" applyFont="1" applyBorder="1" applyAlignment="1">
      <alignment horizontal="center" vertical="center" wrapText="1"/>
    </xf>
    <xf numFmtId="181" fontId="4" fillId="2" borderId="12" xfId="0" applyNumberFormat="1" applyFont="1" applyFill="1" applyBorder="1" applyAlignment="1">
      <alignment horizontal="center" vertical="center" wrapText="1"/>
    </xf>
    <xf numFmtId="181" fontId="5" fillId="0" borderId="48" xfId="0" applyNumberFormat="1" applyFont="1" applyBorder="1" applyAlignment="1">
      <alignment horizontal="center" vertical="center" wrapText="1"/>
    </xf>
    <xf numFmtId="181" fontId="5" fillId="0" borderId="52" xfId="0" applyNumberFormat="1" applyFont="1" applyBorder="1" applyAlignment="1">
      <alignment horizontal="center" vertical="center" wrapText="1"/>
    </xf>
    <xf numFmtId="181" fontId="4" fillId="2" borderId="45" xfId="0" applyNumberFormat="1" applyFont="1" applyFill="1" applyBorder="1" applyAlignment="1">
      <alignment horizontal="center" vertical="center" wrapText="1"/>
    </xf>
    <xf numFmtId="181" fontId="2" fillId="0" borderId="51" xfId="0" applyNumberFormat="1" applyFont="1" applyBorder="1" applyAlignment="1">
      <alignment horizontal="center" vertical="center" wrapText="1"/>
    </xf>
    <xf numFmtId="181" fontId="2" fillId="2" borderId="4" xfId="0" applyNumberFormat="1" applyFont="1" applyFill="1" applyBorder="1" applyAlignment="1">
      <alignment horizontal="center" vertical="center" wrapText="1"/>
    </xf>
    <xf numFmtId="181" fontId="2" fillId="0" borderId="52" xfId="0" applyNumberFormat="1" applyFont="1" applyBorder="1" applyAlignment="1">
      <alignment horizontal="center" vertical="center" wrapText="1"/>
    </xf>
    <xf numFmtId="181" fontId="2" fillId="2" borderId="30" xfId="0" applyNumberFormat="1" applyFont="1" applyFill="1" applyBorder="1" applyAlignment="1">
      <alignment horizontal="center" vertical="center" wrapText="1"/>
    </xf>
    <xf numFmtId="181" fontId="4" fillId="0" borderId="35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1" fillId="0" borderId="8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4" fillId="0" borderId="81" xfId="0" applyNumberFormat="1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 wrapText="1"/>
    </xf>
    <xf numFmtId="0" fontId="23" fillId="0" borderId="79" xfId="0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6" fillId="0" borderId="83" xfId="0" applyFont="1" applyBorder="1" applyAlignment="1">
      <alignment horizontal="center" vertical="center" wrapText="1"/>
    </xf>
    <xf numFmtId="0" fontId="27" fillId="0" borderId="78" xfId="0" applyFont="1" applyBorder="1" applyAlignment="1">
      <alignment horizontal="center" vertical="center"/>
    </xf>
    <xf numFmtId="0" fontId="27" fillId="0" borderId="77" xfId="0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32" fillId="0" borderId="86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33" fillId="0" borderId="38" xfId="0" applyFont="1" applyBorder="1" applyAlignment="1">
      <alignment horizontal="left" vertical="center"/>
    </xf>
    <xf numFmtId="0" fontId="32" fillId="0" borderId="36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1" fillId="0" borderId="64" xfId="0" applyFont="1" applyFill="1" applyBorder="1"/>
    <xf numFmtId="0" fontId="31" fillId="0" borderId="62" xfId="0" applyFont="1" applyFill="1" applyBorder="1"/>
    <xf numFmtId="0" fontId="31" fillId="0" borderId="63" xfId="0" applyFont="1" applyFill="1" applyBorder="1"/>
    <xf numFmtId="0" fontId="30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0" fillId="0" borderId="4" xfId="0" applyFont="1" applyBorder="1"/>
    <xf numFmtId="0" fontId="31" fillId="0" borderId="4" xfId="0" applyFont="1" applyBorder="1"/>
    <xf numFmtId="0" fontId="31" fillId="0" borderId="5" xfId="0" applyFont="1" applyBorder="1"/>
    <xf numFmtId="0" fontId="30" fillId="0" borderId="29" xfId="0" applyFont="1" applyBorder="1" applyAlignment="1">
      <alignment horizontal="left" vertical="center"/>
    </xf>
    <xf numFmtId="0" fontId="31" fillId="0" borderId="30" xfId="0" applyFont="1" applyBorder="1" applyAlignment="1">
      <alignment horizontal="left" vertical="center"/>
    </xf>
    <xf numFmtId="0" fontId="35" fillId="0" borderId="30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0" fillId="0" borderId="30" xfId="0" applyFont="1" applyBorder="1"/>
    <xf numFmtId="0" fontId="31" fillId="0" borderId="30" xfId="0" applyFont="1" applyBorder="1"/>
    <xf numFmtId="0" fontId="31" fillId="0" borderId="31" xfId="0" applyFont="1" applyBorder="1"/>
    <xf numFmtId="0" fontId="30" fillId="0" borderId="87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9" fontId="30" fillId="0" borderId="39" xfId="0" applyNumberFormat="1" applyFont="1" applyBorder="1" applyAlignment="1">
      <alignment horizontal="center" vertical="center"/>
    </xf>
    <xf numFmtId="0" fontId="31" fillId="0" borderId="45" xfId="0" applyFont="1" applyBorder="1" applyAlignment="1">
      <alignment horizontal="center" vertical="center"/>
    </xf>
    <xf numFmtId="0" fontId="30" fillId="0" borderId="39" xfId="0" applyFont="1" applyBorder="1"/>
    <xf numFmtId="0" fontId="31" fillId="0" borderId="45" xfId="0" applyFont="1" applyBorder="1"/>
    <xf numFmtId="0" fontId="31" fillId="0" borderId="57" xfId="0" applyFont="1" applyBorder="1"/>
    <xf numFmtId="0" fontId="31" fillId="0" borderId="88" xfId="0" applyFont="1" applyBorder="1"/>
    <xf numFmtId="0" fontId="30" fillId="0" borderId="67" xfId="0" applyFont="1" applyBorder="1" applyAlignment="1">
      <alignment horizontal="left" vertical="center"/>
    </xf>
    <xf numFmtId="0" fontId="31" fillId="0" borderId="41" xfId="0" applyFont="1" applyBorder="1" applyAlignment="1">
      <alignment horizontal="left" vertical="center"/>
    </xf>
    <xf numFmtId="0" fontId="31" fillId="0" borderId="12" xfId="0" applyFont="1" applyBorder="1" applyAlignment="1">
      <alignment horizontal="left" vertical="center"/>
    </xf>
    <xf numFmtId="9" fontId="30" fillId="0" borderId="11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0" fillId="0" borderId="11" xfId="0" applyFont="1" applyBorder="1"/>
    <xf numFmtId="0" fontId="31" fillId="0" borderId="12" xfId="0" applyFont="1" applyBorder="1"/>
    <xf numFmtId="0" fontId="31" fillId="0" borderId="41" xfId="0" applyFont="1" applyBorder="1"/>
    <xf numFmtId="0" fontId="31" fillId="0" borderId="42" xfId="0" applyFont="1" applyBorder="1"/>
    <xf numFmtId="0" fontId="29" fillId="0" borderId="39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0" fillId="0" borderId="13" xfId="0" applyFont="1" applyBorder="1"/>
    <xf numFmtId="0" fontId="31" fillId="0" borderId="18" xfId="0" applyFont="1" applyBorder="1"/>
    <xf numFmtId="0" fontId="31" fillId="0" borderId="14" xfId="0" applyFont="1" applyBorder="1"/>
    <xf numFmtId="0" fontId="31" fillId="0" borderId="15" xfId="0" applyFont="1" applyBorder="1"/>
    <xf numFmtId="0" fontId="31" fillId="0" borderId="55" xfId="0" applyFont="1" applyBorder="1"/>
    <xf numFmtId="0" fontId="31" fillId="0" borderId="16" xfId="0" applyFont="1" applyBorder="1"/>
    <xf numFmtId="0" fontId="31" fillId="0" borderId="25" xfId="0" applyFont="1" applyBorder="1"/>
    <xf numFmtId="0" fontId="31" fillId="0" borderId="56" xfId="0" applyFont="1" applyBorder="1"/>
    <xf numFmtId="0" fontId="36" fillId="0" borderId="60" xfId="0" applyFont="1" applyBorder="1" applyAlignment="1">
      <alignment horizontal="left" vertical="center"/>
    </xf>
    <xf numFmtId="0" fontId="37" fillId="0" borderId="18" xfId="0" applyFont="1" applyBorder="1" applyAlignment="1">
      <alignment horizontal="left" vertical="center"/>
    </xf>
    <xf numFmtId="0" fontId="37" fillId="0" borderId="14" xfId="0" applyFont="1" applyBorder="1" applyAlignment="1">
      <alignment horizontal="left" vertical="center"/>
    </xf>
    <xf numFmtId="0" fontId="37" fillId="0" borderId="89" xfId="0" applyFont="1" applyBorder="1" applyAlignment="1">
      <alignment horizontal="left" vertical="center"/>
    </xf>
    <xf numFmtId="0" fontId="37" fillId="0" borderId="1" xfId="0" applyFont="1" applyBorder="1" applyAlignment="1">
      <alignment horizontal="left" vertical="center"/>
    </xf>
    <xf numFmtId="0" fontId="37" fillId="0" borderId="90" xfId="0" applyFont="1" applyBorder="1" applyAlignment="1">
      <alignment horizontal="left" vertical="center"/>
    </xf>
    <xf numFmtId="0" fontId="36" fillId="0" borderId="11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6" fillId="0" borderId="11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/>
    </xf>
    <xf numFmtId="0" fontId="29" fillId="0" borderId="40" xfId="0" applyFont="1" applyBorder="1" applyAlignment="1">
      <alignment horizontal="center" vertical="center"/>
    </xf>
    <xf numFmtId="0" fontId="31" fillId="0" borderId="91" xfId="0" applyFont="1" applyBorder="1" applyAlignment="1">
      <alignment horizontal="center" vertical="center"/>
    </xf>
    <xf numFmtId="0" fontId="31" fillId="0" borderId="92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/>
    <xf numFmtId="0" fontId="31" fillId="0" borderId="93" xfId="0" applyFont="1" applyBorder="1"/>
    <xf numFmtId="0" fontId="36" fillId="0" borderId="83" xfId="0" applyFont="1" applyBorder="1" applyAlignment="1">
      <alignment horizontal="center" vertical="center"/>
    </xf>
    <xf numFmtId="0" fontId="37" fillId="0" borderId="78" xfId="0" applyFont="1" applyBorder="1" applyAlignment="1">
      <alignment horizontal="center" vertical="center"/>
    </xf>
    <xf numFmtId="0" fontId="37" fillId="0" borderId="77" xfId="0" applyFont="1" applyBorder="1" applyAlignment="1">
      <alignment horizontal="center" vertical="center"/>
    </xf>
    <xf numFmtId="0" fontId="29" fillId="0" borderId="86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50" xfId="0" applyFont="1" applyBorder="1"/>
    <xf numFmtId="0" fontId="31" fillId="0" borderId="95" xfId="0" applyFont="1" applyBorder="1"/>
    <xf numFmtId="0" fontId="31" fillId="0" borderId="91" xfId="0" applyFont="1" applyBorder="1"/>
    <xf numFmtId="0" fontId="30" fillId="0" borderId="67" xfId="0" applyFont="1" applyBorder="1"/>
    <xf numFmtId="0" fontId="31" fillId="0" borderId="54" xfId="0" applyFont="1" applyBorder="1"/>
    <xf numFmtId="0" fontId="30" fillId="0" borderId="67" xfId="0" applyFont="1" applyBorder="1" applyAlignment="1">
      <alignment horizontal="center" vertical="center"/>
    </xf>
    <xf numFmtId="0" fontId="29" fillId="0" borderId="94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81" fontId="18" fillId="0" borderId="52" xfId="0" applyNumberFormat="1" applyFont="1" applyBorder="1" applyAlignment="1">
      <alignment horizontal="center" vertical="center" wrapText="1"/>
    </xf>
    <xf numFmtId="181" fontId="18" fillId="0" borderId="30" xfId="0" applyNumberFormat="1" applyFont="1" applyBorder="1" applyAlignment="1">
      <alignment horizontal="center" vertical="center" wrapText="1"/>
    </xf>
    <xf numFmtId="181" fontId="18" fillId="0" borderId="39" xfId="0" applyNumberFormat="1" applyFont="1" applyBorder="1" applyAlignment="1">
      <alignment horizontal="center" vertical="center" wrapText="1"/>
    </xf>
    <xf numFmtId="181" fontId="18" fillId="3" borderId="52" xfId="0" applyNumberFormat="1" applyFont="1" applyFill="1" applyBorder="1" applyAlignment="1">
      <alignment horizontal="center" vertical="center" wrapText="1"/>
    </xf>
    <xf numFmtId="181" fontId="18" fillId="3" borderId="30" xfId="0" applyNumberFormat="1" applyFont="1" applyFill="1" applyBorder="1" applyAlignment="1">
      <alignment horizontal="center" vertical="center" wrapText="1"/>
    </xf>
    <xf numFmtId="181" fontId="18" fillId="3" borderId="48" xfId="0" applyNumberFormat="1" applyFont="1" applyFill="1" applyBorder="1" applyAlignment="1">
      <alignment horizontal="center" vertical="center" wrapText="1"/>
    </xf>
    <xf numFmtId="181" fontId="18" fillId="0" borderId="45" xfId="0" applyNumberFormat="1" applyFont="1" applyBorder="1" applyAlignment="1">
      <alignment horizontal="center" vertical="center" wrapText="1"/>
    </xf>
    <xf numFmtId="181" fontId="18" fillId="0" borderId="48" xfId="0" applyNumberFormat="1" applyFont="1" applyBorder="1" applyAlignment="1">
      <alignment horizontal="center" vertical="center" wrapText="1"/>
    </xf>
    <xf numFmtId="181" fontId="21" fillId="0" borderId="52" xfId="0" applyNumberFormat="1" applyFont="1" applyBorder="1" applyAlignment="1">
      <alignment horizontal="center" vertical="center" wrapText="1"/>
    </xf>
    <xf numFmtId="181" fontId="19" fillId="0" borderId="30" xfId="0" applyNumberFormat="1" applyFont="1" applyBorder="1" applyAlignment="1">
      <alignment horizontal="center" vertical="center" wrapText="1"/>
    </xf>
    <xf numFmtId="181" fontId="21" fillId="0" borderId="30" xfId="0" applyNumberFormat="1" applyFont="1" applyBorder="1" applyAlignment="1">
      <alignment horizontal="center" vertical="center" wrapText="1"/>
    </xf>
    <xf numFmtId="181" fontId="21" fillId="0" borderId="48" xfId="0" applyNumberFormat="1" applyFont="1" applyBorder="1" applyAlignment="1">
      <alignment horizontal="center" vertical="center" wrapText="1"/>
    </xf>
    <xf numFmtId="181" fontId="19" fillId="0" borderId="52" xfId="0" applyNumberFormat="1" applyFont="1" applyBorder="1" applyAlignment="1">
      <alignment horizontal="center" vertical="center" wrapText="1"/>
    </xf>
    <xf numFmtId="181" fontId="18" fillId="0" borderId="75" xfId="0" applyNumberFormat="1" applyFont="1" applyBorder="1" applyAlignment="1">
      <alignment horizontal="center" vertical="center" wrapText="1"/>
    </xf>
    <xf numFmtId="181" fontId="18" fillId="0" borderId="74" xfId="0" applyNumberFormat="1" applyFont="1" applyBorder="1" applyAlignment="1">
      <alignment horizontal="center" vertical="center" wrapText="1"/>
    </xf>
    <xf numFmtId="0" fontId="36" fillId="0" borderId="96" xfId="0" applyFont="1" applyBorder="1" applyAlignment="1">
      <alignment horizontal="left" vertical="center"/>
    </xf>
    <xf numFmtId="0" fontId="37" fillId="0" borderId="97" xfId="0" applyFont="1" applyBorder="1" applyAlignment="1">
      <alignment horizontal="left" vertical="center"/>
    </xf>
    <xf numFmtId="0" fontId="37" fillId="0" borderId="98" xfId="0" applyFont="1" applyBorder="1" applyAlignment="1">
      <alignment horizontal="left" vertical="center"/>
    </xf>
    <xf numFmtId="0" fontId="21" fillId="0" borderId="99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101" xfId="0" applyBorder="1" applyAlignment="1">
      <alignment horizontal="center" vertical="center"/>
    </xf>
    <xf numFmtId="49" fontId="21" fillId="0" borderId="69" xfId="0" applyNumberFormat="1" applyFont="1" applyBorder="1" applyAlignment="1">
      <alignment horizontal="center" vertical="center" wrapText="1"/>
    </xf>
    <xf numFmtId="0" fontId="0" fillId="0" borderId="102" xfId="0" applyBorder="1" applyAlignment="1">
      <alignment horizontal="center" vertical="center"/>
    </xf>
    <xf numFmtId="0" fontId="18" fillId="0" borderId="75" xfId="0" applyFont="1" applyBorder="1" applyAlignment="1">
      <alignment horizontal="center" vertical="center" wrapText="1"/>
    </xf>
    <xf numFmtId="181" fontId="19" fillId="0" borderId="48" xfId="0" applyNumberFormat="1" applyFont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0" fontId="18" fillId="4" borderId="103" xfId="0" applyFont="1" applyFill="1" applyBorder="1" applyAlignment="1">
      <alignment horizontal="center" vertical="center"/>
    </xf>
    <xf numFmtId="49" fontId="19" fillId="4" borderId="104" xfId="0" applyNumberFormat="1" applyFont="1" applyFill="1" applyBorder="1" applyAlignment="1">
      <alignment horizontal="center" vertical="center" wrapText="1"/>
    </xf>
    <xf numFmtId="0" fontId="21" fillId="0" borderId="101" xfId="0" applyFont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 wrapText="1"/>
    </xf>
    <xf numFmtId="49" fontId="18" fillId="0" borderId="48" xfId="0" applyNumberFormat="1" applyFont="1" applyBorder="1" applyAlignment="1">
      <alignment horizontal="center" vertical="center" wrapText="1"/>
    </xf>
    <xf numFmtId="0" fontId="0" fillId="0" borderId="106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7" fontId="18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0" fontId="40" fillId="0" borderId="37" xfId="0" applyFont="1" applyBorder="1" applyAlignment="1">
      <alignment horizontal="center" vertical="center" wrapText="1"/>
    </xf>
    <xf numFmtId="0" fontId="40" fillId="0" borderId="28" xfId="0" applyFont="1" applyBorder="1" applyAlignment="1">
      <alignment horizontal="center" vertical="center" wrapText="1"/>
    </xf>
    <xf numFmtId="0" fontId="40" fillId="0" borderId="69" xfId="0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7" xfId="0" applyFont="1" applyBorder="1" applyAlignment="1">
      <alignment horizontal="center" vertical="center" wrapText="1"/>
    </xf>
    <xf numFmtId="0" fontId="18" fillId="0" borderId="76" xfId="0" applyNumberFormat="1" applyFont="1" applyBorder="1" applyAlignment="1">
      <alignment horizontal="center" vertical="center" wrapText="1"/>
    </xf>
    <xf numFmtId="49" fontId="41" fillId="0" borderId="72" xfId="0" applyNumberFormat="1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71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 wrapText="1"/>
    </xf>
    <xf numFmtId="0" fontId="40" fillId="0" borderId="105" xfId="0" applyFont="1" applyBorder="1" applyAlignment="1">
      <alignment horizontal="center" vertical="center" wrapText="1"/>
    </xf>
    <xf numFmtId="0" fontId="43" fillId="0" borderId="0" xfId="0" applyFont="1"/>
    <xf numFmtId="0" fontId="4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11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11</xdr:row>
      <xdr:rowOff>127000</xdr:rowOff>
    </xdr:from>
    <xdr:to>
      <xdr:col>5</xdr:col>
      <xdr:colOff>336550</xdr:colOff>
      <xdr:row>11</xdr:row>
      <xdr:rowOff>127000</xdr:rowOff>
    </xdr:to>
    <xdr:cxnSp macro="">
      <xdr:nvCxnSpPr>
        <xdr:cNvPr id="3" name="直接连接符 2">
          <a:extLst>
            <a:ext uri="{FF2B5EF4-FFF2-40B4-BE49-F238E27FC236}">
              <a16:creationId xmlns:a16="http://schemas.microsoft.com/office/drawing/2014/main" id="{F484FA45-1589-43F8-9EBE-652EDB42666F}"/>
            </a:ext>
          </a:extLst>
        </xdr:cNvPr>
        <xdr:cNvCxnSpPr/>
      </xdr:nvCxnSpPr>
      <xdr:spPr>
        <a:xfrm>
          <a:off x="3467100" y="209677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127000</xdr:rowOff>
    </xdr:from>
    <xdr:to>
      <xdr:col>5</xdr:col>
      <xdr:colOff>336550</xdr:colOff>
      <xdr:row>32</xdr:row>
      <xdr:rowOff>127000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641D9EF8-6F40-4B1A-9311-6176926BAA93}"/>
            </a:ext>
          </a:extLst>
        </xdr:cNvPr>
        <xdr:cNvCxnSpPr/>
      </xdr:nvCxnSpPr>
      <xdr:spPr>
        <a:xfrm>
          <a:off x="3467100" y="5857240"/>
          <a:ext cx="222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241300</xdr:colOff>
      <xdr:row>37</xdr:row>
      <xdr:rowOff>31750</xdr:rowOff>
    </xdr:from>
    <xdr:to>
      <xdr:col>35</xdr:col>
      <xdr:colOff>247650</xdr:colOff>
      <xdr:row>37</xdr:row>
      <xdr:rowOff>158750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F93E90ED-48F3-47CB-9DDC-1C85DF250155}"/>
            </a:ext>
          </a:extLst>
        </xdr:cNvPr>
        <xdr:cNvCxnSpPr/>
      </xdr:nvCxnSpPr>
      <xdr:spPr>
        <a:xfrm>
          <a:off x="23710900" y="6657340"/>
          <a:ext cx="635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Relationship Id="rId2" Type="http://schemas.openxmlformats.org/officeDocument/2006/relationships/drawing" Target="../drawings/drawing1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Relationship Id="rId2" Type="http://schemas.openxmlformats.org/officeDocument/2006/relationships/vmlDrawing" Target="../drawings/vmlDrawing5.vml" /><Relationship Id="rId3" Type="http://schemas.openxmlformats.org/officeDocument/2006/relationships/comments" Target="../comments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19" zoomScale="70" zoomScaleNormal="70" workbookViewId="0">
      <selection activeCell="B53" sqref="B53:D54"/>
    </sheetView>
  </sheetViews>
  <sheetFormatPr defaultRowHeight="7.8" x14ac:dyDescent="0.4"/>
  <cols>
    <col min="1" max="1" width="0.47265625" style="7" customWidth="1"/>
    <col min="2" max="2" width="3.41796875" style="7" bestFit="1" customWidth="1"/>
    <col min="3" max="7" width="5.3125" style="7" bestFit="1" customWidth="1"/>
    <col min="8" max="8" width="5.5234375" style="7" bestFit="1" customWidth="1"/>
    <col min="9" max="9" width="5.3125" style="7" bestFit="1" customWidth="1"/>
    <col min="10" max="10" width="4.68359375" style="7" bestFit="1" customWidth="1"/>
    <col min="11" max="11" width="5.1015625" style="7" bestFit="1" customWidth="1"/>
    <col min="12" max="12" width="5.20703125" style="7" bestFit="1" customWidth="1"/>
    <col min="13" max="14" width="5.3125" style="7" bestFit="1" customWidth="1"/>
    <col min="15" max="16" width="5.89453125" style="7" bestFit="1" customWidth="1"/>
    <col min="17" max="17" width="5.20703125" style="7" bestFit="1" customWidth="1"/>
    <col min="18" max="18" width="5.3125" style="7" bestFit="1" customWidth="1"/>
    <col min="19" max="19" width="5.20703125" style="7" bestFit="1" customWidth="1"/>
    <col min="20" max="20" width="5.89453125" style="7" bestFit="1" customWidth="1"/>
    <col min="21" max="21" width="5.3125" style="7" bestFit="1" customWidth="1"/>
    <col min="22" max="22" width="5.1015625" style="7" bestFit="1" customWidth="1"/>
    <col min="23" max="23" width="5.1015625" style="7" customWidth="1"/>
    <col min="24" max="24" width="5.89453125" style="7" bestFit="1" customWidth="1"/>
    <col min="25" max="25" width="5.3125" style="7" bestFit="1" customWidth="1"/>
    <col min="26" max="26" width="5.20703125" style="7" bestFit="1" customWidth="1"/>
    <col min="27" max="27" width="5.1015625" style="7" customWidth="1"/>
    <col min="28" max="29" width="5.3125" style="7" bestFit="1" customWidth="1"/>
    <col min="30" max="30" width="5.1015625" style="7" bestFit="1" customWidth="1"/>
    <col min="31" max="44" width="5.3125" style="7" bestFit="1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76" t="s">
        <v>227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</row>
    <row r="3" spans="2:47" ht="20.1" customHeight="1" x14ac:dyDescent="0.4">
      <c r="B3" s="178" t="s">
        <v>181</v>
      </c>
      <c r="C3" s="136" t="s">
        <v>163</v>
      </c>
      <c r="D3" s="186"/>
      <c r="E3" s="186"/>
      <c r="F3" s="186"/>
      <c r="G3" s="186"/>
      <c r="H3" s="187"/>
      <c r="I3" s="190" t="s">
        <v>8</v>
      </c>
      <c r="J3" s="186"/>
      <c r="K3" s="186"/>
      <c r="L3" s="186"/>
      <c r="M3" s="186"/>
      <c r="N3" s="186"/>
      <c r="O3" s="186"/>
      <c r="P3" s="191"/>
      <c r="Q3" s="136" t="s">
        <v>77</v>
      </c>
      <c r="R3" s="186"/>
      <c r="S3" s="191"/>
      <c r="T3" s="136" t="s">
        <v>10</v>
      </c>
      <c r="U3" s="186"/>
      <c r="V3" s="186"/>
      <c r="W3" s="191"/>
      <c r="X3" s="136" t="s">
        <v>80</v>
      </c>
      <c r="Y3" s="137"/>
      <c r="Z3" s="136" t="s">
        <v>11</v>
      </c>
      <c r="AA3" s="137"/>
      <c r="AB3" s="16" t="s">
        <v>13</v>
      </c>
      <c r="AC3" s="136" t="s">
        <v>14</v>
      </c>
      <c r="AD3" s="137"/>
      <c r="AE3" s="140" t="s">
        <v>88</v>
      </c>
      <c r="AF3" s="141"/>
      <c r="AG3" s="141"/>
      <c r="AH3" s="141"/>
      <c r="AI3" s="141"/>
      <c r="AJ3" s="141"/>
      <c r="AK3" s="142"/>
      <c r="AL3" s="136" t="s">
        <v>18</v>
      </c>
      <c r="AM3" s="182"/>
      <c r="AN3" s="183"/>
      <c r="AO3" s="182" t="s">
        <v>16</v>
      </c>
      <c r="AP3" s="182"/>
      <c r="AQ3" s="182"/>
      <c r="AR3" s="185"/>
    </row>
    <row r="4" spans="2:47" ht="30" customHeight="1" x14ac:dyDescent="0.4">
      <c r="B4" s="179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41" t="s">
        <v>162</v>
      </c>
      <c r="I4" s="188" t="s">
        <v>62</v>
      </c>
      <c r="J4" s="189"/>
      <c r="K4" s="3" t="s">
        <v>6</v>
      </c>
      <c r="L4" s="3" t="s">
        <v>66</v>
      </c>
      <c r="M4" s="3" t="s">
        <v>164</v>
      </c>
      <c r="N4" s="3" t="s">
        <v>165</v>
      </c>
      <c r="O4" s="143" t="s">
        <v>7</v>
      </c>
      <c r="P4" s="144"/>
      <c r="Q4" s="181" t="s">
        <v>71</v>
      </c>
      <c r="R4" s="144"/>
      <c r="S4" s="3" t="s">
        <v>51</v>
      </c>
      <c r="T4" s="3" t="s">
        <v>75</v>
      </c>
      <c r="U4" s="181" t="s">
        <v>78</v>
      </c>
      <c r="V4" s="14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38" t="s">
        <v>89</v>
      </c>
      <c r="AF4" s="139"/>
      <c r="AG4" s="138" t="s">
        <v>92</v>
      </c>
      <c r="AH4" s="139"/>
      <c r="AI4" s="12" t="s">
        <v>166</v>
      </c>
      <c r="AJ4" s="12" t="s">
        <v>167</v>
      </c>
      <c r="AK4" s="13" t="s">
        <v>115</v>
      </c>
      <c r="AL4" s="181" t="s">
        <v>110</v>
      </c>
      <c r="AM4" s="144"/>
      <c r="AN4" s="35" t="s">
        <v>111</v>
      </c>
      <c r="AO4" s="30" t="s">
        <v>12</v>
      </c>
      <c r="AP4" s="3" t="s">
        <v>1</v>
      </c>
      <c r="AQ4" s="157" t="s">
        <v>161</v>
      </c>
      <c r="AR4" s="184"/>
      <c r="AU4" s="23"/>
    </row>
    <row r="5" spans="2:47" ht="20.1" customHeight="1" x14ac:dyDescent="0.4">
      <c r="B5" s="180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46" t="s">
        <v>61</v>
      </c>
      <c r="I5" s="32" t="s">
        <v>63</v>
      </c>
      <c r="J5" s="25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5" t="s">
        <v>70</v>
      </c>
      <c r="P5" s="25" t="s">
        <v>64</v>
      </c>
      <c r="Q5" s="25" t="s">
        <v>72</v>
      </c>
      <c r="R5" s="25" t="s">
        <v>73</v>
      </c>
      <c r="S5" s="1" t="s">
        <v>74</v>
      </c>
      <c r="T5" s="1" t="s">
        <v>76</v>
      </c>
      <c r="U5" s="3" t="s">
        <v>101</v>
      </c>
      <c r="V5" s="3" t="s">
        <v>459</v>
      </c>
      <c r="W5" s="1" t="s">
        <v>79</v>
      </c>
      <c r="X5" s="3" t="s">
        <v>81</v>
      </c>
      <c r="Y5" s="48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2" t="s">
        <v>90</v>
      </c>
      <c r="AF5" s="12" t="s">
        <v>91</v>
      </c>
      <c r="AG5" s="12" t="s">
        <v>93</v>
      </c>
      <c r="AH5" s="15" t="s">
        <v>94</v>
      </c>
      <c r="AI5" s="15" t="s">
        <v>94</v>
      </c>
      <c r="AJ5" s="15" t="s">
        <v>94</v>
      </c>
      <c r="AK5" s="13" t="s">
        <v>82</v>
      </c>
      <c r="AL5" s="25" t="s">
        <v>95</v>
      </c>
      <c r="AM5" s="20" t="s">
        <v>109</v>
      </c>
      <c r="AN5" s="35" t="s">
        <v>112</v>
      </c>
      <c r="AO5" s="30" t="s">
        <v>96</v>
      </c>
      <c r="AP5" s="3" t="s">
        <v>97</v>
      </c>
      <c r="AQ5" s="3" t="s">
        <v>98</v>
      </c>
      <c r="AR5" s="24" t="s">
        <v>160</v>
      </c>
    </row>
    <row r="6" spans="2:47" ht="13.5" customHeight="1" x14ac:dyDescent="0.4">
      <c r="B6" s="49" t="s">
        <v>5</v>
      </c>
      <c r="C6" s="1">
        <v>0.9729455709457397</v>
      </c>
      <c r="D6" s="1">
        <v>19.731990814208984</v>
      </c>
      <c r="E6" s="1">
        <v>415.0994873046875</v>
      </c>
      <c r="F6" s="1"/>
      <c r="G6" s="1"/>
      <c r="H6" s="46">
        <v>414.8927001953125</v>
      </c>
      <c r="I6" s="33">
        <v>19.97612953186035</v>
      </c>
      <c r="J6" s="1"/>
      <c r="K6" s="1">
        <v>44.162330627441406</v>
      </c>
      <c r="L6" s="1">
        <v>1.4190900325775146</v>
      </c>
      <c r="M6" s="1">
        <v>110.2051010131836</v>
      </c>
      <c r="N6" s="1">
        <v>110.25029754638672</v>
      </c>
      <c r="O6" s="1">
        <v>20.41468048095703</v>
      </c>
      <c r="P6" s="1"/>
      <c r="Q6" s="1">
        <v>1.902696967124939</v>
      </c>
      <c r="R6" s="1"/>
      <c r="S6" s="1">
        <v>138.07150268554688</v>
      </c>
      <c r="T6" s="1">
        <v>1.6561959981918335</v>
      </c>
      <c r="U6" s="1">
        <v>0.3001560866832733</v>
      </c>
      <c r="V6" s="1"/>
      <c r="W6" s="1">
        <v>90.23438262939453</v>
      </c>
      <c r="X6" s="53">
        <v>0.5286232829093933</v>
      </c>
      <c r="Y6" s="53"/>
      <c r="Z6" s="1">
        <v>0.752372682094574</v>
      </c>
      <c r="AA6" s="1">
        <v>147.25120544433594</v>
      </c>
      <c r="AB6" s="1">
        <v>162.3697967529297</v>
      </c>
      <c r="AC6" s="1">
        <v>0.3935546875</v>
      </c>
      <c r="AD6" s="1">
        <v>157.42909240722656</v>
      </c>
      <c r="AE6" s="13"/>
      <c r="AF6" s="13"/>
      <c r="AG6" s="13"/>
      <c r="AH6" s="13"/>
      <c r="AI6" s="13"/>
      <c r="AJ6" s="13"/>
      <c r="AK6" s="13"/>
      <c r="AL6" s="1">
        <v>0</v>
      </c>
      <c r="AM6" s="20"/>
      <c r="AN6" s="35">
        <v>63.241458892822266</v>
      </c>
      <c r="AO6" s="31"/>
      <c r="AP6" s="21"/>
      <c r="AQ6" s="21">
        <v>0.2852286100387573</v>
      </c>
      <c r="AR6" s="19"/>
    </row>
    <row r="7" spans="2:47" ht="13.5" customHeight="1" x14ac:dyDescent="0.4">
      <c r="B7" s="17">
        <v>0.375</v>
      </c>
      <c r="C7" s="1">
        <v>0.9837962985038757</v>
      </c>
      <c r="D7" s="1">
        <v>20.187719345092773</v>
      </c>
      <c r="E7" s="1">
        <v>414.7315979003906</v>
      </c>
      <c r="F7" s="1">
        <v>0.3002968728542328</v>
      </c>
      <c r="G7" s="1">
        <v>0.10000000149011612</v>
      </c>
      <c r="H7" s="46">
        <v>414.8334045410156</v>
      </c>
      <c r="I7" s="33">
        <v>26.07784080505371</v>
      </c>
      <c r="J7" s="1">
        <v>0.020037109032273293</v>
      </c>
      <c r="K7" s="1">
        <v>43.35213851928711</v>
      </c>
      <c r="L7" s="1">
        <v>1.4038989543914795</v>
      </c>
      <c r="M7" s="1">
        <v>109.83619689941406</v>
      </c>
      <c r="N7" s="1">
        <v>112.26129913330078</v>
      </c>
      <c r="O7" s="1">
        <v>20.218229293823242</v>
      </c>
      <c r="P7" s="1">
        <v>20.15771484375</v>
      </c>
      <c r="Q7" s="1">
        <v>1.8714580535888672</v>
      </c>
      <c r="R7" s="1">
        <v>1.8310546875</v>
      </c>
      <c r="S7" s="1">
        <v>137.69529724121094</v>
      </c>
      <c r="T7" s="1">
        <v>1.6545499563217163</v>
      </c>
      <c r="U7" s="1">
        <v>0.3011777997016907</v>
      </c>
      <c r="V7" s="1">
        <v>0.29982030391693115</v>
      </c>
      <c r="W7" s="1">
        <v>89.64119720458984</v>
      </c>
      <c r="X7" s="53">
        <v>0.5308206081390381</v>
      </c>
      <c r="Y7" s="53" t="s">
        <v>82</v>
      </c>
      <c r="Z7" s="1">
        <v>0.7487847805023193</v>
      </c>
      <c r="AA7" s="1">
        <v>146.27459716796875</v>
      </c>
      <c r="AB7" s="1">
        <v>162.3697967529297</v>
      </c>
      <c r="AC7" s="1">
        <v>0.39362698793411255</v>
      </c>
      <c r="AD7" s="1">
        <v>157.15420532226562</v>
      </c>
      <c r="AE7" s="13"/>
      <c r="AF7" s="13"/>
      <c r="AG7" s="13"/>
      <c r="AH7" s="13"/>
      <c r="AI7" s="13"/>
      <c r="AJ7" s="13"/>
      <c r="AK7" s="13"/>
      <c r="AL7" s="1">
        <v>30.920860290527344</v>
      </c>
      <c r="AM7" s="20">
        <v>0.02868945337831974</v>
      </c>
      <c r="AN7" s="35">
        <v>62.829139709472656</v>
      </c>
      <c r="AO7" s="31"/>
      <c r="AP7" s="21"/>
      <c r="AQ7" s="21">
        <v>0.30237269401550293</v>
      </c>
      <c r="AR7" s="19">
        <v>0.00029299926245585084</v>
      </c>
    </row>
    <row r="8" spans="2:47" ht="13.5" customHeight="1" x14ac:dyDescent="0.4">
      <c r="B8" s="17">
        <v>0.41666666666666669</v>
      </c>
      <c r="C8" s="1">
        <v>0.8427373170852661</v>
      </c>
      <c r="D8" s="1">
        <v>20.903860092163086</v>
      </c>
      <c r="E8" s="1">
        <v>414.82000732421875</v>
      </c>
      <c r="F8" s="1">
        <v>0.29512500762939453</v>
      </c>
      <c r="G8" s="1">
        <v>0.10000000149011612</v>
      </c>
      <c r="H8" s="46">
        <v>414.6344909667969</v>
      </c>
      <c r="I8" s="33">
        <v>24.862560272216797</v>
      </c>
      <c r="J8" s="1">
        <v>0.0196689460426569</v>
      </c>
      <c r="K8" s="1">
        <v>44.30699920654297</v>
      </c>
      <c r="L8" s="1">
        <v>1.3928680419921875</v>
      </c>
      <c r="M8" s="1">
        <v>109.54319763183594</v>
      </c>
      <c r="N8" s="1">
        <v>111.71150207519531</v>
      </c>
      <c r="O8" s="1">
        <v>20.183269500732422</v>
      </c>
      <c r="P8" s="1">
        <v>20.16015625</v>
      </c>
      <c r="Q8" s="1">
        <v>1.5828880071640015</v>
      </c>
      <c r="R8" s="1">
        <v>1.713134765625</v>
      </c>
      <c r="S8" s="1">
        <v>137.69529724121094</v>
      </c>
      <c r="T8" s="1">
        <v>1.6535370349884033</v>
      </c>
      <c r="U8" s="1">
        <v>0.2991918921470642</v>
      </c>
      <c r="V8" s="1">
        <v>0.2998124957084656</v>
      </c>
      <c r="W8" s="1">
        <v>90.69732666015625</v>
      </c>
      <c r="X8" s="53">
        <v>0.5285302996635437</v>
      </c>
      <c r="Y8" s="53" t="s">
        <v>82</v>
      </c>
      <c r="Z8" s="1">
        <v>0.7482060790061951</v>
      </c>
      <c r="AA8" s="1">
        <v>147.6779022216797</v>
      </c>
      <c r="AB8" s="1">
        <v>162.47830200195312</v>
      </c>
      <c r="AC8" s="1">
        <v>0.3968099057674408</v>
      </c>
      <c r="AD8" s="1">
        <v>157.13250732421875</v>
      </c>
      <c r="AE8" s="13"/>
      <c r="AF8" s="13"/>
      <c r="AG8" s="13"/>
      <c r="AH8" s="13"/>
      <c r="AI8" s="13"/>
      <c r="AJ8" s="13"/>
      <c r="AK8" s="13"/>
      <c r="AL8" s="1">
        <v>77.40524291992188</v>
      </c>
      <c r="AM8" s="20">
        <v>0.029380859807133675</v>
      </c>
      <c r="AN8" s="35">
        <v>63.08955001831055</v>
      </c>
      <c r="AO8" s="31"/>
      <c r="AP8" s="21"/>
      <c r="AQ8" s="21">
        <v>0.2971644103527069</v>
      </c>
      <c r="AR8" s="19">
        <v>0.0002900085528381169</v>
      </c>
    </row>
    <row r="9" spans="2:47" ht="13.5" customHeight="1" x14ac:dyDescent="0.4">
      <c r="B9" s="17">
        <v>0.45833333333333298</v>
      </c>
      <c r="C9" s="1">
        <v>0.5244501829147339</v>
      </c>
      <c r="D9" s="1">
        <v>21.565759658813477</v>
      </c>
      <c r="E9" s="1">
        <v>414.1048889160156</v>
      </c>
      <c r="F9" s="1">
        <v>0.28203123807907104</v>
      </c>
      <c r="G9" s="1">
        <v>0.10000000149011612</v>
      </c>
      <c r="H9" s="46">
        <v>415.23370361328125</v>
      </c>
      <c r="I9" s="33">
        <v>24.027050018310547</v>
      </c>
      <c r="J9" s="1">
        <v>0.01964697241783142</v>
      </c>
      <c r="K9" s="1">
        <v>40.3211784362793</v>
      </c>
      <c r="L9" s="1">
        <v>1.4029040336608887</v>
      </c>
      <c r="M9" s="1">
        <v>104.93160247802734</v>
      </c>
      <c r="N9" s="1">
        <v>108.31890106201172</v>
      </c>
      <c r="O9" s="1">
        <v>20.19976043701172</v>
      </c>
      <c r="P9" s="1">
        <v>20.08984375</v>
      </c>
      <c r="Q9" s="1">
        <v>1.729436993598938</v>
      </c>
      <c r="R9" s="1">
        <v>1.81591796875</v>
      </c>
      <c r="S9" s="1">
        <v>137.7821044921875</v>
      </c>
      <c r="T9" s="1">
        <v>1.6506259441375732</v>
      </c>
      <c r="U9" s="1">
        <v>0.300541490316391</v>
      </c>
      <c r="V9" s="1">
        <v>0.29875001311302185</v>
      </c>
      <c r="W9" s="1">
        <v>90.64669799804688</v>
      </c>
      <c r="X9" s="53">
        <v>0.5283076167106628</v>
      </c>
      <c r="Y9" s="53" t="s">
        <v>82</v>
      </c>
      <c r="Z9" s="1">
        <v>0.7525463104248047</v>
      </c>
      <c r="AA9" s="1">
        <v>146.4481964111328</v>
      </c>
      <c r="AB9" s="1">
        <v>162.42770385742188</v>
      </c>
      <c r="AC9" s="1">
        <v>0.38632088899612427</v>
      </c>
      <c r="AD9" s="1">
        <v>157.48699951171875</v>
      </c>
      <c r="AE9" s="13"/>
      <c r="AF9" s="13"/>
      <c r="AG9" s="13"/>
      <c r="AH9" s="13"/>
      <c r="AI9" s="13"/>
      <c r="AJ9" s="13"/>
      <c r="AK9" s="13"/>
      <c r="AL9" s="1">
        <v>61.1219596862793</v>
      </c>
      <c r="AM9" s="20">
        <v>0.035490233451128006</v>
      </c>
      <c r="AN9" s="35">
        <v>63.154659271240234</v>
      </c>
      <c r="AO9" s="31"/>
      <c r="AP9" s="21"/>
      <c r="AQ9" s="21">
        <v>0.3012152910232544</v>
      </c>
      <c r="AR9" s="19">
        <v>0.0002881774853449315</v>
      </c>
    </row>
    <row r="10" spans="2:47" ht="13.5" customHeight="1" x14ac:dyDescent="0.4">
      <c r="B10" s="17">
        <v>0.5</v>
      </c>
      <c r="C10" s="1">
        <v>0.4882813096046448</v>
      </c>
      <c r="D10" s="1">
        <v>22.374130249023438</v>
      </c>
      <c r="E10" s="1">
        <v>413.8800964355469</v>
      </c>
      <c r="F10" s="1">
        <v>0.2866796851158142</v>
      </c>
      <c r="G10" s="1">
        <v>0.10000000149011612</v>
      </c>
      <c r="H10" s="46">
        <v>420.79730224609375</v>
      </c>
      <c r="I10" s="33">
        <v>2.050781011581421</v>
      </c>
      <c r="J10" s="1">
        <v>0.017420409247279167</v>
      </c>
      <c r="K10" s="1">
        <v>35.04050827026367</v>
      </c>
      <c r="L10" s="1">
        <v>1.405979037284851</v>
      </c>
      <c r="M10" s="1">
        <v>110.92120361328125</v>
      </c>
      <c r="N10" s="1">
        <v>110.42389678955078</v>
      </c>
      <c r="O10" s="1">
        <v>20.234140396118164</v>
      </c>
      <c r="P10" s="1">
        <v>20.17236328125</v>
      </c>
      <c r="Q10" s="1">
        <v>1.7235870361328125</v>
      </c>
      <c r="R10" s="1">
        <v>1.905029296875</v>
      </c>
      <c r="S10" s="1">
        <v>137.9196014404297</v>
      </c>
      <c r="T10" s="1">
        <v>1.6516380310058594</v>
      </c>
      <c r="U10" s="1">
        <v>0.3003692924976349</v>
      </c>
      <c r="V10" s="1">
        <v>0.30000782012939453</v>
      </c>
      <c r="W10" s="1">
        <v>90.98668670654297</v>
      </c>
      <c r="X10" s="53">
        <v>0.5333712100982666</v>
      </c>
      <c r="Y10" s="53" t="s">
        <v>82</v>
      </c>
      <c r="Z10" s="1">
        <v>0.7464120984077454</v>
      </c>
      <c r="AA10" s="1">
        <v>147.3740997314453</v>
      </c>
      <c r="AB10" s="1">
        <v>162.3769989013672</v>
      </c>
      <c r="AC10" s="1">
        <v>0.39558011293411255</v>
      </c>
      <c r="AD10" s="1">
        <v>157.21209716796875</v>
      </c>
      <c r="AE10" s="13"/>
      <c r="AF10" s="13"/>
      <c r="AG10" s="13"/>
      <c r="AH10" s="13"/>
      <c r="AI10" s="13"/>
      <c r="AJ10" s="13"/>
      <c r="AK10" s="13"/>
      <c r="AL10" s="1">
        <v>30.436199188232422</v>
      </c>
      <c r="AM10" s="20">
        <v>0.03169921785593033</v>
      </c>
      <c r="AN10" s="35">
        <v>63.33189010620117</v>
      </c>
      <c r="AO10" s="31"/>
      <c r="AP10" s="21"/>
      <c r="AQ10" s="21">
        <v>0.29354751110076904</v>
      </c>
      <c r="AR10" s="19">
        <v>0.0002904968278016895</v>
      </c>
    </row>
    <row r="11" spans="2:47" ht="13.5" customHeight="1" x14ac:dyDescent="0.4">
      <c r="B11" s="17">
        <v>0.54166666666666696</v>
      </c>
      <c r="C11" s="1">
        <v>0.6944444179534912</v>
      </c>
      <c r="D11" s="1">
        <v>22.916669845581055</v>
      </c>
      <c r="E11" s="1">
        <v>411.6181945800781</v>
      </c>
      <c r="F11" s="1">
        <v>0.3032500147819519</v>
      </c>
      <c r="G11" s="1">
        <v>0.10000000149011612</v>
      </c>
      <c r="H11" s="46">
        <v>425.75909423828125</v>
      </c>
      <c r="I11" s="33">
        <v>10.53240966796875</v>
      </c>
      <c r="J11" s="1">
        <v>0.02095898427069187</v>
      </c>
      <c r="K11" s="1">
        <v>44.43721008300781</v>
      </c>
      <c r="L11" s="1">
        <v>1.4162869453430176</v>
      </c>
      <c r="M11" s="1">
        <v>105.5176010131836</v>
      </c>
      <c r="N11" s="1">
        <v>107.73290252685547</v>
      </c>
      <c r="O11" s="1">
        <v>19.596569061279297</v>
      </c>
      <c r="P11" s="1">
        <v>20.14794921875</v>
      </c>
      <c r="Q11" s="1">
        <v>1.5767730474472046</v>
      </c>
      <c r="R11" s="1">
        <v>1.7978515625</v>
      </c>
      <c r="S11" s="1">
        <v>137.73150634765625</v>
      </c>
      <c r="T11" s="1">
        <v>1.649865984916687</v>
      </c>
      <c r="U11" s="1">
        <v>0.29378950595855713</v>
      </c>
      <c r="V11" s="1">
        <v>0.29960155487060547</v>
      </c>
      <c r="W11" s="1">
        <v>90.77690887451172</v>
      </c>
      <c r="X11" s="53">
        <v>0.529984176158905</v>
      </c>
      <c r="Y11" s="53" t="s">
        <v>82</v>
      </c>
      <c r="Z11" s="1">
        <v>0.7439814805984497</v>
      </c>
      <c r="AA11" s="1">
        <v>147.55499267578125</v>
      </c>
      <c r="AB11" s="1">
        <v>162.3553009033203</v>
      </c>
      <c r="AC11" s="1">
        <v>0.3924334943294525</v>
      </c>
      <c r="AD11" s="1">
        <v>157.2989044189453</v>
      </c>
      <c r="AE11" s="13">
        <v>34.09000015258789</v>
      </c>
      <c r="AF11" s="13"/>
      <c r="AG11" s="13"/>
      <c r="AH11" s="13">
        <v>14.350000381469727</v>
      </c>
      <c r="AI11" s="13">
        <v>29.020000457763672</v>
      </c>
      <c r="AJ11" s="13">
        <v>11.289999961853027</v>
      </c>
      <c r="AK11" s="13">
        <v>6.980000019073486</v>
      </c>
      <c r="AL11" s="1">
        <v>4.597076892852783</v>
      </c>
      <c r="AM11" s="20">
        <v>0.030259765684604645</v>
      </c>
      <c r="AN11" s="35">
        <v>61.671730041503906</v>
      </c>
      <c r="AO11" s="31"/>
      <c r="AP11" s="21"/>
      <c r="AQ11" s="21">
        <v>0.204210102558136</v>
      </c>
      <c r="AR11" s="19">
        <v>0.00029922486282885075</v>
      </c>
    </row>
    <row r="12" spans="2:47" ht="13.5" customHeight="1" x14ac:dyDescent="0.4">
      <c r="B12" s="17">
        <v>0.58333333333333304</v>
      </c>
      <c r="C12" s="1">
        <v>0.5859375</v>
      </c>
      <c r="D12" s="1">
        <v>23.3398494720459</v>
      </c>
      <c r="E12" s="1">
        <v>411.3273010253906</v>
      </c>
      <c r="F12" s="1">
        <v>0.2922031283378601</v>
      </c>
      <c r="G12" s="1">
        <v>0.10000000149011612</v>
      </c>
      <c r="H12" s="46">
        <v>480.464599609375</v>
      </c>
      <c r="I12" s="33">
        <v>2.506510019302368</v>
      </c>
      <c r="J12" s="1">
        <v>0.019342772662639618</v>
      </c>
      <c r="K12" s="1">
        <v>44.285301208496094</v>
      </c>
      <c r="L12" s="1">
        <v>1.4045319557189941</v>
      </c>
      <c r="M12" s="1">
        <v>110.43289947509766</v>
      </c>
      <c r="N12" s="1">
        <v>109.52690124511719</v>
      </c>
      <c r="O12" s="1">
        <v>20.320390701293945</v>
      </c>
      <c r="P12" s="1">
        <v>20.14404296875</v>
      </c>
      <c r="Q12" s="1">
        <v>1.9145430326461792</v>
      </c>
      <c r="R12" s="1">
        <v>1.841064453125</v>
      </c>
      <c r="S12" s="1">
        <v>138.4114990234375</v>
      </c>
      <c r="T12" s="1">
        <v>1.6450560092926025</v>
      </c>
      <c r="U12" s="1">
        <v>0.2997150123119354</v>
      </c>
      <c r="V12" s="1">
        <v>0.29957813024520874</v>
      </c>
      <c r="W12" s="1">
        <v>90.83477783203125</v>
      </c>
      <c r="X12" s="53">
        <v>0.5304678082466125</v>
      </c>
      <c r="Y12" s="53" t="s">
        <v>82</v>
      </c>
      <c r="Z12" s="1">
        <v>0.7454283237457275</v>
      </c>
      <c r="AA12" s="1">
        <v>147.60560607910156</v>
      </c>
      <c r="AB12" s="1">
        <v>162.4927978515625</v>
      </c>
      <c r="AC12" s="1">
        <v>0.3981119990348816</v>
      </c>
      <c r="AD12" s="1">
        <v>157.55929565429688</v>
      </c>
      <c r="AE12" s="13"/>
      <c r="AF12" s="13"/>
      <c r="AG12" s="13"/>
      <c r="AH12" s="13"/>
      <c r="AI12" s="13"/>
      <c r="AJ12" s="13"/>
      <c r="AK12" s="13"/>
      <c r="AL12" s="1">
        <v>36.212379455566406</v>
      </c>
      <c r="AM12" s="20">
        <v>0.030341796576976776</v>
      </c>
      <c r="AN12" s="35">
        <v>62.78934860229492</v>
      </c>
      <c r="AO12" s="31"/>
      <c r="AP12" s="21"/>
      <c r="AQ12" s="21">
        <v>0.2821904122829437</v>
      </c>
      <c r="AR12" s="19">
        <v>0.00028518677572719753</v>
      </c>
    </row>
    <row r="13" spans="2:47" ht="13.5" customHeight="1" x14ac:dyDescent="0.4">
      <c r="B13" s="17">
        <v>0.625</v>
      </c>
      <c r="C13" s="1">
        <v>0.9223089814186096</v>
      </c>
      <c r="D13" s="1">
        <v>22.770179748535156</v>
      </c>
      <c r="E13" s="1">
        <v>411.31298828125</v>
      </c>
      <c r="F13" s="1">
        <v>0.20519530773162842</v>
      </c>
      <c r="G13" s="1">
        <v>0.10000000149011612</v>
      </c>
      <c r="H13" s="46">
        <v>473.2070007324219</v>
      </c>
      <c r="I13" s="33">
        <v>26.33102035522461</v>
      </c>
      <c r="J13" s="1">
        <v>0.019347168505191803</v>
      </c>
      <c r="K13" s="1">
        <v>44.14786148071289</v>
      </c>
      <c r="L13" s="1">
        <v>1.3946759700775146</v>
      </c>
      <c r="M13" s="1">
        <v>110.09660339355469</v>
      </c>
      <c r="N13" s="1">
        <v>112.4927978515625</v>
      </c>
      <c r="O13" s="1">
        <v>19.92283058166504</v>
      </c>
      <c r="P13" s="1">
        <v>20.11962890625</v>
      </c>
      <c r="Q13" s="1">
        <v>1.6483559608459473</v>
      </c>
      <c r="R13" s="1">
        <v>1.76904296875</v>
      </c>
      <c r="S13" s="1">
        <v>137.55059814453125</v>
      </c>
      <c r="T13" s="1">
        <v>1.6477140188217163</v>
      </c>
      <c r="U13" s="1">
        <v>0.29774558544158936</v>
      </c>
      <c r="V13" s="1">
        <v>0.29924219846725464</v>
      </c>
      <c r="W13" s="1">
        <v>90.22714233398438</v>
      </c>
      <c r="X13" s="53">
        <v>0.5318003296852112</v>
      </c>
      <c r="Y13" s="53" t="s">
        <v>82</v>
      </c>
      <c r="Z13" s="1">
        <v>0.7491899132728577</v>
      </c>
      <c r="AA13" s="1">
        <v>146.79539489746094</v>
      </c>
      <c r="AB13" s="1">
        <v>162.54339599609375</v>
      </c>
      <c r="AC13" s="1">
        <v>0.4035012125968933</v>
      </c>
      <c r="AD13" s="1">
        <v>157.72569274902344</v>
      </c>
      <c r="AE13" s="13"/>
      <c r="AF13" s="13"/>
      <c r="AG13" s="13"/>
      <c r="AH13" s="13"/>
      <c r="AI13" s="13"/>
      <c r="AJ13" s="13"/>
      <c r="AK13" s="13"/>
      <c r="AL13" s="1">
        <v>36.94300079345703</v>
      </c>
      <c r="AM13" s="20">
        <v>0.03130859509110451</v>
      </c>
      <c r="AN13" s="35">
        <v>61.81278991699219</v>
      </c>
      <c r="AO13" s="31"/>
      <c r="AP13" s="21"/>
      <c r="AQ13" s="21">
        <v>0.29456019401550293</v>
      </c>
      <c r="AR13" s="19">
        <v>0.00029208374326117337</v>
      </c>
    </row>
    <row r="14" spans="2:47" ht="13.5" customHeight="1" x14ac:dyDescent="0.4">
      <c r="B14" s="17">
        <v>0.66666666666666696</v>
      </c>
      <c r="C14" s="1">
        <v>1.0054980516433716</v>
      </c>
      <c r="D14" s="1">
        <v>23.399520874023438</v>
      </c>
      <c r="E14" s="1">
        <v>411.315185546875</v>
      </c>
      <c r="F14" s="1">
        <v>0</v>
      </c>
      <c r="G14" s="1">
        <v>0.10000000149011612</v>
      </c>
      <c r="H14" s="46">
        <v>474.2323913574219</v>
      </c>
      <c r="I14" s="33">
        <v>16.887300491333008</v>
      </c>
      <c r="J14" s="1">
        <v>0.01922900415956974</v>
      </c>
      <c r="K14" s="1">
        <v>44.07551956176758</v>
      </c>
      <c r="L14" s="1">
        <v>1.4211699962615967</v>
      </c>
      <c r="M14" s="1">
        <v>110.36239624023438</v>
      </c>
      <c r="N14" s="1">
        <v>114.95950317382812</v>
      </c>
      <c r="O14" s="1">
        <v>21.40774917602539</v>
      </c>
      <c r="P14" s="1">
        <v>20.13623046875</v>
      </c>
      <c r="Q14" s="1">
        <v>2.1422948837280273</v>
      </c>
      <c r="R14" s="1">
        <v>1.556884765625</v>
      </c>
      <c r="S14" s="1">
        <v>137.6446990966797</v>
      </c>
      <c r="T14" s="1">
        <v>1.6020150184631348</v>
      </c>
      <c r="U14" s="1">
        <v>0.3174271881580353</v>
      </c>
      <c r="V14" s="1">
        <v>0.29945313930511475</v>
      </c>
      <c r="W14" s="1">
        <v>91.4858169555664</v>
      </c>
      <c r="X14" s="53">
        <v>0.5282608866691589</v>
      </c>
      <c r="Y14" s="53" t="s">
        <v>82</v>
      </c>
      <c r="Z14" s="1">
        <v>0.7473379969596863</v>
      </c>
      <c r="AA14" s="1">
        <v>149.5153045654297</v>
      </c>
      <c r="AB14" s="1">
        <v>163.33909606933594</v>
      </c>
      <c r="AC14" s="1">
        <v>0.4061414897441864</v>
      </c>
      <c r="AD14" s="1">
        <v>156.69129943847656</v>
      </c>
      <c r="AE14" s="13"/>
      <c r="AF14" s="13"/>
      <c r="AG14" s="13"/>
      <c r="AH14" s="13"/>
      <c r="AI14" s="13"/>
      <c r="AJ14" s="13"/>
      <c r="AK14" s="13"/>
      <c r="AL14" s="1">
        <v>49.323638916015625</v>
      </c>
      <c r="AM14" s="20">
        <v>0.03451953083276749</v>
      </c>
      <c r="AN14" s="35">
        <v>63.32102966308594</v>
      </c>
      <c r="AO14" s="31"/>
      <c r="AP14" s="21"/>
      <c r="AQ14" s="21">
        <v>0.2938368022441864</v>
      </c>
      <c r="AR14" s="19">
        <v>0.00029672239907085896</v>
      </c>
    </row>
    <row r="15" spans="2:47" ht="13.5" customHeight="1" x14ac:dyDescent="0.4">
      <c r="B15" s="17">
        <v>0.70833333333333304</v>
      </c>
      <c r="C15" s="1">
        <v>1.0054980516433716</v>
      </c>
      <c r="D15" s="1">
        <v>24.327259063720703</v>
      </c>
      <c r="E15" s="1">
        <v>413.3699035644531</v>
      </c>
      <c r="F15" s="1">
        <v>0.18057812750339508</v>
      </c>
      <c r="G15" s="1">
        <v>0.10000000149011612</v>
      </c>
      <c r="H15" s="46">
        <v>473.61981201171875</v>
      </c>
      <c r="I15" s="33">
        <v>24.330869674682617</v>
      </c>
      <c r="J15" s="1">
        <v>0.0197749026119709</v>
      </c>
      <c r="K15" s="1">
        <v>44.29253005981445</v>
      </c>
      <c r="L15" s="1">
        <v>1.411133050918579</v>
      </c>
      <c r="M15" s="1">
        <v>110.44920349121094</v>
      </c>
      <c r="N15" s="1">
        <v>113.59230041503906</v>
      </c>
      <c r="O15" s="1">
        <v>20.55738067626953</v>
      </c>
      <c r="P15" s="1">
        <v>20.208984375</v>
      </c>
      <c r="Q15" s="1">
        <v>2.044847011566162</v>
      </c>
      <c r="R15" s="1">
        <v>1.5400390625</v>
      </c>
      <c r="S15" s="1">
        <v>138.23779296875</v>
      </c>
      <c r="T15" s="1">
        <v>1.632902979850769</v>
      </c>
      <c r="U15" s="1">
        <v>0.3040943145751953</v>
      </c>
      <c r="V15" s="1">
        <v>0.30049219727516174</v>
      </c>
      <c r="W15" s="1">
        <v>89.5978012084961</v>
      </c>
      <c r="X15" s="53">
        <v>0.5314056277275085</v>
      </c>
      <c r="Y15" s="53" t="s">
        <v>82</v>
      </c>
      <c r="Z15" s="1">
        <v>0.7521411776542664</v>
      </c>
      <c r="AA15" s="1">
        <v>149.72509765625</v>
      </c>
      <c r="AB15" s="1">
        <v>163.35360717773438</v>
      </c>
      <c r="AC15" s="1">
        <v>0.4058521091938019</v>
      </c>
      <c r="AD15" s="1">
        <v>157.12530517578125</v>
      </c>
      <c r="AE15" s="13"/>
      <c r="AF15" s="13"/>
      <c r="AG15" s="13"/>
      <c r="AH15" s="13"/>
      <c r="AI15" s="13"/>
      <c r="AJ15" s="13"/>
      <c r="AK15" s="13"/>
      <c r="AL15" s="1">
        <v>11.060469627380371</v>
      </c>
      <c r="AM15" s="20">
        <v>0.029531249776482582</v>
      </c>
      <c r="AN15" s="35">
        <v>63.36804962158203</v>
      </c>
      <c r="AO15" s="31"/>
      <c r="AP15" s="21"/>
      <c r="AQ15" s="21">
        <v>0.2923176884651184</v>
      </c>
      <c r="AR15" s="19">
        <v>0.00029208374326117337</v>
      </c>
    </row>
    <row r="16" spans="2:47" ht="13.5" customHeight="1" x14ac:dyDescent="0.4">
      <c r="B16" s="17">
        <v>0.75</v>
      </c>
      <c r="C16" s="1">
        <v>0.7957175970077515</v>
      </c>
      <c r="D16" s="1">
        <v>23.91493034362793</v>
      </c>
      <c r="E16" s="1">
        <v>414.1787109375</v>
      </c>
      <c r="F16" s="1">
        <v>0.3383125066757202</v>
      </c>
      <c r="G16" s="1">
        <v>0.10000000149011612</v>
      </c>
      <c r="H16" s="46">
        <v>478.1227111816406</v>
      </c>
      <c r="I16" s="33">
        <v>22.659870147705078</v>
      </c>
      <c r="J16" s="1">
        <v>0.019776854664087296</v>
      </c>
      <c r="K16" s="1">
        <v>44.350399017333984</v>
      </c>
      <c r="L16" s="1">
        <v>1.396846055984497</v>
      </c>
      <c r="M16" s="1">
        <v>110.32990264892578</v>
      </c>
      <c r="N16" s="1">
        <v>112.94850158691406</v>
      </c>
      <c r="O16" s="1">
        <v>19.4935302734375</v>
      </c>
      <c r="P16" s="1">
        <v>20.0068359375</v>
      </c>
      <c r="Q16" s="1">
        <v>1.4675270318984985</v>
      </c>
      <c r="R16" s="1">
        <v>1.714111328125</v>
      </c>
      <c r="S16" s="1">
        <v>138.40420532226562</v>
      </c>
      <c r="T16" s="1">
        <v>1.6765769720077515</v>
      </c>
      <c r="U16" s="1">
        <v>0.29073628783226013</v>
      </c>
      <c r="V16" s="1">
        <v>0.2975078225135803</v>
      </c>
      <c r="W16" s="1">
        <v>89.42418670654297</v>
      </c>
      <c r="X16" s="53">
        <v>0.5291092991828918</v>
      </c>
      <c r="Y16" s="53" t="s">
        <v>82</v>
      </c>
      <c r="Z16" s="1">
        <v>0.749131977558136</v>
      </c>
      <c r="AA16" s="1">
        <v>150.4196014404297</v>
      </c>
      <c r="AB16" s="1">
        <v>162.67359924316406</v>
      </c>
      <c r="AC16" s="1">
        <v>0.4142794907093048</v>
      </c>
      <c r="AD16" s="1">
        <v>157.73289489746094</v>
      </c>
      <c r="AE16" s="13"/>
      <c r="AF16" s="13"/>
      <c r="AG16" s="13"/>
      <c r="AH16" s="13"/>
      <c r="AI16" s="13"/>
      <c r="AJ16" s="13"/>
      <c r="AK16" s="13"/>
      <c r="AL16" s="1">
        <v>106.3187026977539</v>
      </c>
      <c r="AM16" s="20">
        <v>0.020699217915534973</v>
      </c>
      <c r="AN16" s="35">
        <v>62.18532943725586</v>
      </c>
      <c r="AO16" s="31"/>
      <c r="AP16" s="21"/>
      <c r="AQ16" s="21">
        <v>0.2819010019302368</v>
      </c>
      <c r="AR16" s="19">
        <v>0.0002878112718462944</v>
      </c>
    </row>
    <row r="17" spans="2:44" ht="13.5" customHeight="1" x14ac:dyDescent="0.4">
      <c r="B17" s="17">
        <v>0.79166666666666696</v>
      </c>
      <c r="C17" s="1">
        <v>0.6112558245658875</v>
      </c>
      <c r="D17" s="1">
        <v>23.84440040588379</v>
      </c>
      <c r="E17" s="1">
        <v>412.91729736328125</v>
      </c>
      <c r="F17" s="1">
        <v>0.337765634059906</v>
      </c>
      <c r="G17" s="1">
        <v>0.10000000149011612</v>
      </c>
      <c r="H17" s="46">
        <v>479.40301513671875</v>
      </c>
      <c r="I17" s="33">
        <v>2.455873966217041</v>
      </c>
      <c r="J17" s="1">
        <v>0.019551269710063934</v>
      </c>
      <c r="K17" s="1">
        <v>44.00318145751953</v>
      </c>
      <c r="L17" s="1">
        <v>1.3929580450057983</v>
      </c>
      <c r="M17" s="1">
        <v>108.6426010131836</v>
      </c>
      <c r="N17" s="1">
        <v>112.79660034179688</v>
      </c>
      <c r="O17" s="1">
        <v>20.713930130004883</v>
      </c>
      <c r="P17" s="1">
        <v>20.10009765625</v>
      </c>
      <c r="Q17" s="1">
        <v>1.674556016921997</v>
      </c>
      <c r="R17" s="1">
        <v>1.69189453125</v>
      </c>
      <c r="S17" s="1">
        <v>137.51449584960938</v>
      </c>
      <c r="T17" s="1">
        <v>1.6922739744186401</v>
      </c>
      <c r="U17" s="1">
        <v>0.3062100112438202</v>
      </c>
      <c r="V17" s="1">
        <v>0.29892969131469727</v>
      </c>
      <c r="W17" s="1">
        <v>91.76793670654297</v>
      </c>
      <c r="X17" s="53">
        <v>0.5299630761146545</v>
      </c>
      <c r="Y17" s="53" t="s">
        <v>82</v>
      </c>
      <c r="Z17" s="1">
        <v>0.7498263716697693</v>
      </c>
      <c r="AA17" s="1">
        <v>147.518798828125</v>
      </c>
      <c r="AB17" s="1">
        <v>162.56509399414062</v>
      </c>
      <c r="AC17" s="1">
        <v>0.3961949944496155</v>
      </c>
      <c r="AD17" s="1">
        <v>157.43629455566406</v>
      </c>
      <c r="AE17" s="13"/>
      <c r="AF17" s="13"/>
      <c r="AG17" s="13"/>
      <c r="AH17" s="13"/>
      <c r="AI17" s="13"/>
      <c r="AJ17" s="13"/>
      <c r="AK17" s="13"/>
      <c r="AL17" s="1">
        <v>1.4793109893798828</v>
      </c>
      <c r="AM17" s="20">
        <v>0.02336132898926735</v>
      </c>
      <c r="AN17" s="35">
        <v>60.275611877441406</v>
      </c>
      <c r="AO17" s="31"/>
      <c r="AP17" s="21"/>
      <c r="AQ17" s="21">
        <v>0.3563368022441864</v>
      </c>
      <c r="AR17" s="19">
        <v>0.0002995910763274878</v>
      </c>
    </row>
    <row r="18" spans="2:44" ht="13.5" customHeight="1" x14ac:dyDescent="0.4">
      <c r="B18" s="50">
        <v>0.83333333333333404</v>
      </c>
      <c r="C18" s="6">
        <v>0.4557291865348816</v>
      </c>
      <c r="D18" s="6">
        <v>23.079429626464844</v>
      </c>
      <c r="E18" s="6">
        <v>412.65240478515625</v>
      </c>
      <c r="F18" s="6">
        <v>0.3373749852180481</v>
      </c>
      <c r="G18" s="6">
        <v>0.10000000149011612</v>
      </c>
      <c r="H18" s="47">
        <v>476.7947082519531</v>
      </c>
      <c r="I18" s="34">
        <v>24.22960090637207</v>
      </c>
      <c r="J18" s="6">
        <v>0.01976904273033142</v>
      </c>
      <c r="K18" s="6">
        <v>44.401039123535156</v>
      </c>
      <c r="L18" s="6">
        <v>1.3993779420852661</v>
      </c>
      <c r="M18" s="6">
        <v>110.6010971069336</v>
      </c>
      <c r="N18" s="6">
        <v>111.45110321044922</v>
      </c>
      <c r="O18" s="6">
        <v>20.107290267944336</v>
      </c>
      <c r="P18" s="6">
        <v>20.208984375</v>
      </c>
      <c r="Q18" s="6">
        <v>1.6326559782028198</v>
      </c>
      <c r="R18" s="6">
        <v>1.7421875</v>
      </c>
      <c r="S18" s="6">
        <v>138.09320068359375</v>
      </c>
      <c r="T18" s="6">
        <v>1.689236044883728</v>
      </c>
      <c r="U18" s="6">
        <v>0.30141720175743103</v>
      </c>
      <c r="V18" s="6">
        <v>0.30055469274520874</v>
      </c>
      <c r="W18" s="6">
        <v>85.95919799804688</v>
      </c>
      <c r="X18" s="54">
        <v>0.5290802717208862</v>
      </c>
      <c r="Y18" s="54">
        <v>0.5291606187820435</v>
      </c>
      <c r="Z18" s="6">
        <v>0.7452545762062073</v>
      </c>
      <c r="AA18" s="6">
        <v>141.88369750976562</v>
      </c>
      <c r="AB18" s="6">
        <v>162.12379455566406</v>
      </c>
      <c r="AC18" s="6">
        <v>0.40165650844573975</v>
      </c>
      <c r="AD18" s="6">
        <v>158.00059509277344</v>
      </c>
      <c r="AE18" s="14">
        <v>32.939998626708984</v>
      </c>
      <c r="AF18" s="14"/>
      <c r="AG18" s="14"/>
      <c r="AH18" s="14">
        <v>14.630000114440918</v>
      </c>
      <c r="AI18" s="14"/>
      <c r="AJ18" s="14"/>
      <c r="AK18" s="14">
        <v>7.139999866485596</v>
      </c>
      <c r="AL18" s="6">
        <v>0</v>
      </c>
      <c r="AM18" s="11">
        <v>0.02937890589237213</v>
      </c>
      <c r="AN18" s="36">
        <v>61.86343002319336</v>
      </c>
      <c r="AO18" s="31"/>
      <c r="AP18" s="21"/>
      <c r="AQ18" s="21">
        <v>0.3215422034263611</v>
      </c>
      <c r="AR18" s="27">
        <v>0.00028540039784274995</v>
      </c>
    </row>
    <row r="19" spans="2:44" ht="18" customHeight="1" x14ac:dyDescent="0.4">
      <c r="B19" s="148" t="s">
        <v>181</v>
      </c>
      <c r="C19" s="43" t="s">
        <v>168</v>
      </c>
      <c r="D19" s="43" t="s">
        <v>171</v>
      </c>
      <c r="E19" s="163" t="s">
        <v>17</v>
      </c>
      <c r="F19" s="164"/>
      <c r="G19" s="165"/>
      <c r="H19" s="166" t="s">
        <v>108</v>
      </c>
      <c r="I19" s="164"/>
      <c r="J19" s="164"/>
      <c r="K19" s="164"/>
      <c r="L19" s="167"/>
      <c r="M19" s="168" t="s">
        <v>123</v>
      </c>
      <c r="N19" s="164"/>
      <c r="O19" s="164"/>
      <c r="P19" s="164"/>
      <c r="Q19" s="165"/>
      <c r="R19" s="166" t="s">
        <v>147</v>
      </c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5"/>
      <c r="AG19" s="169" t="s">
        <v>24</v>
      </c>
      <c r="AH19" s="165"/>
      <c r="AI19" s="145" t="s">
        <v>173</v>
      </c>
      <c r="AJ19" s="146"/>
      <c r="AK19" s="146"/>
      <c r="AL19" s="146"/>
      <c r="AM19" s="147"/>
      <c r="AN19" s="169" t="s">
        <v>47</v>
      </c>
      <c r="AO19" s="170"/>
      <c r="AP19" s="164" t="s">
        <v>180</v>
      </c>
      <c r="AQ19" s="171"/>
      <c r="AR19" s="172"/>
    </row>
    <row r="20" spans="2:44" ht="20.1" customHeight="1" x14ac:dyDescent="0.4">
      <c r="B20" s="149"/>
      <c r="C20" s="3" t="s">
        <v>169</v>
      </c>
      <c r="D20" s="3" t="s">
        <v>113</v>
      </c>
      <c r="E20" s="3" t="s">
        <v>15</v>
      </c>
      <c r="F20" s="143" t="s">
        <v>100</v>
      </c>
      <c r="G20" s="144"/>
      <c r="H20" s="4" t="s">
        <v>103</v>
      </c>
      <c r="I20" s="4" t="s">
        <v>105</v>
      </c>
      <c r="J20" s="2" t="s">
        <v>106</v>
      </c>
      <c r="K20" s="1" t="s">
        <v>107</v>
      </c>
      <c r="L20" s="44" t="s">
        <v>115</v>
      </c>
      <c r="M20" s="45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0" t="s">
        <v>145</v>
      </c>
      <c r="AD20" s="157" t="s">
        <v>148</v>
      </c>
      <c r="AE20" s="144"/>
      <c r="AF20" s="20" t="s">
        <v>151</v>
      </c>
      <c r="AG20" s="20" t="s">
        <v>153</v>
      </c>
      <c r="AH20" s="20" t="s">
        <v>155</v>
      </c>
      <c r="AI20" s="138" t="s">
        <v>89</v>
      </c>
      <c r="AJ20" s="139"/>
      <c r="AK20" s="138" t="s">
        <v>92</v>
      </c>
      <c r="AL20" s="139"/>
      <c r="AM20" s="28" t="s">
        <v>172</v>
      </c>
      <c r="AN20" s="20" t="s">
        <v>12</v>
      </c>
      <c r="AO20" s="35" t="s">
        <v>15</v>
      </c>
      <c r="AP20" s="31" t="s">
        <v>36</v>
      </c>
      <c r="AQ20" s="21" t="s">
        <v>35</v>
      </c>
      <c r="AR20" s="19" t="s">
        <v>178</v>
      </c>
    </row>
    <row r="21" spans="2:44" ht="22" customHeight="1" x14ac:dyDescent="0.4">
      <c r="B21" s="149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44" t="s">
        <v>82</v>
      </c>
      <c r="M21" s="45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0" t="s">
        <v>146</v>
      </c>
      <c r="AD21" s="20" t="s">
        <v>149</v>
      </c>
      <c r="AE21" s="20" t="s">
        <v>150</v>
      </c>
      <c r="AF21" s="20" t="s">
        <v>152</v>
      </c>
      <c r="AG21" s="20" t="s">
        <v>154</v>
      </c>
      <c r="AH21" s="20" t="s">
        <v>156</v>
      </c>
      <c r="AI21" s="12" t="s">
        <v>90</v>
      </c>
      <c r="AJ21" s="12" t="s">
        <v>91</v>
      </c>
      <c r="AK21" s="12" t="s">
        <v>93</v>
      </c>
      <c r="AL21" s="15" t="s">
        <v>94</v>
      </c>
      <c r="AM21" s="15" t="s">
        <v>94</v>
      </c>
      <c r="AN21" s="20" t="s">
        <v>174</v>
      </c>
      <c r="AO21" s="35" t="s">
        <v>175</v>
      </c>
      <c r="AP21" s="31" t="s">
        <v>176</v>
      </c>
      <c r="AQ21" s="21" t="s">
        <v>177</v>
      </c>
      <c r="AR21" s="19" t="s">
        <v>179</v>
      </c>
    </row>
    <row r="22" spans="2:44" ht="13.5" customHeight="1" x14ac:dyDescent="0.4">
      <c r="B22" s="17">
        <v>0.33333333333333331</v>
      </c>
      <c r="C22" s="105">
        <v>-79.81771087646484</v>
      </c>
      <c r="D22" s="105">
        <v>-80.0274887084961</v>
      </c>
      <c r="E22" s="105">
        <v>103.12860107421875</v>
      </c>
      <c r="F22" s="105">
        <v>0.10069440305233002</v>
      </c>
      <c r="G22" s="105"/>
      <c r="H22" s="105"/>
      <c r="I22" s="105"/>
      <c r="J22" s="105"/>
      <c r="K22" s="105"/>
      <c r="L22" s="106"/>
      <c r="M22" s="107">
        <v>77.57884979248047</v>
      </c>
      <c r="N22" s="105">
        <v>47.81901168823242</v>
      </c>
      <c r="O22" s="105">
        <v>39</v>
      </c>
      <c r="P22" s="105">
        <v>0</v>
      </c>
      <c r="Q22" s="105">
        <v>3.519097089767456</v>
      </c>
      <c r="R22" s="105">
        <v>19.28529930114746</v>
      </c>
      <c r="S22" s="108">
        <v>93.85127258300781</v>
      </c>
      <c r="T22" s="108">
        <v>0</v>
      </c>
      <c r="U22" s="108">
        <v>8.016855239868164</v>
      </c>
      <c r="V22" s="108">
        <v>45.827911376953125</v>
      </c>
      <c r="W22" s="108">
        <v>75.47200775146484</v>
      </c>
      <c r="X22" s="108">
        <v>30.200000762939453</v>
      </c>
      <c r="Y22" s="108">
        <v>80.03399658203125</v>
      </c>
      <c r="Z22" s="108">
        <v>13.61400032043457</v>
      </c>
      <c r="AA22" s="108">
        <v>18.690319061279297</v>
      </c>
      <c r="AB22" s="108"/>
      <c r="AC22" s="109"/>
      <c r="AD22" s="109">
        <v>1.548285961151123</v>
      </c>
      <c r="AE22" s="109"/>
      <c r="AF22" s="109"/>
      <c r="AG22" s="109">
        <v>35.84346008300781</v>
      </c>
      <c r="AH22" s="109"/>
      <c r="AI22" s="110"/>
      <c r="AJ22" s="110"/>
      <c r="AK22" s="110"/>
      <c r="AL22" s="110"/>
      <c r="AM22" s="110"/>
      <c r="AN22" s="109">
        <v>34.20138931274414</v>
      </c>
      <c r="AO22" s="111">
        <v>50</v>
      </c>
      <c r="AP22" s="112">
        <v>20.417390823364258</v>
      </c>
      <c r="AQ22" s="113">
        <v>39.431419372558594</v>
      </c>
      <c r="AR22" s="114">
        <v>0.0651092529296875</v>
      </c>
    </row>
    <row r="23" spans="2:44" ht="13.5" customHeight="1" x14ac:dyDescent="0.4">
      <c r="B23" s="17">
        <v>0.375</v>
      </c>
      <c r="C23" s="105">
        <v>-79.64409637451172</v>
      </c>
      <c r="D23" s="105">
        <v>-79.94068145751953</v>
      </c>
      <c r="E23" s="105">
        <v>103.125</v>
      </c>
      <c r="F23" s="105">
        <v>0.10047739744186401</v>
      </c>
      <c r="G23" s="105">
        <v>9.280395170208067E-05</v>
      </c>
      <c r="H23" s="105"/>
      <c r="I23" s="105"/>
      <c r="J23" s="105"/>
      <c r="K23" s="105"/>
      <c r="L23" s="106"/>
      <c r="M23" s="107">
        <v>78.45052337646484</v>
      </c>
      <c r="N23" s="105">
        <v>47.703269958496094</v>
      </c>
      <c r="O23" s="105">
        <v>39</v>
      </c>
      <c r="P23" s="105">
        <v>0</v>
      </c>
      <c r="Q23" s="105">
        <v>3.312933921813965</v>
      </c>
      <c r="R23" s="105">
        <v>19.84954071044922</v>
      </c>
      <c r="S23" s="108">
        <v>94.56379699707031</v>
      </c>
      <c r="T23" s="108">
        <v>39</v>
      </c>
      <c r="U23" s="108">
        <v>89.64301300048828</v>
      </c>
      <c r="V23" s="108">
        <v>16.878259658813477</v>
      </c>
      <c r="W23" s="108">
        <v>19.83506965637207</v>
      </c>
      <c r="X23" s="108">
        <v>0</v>
      </c>
      <c r="Y23" s="108">
        <v>0</v>
      </c>
      <c r="Z23" s="108">
        <v>15.033639907836914</v>
      </c>
      <c r="AA23" s="108">
        <v>97.53690338134766</v>
      </c>
      <c r="AB23" s="108"/>
      <c r="AC23" s="109"/>
      <c r="AD23" s="109">
        <v>1.548285961151123</v>
      </c>
      <c r="AE23" s="109">
        <v>0.0012499999720603228</v>
      </c>
      <c r="AF23" s="109"/>
      <c r="AG23" s="109">
        <v>15.082469940185547</v>
      </c>
      <c r="AH23" s="109"/>
      <c r="AI23" s="110"/>
      <c r="AJ23" s="110"/>
      <c r="AK23" s="110"/>
      <c r="AL23" s="110"/>
      <c r="AM23" s="110"/>
      <c r="AN23" s="109">
        <v>35.30093002319336</v>
      </c>
      <c r="AO23" s="111">
        <v>50</v>
      </c>
      <c r="AP23" s="112">
        <v>20.76099967956543</v>
      </c>
      <c r="AQ23" s="113">
        <v>39.431419372558594</v>
      </c>
      <c r="AR23" s="114">
        <v>0.075958251953125</v>
      </c>
    </row>
    <row r="24" spans="2:44" ht="13.5" customHeight="1" x14ac:dyDescent="0.4">
      <c r="B24" s="17">
        <v>0.41666666666666702</v>
      </c>
      <c r="C24" s="105">
        <v>-79.28240966796875</v>
      </c>
      <c r="D24" s="105">
        <v>-79.58622741699219</v>
      </c>
      <c r="E24" s="105">
        <v>103.1322021484375</v>
      </c>
      <c r="F24" s="105">
        <v>0.10366030037403107</v>
      </c>
      <c r="G24" s="105">
        <v>9.429931378690526E-05</v>
      </c>
      <c r="H24" s="105"/>
      <c r="I24" s="105"/>
      <c r="J24" s="105"/>
      <c r="K24" s="105"/>
      <c r="L24" s="106"/>
      <c r="M24" s="107">
        <v>79.20645141601562</v>
      </c>
      <c r="N24" s="105">
        <v>47.692420959472656</v>
      </c>
      <c r="O24" s="105">
        <v>39</v>
      </c>
      <c r="P24" s="105">
        <v>0</v>
      </c>
      <c r="Q24" s="105">
        <v>3.417968988418579</v>
      </c>
      <c r="R24" s="105">
        <v>20.78993034362793</v>
      </c>
      <c r="S24" s="108">
        <v>91.72453308105469</v>
      </c>
      <c r="T24" s="108">
        <v>33</v>
      </c>
      <c r="U24" s="108">
        <v>75.61071014404297</v>
      </c>
      <c r="V24" s="108">
        <v>17.41537094116211</v>
      </c>
      <c r="W24" s="108">
        <v>20.632600784301758</v>
      </c>
      <c r="X24" s="108">
        <v>0</v>
      </c>
      <c r="Y24" s="108">
        <v>0</v>
      </c>
      <c r="Z24" s="108">
        <v>17.162179946899414</v>
      </c>
      <c r="AA24" s="108">
        <v>62.15277862548828</v>
      </c>
      <c r="AB24" s="108"/>
      <c r="AC24" s="109"/>
      <c r="AD24" s="109">
        <v>1.5483399629592896</v>
      </c>
      <c r="AE24" s="109">
        <v>0.0010989990551024675</v>
      </c>
      <c r="AF24" s="109"/>
      <c r="AG24" s="109">
        <v>17.140480041503906</v>
      </c>
      <c r="AH24" s="109"/>
      <c r="AI24" s="110"/>
      <c r="AJ24" s="110"/>
      <c r="AK24" s="110"/>
      <c r="AL24" s="110"/>
      <c r="AM24" s="110"/>
      <c r="AN24" s="109">
        <v>32.89929962158203</v>
      </c>
      <c r="AO24" s="111">
        <v>50</v>
      </c>
      <c r="AP24" s="112">
        <v>21.204069137573242</v>
      </c>
      <c r="AQ24" s="113">
        <v>39.431419372558594</v>
      </c>
      <c r="AR24" s="114">
        <v>0.075958251953125</v>
      </c>
    </row>
    <row r="25" spans="2:44" ht="13.5" customHeight="1" x14ac:dyDescent="0.4">
      <c r="B25" s="17">
        <v>0.45833333333333298</v>
      </c>
      <c r="C25" s="105">
        <v>-79.60069274902344</v>
      </c>
      <c r="D25" s="105">
        <v>-79.79601287841797</v>
      </c>
      <c r="E25" s="105">
        <v>103.12860107421875</v>
      </c>
      <c r="F25" s="105">
        <v>0.0978732630610466</v>
      </c>
      <c r="G25" s="105">
        <v>9.368896280648187E-05</v>
      </c>
      <c r="H25" s="105"/>
      <c r="I25" s="105"/>
      <c r="J25" s="105"/>
      <c r="K25" s="105"/>
      <c r="L25" s="106"/>
      <c r="M25" s="107">
        <v>77.4884262084961</v>
      </c>
      <c r="N25" s="105">
        <v>47.084781646728516</v>
      </c>
      <c r="O25" s="105">
        <v>39</v>
      </c>
      <c r="P25" s="105">
        <v>0</v>
      </c>
      <c r="Q25" s="105">
        <v>3.2404510974884033</v>
      </c>
      <c r="R25" s="105">
        <v>20.623550415039062</v>
      </c>
      <c r="S25" s="108">
        <v>94.78443145751953</v>
      </c>
      <c r="T25" s="108">
        <v>33</v>
      </c>
      <c r="U25" s="108">
        <v>75.69480895996094</v>
      </c>
      <c r="V25" s="108">
        <v>17.078990936279297</v>
      </c>
      <c r="W25" s="108">
        <v>20.30164909362793</v>
      </c>
      <c r="X25" s="108">
        <v>0</v>
      </c>
      <c r="Y25" s="108">
        <v>0</v>
      </c>
      <c r="Z25" s="108">
        <v>23.853439331054688</v>
      </c>
      <c r="AA25" s="108">
        <v>46.294490814208984</v>
      </c>
      <c r="AB25" s="108"/>
      <c r="AC25" s="109"/>
      <c r="AD25" s="109">
        <v>1.5483399629592896</v>
      </c>
      <c r="AE25" s="109">
        <v>0.0013439941685646772</v>
      </c>
      <c r="AF25" s="109"/>
      <c r="AG25" s="109">
        <v>20.44632911682129</v>
      </c>
      <c r="AH25" s="109"/>
      <c r="AI25" s="110"/>
      <c r="AJ25" s="110"/>
      <c r="AK25" s="110"/>
      <c r="AL25" s="110"/>
      <c r="AM25" s="110"/>
      <c r="AN25" s="109">
        <v>41.63772964477539</v>
      </c>
      <c r="AO25" s="111">
        <v>50</v>
      </c>
      <c r="AP25" s="112">
        <v>21.64712905883789</v>
      </c>
      <c r="AQ25" s="113">
        <v>39.431419372558594</v>
      </c>
      <c r="AR25" s="114">
        <v>0.075958251953125</v>
      </c>
    </row>
    <row r="26" spans="2:44" ht="13.5" customHeight="1" x14ac:dyDescent="0.4">
      <c r="B26" s="17">
        <v>0.5</v>
      </c>
      <c r="C26" s="105">
        <v>-79.39814758300781</v>
      </c>
      <c r="D26" s="105">
        <v>-79.60069274902344</v>
      </c>
      <c r="E26" s="105">
        <v>103.1322021484375</v>
      </c>
      <c r="F26" s="105">
        <v>0.10568580031394958</v>
      </c>
      <c r="G26" s="105">
        <v>8.970642375061288E-05</v>
      </c>
      <c r="H26" s="105"/>
      <c r="I26" s="105"/>
      <c r="J26" s="105"/>
      <c r="K26" s="105"/>
      <c r="L26" s="106"/>
      <c r="M26" s="107">
        <v>77.91883850097656</v>
      </c>
      <c r="N26" s="105">
        <v>47.1788215637207</v>
      </c>
      <c r="O26" s="105">
        <v>39</v>
      </c>
      <c r="P26" s="105">
        <v>0</v>
      </c>
      <c r="Q26" s="105">
        <v>3.280816078186035</v>
      </c>
      <c r="R26" s="105">
        <v>20.48611068725586</v>
      </c>
      <c r="S26" s="108">
        <v>93.84765625</v>
      </c>
      <c r="T26" s="108">
        <v>33</v>
      </c>
      <c r="U26" s="108">
        <v>76.00875091552734</v>
      </c>
      <c r="V26" s="108">
        <v>17.051870346069336</v>
      </c>
      <c r="W26" s="108">
        <v>20.14974021911621</v>
      </c>
      <c r="X26" s="108">
        <v>0</v>
      </c>
      <c r="Y26" s="108">
        <v>0</v>
      </c>
      <c r="Z26" s="108">
        <v>29.05816078186035</v>
      </c>
      <c r="AA26" s="108">
        <v>55.15951156616211</v>
      </c>
      <c r="AB26" s="108"/>
      <c r="AC26" s="109"/>
      <c r="AD26" s="109">
        <v>1.548503041267395</v>
      </c>
      <c r="AE26" s="109">
        <v>0.0011669922387227416</v>
      </c>
      <c r="AF26" s="109"/>
      <c r="AG26" s="109">
        <v>20.750139236450195</v>
      </c>
      <c r="AH26" s="109"/>
      <c r="AI26" s="110"/>
      <c r="AJ26" s="110"/>
      <c r="AK26" s="110"/>
      <c r="AL26" s="110"/>
      <c r="AM26" s="110"/>
      <c r="AN26" s="109">
        <v>51.00550079345703</v>
      </c>
      <c r="AO26" s="111">
        <v>50</v>
      </c>
      <c r="AP26" s="112">
        <v>22.162540435791016</v>
      </c>
      <c r="AQ26" s="113">
        <v>39.431419372558594</v>
      </c>
      <c r="AR26" s="114">
        <v>0.0868072509765625</v>
      </c>
    </row>
    <row r="27" spans="2:44" ht="13.5" customHeight="1" x14ac:dyDescent="0.4">
      <c r="B27" s="17">
        <v>0.54166666666666596</v>
      </c>
      <c r="C27" s="105">
        <v>-57.3350715637207</v>
      </c>
      <c r="D27" s="105">
        <v>-57.190399169921875</v>
      </c>
      <c r="E27" s="105">
        <v>22.131799697875977</v>
      </c>
      <c r="F27" s="105">
        <v>0.049406830221414566</v>
      </c>
      <c r="G27" s="105">
        <v>8.76007106853649E-05</v>
      </c>
      <c r="H27" s="105"/>
      <c r="I27" s="105"/>
      <c r="J27" s="105"/>
      <c r="K27" s="105"/>
      <c r="L27" s="106"/>
      <c r="M27" s="107">
        <v>77.50289154052734</v>
      </c>
      <c r="N27" s="105">
        <v>47.28371047973633</v>
      </c>
      <c r="O27" s="105">
        <v>39</v>
      </c>
      <c r="P27" s="105">
        <v>0</v>
      </c>
      <c r="Q27" s="105">
        <v>3.304687976837158</v>
      </c>
      <c r="R27" s="105">
        <v>20.62717056274414</v>
      </c>
      <c r="S27" s="108">
        <v>90.52734375</v>
      </c>
      <c r="T27" s="108">
        <v>0</v>
      </c>
      <c r="U27" s="108">
        <v>0</v>
      </c>
      <c r="V27" s="108">
        <v>17.344839096069336</v>
      </c>
      <c r="W27" s="108">
        <v>21.842449188232422</v>
      </c>
      <c r="X27" s="108">
        <v>29</v>
      </c>
      <c r="Y27" s="108">
        <v>77.2140884399414</v>
      </c>
      <c r="Z27" s="108">
        <v>17.388240814208984</v>
      </c>
      <c r="AA27" s="108">
        <v>20.166019439697266</v>
      </c>
      <c r="AB27" s="108"/>
      <c r="AC27" s="109"/>
      <c r="AD27" s="109">
        <v>1.5483399629592896</v>
      </c>
      <c r="AE27" s="109">
        <v>0.0010180664248764515</v>
      </c>
      <c r="AF27" s="109"/>
      <c r="AG27" s="109">
        <v>17.071760177612305</v>
      </c>
      <c r="AH27" s="109"/>
      <c r="AI27" s="110"/>
      <c r="AJ27" s="110"/>
      <c r="AK27" s="110"/>
      <c r="AL27" s="110"/>
      <c r="AM27" s="110"/>
      <c r="AN27" s="109">
        <v>51.150169372558594</v>
      </c>
      <c r="AO27" s="111">
        <v>50</v>
      </c>
      <c r="AP27" s="112">
        <v>22.596569061279297</v>
      </c>
      <c r="AQ27" s="113">
        <v>39.431419372558594</v>
      </c>
      <c r="AR27" s="114">
        <v>0.09766387939453125</v>
      </c>
    </row>
    <row r="28" spans="2:44" ht="13.5" customHeight="1" x14ac:dyDescent="0.4">
      <c r="B28" s="17">
        <v>0.58333333333333304</v>
      </c>
      <c r="C28" s="105">
        <v>-79.6079330444336</v>
      </c>
      <c r="D28" s="105">
        <v>-79.6079330444336</v>
      </c>
      <c r="E28" s="105">
        <v>103.13580322265625</v>
      </c>
      <c r="F28" s="105">
        <v>0.0787760391831398</v>
      </c>
      <c r="G28" s="105">
        <v>8.229065133491531E-05</v>
      </c>
      <c r="H28" s="105"/>
      <c r="I28" s="105"/>
      <c r="J28" s="105"/>
      <c r="K28" s="105"/>
      <c r="L28" s="106"/>
      <c r="M28" s="107">
        <v>81.63339233398438</v>
      </c>
      <c r="N28" s="105">
        <v>46.92924880981445</v>
      </c>
      <c r="O28" s="105">
        <v>39</v>
      </c>
      <c r="P28" s="105">
        <v>0</v>
      </c>
      <c r="Q28" s="105">
        <v>3.4010419845581055</v>
      </c>
      <c r="R28" s="105">
        <v>20.034000396728516</v>
      </c>
      <c r="S28" s="108">
        <v>94.74102783203125</v>
      </c>
      <c r="T28" s="108">
        <v>0</v>
      </c>
      <c r="U28" s="108">
        <v>0</v>
      </c>
      <c r="V28" s="108">
        <v>15.435110092163086</v>
      </c>
      <c r="W28" s="108">
        <v>24.59309959411621</v>
      </c>
      <c r="X28" s="108">
        <v>29</v>
      </c>
      <c r="Y28" s="108">
        <v>77.29817962646484</v>
      </c>
      <c r="Z28" s="108">
        <v>16.760709762573242</v>
      </c>
      <c r="AA28" s="108">
        <v>19.498699188232422</v>
      </c>
      <c r="AB28" s="108"/>
      <c r="AC28" s="109"/>
      <c r="AD28" s="109">
        <v>1.5481230020523071</v>
      </c>
      <c r="AE28" s="109">
        <v>0.0010129394941031933</v>
      </c>
      <c r="AF28" s="109"/>
      <c r="AG28" s="109">
        <v>14.84375</v>
      </c>
      <c r="AH28" s="109"/>
      <c r="AI28" s="110"/>
      <c r="AJ28" s="110"/>
      <c r="AK28" s="110"/>
      <c r="AL28" s="110"/>
      <c r="AM28" s="110"/>
      <c r="AN28" s="109">
        <v>42.71556091308594</v>
      </c>
      <c r="AO28" s="111">
        <v>50</v>
      </c>
      <c r="AP28" s="112">
        <v>23.10293960571289</v>
      </c>
      <c r="AQ28" s="113">
        <v>39.431419372558594</v>
      </c>
      <c r="AR28" s="114">
        <v>0.075958251953125</v>
      </c>
    </row>
    <row r="29" spans="2:44" ht="13.5" customHeight="1" x14ac:dyDescent="0.4">
      <c r="B29" s="17">
        <v>0.625</v>
      </c>
      <c r="C29" s="105">
        <v>-79.56452941894531</v>
      </c>
      <c r="D29" s="105">
        <v>-79.43431854248047</v>
      </c>
      <c r="E29" s="105">
        <v>103.1322021484375</v>
      </c>
      <c r="F29" s="105">
        <v>0.07913774251937866</v>
      </c>
      <c r="G29" s="105">
        <v>7.681274291826412E-05</v>
      </c>
      <c r="H29" s="105"/>
      <c r="I29" s="105"/>
      <c r="J29" s="105"/>
      <c r="K29" s="105"/>
      <c r="L29" s="106"/>
      <c r="M29" s="107">
        <v>77.19184112548828</v>
      </c>
      <c r="N29" s="105">
        <v>46.799049377441406</v>
      </c>
      <c r="O29" s="105">
        <v>39</v>
      </c>
      <c r="P29" s="105">
        <v>0</v>
      </c>
      <c r="Q29" s="105">
        <v>3.280381917953491</v>
      </c>
      <c r="R29" s="105">
        <v>20.037609100341797</v>
      </c>
      <c r="S29" s="108">
        <v>90.9107437133789</v>
      </c>
      <c r="T29" s="108">
        <v>0</v>
      </c>
      <c r="U29" s="108">
        <v>0</v>
      </c>
      <c r="V29" s="108">
        <v>17.681209564208984</v>
      </c>
      <c r="W29" s="108">
        <v>26.72525978088379</v>
      </c>
      <c r="X29" s="108">
        <v>29.5</v>
      </c>
      <c r="Y29" s="108">
        <v>78.84548950195312</v>
      </c>
      <c r="Z29" s="108">
        <v>16.731769561767578</v>
      </c>
      <c r="AA29" s="108">
        <v>19.401039123535156</v>
      </c>
      <c r="AB29" s="108"/>
      <c r="AC29" s="109"/>
      <c r="AD29" s="109">
        <v>0</v>
      </c>
      <c r="AE29" s="109">
        <v>0.0011369629064574838</v>
      </c>
      <c r="AF29" s="109"/>
      <c r="AG29" s="109">
        <v>15.831159591674805</v>
      </c>
      <c r="AH29" s="109"/>
      <c r="AI29" s="110"/>
      <c r="AJ29" s="110"/>
      <c r="AK29" s="110"/>
      <c r="AL29" s="110"/>
      <c r="AM29" s="110"/>
      <c r="AN29" s="109">
        <v>37.03704071044922</v>
      </c>
      <c r="AO29" s="111">
        <v>50</v>
      </c>
      <c r="AP29" s="112">
        <v>23.50079917907715</v>
      </c>
      <c r="AQ29" s="113">
        <v>39.431419372558594</v>
      </c>
      <c r="AR29" s="114">
        <v>0.0868072509765625</v>
      </c>
    </row>
    <row r="30" spans="2:44" ht="13.5" customHeight="1" x14ac:dyDescent="0.4">
      <c r="B30" s="17">
        <v>0.66666666666666596</v>
      </c>
      <c r="C30" s="105">
        <v>-78.8266830444336</v>
      </c>
      <c r="D30" s="105">
        <v>-78.76880645751953</v>
      </c>
      <c r="E30" s="105">
        <v>103.1322021484375</v>
      </c>
      <c r="F30" s="105">
        <v>0.09035010635852814</v>
      </c>
      <c r="G30" s="105">
        <v>7.539367652498186E-05</v>
      </c>
      <c r="H30" s="105"/>
      <c r="I30" s="105"/>
      <c r="J30" s="105"/>
      <c r="K30" s="105"/>
      <c r="L30" s="106"/>
      <c r="M30" s="107">
        <v>77.67288970947266</v>
      </c>
      <c r="N30" s="105">
        <v>46.93286895751953</v>
      </c>
      <c r="O30" s="105">
        <v>39</v>
      </c>
      <c r="P30" s="105">
        <v>0</v>
      </c>
      <c r="Q30" s="105">
        <v>3.131510019302368</v>
      </c>
      <c r="R30" s="105">
        <v>19.62166976928711</v>
      </c>
      <c r="S30" s="108">
        <v>93.96701049804688</v>
      </c>
      <c r="T30" s="108">
        <v>0</v>
      </c>
      <c r="U30" s="108">
        <v>0</v>
      </c>
      <c r="V30" s="108">
        <v>18.581819534301758</v>
      </c>
      <c r="W30" s="108">
        <v>28.385419845581055</v>
      </c>
      <c r="X30" s="108">
        <v>29.5</v>
      </c>
      <c r="Y30" s="108">
        <v>78.16152954101562</v>
      </c>
      <c r="Z30" s="108">
        <v>16.01201057434082</v>
      </c>
      <c r="AA30" s="108">
        <v>18.652339935302734</v>
      </c>
      <c r="AB30" s="108"/>
      <c r="AC30" s="109"/>
      <c r="AD30" s="109">
        <v>1.5485570430755615</v>
      </c>
      <c r="AE30" s="109">
        <v>0.0010280761634930968</v>
      </c>
      <c r="AF30" s="109"/>
      <c r="AG30" s="109">
        <v>45.265480041503906</v>
      </c>
      <c r="AH30" s="109"/>
      <c r="AI30" s="110"/>
      <c r="AJ30" s="110"/>
      <c r="AK30" s="110"/>
      <c r="AL30" s="110"/>
      <c r="AM30" s="110"/>
      <c r="AN30" s="109">
        <v>35.76388931274414</v>
      </c>
      <c r="AO30" s="111">
        <v>50</v>
      </c>
      <c r="AP30" s="112">
        <v>23.835359573364258</v>
      </c>
      <c r="AQ30" s="113">
        <v>39.431419372558594</v>
      </c>
      <c r="AR30" s="114">
        <v>0.075958251953125</v>
      </c>
    </row>
    <row r="31" spans="2:44" ht="13.5" customHeight="1" x14ac:dyDescent="0.4">
      <c r="B31" s="17">
        <v>0.70833333333333304</v>
      </c>
      <c r="C31" s="105">
        <v>-78.42881774902344</v>
      </c>
      <c r="D31" s="105">
        <v>-78.19734191894531</v>
      </c>
      <c r="E31" s="105">
        <v>103.12860107421875</v>
      </c>
      <c r="F31" s="105">
        <v>0.08687789738178253</v>
      </c>
      <c r="G31" s="105">
        <v>8.140564023051411E-05</v>
      </c>
      <c r="H31" s="105"/>
      <c r="I31" s="105"/>
      <c r="J31" s="105"/>
      <c r="K31" s="105"/>
      <c r="L31" s="106"/>
      <c r="M31" s="107">
        <v>77.75968933105469</v>
      </c>
      <c r="N31" s="105">
        <v>48.03963851928711</v>
      </c>
      <c r="O31" s="105">
        <v>39</v>
      </c>
      <c r="P31" s="105">
        <v>0</v>
      </c>
      <c r="Q31" s="105">
        <v>3.1154510974884033</v>
      </c>
      <c r="R31" s="105">
        <v>19.914640426635742</v>
      </c>
      <c r="S31" s="108">
        <v>91.16752624511719</v>
      </c>
      <c r="T31" s="108">
        <v>0</v>
      </c>
      <c r="U31" s="108">
        <v>0</v>
      </c>
      <c r="V31" s="108">
        <v>18.90191078186035</v>
      </c>
      <c r="W31" s="108">
        <v>29.389110565185547</v>
      </c>
      <c r="X31" s="108">
        <v>29.5</v>
      </c>
      <c r="Y31" s="108">
        <v>78.17273712158203</v>
      </c>
      <c r="Z31" s="108">
        <v>16.24530029296875</v>
      </c>
      <c r="AA31" s="108">
        <v>19.1406307220459</v>
      </c>
      <c r="AB31" s="108"/>
      <c r="AC31" s="109"/>
      <c r="AD31" s="109">
        <v>1.548393964767456</v>
      </c>
      <c r="AE31" s="109">
        <v>0.0011500243563205004</v>
      </c>
      <c r="AF31" s="109"/>
      <c r="AG31" s="109">
        <v>23.553239822387695</v>
      </c>
      <c r="AH31" s="109"/>
      <c r="AI31" s="110"/>
      <c r="AJ31" s="110"/>
      <c r="AK31" s="110"/>
      <c r="AL31" s="110"/>
      <c r="AM31" s="110"/>
      <c r="AN31" s="109">
        <v>35.575809478759766</v>
      </c>
      <c r="AO31" s="111">
        <v>50</v>
      </c>
      <c r="AP31" s="112">
        <v>23.952909469604492</v>
      </c>
      <c r="AQ31" s="113">
        <v>39.431419372558594</v>
      </c>
      <c r="AR31" s="114">
        <v>0.0868072509765625</v>
      </c>
    </row>
    <row r="32" spans="2:44" ht="13.5" customHeight="1" x14ac:dyDescent="0.4">
      <c r="B32" s="17">
        <v>0.75</v>
      </c>
      <c r="C32" s="105">
        <v>-78.55902862548828</v>
      </c>
      <c r="D32" s="105">
        <v>-78.28414154052734</v>
      </c>
      <c r="E32" s="105">
        <v>103.12860107421875</v>
      </c>
      <c r="F32" s="105">
        <v>0.0783420130610466</v>
      </c>
      <c r="G32" s="105">
        <v>7.989502046257257E-05</v>
      </c>
      <c r="H32" s="105"/>
      <c r="I32" s="105"/>
      <c r="J32" s="105"/>
      <c r="K32" s="105"/>
      <c r="L32" s="106"/>
      <c r="M32" s="107">
        <v>77.6656494140625</v>
      </c>
      <c r="N32" s="105">
        <v>46.87137985229492</v>
      </c>
      <c r="O32" s="105">
        <v>39</v>
      </c>
      <c r="P32" s="105">
        <v>0</v>
      </c>
      <c r="Q32" s="105">
        <v>3.430989980697632</v>
      </c>
      <c r="R32" s="105">
        <v>19.451679229736328</v>
      </c>
      <c r="S32" s="108">
        <v>92.0392074584961</v>
      </c>
      <c r="T32" s="108">
        <v>0</v>
      </c>
      <c r="U32" s="108">
        <v>0</v>
      </c>
      <c r="V32" s="108">
        <v>18.967010498046875</v>
      </c>
      <c r="W32" s="108">
        <v>29.926219940185547</v>
      </c>
      <c r="X32" s="108">
        <v>29.5</v>
      </c>
      <c r="Y32" s="108">
        <v>78.62684631347656</v>
      </c>
      <c r="Z32" s="108">
        <v>15.693719863891602</v>
      </c>
      <c r="AA32" s="108">
        <v>18.549259185791016</v>
      </c>
      <c r="AB32" s="108"/>
      <c r="AC32" s="109"/>
      <c r="AD32" s="109">
        <v>0</v>
      </c>
      <c r="AE32" s="109">
        <v>0.0012869873316958547</v>
      </c>
      <c r="AF32" s="109"/>
      <c r="AG32" s="109">
        <v>26.092300415039062</v>
      </c>
      <c r="AH32" s="109"/>
      <c r="AI32" s="110"/>
      <c r="AJ32" s="110"/>
      <c r="AK32" s="110"/>
      <c r="AL32" s="110"/>
      <c r="AM32" s="110"/>
      <c r="AN32" s="109">
        <v>35.69878005981445</v>
      </c>
      <c r="AO32" s="111">
        <v>50</v>
      </c>
      <c r="AP32" s="112">
        <v>24.160879135131836</v>
      </c>
      <c r="AQ32" s="113">
        <v>39.431419372558594</v>
      </c>
      <c r="AR32" s="114">
        <v>0.10851290076971054</v>
      </c>
    </row>
    <row r="33" spans="2:44" ht="13.5" customHeight="1" x14ac:dyDescent="0.4">
      <c r="B33" s="17">
        <v>0.79166666666666696</v>
      </c>
      <c r="C33" s="105">
        <v>-42.87471008300781</v>
      </c>
      <c r="D33" s="105">
        <v>-42.28876876831055</v>
      </c>
      <c r="E33" s="105">
        <v>0</v>
      </c>
      <c r="F33" s="105">
        <v>0.01359954010695219</v>
      </c>
      <c r="G33" s="105">
        <v>7.62939453125E-05</v>
      </c>
      <c r="H33" s="105"/>
      <c r="I33" s="105"/>
      <c r="J33" s="105"/>
      <c r="K33" s="105"/>
      <c r="L33" s="106"/>
      <c r="M33" s="107">
        <v>77.5173568725586</v>
      </c>
      <c r="N33" s="105">
        <v>46.76287078857422</v>
      </c>
      <c r="O33" s="105">
        <v>39</v>
      </c>
      <c r="P33" s="105">
        <v>0</v>
      </c>
      <c r="Q33" s="105">
        <v>3.4114580154418945</v>
      </c>
      <c r="R33" s="105">
        <v>19.29977035522461</v>
      </c>
      <c r="S33" s="108">
        <v>93.91999053955078</v>
      </c>
      <c r="T33" s="108">
        <v>0</v>
      </c>
      <c r="U33" s="108">
        <v>0</v>
      </c>
      <c r="V33" s="108">
        <v>19.05381965637207</v>
      </c>
      <c r="W33" s="108">
        <v>30.39822006225586</v>
      </c>
      <c r="X33" s="108">
        <v>29.5</v>
      </c>
      <c r="Y33" s="108">
        <v>78.83426666259766</v>
      </c>
      <c r="Z33" s="108">
        <v>15.474900245666504</v>
      </c>
      <c r="AA33" s="108">
        <v>18.429899215698242</v>
      </c>
      <c r="AB33" s="108"/>
      <c r="AC33" s="109"/>
      <c r="AD33" s="109">
        <v>0</v>
      </c>
      <c r="AE33" s="109">
        <v>0.0011239013401791453</v>
      </c>
      <c r="AF33" s="109"/>
      <c r="AG33" s="109">
        <v>15.599679946899414</v>
      </c>
      <c r="AH33" s="109"/>
      <c r="AI33" s="110"/>
      <c r="AJ33" s="110"/>
      <c r="AK33" s="110"/>
      <c r="AL33" s="110"/>
      <c r="AM33" s="110"/>
      <c r="AN33" s="109">
        <v>35.94472885131836</v>
      </c>
      <c r="AO33" s="111">
        <v>48</v>
      </c>
      <c r="AP33" s="112">
        <v>24.332679748535156</v>
      </c>
      <c r="AQ33" s="113">
        <v>39.431419372558594</v>
      </c>
      <c r="AR33" s="114">
        <v>0.11936189979314804</v>
      </c>
    </row>
    <row r="34" spans="2:44" ht="13.5" customHeight="1" x14ac:dyDescent="0.4">
      <c r="B34" s="18">
        <v>0.83333333333333304</v>
      </c>
      <c r="C34" s="115">
        <v>-79.78153991699219</v>
      </c>
      <c r="D34" s="115">
        <v>-79.59346008300781</v>
      </c>
      <c r="E34" s="115">
        <v>103.13580322265625</v>
      </c>
      <c r="F34" s="115">
        <v>0.07928241044282913</v>
      </c>
      <c r="G34" s="115">
        <v>7.85064694355242E-05</v>
      </c>
      <c r="H34" s="115"/>
      <c r="I34" s="115"/>
      <c r="J34" s="115"/>
      <c r="K34" s="115"/>
      <c r="L34" s="116"/>
      <c r="M34" s="117">
        <v>78.90625</v>
      </c>
      <c r="N34" s="115">
        <v>46.422889709472656</v>
      </c>
      <c r="O34" s="115">
        <v>39</v>
      </c>
      <c r="P34" s="115">
        <v>0</v>
      </c>
      <c r="Q34" s="115">
        <v>3.487847089767456</v>
      </c>
      <c r="R34" s="115">
        <v>18.547449111938477</v>
      </c>
      <c r="S34" s="118">
        <v>92.15132904052734</v>
      </c>
      <c r="T34" s="118">
        <v>0</v>
      </c>
      <c r="U34" s="118">
        <v>0</v>
      </c>
      <c r="V34" s="118">
        <v>19.015840530395508</v>
      </c>
      <c r="W34" s="118">
        <v>30.777999877929688</v>
      </c>
      <c r="X34" s="118">
        <v>29.5</v>
      </c>
      <c r="Y34" s="118">
        <v>78.36895751953125</v>
      </c>
      <c r="Z34" s="118">
        <v>14.845560073852539</v>
      </c>
      <c r="AA34" s="118">
        <v>17.65407943725586</v>
      </c>
      <c r="AB34" s="118"/>
      <c r="AC34" s="119"/>
      <c r="AD34" s="119">
        <v>1.5483399629592896</v>
      </c>
      <c r="AE34" s="119">
        <v>0.0006730956956744194</v>
      </c>
      <c r="AF34" s="119"/>
      <c r="AG34" s="119">
        <v>20.287179946899414</v>
      </c>
      <c r="AH34" s="119"/>
      <c r="AI34" s="120"/>
      <c r="AJ34" s="120"/>
      <c r="AK34" s="120"/>
      <c r="AL34" s="120"/>
      <c r="AM34" s="120"/>
      <c r="AN34" s="119">
        <v>36.42940139770508</v>
      </c>
      <c r="AO34" s="121">
        <v>48</v>
      </c>
      <c r="AP34" s="122">
        <v>24.459270477294922</v>
      </c>
      <c r="AQ34" s="123">
        <v>39.431419372558594</v>
      </c>
      <c r="AR34" s="124">
        <v>0.11936189979314804</v>
      </c>
    </row>
    <row r="35" spans="2:44" ht="15" customHeight="1" x14ac:dyDescent="0.4">
      <c r="B35" s="162" t="s">
        <v>181</v>
      </c>
      <c r="C35" s="163" t="s">
        <v>38</v>
      </c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 t="s">
        <v>216</v>
      </c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5"/>
      <c r="AK35" s="169" t="s">
        <v>48</v>
      </c>
      <c r="AL35" s="167"/>
      <c r="AM35" s="196" t="s">
        <v>223</v>
      </c>
      <c r="AN35" s="197"/>
      <c r="AO35" s="51"/>
      <c r="AP35" s="51"/>
      <c r="AQ35" s="51"/>
      <c r="AR35" s="52"/>
    </row>
    <row r="36" spans="2:44" ht="20.1" customHeight="1" x14ac:dyDescent="0.4">
      <c r="B36" s="149"/>
      <c r="C36" s="143" t="s">
        <v>32</v>
      </c>
      <c r="D36" s="175"/>
      <c r="E36" s="143" t="s">
        <v>33</v>
      </c>
      <c r="F36" s="204"/>
      <c r="G36" s="175"/>
      <c r="H36" s="198" t="s">
        <v>276</v>
      </c>
      <c r="I36" s="199"/>
      <c r="J36" s="4" t="s">
        <v>27</v>
      </c>
      <c r="K36" s="4" t="s">
        <v>30</v>
      </c>
      <c r="L36" s="4" t="s">
        <v>191</v>
      </c>
      <c r="M36" s="200" t="s">
        <v>192</v>
      </c>
      <c r="N36" s="201"/>
      <c r="O36" s="4" t="s">
        <v>26</v>
      </c>
      <c r="P36" s="4" t="s">
        <v>197</v>
      </c>
      <c r="Q36" s="143" t="s">
        <v>199</v>
      </c>
      <c r="R36" s="205"/>
      <c r="S36" s="143" t="s">
        <v>202</v>
      </c>
      <c r="T36" s="205"/>
      <c r="U36" s="143" t="s">
        <v>201</v>
      </c>
      <c r="V36" s="202"/>
      <c r="W36" s="37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0" t="s">
        <v>213</v>
      </c>
      <c r="AH36" s="157" t="s">
        <v>46</v>
      </c>
      <c r="AI36" s="203"/>
      <c r="AJ36" s="144"/>
      <c r="AK36" s="20" t="s">
        <v>15</v>
      </c>
      <c r="AL36" s="35" t="s">
        <v>12</v>
      </c>
      <c r="AM36" s="26" t="s">
        <v>224</v>
      </c>
      <c r="AN36" s="28" t="s">
        <v>225</v>
      </c>
      <c r="AO36" s="20"/>
      <c r="AP36" s="20"/>
      <c r="AQ36" s="20"/>
      <c r="AR36" s="19"/>
    </row>
    <row r="37" spans="2:44" ht="22" customHeight="1" x14ac:dyDescent="0.4">
      <c r="B37" s="149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41" t="s">
        <v>3</v>
      </c>
      <c r="W37" s="38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0" t="s">
        <v>214</v>
      </c>
      <c r="AH37" s="20" t="s">
        <v>217</v>
      </c>
      <c r="AI37" s="20" t="s">
        <v>218</v>
      </c>
      <c r="AJ37" s="20" t="s">
        <v>219</v>
      </c>
      <c r="AK37" s="21" t="s">
        <v>221</v>
      </c>
      <c r="AL37" s="35" t="s">
        <v>222</v>
      </c>
      <c r="AM37" s="26" t="s">
        <v>4</v>
      </c>
      <c r="AN37" s="40" t="s">
        <v>4</v>
      </c>
      <c r="AO37" s="20"/>
      <c r="AP37" s="20"/>
      <c r="AQ37" s="20"/>
      <c r="AR37" s="19"/>
    </row>
    <row r="38" spans="2:44" ht="14.1" customHeight="1" x14ac:dyDescent="0.4">
      <c r="B38" s="149"/>
      <c r="C38" s="29" t="s">
        <v>182</v>
      </c>
      <c r="D38" s="25" t="s">
        <v>183</v>
      </c>
      <c r="E38" s="3" t="s">
        <v>185</v>
      </c>
      <c r="F38" s="29" t="s">
        <v>182</v>
      </c>
      <c r="G38" s="25" t="s">
        <v>183</v>
      </c>
      <c r="H38" s="29" t="s">
        <v>279</v>
      </c>
      <c r="I38" s="25" t="s">
        <v>183</v>
      </c>
      <c r="J38" s="3" t="s">
        <v>185</v>
      </c>
      <c r="K38" s="1" t="s">
        <v>190</v>
      </c>
      <c r="L38" s="3" t="s">
        <v>185</v>
      </c>
      <c r="M38" s="1" t="s">
        <v>460</v>
      </c>
      <c r="N38" s="1" t="s">
        <v>461</v>
      </c>
      <c r="O38" s="3" t="s">
        <v>185</v>
      </c>
      <c r="P38" s="1" t="s">
        <v>198</v>
      </c>
      <c r="Q38" s="3" t="s">
        <v>200</v>
      </c>
      <c r="R38" s="25" t="s">
        <v>183</v>
      </c>
      <c r="S38" s="3" t="s">
        <v>200</v>
      </c>
      <c r="T38" s="25" t="s">
        <v>183</v>
      </c>
      <c r="U38" s="3" t="s">
        <v>200</v>
      </c>
      <c r="V38" s="42" t="s">
        <v>183</v>
      </c>
      <c r="W38" s="39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0" t="s">
        <v>215</v>
      </c>
      <c r="AH38" s="22" t="s">
        <v>203</v>
      </c>
      <c r="AI38" s="8" t="s">
        <v>195</v>
      </c>
      <c r="AJ38" s="8" t="s">
        <v>196</v>
      </c>
      <c r="AK38" s="21" t="s">
        <v>203</v>
      </c>
      <c r="AL38" s="35" t="s">
        <v>220</v>
      </c>
      <c r="AM38" s="26" t="s">
        <v>203</v>
      </c>
      <c r="AN38" s="28" t="s">
        <v>203</v>
      </c>
      <c r="AO38" s="20"/>
      <c r="AP38" s="20"/>
      <c r="AQ38" s="20"/>
      <c r="AR38" s="19"/>
    </row>
    <row r="39" spans="2:44" ht="13.5" customHeight="1" x14ac:dyDescent="0.4">
      <c r="B39" s="17">
        <v>0.33333333333333331</v>
      </c>
      <c r="C39" s="105">
        <v>0</v>
      </c>
      <c r="D39" s="105"/>
      <c r="E39" s="105">
        <v>48.90045928955078</v>
      </c>
      <c r="F39" s="105"/>
      <c r="G39" s="105"/>
      <c r="H39" s="105">
        <v>22.081159591674805</v>
      </c>
      <c r="I39" s="105"/>
      <c r="J39" s="105">
        <v>47.54412078857422</v>
      </c>
      <c r="K39" s="105">
        <v>0.14000000059604645</v>
      </c>
      <c r="L39" s="105">
        <v>222.90170288085938</v>
      </c>
      <c r="M39" s="105">
        <v>23.564090728759766</v>
      </c>
      <c r="N39" s="105"/>
      <c r="O39" s="105">
        <v>0.20037619769573212</v>
      </c>
      <c r="P39" s="105">
        <v>238.46299743652344</v>
      </c>
      <c r="Q39" s="105">
        <v>0</v>
      </c>
      <c r="R39" s="105"/>
      <c r="S39" s="105">
        <v>0</v>
      </c>
      <c r="T39" s="105"/>
      <c r="U39" s="108">
        <v>96.94732666015625</v>
      </c>
      <c r="V39" s="125"/>
      <c r="W39" s="126">
        <v>40</v>
      </c>
      <c r="X39" s="108">
        <v>0</v>
      </c>
      <c r="Y39" s="108">
        <v>45.827911376953125</v>
      </c>
      <c r="Z39" s="108">
        <v>75.47200775146484</v>
      </c>
      <c r="AA39" s="108">
        <v>50</v>
      </c>
      <c r="AB39" s="108">
        <v>123.806396484375</v>
      </c>
      <c r="AC39" s="108">
        <v>13.61400032043457</v>
      </c>
      <c r="AD39" s="108">
        <v>18.690319061279297</v>
      </c>
      <c r="AE39" s="109"/>
      <c r="AF39" s="109">
        <v>0</v>
      </c>
      <c r="AG39" s="109"/>
      <c r="AH39" s="109">
        <v>38.76387023925781</v>
      </c>
      <c r="AI39" s="109">
        <v>29.336660385131836</v>
      </c>
      <c r="AJ39" s="109"/>
      <c r="AK39" s="109"/>
      <c r="AL39" s="111"/>
      <c r="AM39" s="127"/>
      <c r="AN39" s="110"/>
      <c r="AO39" s="109"/>
      <c r="AP39" s="109"/>
      <c r="AQ39" s="109"/>
      <c r="AR39" s="114"/>
    </row>
    <row r="40" spans="2:44" ht="13.5" customHeight="1" x14ac:dyDescent="0.4">
      <c r="B40" s="17">
        <v>0.375</v>
      </c>
      <c r="C40" s="105">
        <v>0</v>
      </c>
      <c r="D40" s="105">
        <v>0</v>
      </c>
      <c r="E40" s="105">
        <v>56.79253005981445</v>
      </c>
      <c r="F40" s="105"/>
      <c r="G40" s="105"/>
      <c r="H40" s="105">
        <v>22.01786994934082</v>
      </c>
      <c r="I40" s="105">
        <v>0</v>
      </c>
      <c r="J40" s="105">
        <v>47.70689010620117</v>
      </c>
      <c r="K40" s="105">
        <v>0.14000000059604645</v>
      </c>
      <c r="L40" s="105">
        <v>223.0417022705078</v>
      </c>
      <c r="M40" s="105">
        <v>24.11566925048828</v>
      </c>
      <c r="N40" s="105">
        <v>0</v>
      </c>
      <c r="O40" s="105">
        <v>0.22012439370155334</v>
      </c>
      <c r="P40" s="105">
        <v>238.67709350585938</v>
      </c>
      <c r="Q40" s="105">
        <v>0</v>
      </c>
      <c r="R40" s="105">
        <v>0</v>
      </c>
      <c r="S40" s="105">
        <v>0</v>
      </c>
      <c r="T40" s="105">
        <v>0</v>
      </c>
      <c r="U40" s="108">
        <v>92.02835845947266</v>
      </c>
      <c r="V40" s="125">
        <v>0.003298610681667924</v>
      </c>
      <c r="W40" s="126">
        <v>50</v>
      </c>
      <c r="X40" s="108">
        <v>123.87149810791016</v>
      </c>
      <c r="Y40" s="108">
        <v>16.878259658813477</v>
      </c>
      <c r="Z40" s="108">
        <v>19.83506965637207</v>
      </c>
      <c r="AA40" s="108">
        <v>50</v>
      </c>
      <c r="AB40" s="108">
        <v>123.8021011352539</v>
      </c>
      <c r="AC40" s="108">
        <v>15.033639907836914</v>
      </c>
      <c r="AD40" s="108">
        <v>97.53690338134766</v>
      </c>
      <c r="AE40" s="109"/>
      <c r="AF40" s="109">
        <v>0</v>
      </c>
      <c r="AG40" s="109"/>
      <c r="AH40" s="109">
        <v>38.76387023925781</v>
      </c>
      <c r="AI40" s="109">
        <v>55.08897018432617</v>
      </c>
      <c r="AJ40" s="109">
        <v>0.03292534872889519</v>
      </c>
      <c r="AK40" s="109"/>
      <c r="AL40" s="111"/>
      <c r="AM40" s="127"/>
      <c r="AN40" s="110"/>
      <c r="AO40" s="109"/>
      <c r="AP40" s="109"/>
      <c r="AQ40" s="109"/>
      <c r="AR40" s="114"/>
    </row>
    <row r="41" spans="2:44" ht="13.5" customHeight="1" x14ac:dyDescent="0.4">
      <c r="B41" s="17">
        <v>0.41666666666666702</v>
      </c>
      <c r="C41" s="105">
        <v>0</v>
      </c>
      <c r="D41" s="105">
        <v>0.00013289642811287194</v>
      </c>
      <c r="E41" s="105">
        <v>44.30699920654297</v>
      </c>
      <c r="F41" s="105"/>
      <c r="G41" s="105"/>
      <c r="H41" s="105">
        <v>22.234880447387695</v>
      </c>
      <c r="I41" s="105">
        <v>0</v>
      </c>
      <c r="J41" s="105">
        <v>47.88772964477539</v>
      </c>
      <c r="K41" s="105">
        <v>0.14000000059604645</v>
      </c>
      <c r="L41" s="105">
        <v>223.18170166015625</v>
      </c>
      <c r="M41" s="105">
        <v>24.84808921813965</v>
      </c>
      <c r="N41" s="105">
        <v>0</v>
      </c>
      <c r="O41" s="105">
        <v>0.21759259700775146</v>
      </c>
      <c r="P41" s="105">
        <v>238.89010620117188</v>
      </c>
      <c r="Q41" s="105">
        <v>0</v>
      </c>
      <c r="R41" s="105">
        <v>0</v>
      </c>
      <c r="S41" s="105">
        <v>0</v>
      </c>
      <c r="T41" s="105">
        <v>0</v>
      </c>
      <c r="U41" s="108">
        <v>91.41709899902344</v>
      </c>
      <c r="V41" s="125">
        <v>-0.0017252598190680146</v>
      </c>
      <c r="W41" s="126">
        <v>50</v>
      </c>
      <c r="X41" s="108">
        <v>123.87149810791016</v>
      </c>
      <c r="Y41" s="108">
        <v>17.41537094116211</v>
      </c>
      <c r="Z41" s="108">
        <v>20.632600784301758</v>
      </c>
      <c r="AA41" s="108">
        <v>50</v>
      </c>
      <c r="AB41" s="108">
        <v>123.79340362548828</v>
      </c>
      <c r="AC41" s="108">
        <v>17.162179946899414</v>
      </c>
      <c r="AD41" s="108">
        <v>62.15277862548828</v>
      </c>
      <c r="AE41" s="109"/>
      <c r="AF41" s="109">
        <v>0</v>
      </c>
      <c r="AG41" s="109"/>
      <c r="AH41" s="109">
        <v>38.76387023925781</v>
      </c>
      <c r="AI41" s="109">
        <v>54.46324920654297</v>
      </c>
      <c r="AJ41" s="109">
        <v>-0.002939811674878001</v>
      </c>
      <c r="AK41" s="109"/>
      <c r="AL41" s="111"/>
      <c r="AM41" s="127"/>
      <c r="AN41" s="110"/>
      <c r="AO41" s="109"/>
      <c r="AP41" s="109"/>
      <c r="AQ41" s="109"/>
      <c r="AR41" s="114"/>
    </row>
    <row r="42" spans="2:44" ht="13.5" customHeight="1" x14ac:dyDescent="0.4">
      <c r="B42" s="17">
        <v>0.45833333333333298</v>
      </c>
      <c r="C42" s="105">
        <v>0</v>
      </c>
      <c r="D42" s="105">
        <v>4.280090251995716E-06</v>
      </c>
      <c r="E42" s="105">
        <v>69.73380279541016</v>
      </c>
      <c r="F42" s="105"/>
      <c r="G42" s="105"/>
      <c r="H42" s="105">
        <v>22.533279418945312</v>
      </c>
      <c r="I42" s="105">
        <v>0</v>
      </c>
      <c r="J42" s="105">
        <v>48.005279541015625</v>
      </c>
      <c r="K42" s="105">
        <v>0.14000000059604645</v>
      </c>
      <c r="L42" s="105">
        <v>223.3217010498047</v>
      </c>
      <c r="M42" s="105">
        <v>25.589550018310547</v>
      </c>
      <c r="N42" s="105">
        <v>0</v>
      </c>
      <c r="O42" s="105">
        <v>0.195529505610466</v>
      </c>
      <c r="P42" s="105">
        <v>239.08389282226562</v>
      </c>
      <c r="Q42" s="105">
        <v>0</v>
      </c>
      <c r="R42" s="105">
        <v>0</v>
      </c>
      <c r="S42" s="105">
        <v>0</v>
      </c>
      <c r="T42" s="105">
        <v>0</v>
      </c>
      <c r="U42" s="108">
        <v>95.39568328857422</v>
      </c>
      <c r="V42" s="125">
        <v>-0.0016529198037460446</v>
      </c>
      <c r="W42" s="126">
        <v>50</v>
      </c>
      <c r="X42" s="108">
        <v>123.87590026855469</v>
      </c>
      <c r="Y42" s="108">
        <v>17.078990936279297</v>
      </c>
      <c r="Z42" s="108">
        <v>20.30164909362793</v>
      </c>
      <c r="AA42" s="108">
        <v>50</v>
      </c>
      <c r="AB42" s="108">
        <v>123.8021011352539</v>
      </c>
      <c r="AC42" s="108">
        <v>23.853439331054688</v>
      </c>
      <c r="AD42" s="108">
        <v>46.294490814208984</v>
      </c>
      <c r="AE42" s="109"/>
      <c r="AF42" s="109">
        <v>0</v>
      </c>
      <c r="AG42" s="109"/>
      <c r="AH42" s="109">
        <v>38.76387023925781</v>
      </c>
      <c r="AI42" s="109">
        <v>54.16666030883789</v>
      </c>
      <c r="AJ42" s="109">
        <v>-0.003721069311723113</v>
      </c>
      <c r="AK42" s="109"/>
      <c r="AL42" s="111"/>
      <c r="AM42" s="127"/>
      <c r="AN42" s="110"/>
      <c r="AO42" s="109"/>
      <c r="AP42" s="109"/>
      <c r="AQ42" s="109"/>
      <c r="AR42" s="114"/>
    </row>
    <row r="43" spans="2:44" ht="13.5" customHeight="1" x14ac:dyDescent="0.4">
      <c r="B43" s="17">
        <v>0.5</v>
      </c>
      <c r="C43" s="105">
        <v>0</v>
      </c>
      <c r="D43" s="105">
        <v>0.00021426391322165728</v>
      </c>
      <c r="E43" s="105">
        <v>54.75983810424805</v>
      </c>
      <c r="F43" s="105"/>
      <c r="G43" s="105"/>
      <c r="H43" s="105">
        <v>22.876880645751953</v>
      </c>
      <c r="I43" s="105">
        <v>0</v>
      </c>
      <c r="J43" s="105">
        <v>48.30366897583008</v>
      </c>
      <c r="K43" s="105">
        <v>0.14000000059604645</v>
      </c>
      <c r="L43" s="105">
        <v>223.46170043945312</v>
      </c>
      <c r="M43" s="105">
        <v>26.267719268798828</v>
      </c>
      <c r="N43" s="105">
        <v>0</v>
      </c>
      <c r="O43" s="105">
        <v>0.2152778059244156</v>
      </c>
      <c r="P43" s="105">
        <v>239.28709411621094</v>
      </c>
      <c r="Q43" s="105">
        <v>0</v>
      </c>
      <c r="R43" s="105">
        <v>0</v>
      </c>
      <c r="S43" s="105">
        <v>0</v>
      </c>
      <c r="T43" s="105">
        <v>0</v>
      </c>
      <c r="U43" s="108">
        <v>94.23465728759766</v>
      </c>
      <c r="V43" s="125">
        <v>0.0025607584975659847</v>
      </c>
      <c r="W43" s="126">
        <v>50</v>
      </c>
      <c r="X43" s="108">
        <v>123.87590026855469</v>
      </c>
      <c r="Y43" s="108">
        <v>17.051870346069336</v>
      </c>
      <c r="Z43" s="108">
        <v>20.14974021911621</v>
      </c>
      <c r="AA43" s="108">
        <v>50</v>
      </c>
      <c r="AB43" s="108">
        <v>123.8021011352539</v>
      </c>
      <c r="AC43" s="108">
        <v>29.05816078186035</v>
      </c>
      <c r="AD43" s="108">
        <v>55.15951156616211</v>
      </c>
      <c r="AE43" s="109"/>
      <c r="AF43" s="109">
        <v>0</v>
      </c>
      <c r="AG43" s="109"/>
      <c r="AH43" s="109">
        <v>38.76387023925781</v>
      </c>
      <c r="AI43" s="109">
        <v>54.040069580078125</v>
      </c>
      <c r="AJ43" s="109">
        <v>-0.002554977312684059</v>
      </c>
      <c r="AK43" s="109"/>
      <c r="AL43" s="111"/>
      <c r="AM43" s="127"/>
      <c r="AN43" s="110"/>
      <c r="AO43" s="109"/>
      <c r="AP43" s="109"/>
      <c r="AQ43" s="109"/>
      <c r="AR43" s="114"/>
    </row>
    <row r="44" spans="2:44" ht="13.5" customHeight="1" x14ac:dyDescent="0.4">
      <c r="B44" s="17">
        <v>0.54166666666666596</v>
      </c>
      <c r="C44" s="105">
        <v>0</v>
      </c>
      <c r="D44" s="105">
        <v>6.996154752414441E-06</v>
      </c>
      <c r="E44" s="105">
        <v>61.783851623535156</v>
      </c>
      <c r="F44" s="105"/>
      <c r="G44" s="105"/>
      <c r="H44" s="105">
        <v>23.319950103759766</v>
      </c>
      <c r="I44" s="105">
        <v>0</v>
      </c>
      <c r="J44" s="105">
        <v>48.249420166015625</v>
      </c>
      <c r="K44" s="105">
        <v>0.14000000059604645</v>
      </c>
      <c r="L44" s="105">
        <v>223.60169982910156</v>
      </c>
      <c r="M44" s="105">
        <v>27.379919052124023</v>
      </c>
      <c r="N44" s="105">
        <v>0</v>
      </c>
      <c r="O44" s="105">
        <v>0.22055840492248535</v>
      </c>
      <c r="P44" s="105">
        <v>239.49490356445312</v>
      </c>
      <c r="Q44" s="105">
        <v>0</v>
      </c>
      <c r="R44" s="105">
        <v>0</v>
      </c>
      <c r="S44" s="105">
        <v>0</v>
      </c>
      <c r="T44" s="105">
        <v>0</v>
      </c>
      <c r="U44" s="108">
        <v>95.99971008300781</v>
      </c>
      <c r="V44" s="125">
        <v>-2.1699905119021423E-05</v>
      </c>
      <c r="W44" s="126">
        <v>50</v>
      </c>
      <c r="X44" s="108">
        <v>123.87590026855469</v>
      </c>
      <c r="Y44" s="108">
        <v>17.344839096069336</v>
      </c>
      <c r="Z44" s="108">
        <v>21.842449188232422</v>
      </c>
      <c r="AA44" s="108">
        <v>50</v>
      </c>
      <c r="AB44" s="108">
        <v>123.8021011352539</v>
      </c>
      <c r="AC44" s="108">
        <v>17.388240814208984</v>
      </c>
      <c r="AD44" s="108">
        <v>20.166019439697266</v>
      </c>
      <c r="AE44" s="109"/>
      <c r="AF44" s="109">
        <v>0</v>
      </c>
      <c r="AG44" s="109"/>
      <c r="AH44" s="109">
        <v>38.76387023925781</v>
      </c>
      <c r="AI44" s="109">
        <v>53.99666976928711</v>
      </c>
      <c r="AJ44" s="109">
        <v>-0.0019473419524729252</v>
      </c>
      <c r="AK44" s="109"/>
      <c r="AL44" s="111"/>
      <c r="AM44" s="127"/>
      <c r="AN44" s="110"/>
      <c r="AO44" s="109"/>
      <c r="AP44" s="109"/>
      <c r="AQ44" s="109"/>
      <c r="AR44" s="114"/>
    </row>
    <row r="45" spans="2:44" ht="13.5" customHeight="1" x14ac:dyDescent="0.4">
      <c r="B45" s="17">
        <v>0.58333333333333304</v>
      </c>
      <c r="C45" s="105">
        <v>0</v>
      </c>
      <c r="D45" s="105">
        <v>2.9296875254658516E-06</v>
      </c>
      <c r="E45" s="105">
        <v>71.11544799804688</v>
      </c>
      <c r="F45" s="105"/>
      <c r="G45" s="105"/>
      <c r="H45" s="105">
        <v>23.82632064819336</v>
      </c>
      <c r="I45" s="105">
        <v>0</v>
      </c>
      <c r="J45" s="105">
        <v>48.41218185424805</v>
      </c>
      <c r="K45" s="105">
        <v>0.14000000059604645</v>
      </c>
      <c r="L45" s="105">
        <v>223.74169921875</v>
      </c>
      <c r="M45" s="105">
        <v>28.4468994140625</v>
      </c>
      <c r="N45" s="105">
        <v>0</v>
      </c>
      <c r="O45" s="105">
        <v>0.1840278059244156</v>
      </c>
      <c r="P45" s="105">
        <v>239.7028045654297</v>
      </c>
      <c r="Q45" s="105">
        <v>0</v>
      </c>
      <c r="R45" s="105">
        <v>0</v>
      </c>
      <c r="S45" s="105">
        <v>0</v>
      </c>
      <c r="T45" s="105">
        <v>0</v>
      </c>
      <c r="U45" s="108">
        <v>90.0209732055664</v>
      </c>
      <c r="V45" s="125">
        <v>-0.00013020896585658193</v>
      </c>
      <c r="W45" s="126">
        <v>50</v>
      </c>
      <c r="X45" s="108">
        <v>123.87590026855469</v>
      </c>
      <c r="Y45" s="108">
        <v>15.435110092163086</v>
      </c>
      <c r="Z45" s="108">
        <v>24.59309959411621</v>
      </c>
      <c r="AA45" s="108">
        <v>50</v>
      </c>
      <c r="AB45" s="108">
        <v>123.79779815673828</v>
      </c>
      <c r="AC45" s="108">
        <v>16.760709762573242</v>
      </c>
      <c r="AD45" s="108">
        <v>19.498699188232422</v>
      </c>
      <c r="AE45" s="109"/>
      <c r="AF45" s="109">
        <v>0</v>
      </c>
      <c r="AG45" s="109"/>
      <c r="AH45" s="109">
        <v>39.06132125854492</v>
      </c>
      <c r="AI45" s="109">
        <v>53.96773910522461</v>
      </c>
      <c r="AJ45" s="109">
        <v>-0.0016058997716754675</v>
      </c>
      <c r="AK45" s="109"/>
      <c r="AL45" s="111"/>
      <c r="AM45" s="127"/>
      <c r="AN45" s="110"/>
      <c r="AO45" s="109"/>
      <c r="AP45" s="109"/>
      <c r="AQ45" s="109"/>
      <c r="AR45" s="114"/>
    </row>
    <row r="46" spans="2:44" ht="13.5" customHeight="1" x14ac:dyDescent="0.4">
      <c r="B46" s="17">
        <v>0.625</v>
      </c>
      <c r="C46" s="105">
        <v>0</v>
      </c>
      <c r="D46" s="105">
        <v>8.773803870099073E-07</v>
      </c>
      <c r="E46" s="105">
        <v>70.93460845947266</v>
      </c>
      <c r="F46" s="105"/>
      <c r="G46" s="105"/>
      <c r="H46" s="105">
        <v>24.395980834960938</v>
      </c>
      <c r="I46" s="105">
        <v>0</v>
      </c>
      <c r="J46" s="105">
        <v>48.69248962402344</v>
      </c>
      <c r="K46" s="105">
        <v>0.14000000059604645</v>
      </c>
      <c r="L46" s="105">
        <v>223.88169860839844</v>
      </c>
      <c r="M46" s="105">
        <v>29.00752067565918</v>
      </c>
      <c r="N46" s="105">
        <v>0</v>
      </c>
      <c r="O46" s="105">
        <v>0.18930840492248535</v>
      </c>
      <c r="P46" s="105">
        <v>239.889892578125</v>
      </c>
      <c r="Q46" s="105">
        <v>0</v>
      </c>
      <c r="R46" s="105">
        <v>0</v>
      </c>
      <c r="S46" s="105">
        <v>0</v>
      </c>
      <c r="T46" s="105">
        <v>0</v>
      </c>
      <c r="U46" s="108">
        <v>95.82247924804688</v>
      </c>
      <c r="V46" s="125">
        <v>-0.0010706004686653614</v>
      </c>
      <c r="W46" s="126">
        <v>50</v>
      </c>
      <c r="X46" s="108">
        <v>123.88020324707031</v>
      </c>
      <c r="Y46" s="108">
        <v>17.681209564208984</v>
      </c>
      <c r="Z46" s="108">
        <v>26.72525978088379</v>
      </c>
      <c r="AA46" s="108">
        <v>50</v>
      </c>
      <c r="AB46" s="108">
        <v>123.79779815673828</v>
      </c>
      <c r="AC46" s="108">
        <v>16.731769561767578</v>
      </c>
      <c r="AD46" s="108">
        <v>19.401039123535156</v>
      </c>
      <c r="AE46" s="109"/>
      <c r="AF46" s="109">
        <v>0</v>
      </c>
      <c r="AG46" s="109"/>
      <c r="AH46" s="109">
        <v>39.0882682800293</v>
      </c>
      <c r="AI46" s="109">
        <v>53.96049880981445</v>
      </c>
      <c r="AJ46" s="109">
        <v>-0.0013628501910716295</v>
      </c>
      <c r="AK46" s="109"/>
      <c r="AL46" s="111"/>
      <c r="AM46" s="127"/>
      <c r="AN46" s="110"/>
      <c r="AO46" s="109"/>
      <c r="AP46" s="109"/>
      <c r="AQ46" s="109"/>
      <c r="AR46" s="114"/>
    </row>
    <row r="47" spans="2:44" ht="13.5" customHeight="1" x14ac:dyDescent="0.4">
      <c r="B47" s="17">
        <v>0.66666666666666596</v>
      </c>
      <c r="C47" s="105">
        <v>0</v>
      </c>
      <c r="D47" s="105">
        <v>0</v>
      </c>
      <c r="E47" s="105">
        <v>64.07697296142578</v>
      </c>
      <c r="F47" s="105"/>
      <c r="G47" s="105"/>
      <c r="H47" s="105">
        <v>24.84808921813965</v>
      </c>
      <c r="I47" s="105">
        <v>0</v>
      </c>
      <c r="J47" s="105">
        <v>48.647281646728516</v>
      </c>
      <c r="K47" s="105">
        <v>0.14000000059604645</v>
      </c>
      <c r="L47" s="105">
        <v>224.02169799804688</v>
      </c>
      <c r="M47" s="105">
        <v>29.233579635620117</v>
      </c>
      <c r="N47" s="105">
        <v>0</v>
      </c>
      <c r="O47" s="105">
        <v>0.20833329856395721</v>
      </c>
      <c r="P47" s="105">
        <v>240.08090209960938</v>
      </c>
      <c r="Q47" s="105">
        <v>0</v>
      </c>
      <c r="R47" s="105">
        <v>0</v>
      </c>
      <c r="S47" s="105">
        <v>0</v>
      </c>
      <c r="T47" s="105">
        <v>0</v>
      </c>
      <c r="U47" s="108">
        <v>91.8764419555664</v>
      </c>
      <c r="V47" s="125">
        <v>0.0009765605791471899</v>
      </c>
      <c r="W47" s="126">
        <v>50</v>
      </c>
      <c r="X47" s="108">
        <v>123.88020324707031</v>
      </c>
      <c r="Y47" s="108">
        <v>18.581819534301758</v>
      </c>
      <c r="Z47" s="108">
        <v>28.385419845581055</v>
      </c>
      <c r="AA47" s="108">
        <v>50</v>
      </c>
      <c r="AB47" s="108">
        <v>123.79340362548828</v>
      </c>
      <c r="AC47" s="108">
        <v>16.01201057434082</v>
      </c>
      <c r="AD47" s="108">
        <v>18.652339935302734</v>
      </c>
      <c r="AE47" s="109"/>
      <c r="AF47" s="109">
        <v>0</v>
      </c>
      <c r="AG47" s="109"/>
      <c r="AH47" s="109">
        <v>39.0882682800293</v>
      </c>
      <c r="AI47" s="109">
        <v>53.949649810791016</v>
      </c>
      <c r="AJ47" s="109">
        <v>-0.0011082077398896217</v>
      </c>
      <c r="AK47" s="109"/>
      <c r="AL47" s="111"/>
      <c r="AM47" s="127"/>
      <c r="AN47" s="110"/>
      <c r="AO47" s="109"/>
      <c r="AP47" s="109"/>
      <c r="AQ47" s="109"/>
      <c r="AR47" s="114"/>
    </row>
    <row r="48" spans="2:44" ht="13.5" customHeight="1" x14ac:dyDescent="0.4">
      <c r="B48" s="17">
        <v>0.70833333333333304</v>
      </c>
      <c r="C48" s="105">
        <v>0</v>
      </c>
      <c r="D48" s="105">
        <v>1.1978149814240169E-06</v>
      </c>
      <c r="E48" s="105">
        <v>59.194149017333984</v>
      </c>
      <c r="F48" s="105"/>
      <c r="G48" s="105"/>
      <c r="H48" s="105">
        <v>25.236909866333008</v>
      </c>
      <c r="I48" s="105">
        <v>0</v>
      </c>
      <c r="J48" s="105">
        <v>48.74674987792969</v>
      </c>
      <c r="K48" s="105">
        <v>0.14000000059604645</v>
      </c>
      <c r="L48" s="105">
        <v>224.1616973876953</v>
      </c>
      <c r="M48" s="105">
        <v>29.45962905883789</v>
      </c>
      <c r="N48" s="105">
        <v>0</v>
      </c>
      <c r="O48" s="105">
        <v>0.2061631977558136</v>
      </c>
      <c r="P48" s="105">
        <v>240.28880310058594</v>
      </c>
      <c r="Q48" s="105">
        <v>0</v>
      </c>
      <c r="R48" s="105">
        <v>0</v>
      </c>
      <c r="S48" s="105">
        <v>0</v>
      </c>
      <c r="T48" s="105">
        <v>0</v>
      </c>
      <c r="U48" s="108">
        <v>89.78225708007812</v>
      </c>
      <c r="V48" s="125">
        <v>0.0005425395793281496</v>
      </c>
      <c r="W48" s="126">
        <v>50</v>
      </c>
      <c r="X48" s="108">
        <v>123.87590026855469</v>
      </c>
      <c r="Y48" s="108">
        <v>18.90191078186035</v>
      </c>
      <c r="Z48" s="108">
        <v>29.389110565185547</v>
      </c>
      <c r="AA48" s="108">
        <v>50</v>
      </c>
      <c r="AB48" s="108">
        <v>123.79779815673828</v>
      </c>
      <c r="AC48" s="108">
        <v>16.24530029296875</v>
      </c>
      <c r="AD48" s="108">
        <v>19.1406307220459</v>
      </c>
      <c r="AE48" s="109"/>
      <c r="AF48" s="109">
        <v>0</v>
      </c>
      <c r="AG48" s="109"/>
      <c r="AH48" s="109">
        <v>39.0882682800293</v>
      </c>
      <c r="AI48" s="109">
        <v>53.93156814575195</v>
      </c>
      <c r="AJ48" s="109">
        <v>-0.0011140098795294762</v>
      </c>
      <c r="AK48" s="109"/>
      <c r="AL48" s="111"/>
      <c r="AM48" s="127"/>
      <c r="AN48" s="110"/>
      <c r="AO48" s="109"/>
      <c r="AP48" s="109"/>
      <c r="AQ48" s="109"/>
      <c r="AR48" s="114"/>
    </row>
    <row r="49" spans="2:44" ht="13.5" customHeight="1" x14ac:dyDescent="0.4">
      <c r="B49" s="17">
        <v>0.75</v>
      </c>
      <c r="C49" s="105">
        <v>0</v>
      </c>
      <c r="D49" s="105">
        <v>1.6326904415109311E-06</v>
      </c>
      <c r="E49" s="105">
        <v>54.275169372558594</v>
      </c>
      <c r="F49" s="105"/>
      <c r="G49" s="105"/>
      <c r="H49" s="105">
        <v>25.571470260620117</v>
      </c>
      <c r="I49" s="105">
        <v>0</v>
      </c>
      <c r="J49" s="105">
        <v>48.98183822631836</v>
      </c>
      <c r="K49" s="105">
        <v>0.14000000059604645</v>
      </c>
      <c r="L49" s="105">
        <v>224.30169677734375</v>
      </c>
      <c r="M49" s="105">
        <v>29.622400283813477</v>
      </c>
      <c r="N49" s="105">
        <v>0</v>
      </c>
      <c r="O49" s="105">
        <v>0.11407700181007385</v>
      </c>
      <c r="P49" s="105">
        <v>240.4824981689453</v>
      </c>
      <c r="Q49" s="105">
        <v>0</v>
      </c>
      <c r="R49" s="105">
        <v>0</v>
      </c>
      <c r="S49" s="105">
        <v>0</v>
      </c>
      <c r="T49" s="105">
        <v>0</v>
      </c>
      <c r="U49" s="108">
        <v>89.91246795654297</v>
      </c>
      <c r="V49" s="125">
        <v>-6.14891032455489E-05</v>
      </c>
      <c r="W49" s="126">
        <v>50</v>
      </c>
      <c r="X49" s="108">
        <v>123.87590026855469</v>
      </c>
      <c r="Y49" s="108">
        <v>18.967010498046875</v>
      </c>
      <c r="Z49" s="108">
        <v>29.926219940185547</v>
      </c>
      <c r="AA49" s="108">
        <v>50</v>
      </c>
      <c r="AB49" s="108">
        <v>123.79340362548828</v>
      </c>
      <c r="AC49" s="108">
        <v>15.693719863891602</v>
      </c>
      <c r="AD49" s="108">
        <v>18.549259185791016</v>
      </c>
      <c r="AE49" s="109"/>
      <c r="AF49" s="109">
        <v>0</v>
      </c>
      <c r="AG49" s="109"/>
      <c r="AH49" s="109">
        <v>39.0882682800293</v>
      </c>
      <c r="AI49" s="109">
        <v>53.90987014770508</v>
      </c>
      <c r="AJ49" s="109">
        <v>-0.0009432907099835575</v>
      </c>
      <c r="AK49" s="109"/>
      <c r="AL49" s="111"/>
      <c r="AM49" s="127"/>
      <c r="AN49" s="110"/>
      <c r="AO49" s="109"/>
      <c r="AP49" s="109"/>
      <c r="AQ49" s="109"/>
      <c r="AR49" s="114"/>
    </row>
    <row r="50" spans="2:44" ht="13.5" customHeight="1" x14ac:dyDescent="0.4">
      <c r="B50" s="17">
        <v>0.79166666666666696</v>
      </c>
      <c r="C50" s="105">
        <v>0</v>
      </c>
      <c r="D50" s="105">
        <v>1.0070800726680318E-06</v>
      </c>
      <c r="E50" s="105">
        <v>50.991031646728516</v>
      </c>
      <c r="F50" s="105"/>
      <c r="G50" s="105"/>
      <c r="H50" s="105">
        <v>25.860820770263672</v>
      </c>
      <c r="I50" s="105">
        <v>0</v>
      </c>
      <c r="J50" s="105">
        <v>48.927589416503906</v>
      </c>
      <c r="K50" s="105">
        <v>0.14000000059604645</v>
      </c>
      <c r="L50" s="105">
        <v>224.4416961669922</v>
      </c>
      <c r="M50" s="105">
        <v>29.44154930114746</v>
      </c>
      <c r="N50" s="105">
        <v>0</v>
      </c>
      <c r="O50" s="105">
        <v>0.11328130215406418</v>
      </c>
      <c r="P50" s="105">
        <v>240.5959930419922</v>
      </c>
      <c r="Q50" s="105">
        <v>0</v>
      </c>
      <c r="R50" s="105">
        <v>0</v>
      </c>
      <c r="S50" s="105">
        <v>0</v>
      </c>
      <c r="T50" s="105">
        <v>0</v>
      </c>
      <c r="U50" s="108">
        <v>93.2906494140625</v>
      </c>
      <c r="V50" s="125">
        <v>-0.0015805816510692239</v>
      </c>
      <c r="W50" s="126">
        <v>50</v>
      </c>
      <c r="X50" s="108">
        <v>123.87149810791016</v>
      </c>
      <c r="Y50" s="108">
        <v>19.05381965637207</v>
      </c>
      <c r="Z50" s="108">
        <v>30.39822006225586</v>
      </c>
      <c r="AA50" s="108">
        <v>50</v>
      </c>
      <c r="AB50" s="108">
        <v>123.78910064697266</v>
      </c>
      <c r="AC50" s="108">
        <v>15.474900245666504</v>
      </c>
      <c r="AD50" s="108">
        <v>18.429899215698242</v>
      </c>
      <c r="AE50" s="109"/>
      <c r="AF50" s="109">
        <v>0</v>
      </c>
      <c r="AG50" s="109"/>
      <c r="AH50" s="109">
        <v>39.0882682800293</v>
      </c>
      <c r="AI50" s="109">
        <v>53.89540100097656</v>
      </c>
      <c r="AJ50" s="109">
        <v>-0.0008854102925397456</v>
      </c>
      <c r="AK50" s="109"/>
      <c r="AL50" s="111"/>
      <c r="AM50" s="127"/>
      <c r="AN50" s="110"/>
      <c r="AO50" s="109"/>
      <c r="AP50" s="109"/>
      <c r="AQ50" s="109"/>
      <c r="AR50" s="114"/>
    </row>
    <row r="51" spans="2:44" ht="13.5" customHeight="1" x14ac:dyDescent="0.4">
      <c r="B51" s="17">
        <v>0.83333333333333304</v>
      </c>
      <c r="C51" s="115">
        <v>0</v>
      </c>
      <c r="D51" s="115">
        <v>1.0452270089444937E-06</v>
      </c>
      <c r="E51" s="115">
        <v>43.80786895751953</v>
      </c>
      <c r="F51" s="115"/>
      <c r="G51" s="115"/>
      <c r="H51" s="115">
        <v>26.09592056274414</v>
      </c>
      <c r="I51" s="115">
        <v>0</v>
      </c>
      <c r="J51" s="115">
        <v>49.04513931274414</v>
      </c>
      <c r="K51" s="115">
        <v>0.14000000059604645</v>
      </c>
      <c r="L51" s="115">
        <v>224.58169555664062</v>
      </c>
      <c r="M51" s="115">
        <v>29.13412094116211</v>
      </c>
      <c r="N51" s="115">
        <v>0</v>
      </c>
      <c r="O51" s="115">
        <v>0.18482349812984467</v>
      </c>
      <c r="P51" s="115">
        <v>240.74009704589844</v>
      </c>
      <c r="Q51" s="115">
        <v>0</v>
      </c>
      <c r="R51" s="115">
        <v>0</v>
      </c>
      <c r="S51" s="115">
        <v>0</v>
      </c>
      <c r="T51" s="115">
        <v>0</v>
      </c>
      <c r="U51" s="118">
        <v>99.0523681640625</v>
      </c>
      <c r="V51" s="128">
        <v>0.0005425300332717597</v>
      </c>
      <c r="W51" s="129">
        <v>50</v>
      </c>
      <c r="X51" s="118">
        <v>123.88020324707031</v>
      </c>
      <c r="Y51" s="118">
        <v>19.015840530395508</v>
      </c>
      <c r="Z51" s="118">
        <v>30.777999877929688</v>
      </c>
      <c r="AA51" s="118">
        <v>50</v>
      </c>
      <c r="AB51" s="118">
        <v>0</v>
      </c>
      <c r="AC51" s="118">
        <v>14.845560073852539</v>
      </c>
      <c r="AD51" s="118">
        <v>17.65407943725586</v>
      </c>
      <c r="AE51" s="119"/>
      <c r="AF51" s="119">
        <v>0</v>
      </c>
      <c r="AG51" s="119"/>
      <c r="AH51" s="119">
        <v>39.0882682800293</v>
      </c>
      <c r="AI51" s="119">
        <v>33.21036148071289</v>
      </c>
      <c r="AJ51" s="119">
        <v>-0.00210937880910933</v>
      </c>
      <c r="AK51" s="119"/>
      <c r="AL51" s="121"/>
      <c r="AM51" s="130"/>
      <c r="AN51" s="120"/>
      <c r="AO51" s="119"/>
      <c r="AP51" s="119"/>
      <c r="AQ51" s="119"/>
      <c r="AR51" s="124"/>
    </row>
    <row r="52" spans="2:44" ht="13.5" customHeight="1" x14ac:dyDescent="0.4">
      <c r="B52" s="173" t="s">
        <v>463</v>
      </c>
      <c r="C52" s="174"/>
      <c r="D52" s="10" t="s">
        <v>19</v>
      </c>
      <c r="E52" s="150" t="s">
        <v>20</v>
      </c>
      <c r="F52" s="153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5"/>
      <c r="AP52" s="155"/>
      <c r="AQ52" s="155"/>
      <c r="AR52" s="156"/>
    </row>
    <row r="53" spans="2:44" ht="13.5" customHeight="1" x14ac:dyDescent="0.4">
      <c r="B53" s="149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7"/>
      <c r="AP53" s="157"/>
      <c r="AQ53" s="157"/>
      <c r="AR53" s="158"/>
    </row>
    <row r="54" spans="2:44" ht="13.5" customHeight="1" thickBot="1" x14ac:dyDescent="0.45">
      <c r="B54" s="16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9"/>
      <c r="AP54" s="159"/>
      <c r="AQ54" s="159"/>
      <c r="AR54" s="160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B19" sqref="B19:L24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</cols>
  <sheetData>
    <row r="1" spans="2:58" ht="17.5" customHeight="1" thickBot="1" x14ac:dyDescent="0.45">
      <c r="B1" s="176" t="s">
        <v>230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</row>
    <row r="2" spans="2:58" ht="13" customHeight="1" x14ac:dyDescent="0.4">
      <c r="B2" s="223" t="s">
        <v>232</v>
      </c>
      <c r="C2" s="186"/>
      <c r="D2" s="186"/>
      <c r="E2" s="186"/>
      <c r="F2" s="186"/>
      <c r="G2" s="186"/>
      <c r="H2" s="186"/>
      <c r="I2" s="186"/>
      <c r="J2" s="186"/>
      <c r="K2" s="186"/>
      <c r="L2" s="191"/>
      <c r="M2" s="224" t="s">
        <v>231</v>
      </c>
      <c r="N2" s="186"/>
      <c r="O2" s="186"/>
      <c r="P2" s="186"/>
      <c r="Q2" s="186"/>
      <c r="R2" s="186"/>
      <c r="S2" s="186"/>
      <c r="T2" s="186"/>
      <c r="U2" s="186"/>
      <c r="V2" s="186"/>
      <c r="W2" s="191"/>
      <c r="X2" s="136" t="s">
        <v>233</v>
      </c>
      <c r="Y2" s="186"/>
      <c r="Z2" s="186"/>
      <c r="AA2" s="186"/>
      <c r="AB2" s="186"/>
      <c r="AC2" s="186"/>
      <c r="AD2" s="186"/>
      <c r="AE2" s="186"/>
      <c r="AF2" s="186"/>
      <c r="AG2" s="186"/>
      <c r="AH2" s="191"/>
      <c r="AI2" s="224" t="s">
        <v>234</v>
      </c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91"/>
      <c r="AU2" s="136" t="s">
        <v>235</v>
      </c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225"/>
    </row>
    <row r="3" spans="2:58" ht="13" customHeight="1" x14ac:dyDescent="0.4">
      <c r="B3" s="227"/>
      <c r="C3" s="211"/>
      <c r="D3" s="211"/>
      <c r="E3" s="211"/>
      <c r="F3" s="211"/>
      <c r="G3" s="211"/>
      <c r="H3" s="211"/>
      <c r="I3" s="211"/>
      <c r="J3" s="211"/>
      <c r="K3" s="211"/>
      <c r="L3" s="212"/>
      <c r="M3" s="230"/>
      <c r="N3" s="211"/>
      <c r="O3" s="211"/>
      <c r="P3" s="211"/>
      <c r="Q3" s="211"/>
      <c r="R3" s="211"/>
      <c r="S3" s="211"/>
      <c r="T3" s="211"/>
      <c r="U3" s="211"/>
      <c r="V3" s="211"/>
      <c r="W3" s="212"/>
      <c r="X3" s="218"/>
      <c r="Y3" s="211"/>
      <c r="Z3" s="211"/>
      <c r="AA3" s="211"/>
      <c r="AB3" s="211"/>
      <c r="AC3" s="211"/>
      <c r="AD3" s="211"/>
      <c r="AE3" s="211"/>
      <c r="AF3" s="211"/>
      <c r="AG3" s="211"/>
      <c r="AH3" s="212"/>
      <c r="AI3" s="240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2"/>
      <c r="AU3" s="218"/>
      <c r="AV3" s="211"/>
      <c r="AW3" s="211"/>
      <c r="AX3" s="211"/>
      <c r="AY3" s="211"/>
      <c r="AZ3" s="211"/>
      <c r="BA3" s="211"/>
      <c r="BB3" s="211"/>
      <c r="BC3" s="211"/>
      <c r="BD3" s="211"/>
      <c r="BE3" s="211"/>
      <c r="BF3" s="220"/>
    </row>
    <row r="4" spans="2:58" ht="13" customHeight="1" x14ac:dyDescent="0.4">
      <c r="B4" s="228"/>
      <c r="C4" s="214"/>
      <c r="D4" s="214"/>
      <c r="E4" s="214"/>
      <c r="F4" s="214"/>
      <c r="G4" s="214"/>
      <c r="H4" s="214"/>
      <c r="I4" s="214"/>
      <c r="J4" s="214"/>
      <c r="K4" s="214"/>
      <c r="L4" s="215"/>
      <c r="M4" s="213"/>
      <c r="N4" s="214"/>
      <c r="O4" s="214"/>
      <c r="P4" s="214"/>
      <c r="Q4" s="214"/>
      <c r="R4" s="214"/>
      <c r="S4" s="214"/>
      <c r="T4" s="214"/>
      <c r="U4" s="214"/>
      <c r="V4" s="214"/>
      <c r="W4" s="215"/>
      <c r="X4" s="213"/>
      <c r="Y4" s="214"/>
      <c r="Z4" s="214"/>
      <c r="AA4" s="214"/>
      <c r="AB4" s="214"/>
      <c r="AC4" s="214"/>
      <c r="AD4" s="214"/>
      <c r="AE4" s="214"/>
      <c r="AF4" s="214"/>
      <c r="AG4" s="214"/>
      <c r="AH4" s="215"/>
      <c r="AI4" s="213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5"/>
      <c r="AU4" s="213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21"/>
    </row>
    <row r="5" spans="2:58" ht="13" customHeight="1" x14ac:dyDescent="0.4">
      <c r="B5" s="228"/>
      <c r="C5" s="214"/>
      <c r="D5" s="214"/>
      <c r="E5" s="214"/>
      <c r="F5" s="214"/>
      <c r="G5" s="214"/>
      <c r="H5" s="214"/>
      <c r="I5" s="214"/>
      <c r="J5" s="214"/>
      <c r="K5" s="214"/>
      <c r="L5" s="215"/>
      <c r="M5" s="213"/>
      <c r="N5" s="214"/>
      <c r="O5" s="214"/>
      <c r="P5" s="214"/>
      <c r="Q5" s="214"/>
      <c r="R5" s="214"/>
      <c r="S5" s="214"/>
      <c r="T5" s="214"/>
      <c r="U5" s="214"/>
      <c r="V5" s="214"/>
      <c r="W5" s="215"/>
      <c r="X5" s="213"/>
      <c r="Y5" s="214"/>
      <c r="Z5" s="214"/>
      <c r="AA5" s="214"/>
      <c r="AB5" s="214"/>
      <c r="AC5" s="214"/>
      <c r="AD5" s="214"/>
      <c r="AE5" s="214"/>
      <c r="AF5" s="214"/>
      <c r="AG5" s="214"/>
      <c r="AH5" s="215"/>
      <c r="AI5" s="213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5"/>
      <c r="AU5" s="213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21"/>
    </row>
    <row r="6" spans="2:58" ht="13" customHeight="1" x14ac:dyDescent="0.4">
      <c r="B6" s="228"/>
      <c r="C6" s="214"/>
      <c r="D6" s="214"/>
      <c r="E6" s="214"/>
      <c r="F6" s="214"/>
      <c r="G6" s="214"/>
      <c r="H6" s="214"/>
      <c r="I6" s="214"/>
      <c r="J6" s="214"/>
      <c r="K6" s="214"/>
      <c r="L6" s="215"/>
      <c r="M6" s="213"/>
      <c r="N6" s="214"/>
      <c r="O6" s="214"/>
      <c r="P6" s="214"/>
      <c r="Q6" s="214"/>
      <c r="R6" s="214"/>
      <c r="S6" s="214"/>
      <c r="T6" s="214"/>
      <c r="U6" s="214"/>
      <c r="V6" s="214"/>
      <c r="W6" s="215"/>
      <c r="X6" s="213"/>
      <c r="Y6" s="214"/>
      <c r="Z6" s="214"/>
      <c r="AA6" s="214"/>
      <c r="AB6" s="214"/>
      <c r="AC6" s="214"/>
      <c r="AD6" s="214"/>
      <c r="AE6" s="214"/>
      <c r="AF6" s="214"/>
      <c r="AG6" s="214"/>
      <c r="AH6" s="215"/>
      <c r="AI6" s="213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5"/>
      <c r="AU6" s="213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21"/>
    </row>
    <row r="7" spans="2:58" ht="13" customHeight="1" x14ac:dyDescent="0.4">
      <c r="B7" s="228"/>
      <c r="C7" s="214"/>
      <c r="D7" s="214"/>
      <c r="E7" s="214"/>
      <c r="F7" s="214"/>
      <c r="G7" s="214"/>
      <c r="H7" s="214"/>
      <c r="I7" s="214"/>
      <c r="J7" s="214"/>
      <c r="K7" s="214"/>
      <c r="L7" s="215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5"/>
      <c r="X7" s="213"/>
      <c r="Y7" s="214"/>
      <c r="Z7" s="214"/>
      <c r="AA7" s="214"/>
      <c r="AB7" s="214"/>
      <c r="AC7" s="214"/>
      <c r="AD7" s="214"/>
      <c r="AE7" s="214"/>
      <c r="AF7" s="214"/>
      <c r="AG7" s="214"/>
      <c r="AH7" s="215"/>
      <c r="AI7" s="213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5"/>
      <c r="AU7" s="213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21"/>
    </row>
    <row r="8" spans="2:58" ht="13" customHeight="1" x14ac:dyDescent="0.4">
      <c r="B8" s="228"/>
      <c r="C8" s="214"/>
      <c r="D8" s="214"/>
      <c r="E8" s="214"/>
      <c r="F8" s="214"/>
      <c r="G8" s="214"/>
      <c r="H8" s="214"/>
      <c r="I8" s="214"/>
      <c r="J8" s="214"/>
      <c r="K8" s="214"/>
      <c r="L8" s="215"/>
      <c r="M8" s="213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213"/>
      <c r="Y8" s="214"/>
      <c r="Z8" s="214"/>
      <c r="AA8" s="214"/>
      <c r="AB8" s="214"/>
      <c r="AC8" s="214"/>
      <c r="AD8" s="214"/>
      <c r="AE8" s="214"/>
      <c r="AF8" s="214"/>
      <c r="AG8" s="214"/>
      <c r="AH8" s="215"/>
      <c r="AI8" s="213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5"/>
      <c r="AU8" s="213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21"/>
    </row>
    <row r="9" spans="2:58" ht="13" customHeight="1" x14ac:dyDescent="0.4">
      <c r="B9" s="229"/>
      <c r="C9" s="217"/>
      <c r="D9" s="217"/>
      <c r="E9" s="217"/>
      <c r="F9" s="217"/>
      <c r="G9" s="217"/>
      <c r="H9" s="217"/>
      <c r="I9" s="217"/>
      <c r="J9" s="217"/>
      <c r="K9" s="217"/>
      <c r="L9" s="174"/>
      <c r="M9" s="216"/>
      <c r="N9" s="217"/>
      <c r="O9" s="217"/>
      <c r="P9" s="217"/>
      <c r="Q9" s="217"/>
      <c r="R9" s="217"/>
      <c r="S9" s="217"/>
      <c r="T9" s="217"/>
      <c r="U9" s="217"/>
      <c r="V9" s="217"/>
      <c r="W9" s="174"/>
      <c r="X9" s="216"/>
      <c r="Y9" s="217"/>
      <c r="Z9" s="217"/>
      <c r="AA9" s="217"/>
      <c r="AB9" s="217"/>
      <c r="AC9" s="217"/>
      <c r="AD9" s="217"/>
      <c r="AE9" s="217"/>
      <c r="AF9" s="217"/>
      <c r="AG9" s="217"/>
      <c r="AH9" s="174"/>
      <c r="AI9" s="216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174"/>
      <c r="AU9" s="216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22"/>
    </row>
    <row r="10" spans="2:58" ht="13" customHeight="1" x14ac:dyDescent="0.4">
      <c r="B10" s="206" t="s">
        <v>236</v>
      </c>
      <c r="C10" s="204"/>
      <c r="D10" s="204"/>
      <c r="E10" s="204"/>
      <c r="F10" s="204"/>
      <c r="G10" s="204"/>
      <c r="H10" s="204"/>
      <c r="I10" s="204"/>
      <c r="J10" s="204"/>
      <c r="K10" s="204"/>
      <c r="L10" s="175"/>
      <c r="M10" s="226" t="s">
        <v>237</v>
      </c>
      <c r="N10" s="204"/>
      <c r="O10" s="204"/>
      <c r="P10" s="204"/>
      <c r="Q10" s="204"/>
      <c r="R10" s="204"/>
      <c r="S10" s="204"/>
      <c r="T10" s="204"/>
      <c r="U10" s="204"/>
      <c r="V10" s="204"/>
      <c r="W10" s="175"/>
      <c r="X10" s="181" t="s">
        <v>238</v>
      </c>
      <c r="Y10" s="204"/>
      <c r="Z10" s="204"/>
      <c r="AA10" s="204"/>
      <c r="AB10" s="204"/>
      <c r="AC10" s="204"/>
      <c r="AD10" s="204"/>
      <c r="AE10" s="204"/>
      <c r="AF10" s="204"/>
      <c r="AG10" s="204"/>
      <c r="AH10" s="175"/>
      <c r="AI10" s="181" t="s">
        <v>239</v>
      </c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175"/>
      <c r="AU10" s="157" t="s">
        <v>240</v>
      </c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8"/>
    </row>
    <row r="11" spans="2:58" ht="13" customHeight="1" x14ac:dyDescent="0.4">
      <c r="B11" s="227"/>
      <c r="C11" s="211"/>
      <c r="D11" s="211"/>
      <c r="E11" s="211"/>
      <c r="F11" s="211"/>
      <c r="G11" s="211"/>
      <c r="H11" s="211"/>
      <c r="I11" s="211"/>
      <c r="J11" s="211"/>
      <c r="K11" s="211"/>
      <c r="L11" s="212"/>
      <c r="M11" s="230"/>
      <c r="N11" s="211"/>
      <c r="O11" s="211"/>
      <c r="P11" s="211"/>
      <c r="Q11" s="211"/>
      <c r="R11" s="211"/>
      <c r="S11" s="211"/>
      <c r="T11" s="211"/>
      <c r="U11" s="211"/>
      <c r="V11" s="211"/>
      <c r="W11" s="212"/>
      <c r="X11" s="230"/>
      <c r="Y11" s="211"/>
      <c r="Z11" s="211"/>
      <c r="AA11" s="211"/>
      <c r="AB11" s="211"/>
      <c r="AC11" s="211"/>
      <c r="AD11" s="211"/>
      <c r="AE11" s="211"/>
      <c r="AF11" s="211"/>
      <c r="AG11" s="211"/>
      <c r="AH11" s="212"/>
      <c r="AI11" s="230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2"/>
      <c r="AU11" s="219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20"/>
    </row>
    <row r="12" spans="2:58" ht="13" customHeight="1" x14ac:dyDescent="0.4">
      <c r="B12" s="228"/>
      <c r="C12" s="214"/>
      <c r="D12" s="214"/>
      <c r="E12" s="214"/>
      <c r="F12" s="214"/>
      <c r="G12" s="214"/>
      <c r="H12" s="214"/>
      <c r="I12" s="214"/>
      <c r="J12" s="214"/>
      <c r="K12" s="214"/>
      <c r="L12" s="215"/>
      <c r="M12" s="213"/>
      <c r="N12" s="214"/>
      <c r="O12" s="214"/>
      <c r="P12" s="214"/>
      <c r="Q12" s="214"/>
      <c r="R12" s="214"/>
      <c r="S12" s="214"/>
      <c r="T12" s="214"/>
      <c r="U12" s="214"/>
      <c r="V12" s="214"/>
      <c r="W12" s="215"/>
      <c r="X12" s="213"/>
      <c r="Y12" s="214"/>
      <c r="Z12" s="214"/>
      <c r="AA12" s="214"/>
      <c r="AB12" s="214"/>
      <c r="AC12" s="214"/>
      <c r="AD12" s="214"/>
      <c r="AE12" s="214"/>
      <c r="AF12" s="214"/>
      <c r="AG12" s="214"/>
      <c r="AH12" s="215"/>
      <c r="AI12" s="213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5"/>
      <c r="AU12" s="213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21"/>
    </row>
    <row r="13" spans="2:58" ht="13" customHeight="1" x14ac:dyDescent="0.4">
      <c r="B13" s="228"/>
      <c r="C13" s="214"/>
      <c r="D13" s="214"/>
      <c r="E13" s="214"/>
      <c r="F13" s="214"/>
      <c r="G13" s="214"/>
      <c r="H13" s="214"/>
      <c r="I13" s="214"/>
      <c r="J13" s="214"/>
      <c r="K13" s="214"/>
      <c r="L13" s="215"/>
      <c r="M13" s="213"/>
      <c r="N13" s="214"/>
      <c r="O13" s="214"/>
      <c r="P13" s="214"/>
      <c r="Q13" s="214"/>
      <c r="R13" s="214"/>
      <c r="S13" s="214"/>
      <c r="T13" s="214"/>
      <c r="U13" s="214"/>
      <c r="V13" s="214"/>
      <c r="W13" s="215"/>
      <c r="X13" s="213"/>
      <c r="Y13" s="214"/>
      <c r="Z13" s="214"/>
      <c r="AA13" s="214"/>
      <c r="AB13" s="214"/>
      <c r="AC13" s="214"/>
      <c r="AD13" s="214"/>
      <c r="AE13" s="214"/>
      <c r="AF13" s="214"/>
      <c r="AG13" s="214"/>
      <c r="AH13" s="215"/>
      <c r="AI13" s="213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5"/>
      <c r="AU13" s="213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21"/>
    </row>
    <row r="14" spans="2:58" ht="13" customHeight="1" x14ac:dyDescent="0.4">
      <c r="B14" s="228"/>
      <c r="C14" s="214"/>
      <c r="D14" s="214"/>
      <c r="E14" s="214"/>
      <c r="F14" s="214"/>
      <c r="G14" s="214"/>
      <c r="H14" s="214"/>
      <c r="I14" s="214"/>
      <c r="J14" s="214"/>
      <c r="K14" s="214"/>
      <c r="L14" s="215"/>
      <c r="M14" s="213"/>
      <c r="N14" s="214"/>
      <c r="O14" s="214"/>
      <c r="P14" s="214"/>
      <c r="Q14" s="214"/>
      <c r="R14" s="214"/>
      <c r="S14" s="214"/>
      <c r="T14" s="214"/>
      <c r="U14" s="214"/>
      <c r="V14" s="214"/>
      <c r="W14" s="215"/>
      <c r="X14" s="213"/>
      <c r="Y14" s="214"/>
      <c r="Z14" s="214"/>
      <c r="AA14" s="214"/>
      <c r="AB14" s="214"/>
      <c r="AC14" s="214"/>
      <c r="AD14" s="214"/>
      <c r="AE14" s="214"/>
      <c r="AF14" s="214"/>
      <c r="AG14" s="214"/>
      <c r="AH14" s="215"/>
      <c r="AI14" s="213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5"/>
      <c r="AU14" s="213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21"/>
    </row>
    <row r="15" spans="2:58" ht="13" customHeight="1" x14ac:dyDescent="0.4">
      <c r="B15" s="228"/>
      <c r="C15" s="214"/>
      <c r="D15" s="214"/>
      <c r="E15" s="214"/>
      <c r="F15" s="214"/>
      <c r="G15" s="214"/>
      <c r="H15" s="214"/>
      <c r="I15" s="214"/>
      <c r="J15" s="214"/>
      <c r="K15" s="214"/>
      <c r="L15" s="215"/>
      <c r="M15" s="213"/>
      <c r="N15" s="214"/>
      <c r="O15" s="214"/>
      <c r="P15" s="214"/>
      <c r="Q15" s="214"/>
      <c r="R15" s="214"/>
      <c r="S15" s="214"/>
      <c r="T15" s="214"/>
      <c r="U15" s="214"/>
      <c r="V15" s="214"/>
      <c r="W15" s="215"/>
      <c r="X15" s="213"/>
      <c r="Y15" s="214"/>
      <c r="Z15" s="214"/>
      <c r="AA15" s="214"/>
      <c r="AB15" s="214"/>
      <c r="AC15" s="214"/>
      <c r="AD15" s="214"/>
      <c r="AE15" s="214"/>
      <c r="AF15" s="214"/>
      <c r="AG15" s="214"/>
      <c r="AH15" s="215"/>
      <c r="AI15" s="213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5"/>
      <c r="AU15" s="213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21"/>
    </row>
    <row r="16" spans="2:58" ht="13" customHeight="1" x14ac:dyDescent="0.4">
      <c r="B16" s="228"/>
      <c r="C16" s="214"/>
      <c r="D16" s="214"/>
      <c r="E16" s="214"/>
      <c r="F16" s="214"/>
      <c r="G16" s="214"/>
      <c r="H16" s="214"/>
      <c r="I16" s="214"/>
      <c r="J16" s="214"/>
      <c r="K16" s="214"/>
      <c r="L16" s="215"/>
      <c r="M16" s="213"/>
      <c r="N16" s="214"/>
      <c r="O16" s="214"/>
      <c r="P16" s="214"/>
      <c r="Q16" s="214"/>
      <c r="R16" s="214"/>
      <c r="S16" s="214"/>
      <c r="T16" s="214"/>
      <c r="U16" s="214"/>
      <c r="V16" s="214"/>
      <c r="W16" s="215"/>
      <c r="X16" s="213"/>
      <c r="Y16" s="214"/>
      <c r="Z16" s="214"/>
      <c r="AA16" s="214"/>
      <c r="AB16" s="214"/>
      <c r="AC16" s="214"/>
      <c r="AD16" s="214"/>
      <c r="AE16" s="214"/>
      <c r="AF16" s="214"/>
      <c r="AG16" s="214"/>
      <c r="AH16" s="215"/>
      <c r="AI16" s="213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5"/>
      <c r="AU16" s="213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21"/>
    </row>
    <row r="17" spans="2:58" ht="13" customHeight="1" x14ac:dyDescent="0.4">
      <c r="B17" s="229"/>
      <c r="C17" s="217"/>
      <c r="D17" s="217"/>
      <c r="E17" s="217"/>
      <c r="F17" s="217"/>
      <c r="G17" s="217"/>
      <c r="H17" s="217"/>
      <c r="I17" s="217"/>
      <c r="J17" s="217"/>
      <c r="K17" s="217"/>
      <c r="L17" s="174"/>
      <c r="M17" s="216"/>
      <c r="N17" s="217"/>
      <c r="O17" s="217"/>
      <c r="P17" s="217"/>
      <c r="Q17" s="217"/>
      <c r="R17" s="217"/>
      <c r="S17" s="217"/>
      <c r="T17" s="217"/>
      <c r="U17" s="217"/>
      <c r="V17" s="217"/>
      <c r="W17" s="174"/>
      <c r="X17" s="216"/>
      <c r="Y17" s="217"/>
      <c r="Z17" s="217"/>
      <c r="AA17" s="217"/>
      <c r="AB17" s="217"/>
      <c r="AC17" s="217"/>
      <c r="AD17" s="217"/>
      <c r="AE17" s="217"/>
      <c r="AF17" s="217"/>
      <c r="AG17" s="217"/>
      <c r="AH17" s="174"/>
      <c r="AI17" s="216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174"/>
      <c r="AU17" s="216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22"/>
    </row>
    <row r="18" spans="2:58" ht="13" customHeight="1" x14ac:dyDescent="0.4">
      <c r="B18" s="206" t="s">
        <v>241</v>
      </c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39" t="s">
        <v>242</v>
      </c>
      <c r="N18" s="204"/>
      <c r="O18" s="204"/>
      <c r="P18" s="204"/>
      <c r="Q18" s="204"/>
      <c r="R18" s="204"/>
      <c r="S18" s="204"/>
      <c r="T18" s="204"/>
      <c r="U18" s="204"/>
      <c r="V18" s="204"/>
      <c r="W18" s="175"/>
      <c r="X18" s="238" t="s">
        <v>243</v>
      </c>
      <c r="Y18" s="204"/>
      <c r="Z18" s="204"/>
      <c r="AA18" s="204"/>
      <c r="AB18" s="204"/>
      <c r="AC18" s="204"/>
      <c r="AD18" s="204"/>
      <c r="AE18" s="204"/>
      <c r="AF18" s="204"/>
      <c r="AG18" s="204"/>
      <c r="AH18" s="175"/>
      <c r="AI18" s="143" t="s">
        <v>244</v>
      </c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175"/>
      <c r="AU18" s="157" t="s">
        <v>245</v>
      </c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8"/>
    </row>
    <row r="19" spans="2:58" ht="13" customHeight="1" x14ac:dyDescent="0.4">
      <c r="B19" s="227"/>
      <c r="C19" s="211"/>
      <c r="D19" s="211"/>
      <c r="E19" s="211"/>
      <c r="F19" s="211"/>
      <c r="G19" s="211"/>
      <c r="H19" s="211"/>
      <c r="I19" s="211"/>
      <c r="J19" s="211"/>
      <c r="K19" s="211"/>
      <c r="L19" s="212"/>
      <c r="M19" s="241"/>
      <c r="N19" s="211"/>
      <c r="O19" s="211"/>
      <c r="P19" s="211"/>
      <c r="Q19" s="211"/>
      <c r="R19" s="211"/>
      <c r="S19" s="211"/>
      <c r="T19" s="211"/>
      <c r="U19" s="211"/>
      <c r="V19" s="211"/>
      <c r="W19" s="212"/>
      <c r="X19" s="210"/>
      <c r="Y19" s="211"/>
      <c r="Z19" s="211"/>
      <c r="AA19" s="211"/>
      <c r="AB19" s="211"/>
      <c r="AC19" s="211"/>
      <c r="AD19" s="211"/>
      <c r="AE19" s="211"/>
      <c r="AF19" s="211"/>
      <c r="AG19" s="211"/>
      <c r="AH19" s="212"/>
      <c r="AI19" s="218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2"/>
      <c r="AU19" s="219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  <c r="BF19" s="220"/>
    </row>
    <row r="20" spans="2:58" ht="13" customHeight="1" x14ac:dyDescent="0.4">
      <c r="B20" s="228"/>
      <c r="C20" s="214"/>
      <c r="D20" s="214"/>
      <c r="E20" s="214"/>
      <c r="F20" s="214"/>
      <c r="G20" s="214"/>
      <c r="H20" s="214"/>
      <c r="I20" s="214"/>
      <c r="J20" s="214"/>
      <c r="K20" s="214"/>
      <c r="L20" s="215"/>
      <c r="M20" s="213"/>
      <c r="N20" s="214"/>
      <c r="O20" s="214"/>
      <c r="P20" s="214"/>
      <c r="Q20" s="214"/>
      <c r="R20" s="214"/>
      <c r="S20" s="214"/>
      <c r="T20" s="214"/>
      <c r="U20" s="214"/>
      <c r="V20" s="214"/>
      <c r="W20" s="215"/>
      <c r="X20" s="213"/>
      <c r="Y20" s="214"/>
      <c r="Z20" s="214"/>
      <c r="AA20" s="214"/>
      <c r="AB20" s="214"/>
      <c r="AC20" s="214"/>
      <c r="AD20" s="214"/>
      <c r="AE20" s="214"/>
      <c r="AF20" s="214"/>
      <c r="AG20" s="214"/>
      <c r="AH20" s="215"/>
      <c r="AI20" s="213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5"/>
      <c r="AU20" s="213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21"/>
    </row>
    <row r="21" spans="2:58" ht="13" customHeight="1" x14ac:dyDescent="0.4">
      <c r="B21" s="228"/>
      <c r="C21" s="214"/>
      <c r="D21" s="214"/>
      <c r="E21" s="214"/>
      <c r="F21" s="214"/>
      <c r="G21" s="214"/>
      <c r="H21" s="214"/>
      <c r="I21" s="214"/>
      <c r="J21" s="214"/>
      <c r="K21" s="214"/>
      <c r="L21" s="215"/>
      <c r="M21" s="213"/>
      <c r="N21" s="214"/>
      <c r="O21" s="214"/>
      <c r="P21" s="214"/>
      <c r="Q21" s="214"/>
      <c r="R21" s="214"/>
      <c r="S21" s="214"/>
      <c r="T21" s="214"/>
      <c r="U21" s="214"/>
      <c r="V21" s="214"/>
      <c r="W21" s="215"/>
      <c r="X21" s="213"/>
      <c r="Y21" s="214"/>
      <c r="Z21" s="214"/>
      <c r="AA21" s="214"/>
      <c r="AB21" s="214"/>
      <c r="AC21" s="214"/>
      <c r="AD21" s="214"/>
      <c r="AE21" s="214"/>
      <c r="AF21" s="214"/>
      <c r="AG21" s="214"/>
      <c r="AH21" s="215"/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5"/>
      <c r="AU21" s="213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21"/>
    </row>
    <row r="22" spans="2:58" ht="13" customHeight="1" x14ac:dyDescent="0.4">
      <c r="B22" s="228"/>
      <c r="C22" s="214"/>
      <c r="D22" s="214"/>
      <c r="E22" s="214"/>
      <c r="F22" s="214"/>
      <c r="G22" s="214"/>
      <c r="H22" s="214"/>
      <c r="I22" s="214"/>
      <c r="J22" s="214"/>
      <c r="K22" s="214"/>
      <c r="L22" s="215"/>
      <c r="M22" s="213"/>
      <c r="N22" s="214"/>
      <c r="O22" s="214"/>
      <c r="P22" s="214"/>
      <c r="Q22" s="214"/>
      <c r="R22" s="214"/>
      <c r="S22" s="214"/>
      <c r="T22" s="214"/>
      <c r="U22" s="214"/>
      <c r="V22" s="214"/>
      <c r="W22" s="215"/>
      <c r="X22" s="213"/>
      <c r="Y22" s="214"/>
      <c r="Z22" s="214"/>
      <c r="AA22" s="214"/>
      <c r="AB22" s="214"/>
      <c r="AC22" s="214"/>
      <c r="AD22" s="214"/>
      <c r="AE22" s="214"/>
      <c r="AF22" s="214"/>
      <c r="AG22" s="214"/>
      <c r="AH22" s="215"/>
      <c r="AI22" s="213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5"/>
      <c r="AU22" s="213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21"/>
    </row>
    <row r="23" spans="2:58" ht="13" customHeight="1" x14ac:dyDescent="0.4">
      <c r="B23" s="228"/>
      <c r="C23" s="214"/>
      <c r="D23" s="214"/>
      <c r="E23" s="214"/>
      <c r="F23" s="214"/>
      <c r="G23" s="214"/>
      <c r="H23" s="214"/>
      <c r="I23" s="214"/>
      <c r="J23" s="214"/>
      <c r="K23" s="214"/>
      <c r="L23" s="215"/>
      <c r="M23" s="213"/>
      <c r="N23" s="214"/>
      <c r="O23" s="214"/>
      <c r="P23" s="214"/>
      <c r="Q23" s="214"/>
      <c r="R23" s="214"/>
      <c r="S23" s="214"/>
      <c r="T23" s="214"/>
      <c r="U23" s="214"/>
      <c r="V23" s="214"/>
      <c r="W23" s="215"/>
      <c r="X23" s="213"/>
      <c r="Y23" s="214"/>
      <c r="Z23" s="214"/>
      <c r="AA23" s="214"/>
      <c r="AB23" s="214"/>
      <c r="AC23" s="214"/>
      <c r="AD23" s="214"/>
      <c r="AE23" s="214"/>
      <c r="AF23" s="214"/>
      <c r="AG23" s="214"/>
      <c r="AH23" s="215"/>
      <c r="AI23" s="213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5"/>
      <c r="AU23" s="213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21"/>
    </row>
    <row r="24" spans="2:58" ht="13" customHeight="1" x14ac:dyDescent="0.4">
      <c r="B24" s="229"/>
      <c r="C24" s="217"/>
      <c r="D24" s="217"/>
      <c r="E24" s="217"/>
      <c r="F24" s="217"/>
      <c r="G24" s="217"/>
      <c r="H24" s="217"/>
      <c r="I24" s="217"/>
      <c r="J24" s="217"/>
      <c r="K24" s="217"/>
      <c r="L24" s="174"/>
      <c r="M24" s="216"/>
      <c r="N24" s="217"/>
      <c r="O24" s="217"/>
      <c r="P24" s="217"/>
      <c r="Q24" s="217"/>
      <c r="R24" s="217"/>
      <c r="S24" s="217"/>
      <c r="T24" s="217"/>
      <c r="U24" s="217"/>
      <c r="V24" s="217"/>
      <c r="W24" s="174"/>
      <c r="X24" s="216"/>
      <c r="Y24" s="217"/>
      <c r="Z24" s="217"/>
      <c r="AA24" s="217"/>
      <c r="AB24" s="217"/>
      <c r="AC24" s="217"/>
      <c r="AD24" s="217"/>
      <c r="AE24" s="217"/>
      <c r="AF24" s="217"/>
      <c r="AG24" s="217"/>
      <c r="AH24" s="174"/>
      <c r="AI24" s="216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174"/>
      <c r="AU24" s="216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22"/>
    </row>
    <row r="25" spans="2:58" ht="13" customHeight="1" x14ac:dyDescent="0.4">
      <c r="B25" s="206" t="s">
        <v>246</v>
      </c>
      <c r="C25" s="204"/>
      <c r="D25" s="204"/>
      <c r="E25" s="204"/>
      <c r="F25" s="204"/>
      <c r="G25" s="204"/>
      <c r="H25" s="204"/>
      <c r="I25" s="204"/>
      <c r="J25" s="204"/>
      <c r="K25" s="204"/>
      <c r="L25" s="175"/>
      <c r="M25" s="181" t="s">
        <v>247</v>
      </c>
      <c r="N25" s="204"/>
      <c r="O25" s="204"/>
      <c r="P25" s="204"/>
      <c r="Q25" s="204"/>
      <c r="R25" s="204"/>
      <c r="S25" s="204"/>
      <c r="T25" s="204"/>
      <c r="U25" s="204"/>
      <c r="V25" s="204"/>
      <c r="W25" s="175"/>
      <c r="X25" s="207" t="s">
        <v>248</v>
      </c>
      <c r="Y25" s="204"/>
      <c r="Z25" s="204"/>
      <c r="AA25" s="204"/>
      <c r="AB25" s="204"/>
      <c r="AC25" s="204"/>
      <c r="AD25" s="204"/>
      <c r="AE25" s="204"/>
      <c r="AF25" s="204"/>
      <c r="AG25" s="204"/>
      <c r="AH25" s="175"/>
      <c r="AI25" s="157" t="s">
        <v>249</v>
      </c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175"/>
      <c r="AU25" s="157" t="s">
        <v>250</v>
      </c>
      <c r="AV25" s="204"/>
      <c r="AW25" s="204"/>
      <c r="AX25" s="204"/>
      <c r="AY25" s="204"/>
      <c r="AZ25" s="204"/>
      <c r="BA25" s="204"/>
      <c r="BB25" s="204"/>
      <c r="BC25" s="204"/>
      <c r="BD25" s="204"/>
      <c r="BE25" s="204"/>
      <c r="BF25" s="208"/>
    </row>
    <row r="26" spans="2:58" ht="13" customHeight="1" x14ac:dyDescent="0.4">
      <c r="B26" s="227"/>
      <c r="C26" s="211"/>
      <c r="D26" s="211"/>
      <c r="E26" s="211"/>
      <c r="F26" s="211"/>
      <c r="G26" s="211"/>
      <c r="H26" s="211"/>
      <c r="I26" s="211"/>
      <c r="J26" s="211"/>
      <c r="K26" s="211"/>
      <c r="L26" s="212"/>
      <c r="M26" s="235"/>
      <c r="N26" s="211"/>
      <c r="O26" s="211"/>
      <c r="P26" s="211"/>
      <c r="Q26" s="211"/>
      <c r="R26" s="211"/>
      <c r="S26" s="211"/>
      <c r="T26" s="211"/>
      <c r="U26" s="211"/>
      <c r="V26" s="211"/>
      <c r="W26" s="212"/>
      <c r="X26" s="231"/>
      <c r="Y26" s="211"/>
      <c r="Z26" s="211"/>
      <c r="AA26" s="211"/>
      <c r="AB26" s="211"/>
      <c r="AC26" s="211"/>
      <c r="AD26" s="211"/>
      <c r="AE26" s="211"/>
      <c r="AF26" s="211"/>
      <c r="AG26" s="211"/>
      <c r="AH26" s="212"/>
      <c r="AI26" s="219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2"/>
      <c r="AU26" s="219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20"/>
    </row>
    <row r="27" spans="2:58" ht="13" customHeight="1" x14ac:dyDescent="0.4">
      <c r="B27" s="228"/>
      <c r="C27" s="214"/>
      <c r="D27" s="214"/>
      <c r="E27" s="214"/>
      <c r="F27" s="214"/>
      <c r="G27" s="214"/>
      <c r="H27" s="214"/>
      <c r="I27" s="214"/>
      <c r="J27" s="214"/>
      <c r="K27" s="214"/>
      <c r="L27" s="215"/>
      <c r="M27" s="213"/>
      <c r="N27" s="214"/>
      <c r="O27" s="214"/>
      <c r="P27" s="214"/>
      <c r="Q27" s="214"/>
      <c r="R27" s="214"/>
      <c r="S27" s="214"/>
      <c r="T27" s="214"/>
      <c r="U27" s="214"/>
      <c r="V27" s="214"/>
      <c r="W27" s="215"/>
      <c r="X27" s="213"/>
      <c r="Y27" s="214"/>
      <c r="Z27" s="214"/>
      <c r="AA27" s="214"/>
      <c r="AB27" s="214"/>
      <c r="AC27" s="214"/>
      <c r="AD27" s="214"/>
      <c r="AE27" s="214"/>
      <c r="AF27" s="214"/>
      <c r="AG27" s="214"/>
      <c r="AH27" s="215"/>
      <c r="AI27" s="213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5"/>
      <c r="AU27" s="213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21"/>
    </row>
    <row r="28" spans="2:58" ht="13" customHeight="1" x14ac:dyDescent="0.4">
      <c r="B28" s="228"/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M28" s="213"/>
      <c r="N28" s="214"/>
      <c r="O28" s="214"/>
      <c r="P28" s="214"/>
      <c r="Q28" s="214"/>
      <c r="R28" s="214"/>
      <c r="S28" s="214"/>
      <c r="T28" s="214"/>
      <c r="U28" s="214"/>
      <c r="V28" s="214"/>
      <c r="W28" s="215"/>
      <c r="X28" s="213"/>
      <c r="Y28" s="214"/>
      <c r="Z28" s="214"/>
      <c r="AA28" s="214"/>
      <c r="AB28" s="214"/>
      <c r="AC28" s="214"/>
      <c r="AD28" s="214"/>
      <c r="AE28" s="214"/>
      <c r="AF28" s="214"/>
      <c r="AG28" s="214"/>
      <c r="AH28" s="215"/>
      <c r="AI28" s="213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5"/>
      <c r="AU28" s="213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21"/>
    </row>
    <row r="29" spans="2:58" ht="13" customHeight="1" x14ac:dyDescent="0.4">
      <c r="B29" s="228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M29" s="213"/>
      <c r="N29" s="214"/>
      <c r="O29" s="214"/>
      <c r="P29" s="214"/>
      <c r="Q29" s="214"/>
      <c r="R29" s="214"/>
      <c r="S29" s="214"/>
      <c r="T29" s="214"/>
      <c r="U29" s="214"/>
      <c r="V29" s="214"/>
      <c r="W29" s="215"/>
      <c r="X29" s="213"/>
      <c r="Y29" s="214"/>
      <c r="Z29" s="214"/>
      <c r="AA29" s="214"/>
      <c r="AB29" s="214"/>
      <c r="AC29" s="214"/>
      <c r="AD29" s="214"/>
      <c r="AE29" s="214"/>
      <c r="AF29" s="214"/>
      <c r="AG29" s="214"/>
      <c r="AH29" s="215"/>
      <c r="AI29" s="213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5"/>
      <c r="AU29" s="213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21"/>
    </row>
    <row r="30" spans="2:58" ht="13" customHeight="1" x14ac:dyDescent="0.4">
      <c r="B30" s="228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M30" s="213"/>
      <c r="N30" s="214"/>
      <c r="O30" s="214"/>
      <c r="P30" s="214"/>
      <c r="Q30" s="214"/>
      <c r="R30" s="214"/>
      <c r="S30" s="214"/>
      <c r="T30" s="214"/>
      <c r="U30" s="214"/>
      <c r="V30" s="214"/>
      <c r="W30" s="215"/>
      <c r="X30" s="213"/>
      <c r="Y30" s="214"/>
      <c r="Z30" s="214"/>
      <c r="AA30" s="214"/>
      <c r="AB30" s="214"/>
      <c r="AC30" s="214"/>
      <c r="AD30" s="214"/>
      <c r="AE30" s="214"/>
      <c r="AF30" s="214"/>
      <c r="AG30" s="214"/>
      <c r="AH30" s="215"/>
      <c r="AI30" s="213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5"/>
      <c r="AU30" s="213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21"/>
    </row>
    <row r="31" spans="2:58" ht="13" customHeight="1" x14ac:dyDescent="0.4">
      <c r="B31" s="229"/>
      <c r="C31" s="217"/>
      <c r="D31" s="217"/>
      <c r="E31" s="217"/>
      <c r="F31" s="217"/>
      <c r="G31" s="217"/>
      <c r="H31" s="217"/>
      <c r="I31" s="217"/>
      <c r="J31" s="217"/>
      <c r="K31" s="217"/>
      <c r="L31" s="174"/>
      <c r="M31" s="216"/>
      <c r="N31" s="217"/>
      <c r="O31" s="217"/>
      <c r="P31" s="217"/>
      <c r="Q31" s="217"/>
      <c r="R31" s="217"/>
      <c r="S31" s="217"/>
      <c r="T31" s="217"/>
      <c r="U31" s="217"/>
      <c r="V31" s="217"/>
      <c r="W31" s="174"/>
      <c r="X31" s="216"/>
      <c r="Y31" s="217"/>
      <c r="Z31" s="217"/>
      <c r="AA31" s="217"/>
      <c r="AB31" s="217"/>
      <c r="AC31" s="217"/>
      <c r="AD31" s="217"/>
      <c r="AE31" s="217"/>
      <c r="AF31" s="217"/>
      <c r="AG31" s="217"/>
      <c r="AH31" s="174"/>
      <c r="AI31" s="216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174"/>
      <c r="AU31" s="216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22"/>
    </row>
    <row r="32" spans="2:58" ht="13" customHeight="1" x14ac:dyDescent="0.4">
      <c r="B32" s="206" t="s">
        <v>251</v>
      </c>
      <c r="C32" s="204"/>
      <c r="D32" s="204"/>
      <c r="E32" s="204"/>
      <c r="F32" s="204"/>
      <c r="G32" s="204"/>
      <c r="H32" s="204"/>
      <c r="I32" s="204"/>
      <c r="J32" s="204"/>
      <c r="K32" s="204"/>
      <c r="L32" s="175"/>
      <c r="M32" s="209" t="s">
        <v>252</v>
      </c>
      <c r="N32" s="204"/>
      <c r="O32" s="204"/>
      <c r="P32" s="204"/>
      <c r="Q32" s="204"/>
      <c r="R32" s="204"/>
      <c r="S32" s="204"/>
      <c r="T32" s="204"/>
      <c r="U32" s="204"/>
      <c r="V32" s="204"/>
      <c r="W32" s="175"/>
      <c r="X32" s="207" t="s">
        <v>253</v>
      </c>
      <c r="Y32" s="204"/>
      <c r="Z32" s="204"/>
      <c r="AA32" s="204"/>
      <c r="AB32" s="204"/>
      <c r="AC32" s="204"/>
      <c r="AD32" s="204"/>
      <c r="AE32" s="204"/>
      <c r="AF32" s="204"/>
      <c r="AG32" s="204"/>
      <c r="AH32" s="175"/>
      <c r="AI32" s="157" t="s">
        <v>254</v>
      </c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175"/>
      <c r="AU32" s="157" t="s">
        <v>255</v>
      </c>
      <c r="AV32" s="204"/>
      <c r="AW32" s="204"/>
      <c r="AX32" s="204"/>
      <c r="AY32" s="204"/>
      <c r="AZ32" s="204"/>
      <c r="BA32" s="204"/>
      <c r="BB32" s="204"/>
      <c r="BC32" s="204"/>
      <c r="BD32" s="204"/>
      <c r="BE32" s="204"/>
      <c r="BF32" s="208"/>
    </row>
    <row r="33" spans="2:58" ht="13" customHeight="1" x14ac:dyDescent="0.4">
      <c r="B33" s="227"/>
      <c r="C33" s="211"/>
      <c r="D33" s="211"/>
      <c r="E33" s="211"/>
      <c r="F33" s="211"/>
      <c r="G33" s="211"/>
      <c r="H33" s="211"/>
      <c r="I33" s="211"/>
      <c r="J33" s="211"/>
      <c r="K33" s="211"/>
      <c r="L33" s="212"/>
      <c r="M33" s="230"/>
      <c r="N33" s="211"/>
      <c r="O33" s="211"/>
      <c r="P33" s="211"/>
      <c r="Q33" s="211"/>
      <c r="R33" s="211"/>
      <c r="S33" s="211"/>
      <c r="T33" s="211"/>
      <c r="U33" s="211"/>
      <c r="V33" s="211"/>
      <c r="W33" s="212"/>
      <c r="X33" s="231"/>
      <c r="Y33" s="211"/>
      <c r="Z33" s="211"/>
      <c r="AA33" s="211"/>
      <c r="AB33" s="211"/>
      <c r="AC33" s="211"/>
      <c r="AD33" s="211"/>
      <c r="AE33" s="211"/>
      <c r="AF33" s="211"/>
      <c r="AG33" s="211"/>
      <c r="AH33" s="212"/>
      <c r="AI33" s="219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2"/>
      <c r="AU33" s="219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20"/>
    </row>
    <row r="34" spans="2:58" ht="13" customHeight="1" x14ac:dyDescent="0.4">
      <c r="B34" s="228"/>
      <c r="C34" s="214"/>
      <c r="D34" s="214"/>
      <c r="E34" s="214"/>
      <c r="F34" s="214"/>
      <c r="G34" s="214"/>
      <c r="H34" s="214"/>
      <c r="I34" s="214"/>
      <c r="J34" s="214"/>
      <c r="K34" s="214"/>
      <c r="L34" s="215"/>
      <c r="M34" s="213"/>
      <c r="N34" s="214"/>
      <c r="O34" s="214"/>
      <c r="P34" s="214"/>
      <c r="Q34" s="214"/>
      <c r="R34" s="214"/>
      <c r="S34" s="214"/>
      <c r="T34" s="214"/>
      <c r="U34" s="214"/>
      <c r="V34" s="214"/>
      <c r="W34" s="215"/>
      <c r="X34" s="213"/>
      <c r="Y34" s="214"/>
      <c r="Z34" s="214"/>
      <c r="AA34" s="214"/>
      <c r="AB34" s="214"/>
      <c r="AC34" s="214"/>
      <c r="AD34" s="214"/>
      <c r="AE34" s="214"/>
      <c r="AF34" s="214"/>
      <c r="AG34" s="214"/>
      <c r="AH34" s="215"/>
      <c r="AI34" s="213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5"/>
      <c r="AU34" s="213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21"/>
    </row>
    <row r="35" spans="2:58" ht="13" customHeight="1" x14ac:dyDescent="0.4">
      <c r="B35" s="228"/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M35" s="213"/>
      <c r="N35" s="214"/>
      <c r="O35" s="214"/>
      <c r="P35" s="214"/>
      <c r="Q35" s="214"/>
      <c r="R35" s="214"/>
      <c r="S35" s="214"/>
      <c r="T35" s="214"/>
      <c r="U35" s="214"/>
      <c r="V35" s="214"/>
      <c r="W35" s="215"/>
      <c r="X35" s="213"/>
      <c r="Y35" s="214"/>
      <c r="Z35" s="214"/>
      <c r="AA35" s="214"/>
      <c r="AB35" s="214"/>
      <c r="AC35" s="214"/>
      <c r="AD35" s="214"/>
      <c r="AE35" s="214"/>
      <c r="AF35" s="214"/>
      <c r="AG35" s="214"/>
      <c r="AH35" s="215"/>
      <c r="AI35" s="213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5"/>
      <c r="AU35" s="213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21"/>
    </row>
    <row r="36" spans="2:58" ht="13" customHeight="1" x14ac:dyDescent="0.4">
      <c r="B36" s="228"/>
      <c r="C36" s="214"/>
      <c r="D36" s="214"/>
      <c r="E36" s="214"/>
      <c r="F36" s="214"/>
      <c r="G36" s="214"/>
      <c r="H36" s="214"/>
      <c r="I36" s="214"/>
      <c r="J36" s="214"/>
      <c r="K36" s="214"/>
      <c r="L36" s="215"/>
      <c r="M36" s="213"/>
      <c r="N36" s="214"/>
      <c r="O36" s="214"/>
      <c r="P36" s="214"/>
      <c r="Q36" s="214"/>
      <c r="R36" s="214"/>
      <c r="S36" s="214"/>
      <c r="T36" s="214"/>
      <c r="U36" s="214"/>
      <c r="V36" s="214"/>
      <c r="W36" s="215"/>
      <c r="X36" s="213"/>
      <c r="Y36" s="214"/>
      <c r="Z36" s="214"/>
      <c r="AA36" s="214"/>
      <c r="AB36" s="214"/>
      <c r="AC36" s="214"/>
      <c r="AD36" s="214"/>
      <c r="AE36" s="214"/>
      <c r="AF36" s="214"/>
      <c r="AG36" s="214"/>
      <c r="AH36" s="215"/>
      <c r="AI36" s="213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5"/>
      <c r="AU36" s="213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21"/>
    </row>
    <row r="37" spans="2:58" ht="13" customHeight="1" x14ac:dyDescent="0.4">
      <c r="B37" s="228"/>
      <c r="C37" s="214"/>
      <c r="D37" s="214"/>
      <c r="E37" s="214"/>
      <c r="F37" s="214"/>
      <c r="G37" s="214"/>
      <c r="H37" s="214"/>
      <c r="I37" s="214"/>
      <c r="J37" s="214"/>
      <c r="K37" s="214"/>
      <c r="L37" s="215"/>
      <c r="M37" s="213"/>
      <c r="N37" s="214"/>
      <c r="O37" s="214"/>
      <c r="P37" s="214"/>
      <c r="Q37" s="214"/>
      <c r="R37" s="214"/>
      <c r="S37" s="214"/>
      <c r="T37" s="214"/>
      <c r="U37" s="214"/>
      <c r="V37" s="214"/>
      <c r="W37" s="215"/>
      <c r="X37" s="213"/>
      <c r="Y37" s="214"/>
      <c r="Z37" s="214"/>
      <c r="AA37" s="214"/>
      <c r="AB37" s="214"/>
      <c r="AC37" s="214"/>
      <c r="AD37" s="214"/>
      <c r="AE37" s="214"/>
      <c r="AF37" s="214"/>
      <c r="AG37" s="214"/>
      <c r="AH37" s="215"/>
      <c r="AI37" s="213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5"/>
      <c r="AU37" s="213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21"/>
    </row>
    <row r="38" spans="2:58" ht="13" customHeight="1" x14ac:dyDescent="0.4">
      <c r="B38" s="229"/>
      <c r="C38" s="217"/>
      <c r="D38" s="217"/>
      <c r="E38" s="217"/>
      <c r="F38" s="217"/>
      <c r="G38" s="217"/>
      <c r="H38" s="217"/>
      <c r="I38" s="217"/>
      <c r="J38" s="217"/>
      <c r="K38" s="217"/>
      <c r="L38" s="174"/>
      <c r="M38" s="216"/>
      <c r="N38" s="217"/>
      <c r="O38" s="217"/>
      <c r="P38" s="217"/>
      <c r="Q38" s="217"/>
      <c r="R38" s="217"/>
      <c r="S38" s="217"/>
      <c r="T38" s="217"/>
      <c r="U38" s="217"/>
      <c r="V38" s="217"/>
      <c r="W38" s="174"/>
      <c r="X38" s="216"/>
      <c r="Y38" s="217"/>
      <c r="Z38" s="217"/>
      <c r="AA38" s="217"/>
      <c r="AB38" s="217"/>
      <c r="AC38" s="217"/>
      <c r="AD38" s="217"/>
      <c r="AE38" s="217"/>
      <c r="AF38" s="217"/>
      <c r="AG38" s="217"/>
      <c r="AH38" s="174"/>
      <c r="AI38" s="216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174"/>
      <c r="AU38" s="216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22"/>
    </row>
    <row r="39" spans="2:58" ht="13" customHeight="1" x14ac:dyDescent="0.4">
      <c r="B39" s="206" t="s">
        <v>256</v>
      </c>
      <c r="C39" s="204"/>
      <c r="D39" s="204"/>
      <c r="E39" s="204"/>
      <c r="F39" s="204"/>
      <c r="G39" s="204"/>
      <c r="H39" s="204"/>
      <c r="I39" s="204"/>
      <c r="J39" s="204"/>
      <c r="K39" s="204"/>
      <c r="L39" s="175"/>
      <c r="M39" s="209" t="s">
        <v>257</v>
      </c>
      <c r="N39" s="204"/>
      <c r="O39" s="204"/>
      <c r="P39" s="204"/>
      <c r="Q39" s="204"/>
      <c r="R39" s="204"/>
      <c r="S39" s="204"/>
      <c r="T39" s="204"/>
      <c r="U39" s="204"/>
      <c r="V39" s="204"/>
      <c r="W39" s="175"/>
      <c r="X39" s="207" t="s">
        <v>258</v>
      </c>
      <c r="Y39" s="204"/>
      <c r="Z39" s="204"/>
      <c r="AA39" s="204"/>
      <c r="AB39" s="204"/>
      <c r="AC39" s="204"/>
      <c r="AD39" s="204"/>
      <c r="AE39" s="204"/>
      <c r="AF39" s="204"/>
      <c r="AG39" s="204"/>
      <c r="AH39" s="175"/>
      <c r="AI39" s="157" t="s">
        <v>259</v>
      </c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175"/>
      <c r="AU39" s="157" t="s">
        <v>260</v>
      </c>
      <c r="AV39" s="204"/>
      <c r="AW39" s="204"/>
      <c r="AX39" s="204"/>
      <c r="AY39" s="204"/>
      <c r="AZ39" s="204"/>
      <c r="BA39" s="204"/>
      <c r="BB39" s="204"/>
      <c r="BC39" s="204"/>
      <c r="BD39" s="204"/>
      <c r="BE39" s="204"/>
      <c r="BF39" s="208"/>
    </row>
    <row r="40" spans="2:58" ht="13" customHeight="1" x14ac:dyDescent="0.4">
      <c r="B40" s="227"/>
      <c r="C40" s="211"/>
      <c r="D40" s="211"/>
      <c r="E40" s="211"/>
      <c r="F40" s="211"/>
      <c r="G40" s="211"/>
      <c r="H40" s="211"/>
      <c r="I40" s="211"/>
      <c r="J40" s="211"/>
      <c r="K40" s="211"/>
      <c r="L40" s="212"/>
      <c r="M40" s="230"/>
      <c r="N40" s="211"/>
      <c r="O40" s="211"/>
      <c r="P40" s="211"/>
      <c r="Q40" s="211"/>
      <c r="R40" s="211"/>
      <c r="S40" s="211"/>
      <c r="T40" s="211"/>
      <c r="U40" s="211"/>
      <c r="V40" s="211"/>
      <c r="W40" s="212"/>
      <c r="X40" s="231"/>
      <c r="Y40" s="211"/>
      <c r="Z40" s="211"/>
      <c r="AA40" s="211"/>
      <c r="AB40" s="211"/>
      <c r="AC40" s="211"/>
      <c r="AD40" s="211"/>
      <c r="AE40" s="211"/>
      <c r="AF40" s="211"/>
      <c r="AG40" s="211"/>
      <c r="AH40" s="212"/>
      <c r="AI40" s="219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2"/>
      <c r="AU40" s="219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20"/>
    </row>
    <row r="41" spans="2:58" ht="13" customHeight="1" x14ac:dyDescent="0.4">
      <c r="B41" s="228"/>
      <c r="C41" s="214"/>
      <c r="D41" s="214"/>
      <c r="E41" s="214"/>
      <c r="F41" s="214"/>
      <c r="G41" s="214"/>
      <c r="H41" s="214"/>
      <c r="I41" s="214"/>
      <c r="J41" s="214"/>
      <c r="K41" s="214"/>
      <c r="L41" s="215"/>
      <c r="M41" s="213"/>
      <c r="N41" s="214"/>
      <c r="O41" s="214"/>
      <c r="P41" s="214"/>
      <c r="Q41" s="214"/>
      <c r="R41" s="214"/>
      <c r="S41" s="214"/>
      <c r="T41" s="214"/>
      <c r="U41" s="214"/>
      <c r="V41" s="214"/>
      <c r="W41" s="215"/>
      <c r="X41" s="213"/>
      <c r="Y41" s="214"/>
      <c r="Z41" s="214"/>
      <c r="AA41" s="214"/>
      <c r="AB41" s="214"/>
      <c r="AC41" s="214"/>
      <c r="AD41" s="214"/>
      <c r="AE41" s="214"/>
      <c r="AF41" s="214"/>
      <c r="AG41" s="214"/>
      <c r="AH41" s="215"/>
      <c r="AI41" s="213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5"/>
      <c r="AU41" s="213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21"/>
    </row>
    <row r="42" spans="2:58" ht="13" customHeight="1" x14ac:dyDescent="0.4">
      <c r="B42" s="228"/>
      <c r="C42" s="214"/>
      <c r="D42" s="214"/>
      <c r="E42" s="214"/>
      <c r="F42" s="214"/>
      <c r="G42" s="214"/>
      <c r="H42" s="214"/>
      <c r="I42" s="214"/>
      <c r="J42" s="214"/>
      <c r="K42" s="214"/>
      <c r="L42" s="215"/>
      <c r="M42" s="213"/>
      <c r="N42" s="214"/>
      <c r="O42" s="214"/>
      <c r="P42" s="214"/>
      <c r="Q42" s="214"/>
      <c r="R42" s="214"/>
      <c r="S42" s="214"/>
      <c r="T42" s="214"/>
      <c r="U42" s="214"/>
      <c r="V42" s="214"/>
      <c r="W42" s="215"/>
      <c r="X42" s="213"/>
      <c r="Y42" s="214"/>
      <c r="Z42" s="214"/>
      <c r="AA42" s="214"/>
      <c r="AB42" s="214"/>
      <c r="AC42" s="214"/>
      <c r="AD42" s="214"/>
      <c r="AE42" s="214"/>
      <c r="AF42" s="214"/>
      <c r="AG42" s="214"/>
      <c r="AH42" s="215"/>
      <c r="AI42" s="213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5"/>
      <c r="AU42" s="213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21"/>
    </row>
    <row r="43" spans="2:58" ht="13" customHeight="1" x14ac:dyDescent="0.4">
      <c r="B43" s="228"/>
      <c r="C43" s="214"/>
      <c r="D43" s="214"/>
      <c r="E43" s="214"/>
      <c r="F43" s="214"/>
      <c r="G43" s="214"/>
      <c r="H43" s="214"/>
      <c r="I43" s="214"/>
      <c r="J43" s="214"/>
      <c r="K43" s="214"/>
      <c r="L43" s="215"/>
      <c r="M43" s="213"/>
      <c r="N43" s="214"/>
      <c r="O43" s="214"/>
      <c r="P43" s="214"/>
      <c r="Q43" s="214"/>
      <c r="R43" s="214"/>
      <c r="S43" s="214"/>
      <c r="T43" s="214"/>
      <c r="U43" s="214"/>
      <c r="V43" s="214"/>
      <c r="W43" s="215"/>
      <c r="X43" s="213"/>
      <c r="Y43" s="214"/>
      <c r="Z43" s="214"/>
      <c r="AA43" s="214"/>
      <c r="AB43" s="214"/>
      <c r="AC43" s="214"/>
      <c r="AD43" s="214"/>
      <c r="AE43" s="214"/>
      <c r="AF43" s="214"/>
      <c r="AG43" s="214"/>
      <c r="AH43" s="215"/>
      <c r="AI43" s="213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5"/>
      <c r="AU43" s="213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21"/>
    </row>
    <row r="44" spans="2:58" ht="13" customHeight="1" x14ac:dyDescent="0.4">
      <c r="B44" s="228"/>
      <c r="C44" s="214"/>
      <c r="D44" s="214"/>
      <c r="E44" s="214"/>
      <c r="F44" s="214"/>
      <c r="G44" s="214"/>
      <c r="H44" s="214"/>
      <c r="I44" s="214"/>
      <c r="J44" s="214"/>
      <c r="K44" s="214"/>
      <c r="L44" s="215"/>
      <c r="M44" s="213"/>
      <c r="N44" s="214"/>
      <c r="O44" s="214"/>
      <c r="P44" s="214"/>
      <c r="Q44" s="214"/>
      <c r="R44" s="214"/>
      <c r="S44" s="214"/>
      <c r="T44" s="214"/>
      <c r="U44" s="214"/>
      <c r="V44" s="214"/>
      <c r="W44" s="215"/>
      <c r="X44" s="213"/>
      <c r="Y44" s="214"/>
      <c r="Z44" s="214"/>
      <c r="AA44" s="214"/>
      <c r="AB44" s="214"/>
      <c r="AC44" s="214"/>
      <c r="AD44" s="214"/>
      <c r="AE44" s="214"/>
      <c r="AF44" s="214"/>
      <c r="AG44" s="214"/>
      <c r="AH44" s="215"/>
      <c r="AI44" s="213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5"/>
      <c r="AU44" s="213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21"/>
    </row>
    <row r="45" spans="2:58" ht="13" customHeight="1" x14ac:dyDescent="0.4">
      <c r="B45" s="229"/>
      <c r="C45" s="217"/>
      <c r="D45" s="217"/>
      <c r="E45" s="217"/>
      <c r="F45" s="217"/>
      <c r="G45" s="217"/>
      <c r="H45" s="217"/>
      <c r="I45" s="217"/>
      <c r="J45" s="217"/>
      <c r="K45" s="217"/>
      <c r="L45" s="174"/>
      <c r="M45" s="216"/>
      <c r="N45" s="217"/>
      <c r="O45" s="217"/>
      <c r="P45" s="217"/>
      <c r="Q45" s="217"/>
      <c r="R45" s="217"/>
      <c r="S45" s="217"/>
      <c r="T45" s="217"/>
      <c r="U45" s="217"/>
      <c r="V45" s="217"/>
      <c r="W45" s="174"/>
      <c r="X45" s="216"/>
      <c r="Y45" s="217"/>
      <c r="Z45" s="217"/>
      <c r="AA45" s="217"/>
      <c r="AB45" s="217"/>
      <c r="AC45" s="217"/>
      <c r="AD45" s="217"/>
      <c r="AE45" s="217"/>
      <c r="AF45" s="217"/>
      <c r="AG45" s="217"/>
      <c r="AH45" s="174"/>
      <c r="AI45" s="216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174"/>
      <c r="AU45" s="216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22"/>
    </row>
    <row r="46" spans="2:58" ht="13" customHeight="1" x14ac:dyDescent="0.4">
      <c r="B46" s="206" t="s">
        <v>261</v>
      </c>
      <c r="C46" s="204"/>
      <c r="D46" s="204"/>
      <c r="E46" s="204"/>
      <c r="F46" s="204"/>
      <c r="G46" s="204"/>
      <c r="H46" s="204"/>
      <c r="I46" s="204"/>
      <c r="J46" s="204"/>
      <c r="K46" s="204"/>
      <c r="L46" s="175"/>
      <c r="M46" s="181" t="s">
        <v>262</v>
      </c>
      <c r="N46" s="204"/>
      <c r="O46" s="204"/>
      <c r="P46" s="204"/>
      <c r="Q46" s="204"/>
      <c r="R46" s="204"/>
      <c r="S46" s="204"/>
      <c r="T46" s="204"/>
      <c r="U46" s="204"/>
      <c r="V46" s="204"/>
      <c r="W46" s="175"/>
      <c r="X46" s="207" t="s">
        <v>263</v>
      </c>
      <c r="Y46" s="204"/>
      <c r="Z46" s="204"/>
      <c r="AA46" s="204"/>
      <c r="AB46" s="204"/>
      <c r="AC46" s="204"/>
      <c r="AD46" s="204"/>
      <c r="AE46" s="204"/>
      <c r="AF46" s="204"/>
      <c r="AG46" s="204"/>
      <c r="AH46" s="175"/>
      <c r="AI46" s="157" t="s">
        <v>264</v>
      </c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175"/>
      <c r="AU46" s="157" t="s">
        <v>265</v>
      </c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8"/>
    </row>
    <row r="47" spans="2:58" ht="13" customHeight="1" x14ac:dyDescent="0.4">
      <c r="B47" s="227"/>
      <c r="C47" s="211"/>
      <c r="D47" s="211"/>
      <c r="E47" s="211"/>
      <c r="F47" s="211"/>
      <c r="G47" s="211"/>
      <c r="H47" s="211"/>
      <c r="I47" s="211"/>
      <c r="J47" s="211"/>
      <c r="K47" s="211"/>
      <c r="L47" s="212"/>
      <c r="M47" s="230"/>
      <c r="N47" s="211"/>
      <c r="O47" s="211"/>
      <c r="P47" s="211"/>
      <c r="Q47" s="211"/>
      <c r="R47" s="211"/>
      <c r="S47" s="211"/>
      <c r="T47" s="211"/>
      <c r="U47" s="211"/>
      <c r="V47" s="211"/>
      <c r="W47" s="212"/>
      <c r="X47" s="231"/>
      <c r="Y47" s="211"/>
      <c r="Z47" s="211"/>
      <c r="AA47" s="211"/>
      <c r="AB47" s="211"/>
      <c r="AC47" s="211"/>
      <c r="AD47" s="211"/>
      <c r="AE47" s="211"/>
      <c r="AF47" s="211"/>
      <c r="AG47" s="211"/>
      <c r="AH47" s="212"/>
      <c r="AI47" s="219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2"/>
      <c r="AU47" s="219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20"/>
    </row>
    <row r="48" spans="2:58" ht="13" customHeight="1" x14ac:dyDescent="0.4">
      <c r="B48" s="228"/>
      <c r="C48" s="214"/>
      <c r="D48" s="214"/>
      <c r="E48" s="214"/>
      <c r="F48" s="214"/>
      <c r="G48" s="214"/>
      <c r="H48" s="214"/>
      <c r="I48" s="214"/>
      <c r="J48" s="214"/>
      <c r="K48" s="214"/>
      <c r="L48" s="215"/>
      <c r="M48" s="213"/>
      <c r="N48" s="214"/>
      <c r="O48" s="214"/>
      <c r="P48" s="214"/>
      <c r="Q48" s="214"/>
      <c r="R48" s="214"/>
      <c r="S48" s="214"/>
      <c r="T48" s="214"/>
      <c r="U48" s="214"/>
      <c r="V48" s="214"/>
      <c r="W48" s="215"/>
      <c r="X48" s="213"/>
      <c r="Y48" s="214"/>
      <c r="Z48" s="214"/>
      <c r="AA48" s="214"/>
      <c r="AB48" s="214"/>
      <c r="AC48" s="214"/>
      <c r="AD48" s="214"/>
      <c r="AE48" s="214"/>
      <c r="AF48" s="214"/>
      <c r="AG48" s="214"/>
      <c r="AH48" s="215"/>
      <c r="AI48" s="213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5"/>
      <c r="AU48" s="213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21"/>
    </row>
    <row r="49" spans="2:58" ht="13" customHeight="1" x14ac:dyDescent="0.4">
      <c r="B49" s="228"/>
      <c r="C49" s="214"/>
      <c r="D49" s="214"/>
      <c r="E49" s="214"/>
      <c r="F49" s="214"/>
      <c r="G49" s="214"/>
      <c r="H49" s="214"/>
      <c r="I49" s="214"/>
      <c r="J49" s="214"/>
      <c r="K49" s="214"/>
      <c r="L49" s="215"/>
      <c r="M49" s="213"/>
      <c r="N49" s="214"/>
      <c r="O49" s="214"/>
      <c r="P49" s="214"/>
      <c r="Q49" s="214"/>
      <c r="R49" s="214"/>
      <c r="S49" s="214"/>
      <c r="T49" s="214"/>
      <c r="U49" s="214"/>
      <c r="V49" s="214"/>
      <c r="W49" s="215"/>
      <c r="X49" s="213"/>
      <c r="Y49" s="214"/>
      <c r="Z49" s="214"/>
      <c r="AA49" s="214"/>
      <c r="AB49" s="214"/>
      <c r="AC49" s="214"/>
      <c r="AD49" s="214"/>
      <c r="AE49" s="214"/>
      <c r="AF49" s="214"/>
      <c r="AG49" s="214"/>
      <c r="AH49" s="215"/>
      <c r="AI49" s="213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5"/>
      <c r="AU49" s="213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21"/>
    </row>
    <row r="50" spans="2:58" ht="13" customHeight="1" x14ac:dyDescent="0.4">
      <c r="B50" s="228"/>
      <c r="C50" s="214"/>
      <c r="D50" s="214"/>
      <c r="E50" s="214"/>
      <c r="F50" s="214"/>
      <c r="G50" s="214"/>
      <c r="H50" s="214"/>
      <c r="I50" s="214"/>
      <c r="J50" s="214"/>
      <c r="K50" s="214"/>
      <c r="L50" s="215"/>
      <c r="M50" s="213"/>
      <c r="N50" s="214"/>
      <c r="O50" s="214"/>
      <c r="P50" s="214"/>
      <c r="Q50" s="214"/>
      <c r="R50" s="214"/>
      <c r="S50" s="214"/>
      <c r="T50" s="214"/>
      <c r="U50" s="214"/>
      <c r="V50" s="214"/>
      <c r="W50" s="215"/>
      <c r="X50" s="213"/>
      <c r="Y50" s="214"/>
      <c r="Z50" s="214"/>
      <c r="AA50" s="214"/>
      <c r="AB50" s="214"/>
      <c r="AC50" s="214"/>
      <c r="AD50" s="214"/>
      <c r="AE50" s="214"/>
      <c r="AF50" s="214"/>
      <c r="AG50" s="214"/>
      <c r="AH50" s="215"/>
      <c r="AI50" s="213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5"/>
      <c r="AU50" s="213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21"/>
    </row>
    <row r="51" spans="2:58" ht="13" customHeight="1" x14ac:dyDescent="0.4">
      <c r="B51" s="228"/>
      <c r="C51" s="214"/>
      <c r="D51" s="214"/>
      <c r="E51" s="214"/>
      <c r="F51" s="214"/>
      <c r="G51" s="214"/>
      <c r="H51" s="214"/>
      <c r="I51" s="214"/>
      <c r="J51" s="214"/>
      <c r="K51" s="214"/>
      <c r="L51" s="215"/>
      <c r="M51" s="213"/>
      <c r="N51" s="214"/>
      <c r="O51" s="214"/>
      <c r="P51" s="214"/>
      <c r="Q51" s="214"/>
      <c r="R51" s="214"/>
      <c r="S51" s="214"/>
      <c r="T51" s="214"/>
      <c r="U51" s="214"/>
      <c r="V51" s="214"/>
      <c r="W51" s="215"/>
      <c r="X51" s="213"/>
      <c r="Y51" s="214"/>
      <c r="Z51" s="214"/>
      <c r="AA51" s="214"/>
      <c r="AB51" s="214"/>
      <c r="AC51" s="214"/>
      <c r="AD51" s="214"/>
      <c r="AE51" s="214"/>
      <c r="AF51" s="214"/>
      <c r="AG51" s="214"/>
      <c r="AH51" s="215"/>
      <c r="AI51" s="213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5"/>
      <c r="AU51" s="213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21"/>
    </row>
    <row r="52" spans="2:58" ht="13" customHeight="1" x14ac:dyDescent="0.4">
      <c r="B52" s="229"/>
      <c r="C52" s="217"/>
      <c r="D52" s="217"/>
      <c r="E52" s="217"/>
      <c r="F52" s="217"/>
      <c r="G52" s="217"/>
      <c r="H52" s="217"/>
      <c r="I52" s="217"/>
      <c r="J52" s="217"/>
      <c r="K52" s="217"/>
      <c r="L52" s="174"/>
      <c r="M52" s="216"/>
      <c r="N52" s="217"/>
      <c r="O52" s="217"/>
      <c r="P52" s="217"/>
      <c r="Q52" s="217"/>
      <c r="R52" s="217"/>
      <c r="S52" s="217"/>
      <c r="T52" s="217"/>
      <c r="U52" s="217"/>
      <c r="V52" s="217"/>
      <c r="W52" s="174"/>
      <c r="X52" s="216"/>
      <c r="Y52" s="217"/>
      <c r="Z52" s="217"/>
      <c r="AA52" s="217"/>
      <c r="AB52" s="217"/>
      <c r="AC52" s="217"/>
      <c r="AD52" s="217"/>
      <c r="AE52" s="217"/>
      <c r="AF52" s="217"/>
      <c r="AG52" s="217"/>
      <c r="AH52" s="174"/>
      <c r="AI52" s="216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174"/>
      <c r="AU52" s="216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22"/>
    </row>
    <row r="53" spans="2:58" ht="13" customHeight="1" x14ac:dyDescent="0.4">
      <c r="B53" s="206" t="s">
        <v>266</v>
      </c>
      <c r="C53" s="204"/>
      <c r="D53" s="204"/>
      <c r="E53" s="204"/>
      <c r="F53" s="204"/>
      <c r="G53" s="204"/>
      <c r="H53" s="204"/>
      <c r="I53" s="204"/>
      <c r="J53" s="204"/>
      <c r="K53" s="204"/>
      <c r="L53" s="175"/>
      <c r="M53" s="209" t="s">
        <v>267</v>
      </c>
      <c r="N53" s="204"/>
      <c r="O53" s="204"/>
      <c r="P53" s="204"/>
      <c r="Q53" s="204"/>
      <c r="R53" s="204"/>
      <c r="S53" s="204"/>
      <c r="T53" s="204"/>
      <c r="U53" s="204"/>
      <c r="V53" s="204"/>
      <c r="W53" s="175"/>
      <c r="X53" s="207" t="s">
        <v>268</v>
      </c>
      <c r="Y53" s="204"/>
      <c r="Z53" s="204"/>
      <c r="AA53" s="204"/>
      <c r="AB53" s="204"/>
      <c r="AC53" s="204"/>
      <c r="AD53" s="204"/>
      <c r="AE53" s="204"/>
      <c r="AF53" s="204"/>
      <c r="AG53" s="204"/>
      <c r="AH53" s="175"/>
      <c r="AI53" s="157" t="s">
        <v>269</v>
      </c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175"/>
      <c r="AU53" s="157" t="s">
        <v>270</v>
      </c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8"/>
    </row>
    <row r="54" spans="2:58" ht="13" customHeight="1" x14ac:dyDescent="0.4">
      <c r="B54" s="227"/>
      <c r="C54" s="211"/>
      <c r="D54" s="211"/>
      <c r="E54" s="211"/>
      <c r="F54" s="211"/>
      <c r="G54" s="211"/>
      <c r="H54" s="211"/>
      <c r="I54" s="211"/>
      <c r="J54" s="211"/>
      <c r="K54" s="211"/>
      <c r="L54" s="212"/>
      <c r="M54" s="235"/>
      <c r="N54" s="211"/>
      <c r="O54" s="211"/>
      <c r="P54" s="211"/>
      <c r="Q54" s="211"/>
      <c r="R54" s="211"/>
      <c r="S54" s="211"/>
      <c r="T54" s="211"/>
      <c r="U54" s="211"/>
      <c r="V54" s="211"/>
      <c r="W54" s="212"/>
      <c r="X54" s="231"/>
      <c r="Y54" s="211"/>
      <c r="Z54" s="211"/>
      <c r="AA54" s="211"/>
      <c r="AB54" s="211"/>
      <c r="AC54" s="211"/>
      <c r="AD54" s="211"/>
      <c r="AE54" s="211"/>
      <c r="AF54" s="211"/>
      <c r="AG54" s="211"/>
      <c r="AH54" s="212"/>
      <c r="AI54" s="219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2"/>
      <c r="AU54" s="219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20"/>
    </row>
    <row r="55" spans="2:58" ht="13" customHeight="1" x14ac:dyDescent="0.4">
      <c r="B55" s="228"/>
      <c r="C55" s="214"/>
      <c r="D55" s="214"/>
      <c r="E55" s="214"/>
      <c r="F55" s="214"/>
      <c r="G55" s="214"/>
      <c r="H55" s="214"/>
      <c r="I55" s="214"/>
      <c r="J55" s="214"/>
      <c r="K55" s="214"/>
      <c r="L55" s="215"/>
      <c r="M55" s="213"/>
      <c r="N55" s="214"/>
      <c r="O55" s="214"/>
      <c r="P55" s="214"/>
      <c r="Q55" s="214"/>
      <c r="R55" s="214"/>
      <c r="S55" s="214"/>
      <c r="T55" s="214"/>
      <c r="U55" s="214"/>
      <c r="V55" s="214"/>
      <c r="W55" s="215"/>
      <c r="X55" s="213"/>
      <c r="Y55" s="214"/>
      <c r="Z55" s="214"/>
      <c r="AA55" s="214"/>
      <c r="AB55" s="214"/>
      <c r="AC55" s="214"/>
      <c r="AD55" s="214"/>
      <c r="AE55" s="214"/>
      <c r="AF55" s="214"/>
      <c r="AG55" s="214"/>
      <c r="AH55" s="215"/>
      <c r="AI55" s="213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5"/>
      <c r="AU55" s="213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21"/>
    </row>
    <row r="56" spans="2:58" ht="13" customHeight="1" x14ac:dyDescent="0.4">
      <c r="B56" s="228"/>
      <c r="C56" s="214"/>
      <c r="D56" s="214"/>
      <c r="E56" s="214"/>
      <c r="F56" s="214"/>
      <c r="G56" s="214"/>
      <c r="H56" s="214"/>
      <c r="I56" s="214"/>
      <c r="J56" s="214"/>
      <c r="K56" s="214"/>
      <c r="L56" s="215"/>
      <c r="M56" s="213"/>
      <c r="N56" s="214"/>
      <c r="O56" s="214"/>
      <c r="P56" s="214"/>
      <c r="Q56" s="214"/>
      <c r="R56" s="214"/>
      <c r="S56" s="214"/>
      <c r="T56" s="214"/>
      <c r="U56" s="214"/>
      <c r="V56" s="214"/>
      <c r="W56" s="215"/>
      <c r="X56" s="213"/>
      <c r="Y56" s="214"/>
      <c r="Z56" s="214"/>
      <c r="AA56" s="214"/>
      <c r="AB56" s="214"/>
      <c r="AC56" s="214"/>
      <c r="AD56" s="214"/>
      <c r="AE56" s="214"/>
      <c r="AF56" s="214"/>
      <c r="AG56" s="214"/>
      <c r="AH56" s="215"/>
      <c r="AI56" s="213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5"/>
      <c r="AU56" s="213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21"/>
    </row>
    <row r="57" spans="2:58" ht="13" customHeight="1" x14ac:dyDescent="0.4">
      <c r="B57" s="228"/>
      <c r="C57" s="214"/>
      <c r="D57" s="214"/>
      <c r="E57" s="214"/>
      <c r="F57" s="214"/>
      <c r="G57" s="214"/>
      <c r="H57" s="214"/>
      <c r="I57" s="214"/>
      <c r="J57" s="214"/>
      <c r="K57" s="214"/>
      <c r="L57" s="215"/>
      <c r="M57" s="213"/>
      <c r="N57" s="214"/>
      <c r="O57" s="214"/>
      <c r="P57" s="214"/>
      <c r="Q57" s="214"/>
      <c r="R57" s="214"/>
      <c r="S57" s="214"/>
      <c r="T57" s="214"/>
      <c r="U57" s="214"/>
      <c r="V57" s="214"/>
      <c r="W57" s="215"/>
      <c r="X57" s="213"/>
      <c r="Y57" s="214"/>
      <c r="Z57" s="214"/>
      <c r="AA57" s="214"/>
      <c r="AB57" s="214"/>
      <c r="AC57" s="214"/>
      <c r="AD57" s="214"/>
      <c r="AE57" s="214"/>
      <c r="AF57" s="214"/>
      <c r="AG57" s="214"/>
      <c r="AH57" s="215"/>
      <c r="AI57" s="213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5"/>
      <c r="AU57" s="213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21"/>
    </row>
    <row r="58" spans="2:58" ht="13" customHeight="1" x14ac:dyDescent="0.4">
      <c r="B58" s="228"/>
      <c r="C58" s="214"/>
      <c r="D58" s="214"/>
      <c r="E58" s="214"/>
      <c r="F58" s="214"/>
      <c r="G58" s="214"/>
      <c r="H58" s="214"/>
      <c r="I58" s="214"/>
      <c r="J58" s="214"/>
      <c r="K58" s="214"/>
      <c r="L58" s="215"/>
      <c r="M58" s="213"/>
      <c r="N58" s="214"/>
      <c r="O58" s="214"/>
      <c r="P58" s="214"/>
      <c r="Q58" s="214"/>
      <c r="R58" s="214"/>
      <c r="S58" s="214"/>
      <c r="T58" s="214"/>
      <c r="U58" s="214"/>
      <c r="V58" s="214"/>
      <c r="W58" s="215"/>
      <c r="X58" s="213"/>
      <c r="Y58" s="214"/>
      <c r="Z58" s="214"/>
      <c r="AA58" s="214"/>
      <c r="AB58" s="214"/>
      <c r="AC58" s="214"/>
      <c r="AD58" s="214"/>
      <c r="AE58" s="214"/>
      <c r="AF58" s="214"/>
      <c r="AG58" s="214"/>
      <c r="AH58" s="215"/>
      <c r="AI58" s="213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5"/>
      <c r="AU58" s="213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21"/>
    </row>
    <row r="59" spans="2:58" ht="13" customHeight="1" x14ac:dyDescent="0.4">
      <c r="B59" s="232"/>
      <c r="C59" s="233"/>
      <c r="D59" s="233"/>
      <c r="E59" s="233"/>
      <c r="F59" s="233"/>
      <c r="G59" s="233"/>
      <c r="H59" s="233"/>
      <c r="I59" s="233"/>
      <c r="J59" s="233"/>
      <c r="K59" s="233"/>
      <c r="L59" s="234"/>
      <c r="M59" s="236"/>
      <c r="N59" s="233"/>
      <c r="O59" s="233"/>
      <c r="P59" s="233"/>
      <c r="Q59" s="233"/>
      <c r="R59" s="233"/>
      <c r="S59" s="233"/>
      <c r="T59" s="233"/>
      <c r="U59" s="233"/>
      <c r="V59" s="233"/>
      <c r="W59" s="234"/>
      <c r="X59" s="236"/>
      <c r="Y59" s="233"/>
      <c r="Z59" s="233"/>
      <c r="AA59" s="233"/>
      <c r="AB59" s="233"/>
      <c r="AC59" s="233"/>
      <c r="AD59" s="233"/>
      <c r="AE59" s="233"/>
      <c r="AF59" s="233"/>
      <c r="AG59" s="233"/>
      <c r="AH59" s="234"/>
      <c r="AI59" s="236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4"/>
      <c r="AU59" s="236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7"/>
    </row>
    <row r="60" spans="2:58" ht="13" customHeight="1" x14ac:dyDescent="0.4">
      <c r="B60" s="173" t="s">
        <v>463</v>
      </c>
      <c r="C60" s="174"/>
      <c r="D60" s="10" t="s">
        <v>19</v>
      </c>
      <c r="E60" s="150" t="s">
        <v>20</v>
      </c>
      <c r="F60" s="153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6"/>
    </row>
    <row r="61" spans="2:58" ht="13" customHeight="1" x14ac:dyDescent="0.4">
      <c r="B61" s="149" t="s">
        <v>226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8"/>
    </row>
    <row r="62" spans="2:58" ht="13" customHeight="1" thickBot="1" x14ac:dyDescent="0.45">
      <c r="B62" s="161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60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topLeftCell="A4" zoomScale="85" zoomScaleNormal="85" workbookViewId="0">
      <selection activeCell="N44" sqref="N44"/>
    </sheetView>
  </sheetViews>
  <sheetFormatPr defaultRowHeight="7.8" x14ac:dyDescent="0.4"/>
  <cols>
    <col min="1" max="1" width="0.47265625" style="7" customWidth="1"/>
    <col min="2" max="2" width="3.1015625" style="7" customWidth="1"/>
    <col min="3" max="4" width="4.83984375" style="7" customWidth="1"/>
    <col min="5" max="9" width="5.1015625" style="7" customWidth="1"/>
    <col min="10" max="14" width="4.83984375" style="7" customWidth="1"/>
    <col min="15" max="16" width="5.1015625" style="7" customWidth="1"/>
    <col min="17" max="19" width="4.83984375" style="7" customWidth="1"/>
    <col min="20" max="20" width="5.1015625" style="7" customWidth="1"/>
    <col min="21" max="22" width="4.83984375" style="7" customWidth="1"/>
    <col min="23" max="24" width="5.1015625" style="7" customWidth="1"/>
    <col min="25" max="26" width="4.83984375" style="7" customWidth="1"/>
    <col min="27" max="27" width="5.1015625" style="7" customWidth="1"/>
    <col min="28" max="36" width="4.83984375" style="7" customWidth="1"/>
    <col min="37" max="37" width="4.578125" style="7" customWidth="1"/>
    <col min="38" max="38" width="4.83984375" style="7" customWidth="1"/>
    <col min="39" max="39" width="4.578125" style="7" customWidth="1"/>
    <col min="40" max="44" width="4.83984375" style="7" customWidth="1"/>
    <col min="45" max="279" width="9" style="7"/>
    <col min="280" max="280" width="2.1015625" style="7" customWidth="1"/>
    <col min="281" max="281" width="5.83984375" style="7" customWidth="1"/>
    <col min="282" max="282" width="6.83984375" style="7" customWidth="1"/>
    <col min="283" max="283" width="6.1015625" style="7" customWidth="1"/>
    <col min="284" max="284" width="6.83984375" style="7" customWidth="1"/>
    <col min="285" max="285" width="10.83984375" style="7" customWidth="1"/>
    <col min="286" max="286" width="11.578125" style="7" customWidth="1"/>
    <col min="287" max="287" width="5.578125" style="7" customWidth="1"/>
    <col min="288" max="288" width="6" style="7" customWidth="1"/>
    <col min="289" max="289" width="6.578125" style="7" customWidth="1"/>
    <col min="290" max="290" width="11.1015625" style="7" customWidth="1"/>
    <col min="291" max="291" width="7.1015625" style="7" customWidth="1"/>
    <col min="292" max="293" width="5.83984375" style="7" customWidth="1"/>
    <col min="294" max="294" width="6" style="7" customWidth="1"/>
    <col min="295" max="295" width="6.83984375" style="7" customWidth="1"/>
    <col min="296" max="296" width="6" style="7" customWidth="1"/>
    <col min="297" max="297" width="18.1015625" style="7" customWidth="1"/>
    <col min="298" max="535" width="9" style="7"/>
    <col min="536" max="536" width="2.1015625" style="7" customWidth="1"/>
    <col min="537" max="537" width="5.83984375" style="7" customWidth="1"/>
    <col min="538" max="538" width="6.83984375" style="7" customWidth="1"/>
    <col min="539" max="539" width="6.1015625" style="7" customWidth="1"/>
    <col min="540" max="540" width="6.83984375" style="7" customWidth="1"/>
    <col min="541" max="541" width="10.83984375" style="7" customWidth="1"/>
    <col min="542" max="542" width="11.578125" style="7" customWidth="1"/>
    <col min="543" max="543" width="5.578125" style="7" customWidth="1"/>
    <col min="544" max="544" width="6" style="7" customWidth="1"/>
    <col min="545" max="545" width="6.578125" style="7" customWidth="1"/>
    <col min="546" max="546" width="11.1015625" style="7" customWidth="1"/>
    <col min="547" max="547" width="7.1015625" style="7" customWidth="1"/>
    <col min="548" max="549" width="5.83984375" style="7" customWidth="1"/>
    <col min="550" max="550" width="6" style="7" customWidth="1"/>
    <col min="551" max="551" width="6.83984375" style="7" customWidth="1"/>
    <col min="552" max="552" width="6" style="7" customWidth="1"/>
    <col min="553" max="553" width="18.1015625" style="7" customWidth="1"/>
    <col min="554" max="791" width="9" style="7"/>
    <col min="792" max="792" width="2.1015625" style="7" customWidth="1"/>
    <col min="793" max="793" width="5.83984375" style="7" customWidth="1"/>
    <col min="794" max="794" width="6.83984375" style="7" customWidth="1"/>
    <col min="795" max="795" width="6.1015625" style="7" customWidth="1"/>
    <col min="796" max="796" width="6.83984375" style="7" customWidth="1"/>
    <col min="797" max="797" width="10.83984375" style="7" customWidth="1"/>
    <col min="798" max="798" width="11.578125" style="7" customWidth="1"/>
    <col min="799" max="799" width="5.578125" style="7" customWidth="1"/>
    <col min="800" max="800" width="6" style="7" customWidth="1"/>
    <col min="801" max="801" width="6.578125" style="7" customWidth="1"/>
    <col min="802" max="802" width="11.1015625" style="7" customWidth="1"/>
    <col min="803" max="803" width="7.1015625" style="7" customWidth="1"/>
    <col min="804" max="805" width="5.83984375" style="7" customWidth="1"/>
    <col min="806" max="806" width="6" style="7" customWidth="1"/>
    <col min="807" max="807" width="6.83984375" style="7" customWidth="1"/>
    <col min="808" max="808" width="6" style="7" customWidth="1"/>
    <col min="809" max="809" width="18.1015625" style="7" customWidth="1"/>
    <col min="810" max="1047" width="9" style="7"/>
    <col min="1048" max="1048" width="2.1015625" style="7" customWidth="1"/>
    <col min="1049" max="1049" width="5.83984375" style="7" customWidth="1"/>
    <col min="1050" max="1050" width="6.83984375" style="7" customWidth="1"/>
    <col min="1051" max="1051" width="6.1015625" style="7" customWidth="1"/>
    <col min="1052" max="1052" width="6.83984375" style="7" customWidth="1"/>
    <col min="1053" max="1053" width="10.83984375" style="7" customWidth="1"/>
    <col min="1054" max="1054" width="11.578125" style="7" customWidth="1"/>
    <col min="1055" max="1055" width="5.578125" style="7" customWidth="1"/>
    <col min="1056" max="1056" width="6" style="7" customWidth="1"/>
    <col min="1057" max="1057" width="6.578125" style="7" customWidth="1"/>
    <col min="1058" max="1058" width="11.1015625" style="7" customWidth="1"/>
    <col min="1059" max="1059" width="7.1015625" style="7" customWidth="1"/>
    <col min="1060" max="1061" width="5.83984375" style="7" customWidth="1"/>
    <col min="1062" max="1062" width="6" style="7" customWidth="1"/>
    <col min="1063" max="1063" width="6.83984375" style="7" customWidth="1"/>
    <col min="1064" max="1064" width="6" style="7" customWidth="1"/>
    <col min="1065" max="1065" width="18.1015625" style="7" customWidth="1"/>
    <col min="1066" max="1303" width="9" style="7"/>
    <col min="1304" max="1304" width="2.1015625" style="7" customWidth="1"/>
    <col min="1305" max="1305" width="5.83984375" style="7" customWidth="1"/>
    <col min="1306" max="1306" width="6.83984375" style="7" customWidth="1"/>
    <col min="1307" max="1307" width="6.1015625" style="7" customWidth="1"/>
    <col min="1308" max="1308" width="6.83984375" style="7" customWidth="1"/>
    <col min="1309" max="1309" width="10.83984375" style="7" customWidth="1"/>
    <col min="1310" max="1310" width="11.578125" style="7" customWidth="1"/>
    <col min="1311" max="1311" width="5.578125" style="7" customWidth="1"/>
    <col min="1312" max="1312" width="6" style="7" customWidth="1"/>
    <col min="1313" max="1313" width="6.578125" style="7" customWidth="1"/>
    <col min="1314" max="1314" width="11.1015625" style="7" customWidth="1"/>
    <col min="1315" max="1315" width="7.1015625" style="7" customWidth="1"/>
    <col min="1316" max="1317" width="5.83984375" style="7" customWidth="1"/>
    <col min="1318" max="1318" width="6" style="7" customWidth="1"/>
    <col min="1319" max="1319" width="6.83984375" style="7" customWidth="1"/>
    <col min="1320" max="1320" width="6" style="7" customWidth="1"/>
    <col min="1321" max="1321" width="18.1015625" style="7" customWidth="1"/>
    <col min="1322" max="1559" width="9" style="7"/>
    <col min="1560" max="1560" width="2.1015625" style="7" customWidth="1"/>
    <col min="1561" max="1561" width="5.83984375" style="7" customWidth="1"/>
    <col min="1562" max="1562" width="6.83984375" style="7" customWidth="1"/>
    <col min="1563" max="1563" width="6.1015625" style="7" customWidth="1"/>
    <col min="1564" max="1564" width="6.83984375" style="7" customWidth="1"/>
    <col min="1565" max="1565" width="10.83984375" style="7" customWidth="1"/>
    <col min="1566" max="1566" width="11.578125" style="7" customWidth="1"/>
    <col min="1567" max="1567" width="5.578125" style="7" customWidth="1"/>
    <col min="1568" max="1568" width="6" style="7" customWidth="1"/>
    <col min="1569" max="1569" width="6.578125" style="7" customWidth="1"/>
    <col min="1570" max="1570" width="11.1015625" style="7" customWidth="1"/>
    <col min="1571" max="1571" width="7.1015625" style="7" customWidth="1"/>
    <col min="1572" max="1573" width="5.83984375" style="7" customWidth="1"/>
    <col min="1574" max="1574" width="6" style="7" customWidth="1"/>
    <col min="1575" max="1575" width="6.83984375" style="7" customWidth="1"/>
    <col min="1576" max="1576" width="6" style="7" customWidth="1"/>
    <col min="1577" max="1577" width="18.1015625" style="7" customWidth="1"/>
    <col min="1578" max="1815" width="9" style="7"/>
    <col min="1816" max="1816" width="2.1015625" style="7" customWidth="1"/>
    <col min="1817" max="1817" width="5.83984375" style="7" customWidth="1"/>
    <col min="1818" max="1818" width="6.83984375" style="7" customWidth="1"/>
    <col min="1819" max="1819" width="6.1015625" style="7" customWidth="1"/>
    <col min="1820" max="1820" width="6.83984375" style="7" customWidth="1"/>
    <col min="1821" max="1821" width="10.83984375" style="7" customWidth="1"/>
    <col min="1822" max="1822" width="11.578125" style="7" customWidth="1"/>
    <col min="1823" max="1823" width="5.578125" style="7" customWidth="1"/>
    <col min="1824" max="1824" width="6" style="7" customWidth="1"/>
    <col min="1825" max="1825" width="6.578125" style="7" customWidth="1"/>
    <col min="1826" max="1826" width="11.1015625" style="7" customWidth="1"/>
    <col min="1827" max="1827" width="7.1015625" style="7" customWidth="1"/>
    <col min="1828" max="1829" width="5.83984375" style="7" customWidth="1"/>
    <col min="1830" max="1830" width="6" style="7" customWidth="1"/>
    <col min="1831" max="1831" width="6.83984375" style="7" customWidth="1"/>
    <col min="1832" max="1832" width="6" style="7" customWidth="1"/>
    <col min="1833" max="1833" width="18.1015625" style="7" customWidth="1"/>
    <col min="1834" max="2071" width="9" style="7"/>
    <col min="2072" max="2072" width="2.1015625" style="7" customWidth="1"/>
    <col min="2073" max="2073" width="5.83984375" style="7" customWidth="1"/>
    <col min="2074" max="2074" width="6.83984375" style="7" customWidth="1"/>
    <col min="2075" max="2075" width="6.1015625" style="7" customWidth="1"/>
    <col min="2076" max="2076" width="6.83984375" style="7" customWidth="1"/>
    <col min="2077" max="2077" width="10.83984375" style="7" customWidth="1"/>
    <col min="2078" max="2078" width="11.578125" style="7" customWidth="1"/>
    <col min="2079" max="2079" width="5.578125" style="7" customWidth="1"/>
    <col min="2080" max="2080" width="6" style="7" customWidth="1"/>
    <col min="2081" max="2081" width="6.578125" style="7" customWidth="1"/>
    <col min="2082" max="2082" width="11.1015625" style="7" customWidth="1"/>
    <col min="2083" max="2083" width="7.1015625" style="7" customWidth="1"/>
    <col min="2084" max="2085" width="5.83984375" style="7" customWidth="1"/>
    <col min="2086" max="2086" width="6" style="7" customWidth="1"/>
    <col min="2087" max="2087" width="6.83984375" style="7" customWidth="1"/>
    <col min="2088" max="2088" width="6" style="7" customWidth="1"/>
    <col min="2089" max="2089" width="18.1015625" style="7" customWidth="1"/>
    <col min="2090" max="2327" width="9" style="7"/>
    <col min="2328" max="2328" width="2.1015625" style="7" customWidth="1"/>
    <col min="2329" max="2329" width="5.83984375" style="7" customWidth="1"/>
    <col min="2330" max="2330" width="6.83984375" style="7" customWidth="1"/>
    <col min="2331" max="2331" width="6.1015625" style="7" customWidth="1"/>
    <col min="2332" max="2332" width="6.83984375" style="7" customWidth="1"/>
    <col min="2333" max="2333" width="10.83984375" style="7" customWidth="1"/>
    <col min="2334" max="2334" width="11.578125" style="7" customWidth="1"/>
    <col min="2335" max="2335" width="5.578125" style="7" customWidth="1"/>
    <col min="2336" max="2336" width="6" style="7" customWidth="1"/>
    <col min="2337" max="2337" width="6.578125" style="7" customWidth="1"/>
    <col min="2338" max="2338" width="11.1015625" style="7" customWidth="1"/>
    <col min="2339" max="2339" width="7.1015625" style="7" customWidth="1"/>
    <col min="2340" max="2341" width="5.83984375" style="7" customWidth="1"/>
    <col min="2342" max="2342" width="6" style="7" customWidth="1"/>
    <col min="2343" max="2343" width="6.83984375" style="7" customWidth="1"/>
    <col min="2344" max="2344" width="6" style="7" customWidth="1"/>
    <col min="2345" max="2345" width="18.1015625" style="7" customWidth="1"/>
    <col min="2346" max="2583" width="9" style="7"/>
    <col min="2584" max="2584" width="2.1015625" style="7" customWidth="1"/>
    <col min="2585" max="2585" width="5.83984375" style="7" customWidth="1"/>
    <col min="2586" max="2586" width="6.83984375" style="7" customWidth="1"/>
    <col min="2587" max="2587" width="6.1015625" style="7" customWidth="1"/>
    <col min="2588" max="2588" width="6.83984375" style="7" customWidth="1"/>
    <col min="2589" max="2589" width="10.83984375" style="7" customWidth="1"/>
    <col min="2590" max="2590" width="11.578125" style="7" customWidth="1"/>
    <col min="2591" max="2591" width="5.578125" style="7" customWidth="1"/>
    <col min="2592" max="2592" width="6" style="7" customWidth="1"/>
    <col min="2593" max="2593" width="6.578125" style="7" customWidth="1"/>
    <col min="2594" max="2594" width="11.1015625" style="7" customWidth="1"/>
    <col min="2595" max="2595" width="7.1015625" style="7" customWidth="1"/>
    <col min="2596" max="2597" width="5.83984375" style="7" customWidth="1"/>
    <col min="2598" max="2598" width="6" style="7" customWidth="1"/>
    <col min="2599" max="2599" width="6.83984375" style="7" customWidth="1"/>
    <col min="2600" max="2600" width="6" style="7" customWidth="1"/>
    <col min="2601" max="2601" width="18.1015625" style="7" customWidth="1"/>
    <col min="2602" max="2839" width="9" style="7"/>
    <col min="2840" max="2840" width="2.1015625" style="7" customWidth="1"/>
    <col min="2841" max="2841" width="5.83984375" style="7" customWidth="1"/>
    <col min="2842" max="2842" width="6.83984375" style="7" customWidth="1"/>
    <col min="2843" max="2843" width="6.1015625" style="7" customWidth="1"/>
    <col min="2844" max="2844" width="6.83984375" style="7" customWidth="1"/>
    <col min="2845" max="2845" width="10.83984375" style="7" customWidth="1"/>
    <col min="2846" max="2846" width="11.578125" style="7" customWidth="1"/>
    <col min="2847" max="2847" width="5.578125" style="7" customWidth="1"/>
    <col min="2848" max="2848" width="6" style="7" customWidth="1"/>
    <col min="2849" max="2849" width="6.578125" style="7" customWidth="1"/>
    <col min="2850" max="2850" width="11.1015625" style="7" customWidth="1"/>
    <col min="2851" max="2851" width="7.1015625" style="7" customWidth="1"/>
    <col min="2852" max="2853" width="5.83984375" style="7" customWidth="1"/>
    <col min="2854" max="2854" width="6" style="7" customWidth="1"/>
    <col min="2855" max="2855" width="6.83984375" style="7" customWidth="1"/>
    <col min="2856" max="2856" width="6" style="7" customWidth="1"/>
    <col min="2857" max="2857" width="18.1015625" style="7" customWidth="1"/>
    <col min="2858" max="3095" width="9" style="7"/>
    <col min="3096" max="3096" width="2.1015625" style="7" customWidth="1"/>
    <col min="3097" max="3097" width="5.83984375" style="7" customWidth="1"/>
    <col min="3098" max="3098" width="6.83984375" style="7" customWidth="1"/>
    <col min="3099" max="3099" width="6.1015625" style="7" customWidth="1"/>
    <col min="3100" max="3100" width="6.83984375" style="7" customWidth="1"/>
    <col min="3101" max="3101" width="10.83984375" style="7" customWidth="1"/>
    <col min="3102" max="3102" width="11.578125" style="7" customWidth="1"/>
    <col min="3103" max="3103" width="5.578125" style="7" customWidth="1"/>
    <col min="3104" max="3104" width="6" style="7" customWidth="1"/>
    <col min="3105" max="3105" width="6.578125" style="7" customWidth="1"/>
    <col min="3106" max="3106" width="11.1015625" style="7" customWidth="1"/>
    <col min="3107" max="3107" width="7.1015625" style="7" customWidth="1"/>
    <col min="3108" max="3109" width="5.83984375" style="7" customWidth="1"/>
    <col min="3110" max="3110" width="6" style="7" customWidth="1"/>
    <col min="3111" max="3111" width="6.83984375" style="7" customWidth="1"/>
    <col min="3112" max="3112" width="6" style="7" customWidth="1"/>
    <col min="3113" max="3113" width="18.1015625" style="7" customWidth="1"/>
    <col min="3114" max="3351" width="9" style="7"/>
    <col min="3352" max="3352" width="2.1015625" style="7" customWidth="1"/>
    <col min="3353" max="3353" width="5.83984375" style="7" customWidth="1"/>
    <col min="3354" max="3354" width="6.83984375" style="7" customWidth="1"/>
    <col min="3355" max="3355" width="6.1015625" style="7" customWidth="1"/>
    <col min="3356" max="3356" width="6.83984375" style="7" customWidth="1"/>
    <col min="3357" max="3357" width="10.83984375" style="7" customWidth="1"/>
    <col min="3358" max="3358" width="11.578125" style="7" customWidth="1"/>
    <col min="3359" max="3359" width="5.578125" style="7" customWidth="1"/>
    <col min="3360" max="3360" width="6" style="7" customWidth="1"/>
    <col min="3361" max="3361" width="6.578125" style="7" customWidth="1"/>
    <col min="3362" max="3362" width="11.1015625" style="7" customWidth="1"/>
    <col min="3363" max="3363" width="7.1015625" style="7" customWidth="1"/>
    <col min="3364" max="3365" width="5.83984375" style="7" customWidth="1"/>
    <col min="3366" max="3366" width="6" style="7" customWidth="1"/>
    <col min="3367" max="3367" width="6.83984375" style="7" customWidth="1"/>
    <col min="3368" max="3368" width="6" style="7" customWidth="1"/>
    <col min="3369" max="3369" width="18.1015625" style="7" customWidth="1"/>
    <col min="3370" max="3607" width="9" style="7"/>
    <col min="3608" max="3608" width="2.1015625" style="7" customWidth="1"/>
    <col min="3609" max="3609" width="5.83984375" style="7" customWidth="1"/>
    <col min="3610" max="3610" width="6.83984375" style="7" customWidth="1"/>
    <col min="3611" max="3611" width="6.1015625" style="7" customWidth="1"/>
    <col min="3612" max="3612" width="6.83984375" style="7" customWidth="1"/>
    <col min="3613" max="3613" width="10.83984375" style="7" customWidth="1"/>
    <col min="3614" max="3614" width="11.578125" style="7" customWidth="1"/>
    <col min="3615" max="3615" width="5.578125" style="7" customWidth="1"/>
    <col min="3616" max="3616" width="6" style="7" customWidth="1"/>
    <col min="3617" max="3617" width="6.578125" style="7" customWidth="1"/>
    <col min="3618" max="3618" width="11.1015625" style="7" customWidth="1"/>
    <col min="3619" max="3619" width="7.1015625" style="7" customWidth="1"/>
    <col min="3620" max="3621" width="5.83984375" style="7" customWidth="1"/>
    <col min="3622" max="3622" width="6" style="7" customWidth="1"/>
    <col min="3623" max="3623" width="6.83984375" style="7" customWidth="1"/>
    <col min="3624" max="3624" width="6" style="7" customWidth="1"/>
    <col min="3625" max="3625" width="18.1015625" style="7" customWidth="1"/>
    <col min="3626" max="3863" width="9" style="7"/>
    <col min="3864" max="3864" width="2.1015625" style="7" customWidth="1"/>
    <col min="3865" max="3865" width="5.83984375" style="7" customWidth="1"/>
    <col min="3866" max="3866" width="6.83984375" style="7" customWidth="1"/>
    <col min="3867" max="3867" width="6.1015625" style="7" customWidth="1"/>
    <col min="3868" max="3868" width="6.83984375" style="7" customWidth="1"/>
    <col min="3869" max="3869" width="10.83984375" style="7" customWidth="1"/>
    <col min="3870" max="3870" width="11.578125" style="7" customWidth="1"/>
    <col min="3871" max="3871" width="5.578125" style="7" customWidth="1"/>
    <col min="3872" max="3872" width="6" style="7" customWidth="1"/>
    <col min="3873" max="3873" width="6.578125" style="7" customWidth="1"/>
    <col min="3874" max="3874" width="11.1015625" style="7" customWidth="1"/>
    <col min="3875" max="3875" width="7.1015625" style="7" customWidth="1"/>
    <col min="3876" max="3877" width="5.83984375" style="7" customWidth="1"/>
    <col min="3878" max="3878" width="6" style="7" customWidth="1"/>
    <col min="3879" max="3879" width="6.83984375" style="7" customWidth="1"/>
    <col min="3880" max="3880" width="6" style="7" customWidth="1"/>
    <col min="3881" max="3881" width="18.1015625" style="7" customWidth="1"/>
    <col min="3882" max="4119" width="9" style="7"/>
    <col min="4120" max="4120" width="2.1015625" style="7" customWidth="1"/>
    <col min="4121" max="4121" width="5.83984375" style="7" customWidth="1"/>
    <col min="4122" max="4122" width="6.83984375" style="7" customWidth="1"/>
    <col min="4123" max="4123" width="6.1015625" style="7" customWidth="1"/>
    <col min="4124" max="4124" width="6.83984375" style="7" customWidth="1"/>
    <col min="4125" max="4125" width="10.83984375" style="7" customWidth="1"/>
    <col min="4126" max="4126" width="11.578125" style="7" customWidth="1"/>
    <col min="4127" max="4127" width="5.578125" style="7" customWidth="1"/>
    <col min="4128" max="4128" width="6" style="7" customWidth="1"/>
    <col min="4129" max="4129" width="6.578125" style="7" customWidth="1"/>
    <col min="4130" max="4130" width="11.1015625" style="7" customWidth="1"/>
    <col min="4131" max="4131" width="7.1015625" style="7" customWidth="1"/>
    <col min="4132" max="4133" width="5.83984375" style="7" customWidth="1"/>
    <col min="4134" max="4134" width="6" style="7" customWidth="1"/>
    <col min="4135" max="4135" width="6.83984375" style="7" customWidth="1"/>
    <col min="4136" max="4136" width="6" style="7" customWidth="1"/>
    <col min="4137" max="4137" width="18.1015625" style="7" customWidth="1"/>
    <col min="4138" max="4375" width="9" style="7"/>
    <col min="4376" max="4376" width="2.1015625" style="7" customWidth="1"/>
    <col min="4377" max="4377" width="5.83984375" style="7" customWidth="1"/>
    <col min="4378" max="4378" width="6.83984375" style="7" customWidth="1"/>
    <col min="4379" max="4379" width="6.1015625" style="7" customWidth="1"/>
    <col min="4380" max="4380" width="6.83984375" style="7" customWidth="1"/>
    <col min="4381" max="4381" width="10.83984375" style="7" customWidth="1"/>
    <col min="4382" max="4382" width="11.578125" style="7" customWidth="1"/>
    <col min="4383" max="4383" width="5.578125" style="7" customWidth="1"/>
    <col min="4384" max="4384" width="6" style="7" customWidth="1"/>
    <col min="4385" max="4385" width="6.578125" style="7" customWidth="1"/>
    <col min="4386" max="4386" width="11.1015625" style="7" customWidth="1"/>
    <col min="4387" max="4387" width="7.1015625" style="7" customWidth="1"/>
    <col min="4388" max="4389" width="5.83984375" style="7" customWidth="1"/>
    <col min="4390" max="4390" width="6" style="7" customWidth="1"/>
    <col min="4391" max="4391" width="6.83984375" style="7" customWidth="1"/>
    <col min="4392" max="4392" width="6" style="7" customWidth="1"/>
    <col min="4393" max="4393" width="18.1015625" style="7" customWidth="1"/>
    <col min="4394" max="4631" width="9" style="7"/>
    <col min="4632" max="4632" width="2.1015625" style="7" customWidth="1"/>
    <col min="4633" max="4633" width="5.83984375" style="7" customWidth="1"/>
    <col min="4634" max="4634" width="6.83984375" style="7" customWidth="1"/>
    <col min="4635" max="4635" width="6.1015625" style="7" customWidth="1"/>
    <col min="4636" max="4636" width="6.83984375" style="7" customWidth="1"/>
    <col min="4637" max="4637" width="10.83984375" style="7" customWidth="1"/>
    <col min="4638" max="4638" width="11.578125" style="7" customWidth="1"/>
    <col min="4639" max="4639" width="5.578125" style="7" customWidth="1"/>
    <col min="4640" max="4640" width="6" style="7" customWidth="1"/>
    <col min="4641" max="4641" width="6.578125" style="7" customWidth="1"/>
    <col min="4642" max="4642" width="11.1015625" style="7" customWidth="1"/>
    <col min="4643" max="4643" width="7.1015625" style="7" customWidth="1"/>
    <col min="4644" max="4645" width="5.83984375" style="7" customWidth="1"/>
    <col min="4646" max="4646" width="6" style="7" customWidth="1"/>
    <col min="4647" max="4647" width="6.83984375" style="7" customWidth="1"/>
    <col min="4648" max="4648" width="6" style="7" customWidth="1"/>
    <col min="4649" max="4649" width="18.1015625" style="7" customWidth="1"/>
    <col min="4650" max="4887" width="9" style="7"/>
    <col min="4888" max="4888" width="2.1015625" style="7" customWidth="1"/>
    <col min="4889" max="4889" width="5.83984375" style="7" customWidth="1"/>
    <col min="4890" max="4890" width="6.83984375" style="7" customWidth="1"/>
    <col min="4891" max="4891" width="6.1015625" style="7" customWidth="1"/>
    <col min="4892" max="4892" width="6.83984375" style="7" customWidth="1"/>
    <col min="4893" max="4893" width="10.83984375" style="7" customWidth="1"/>
    <col min="4894" max="4894" width="11.578125" style="7" customWidth="1"/>
    <col min="4895" max="4895" width="5.578125" style="7" customWidth="1"/>
    <col min="4896" max="4896" width="6" style="7" customWidth="1"/>
    <col min="4897" max="4897" width="6.578125" style="7" customWidth="1"/>
    <col min="4898" max="4898" width="11.1015625" style="7" customWidth="1"/>
    <col min="4899" max="4899" width="7.1015625" style="7" customWidth="1"/>
    <col min="4900" max="4901" width="5.83984375" style="7" customWidth="1"/>
    <col min="4902" max="4902" width="6" style="7" customWidth="1"/>
    <col min="4903" max="4903" width="6.83984375" style="7" customWidth="1"/>
    <col min="4904" max="4904" width="6" style="7" customWidth="1"/>
    <col min="4905" max="4905" width="18.1015625" style="7" customWidth="1"/>
    <col min="4906" max="5143" width="9" style="7"/>
    <col min="5144" max="5144" width="2.1015625" style="7" customWidth="1"/>
    <col min="5145" max="5145" width="5.83984375" style="7" customWidth="1"/>
    <col min="5146" max="5146" width="6.83984375" style="7" customWidth="1"/>
    <col min="5147" max="5147" width="6.1015625" style="7" customWidth="1"/>
    <col min="5148" max="5148" width="6.83984375" style="7" customWidth="1"/>
    <col min="5149" max="5149" width="10.83984375" style="7" customWidth="1"/>
    <col min="5150" max="5150" width="11.578125" style="7" customWidth="1"/>
    <col min="5151" max="5151" width="5.578125" style="7" customWidth="1"/>
    <col min="5152" max="5152" width="6" style="7" customWidth="1"/>
    <col min="5153" max="5153" width="6.578125" style="7" customWidth="1"/>
    <col min="5154" max="5154" width="11.1015625" style="7" customWidth="1"/>
    <col min="5155" max="5155" width="7.1015625" style="7" customWidth="1"/>
    <col min="5156" max="5157" width="5.83984375" style="7" customWidth="1"/>
    <col min="5158" max="5158" width="6" style="7" customWidth="1"/>
    <col min="5159" max="5159" width="6.83984375" style="7" customWidth="1"/>
    <col min="5160" max="5160" width="6" style="7" customWidth="1"/>
    <col min="5161" max="5161" width="18.1015625" style="7" customWidth="1"/>
    <col min="5162" max="5399" width="9" style="7"/>
    <col min="5400" max="5400" width="2.1015625" style="7" customWidth="1"/>
    <col min="5401" max="5401" width="5.83984375" style="7" customWidth="1"/>
    <col min="5402" max="5402" width="6.83984375" style="7" customWidth="1"/>
    <col min="5403" max="5403" width="6.1015625" style="7" customWidth="1"/>
    <col min="5404" max="5404" width="6.83984375" style="7" customWidth="1"/>
    <col min="5405" max="5405" width="10.83984375" style="7" customWidth="1"/>
    <col min="5406" max="5406" width="11.578125" style="7" customWidth="1"/>
    <col min="5407" max="5407" width="5.578125" style="7" customWidth="1"/>
    <col min="5408" max="5408" width="6" style="7" customWidth="1"/>
    <col min="5409" max="5409" width="6.578125" style="7" customWidth="1"/>
    <col min="5410" max="5410" width="11.1015625" style="7" customWidth="1"/>
    <col min="5411" max="5411" width="7.1015625" style="7" customWidth="1"/>
    <col min="5412" max="5413" width="5.83984375" style="7" customWidth="1"/>
    <col min="5414" max="5414" width="6" style="7" customWidth="1"/>
    <col min="5415" max="5415" width="6.83984375" style="7" customWidth="1"/>
    <col min="5416" max="5416" width="6" style="7" customWidth="1"/>
    <col min="5417" max="5417" width="18.1015625" style="7" customWidth="1"/>
    <col min="5418" max="5655" width="9" style="7"/>
    <col min="5656" max="5656" width="2.1015625" style="7" customWidth="1"/>
    <col min="5657" max="5657" width="5.83984375" style="7" customWidth="1"/>
    <col min="5658" max="5658" width="6.83984375" style="7" customWidth="1"/>
    <col min="5659" max="5659" width="6.1015625" style="7" customWidth="1"/>
    <col min="5660" max="5660" width="6.83984375" style="7" customWidth="1"/>
    <col min="5661" max="5661" width="10.83984375" style="7" customWidth="1"/>
    <col min="5662" max="5662" width="11.578125" style="7" customWidth="1"/>
    <col min="5663" max="5663" width="5.578125" style="7" customWidth="1"/>
    <col min="5664" max="5664" width="6" style="7" customWidth="1"/>
    <col min="5665" max="5665" width="6.578125" style="7" customWidth="1"/>
    <col min="5666" max="5666" width="11.1015625" style="7" customWidth="1"/>
    <col min="5667" max="5667" width="7.1015625" style="7" customWidth="1"/>
    <col min="5668" max="5669" width="5.83984375" style="7" customWidth="1"/>
    <col min="5670" max="5670" width="6" style="7" customWidth="1"/>
    <col min="5671" max="5671" width="6.83984375" style="7" customWidth="1"/>
    <col min="5672" max="5672" width="6" style="7" customWidth="1"/>
    <col min="5673" max="5673" width="18.1015625" style="7" customWidth="1"/>
    <col min="5674" max="5911" width="9" style="7"/>
    <col min="5912" max="5912" width="2.1015625" style="7" customWidth="1"/>
    <col min="5913" max="5913" width="5.83984375" style="7" customWidth="1"/>
    <col min="5914" max="5914" width="6.83984375" style="7" customWidth="1"/>
    <col min="5915" max="5915" width="6.1015625" style="7" customWidth="1"/>
    <col min="5916" max="5916" width="6.83984375" style="7" customWidth="1"/>
    <col min="5917" max="5917" width="10.83984375" style="7" customWidth="1"/>
    <col min="5918" max="5918" width="11.578125" style="7" customWidth="1"/>
    <col min="5919" max="5919" width="5.578125" style="7" customWidth="1"/>
    <col min="5920" max="5920" width="6" style="7" customWidth="1"/>
    <col min="5921" max="5921" width="6.578125" style="7" customWidth="1"/>
    <col min="5922" max="5922" width="11.1015625" style="7" customWidth="1"/>
    <col min="5923" max="5923" width="7.1015625" style="7" customWidth="1"/>
    <col min="5924" max="5925" width="5.83984375" style="7" customWidth="1"/>
    <col min="5926" max="5926" width="6" style="7" customWidth="1"/>
    <col min="5927" max="5927" width="6.83984375" style="7" customWidth="1"/>
    <col min="5928" max="5928" width="6" style="7" customWidth="1"/>
    <col min="5929" max="5929" width="18.1015625" style="7" customWidth="1"/>
    <col min="5930" max="6167" width="9" style="7"/>
    <col min="6168" max="6168" width="2.1015625" style="7" customWidth="1"/>
    <col min="6169" max="6169" width="5.83984375" style="7" customWidth="1"/>
    <col min="6170" max="6170" width="6.83984375" style="7" customWidth="1"/>
    <col min="6171" max="6171" width="6.1015625" style="7" customWidth="1"/>
    <col min="6172" max="6172" width="6.83984375" style="7" customWidth="1"/>
    <col min="6173" max="6173" width="10.83984375" style="7" customWidth="1"/>
    <col min="6174" max="6174" width="11.578125" style="7" customWidth="1"/>
    <col min="6175" max="6175" width="5.578125" style="7" customWidth="1"/>
    <col min="6176" max="6176" width="6" style="7" customWidth="1"/>
    <col min="6177" max="6177" width="6.578125" style="7" customWidth="1"/>
    <col min="6178" max="6178" width="11.1015625" style="7" customWidth="1"/>
    <col min="6179" max="6179" width="7.1015625" style="7" customWidth="1"/>
    <col min="6180" max="6181" width="5.83984375" style="7" customWidth="1"/>
    <col min="6182" max="6182" width="6" style="7" customWidth="1"/>
    <col min="6183" max="6183" width="6.83984375" style="7" customWidth="1"/>
    <col min="6184" max="6184" width="6" style="7" customWidth="1"/>
    <col min="6185" max="6185" width="18.1015625" style="7" customWidth="1"/>
    <col min="6186" max="6423" width="9" style="7"/>
    <col min="6424" max="6424" width="2.1015625" style="7" customWidth="1"/>
    <col min="6425" max="6425" width="5.83984375" style="7" customWidth="1"/>
    <col min="6426" max="6426" width="6.83984375" style="7" customWidth="1"/>
    <col min="6427" max="6427" width="6.1015625" style="7" customWidth="1"/>
    <col min="6428" max="6428" width="6.83984375" style="7" customWidth="1"/>
    <col min="6429" max="6429" width="10.83984375" style="7" customWidth="1"/>
    <col min="6430" max="6430" width="11.578125" style="7" customWidth="1"/>
    <col min="6431" max="6431" width="5.578125" style="7" customWidth="1"/>
    <col min="6432" max="6432" width="6" style="7" customWidth="1"/>
    <col min="6433" max="6433" width="6.578125" style="7" customWidth="1"/>
    <col min="6434" max="6434" width="11.1015625" style="7" customWidth="1"/>
    <col min="6435" max="6435" width="7.1015625" style="7" customWidth="1"/>
    <col min="6436" max="6437" width="5.83984375" style="7" customWidth="1"/>
    <col min="6438" max="6438" width="6" style="7" customWidth="1"/>
    <col min="6439" max="6439" width="6.83984375" style="7" customWidth="1"/>
    <col min="6440" max="6440" width="6" style="7" customWidth="1"/>
    <col min="6441" max="6441" width="18.1015625" style="7" customWidth="1"/>
    <col min="6442" max="6679" width="9" style="7"/>
    <col min="6680" max="6680" width="2.1015625" style="7" customWidth="1"/>
    <col min="6681" max="6681" width="5.83984375" style="7" customWidth="1"/>
    <col min="6682" max="6682" width="6.83984375" style="7" customWidth="1"/>
    <col min="6683" max="6683" width="6.1015625" style="7" customWidth="1"/>
    <col min="6684" max="6684" width="6.83984375" style="7" customWidth="1"/>
    <col min="6685" max="6685" width="10.83984375" style="7" customWidth="1"/>
    <col min="6686" max="6686" width="11.578125" style="7" customWidth="1"/>
    <col min="6687" max="6687" width="5.578125" style="7" customWidth="1"/>
    <col min="6688" max="6688" width="6" style="7" customWidth="1"/>
    <col min="6689" max="6689" width="6.578125" style="7" customWidth="1"/>
    <col min="6690" max="6690" width="11.1015625" style="7" customWidth="1"/>
    <col min="6691" max="6691" width="7.1015625" style="7" customWidth="1"/>
    <col min="6692" max="6693" width="5.83984375" style="7" customWidth="1"/>
    <col min="6694" max="6694" width="6" style="7" customWidth="1"/>
    <col min="6695" max="6695" width="6.83984375" style="7" customWidth="1"/>
    <col min="6696" max="6696" width="6" style="7" customWidth="1"/>
    <col min="6697" max="6697" width="18.1015625" style="7" customWidth="1"/>
    <col min="6698" max="6935" width="9" style="7"/>
    <col min="6936" max="6936" width="2.1015625" style="7" customWidth="1"/>
    <col min="6937" max="6937" width="5.83984375" style="7" customWidth="1"/>
    <col min="6938" max="6938" width="6.83984375" style="7" customWidth="1"/>
    <col min="6939" max="6939" width="6.1015625" style="7" customWidth="1"/>
    <col min="6940" max="6940" width="6.83984375" style="7" customWidth="1"/>
    <col min="6941" max="6941" width="10.83984375" style="7" customWidth="1"/>
    <col min="6942" max="6942" width="11.578125" style="7" customWidth="1"/>
    <col min="6943" max="6943" width="5.578125" style="7" customWidth="1"/>
    <col min="6944" max="6944" width="6" style="7" customWidth="1"/>
    <col min="6945" max="6945" width="6.578125" style="7" customWidth="1"/>
    <col min="6946" max="6946" width="11.1015625" style="7" customWidth="1"/>
    <col min="6947" max="6947" width="7.1015625" style="7" customWidth="1"/>
    <col min="6948" max="6949" width="5.83984375" style="7" customWidth="1"/>
    <col min="6950" max="6950" width="6" style="7" customWidth="1"/>
    <col min="6951" max="6951" width="6.83984375" style="7" customWidth="1"/>
    <col min="6952" max="6952" width="6" style="7" customWidth="1"/>
    <col min="6953" max="6953" width="18.1015625" style="7" customWidth="1"/>
    <col min="6954" max="7191" width="9" style="7"/>
    <col min="7192" max="7192" width="2.1015625" style="7" customWidth="1"/>
    <col min="7193" max="7193" width="5.83984375" style="7" customWidth="1"/>
    <col min="7194" max="7194" width="6.83984375" style="7" customWidth="1"/>
    <col min="7195" max="7195" width="6.1015625" style="7" customWidth="1"/>
    <col min="7196" max="7196" width="6.83984375" style="7" customWidth="1"/>
    <col min="7197" max="7197" width="10.83984375" style="7" customWidth="1"/>
    <col min="7198" max="7198" width="11.578125" style="7" customWidth="1"/>
    <col min="7199" max="7199" width="5.578125" style="7" customWidth="1"/>
    <col min="7200" max="7200" width="6" style="7" customWidth="1"/>
    <col min="7201" max="7201" width="6.578125" style="7" customWidth="1"/>
    <col min="7202" max="7202" width="11.1015625" style="7" customWidth="1"/>
    <col min="7203" max="7203" width="7.1015625" style="7" customWidth="1"/>
    <col min="7204" max="7205" width="5.83984375" style="7" customWidth="1"/>
    <col min="7206" max="7206" width="6" style="7" customWidth="1"/>
    <col min="7207" max="7207" width="6.83984375" style="7" customWidth="1"/>
    <col min="7208" max="7208" width="6" style="7" customWidth="1"/>
    <col min="7209" max="7209" width="18.1015625" style="7" customWidth="1"/>
    <col min="7210" max="7447" width="9" style="7"/>
    <col min="7448" max="7448" width="2.1015625" style="7" customWidth="1"/>
    <col min="7449" max="7449" width="5.83984375" style="7" customWidth="1"/>
    <col min="7450" max="7450" width="6.83984375" style="7" customWidth="1"/>
    <col min="7451" max="7451" width="6.1015625" style="7" customWidth="1"/>
    <col min="7452" max="7452" width="6.83984375" style="7" customWidth="1"/>
    <col min="7453" max="7453" width="10.83984375" style="7" customWidth="1"/>
    <col min="7454" max="7454" width="11.578125" style="7" customWidth="1"/>
    <col min="7455" max="7455" width="5.578125" style="7" customWidth="1"/>
    <col min="7456" max="7456" width="6" style="7" customWidth="1"/>
    <col min="7457" max="7457" width="6.578125" style="7" customWidth="1"/>
    <col min="7458" max="7458" width="11.1015625" style="7" customWidth="1"/>
    <col min="7459" max="7459" width="7.1015625" style="7" customWidth="1"/>
    <col min="7460" max="7461" width="5.83984375" style="7" customWidth="1"/>
    <col min="7462" max="7462" width="6" style="7" customWidth="1"/>
    <col min="7463" max="7463" width="6.83984375" style="7" customWidth="1"/>
    <col min="7464" max="7464" width="6" style="7" customWidth="1"/>
    <col min="7465" max="7465" width="18.1015625" style="7" customWidth="1"/>
    <col min="7466" max="7703" width="9" style="7"/>
    <col min="7704" max="7704" width="2.1015625" style="7" customWidth="1"/>
    <col min="7705" max="7705" width="5.83984375" style="7" customWidth="1"/>
    <col min="7706" max="7706" width="6.83984375" style="7" customWidth="1"/>
    <col min="7707" max="7707" width="6.1015625" style="7" customWidth="1"/>
    <col min="7708" max="7708" width="6.83984375" style="7" customWidth="1"/>
    <col min="7709" max="7709" width="10.83984375" style="7" customWidth="1"/>
    <col min="7710" max="7710" width="11.578125" style="7" customWidth="1"/>
    <col min="7711" max="7711" width="5.578125" style="7" customWidth="1"/>
    <col min="7712" max="7712" width="6" style="7" customWidth="1"/>
    <col min="7713" max="7713" width="6.578125" style="7" customWidth="1"/>
    <col min="7714" max="7714" width="11.1015625" style="7" customWidth="1"/>
    <col min="7715" max="7715" width="7.1015625" style="7" customWidth="1"/>
    <col min="7716" max="7717" width="5.83984375" style="7" customWidth="1"/>
    <col min="7718" max="7718" width="6" style="7" customWidth="1"/>
    <col min="7719" max="7719" width="6.83984375" style="7" customWidth="1"/>
    <col min="7720" max="7720" width="6" style="7" customWidth="1"/>
    <col min="7721" max="7721" width="18.1015625" style="7" customWidth="1"/>
    <col min="7722" max="7959" width="9" style="7"/>
    <col min="7960" max="7960" width="2.1015625" style="7" customWidth="1"/>
    <col min="7961" max="7961" width="5.83984375" style="7" customWidth="1"/>
    <col min="7962" max="7962" width="6.83984375" style="7" customWidth="1"/>
    <col min="7963" max="7963" width="6.1015625" style="7" customWidth="1"/>
    <col min="7964" max="7964" width="6.83984375" style="7" customWidth="1"/>
    <col min="7965" max="7965" width="10.83984375" style="7" customWidth="1"/>
    <col min="7966" max="7966" width="11.578125" style="7" customWidth="1"/>
    <col min="7967" max="7967" width="5.578125" style="7" customWidth="1"/>
    <col min="7968" max="7968" width="6" style="7" customWidth="1"/>
    <col min="7969" max="7969" width="6.578125" style="7" customWidth="1"/>
    <col min="7970" max="7970" width="11.1015625" style="7" customWidth="1"/>
    <col min="7971" max="7971" width="7.1015625" style="7" customWidth="1"/>
    <col min="7972" max="7973" width="5.83984375" style="7" customWidth="1"/>
    <col min="7974" max="7974" width="6" style="7" customWidth="1"/>
    <col min="7975" max="7975" width="6.83984375" style="7" customWidth="1"/>
    <col min="7976" max="7976" width="6" style="7" customWidth="1"/>
    <col min="7977" max="7977" width="18.1015625" style="7" customWidth="1"/>
    <col min="7978" max="8215" width="9" style="7"/>
    <col min="8216" max="8216" width="2.1015625" style="7" customWidth="1"/>
    <col min="8217" max="8217" width="5.83984375" style="7" customWidth="1"/>
    <col min="8218" max="8218" width="6.83984375" style="7" customWidth="1"/>
    <col min="8219" max="8219" width="6.1015625" style="7" customWidth="1"/>
    <col min="8220" max="8220" width="6.83984375" style="7" customWidth="1"/>
    <col min="8221" max="8221" width="10.83984375" style="7" customWidth="1"/>
    <col min="8222" max="8222" width="11.578125" style="7" customWidth="1"/>
    <col min="8223" max="8223" width="5.578125" style="7" customWidth="1"/>
    <col min="8224" max="8224" width="6" style="7" customWidth="1"/>
    <col min="8225" max="8225" width="6.578125" style="7" customWidth="1"/>
    <col min="8226" max="8226" width="11.1015625" style="7" customWidth="1"/>
    <col min="8227" max="8227" width="7.1015625" style="7" customWidth="1"/>
    <col min="8228" max="8229" width="5.83984375" style="7" customWidth="1"/>
    <col min="8230" max="8230" width="6" style="7" customWidth="1"/>
    <col min="8231" max="8231" width="6.83984375" style="7" customWidth="1"/>
    <col min="8232" max="8232" width="6" style="7" customWidth="1"/>
    <col min="8233" max="8233" width="18.1015625" style="7" customWidth="1"/>
    <col min="8234" max="8471" width="9" style="7"/>
    <col min="8472" max="8472" width="2.1015625" style="7" customWidth="1"/>
    <col min="8473" max="8473" width="5.83984375" style="7" customWidth="1"/>
    <col min="8474" max="8474" width="6.83984375" style="7" customWidth="1"/>
    <col min="8475" max="8475" width="6.1015625" style="7" customWidth="1"/>
    <col min="8476" max="8476" width="6.83984375" style="7" customWidth="1"/>
    <col min="8477" max="8477" width="10.83984375" style="7" customWidth="1"/>
    <col min="8478" max="8478" width="11.578125" style="7" customWidth="1"/>
    <col min="8479" max="8479" width="5.578125" style="7" customWidth="1"/>
    <col min="8480" max="8480" width="6" style="7" customWidth="1"/>
    <col min="8481" max="8481" width="6.578125" style="7" customWidth="1"/>
    <col min="8482" max="8482" width="11.1015625" style="7" customWidth="1"/>
    <col min="8483" max="8483" width="7.1015625" style="7" customWidth="1"/>
    <col min="8484" max="8485" width="5.83984375" style="7" customWidth="1"/>
    <col min="8486" max="8486" width="6" style="7" customWidth="1"/>
    <col min="8487" max="8487" width="6.83984375" style="7" customWidth="1"/>
    <col min="8488" max="8488" width="6" style="7" customWidth="1"/>
    <col min="8489" max="8489" width="18.1015625" style="7" customWidth="1"/>
    <col min="8490" max="8727" width="9" style="7"/>
    <col min="8728" max="8728" width="2.1015625" style="7" customWidth="1"/>
    <col min="8729" max="8729" width="5.83984375" style="7" customWidth="1"/>
    <col min="8730" max="8730" width="6.83984375" style="7" customWidth="1"/>
    <col min="8731" max="8731" width="6.1015625" style="7" customWidth="1"/>
    <col min="8732" max="8732" width="6.83984375" style="7" customWidth="1"/>
    <col min="8733" max="8733" width="10.83984375" style="7" customWidth="1"/>
    <col min="8734" max="8734" width="11.578125" style="7" customWidth="1"/>
    <col min="8735" max="8735" width="5.578125" style="7" customWidth="1"/>
    <col min="8736" max="8736" width="6" style="7" customWidth="1"/>
    <col min="8737" max="8737" width="6.578125" style="7" customWidth="1"/>
    <col min="8738" max="8738" width="11.1015625" style="7" customWidth="1"/>
    <col min="8739" max="8739" width="7.1015625" style="7" customWidth="1"/>
    <col min="8740" max="8741" width="5.83984375" style="7" customWidth="1"/>
    <col min="8742" max="8742" width="6" style="7" customWidth="1"/>
    <col min="8743" max="8743" width="6.83984375" style="7" customWidth="1"/>
    <col min="8744" max="8744" width="6" style="7" customWidth="1"/>
    <col min="8745" max="8745" width="18.1015625" style="7" customWidth="1"/>
    <col min="8746" max="8983" width="9" style="7"/>
    <col min="8984" max="8984" width="2.1015625" style="7" customWidth="1"/>
    <col min="8985" max="8985" width="5.83984375" style="7" customWidth="1"/>
    <col min="8986" max="8986" width="6.83984375" style="7" customWidth="1"/>
    <col min="8987" max="8987" width="6.1015625" style="7" customWidth="1"/>
    <col min="8988" max="8988" width="6.83984375" style="7" customWidth="1"/>
    <col min="8989" max="8989" width="10.83984375" style="7" customWidth="1"/>
    <col min="8990" max="8990" width="11.578125" style="7" customWidth="1"/>
    <col min="8991" max="8991" width="5.578125" style="7" customWidth="1"/>
    <col min="8992" max="8992" width="6" style="7" customWidth="1"/>
    <col min="8993" max="8993" width="6.578125" style="7" customWidth="1"/>
    <col min="8994" max="8994" width="11.1015625" style="7" customWidth="1"/>
    <col min="8995" max="8995" width="7.1015625" style="7" customWidth="1"/>
    <col min="8996" max="8997" width="5.83984375" style="7" customWidth="1"/>
    <col min="8998" max="8998" width="6" style="7" customWidth="1"/>
    <col min="8999" max="8999" width="6.83984375" style="7" customWidth="1"/>
    <col min="9000" max="9000" width="6" style="7" customWidth="1"/>
    <col min="9001" max="9001" width="18.1015625" style="7" customWidth="1"/>
    <col min="9002" max="9239" width="9" style="7"/>
    <col min="9240" max="9240" width="2.1015625" style="7" customWidth="1"/>
    <col min="9241" max="9241" width="5.83984375" style="7" customWidth="1"/>
    <col min="9242" max="9242" width="6.83984375" style="7" customWidth="1"/>
    <col min="9243" max="9243" width="6.1015625" style="7" customWidth="1"/>
    <col min="9244" max="9244" width="6.83984375" style="7" customWidth="1"/>
    <col min="9245" max="9245" width="10.83984375" style="7" customWidth="1"/>
    <col min="9246" max="9246" width="11.578125" style="7" customWidth="1"/>
    <col min="9247" max="9247" width="5.578125" style="7" customWidth="1"/>
    <col min="9248" max="9248" width="6" style="7" customWidth="1"/>
    <col min="9249" max="9249" width="6.578125" style="7" customWidth="1"/>
    <col min="9250" max="9250" width="11.1015625" style="7" customWidth="1"/>
    <col min="9251" max="9251" width="7.1015625" style="7" customWidth="1"/>
    <col min="9252" max="9253" width="5.83984375" style="7" customWidth="1"/>
    <col min="9254" max="9254" width="6" style="7" customWidth="1"/>
    <col min="9255" max="9255" width="6.83984375" style="7" customWidth="1"/>
    <col min="9256" max="9256" width="6" style="7" customWidth="1"/>
    <col min="9257" max="9257" width="18.1015625" style="7" customWidth="1"/>
    <col min="9258" max="9495" width="9" style="7"/>
    <col min="9496" max="9496" width="2.1015625" style="7" customWidth="1"/>
    <col min="9497" max="9497" width="5.83984375" style="7" customWidth="1"/>
    <col min="9498" max="9498" width="6.83984375" style="7" customWidth="1"/>
    <col min="9499" max="9499" width="6.1015625" style="7" customWidth="1"/>
    <col min="9500" max="9500" width="6.83984375" style="7" customWidth="1"/>
    <col min="9501" max="9501" width="10.83984375" style="7" customWidth="1"/>
    <col min="9502" max="9502" width="11.578125" style="7" customWidth="1"/>
    <col min="9503" max="9503" width="5.578125" style="7" customWidth="1"/>
    <col min="9504" max="9504" width="6" style="7" customWidth="1"/>
    <col min="9505" max="9505" width="6.578125" style="7" customWidth="1"/>
    <col min="9506" max="9506" width="11.1015625" style="7" customWidth="1"/>
    <col min="9507" max="9507" width="7.1015625" style="7" customWidth="1"/>
    <col min="9508" max="9509" width="5.83984375" style="7" customWidth="1"/>
    <col min="9510" max="9510" width="6" style="7" customWidth="1"/>
    <col min="9511" max="9511" width="6.83984375" style="7" customWidth="1"/>
    <col min="9512" max="9512" width="6" style="7" customWidth="1"/>
    <col min="9513" max="9513" width="18.1015625" style="7" customWidth="1"/>
    <col min="9514" max="9751" width="9" style="7"/>
    <col min="9752" max="9752" width="2.1015625" style="7" customWidth="1"/>
    <col min="9753" max="9753" width="5.83984375" style="7" customWidth="1"/>
    <col min="9754" max="9754" width="6.83984375" style="7" customWidth="1"/>
    <col min="9755" max="9755" width="6.1015625" style="7" customWidth="1"/>
    <col min="9756" max="9756" width="6.83984375" style="7" customWidth="1"/>
    <col min="9757" max="9757" width="10.83984375" style="7" customWidth="1"/>
    <col min="9758" max="9758" width="11.578125" style="7" customWidth="1"/>
    <col min="9759" max="9759" width="5.578125" style="7" customWidth="1"/>
    <col min="9760" max="9760" width="6" style="7" customWidth="1"/>
    <col min="9761" max="9761" width="6.578125" style="7" customWidth="1"/>
    <col min="9762" max="9762" width="11.1015625" style="7" customWidth="1"/>
    <col min="9763" max="9763" width="7.1015625" style="7" customWidth="1"/>
    <col min="9764" max="9765" width="5.83984375" style="7" customWidth="1"/>
    <col min="9766" max="9766" width="6" style="7" customWidth="1"/>
    <col min="9767" max="9767" width="6.83984375" style="7" customWidth="1"/>
    <col min="9768" max="9768" width="6" style="7" customWidth="1"/>
    <col min="9769" max="9769" width="18.1015625" style="7" customWidth="1"/>
    <col min="9770" max="10007" width="9" style="7"/>
    <col min="10008" max="10008" width="2.1015625" style="7" customWidth="1"/>
    <col min="10009" max="10009" width="5.83984375" style="7" customWidth="1"/>
    <col min="10010" max="10010" width="6.83984375" style="7" customWidth="1"/>
    <col min="10011" max="10011" width="6.1015625" style="7" customWidth="1"/>
    <col min="10012" max="10012" width="6.83984375" style="7" customWidth="1"/>
    <col min="10013" max="10013" width="10.83984375" style="7" customWidth="1"/>
    <col min="10014" max="10014" width="11.578125" style="7" customWidth="1"/>
    <col min="10015" max="10015" width="5.578125" style="7" customWidth="1"/>
    <col min="10016" max="10016" width="6" style="7" customWidth="1"/>
    <col min="10017" max="10017" width="6.578125" style="7" customWidth="1"/>
    <col min="10018" max="10018" width="11.1015625" style="7" customWidth="1"/>
    <col min="10019" max="10019" width="7.1015625" style="7" customWidth="1"/>
    <col min="10020" max="10021" width="5.83984375" style="7" customWidth="1"/>
    <col min="10022" max="10022" width="6" style="7" customWidth="1"/>
    <col min="10023" max="10023" width="6.83984375" style="7" customWidth="1"/>
    <col min="10024" max="10024" width="6" style="7" customWidth="1"/>
    <col min="10025" max="10025" width="18.1015625" style="7" customWidth="1"/>
    <col min="10026" max="10263" width="9" style="7"/>
    <col min="10264" max="10264" width="2.1015625" style="7" customWidth="1"/>
    <col min="10265" max="10265" width="5.83984375" style="7" customWidth="1"/>
    <col min="10266" max="10266" width="6.83984375" style="7" customWidth="1"/>
    <col min="10267" max="10267" width="6.1015625" style="7" customWidth="1"/>
    <col min="10268" max="10268" width="6.83984375" style="7" customWidth="1"/>
    <col min="10269" max="10269" width="10.83984375" style="7" customWidth="1"/>
    <col min="10270" max="10270" width="11.578125" style="7" customWidth="1"/>
    <col min="10271" max="10271" width="5.578125" style="7" customWidth="1"/>
    <col min="10272" max="10272" width="6" style="7" customWidth="1"/>
    <col min="10273" max="10273" width="6.578125" style="7" customWidth="1"/>
    <col min="10274" max="10274" width="11.1015625" style="7" customWidth="1"/>
    <col min="10275" max="10275" width="7.1015625" style="7" customWidth="1"/>
    <col min="10276" max="10277" width="5.83984375" style="7" customWidth="1"/>
    <col min="10278" max="10278" width="6" style="7" customWidth="1"/>
    <col min="10279" max="10279" width="6.83984375" style="7" customWidth="1"/>
    <col min="10280" max="10280" width="6" style="7" customWidth="1"/>
    <col min="10281" max="10281" width="18.1015625" style="7" customWidth="1"/>
    <col min="10282" max="10519" width="9" style="7"/>
    <col min="10520" max="10520" width="2.1015625" style="7" customWidth="1"/>
    <col min="10521" max="10521" width="5.83984375" style="7" customWidth="1"/>
    <col min="10522" max="10522" width="6.83984375" style="7" customWidth="1"/>
    <col min="10523" max="10523" width="6.1015625" style="7" customWidth="1"/>
    <col min="10524" max="10524" width="6.83984375" style="7" customWidth="1"/>
    <col min="10525" max="10525" width="10.83984375" style="7" customWidth="1"/>
    <col min="10526" max="10526" width="11.578125" style="7" customWidth="1"/>
    <col min="10527" max="10527" width="5.578125" style="7" customWidth="1"/>
    <col min="10528" max="10528" width="6" style="7" customWidth="1"/>
    <col min="10529" max="10529" width="6.578125" style="7" customWidth="1"/>
    <col min="10530" max="10530" width="11.1015625" style="7" customWidth="1"/>
    <col min="10531" max="10531" width="7.1015625" style="7" customWidth="1"/>
    <col min="10532" max="10533" width="5.83984375" style="7" customWidth="1"/>
    <col min="10534" max="10534" width="6" style="7" customWidth="1"/>
    <col min="10535" max="10535" width="6.83984375" style="7" customWidth="1"/>
    <col min="10536" max="10536" width="6" style="7" customWidth="1"/>
    <col min="10537" max="10537" width="18.1015625" style="7" customWidth="1"/>
    <col min="10538" max="10775" width="9" style="7"/>
    <col min="10776" max="10776" width="2.1015625" style="7" customWidth="1"/>
    <col min="10777" max="10777" width="5.83984375" style="7" customWidth="1"/>
    <col min="10778" max="10778" width="6.83984375" style="7" customWidth="1"/>
    <col min="10779" max="10779" width="6.1015625" style="7" customWidth="1"/>
    <col min="10780" max="10780" width="6.83984375" style="7" customWidth="1"/>
    <col min="10781" max="10781" width="10.83984375" style="7" customWidth="1"/>
    <col min="10782" max="10782" width="11.578125" style="7" customWidth="1"/>
    <col min="10783" max="10783" width="5.578125" style="7" customWidth="1"/>
    <col min="10784" max="10784" width="6" style="7" customWidth="1"/>
    <col min="10785" max="10785" width="6.578125" style="7" customWidth="1"/>
    <col min="10786" max="10786" width="11.1015625" style="7" customWidth="1"/>
    <col min="10787" max="10787" width="7.1015625" style="7" customWidth="1"/>
    <col min="10788" max="10789" width="5.83984375" style="7" customWidth="1"/>
    <col min="10790" max="10790" width="6" style="7" customWidth="1"/>
    <col min="10791" max="10791" width="6.83984375" style="7" customWidth="1"/>
    <col min="10792" max="10792" width="6" style="7" customWidth="1"/>
    <col min="10793" max="10793" width="18.1015625" style="7" customWidth="1"/>
    <col min="10794" max="11031" width="9" style="7"/>
    <col min="11032" max="11032" width="2.1015625" style="7" customWidth="1"/>
    <col min="11033" max="11033" width="5.83984375" style="7" customWidth="1"/>
    <col min="11034" max="11034" width="6.83984375" style="7" customWidth="1"/>
    <col min="11035" max="11035" width="6.1015625" style="7" customWidth="1"/>
    <col min="11036" max="11036" width="6.83984375" style="7" customWidth="1"/>
    <col min="11037" max="11037" width="10.83984375" style="7" customWidth="1"/>
    <col min="11038" max="11038" width="11.578125" style="7" customWidth="1"/>
    <col min="11039" max="11039" width="5.578125" style="7" customWidth="1"/>
    <col min="11040" max="11040" width="6" style="7" customWidth="1"/>
    <col min="11041" max="11041" width="6.578125" style="7" customWidth="1"/>
    <col min="11042" max="11042" width="11.1015625" style="7" customWidth="1"/>
    <col min="11043" max="11043" width="7.1015625" style="7" customWidth="1"/>
    <col min="11044" max="11045" width="5.83984375" style="7" customWidth="1"/>
    <col min="11046" max="11046" width="6" style="7" customWidth="1"/>
    <col min="11047" max="11047" width="6.83984375" style="7" customWidth="1"/>
    <col min="11048" max="11048" width="6" style="7" customWidth="1"/>
    <col min="11049" max="11049" width="18.1015625" style="7" customWidth="1"/>
    <col min="11050" max="11287" width="9" style="7"/>
    <col min="11288" max="11288" width="2.1015625" style="7" customWidth="1"/>
    <col min="11289" max="11289" width="5.83984375" style="7" customWidth="1"/>
    <col min="11290" max="11290" width="6.83984375" style="7" customWidth="1"/>
    <col min="11291" max="11291" width="6.1015625" style="7" customWidth="1"/>
    <col min="11292" max="11292" width="6.83984375" style="7" customWidth="1"/>
    <col min="11293" max="11293" width="10.83984375" style="7" customWidth="1"/>
    <col min="11294" max="11294" width="11.578125" style="7" customWidth="1"/>
    <col min="11295" max="11295" width="5.578125" style="7" customWidth="1"/>
    <col min="11296" max="11296" width="6" style="7" customWidth="1"/>
    <col min="11297" max="11297" width="6.578125" style="7" customWidth="1"/>
    <col min="11298" max="11298" width="11.1015625" style="7" customWidth="1"/>
    <col min="11299" max="11299" width="7.1015625" style="7" customWidth="1"/>
    <col min="11300" max="11301" width="5.83984375" style="7" customWidth="1"/>
    <col min="11302" max="11302" width="6" style="7" customWidth="1"/>
    <col min="11303" max="11303" width="6.83984375" style="7" customWidth="1"/>
    <col min="11304" max="11304" width="6" style="7" customWidth="1"/>
    <col min="11305" max="11305" width="18.1015625" style="7" customWidth="1"/>
    <col min="11306" max="11543" width="9" style="7"/>
    <col min="11544" max="11544" width="2.1015625" style="7" customWidth="1"/>
    <col min="11545" max="11545" width="5.83984375" style="7" customWidth="1"/>
    <col min="11546" max="11546" width="6.83984375" style="7" customWidth="1"/>
    <col min="11547" max="11547" width="6.1015625" style="7" customWidth="1"/>
    <col min="11548" max="11548" width="6.83984375" style="7" customWidth="1"/>
    <col min="11549" max="11549" width="10.83984375" style="7" customWidth="1"/>
    <col min="11550" max="11550" width="11.578125" style="7" customWidth="1"/>
    <col min="11551" max="11551" width="5.578125" style="7" customWidth="1"/>
    <col min="11552" max="11552" width="6" style="7" customWidth="1"/>
    <col min="11553" max="11553" width="6.578125" style="7" customWidth="1"/>
    <col min="11554" max="11554" width="11.1015625" style="7" customWidth="1"/>
    <col min="11555" max="11555" width="7.1015625" style="7" customWidth="1"/>
    <col min="11556" max="11557" width="5.83984375" style="7" customWidth="1"/>
    <col min="11558" max="11558" width="6" style="7" customWidth="1"/>
    <col min="11559" max="11559" width="6.83984375" style="7" customWidth="1"/>
    <col min="11560" max="11560" width="6" style="7" customWidth="1"/>
    <col min="11561" max="11561" width="18.1015625" style="7" customWidth="1"/>
    <col min="11562" max="11799" width="9" style="7"/>
    <col min="11800" max="11800" width="2.1015625" style="7" customWidth="1"/>
    <col min="11801" max="11801" width="5.83984375" style="7" customWidth="1"/>
    <col min="11802" max="11802" width="6.83984375" style="7" customWidth="1"/>
    <col min="11803" max="11803" width="6.1015625" style="7" customWidth="1"/>
    <col min="11804" max="11804" width="6.83984375" style="7" customWidth="1"/>
    <col min="11805" max="11805" width="10.83984375" style="7" customWidth="1"/>
    <col min="11806" max="11806" width="11.578125" style="7" customWidth="1"/>
    <col min="11807" max="11807" width="5.578125" style="7" customWidth="1"/>
    <col min="11808" max="11808" width="6" style="7" customWidth="1"/>
    <col min="11809" max="11809" width="6.578125" style="7" customWidth="1"/>
    <col min="11810" max="11810" width="11.1015625" style="7" customWidth="1"/>
    <col min="11811" max="11811" width="7.1015625" style="7" customWidth="1"/>
    <col min="11812" max="11813" width="5.83984375" style="7" customWidth="1"/>
    <col min="11814" max="11814" width="6" style="7" customWidth="1"/>
    <col min="11815" max="11815" width="6.83984375" style="7" customWidth="1"/>
    <col min="11816" max="11816" width="6" style="7" customWidth="1"/>
    <col min="11817" max="11817" width="18.1015625" style="7" customWidth="1"/>
    <col min="11818" max="12055" width="9" style="7"/>
    <col min="12056" max="12056" width="2.1015625" style="7" customWidth="1"/>
    <col min="12057" max="12057" width="5.83984375" style="7" customWidth="1"/>
    <col min="12058" max="12058" width="6.83984375" style="7" customWidth="1"/>
    <col min="12059" max="12059" width="6.1015625" style="7" customWidth="1"/>
    <col min="12060" max="12060" width="6.83984375" style="7" customWidth="1"/>
    <col min="12061" max="12061" width="10.83984375" style="7" customWidth="1"/>
    <col min="12062" max="12062" width="11.578125" style="7" customWidth="1"/>
    <col min="12063" max="12063" width="5.578125" style="7" customWidth="1"/>
    <col min="12064" max="12064" width="6" style="7" customWidth="1"/>
    <col min="12065" max="12065" width="6.578125" style="7" customWidth="1"/>
    <col min="12066" max="12066" width="11.1015625" style="7" customWidth="1"/>
    <col min="12067" max="12067" width="7.1015625" style="7" customWidth="1"/>
    <col min="12068" max="12069" width="5.83984375" style="7" customWidth="1"/>
    <col min="12070" max="12070" width="6" style="7" customWidth="1"/>
    <col min="12071" max="12071" width="6.83984375" style="7" customWidth="1"/>
    <col min="12072" max="12072" width="6" style="7" customWidth="1"/>
    <col min="12073" max="12073" width="18.1015625" style="7" customWidth="1"/>
    <col min="12074" max="12311" width="9" style="7"/>
    <col min="12312" max="12312" width="2.1015625" style="7" customWidth="1"/>
    <col min="12313" max="12313" width="5.83984375" style="7" customWidth="1"/>
    <col min="12314" max="12314" width="6.83984375" style="7" customWidth="1"/>
    <col min="12315" max="12315" width="6.1015625" style="7" customWidth="1"/>
    <col min="12316" max="12316" width="6.83984375" style="7" customWidth="1"/>
    <col min="12317" max="12317" width="10.83984375" style="7" customWidth="1"/>
    <col min="12318" max="12318" width="11.578125" style="7" customWidth="1"/>
    <col min="12319" max="12319" width="5.578125" style="7" customWidth="1"/>
    <col min="12320" max="12320" width="6" style="7" customWidth="1"/>
    <col min="12321" max="12321" width="6.578125" style="7" customWidth="1"/>
    <col min="12322" max="12322" width="11.1015625" style="7" customWidth="1"/>
    <col min="12323" max="12323" width="7.1015625" style="7" customWidth="1"/>
    <col min="12324" max="12325" width="5.83984375" style="7" customWidth="1"/>
    <col min="12326" max="12326" width="6" style="7" customWidth="1"/>
    <col min="12327" max="12327" width="6.83984375" style="7" customWidth="1"/>
    <col min="12328" max="12328" width="6" style="7" customWidth="1"/>
    <col min="12329" max="12329" width="18.1015625" style="7" customWidth="1"/>
    <col min="12330" max="12567" width="9" style="7"/>
    <col min="12568" max="12568" width="2.1015625" style="7" customWidth="1"/>
    <col min="12569" max="12569" width="5.83984375" style="7" customWidth="1"/>
    <col min="12570" max="12570" width="6.83984375" style="7" customWidth="1"/>
    <col min="12571" max="12571" width="6.1015625" style="7" customWidth="1"/>
    <col min="12572" max="12572" width="6.83984375" style="7" customWidth="1"/>
    <col min="12573" max="12573" width="10.83984375" style="7" customWidth="1"/>
    <col min="12574" max="12574" width="11.578125" style="7" customWidth="1"/>
    <col min="12575" max="12575" width="5.578125" style="7" customWidth="1"/>
    <col min="12576" max="12576" width="6" style="7" customWidth="1"/>
    <col min="12577" max="12577" width="6.578125" style="7" customWidth="1"/>
    <col min="12578" max="12578" width="11.1015625" style="7" customWidth="1"/>
    <col min="12579" max="12579" width="7.1015625" style="7" customWidth="1"/>
    <col min="12580" max="12581" width="5.83984375" style="7" customWidth="1"/>
    <col min="12582" max="12582" width="6" style="7" customWidth="1"/>
    <col min="12583" max="12583" width="6.83984375" style="7" customWidth="1"/>
    <col min="12584" max="12584" width="6" style="7" customWidth="1"/>
    <col min="12585" max="12585" width="18.1015625" style="7" customWidth="1"/>
    <col min="12586" max="12823" width="9" style="7"/>
    <col min="12824" max="12824" width="2.1015625" style="7" customWidth="1"/>
    <col min="12825" max="12825" width="5.83984375" style="7" customWidth="1"/>
    <col min="12826" max="12826" width="6.83984375" style="7" customWidth="1"/>
    <col min="12827" max="12827" width="6.1015625" style="7" customWidth="1"/>
    <col min="12828" max="12828" width="6.83984375" style="7" customWidth="1"/>
    <col min="12829" max="12829" width="10.83984375" style="7" customWidth="1"/>
    <col min="12830" max="12830" width="11.578125" style="7" customWidth="1"/>
    <col min="12831" max="12831" width="5.578125" style="7" customWidth="1"/>
    <col min="12832" max="12832" width="6" style="7" customWidth="1"/>
    <col min="12833" max="12833" width="6.578125" style="7" customWidth="1"/>
    <col min="12834" max="12834" width="11.1015625" style="7" customWidth="1"/>
    <col min="12835" max="12835" width="7.1015625" style="7" customWidth="1"/>
    <col min="12836" max="12837" width="5.83984375" style="7" customWidth="1"/>
    <col min="12838" max="12838" width="6" style="7" customWidth="1"/>
    <col min="12839" max="12839" width="6.83984375" style="7" customWidth="1"/>
    <col min="12840" max="12840" width="6" style="7" customWidth="1"/>
    <col min="12841" max="12841" width="18.1015625" style="7" customWidth="1"/>
    <col min="12842" max="13079" width="9" style="7"/>
    <col min="13080" max="13080" width="2.1015625" style="7" customWidth="1"/>
    <col min="13081" max="13081" width="5.83984375" style="7" customWidth="1"/>
    <col min="13082" max="13082" width="6.83984375" style="7" customWidth="1"/>
    <col min="13083" max="13083" width="6.1015625" style="7" customWidth="1"/>
    <col min="13084" max="13084" width="6.83984375" style="7" customWidth="1"/>
    <col min="13085" max="13085" width="10.83984375" style="7" customWidth="1"/>
    <col min="13086" max="13086" width="11.578125" style="7" customWidth="1"/>
    <col min="13087" max="13087" width="5.578125" style="7" customWidth="1"/>
    <col min="13088" max="13088" width="6" style="7" customWidth="1"/>
    <col min="13089" max="13089" width="6.578125" style="7" customWidth="1"/>
    <col min="13090" max="13090" width="11.1015625" style="7" customWidth="1"/>
    <col min="13091" max="13091" width="7.1015625" style="7" customWidth="1"/>
    <col min="13092" max="13093" width="5.83984375" style="7" customWidth="1"/>
    <col min="13094" max="13094" width="6" style="7" customWidth="1"/>
    <col min="13095" max="13095" width="6.83984375" style="7" customWidth="1"/>
    <col min="13096" max="13096" width="6" style="7" customWidth="1"/>
    <col min="13097" max="13097" width="18.1015625" style="7" customWidth="1"/>
    <col min="13098" max="13335" width="9" style="7"/>
    <col min="13336" max="13336" width="2.1015625" style="7" customWidth="1"/>
    <col min="13337" max="13337" width="5.83984375" style="7" customWidth="1"/>
    <col min="13338" max="13338" width="6.83984375" style="7" customWidth="1"/>
    <col min="13339" max="13339" width="6.1015625" style="7" customWidth="1"/>
    <col min="13340" max="13340" width="6.83984375" style="7" customWidth="1"/>
    <col min="13341" max="13341" width="10.83984375" style="7" customWidth="1"/>
    <col min="13342" max="13342" width="11.578125" style="7" customWidth="1"/>
    <col min="13343" max="13343" width="5.578125" style="7" customWidth="1"/>
    <col min="13344" max="13344" width="6" style="7" customWidth="1"/>
    <col min="13345" max="13345" width="6.578125" style="7" customWidth="1"/>
    <col min="13346" max="13346" width="11.1015625" style="7" customWidth="1"/>
    <col min="13347" max="13347" width="7.1015625" style="7" customWidth="1"/>
    <col min="13348" max="13349" width="5.83984375" style="7" customWidth="1"/>
    <col min="13350" max="13350" width="6" style="7" customWidth="1"/>
    <col min="13351" max="13351" width="6.83984375" style="7" customWidth="1"/>
    <col min="13352" max="13352" width="6" style="7" customWidth="1"/>
    <col min="13353" max="13353" width="18.1015625" style="7" customWidth="1"/>
    <col min="13354" max="13591" width="9" style="7"/>
    <col min="13592" max="13592" width="2.1015625" style="7" customWidth="1"/>
    <col min="13593" max="13593" width="5.83984375" style="7" customWidth="1"/>
    <col min="13594" max="13594" width="6.83984375" style="7" customWidth="1"/>
    <col min="13595" max="13595" width="6.1015625" style="7" customWidth="1"/>
    <col min="13596" max="13596" width="6.83984375" style="7" customWidth="1"/>
    <col min="13597" max="13597" width="10.83984375" style="7" customWidth="1"/>
    <col min="13598" max="13598" width="11.578125" style="7" customWidth="1"/>
    <col min="13599" max="13599" width="5.578125" style="7" customWidth="1"/>
    <col min="13600" max="13600" width="6" style="7" customWidth="1"/>
    <col min="13601" max="13601" width="6.578125" style="7" customWidth="1"/>
    <col min="13602" max="13602" width="11.1015625" style="7" customWidth="1"/>
    <col min="13603" max="13603" width="7.1015625" style="7" customWidth="1"/>
    <col min="13604" max="13605" width="5.83984375" style="7" customWidth="1"/>
    <col min="13606" max="13606" width="6" style="7" customWidth="1"/>
    <col min="13607" max="13607" width="6.83984375" style="7" customWidth="1"/>
    <col min="13608" max="13608" width="6" style="7" customWidth="1"/>
    <col min="13609" max="13609" width="18.1015625" style="7" customWidth="1"/>
    <col min="13610" max="13847" width="9" style="7"/>
    <col min="13848" max="13848" width="2.1015625" style="7" customWidth="1"/>
    <col min="13849" max="13849" width="5.83984375" style="7" customWidth="1"/>
    <col min="13850" max="13850" width="6.83984375" style="7" customWidth="1"/>
    <col min="13851" max="13851" width="6.1015625" style="7" customWidth="1"/>
    <col min="13852" max="13852" width="6.83984375" style="7" customWidth="1"/>
    <col min="13853" max="13853" width="10.83984375" style="7" customWidth="1"/>
    <col min="13854" max="13854" width="11.578125" style="7" customWidth="1"/>
    <col min="13855" max="13855" width="5.578125" style="7" customWidth="1"/>
    <col min="13856" max="13856" width="6" style="7" customWidth="1"/>
    <col min="13857" max="13857" width="6.578125" style="7" customWidth="1"/>
    <col min="13858" max="13858" width="11.1015625" style="7" customWidth="1"/>
    <col min="13859" max="13859" width="7.1015625" style="7" customWidth="1"/>
    <col min="13860" max="13861" width="5.83984375" style="7" customWidth="1"/>
    <col min="13862" max="13862" width="6" style="7" customWidth="1"/>
    <col min="13863" max="13863" width="6.83984375" style="7" customWidth="1"/>
    <col min="13864" max="13864" width="6" style="7" customWidth="1"/>
    <col min="13865" max="13865" width="18.1015625" style="7" customWidth="1"/>
    <col min="13866" max="14103" width="9" style="7"/>
    <col min="14104" max="14104" width="2.1015625" style="7" customWidth="1"/>
    <col min="14105" max="14105" width="5.83984375" style="7" customWidth="1"/>
    <col min="14106" max="14106" width="6.83984375" style="7" customWidth="1"/>
    <col min="14107" max="14107" width="6.1015625" style="7" customWidth="1"/>
    <col min="14108" max="14108" width="6.83984375" style="7" customWidth="1"/>
    <col min="14109" max="14109" width="10.83984375" style="7" customWidth="1"/>
    <col min="14110" max="14110" width="11.578125" style="7" customWidth="1"/>
    <col min="14111" max="14111" width="5.578125" style="7" customWidth="1"/>
    <col min="14112" max="14112" width="6" style="7" customWidth="1"/>
    <col min="14113" max="14113" width="6.578125" style="7" customWidth="1"/>
    <col min="14114" max="14114" width="11.1015625" style="7" customWidth="1"/>
    <col min="14115" max="14115" width="7.1015625" style="7" customWidth="1"/>
    <col min="14116" max="14117" width="5.83984375" style="7" customWidth="1"/>
    <col min="14118" max="14118" width="6" style="7" customWidth="1"/>
    <col min="14119" max="14119" width="6.83984375" style="7" customWidth="1"/>
    <col min="14120" max="14120" width="6" style="7" customWidth="1"/>
    <col min="14121" max="14121" width="18.1015625" style="7" customWidth="1"/>
    <col min="14122" max="14359" width="9" style="7"/>
    <col min="14360" max="14360" width="2.1015625" style="7" customWidth="1"/>
    <col min="14361" max="14361" width="5.83984375" style="7" customWidth="1"/>
    <col min="14362" max="14362" width="6.83984375" style="7" customWidth="1"/>
    <col min="14363" max="14363" width="6.1015625" style="7" customWidth="1"/>
    <col min="14364" max="14364" width="6.83984375" style="7" customWidth="1"/>
    <col min="14365" max="14365" width="10.83984375" style="7" customWidth="1"/>
    <col min="14366" max="14366" width="11.578125" style="7" customWidth="1"/>
    <col min="14367" max="14367" width="5.578125" style="7" customWidth="1"/>
    <col min="14368" max="14368" width="6" style="7" customWidth="1"/>
    <col min="14369" max="14369" width="6.578125" style="7" customWidth="1"/>
    <col min="14370" max="14370" width="11.1015625" style="7" customWidth="1"/>
    <col min="14371" max="14371" width="7.1015625" style="7" customWidth="1"/>
    <col min="14372" max="14373" width="5.83984375" style="7" customWidth="1"/>
    <col min="14374" max="14374" width="6" style="7" customWidth="1"/>
    <col min="14375" max="14375" width="6.83984375" style="7" customWidth="1"/>
    <col min="14376" max="14376" width="6" style="7" customWidth="1"/>
    <col min="14377" max="14377" width="18.1015625" style="7" customWidth="1"/>
    <col min="14378" max="14615" width="9" style="7"/>
    <col min="14616" max="14616" width="2.1015625" style="7" customWidth="1"/>
    <col min="14617" max="14617" width="5.83984375" style="7" customWidth="1"/>
    <col min="14618" max="14618" width="6.83984375" style="7" customWidth="1"/>
    <col min="14619" max="14619" width="6.1015625" style="7" customWidth="1"/>
    <col min="14620" max="14620" width="6.83984375" style="7" customWidth="1"/>
    <col min="14621" max="14621" width="10.83984375" style="7" customWidth="1"/>
    <col min="14622" max="14622" width="11.578125" style="7" customWidth="1"/>
    <col min="14623" max="14623" width="5.578125" style="7" customWidth="1"/>
    <col min="14624" max="14624" width="6" style="7" customWidth="1"/>
    <col min="14625" max="14625" width="6.578125" style="7" customWidth="1"/>
    <col min="14626" max="14626" width="11.1015625" style="7" customWidth="1"/>
    <col min="14627" max="14627" width="7.1015625" style="7" customWidth="1"/>
    <col min="14628" max="14629" width="5.83984375" style="7" customWidth="1"/>
    <col min="14630" max="14630" width="6" style="7" customWidth="1"/>
    <col min="14631" max="14631" width="6.83984375" style="7" customWidth="1"/>
    <col min="14632" max="14632" width="6" style="7" customWidth="1"/>
    <col min="14633" max="14633" width="18.1015625" style="7" customWidth="1"/>
    <col min="14634" max="14871" width="9" style="7"/>
    <col min="14872" max="14872" width="2.1015625" style="7" customWidth="1"/>
    <col min="14873" max="14873" width="5.83984375" style="7" customWidth="1"/>
    <col min="14874" max="14874" width="6.83984375" style="7" customWidth="1"/>
    <col min="14875" max="14875" width="6.1015625" style="7" customWidth="1"/>
    <col min="14876" max="14876" width="6.83984375" style="7" customWidth="1"/>
    <col min="14877" max="14877" width="10.83984375" style="7" customWidth="1"/>
    <col min="14878" max="14878" width="11.578125" style="7" customWidth="1"/>
    <col min="14879" max="14879" width="5.578125" style="7" customWidth="1"/>
    <col min="14880" max="14880" width="6" style="7" customWidth="1"/>
    <col min="14881" max="14881" width="6.578125" style="7" customWidth="1"/>
    <col min="14882" max="14882" width="11.1015625" style="7" customWidth="1"/>
    <col min="14883" max="14883" width="7.1015625" style="7" customWidth="1"/>
    <col min="14884" max="14885" width="5.83984375" style="7" customWidth="1"/>
    <col min="14886" max="14886" width="6" style="7" customWidth="1"/>
    <col min="14887" max="14887" width="6.83984375" style="7" customWidth="1"/>
    <col min="14888" max="14888" width="6" style="7" customWidth="1"/>
    <col min="14889" max="14889" width="18.1015625" style="7" customWidth="1"/>
    <col min="14890" max="15127" width="9" style="7"/>
    <col min="15128" max="15128" width="2.1015625" style="7" customWidth="1"/>
    <col min="15129" max="15129" width="5.83984375" style="7" customWidth="1"/>
    <col min="15130" max="15130" width="6.83984375" style="7" customWidth="1"/>
    <col min="15131" max="15131" width="6.1015625" style="7" customWidth="1"/>
    <col min="15132" max="15132" width="6.83984375" style="7" customWidth="1"/>
    <col min="15133" max="15133" width="10.83984375" style="7" customWidth="1"/>
    <col min="15134" max="15134" width="11.578125" style="7" customWidth="1"/>
    <col min="15135" max="15135" width="5.578125" style="7" customWidth="1"/>
    <col min="15136" max="15136" width="6" style="7" customWidth="1"/>
    <col min="15137" max="15137" width="6.578125" style="7" customWidth="1"/>
    <col min="15138" max="15138" width="11.1015625" style="7" customWidth="1"/>
    <col min="15139" max="15139" width="7.1015625" style="7" customWidth="1"/>
    <col min="15140" max="15141" width="5.83984375" style="7" customWidth="1"/>
    <col min="15142" max="15142" width="6" style="7" customWidth="1"/>
    <col min="15143" max="15143" width="6.83984375" style="7" customWidth="1"/>
    <col min="15144" max="15144" width="6" style="7" customWidth="1"/>
    <col min="15145" max="15145" width="18.1015625" style="7" customWidth="1"/>
    <col min="15146" max="15383" width="9" style="7"/>
    <col min="15384" max="15384" width="2.1015625" style="7" customWidth="1"/>
    <col min="15385" max="15385" width="5.83984375" style="7" customWidth="1"/>
    <col min="15386" max="15386" width="6.83984375" style="7" customWidth="1"/>
    <col min="15387" max="15387" width="6.1015625" style="7" customWidth="1"/>
    <col min="15388" max="15388" width="6.83984375" style="7" customWidth="1"/>
    <col min="15389" max="15389" width="10.83984375" style="7" customWidth="1"/>
    <col min="15390" max="15390" width="11.578125" style="7" customWidth="1"/>
    <col min="15391" max="15391" width="5.578125" style="7" customWidth="1"/>
    <col min="15392" max="15392" width="6" style="7" customWidth="1"/>
    <col min="15393" max="15393" width="6.578125" style="7" customWidth="1"/>
    <col min="15394" max="15394" width="11.1015625" style="7" customWidth="1"/>
    <col min="15395" max="15395" width="7.1015625" style="7" customWidth="1"/>
    <col min="15396" max="15397" width="5.83984375" style="7" customWidth="1"/>
    <col min="15398" max="15398" width="6" style="7" customWidth="1"/>
    <col min="15399" max="15399" width="6.83984375" style="7" customWidth="1"/>
    <col min="15400" max="15400" width="6" style="7" customWidth="1"/>
    <col min="15401" max="15401" width="18.1015625" style="7" customWidth="1"/>
    <col min="15402" max="15639" width="9" style="7"/>
    <col min="15640" max="15640" width="2.1015625" style="7" customWidth="1"/>
    <col min="15641" max="15641" width="5.83984375" style="7" customWidth="1"/>
    <col min="15642" max="15642" width="6.83984375" style="7" customWidth="1"/>
    <col min="15643" max="15643" width="6.1015625" style="7" customWidth="1"/>
    <col min="15644" max="15644" width="6.83984375" style="7" customWidth="1"/>
    <col min="15645" max="15645" width="10.83984375" style="7" customWidth="1"/>
    <col min="15646" max="15646" width="11.578125" style="7" customWidth="1"/>
    <col min="15647" max="15647" width="5.578125" style="7" customWidth="1"/>
    <col min="15648" max="15648" width="6" style="7" customWidth="1"/>
    <col min="15649" max="15649" width="6.578125" style="7" customWidth="1"/>
    <col min="15650" max="15650" width="11.1015625" style="7" customWidth="1"/>
    <col min="15651" max="15651" width="7.1015625" style="7" customWidth="1"/>
    <col min="15652" max="15653" width="5.83984375" style="7" customWidth="1"/>
    <col min="15654" max="15654" width="6" style="7" customWidth="1"/>
    <col min="15655" max="15655" width="6.83984375" style="7" customWidth="1"/>
    <col min="15656" max="15656" width="6" style="7" customWidth="1"/>
    <col min="15657" max="15657" width="18.1015625" style="7" customWidth="1"/>
    <col min="15658" max="15895" width="9" style="7"/>
    <col min="15896" max="15896" width="2.1015625" style="7" customWidth="1"/>
    <col min="15897" max="15897" width="5.83984375" style="7" customWidth="1"/>
    <col min="15898" max="15898" width="6.83984375" style="7" customWidth="1"/>
    <col min="15899" max="15899" width="6.1015625" style="7" customWidth="1"/>
    <col min="15900" max="15900" width="6.83984375" style="7" customWidth="1"/>
    <col min="15901" max="15901" width="10.83984375" style="7" customWidth="1"/>
    <col min="15902" max="15902" width="11.578125" style="7" customWidth="1"/>
    <col min="15903" max="15903" width="5.578125" style="7" customWidth="1"/>
    <col min="15904" max="15904" width="6" style="7" customWidth="1"/>
    <col min="15905" max="15905" width="6.578125" style="7" customWidth="1"/>
    <col min="15906" max="15906" width="11.1015625" style="7" customWidth="1"/>
    <col min="15907" max="15907" width="7.1015625" style="7" customWidth="1"/>
    <col min="15908" max="15909" width="5.83984375" style="7" customWidth="1"/>
    <col min="15910" max="15910" width="6" style="7" customWidth="1"/>
    <col min="15911" max="15911" width="6.83984375" style="7" customWidth="1"/>
    <col min="15912" max="15912" width="6" style="7" customWidth="1"/>
    <col min="15913" max="15913" width="18.1015625" style="7" customWidth="1"/>
    <col min="15914" max="16151" width="9" style="7"/>
    <col min="16152" max="16152" width="2.1015625" style="7" customWidth="1"/>
    <col min="16153" max="16153" width="5.83984375" style="7" customWidth="1"/>
    <col min="16154" max="16154" width="6.83984375" style="7" customWidth="1"/>
    <col min="16155" max="16155" width="6.1015625" style="7" customWidth="1"/>
    <col min="16156" max="16156" width="6.83984375" style="7" customWidth="1"/>
    <col min="16157" max="16157" width="10.83984375" style="7" customWidth="1"/>
    <col min="16158" max="16158" width="11.578125" style="7" customWidth="1"/>
    <col min="16159" max="16159" width="5.578125" style="7" customWidth="1"/>
    <col min="16160" max="16160" width="6" style="7" customWidth="1"/>
    <col min="16161" max="16161" width="6.578125" style="7" customWidth="1"/>
    <col min="16162" max="16162" width="11.1015625" style="7" customWidth="1"/>
    <col min="16163" max="16163" width="7.1015625" style="7" customWidth="1"/>
    <col min="16164" max="16165" width="5.83984375" style="7" customWidth="1"/>
    <col min="16166" max="16166" width="6" style="7" customWidth="1"/>
    <col min="16167" max="16167" width="6.83984375" style="7" customWidth="1"/>
    <col min="16168" max="16168" width="6" style="7" customWidth="1"/>
    <col min="16169" max="16169" width="18.1015625" style="7" customWidth="1"/>
  </cols>
  <sheetData>
    <row r="1" spans="2:47" ht="5.1" customHeight="1" x14ac:dyDescent="0.4"/>
    <row r="2" spans="2:47" ht="17.5" customHeight="1" thickBot="1" x14ac:dyDescent="0.45">
      <c r="B2" s="176" t="s">
        <v>227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7"/>
      <c r="AK2" s="177"/>
      <c r="AL2" s="177"/>
      <c r="AM2" s="177"/>
      <c r="AN2" s="177"/>
      <c r="AO2" s="177"/>
      <c r="AP2" s="177"/>
      <c r="AQ2" s="177"/>
      <c r="AR2" s="177"/>
    </row>
    <row r="3" spans="2:47" ht="20.1" customHeight="1" x14ac:dyDescent="0.4">
      <c r="B3" s="178" t="s">
        <v>181</v>
      </c>
      <c r="C3" s="136" t="s">
        <v>163</v>
      </c>
      <c r="D3" s="186"/>
      <c r="E3" s="186"/>
      <c r="F3" s="186"/>
      <c r="G3" s="186"/>
      <c r="H3" s="187"/>
      <c r="I3" s="190" t="s">
        <v>8</v>
      </c>
      <c r="J3" s="186"/>
      <c r="K3" s="186"/>
      <c r="L3" s="186"/>
      <c r="M3" s="186"/>
      <c r="N3" s="186"/>
      <c r="O3" s="186"/>
      <c r="P3" s="191"/>
      <c r="Q3" s="136" t="s">
        <v>77</v>
      </c>
      <c r="R3" s="186"/>
      <c r="S3" s="191"/>
      <c r="T3" s="136" t="s">
        <v>10</v>
      </c>
      <c r="U3" s="186"/>
      <c r="V3" s="186"/>
      <c r="W3" s="191"/>
      <c r="X3" s="136" t="s">
        <v>80</v>
      </c>
      <c r="Y3" s="137"/>
      <c r="Z3" s="136" t="s">
        <v>11</v>
      </c>
      <c r="AA3" s="137"/>
      <c r="AB3" s="16" t="s">
        <v>13</v>
      </c>
      <c r="AC3" s="136" t="s">
        <v>14</v>
      </c>
      <c r="AD3" s="137"/>
      <c r="AE3" s="140" t="s">
        <v>88</v>
      </c>
      <c r="AF3" s="141"/>
      <c r="AG3" s="141"/>
      <c r="AH3" s="141"/>
      <c r="AI3" s="141"/>
      <c r="AJ3" s="141"/>
      <c r="AK3" s="142"/>
      <c r="AL3" s="136" t="s">
        <v>18</v>
      </c>
      <c r="AM3" s="182"/>
      <c r="AN3" s="183"/>
      <c r="AO3" s="182" t="s">
        <v>16</v>
      </c>
      <c r="AP3" s="182"/>
      <c r="AQ3" s="182"/>
      <c r="AR3" s="185"/>
    </row>
    <row r="4" spans="2:47" ht="30" customHeight="1" x14ac:dyDescent="0.4">
      <c r="B4" s="179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41" t="s">
        <v>162</v>
      </c>
      <c r="I4" s="188" t="s">
        <v>62</v>
      </c>
      <c r="J4" s="189"/>
      <c r="K4" s="3" t="s">
        <v>6</v>
      </c>
      <c r="L4" s="3" t="s">
        <v>66</v>
      </c>
      <c r="M4" s="3" t="s">
        <v>164</v>
      </c>
      <c r="N4" s="3" t="s">
        <v>165</v>
      </c>
      <c r="O4" s="143" t="s">
        <v>7</v>
      </c>
      <c r="P4" s="144"/>
      <c r="Q4" s="181" t="s">
        <v>71</v>
      </c>
      <c r="R4" s="144"/>
      <c r="S4" s="3" t="s">
        <v>51</v>
      </c>
      <c r="T4" s="3" t="s">
        <v>75</v>
      </c>
      <c r="U4" s="181" t="s">
        <v>78</v>
      </c>
      <c r="V4" s="144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38" t="s">
        <v>89</v>
      </c>
      <c r="AF4" s="139"/>
      <c r="AG4" s="138" t="s">
        <v>92</v>
      </c>
      <c r="AH4" s="139"/>
      <c r="AI4" s="12" t="s">
        <v>166</v>
      </c>
      <c r="AJ4" s="12" t="s">
        <v>167</v>
      </c>
      <c r="AK4" s="13" t="s">
        <v>115</v>
      </c>
      <c r="AL4" s="181" t="s">
        <v>110</v>
      </c>
      <c r="AM4" s="144"/>
      <c r="AN4" s="35" t="s">
        <v>111</v>
      </c>
      <c r="AO4" s="30" t="s">
        <v>12</v>
      </c>
      <c r="AP4" s="3" t="s">
        <v>1</v>
      </c>
      <c r="AQ4" s="157" t="s">
        <v>161</v>
      </c>
      <c r="AR4" s="184"/>
      <c r="AU4" s="23"/>
    </row>
    <row r="5" spans="2:47" ht="20.1" customHeight="1" x14ac:dyDescent="0.4">
      <c r="B5" s="180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46" t="s">
        <v>61</v>
      </c>
      <c r="I5" s="32" t="s">
        <v>63</v>
      </c>
      <c r="J5" s="25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5" t="s">
        <v>70</v>
      </c>
      <c r="P5" s="25" t="s">
        <v>64</v>
      </c>
      <c r="Q5" s="25" t="s">
        <v>72</v>
      </c>
      <c r="R5" s="25" t="s">
        <v>73</v>
      </c>
      <c r="S5" s="1" t="s">
        <v>74</v>
      </c>
      <c r="T5" s="1" t="s">
        <v>76</v>
      </c>
      <c r="U5" s="3" t="s">
        <v>101</v>
      </c>
      <c r="V5" s="3" t="s">
        <v>459</v>
      </c>
      <c r="W5" s="1" t="s">
        <v>79</v>
      </c>
      <c r="X5" s="3" t="s">
        <v>81</v>
      </c>
      <c r="Y5" s="48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2" t="s">
        <v>90</v>
      </c>
      <c r="AF5" s="12" t="s">
        <v>91</v>
      </c>
      <c r="AG5" s="12" t="s">
        <v>93</v>
      </c>
      <c r="AH5" s="15" t="s">
        <v>94</v>
      </c>
      <c r="AI5" s="15" t="s">
        <v>94</v>
      </c>
      <c r="AJ5" s="15" t="s">
        <v>94</v>
      </c>
      <c r="AK5" s="13" t="s">
        <v>82</v>
      </c>
      <c r="AL5" s="25" t="s">
        <v>95</v>
      </c>
      <c r="AM5" s="20" t="s">
        <v>109</v>
      </c>
      <c r="AN5" s="35" t="s">
        <v>112</v>
      </c>
      <c r="AO5" s="30" t="s">
        <v>96</v>
      </c>
      <c r="AP5" s="3" t="s">
        <v>97</v>
      </c>
      <c r="AQ5" s="3" t="s">
        <v>98</v>
      </c>
      <c r="AR5" s="24" t="s">
        <v>160</v>
      </c>
    </row>
    <row r="6" spans="2:47" ht="13.5" customHeight="1" x14ac:dyDescent="0.4">
      <c r="B6" s="49" t="s">
        <v>50</v>
      </c>
      <c r="C6" s="105">
        <v>0.4557291865348816</v>
      </c>
      <c r="D6" s="105">
        <v>23.079429626464844</v>
      </c>
      <c r="E6" s="105">
        <v>412.65240478515625</v>
      </c>
      <c r="F6" s="105"/>
      <c r="G6" s="105"/>
      <c r="H6" s="106">
        <v>476.7947082519531</v>
      </c>
      <c r="I6" s="131">
        <v>24.22960090637207</v>
      </c>
      <c r="J6" s="105"/>
      <c r="K6" s="105">
        <v>44.401039123535156</v>
      </c>
      <c r="L6" s="105">
        <v>1.3993779420852661</v>
      </c>
      <c r="M6" s="105">
        <v>110.6010971069336</v>
      </c>
      <c r="N6" s="105">
        <v>111.45110321044922</v>
      </c>
      <c r="O6" s="105">
        <v>20.107290267944336</v>
      </c>
      <c r="P6" s="105"/>
      <c r="Q6" s="105">
        <v>1.6326559782028198</v>
      </c>
      <c r="R6" s="105"/>
      <c r="S6" s="105">
        <v>138.09320068359375</v>
      </c>
      <c r="T6" s="105">
        <v>1.689236044883728</v>
      </c>
      <c r="U6" s="105">
        <v>0.30141720175743103</v>
      </c>
      <c r="V6" s="105"/>
      <c r="W6" s="105">
        <v>85.95919799804688</v>
      </c>
      <c r="X6" s="105">
        <v>0.5290802717208862</v>
      </c>
      <c r="Y6" s="105" t="s">
        <v>4</v>
      </c>
      <c r="Z6" s="105">
        <v>0.7452545762062073</v>
      </c>
      <c r="AA6" s="105">
        <v>141.88369750976562</v>
      </c>
      <c r="AB6" s="105">
        <v>162.12379455566406</v>
      </c>
      <c r="AC6" s="105">
        <v>0.40165650844573975</v>
      </c>
      <c r="AD6" s="105">
        <v>158.00059509277344</v>
      </c>
      <c r="AE6" s="132">
        <v>32.939998626708984</v>
      </c>
      <c r="AF6" s="132"/>
      <c r="AG6" s="132"/>
      <c r="AH6" s="132">
        <v>14.630000114440918</v>
      </c>
      <c r="AI6" s="132"/>
      <c r="AJ6" s="132"/>
      <c r="AK6" s="132">
        <v>7.139999866485596</v>
      </c>
      <c r="AL6" s="105">
        <v>0</v>
      </c>
      <c r="AM6" s="109"/>
      <c r="AN6" s="111">
        <v>61.86343002319336</v>
      </c>
      <c r="AO6" s="112"/>
      <c r="AP6" s="113"/>
      <c r="AQ6" s="113">
        <v>0.3215422034263611</v>
      </c>
      <c r="AR6" s="114"/>
    </row>
    <row r="7" spans="2:47" ht="13.5" customHeight="1" x14ac:dyDescent="0.4">
      <c r="B7" s="17">
        <v>0.875</v>
      </c>
      <c r="C7" s="105">
        <v>0.37254050374031067</v>
      </c>
      <c r="D7" s="105">
        <v>22.129989624023438</v>
      </c>
      <c r="E7" s="105">
        <v>410.5232849121094</v>
      </c>
      <c r="F7" s="105">
        <v>0.5052109360694885</v>
      </c>
      <c r="G7" s="105">
        <v>0.10000000149011612</v>
      </c>
      <c r="H7" s="106">
        <v>474.95849609375</v>
      </c>
      <c r="I7" s="131">
        <v>10.836230278015137</v>
      </c>
      <c r="J7" s="105">
        <v>0.019579589366912842</v>
      </c>
      <c r="K7" s="105">
        <v>44.162330627441406</v>
      </c>
      <c r="L7" s="105">
        <v>1.413032054901123</v>
      </c>
      <c r="M7" s="105">
        <v>111.13279724121094</v>
      </c>
      <c r="N7" s="105">
        <v>114.01190185546875</v>
      </c>
      <c r="O7" s="105">
        <v>20.114110946655273</v>
      </c>
      <c r="P7" s="105">
        <v>20.18603515625</v>
      </c>
      <c r="Q7" s="105">
        <v>1.5787830352783203</v>
      </c>
      <c r="R7" s="105">
        <v>1.4609375</v>
      </c>
      <c r="S7" s="105">
        <v>137.75320434570312</v>
      </c>
      <c r="T7" s="105">
        <v>1.6864509582519531</v>
      </c>
      <c r="U7" s="105">
        <v>0.2961970865726471</v>
      </c>
      <c r="V7" s="105">
        <v>0.3001718819141388</v>
      </c>
      <c r="W7" s="105">
        <v>89.31568145751953</v>
      </c>
      <c r="X7" s="105">
        <v>0.5307468771934509</v>
      </c>
      <c r="Y7" s="105" t="s">
        <v>82</v>
      </c>
      <c r="Z7" s="105">
        <v>0.763136625289917</v>
      </c>
      <c r="AA7" s="105">
        <v>150.34719848632812</v>
      </c>
      <c r="AB7" s="105">
        <v>163.693603515625</v>
      </c>
      <c r="AC7" s="105">
        <v>0.40936049818992615</v>
      </c>
      <c r="AD7" s="105">
        <v>157.63169860839844</v>
      </c>
      <c r="AE7" s="132"/>
      <c r="AF7" s="132"/>
      <c r="AG7" s="132"/>
      <c r="AH7" s="132"/>
      <c r="AI7" s="132"/>
      <c r="AJ7" s="132"/>
      <c r="AK7" s="132"/>
      <c r="AL7" s="105">
        <v>0</v>
      </c>
      <c r="AM7" s="109">
        <v>0.03207031264901161</v>
      </c>
      <c r="AN7" s="111">
        <v>59.5594596862793</v>
      </c>
      <c r="AO7" s="112"/>
      <c r="AP7" s="113"/>
      <c r="AQ7" s="113">
        <v>0.2915942966938019</v>
      </c>
      <c r="AR7" s="114">
        <v>0.00029339600587263703</v>
      </c>
    </row>
    <row r="8" spans="2:47" ht="13.5" customHeight="1" x14ac:dyDescent="0.4">
      <c r="B8" s="49" t="s">
        <v>271</v>
      </c>
      <c r="C8" s="105">
        <v>1.4142069816589355</v>
      </c>
      <c r="D8" s="105">
        <v>21.299909591674805</v>
      </c>
      <c r="E8" s="105">
        <v>414.02520751953125</v>
      </c>
      <c r="F8" s="105">
        <v>0.5847968459129333</v>
      </c>
      <c r="G8" s="105">
        <v>0.10000976920127869</v>
      </c>
      <c r="H8" s="106">
        <v>407.0658874511719</v>
      </c>
      <c r="I8" s="131">
        <v>21.014179229736328</v>
      </c>
      <c r="J8" s="105">
        <v>0.019477050751447678</v>
      </c>
      <c r="K8" s="105">
        <v>44.60358810424805</v>
      </c>
      <c r="L8" s="105">
        <v>1.3984739780426025</v>
      </c>
      <c r="M8" s="105">
        <v>110.34609985351562</v>
      </c>
      <c r="N8" s="105">
        <v>114.0479965209961</v>
      </c>
      <c r="O8" s="105">
        <v>20.161279678344727</v>
      </c>
      <c r="P8" s="105">
        <v>20.13916015625</v>
      </c>
      <c r="Q8" s="105">
        <v>1.7958049774169922</v>
      </c>
      <c r="R8" s="105">
        <v>1.81298828125</v>
      </c>
      <c r="S8" s="105">
        <v>138.09320068359375</v>
      </c>
      <c r="T8" s="105">
        <v>1.6860710382461548</v>
      </c>
      <c r="U8" s="105">
        <v>0.3000020980834961</v>
      </c>
      <c r="V8" s="105">
        <v>0.29950782656669617</v>
      </c>
      <c r="W8" s="105">
        <v>90.27055358886719</v>
      </c>
      <c r="X8" s="105">
        <v>0.5300542712211609</v>
      </c>
      <c r="Y8" s="105" t="s">
        <v>82</v>
      </c>
      <c r="Z8" s="105">
        <v>0.7498263716697693</v>
      </c>
      <c r="AA8" s="105">
        <v>148.14810180664062</v>
      </c>
      <c r="AB8" s="105">
        <v>162.97019958496094</v>
      </c>
      <c r="AC8" s="105">
        <v>0.4074436128139496</v>
      </c>
      <c r="AD8" s="105">
        <v>157.76910400390625</v>
      </c>
      <c r="AE8" s="132"/>
      <c r="AF8" s="132"/>
      <c r="AG8" s="132"/>
      <c r="AH8" s="132"/>
      <c r="AI8" s="132"/>
      <c r="AJ8" s="132"/>
      <c r="AK8" s="132"/>
      <c r="AL8" s="105">
        <v>106.33319854736328</v>
      </c>
      <c r="AM8" s="109">
        <v>0.01607031188905239</v>
      </c>
      <c r="AN8" s="111">
        <v>56.50680160522461</v>
      </c>
      <c r="AO8" s="112"/>
      <c r="AP8" s="113"/>
      <c r="AQ8" s="113">
        <v>0.3005641996860504</v>
      </c>
      <c r="AR8" s="114">
        <v>0.0002863159170374274</v>
      </c>
    </row>
    <row r="9" spans="2:47" ht="13.5" customHeight="1" x14ac:dyDescent="0.4">
      <c r="B9" s="17">
        <v>0.95833333333333337</v>
      </c>
      <c r="C9" s="105">
        <v>1.7144099473953247</v>
      </c>
      <c r="D9" s="105">
        <v>21.815319061279297</v>
      </c>
      <c r="E9" s="105">
        <v>414.098388671875</v>
      </c>
      <c r="F9" s="105">
        <v>0.31617188453674316</v>
      </c>
      <c r="G9" s="105">
        <v>0.10000000149011612</v>
      </c>
      <c r="H9" s="106">
        <v>408.3808898925781</v>
      </c>
      <c r="I9" s="131">
        <v>4.152198791503906</v>
      </c>
      <c r="J9" s="105">
        <v>0.020214354619383812</v>
      </c>
      <c r="K9" s="105">
        <v>44.169559478759766</v>
      </c>
      <c r="L9" s="105">
        <v>1.401366949081421</v>
      </c>
      <c r="M9" s="105">
        <v>110.60659790039062</v>
      </c>
      <c r="N9" s="105">
        <v>113.07869720458984</v>
      </c>
      <c r="O9" s="105">
        <v>20.174739837646484</v>
      </c>
      <c r="P9" s="105">
        <v>20.20166015625</v>
      </c>
      <c r="Q9" s="105">
        <v>2.0404388904571533</v>
      </c>
      <c r="R9" s="105">
        <v>1.76904296875</v>
      </c>
      <c r="S9" s="105">
        <v>138.49830627441406</v>
      </c>
      <c r="T9" s="105">
        <v>1.692654013633728</v>
      </c>
      <c r="U9" s="105">
        <v>0.30093270540237427</v>
      </c>
      <c r="V9" s="105">
        <v>0.30040624737739563</v>
      </c>
      <c r="W9" s="105">
        <v>90.7986068725586</v>
      </c>
      <c r="X9" s="105">
        <v>0.5300047993659973</v>
      </c>
      <c r="Y9" s="105" t="s">
        <v>82</v>
      </c>
      <c r="Z9" s="105">
        <v>0.7444444894790649</v>
      </c>
      <c r="AA9" s="105">
        <v>148.14089965820312</v>
      </c>
      <c r="AB9" s="105">
        <v>163.06419372558594</v>
      </c>
      <c r="AC9" s="105">
        <v>0.4089987874031067</v>
      </c>
      <c r="AD9" s="105">
        <v>157.71119689941406</v>
      </c>
      <c r="AE9" s="132"/>
      <c r="AF9" s="132"/>
      <c r="AG9" s="132"/>
      <c r="AH9" s="132"/>
      <c r="AI9" s="132"/>
      <c r="AJ9" s="132"/>
      <c r="AK9" s="132"/>
      <c r="AL9" s="105">
        <v>28.74711036682129</v>
      </c>
      <c r="AM9" s="109">
        <v>0.023070313036441803</v>
      </c>
      <c r="AN9" s="111">
        <v>55.363861083984375</v>
      </c>
      <c r="AO9" s="112"/>
      <c r="AP9" s="113"/>
      <c r="AQ9" s="113">
        <v>0.30801498889923096</v>
      </c>
      <c r="AR9" s="114">
        <v>0.0002900085528381169</v>
      </c>
    </row>
    <row r="10" spans="2:47" ht="13.5" customHeight="1" x14ac:dyDescent="0.4">
      <c r="B10" s="49" t="s">
        <v>272</v>
      </c>
      <c r="C10" s="105">
        <v>1.631221055984497</v>
      </c>
      <c r="D10" s="105">
        <v>22.184249877929688</v>
      </c>
      <c r="E10" s="105">
        <v>414.00860595703125</v>
      </c>
      <c r="F10" s="105">
        <v>0.30034375190734863</v>
      </c>
      <c r="G10" s="105">
        <v>0.10000000149011612</v>
      </c>
      <c r="H10" s="106">
        <v>409.3581848144531</v>
      </c>
      <c r="I10" s="131">
        <v>23.90045928955078</v>
      </c>
      <c r="J10" s="105">
        <v>0.019823729991912842</v>
      </c>
      <c r="K10" s="105">
        <v>44.06829071044922</v>
      </c>
      <c r="L10" s="105">
        <v>1.3917829990386963</v>
      </c>
      <c r="M10" s="105">
        <v>107.93730163574219</v>
      </c>
      <c r="N10" s="105">
        <v>113.18720245361328</v>
      </c>
      <c r="O10" s="105">
        <v>20.210800170898438</v>
      </c>
      <c r="P10" s="105">
        <v>20.18017578125</v>
      </c>
      <c r="Q10" s="105">
        <v>2.1195120811462402</v>
      </c>
      <c r="R10" s="105">
        <v>1.77490234375</v>
      </c>
      <c r="S10" s="105">
        <v>137.97019958496094</v>
      </c>
      <c r="T10" s="105">
        <v>1.688349962234497</v>
      </c>
      <c r="U10" s="105">
        <v>0.3009727895259857</v>
      </c>
      <c r="V10" s="105">
        <v>0.3001093864440918</v>
      </c>
      <c r="W10" s="105">
        <v>90.30670928955078</v>
      </c>
      <c r="X10" s="105">
        <v>0.5308966040611267</v>
      </c>
      <c r="Y10" s="105" t="s">
        <v>82</v>
      </c>
      <c r="Z10" s="105">
        <v>0.7324075102806091</v>
      </c>
      <c r="AA10" s="105">
        <v>146.3614044189453</v>
      </c>
      <c r="AB10" s="105">
        <v>162.26849365234375</v>
      </c>
      <c r="AC10" s="105">
        <v>0.39912471175193787</v>
      </c>
      <c r="AD10" s="105">
        <v>156.9517059326172</v>
      </c>
      <c r="AE10" s="132"/>
      <c r="AF10" s="132"/>
      <c r="AG10" s="132"/>
      <c r="AH10" s="132"/>
      <c r="AI10" s="132"/>
      <c r="AJ10" s="132"/>
      <c r="AK10" s="132"/>
      <c r="AL10" s="105">
        <v>6.738280773162842</v>
      </c>
      <c r="AM10" s="109">
        <v>0.02306835912168026</v>
      </c>
      <c r="AN10" s="111">
        <v>52.470340728759766</v>
      </c>
      <c r="AO10" s="112"/>
      <c r="AP10" s="113"/>
      <c r="AQ10" s="113">
        <v>0.2966580092906952</v>
      </c>
      <c r="AR10" s="114">
        <v>0.0002904968278016895</v>
      </c>
    </row>
    <row r="11" spans="2:47" ht="13.5" customHeight="1" x14ac:dyDescent="0.4">
      <c r="B11" s="17">
        <v>4.1666666666666664E-2</v>
      </c>
      <c r="C11" s="105">
        <v>1.6420719623565674</v>
      </c>
      <c r="D11" s="105">
        <v>22.254779815673828</v>
      </c>
      <c r="E11" s="105">
        <v>416.23699951171875</v>
      </c>
      <c r="F11" s="105">
        <v>0.3071874976158142</v>
      </c>
      <c r="G11" s="105">
        <v>0.10000000149011612</v>
      </c>
      <c r="H11" s="106">
        <v>410.3434143066406</v>
      </c>
      <c r="I11" s="131">
        <v>11.367910385131836</v>
      </c>
      <c r="J11" s="105">
        <v>0.01938427798449993</v>
      </c>
      <c r="K11" s="105">
        <v>44.596351623535156</v>
      </c>
      <c r="L11" s="105">
        <v>1.4044419527053833</v>
      </c>
      <c r="M11" s="105">
        <v>106.39109802246094</v>
      </c>
      <c r="N11" s="105">
        <v>108.31890106201172</v>
      </c>
      <c r="O11" s="105">
        <v>20.21088981628418</v>
      </c>
      <c r="P11" s="105">
        <v>20.2001953125</v>
      </c>
      <c r="Q11" s="105">
        <v>2.005086898803711</v>
      </c>
      <c r="R11" s="105">
        <v>1.968017578125</v>
      </c>
      <c r="S11" s="105">
        <v>137.8979034423828</v>
      </c>
      <c r="T11" s="105">
        <v>1.693160057067871</v>
      </c>
      <c r="U11" s="105">
        <v>0.30060330033302307</v>
      </c>
      <c r="V11" s="105">
        <v>0.3004140555858612</v>
      </c>
      <c r="W11" s="105">
        <v>91.19647216796875</v>
      </c>
      <c r="X11" s="105">
        <v>0.5291107892990112</v>
      </c>
      <c r="Y11" s="105" t="s">
        <v>82</v>
      </c>
      <c r="Z11" s="105">
        <v>0.7449653148651123</v>
      </c>
      <c r="AA11" s="105">
        <v>147.54769897460938</v>
      </c>
      <c r="AB11" s="105">
        <v>162.2758026123047</v>
      </c>
      <c r="AC11" s="105">
        <v>0.3940972089767456</v>
      </c>
      <c r="AD11" s="105">
        <v>157.0312957763672</v>
      </c>
      <c r="AE11" s="132"/>
      <c r="AF11" s="132"/>
      <c r="AG11" s="132"/>
      <c r="AH11" s="132"/>
      <c r="AI11" s="132"/>
      <c r="AJ11" s="132"/>
      <c r="AK11" s="132"/>
      <c r="AL11" s="105">
        <v>9.422019958496094</v>
      </c>
      <c r="AM11" s="109">
        <v>0.02029101550579071</v>
      </c>
      <c r="AN11" s="111">
        <v>49.25130081176758</v>
      </c>
      <c r="AO11" s="112"/>
      <c r="AP11" s="113"/>
      <c r="AQ11" s="113">
        <v>0.2792969048023224</v>
      </c>
      <c r="AR11" s="114">
        <v>0.00029299926245585084</v>
      </c>
    </row>
    <row r="12" spans="2:47" ht="13.5" customHeight="1" x14ac:dyDescent="0.4">
      <c r="B12" s="49" t="s">
        <v>273</v>
      </c>
      <c r="C12" s="105">
        <v>1.7975980043411255</v>
      </c>
      <c r="D12" s="105">
        <v>22.092010498046875</v>
      </c>
      <c r="E12" s="105">
        <v>416.4479064941406</v>
      </c>
      <c r="F12" s="105">
        <v>0.3075000047683716</v>
      </c>
      <c r="G12" s="105">
        <v>0.10000000149011612</v>
      </c>
      <c r="H12" s="106">
        <v>411.1328125</v>
      </c>
      <c r="I12" s="131">
        <v>2.759692907333374</v>
      </c>
      <c r="J12" s="105">
        <v>0.019892578944563866</v>
      </c>
      <c r="K12" s="105">
        <v>44.47338104248047</v>
      </c>
      <c r="L12" s="105">
        <v>1.4049839973449707</v>
      </c>
      <c r="M12" s="105">
        <v>110.51429748535156</v>
      </c>
      <c r="N12" s="105">
        <v>111.856201171875</v>
      </c>
      <c r="O12" s="105">
        <v>20.188810348510742</v>
      </c>
      <c r="P12" s="105">
        <v>20.19189453125</v>
      </c>
      <c r="Q12" s="105">
        <v>1.9683740139007568</v>
      </c>
      <c r="R12" s="105">
        <v>1.973876953125</v>
      </c>
      <c r="S12" s="105">
        <v>137.67359924316406</v>
      </c>
      <c r="T12" s="105">
        <v>1.692654013633728</v>
      </c>
      <c r="U12" s="105">
        <v>0.3020823895931244</v>
      </c>
      <c r="V12" s="105">
        <v>0.3002578020095825</v>
      </c>
      <c r="W12" s="105">
        <v>90.37181854248047</v>
      </c>
      <c r="X12" s="105">
        <v>0.5302326083183289</v>
      </c>
      <c r="Y12" s="105" t="s">
        <v>82</v>
      </c>
      <c r="Z12" s="105">
        <v>0.7332754731178284</v>
      </c>
      <c r="AA12" s="105">
        <v>145.97799682617188</v>
      </c>
      <c r="AB12" s="105">
        <v>162.15280151367188</v>
      </c>
      <c r="AC12" s="105">
        <v>0.40183740854263306</v>
      </c>
      <c r="AD12" s="105">
        <v>156.9517059326172</v>
      </c>
      <c r="AE12" s="132"/>
      <c r="AF12" s="132"/>
      <c r="AG12" s="132"/>
      <c r="AH12" s="132"/>
      <c r="AI12" s="132"/>
      <c r="AJ12" s="132"/>
      <c r="AK12" s="132"/>
      <c r="AL12" s="105">
        <v>40.42245101928711</v>
      </c>
      <c r="AM12" s="109">
        <v>0.014599609188735485</v>
      </c>
      <c r="AN12" s="111">
        <v>48.49898910522461</v>
      </c>
      <c r="AO12" s="112"/>
      <c r="AP12" s="113"/>
      <c r="AQ12" s="113">
        <v>0.29832181334495544</v>
      </c>
      <c r="AR12" s="114">
        <v>0.00029217530391179025</v>
      </c>
    </row>
    <row r="13" spans="2:47" ht="13.5" customHeight="1" x14ac:dyDescent="0.4">
      <c r="B13" s="17">
        <v>0.125</v>
      </c>
      <c r="C13" s="105">
        <v>1.9314240217208862</v>
      </c>
      <c r="D13" s="105">
        <v>21.988929748535156</v>
      </c>
      <c r="E13" s="105">
        <v>416.4093017578125</v>
      </c>
      <c r="F13" s="105">
        <v>0.30653905868530273</v>
      </c>
      <c r="G13" s="105">
        <v>0.10000000149011612</v>
      </c>
      <c r="H13" s="106">
        <v>412.11358642578125</v>
      </c>
      <c r="I13" s="131">
        <v>18.786169052124023</v>
      </c>
      <c r="J13" s="105">
        <v>0.01959814503788948</v>
      </c>
      <c r="K13" s="105">
        <v>44.58911895751953</v>
      </c>
      <c r="L13" s="105">
        <v>1.4057979583740234</v>
      </c>
      <c r="M13" s="105">
        <v>108.62629699707031</v>
      </c>
      <c r="N13" s="105">
        <v>110.79280090332031</v>
      </c>
      <c r="O13" s="105">
        <v>20.094560623168945</v>
      </c>
      <c r="P13" s="105">
        <v>20.171875</v>
      </c>
      <c r="Q13" s="105">
        <v>2.012346029281616</v>
      </c>
      <c r="R13" s="105">
        <v>2.0341796875</v>
      </c>
      <c r="S13" s="105">
        <v>138.23779296875</v>
      </c>
      <c r="T13" s="105">
        <v>1.6908819675445557</v>
      </c>
      <c r="U13" s="105">
        <v>0.2998686134815216</v>
      </c>
      <c r="V13" s="105">
        <v>0.29996874928474426</v>
      </c>
      <c r="W13" s="105">
        <v>90.6539306640625</v>
      </c>
      <c r="X13" s="105">
        <v>0.5304663777351379</v>
      </c>
      <c r="Y13" s="105" t="s">
        <v>82</v>
      </c>
      <c r="Z13" s="105">
        <v>0.7413774132728577</v>
      </c>
      <c r="AA13" s="105">
        <v>148.9510955810547</v>
      </c>
      <c r="AB13" s="105">
        <v>162.44940185546875</v>
      </c>
      <c r="AC13" s="105">
        <v>0.40100550651550293</v>
      </c>
      <c r="AD13" s="105">
        <v>156.63340759277344</v>
      </c>
      <c r="AE13" s="132"/>
      <c r="AF13" s="132"/>
      <c r="AG13" s="132"/>
      <c r="AH13" s="132"/>
      <c r="AI13" s="132"/>
      <c r="AJ13" s="132"/>
      <c r="AK13" s="132"/>
      <c r="AL13" s="105">
        <v>0</v>
      </c>
      <c r="AM13" s="109">
        <v>0.011300780810415745</v>
      </c>
      <c r="AN13" s="111">
        <v>47.26924133300781</v>
      </c>
      <c r="AO13" s="112"/>
      <c r="AP13" s="113"/>
      <c r="AQ13" s="113">
        <v>0.28790509700775146</v>
      </c>
      <c r="AR13" s="114">
        <v>0.00029110716423019767</v>
      </c>
    </row>
    <row r="14" spans="2:47" ht="13.5" customHeight="1" x14ac:dyDescent="0.4">
      <c r="B14" s="17">
        <v>0.16666666666666666</v>
      </c>
      <c r="C14" s="105">
        <v>1.5082470178604126</v>
      </c>
      <c r="D14" s="105">
        <v>21.972660064697266</v>
      </c>
      <c r="E14" s="105">
        <v>416.35430908203125</v>
      </c>
      <c r="F14" s="105">
        <v>0.2891484498977661</v>
      </c>
      <c r="G14" s="105">
        <v>0.10000000149011612</v>
      </c>
      <c r="H14" s="106">
        <v>412.9859924316406</v>
      </c>
      <c r="I14" s="131">
        <v>2.5318291187286377</v>
      </c>
      <c r="J14" s="105">
        <v>0.019978027790784836</v>
      </c>
      <c r="K14" s="105">
        <v>43.90190887451172</v>
      </c>
      <c r="L14" s="105">
        <v>1.404170036315918</v>
      </c>
      <c r="M14" s="105">
        <v>110.17250061035156</v>
      </c>
      <c r="N14" s="105">
        <v>110.60469818115234</v>
      </c>
      <c r="O14" s="105">
        <v>19.862869262695312</v>
      </c>
      <c r="P14" s="105">
        <v>20.01318359375</v>
      </c>
      <c r="Q14" s="105">
        <v>1.8155839443206787</v>
      </c>
      <c r="R14" s="105">
        <v>2.0029296875</v>
      </c>
      <c r="S14" s="105">
        <v>137.56509399414062</v>
      </c>
      <c r="T14" s="105">
        <v>1.6863240003585815</v>
      </c>
      <c r="U14" s="105">
        <v>0.29536089301109314</v>
      </c>
      <c r="V14" s="105">
        <v>0.29765623807907104</v>
      </c>
      <c r="W14" s="105">
        <v>90.53096008300781</v>
      </c>
      <c r="X14" s="105">
        <v>0.5308752059936523</v>
      </c>
      <c r="Y14" s="105" t="s">
        <v>82</v>
      </c>
      <c r="Z14" s="105">
        <v>0.7405092716217041</v>
      </c>
      <c r="AA14" s="105">
        <v>148.69790649414062</v>
      </c>
      <c r="AB14" s="105">
        <v>162.66639709472656</v>
      </c>
      <c r="AC14" s="105">
        <v>0.41236260533332825</v>
      </c>
      <c r="AD14" s="105">
        <v>157.27720642089844</v>
      </c>
      <c r="AE14" s="132"/>
      <c r="AF14" s="132"/>
      <c r="AG14" s="132"/>
      <c r="AH14" s="132"/>
      <c r="AI14" s="132"/>
      <c r="AJ14" s="132"/>
      <c r="AK14" s="132"/>
      <c r="AL14" s="105">
        <v>76.08506774902344</v>
      </c>
      <c r="AM14" s="109">
        <v>0.011849609203636646</v>
      </c>
      <c r="AN14" s="111">
        <v>63.66463851928711</v>
      </c>
      <c r="AO14" s="112"/>
      <c r="AP14" s="113"/>
      <c r="AQ14" s="113">
        <v>0.27879050374031067</v>
      </c>
      <c r="AR14" s="114">
        <v>0.00028890991234220564</v>
      </c>
    </row>
    <row r="15" spans="2:47" ht="13.5" customHeight="1" x14ac:dyDescent="0.4">
      <c r="B15" s="17">
        <v>0.20833333333333334</v>
      </c>
      <c r="C15" s="105">
        <v>1.56973397731781</v>
      </c>
      <c r="D15" s="105">
        <v>21.95638084411621</v>
      </c>
      <c r="E15" s="105">
        <v>416.37359619140625</v>
      </c>
      <c r="F15" s="105">
        <v>0.3042656183242798</v>
      </c>
      <c r="G15" s="105">
        <v>0.10000000149011612</v>
      </c>
      <c r="H15" s="106">
        <v>413.6026916503906</v>
      </c>
      <c r="I15" s="131">
        <v>14.73523998260498</v>
      </c>
      <c r="J15" s="105">
        <v>0.01945214904844761</v>
      </c>
      <c r="K15" s="105">
        <v>44.343170166015625</v>
      </c>
      <c r="L15" s="105">
        <v>1.4044419527053833</v>
      </c>
      <c r="M15" s="105">
        <v>110.30269622802734</v>
      </c>
      <c r="N15" s="105">
        <v>111.93579864501953</v>
      </c>
      <c r="O15" s="105">
        <v>20.035749435424805</v>
      </c>
      <c r="P15" s="105">
        <v>20.15966796875</v>
      </c>
      <c r="Q15" s="105">
        <v>1.994323968887329</v>
      </c>
      <c r="R15" s="105">
        <v>1.98291015625</v>
      </c>
      <c r="S15" s="105">
        <v>138.1510009765625</v>
      </c>
      <c r="T15" s="105">
        <v>1.6915149688720703</v>
      </c>
      <c r="U15" s="105">
        <v>0.29947540163993835</v>
      </c>
      <c r="V15" s="105">
        <v>0.2997734248638153</v>
      </c>
      <c r="W15" s="105">
        <v>90.03182983398438</v>
      </c>
      <c r="X15" s="105">
        <v>0.5305818915367126</v>
      </c>
      <c r="Y15" s="105" t="s">
        <v>82</v>
      </c>
      <c r="Z15" s="105">
        <v>0.7456018924713135</v>
      </c>
      <c r="AA15" s="105">
        <v>147.56939697265625</v>
      </c>
      <c r="AB15" s="105">
        <v>162.39149475097656</v>
      </c>
      <c r="AC15" s="105">
        <v>0.4079500138759613</v>
      </c>
      <c r="AD15" s="105">
        <v>157.27720642089844</v>
      </c>
      <c r="AE15" s="132"/>
      <c r="AF15" s="132"/>
      <c r="AG15" s="132"/>
      <c r="AH15" s="132"/>
      <c r="AI15" s="132"/>
      <c r="AJ15" s="132"/>
      <c r="AK15" s="132"/>
      <c r="AL15" s="105">
        <v>99.38874053955078</v>
      </c>
      <c r="AM15" s="109">
        <v>0.02775000035762787</v>
      </c>
      <c r="AN15" s="111">
        <v>62.145538330078125</v>
      </c>
      <c r="AO15" s="112"/>
      <c r="AP15" s="113"/>
      <c r="AQ15" s="113">
        <v>0.2960068881511688</v>
      </c>
      <c r="AR15" s="114">
        <v>0.00029089354211464524</v>
      </c>
    </row>
    <row r="16" spans="2:47" ht="13.5" customHeight="1" x14ac:dyDescent="0.4">
      <c r="B16" s="17">
        <v>0.25</v>
      </c>
      <c r="C16" s="105">
        <v>1.6384550333023071</v>
      </c>
      <c r="D16" s="105">
        <v>21.934680938720703</v>
      </c>
      <c r="E16" s="105">
        <v>416.58709716796875</v>
      </c>
      <c r="F16" s="105">
        <v>0.30735155940055847</v>
      </c>
      <c r="G16" s="105">
        <v>0.10000000149011612</v>
      </c>
      <c r="H16" s="106">
        <v>414.04681396484375</v>
      </c>
      <c r="I16" s="131">
        <v>23.849830627441406</v>
      </c>
      <c r="J16" s="105">
        <v>0.02002880908548832</v>
      </c>
      <c r="K16" s="105">
        <v>43.97425079345703</v>
      </c>
      <c r="L16" s="105">
        <v>1.3962130546569824</v>
      </c>
      <c r="M16" s="105">
        <v>102.16470336914062</v>
      </c>
      <c r="N16" s="105">
        <v>106.6261978149414</v>
      </c>
      <c r="O16" s="105">
        <v>20.159040451049805</v>
      </c>
      <c r="P16" s="105">
        <v>20.17333984375</v>
      </c>
      <c r="Q16" s="105">
        <v>2.063157081604004</v>
      </c>
      <c r="R16" s="105">
        <v>2.048095703125</v>
      </c>
      <c r="S16" s="105">
        <v>137.57229614257812</v>
      </c>
      <c r="T16" s="105">
        <v>1.6875900030136108</v>
      </c>
      <c r="U16" s="105">
        <v>0.3003745973110199</v>
      </c>
      <c r="V16" s="105">
        <v>0.3000156283378601</v>
      </c>
      <c r="W16" s="105">
        <v>90.27777862548828</v>
      </c>
      <c r="X16" s="105">
        <v>0.53057861328125</v>
      </c>
      <c r="Y16" s="105" t="s">
        <v>82</v>
      </c>
      <c r="Z16" s="105">
        <v>0.7368056178092957</v>
      </c>
      <c r="AA16" s="105">
        <v>147.12820434570312</v>
      </c>
      <c r="AB16" s="105">
        <v>162.0081024169922</v>
      </c>
      <c r="AC16" s="105">
        <v>0.3915654122829437</v>
      </c>
      <c r="AD16" s="105">
        <v>156.7346954345703</v>
      </c>
      <c r="AE16" s="132"/>
      <c r="AF16" s="132"/>
      <c r="AG16" s="132"/>
      <c r="AH16" s="132"/>
      <c r="AI16" s="132"/>
      <c r="AJ16" s="132"/>
      <c r="AK16" s="132"/>
      <c r="AL16" s="105">
        <v>18.753620147705078</v>
      </c>
      <c r="AM16" s="109">
        <v>0.02645898424088955</v>
      </c>
      <c r="AN16" s="111">
        <v>59.165218353271484</v>
      </c>
      <c r="AO16" s="112"/>
      <c r="AP16" s="113"/>
      <c r="AQ16" s="113">
        <v>0.29347509145736694</v>
      </c>
      <c r="AR16" s="114">
        <v>0.0002919921826105565</v>
      </c>
    </row>
    <row r="17" spans="2:44" ht="13.5" customHeight="1" x14ac:dyDescent="0.4">
      <c r="B17" s="17">
        <v>0.29166666666666669</v>
      </c>
      <c r="C17" s="105">
        <v>1.674623966217041</v>
      </c>
      <c r="D17" s="105">
        <v>21.750219345092773</v>
      </c>
      <c r="E17" s="105">
        <v>417.94268798828125</v>
      </c>
      <c r="F17" s="105">
        <v>0.3062187433242798</v>
      </c>
      <c r="G17" s="105">
        <v>0.10000000149011612</v>
      </c>
      <c r="H17" s="106">
        <v>414.5307922363281</v>
      </c>
      <c r="I17" s="131">
        <v>17.368349075317383</v>
      </c>
      <c r="J17" s="105">
        <v>0.0200800783932209</v>
      </c>
      <c r="K17" s="105">
        <v>44.191261291503906</v>
      </c>
      <c r="L17" s="105">
        <v>1.4038089513778687</v>
      </c>
      <c r="M17" s="105">
        <v>105.19750213623047</v>
      </c>
      <c r="N17" s="105">
        <v>109.86689758300781</v>
      </c>
      <c r="O17" s="105">
        <v>20.27375030517578</v>
      </c>
      <c r="P17" s="105">
        <v>20.35302734375</v>
      </c>
      <c r="Q17" s="105">
        <v>2.257888078689575</v>
      </c>
      <c r="R17" s="105">
        <v>2.1240234375</v>
      </c>
      <c r="S17" s="105">
        <v>138.4259033203125</v>
      </c>
      <c r="T17" s="105">
        <v>1.6888560056686401</v>
      </c>
      <c r="U17" s="105">
        <v>0.3018243908882141</v>
      </c>
      <c r="V17" s="105">
        <v>0.30262500047683716</v>
      </c>
      <c r="W17" s="105">
        <v>90.4079818725586</v>
      </c>
      <c r="X17" s="105">
        <v>0.5308495163917542</v>
      </c>
      <c r="Y17" s="105" t="s">
        <v>82</v>
      </c>
      <c r="Z17" s="105">
        <v>0.7358797192573547</v>
      </c>
      <c r="AA17" s="105">
        <v>148.20599365234375</v>
      </c>
      <c r="AB17" s="105">
        <v>161.9792022705078</v>
      </c>
      <c r="AC17" s="105">
        <v>0.3847655951976776</v>
      </c>
      <c r="AD17" s="105">
        <v>156.27890014648438</v>
      </c>
      <c r="AE17" s="132"/>
      <c r="AF17" s="132"/>
      <c r="AG17" s="132"/>
      <c r="AH17" s="132"/>
      <c r="AI17" s="132"/>
      <c r="AJ17" s="132"/>
      <c r="AK17" s="132"/>
      <c r="AL17" s="105">
        <v>51.2116584777832</v>
      </c>
      <c r="AM17" s="109">
        <v>0.01773046888411045</v>
      </c>
      <c r="AN17" s="111">
        <v>58.30440139770508</v>
      </c>
      <c r="AO17" s="112"/>
      <c r="AP17" s="113"/>
      <c r="AQ17" s="113">
        <v>0.2921006977558136</v>
      </c>
      <c r="AR17" s="114">
        <v>0.00029452514718286693</v>
      </c>
    </row>
    <row r="18" spans="2:44" ht="13.5" customHeight="1" x14ac:dyDescent="0.4">
      <c r="B18" s="50">
        <v>0.33333333333333331</v>
      </c>
      <c r="C18" s="115"/>
      <c r="D18" s="115"/>
      <c r="E18" s="115"/>
      <c r="F18" s="115"/>
      <c r="G18" s="115"/>
      <c r="H18" s="116"/>
      <c r="I18" s="133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34"/>
      <c r="AF18" s="134"/>
      <c r="AG18" s="134"/>
      <c r="AH18" s="134"/>
      <c r="AI18" s="134"/>
      <c r="AJ18" s="134"/>
      <c r="AK18" s="134"/>
      <c r="AL18" s="115"/>
      <c r="AM18" s="119"/>
      <c r="AN18" s="121"/>
      <c r="AO18" s="112"/>
      <c r="AP18" s="113"/>
      <c r="AQ18" s="113"/>
      <c r="AR18" s="135"/>
    </row>
    <row r="19" spans="2:44" ht="18" customHeight="1" x14ac:dyDescent="0.4">
      <c r="B19" s="148" t="s">
        <v>181</v>
      </c>
      <c r="C19" s="43" t="s">
        <v>168</v>
      </c>
      <c r="D19" s="43" t="s">
        <v>171</v>
      </c>
      <c r="E19" s="163" t="s">
        <v>17</v>
      </c>
      <c r="F19" s="164"/>
      <c r="G19" s="165"/>
      <c r="H19" s="166" t="s">
        <v>108</v>
      </c>
      <c r="I19" s="164"/>
      <c r="J19" s="164"/>
      <c r="K19" s="164"/>
      <c r="L19" s="167"/>
      <c r="M19" s="168" t="s">
        <v>123</v>
      </c>
      <c r="N19" s="164"/>
      <c r="O19" s="164"/>
      <c r="P19" s="164"/>
      <c r="Q19" s="165"/>
      <c r="R19" s="166" t="s">
        <v>147</v>
      </c>
      <c r="S19" s="164"/>
      <c r="T19" s="164"/>
      <c r="U19" s="164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5"/>
      <c r="AG19" s="169" t="s">
        <v>24</v>
      </c>
      <c r="AH19" s="165"/>
      <c r="AI19" s="145" t="s">
        <v>173</v>
      </c>
      <c r="AJ19" s="146"/>
      <c r="AK19" s="146"/>
      <c r="AL19" s="146"/>
      <c r="AM19" s="147"/>
      <c r="AN19" s="169" t="s">
        <v>47</v>
      </c>
      <c r="AO19" s="170"/>
      <c r="AP19" s="164" t="s">
        <v>180</v>
      </c>
      <c r="AQ19" s="171"/>
      <c r="AR19" s="172"/>
    </row>
    <row r="20" spans="2:44" ht="20.1" customHeight="1" x14ac:dyDescent="0.4">
      <c r="B20" s="149"/>
      <c r="C20" s="3" t="s">
        <v>169</v>
      </c>
      <c r="D20" s="3" t="s">
        <v>113</v>
      </c>
      <c r="E20" s="3" t="s">
        <v>15</v>
      </c>
      <c r="F20" s="143" t="s">
        <v>100</v>
      </c>
      <c r="G20" s="144"/>
      <c r="H20" s="4" t="s">
        <v>103</v>
      </c>
      <c r="I20" s="4" t="s">
        <v>105</v>
      </c>
      <c r="J20" s="2" t="s">
        <v>106</v>
      </c>
      <c r="K20" s="1" t="s">
        <v>107</v>
      </c>
      <c r="L20" s="44" t="s">
        <v>115</v>
      </c>
      <c r="M20" s="45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9" t="s">
        <v>131</v>
      </c>
      <c r="W20" s="9" t="s">
        <v>129</v>
      </c>
      <c r="X20" s="5" t="s">
        <v>142</v>
      </c>
      <c r="Y20" s="4" t="s">
        <v>143</v>
      </c>
      <c r="Z20" s="9" t="s">
        <v>133</v>
      </c>
      <c r="AA20" s="9" t="s">
        <v>134</v>
      </c>
      <c r="AB20" s="5" t="s">
        <v>139</v>
      </c>
      <c r="AC20" s="20" t="s">
        <v>145</v>
      </c>
      <c r="AD20" s="157" t="s">
        <v>148</v>
      </c>
      <c r="AE20" s="144"/>
      <c r="AF20" s="20" t="s">
        <v>151</v>
      </c>
      <c r="AG20" s="20" t="s">
        <v>153</v>
      </c>
      <c r="AH20" s="20" t="s">
        <v>155</v>
      </c>
      <c r="AI20" s="138" t="s">
        <v>89</v>
      </c>
      <c r="AJ20" s="139"/>
      <c r="AK20" s="138" t="s">
        <v>92</v>
      </c>
      <c r="AL20" s="139"/>
      <c r="AM20" s="28" t="s">
        <v>172</v>
      </c>
      <c r="AN20" s="20" t="s">
        <v>12</v>
      </c>
      <c r="AO20" s="35" t="s">
        <v>15</v>
      </c>
      <c r="AP20" s="31" t="s">
        <v>36</v>
      </c>
      <c r="AQ20" s="21" t="s">
        <v>35</v>
      </c>
      <c r="AR20" s="19" t="s">
        <v>178</v>
      </c>
    </row>
    <row r="21" spans="2:44" ht="22" customHeight="1" x14ac:dyDescent="0.4">
      <c r="B21" s="149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44" t="s">
        <v>82</v>
      </c>
      <c r="M21" s="45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8" t="s">
        <v>127</v>
      </c>
      <c r="T21" s="5" t="s">
        <v>120</v>
      </c>
      <c r="U21" s="4" t="s">
        <v>128</v>
      </c>
      <c r="V21" s="9" t="s">
        <v>132</v>
      </c>
      <c r="W21" s="9" t="s">
        <v>130</v>
      </c>
      <c r="X21" s="5" t="s">
        <v>135</v>
      </c>
      <c r="Y21" s="4" t="s">
        <v>136</v>
      </c>
      <c r="Z21" s="9" t="s">
        <v>137</v>
      </c>
      <c r="AA21" s="9" t="s">
        <v>138</v>
      </c>
      <c r="AB21" s="5" t="s">
        <v>140</v>
      </c>
      <c r="AC21" s="20" t="s">
        <v>146</v>
      </c>
      <c r="AD21" s="20" t="s">
        <v>149</v>
      </c>
      <c r="AE21" s="20" t="s">
        <v>150</v>
      </c>
      <c r="AF21" s="20" t="s">
        <v>152</v>
      </c>
      <c r="AG21" s="20" t="s">
        <v>154</v>
      </c>
      <c r="AH21" s="20" t="s">
        <v>156</v>
      </c>
      <c r="AI21" s="12" t="s">
        <v>90</v>
      </c>
      <c r="AJ21" s="12" t="s">
        <v>91</v>
      </c>
      <c r="AK21" s="12" t="s">
        <v>93</v>
      </c>
      <c r="AL21" s="15" t="s">
        <v>94</v>
      </c>
      <c r="AM21" s="15" t="s">
        <v>94</v>
      </c>
      <c r="AN21" s="20" t="s">
        <v>174</v>
      </c>
      <c r="AO21" s="35" t="s">
        <v>175</v>
      </c>
      <c r="AP21" s="31" t="s">
        <v>176</v>
      </c>
      <c r="AQ21" s="21" t="s">
        <v>177</v>
      </c>
      <c r="AR21" s="19" t="s">
        <v>179</v>
      </c>
    </row>
    <row r="22" spans="2:44" ht="13.5" customHeight="1" x14ac:dyDescent="0.4">
      <c r="B22" s="49" t="s">
        <v>50</v>
      </c>
      <c r="C22" s="105">
        <v>-79.78153991699219</v>
      </c>
      <c r="D22" s="105">
        <v>-79.59346008300781</v>
      </c>
      <c r="E22" s="105">
        <v>103.13580322265625</v>
      </c>
      <c r="F22" s="105">
        <v>0.07928241044282913</v>
      </c>
      <c r="G22" s="105"/>
      <c r="H22" s="105"/>
      <c r="I22" s="105"/>
      <c r="J22" s="105"/>
      <c r="K22" s="105"/>
      <c r="L22" s="106"/>
      <c r="M22" s="107">
        <v>78.90625</v>
      </c>
      <c r="N22" s="105">
        <v>46.422889709472656</v>
      </c>
      <c r="O22" s="105">
        <v>39</v>
      </c>
      <c r="P22" s="105">
        <v>0</v>
      </c>
      <c r="Q22" s="105">
        <v>3.487847089767456</v>
      </c>
      <c r="R22" s="105">
        <v>18.547449111938477</v>
      </c>
      <c r="S22" s="108">
        <v>92.15132904052734</v>
      </c>
      <c r="T22" s="108">
        <v>0</v>
      </c>
      <c r="U22" s="108">
        <v>0</v>
      </c>
      <c r="V22" s="108">
        <v>19.015840530395508</v>
      </c>
      <c r="W22" s="108">
        <v>30.777999877929688</v>
      </c>
      <c r="X22" s="108">
        <v>29.5</v>
      </c>
      <c r="Y22" s="108">
        <v>78.36895751953125</v>
      </c>
      <c r="Z22" s="108">
        <v>14.845560073852539</v>
      </c>
      <c r="AA22" s="108">
        <v>17.65407943725586</v>
      </c>
      <c r="AB22" s="108"/>
      <c r="AC22" s="109"/>
      <c r="AD22" s="109">
        <v>1.5483399629592896</v>
      </c>
      <c r="AE22" s="109"/>
      <c r="AF22" s="109"/>
      <c r="AG22" s="109">
        <v>20.287179946899414</v>
      </c>
      <c r="AH22" s="109"/>
      <c r="AI22" s="110"/>
      <c r="AJ22" s="110"/>
      <c r="AK22" s="110"/>
      <c r="AL22" s="110"/>
      <c r="AM22" s="110"/>
      <c r="AN22" s="109">
        <v>36.42940139770508</v>
      </c>
      <c r="AO22" s="111">
        <v>48</v>
      </c>
      <c r="AP22" s="112">
        <v>24.459270477294922</v>
      </c>
      <c r="AQ22" s="113">
        <v>39.431419372558594</v>
      </c>
      <c r="AR22" s="114">
        <v>0.11936189979314804</v>
      </c>
    </row>
    <row r="23" spans="2:44" ht="13.5" customHeight="1" x14ac:dyDescent="0.4">
      <c r="B23" s="17">
        <v>0.875</v>
      </c>
      <c r="C23" s="105">
        <v>-79.96961975097656</v>
      </c>
      <c r="D23" s="105">
        <v>-79.97685241699219</v>
      </c>
      <c r="E23" s="105">
        <v>103.1322021484375</v>
      </c>
      <c r="F23" s="105">
        <v>0.08188656717538834</v>
      </c>
      <c r="G23" s="105">
        <v>7.870483386795968E-05</v>
      </c>
      <c r="H23" s="105"/>
      <c r="I23" s="105"/>
      <c r="J23" s="105"/>
      <c r="K23" s="105"/>
      <c r="L23" s="106"/>
      <c r="M23" s="107">
        <v>79.70558166503906</v>
      </c>
      <c r="N23" s="105">
        <v>46.61819839477539</v>
      </c>
      <c r="O23" s="105">
        <v>39</v>
      </c>
      <c r="P23" s="105">
        <v>0</v>
      </c>
      <c r="Q23" s="105">
        <v>3.366318941116333</v>
      </c>
      <c r="R23" s="105">
        <v>18.829570770263672</v>
      </c>
      <c r="S23" s="108">
        <v>92.20558166503906</v>
      </c>
      <c r="T23" s="108">
        <v>0</v>
      </c>
      <c r="U23" s="108">
        <v>0</v>
      </c>
      <c r="V23" s="108">
        <v>29.785160064697266</v>
      </c>
      <c r="W23" s="108">
        <v>38.916019439697266</v>
      </c>
      <c r="X23" s="108">
        <v>27</v>
      </c>
      <c r="Y23" s="108">
        <v>71.48455810546875</v>
      </c>
      <c r="Z23" s="108">
        <v>15.0933198928833</v>
      </c>
      <c r="AA23" s="108">
        <v>18.180339813232422</v>
      </c>
      <c r="AB23" s="108"/>
      <c r="AC23" s="109"/>
      <c r="AD23" s="109">
        <v>1.5484479665756226</v>
      </c>
      <c r="AE23" s="109">
        <v>0.001272949273698032</v>
      </c>
      <c r="AF23" s="109"/>
      <c r="AG23" s="109">
        <v>42.628761291503906</v>
      </c>
      <c r="AH23" s="109"/>
      <c r="AI23" s="110"/>
      <c r="AJ23" s="110"/>
      <c r="AK23" s="110"/>
      <c r="AL23" s="110"/>
      <c r="AM23" s="110"/>
      <c r="AN23" s="109">
        <v>56.8938102722168</v>
      </c>
      <c r="AO23" s="111">
        <v>48</v>
      </c>
      <c r="AP23" s="112">
        <v>24.45022964477539</v>
      </c>
      <c r="AQ23" s="113">
        <v>39.431419372558594</v>
      </c>
      <c r="AR23" s="114">
        <v>0.10851290076971054</v>
      </c>
    </row>
    <row r="24" spans="2:44" ht="13.5" customHeight="1" x14ac:dyDescent="0.4">
      <c r="B24" s="49" t="s">
        <v>271</v>
      </c>
      <c r="C24" s="105">
        <v>-79.97685241699219</v>
      </c>
      <c r="D24" s="105">
        <v>-79.94068145751953</v>
      </c>
      <c r="E24" s="105">
        <v>103.1322021484375</v>
      </c>
      <c r="F24" s="105">
        <v>0.07776331156492233</v>
      </c>
      <c r="G24" s="105">
        <v>8.119201811496168E-05</v>
      </c>
      <c r="H24" s="105"/>
      <c r="I24" s="105"/>
      <c r="J24" s="105"/>
      <c r="K24" s="105"/>
      <c r="L24" s="106"/>
      <c r="M24" s="107">
        <v>77.8790512084961</v>
      </c>
      <c r="N24" s="105">
        <v>46.665218353271484</v>
      </c>
      <c r="O24" s="105">
        <v>39</v>
      </c>
      <c r="P24" s="105">
        <v>0</v>
      </c>
      <c r="Q24" s="105">
        <v>3.1080729961395264</v>
      </c>
      <c r="R24" s="105">
        <v>19.44805908203125</v>
      </c>
      <c r="S24" s="108">
        <v>90.69732666015625</v>
      </c>
      <c r="T24" s="108">
        <v>0</v>
      </c>
      <c r="U24" s="108">
        <v>0</v>
      </c>
      <c r="V24" s="108">
        <v>31.71116065979004</v>
      </c>
      <c r="W24" s="108">
        <v>43.256290435791016</v>
      </c>
      <c r="X24" s="108">
        <v>30</v>
      </c>
      <c r="Y24" s="108">
        <v>79.6808090209961</v>
      </c>
      <c r="Z24" s="108">
        <v>15.634039878845215</v>
      </c>
      <c r="AA24" s="108">
        <v>19.05381965637207</v>
      </c>
      <c r="AB24" s="108"/>
      <c r="AC24" s="109"/>
      <c r="AD24" s="109">
        <v>1.5483399629592896</v>
      </c>
      <c r="AE24" s="109">
        <v>0.0013499755878001451</v>
      </c>
      <c r="AF24" s="109"/>
      <c r="AG24" s="109">
        <v>25.274879455566406</v>
      </c>
      <c r="AH24" s="109"/>
      <c r="AI24" s="110"/>
      <c r="AJ24" s="110"/>
      <c r="AK24" s="110"/>
      <c r="AL24" s="110"/>
      <c r="AM24" s="110"/>
      <c r="AN24" s="109">
        <v>66.31944274902344</v>
      </c>
      <c r="AO24" s="111">
        <v>48</v>
      </c>
      <c r="AP24" s="112">
        <v>24.504480361938477</v>
      </c>
      <c r="AQ24" s="113">
        <v>39.431419372558594</v>
      </c>
      <c r="AR24" s="114">
        <v>0.10851290076971054</v>
      </c>
    </row>
    <row r="25" spans="2:44" ht="13.5" customHeight="1" x14ac:dyDescent="0.4">
      <c r="B25" s="17">
        <v>0.95833333333333337</v>
      </c>
      <c r="C25" s="105">
        <v>-80.06365966796875</v>
      </c>
      <c r="D25" s="105">
        <v>-80.135986328125</v>
      </c>
      <c r="E25" s="105">
        <v>103.1322021484375</v>
      </c>
      <c r="F25" s="105">
        <v>0.07949942350387573</v>
      </c>
      <c r="G25" s="105">
        <v>7.910156273283064E-05</v>
      </c>
      <c r="H25" s="105"/>
      <c r="I25" s="105"/>
      <c r="J25" s="105"/>
      <c r="K25" s="105"/>
      <c r="L25" s="106"/>
      <c r="M25" s="107">
        <v>78.03819274902344</v>
      </c>
      <c r="N25" s="105">
        <v>46.7194709777832</v>
      </c>
      <c r="O25" s="105">
        <v>39</v>
      </c>
      <c r="P25" s="105">
        <v>0</v>
      </c>
      <c r="Q25" s="105">
        <v>3.471787929534912</v>
      </c>
      <c r="R25" s="105">
        <v>19.628910064697266</v>
      </c>
      <c r="S25" s="108">
        <v>91.06987762451172</v>
      </c>
      <c r="T25" s="108">
        <v>0</v>
      </c>
      <c r="U25" s="108">
        <v>0</v>
      </c>
      <c r="V25" s="108">
        <v>29.557289123535156</v>
      </c>
      <c r="W25" s="108">
        <v>42.941619873046875</v>
      </c>
      <c r="X25" s="108">
        <v>30</v>
      </c>
      <c r="Y25" s="108">
        <v>80.06202697753906</v>
      </c>
      <c r="Z25" s="108">
        <v>15.541810035705566</v>
      </c>
      <c r="AA25" s="108">
        <v>18.967010498046875</v>
      </c>
      <c r="AB25" s="108"/>
      <c r="AC25" s="109"/>
      <c r="AD25" s="109">
        <v>0</v>
      </c>
      <c r="AE25" s="109">
        <v>0.001146972645074129</v>
      </c>
      <c r="AF25" s="109"/>
      <c r="AG25" s="109">
        <v>28.613279342651367</v>
      </c>
      <c r="AH25" s="109"/>
      <c r="AI25" s="110"/>
      <c r="AJ25" s="110"/>
      <c r="AK25" s="110"/>
      <c r="AL25" s="110"/>
      <c r="AM25" s="110"/>
      <c r="AN25" s="109">
        <v>65.79136657714844</v>
      </c>
      <c r="AO25" s="111">
        <v>48</v>
      </c>
      <c r="AP25" s="112">
        <v>24.395980834960938</v>
      </c>
      <c r="AQ25" s="113">
        <v>39.431419372558594</v>
      </c>
      <c r="AR25" s="114">
        <v>0.11936189979314804</v>
      </c>
    </row>
    <row r="26" spans="2:44" ht="13.5" customHeight="1" x14ac:dyDescent="0.4">
      <c r="B26" s="49" t="s">
        <v>272</v>
      </c>
      <c r="C26" s="105">
        <v>-79.99855041503906</v>
      </c>
      <c r="D26" s="105">
        <v>-79.94068145751953</v>
      </c>
      <c r="E26" s="105">
        <v>103.1322021484375</v>
      </c>
      <c r="F26" s="105">
        <v>0.0761718824505806</v>
      </c>
      <c r="G26" s="105">
        <v>7.890319830039516E-05</v>
      </c>
      <c r="H26" s="105"/>
      <c r="I26" s="105"/>
      <c r="J26" s="105"/>
      <c r="K26" s="105"/>
      <c r="L26" s="106"/>
      <c r="M26" s="107">
        <v>77.38353729248047</v>
      </c>
      <c r="N26" s="105">
        <v>46.93648910522461</v>
      </c>
      <c r="O26" s="105">
        <v>39</v>
      </c>
      <c r="P26" s="105">
        <v>0</v>
      </c>
      <c r="Q26" s="105">
        <v>3.257812976837158</v>
      </c>
      <c r="R26" s="105">
        <v>19.90740966796875</v>
      </c>
      <c r="S26" s="108">
        <v>90.65030670166016</v>
      </c>
      <c r="T26" s="108">
        <v>0</v>
      </c>
      <c r="U26" s="108">
        <v>0</v>
      </c>
      <c r="V26" s="108">
        <v>26.638460159301758</v>
      </c>
      <c r="W26" s="108">
        <v>41.93251037597656</v>
      </c>
      <c r="X26" s="108">
        <v>30</v>
      </c>
      <c r="Y26" s="108">
        <v>80.05081939697266</v>
      </c>
      <c r="Z26" s="108">
        <v>15.670209884643555</v>
      </c>
      <c r="AA26" s="108">
        <v>19.401039123535156</v>
      </c>
      <c r="AB26" s="108"/>
      <c r="AC26" s="109"/>
      <c r="AD26" s="109">
        <v>0</v>
      </c>
      <c r="AE26" s="109">
        <v>0.0013410644605755806</v>
      </c>
      <c r="AF26" s="109"/>
      <c r="AG26" s="109">
        <v>39.131221771240234</v>
      </c>
      <c r="AH26" s="109"/>
      <c r="AI26" s="110"/>
      <c r="AJ26" s="110"/>
      <c r="AK26" s="110"/>
      <c r="AL26" s="110"/>
      <c r="AM26" s="110"/>
      <c r="AN26" s="109">
        <v>63.73698043823242</v>
      </c>
      <c r="AO26" s="111">
        <v>48</v>
      </c>
      <c r="AP26" s="112">
        <v>24.395980834960938</v>
      </c>
      <c r="AQ26" s="113">
        <v>39.431419372558594</v>
      </c>
      <c r="AR26" s="114">
        <v>0.13021090626716614</v>
      </c>
    </row>
    <row r="27" spans="2:44" ht="13.5" customHeight="1" x14ac:dyDescent="0.4">
      <c r="B27" s="17">
        <v>4.1666666666666664E-2</v>
      </c>
      <c r="C27" s="105">
        <v>-80.16493225097656</v>
      </c>
      <c r="D27" s="105">
        <v>-80.03472137451172</v>
      </c>
      <c r="E27" s="105">
        <v>103.1395034790039</v>
      </c>
      <c r="F27" s="105">
        <v>0.08868633955717087</v>
      </c>
      <c r="G27" s="105">
        <v>7.749938959022984E-05</v>
      </c>
      <c r="H27" s="105"/>
      <c r="I27" s="105"/>
      <c r="J27" s="105"/>
      <c r="K27" s="105"/>
      <c r="L27" s="106"/>
      <c r="M27" s="107">
        <v>77.65480041503906</v>
      </c>
      <c r="N27" s="105">
        <v>47.0413818359375</v>
      </c>
      <c r="O27" s="105">
        <v>39</v>
      </c>
      <c r="P27" s="105">
        <v>0</v>
      </c>
      <c r="Q27" s="105">
        <v>2.9587669372558594</v>
      </c>
      <c r="R27" s="105">
        <v>19.914640426635742</v>
      </c>
      <c r="S27" s="108">
        <v>90.91435241699219</v>
      </c>
      <c r="T27" s="108">
        <v>0</v>
      </c>
      <c r="U27" s="108">
        <v>0</v>
      </c>
      <c r="V27" s="108">
        <v>25.179040908813477</v>
      </c>
      <c r="W27" s="108">
        <v>42.057289123535156</v>
      </c>
      <c r="X27" s="108">
        <v>30</v>
      </c>
      <c r="Y27" s="108">
        <v>80.0732421875</v>
      </c>
      <c r="Z27" s="108">
        <v>15.351920127868652</v>
      </c>
      <c r="AA27" s="108">
        <v>19.211149215698242</v>
      </c>
      <c r="AB27" s="108"/>
      <c r="AC27" s="109"/>
      <c r="AD27" s="109">
        <v>1.5483399629592896</v>
      </c>
      <c r="AE27" s="109">
        <v>0.0013900146586820483</v>
      </c>
      <c r="AF27" s="109"/>
      <c r="AG27" s="109">
        <v>20.40291976928711</v>
      </c>
      <c r="AH27" s="109"/>
      <c r="AI27" s="110"/>
      <c r="AJ27" s="110"/>
      <c r="AK27" s="110"/>
      <c r="AL27" s="110"/>
      <c r="AM27" s="110"/>
      <c r="AN27" s="109">
        <v>61.11111068725586</v>
      </c>
      <c r="AO27" s="111">
        <v>55</v>
      </c>
      <c r="AP27" s="112">
        <v>24.341720581054688</v>
      </c>
      <c r="AQ27" s="113">
        <v>39.431419372558594</v>
      </c>
      <c r="AR27" s="114">
        <v>0.10851290076971054</v>
      </c>
    </row>
    <row r="28" spans="2:44" ht="13.5" customHeight="1" x14ac:dyDescent="0.4">
      <c r="B28" s="49" t="s">
        <v>273</v>
      </c>
      <c r="C28" s="105">
        <v>-80.2445068359375</v>
      </c>
      <c r="D28" s="105">
        <v>-80.020263671875</v>
      </c>
      <c r="E28" s="105">
        <v>103.13580322265625</v>
      </c>
      <c r="F28" s="105">
        <v>0.07906539738178253</v>
      </c>
      <c r="G28" s="105">
        <v>7.65991208027117E-05</v>
      </c>
      <c r="H28" s="105"/>
      <c r="I28" s="105"/>
      <c r="J28" s="105"/>
      <c r="K28" s="105"/>
      <c r="L28" s="106"/>
      <c r="M28" s="107">
        <v>77.0037612915039</v>
      </c>
      <c r="N28" s="105">
        <v>47.30902862548828</v>
      </c>
      <c r="O28" s="105">
        <v>39</v>
      </c>
      <c r="P28" s="105">
        <v>0</v>
      </c>
      <c r="Q28" s="105">
        <v>3.378906011581421</v>
      </c>
      <c r="R28" s="105">
        <v>19.91826057434082</v>
      </c>
      <c r="S28" s="108">
        <v>90.80946350097656</v>
      </c>
      <c r="T28" s="108">
        <v>0</v>
      </c>
      <c r="U28" s="108">
        <v>0</v>
      </c>
      <c r="V28" s="108">
        <v>24.424909591674805</v>
      </c>
      <c r="W28" s="108">
        <v>42.854820251464844</v>
      </c>
      <c r="X28" s="108">
        <v>30</v>
      </c>
      <c r="Y28" s="108">
        <v>80.05081939697266</v>
      </c>
      <c r="Z28" s="108">
        <v>15.221719741821289</v>
      </c>
      <c r="AA28" s="108">
        <v>19.276260375976562</v>
      </c>
      <c r="AB28" s="108"/>
      <c r="AC28" s="109"/>
      <c r="AD28" s="109">
        <v>1.5483399629592896</v>
      </c>
      <c r="AE28" s="109">
        <v>0.0010189209133386612</v>
      </c>
      <c r="AF28" s="109"/>
      <c r="AG28" s="109">
        <v>31.55743980407715</v>
      </c>
      <c r="AH28" s="109"/>
      <c r="AI28" s="110"/>
      <c r="AJ28" s="110"/>
      <c r="AK28" s="110"/>
      <c r="AL28" s="110"/>
      <c r="AM28" s="110"/>
      <c r="AN28" s="109">
        <v>58.65161895751953</v>
      </c>
      <c r="AO28" s="111">
        <v>55</v>
      </c>
      <c r="AP28" s="112">
        <v>24.224170684814453</v>
      </c>
      <c r="AQ28" s="113">
        <v>39.431419372558594</v>
      </c>
      <c r="AR28" s="114">
        <v>0.10851290076971054</v>
      </c>
    </row>
    <row r="29" spans="2:44" ht="13.5" customHeight="1" x14ac:dyDescent="0.4">
      <c r="B29" s="17">
        <v>0.125</v>
      </c>
      <c r="C29" s="105">
        <v>-80.25897216796875</v>
      </c>
      <c r="D29" s="105">
        <v>-79.98409271240234</v>
      </c>
      <c r="E29" s="105">
        <v>103.1322021484375</v>
      </c>
      <c r="F29" s="105">
        <v>0.0796440988779068</v>
      </c>
      <c r="G29" s="105">
        <v>7.800292951287702E-05</v>
      </c>
      <c r="H29" s="105"/>
      <c r="I29" s="105"/>
      <c r="J29" s="105"/>
      <c r="K29" s="105"/>
      <c r="L29" s="106"/>
      <c r="M29" s="107">
        <v>77.37992095947266</v>
      </c>
      <c r="N29" s="105">
        <v>47.58391189575195</v>
      </c>
      <c r="O29" s="105">
        <v>39</v>
      </c>
      <c r="P29" s="105">
        <v>0</v>
      </c>
      <c r="Q29" s="105">
        <v>3.625868082046509</v>
      </c>
      <c r="R29" s="105">
        <v>19.903789520263672</v>
      </c>
      <c r="S29" s="108">
        <v>91.739013671875</v>
      </c>
      <c r="T29" s="108">
        <v>0</v>
      </c>
      <c r="U29" s="108">
        <v>0</v>
      </c>
      <c r="V29" s="108">
        <v>24.04513931274414</v>
      </c>
      <c r="W29" s="108">
        <v>42.20920181274414</v>
      </c>
      <c r="X29" s="108">
        <v>30</v>
      </c>
      <c r="Y29" s="108">
        <v>79.97794342041016</v>
      </c>
      <c r="Z29" s="108">
        <v>15.067999839782715</v>
      </c>
      <c r="AA29" s="108">
        <v>19.281679153442383</v>
      </c>
      <c r="AB29" s="108"/>
      <c r="AC29" s="109"/>
      <c r="AD29" s="109">
        <v>1.548285961151123</v>
      </c>
      <c r="AE29" s="109">
        <v>0.0011340331984683871</v>
      </c>
      <c r="AF29" s="109"/>
      <c r="AG29" s="109">
        <v>26.359949111938477</v>
      </c>
      <c r="AH29" s="109"/>
      <c r="AI29" s="110"/>
      <c r="AJ29" s="110"/>
      <c r="AK29" s="110"/>
      <c r="AL29" s="110"/>
      <c r="AM29" s="110"/>
      <c r="AN29" s="109">
        <v>56.611690521240234</v>
      </c>
      <c r="AO29" s="111">
        <v>55</v>
      </c>
      <c r="AP29" s="112">
        <v>23.943859100341797</v>
      </c>
      <c r="AQ29" s="113">
        <v>39.431419372558594</v>
      </c>
      <c r="AR29" s="114">
        <v>0.09766387939453125</v>
      </c>
    </row>
    <row r="30" spans="2:44" ht="13.5" customHeight="1" x14ac:dyDescent="0.4">
      <c r="B30" s="17">
        <v>0.16666666666666666</v>
      </c>
      <c r="C30" s="105">
        <v>-80.14322662353516</v>
      </c>
      <c r="D30" s="105">
        <v>-79.8538818359375</v>
      </c>
      <c r="E30" s="105">
        <v>103.13580322265625</v>
      </c>
      <c r="F30" s="105">
        <v>0.0805121511220932</v>
      </c>
      <c r="G30" s="105">
        <v>7.78961184551008E-05</v>
      </c>
      <c r="H30" s="105"/>
      <c r="I30" s="105"/>
      <c r="J30" s="105"/>
      <c r="K30" s="105"/>
      <c r="L30" s="106"/>
      <c r="M30" s="107">
        <v>77.77055358886719</v>
      </c>
      <c r="N30" s="105">
        <v>49.44660949707031</v>
      </c>
      <c r="O30" s="105">
        <v>39</v>
      </c>
      <c r="P30" s="105">
        <v>0</v>
      </c>
      <c r="Q30" s="105">
        <v>3.0651040077209473</v>
      </c>
      <c r="R30" s="105">
        <v>20.08102035522461</v>
      </c>
      <c r="S30" s="108">
        <v>92.0138931274414</v>
      </c>
      <c r="T30" s="108">
        <v>0</v>
      </c>
      <c r="U30" s="108">
        <v>0</v>
      </c>
      <c r="V30" s="108">
        <v>24.007160186767578</v>
      </c>
      <c r="W30" s="108">
        <v>41.23807144165039</v>
      </c>
      <c r="X30" s="108">
        <v>30</v>
      </c>
      <c r="Y30" s="108">
        <v>79.95551300048828</v>
      </c>
      <c r="Z30" s="108">
        <v>15.17831039428711</v>
      </c>
      <c r="AA30" s="108">
        <v>19.373920440673828</v>
      </c>
      <c r="AB30" s="108"/>
      <c r="AC30" s="109"/>
      <c r="AD30" s="109">
        <v>1.548285961151123</v>
      </c>
      <c r="AE30" s="109">
        <v>0.0013909912668168545</v>
      </c>
      <c r="AF30" s="109"/>
      <c r="AG30" s="109">
        <v>44.58549880981445</v>
      </c>
      <c r="AH30" s="109"/>
      <c r="AI30" s="110"/>
      <c r="AJ30" s="110"/>
      <c r="AK30" s="110"/>
      <c r="AL30" s="110"/>
      <c r="AM30" s="110"/>
      <c r="AN30" s="109">
        <v>54.62963104248047</v>
      </c>
      <c r="AO30" s="111">
        <v>55</v>
      </c>
      <c r="AP30" s="112">
        <v>23.898649215698242</v>
      </c>
      <c r="AQ30" s="113">
        <v>39.431419372558594</v>
      </c>
      <c r="AR30" s="114">
        <v>0.10851290076971054</v>
      </c>
    </row>
    <row r="31" spans="2:44" ht="13.5" customHeight="1" x14ac:dyDescent="0.4">
      <c r="B31" s="17">
        <v>0.20833333333333334</v>
      </c>
      <c r="C31" s="105">
        <v>-80.25173950195312</v>
      </c>
      <c r="D31" s="105">
        <v>-79.99855041503906</v>
      </c>
      <c r="E31" s="105">
        <v>103.13580322265625</v>
      </c>
      <c r="F31" s="105">
        <v>0.07949942350387573</v>
      </c>
      <c r="G31" s="105">
        <v>7.940673822304234E-05</v>
      </c>
      <c r="H31" s="105"/>
      <c r="I31" s="105"/>
      <c r="J31" s="105"/>
      <c r="K31" s="105"/>
      <c r="L31" s="106"/>
      <c r="M31" s="107">
        <v>79.46687316894531</v>
      </c>
      <c r="N31" s="105">
        <v>47.124568939208984</v>
      </c>
      <c r="O31" s="105">
        <v>39</v>
      </c>
      <c r="P31" s="105">
        <v>0</v>
      </c>
      <c r="Q31" s="105">
        <v>3.25</v>
      </c>
      <c r="R31" s="105">
        <v>19.733800888061523</v>
      </c>
      <c r="S31" s="108">
        <v>91.34475708007812</v>
      </c>
      <c r="T31" s="108">
        <v>0</v>
      </c>
      <c r="U31" s="108">
        <v>0</v>
      </c>
      <c r="V31" s="108">
        <v>24.38150978088379</v>
      </c>
      <c r="W31" s="108">
        <v>40.50564956665039</v>
      </c>
      <c r="X31" s="108">
        <v>30</v>
      </c>
      <c r="Y31" s="108">
        <v>80.2358169555664</v>
      </c>
      <c r="Z31" s="108">
        <v>14.84375</v>
      </c>
      <c r="AA31" s="108">
        <v>18.961589813232422</v>
      </c>
      <c r="AB31" s="108"/>
      <c r="AC31" s="109"/>
      <c r="AD31" s="109">
        <v>1.548285961151123</v>
      </c>
      <c r="AE31" s="109">
        <v>0.0012270507868379354</v>
      </c>
      <c r="AF31" s="109"/>
      <c r="AG31" s="109">
        <v>25.94400978088379</v>
      </c>
      <c r="AH31" s="109"/>
      <c r="AI31" s="110"/>
      <c r="AJ31" s="110"/>
      <c r="AK31" s="110"/>
      <c r="AL31" s="110"/>
      <c r="AM31" s="110"/>
      <c r="AN31" s="109">
        <v>52.83565139770508</v>
      </c>
      <c r="AO31" s="111">
        <v>55</v>
      </c>
      <c r="AP31" s="112">
        <v>23.627389907836914</v>
      </c>
      <c r="AQ31" s="113">
        <v>39.431419372558594</v>
      </c>
      <c r="AR31" s="114">
        <v>0.11936189979314804</v>
      </c>
    </row>
    <row r="32" spans="2:44" ht="13.5" customHeight="1" x14ac:dyDescent="0.4">
      <c r="B32" s="17">
        <v>0.25</v>
      </c>
      <c r="C32" s="105">
        <v>-80.41088104248047</v>
      </c>
      <c r="D32" s="105">
        <v>-79.9334487915039</v>
      </c>
      <c r="E32" s="105">
        <v>103.13580322265625</v>
      </c>
      <c r="F32" s="105">
        <v>0.07392939925193787</v>
      </c>
      <c r="G32" s="105">
        <v>7.798767182976007E-05</v>
      </c>
      <c r="H32" s="105"/>
      <c r="I32" s="105"/>
      <c r="J32" s="105"/>
      <c r="K32" s="105"/>
      <c r="L32" s="106"/>
      <c r="M32" s="107">
        <v>77.05439758300781</v>
      </c>
      <c r="N32" s="105">
        <v>46.72671127319336</v>
      </c>
      <c r="O32" s="105">
        <v>39</v>
      </c>
      <c r="P32" s="105">
        <v>0</v>
      </c>
      <c r="Q32" s="105">
        <v>2.988281011581421</v>
      </c>
      <c r="R32" s="105">
        <v>20.22208023071289</v>
      </c>
      <c r="S32" s="108">
        <v>90.54180908203125</v>
      </c>
      <c r="T32" s="108">
        <v>0</v>
      </c>
      <c r="U32" s="108">
        <v>10.763890266418457</v>
      </c>
      <c r="V32" s="108">
        <v>45.410160064697266</v>
      </c>
      <c r="W32" s="108">
        <v>39.13302993774414</v>
      </c>
      <c r="X32" s="108">
        <v>30</v>
      </c>
      <c r="Y32" s="108">
        <v>79.71444702148438</v>
      </c>
      <c r="Z32" s="108">
        <v>15.237990379333496</v>
      </c>
      <c r="AA32" s="108">
        <v>19.628910064697266</v>
      </c>
      <c r="AB32" s="108"/>
      <c r="AC32" s="109"/>
      <c r="AD32" s="109">
        <v>0</v>
      </c>
      <c r="AE32" s="109">
        <v>0.0007860107580199838</v>
      </c>
      <c r="AF32" s="109"/>
      <c r="AG32" s="109">
        <v>73.14453125</v>
      </c>
      <c r="AH32" s="109"/>
      <c r="AI32" s="110"/>
      <c r="AJ32" s="110"/>
      <c r="AK32" s="110"/>
      <c r="AL32" s="110"/>
      <c r="AM32" s="110"/>
      <c r="AN32" s="109">
        <v>51.27315139770508</v>
      </c>
      <c r="AO32" s="111">
        <v>55</v>
      </c>
      <c r="AP32" s="112">
        <v>23.401330947875977</v>
      </c>
      <c r="AQ32" s="113">
        <v>39.431419372558594</v>
      </c>
      <c r="AR32" s="114">
        <v>0.10851290076971054</v>
      </c>
    </row>
    <row r="33" spans="2:44" ht="13.5" customHeight="1" x14ac:dyDescent="0.4">
      <c r="B33" s="17">
        <v>0.29166666666666669</v>
      </c>
      <c r="C33" s="105">
        <v>-80.28067016601562</v>
      </c>
      <c r="D33" s="105">
        <v>-79.97685241699219</v>
      </c>
      <c r="E33" s="105">
        <v>103.13580322265625</v>
      </c>
      <c r="F33" s="105">
        <v>0.0798611119389534</v>
      </c>
      <c r="G33" s="105">
        <v>7.800292951287702E-05</v>
      </c>
      <c r="H33" s="105"/>
      <c r="I33" s="105"/>
      <c r="J33" s="105"/>
      <c r="K33" s="105"/>
      <c r="L33" s="106"/>
      <c r="M33" s="107">
        <v>77.9586181640625</v>
      </c>
      <c r="N33" s="105">
        <v>46.80989074707031</v>
      </c>
      <c r="O33" s="105">
        <v>39</v>
      </c>
      <c r="P33" s="105">
        <v>0</v>
      </c>
      <c r="Q33" s="105">
        <v>3.2990450859069824</v>
      </c>
      <c r="R33" s="105">
        <v>20.193140029907227</v>
      </c>
      <c r="S33" s="108">
        <v>95.30165100097656</v>
      </c>
      <c r="T33" s="108">
        <v>35</v>
      </c>
      <c r="U33" s="108">
        <v>80.00035858154297</v>
      </c>
      <c r="V33" s="108">
        <v>16.975910186767578</v>
      </c>
      <c r="W33" s="108">
        <v>20.030380249023438</v>
      </c>
      <c r="X33" s="108">
        <v>30</v>
      </c>
      <c r="Y33" s="108">
        <v>32.26924133300781</v>
      </c>
      <c r="Z33" s="108">
        <v>14.17101001739502</v>
      </c>
      <c r="AA33" s="108">
        <v>97.12999725341797</v>
      </c>
      <c r="AB33" s="108"/>
      <c r="AC33" s="109"/>
      <c r="AD33" s="109">
        <v>1.5483399629592896</v>
      </c>
      <c r="AE33" s="109">
        <v>0.0009639892377890646</v>
      </c>
      <c r="AF33" s="109"/>
      <c r="AG33" s="109">
        <v>41.64857864379883</v>
      </c>
      <c r="AH33" s="109"/>
      <c r="AI33" s="110"/>
      <c r="AJ33" s="110"/>
      <c r="AK33" s="110"/>
      <c r="AL33" s="110"/>
      <c r="AM33" s="110"/>
      <c r="AN33" s="109">
        <v>49.77574920654297</v>
      </c>
      <c r="AO33" s="111">
        <v>55</v>
      </c>
      <c r="AP33" s="112">
        <v>23.33803939819336</v>
      </c>
      <c r="AQ33" s="113">
        <v>39.431419372558594</v>
      </c>
      <c r="AR33" s="114">
        <v>0.09766387939453125</v>
      </c>
    </row>
    <row r="34" spans="2:44" ht="13.5" customHeight="1" x14ac:dyDescent="0.4">
      <c r="B34" s="50">
        <v>0.33333333333333331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6"/>
      <c r="M34" s="117"/>
      <c r="N34" s="115"/>
      <c r="O34" s="115"/>
      <c r="P34" s="115"/>
      <c r="Q34" s="115"/>
      <c r="R34" s="115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9"/>
      <c r="AD34" s="119"/>
      <c r="AE34" s="119"/>
      <c r="AF34" s="119"/>
      <c r="AG34" s="119"/>
      <c r="AH34" s="119"/>
      <c r="AI34" s="120"/>
      <c r="AJ34" s="120"/>
      <c r="AK34" s="120"/>
      <c r="AL34" s="120"/>
      <c r="AM34" s="120"/>
      <c r="AN34" s="119"/>
      <c r="AO34" s="121"/>
      <c r="AP34" s="122"/>
      <c r="AQ34" s="123"/>
      <c r="AR34" s="124"/>
    </row>
    <row r="35" spans="2:44" ht="15" customHeight="1" x14ac:dyDescent="0.4">
      <c r="B35" s="162" t="s">
        <v>181</v>
      </c>
      <c r="C35" s="163" t="s">
        <v>38</v>
      </c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 t="s">
        <v>216</v>
      </c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5"/>
      <c r="AK35" s="169" t="s">
        <v>48</v>
      </c>
      <c r="AL35" s="167"/>
      <c r="AM35" s="196" t="s">
        <v>223</v>
      </c>
      <c r="AN35" s="197"/>
      <c r="AO35" s="51"/>
      <c r="AP35" s="51"/>
      <c r="AQ35" s="51"/>
      <c r="AR35" s="52"/>
    </row>
    <row r="36" spans="2:44" ht="20.1" customHeight="1" x14ac:dyDescent="0.4">
      <c r="B36" s="149"/>
      <c r="C36" s="143" t="s">
        <v>32</v>
      </c>
      <c r="D36" s="175"/>
      <c r="E36" s="143" t="s">
        <v>33</v>
      </c>
      <c r="F36" s="204"/>
      <c r="G36" s="175"/>
      <c r="H36" s="198" t="s">
        <v>276</v>
      </c>
      <c r="I36" s="199"/>
      <c r="J36" s="4" t="s">
        <v>27</v>
      </c>
      <c r="K36" s="4" t="s">
        <v>30</v>
      </c>
      <c r="L36" s="4" t="s">
        <v>191</v>
      </c>
      <c r="M36" s="200" t="s">
        <v>192</v>
      </c>
      <c r="N36" s="201"/>
      <c r="O36" s="4" t="s">
        <v>26</v>
      </c>
      <c r="P36" s="4" t="s">
        <v>197</v>
      </c>
      <c r="Q36" s="143" t="s">
        <v>199</v>
      </c>
      <c r="R36" s="205"/>
      <c r="S36" s="143" t="s">
        <v>202</v>
      </c>
      <c r="T36" s="205"/>
      <c r="U36" s="143" t="s">
        <v>201</v>
      </c>
      <c r="V36" s="202"/>
      <c r="W36" s="37" t="s">
        <v>15</v>
      </c>
      <c r="X36" s="4" t="s">
        <v>12</v>
      </c>
      <c r="Y36" s="9" t="s">
        <v>204</v>
      </c>
      <c r="Z36" s="9" t="s">
        <v>205</v>
      </c>
      <c r="AA36" s="9" t="s">
        <v>206</v>
      </c>
      <c r="AB36" s="8" t="s">
        <v>207</v>
      </c>
      <c r="AC36" s="9" t="s">
        <v>208</v>
      </c>
      <c r="AD36" s="9" t="s">
        <v>210</v>
      </c>
      <c r="AE36" s="9" t="s">
        <v>211</v>
      </c>
      <c r="AF36" s="8" t="s">
        <v>212</v>
      </c>
      <c r="AG36" s="20" t="s">
        <v>213</v>
      </c>
      <c r="AH36" s="157" t="s">
        <v>46</v>
      </c>
      <c r="AI36" s="203"/>
      <c r="AJ36" s="144"/>
      <c r="AK36" s="20" t="s">
        <v>15</v>
      </c>
      <c r="AL36" s="35" t="s">
        <v>12</v>
      </c>
      <c r="AM36" s="26" t="s">
        <v>224</v>
      </c>
      <c r="AN36" s="28" t="s">
        <v>225</v>
      </c>
      <c r="AO36" s="20"/>
      <c r="AP36" s="20"/>
      <c r="AQ36" s="20"/>
      <c r="AR36" s="19"/>
    </row>
    <row r="37" spans="2:44" ht="22" customHeight="1" x14ac:dyDescent="0.4">
      <c r="B37" s="149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8" t="s">
        <v>193</v>
      </c>
      <c r="N37" s="8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41" t="s">
        <v>3</v>
      </c>
      <c r="W37" s="38" t="s">
        <v>39</v>
      </c>
      <c r="X37" s="8" t="s">
        <v>40</v>
      </c>
      <c r="Y37" s="9" t="s">
        <v>41</v>
      </c>
      <c r="Z37" s="4" t="s">
        <v>42</v>
      </c>
      <c r="AA37" s="5" t="s">
        <v>22</v>
      </c>
      <c r="AB37" s="9" t="s">
        <v>23</v>
      </c>
      <c r="AC37" s="9" t="s">
        <v>209</v>
      </c>
      <c r="AD37" s="4" t="s">
        <v>43</v>
      </c>
      <c r="AE37" s="5" t="s">
        <v>44</v>
      </c>
      <c r="AF37" s="9" t="s">
        <v>45</v>
      </c>
      <c r="AG37" s="20" t="s">
        <v>214</v>
      </c>
      <c r="AH37" s="20" t="s">
        <v>217</v>
      </c>
      <c r="AI37" s="20" t="s">
        <v>218</v>
      </c>
      <c r="AJ37" s="20" t="s">
        <v>219</v>
      </c>
      <c r="AK37" s="21" t="s">
        <v>221</v>
      </c>
      <c r="AL37" s="35" t="s">
        <v>222</v>
      </c>
      <c r="AM37" s="26" t="s">
        <v>4</v>
      </c>
      <c r="AN37" s="40" t="s">
        <v>4</v>
      </c>
      <c r="AO37" s="20"/>
      <c r="AP37" s="20"/>
      <c r="AQ37" s="20"/>
      <c r="AR37" s="19"/>
    </row>
    <row r="38" spans="2:44" ht="14.1" customHeight="1" x14ac:dyDescent="0.4">
      <c r="B38" s="149"/>
      <c r="C38" s="29" t="s">
        <v>182</v>
      </c>
      <c r="D38" s="25" t="s">
        <v>183</v>
      </c>
      <c r="E38" s="3" t="s">
        <v>185</v>
      </c>
      <c r="F38" s="29" t="s">
        <v>182</v>
      </c>
      <c r="G38" s="25" t="s">
        <v>183</v>
      </c>
      <c r="H38" s="29" t="s">
        <v>279</v>
      </c>
      <c r="I38" s="25" t="s">
        <v>183</v>
      </c>
      <c r="J38" s="3" t="s">
        <v>185</v>
      </c>
      <c r="K38" s="1" t="s">
        <v>190</v>
      </c>
      <c r="L38" s="3" t="s">
        <v>185</v>
      </c>
      <c r="M38" s="1" t="s">
        <v>460</v>
      </c>
      <c r="N38" s="1" t="s">
        <v>461</v>
      </c>
      <c r="O38" s="3" t="s">
        <v>185</v>
      </c>
      <c r="P38" s="1" t="s">
        <v>198</v>
      </c>
      <c r="Q38" s="3" t="s">
        <v>200</v>
      </c>
      <c r="R38" s="25" t="s">
        <v>183</v>
      </c>
      <c r="S38" s="3" t="s">
        <v>200</v>
      </c>
      <c r="T38" s="25" t="s">
        <v>183</v>
      </c>
      <c r="U38" s="3" t="s">
        <v>200</v>
      </c>
      <c r="V38" s="42" t="s">
        <v>183</v>
      </c>
      <c r="W38" s="39" t="s">
        <v>203</v>
      </c>
      <c r="X38" s="8" t="s">
        <v>184</v>
      </c>
      <c r="Y38" s="9" t="s">
        <v>190</v>
      </c>
      <c r="Z38" s="8" t="s">
        <v>195</v>
      </c>
      <c r="AA38" s="8" t="s">
        <v>184</v>
      </c>
      <c r="AB38" s="8" t="s">
        <v>184</v>
      </c>
      <c r="AC38" s="9" t="s">
        <v>190</v>
      </c>
      <c r="AD38" s="8" t="s">
        <v>195</v>
      </c>
      <c r="AE38" s="8" t="s">
        <v>184</v>
      </c>
      <c r="AF38" s="8" t="s">
        <v>184</v>
      </c>
      <c r="AG38" s="20" t="s">
        <v>215</v>
      </c>
      <c r="AH38" s="22" t="s">
        <v>203</v>
      </c>
      <c r="AI38" s="8" t="s">
        <v>195</v>
      </c>
      <c r="AJ38" s="8" t="s">
        <v>196</v>
      </c>
      <c r="AK38" s="21" t="s">
        <v>203</v>
      </c>
      <c r="AL38" s="35" t="s">
        <v>220</v>
      </c>
      <c r="AM38" s="26" t="s">
        <v>203</v>
      </c>
      <c r="AN38" s="28" t="s">
        <v>203</v>
      </c>
      <c r="AO38" s="20"/>
      <c r="AP38" s="20"/>
      <c r="AQ38" s="20"/>
      <c r="AR38" s="19"/>
    </row>
    <row r="39" spans="2:44" ht="13.5" customHeight="1" x14ac:dyDescent="0.4">
      <c r="B39" s="49" t="s">
        <v>50</v>
      </c>
      <c r="C39" s="105">
        <v>0</v>
      </c>
      <c r="D39" s="105"/>
      <c r="E39" s="105">
        <v>43.80786895751953</v>
      </c>
      <c r="F39" s="105"/>
      <c r="G39" s="105"/>
      <c r="H39" s="105">
        <v>26.09592056274414</v>
      </c>
      <c r="I39" s="105"/>
      <c r="J39" s="105">
        <v>49.04513931274414</v>
      </c>
      <c r="K39" s="105">
        <v>0.14000000059604645</v>
      </c>
      <c r="L39" s="105">
        <v>224.58169555664062</v>
      </c>
      <c r="M39" s="105">
        <v>29.13412094116211</v>
      </c>
      <c r="N39" s="105"/>
      <c r="O39" s="105">
        <v>0.18482349812984467</v>
      </c>
      <c r="P39" s="105">
        <v>240.74009704589844</v>
      </c>
      <c r="Q39" s="105">
        <v>0</v>
      </c>
      <c r="R39" s="105"/>
      <c r="S39" s="105">
        <v>0</v>
      </c>
      <c r="T39" s="105"/>
      <c r="U39" s="108">
        <v>99.0523681640625</v>
      </c>
      <c r="V39" s="125"/>
      <c r="W39" s="126">
        <v>50</v>
      </c>
      <c r="X39" s="108">
        <v>123.88020324707031</v>
      </c>
      <c r="Y39" s="108">
        <v>19.015840530395508</v>
      </c>
      <c r="Z39" s="108">
        <v>30.777999877929688</v>
      </c>
      <c r="AA39" s="108">
        <v>50</v>
      </c>
      <c r="AB39" s="108">
        <v>0</v>
      </c>
      <c r="AC39" s="108">
        <v>14.845560073852539</v>
      </c>
      <c r="AD39" s="108">
        <v>17.65407943725586</v>
      </c>
      <c r="AE39" s="109"/>
      <c r="AF39" s="109">
        <v>0</v>
      </c>
      <c r="AG39" s="109"/>
      <c r="AH39" s="109">
        <v>39.0882682800293</v>
      </c>
      <c r="AI39" s="109">
        <v>33.21036148071289</v>
      </c>
      <c r="AJ39" s="109"/>
      <c r="AK39" s="109"/>
      <c r="AL39" s="111"/>
      <c r="AM39" s="127"/>
      <c r="AN39" s="110"/>
      <c r="AO39" s="109"/>
      <c r="AP39" s="109"/>
      <c r="AQ39" s="109"/>
      <c r="AR39" s="114"/>
    </row>
    <row r="40" spans="2:44" ht="13.5" customHeight="1" x14ac:dyDescent="0.4">
      <c r="B40" s="17">
        <v>0.875</v>
      </c>
      <c r="C40" s="105">
        <v>0</v>
      </c>
      <c r="D40" s="105">
        <v>0</v>
      </c>
      <c r="E40" s="105">
        <v>53.7977409362793</v>
      </c>
      <c r="F40" s="105"/>
      <c r="G40" s="105"/>
      <c r="H40" s="105">
        <v>26.25868034362793</v>
      </c>
      <c r="I40" s="105">
        <v>0</v>
      </c>
      <c r="J40" s="105">
        <v>49.09035110473633</v>
      </c>
      <c r="K40" s="105">
        <v>0.14000000059604645</v>
      </c>
      <c r="L40" s="105">
        <v>224.72169494628906</v>
      </c>
      <c r="M40" s="105">
        <v>28.944229125976562</v>
      </c>
      <c r="N40" s="105">
        <v>0</v>
      </c>
      <c r="O40" s="105">
        <v>0.20073780417442322</v>
      </c>
      <c r="P40" s="105">
        <v>240.9311065673828</v>
      </c>
      <c r="Q40" s="105">
        <v>0</v>
      </c>
      <c r="R40" s="105">
        <v>0</v>
      </c>
      <c r="S40" s="105">
        <v>0</v>
      </c>
      <c r="T40" s="105">
        <v>0</v>
      </c>
      <c r="U40" s="108">
        <v>92.74088287353516</v>
      </c>
      <c r="V40" s="125">
        <v>0.0011935806833207607</v>
      </c>
      <c r="W40" s="126">
        <v>35</v>
      </c>
      <c r="X40" s="108">
        <v>88.26822662353516</v>
      </c>
      <c r="Y40" s="108">
        <v>29.785160064697266</v>
      </c>
      <c r="Z40" s="108">
        <v>38.916019439697266</v>
      </c>
      <c r="AA40" s="108">
        <v>35</v>
      </c>
      <c r="AB40" s="108">
        <v>90.42534637451172</v>
      </c>
      <c r="AC40" s="108">
        <v>15.0933198928833</v>
      </c>
      <c r="AD40" s="108">
        <v>18.180339813232422</v>
      </c>
      <c r="AE40" s="109"/>
      <c r="AF40" s="109">
        <v>0</v>
      </c>
      <c r="AG40" s="109"/>
      <c r="AH40" s="109">
        <v>39.0882682800293</v>
      </c>
      <c r="AI40" s="109">
        <v>29.92259979248047</v>
      </c>
      <c r="AJ40" s="109">
        <v>-0.0007494201418012381</v>
      </c>
      <c r="AK40" s="109"/>
      <c r="AL40" s="111"/>
      <c r="AM40" s="127"/>
      <c r="AN40" s="110"/>
      <c r="AO40" s="109"/>
      <c r="AP40" s="109"/>
      <c r="AQ40" s="109"/>
      <c r="AR40" s="114"/>
    </row>
    <row r="41" spans="2:44" ht="13.5" customHeight="1" x14ac:dyDescent="0.4">
      <c r="B41" s="49" t="s">
        <v>271</v>
      </c>
      <c r="C41" s="105">
        <v>0</v>
      </c>
      <c r="D41" s="105">
        <v>1.426696826456464E-06</v>
      </c>
      <c r="E41" s="105">
        <v>45.04484939575195</v>
      </c>
      <c r="F41" s="105"/>
      <c r="G41" s="105"/>
      <c r="H41" s="105">
        <v>26.35814094543457</v>
      </c>
      <c r="I41" s="105">
        <v>0</v>
      </c>
      <c r="J41" s="105">
        <v>49.20790100097656</v>
      </c>
      <c r="K41" s="105">
        <v>0.14000000059604645</v>
      </c>
      <c r="L41" s="105">
        <v>224.8616943359375</v>
      </c>
      <c r="M41" s="105">
        <v>28.84476089477539</v>
      </c>
      <c r="N41" s="105">
        <v>0</v>
      </c>
      <c r="O41" s="105">
        <v>0.20760999619960785</v>
      </c>
      <c r="P41" s="105">
        <v>241.13720703125</v>
      </c>
      <c r="Q41" s="105">
        <v>0</v>
      </c>
      <c r="R41" s="105">
        <v>0</v>
      </c>
      <c r="S41" s="105">
        <v>0</v>
      </c>
      <c r="T41" s="105">
        <v>0</v>
      </c>
      <c r="U41" s="108">
        <v>99.62384033203125</v>
      </c>
      <c r="V41" s="125">
        <v>-0.0015805893344804645</v>
      </c>
      <c r="W41" s="126">
        <v>50</v>
      </c>
      <c r="X41" s="108">
        <v>123.87149810791016</v>
      </c>
      <c r="Y41" s="108">
        <v>31.71116065979004</v>
      </c>
      <c r="Z41" s="108">
        <v>43.256290435791016</v>
      </c>
      <c r="AA41" s="108">
        <v>50</v>
      </c>
      <c r="AB41" s="108">
        <v>123.78910064697266</v>
      </c>
      <c r="AC41" s="108">
        <v>15.634039878845215</v>
      </c>
      <c r="AD41" s="108">
        <v>19.05381965637207</v>
      </c>
      <c r="AE41" s="109"/>
      <c r="AF41" s="109">
        <v>0</v>
      </c>
      <c r="AG41" s="109"/>
      <c r="AH41" s="109">
        <v>39.0882682800293</v>
      </c>
      <c r="AI41" s="109">
        <v>29.644100189208984</v>
      </c>
      <c r="AJ41" s="109">
        <v>-0.0011400413932278752</v>
      </c>
      <c r="AK41" s="109"/>
      <c r="AL41" s="111"/>
      <c r="AM41" s="127"/>
      <c r="AN41" s="110"/>
      <c r="AO41" s="109"/>
      <c r="AP41" s="109"/>
      <c r="AQ41" s="109"/>
      <c r="AR41" s="114"/>
    </row>
    <row r="42" spans="2:44" ht="13.5" customHeight="1" x14ac:dyDescent="0.4">
      <c r="B42" s="17">
        <v>0.95833333333333337</v>
      </c>
      <c r="C42" s="105">
        <v>0.01953125</v>
      </c>
      <c r="D42" s="105">
        <v>1.876831106528698E-06</v>
      </c>
      <c r="E42" s="105">
        <v>56.10531997680664</v>
      </c>
      <c r="F42" s="105"/>
      <c r="G42" s="105"/>
      <c r="H42" s="105">
        <v>26.484739303588867</v>
      </c>
      <c r="I42" s="105">
        <v>0</v>
      </c>
      <c r="J42" s="105">
        <v>49.03609085083008</v>
      </c>
      <c r="K42" s="105">
        <v>0.14000000059604645</v>
      </c>
      <c r="L42" s="105">
        <v>225.00169372558594</v>
      </c>
      <c r="M42" s="105">
        <v>28.627750396728516</v>
      </c>
      <c r="N42" s="105">
        <v>0</v>
      </c>
      <c r="O42" s="105">
        <v>0.19784429669380188</v>
      </c>
      <c r="P42" s="105">
        <v>241.34300231933594</v>
      </c>
      <c r="Q42" s="105">
        <v>0</v>
      </c>
      <c r="R42" s="105">
        <v>0</v>
      </c>
      <c r="S42" s="105">
        <v>0</v>
      </c>
      <c r="T42" s="105">
        <v>0</v>
      </c>
      <c r="U42" s="108">
        <v>95.51505279541016</v>
      </c>
      <c r="V42" s="125">
        <v>-0.0016456908779218793</v>
      </c>
      <c r="W42" s="126">
        <v>50</v>
      </c>
      <c r="X42" s="108">
        <v>123.87149810791016</v>
      </c>
      <c r="Y42" s="108">
        <v>29.557289123535156</v>
      </c>
      <c r="Z42" s="108">
        <v>42.941619873046875</v>
      </c>
      <c r="AA42" s="108">
        <v>50</v>
      </c>
      <c r="AB42" s="108">
        <v>123.79340362548828</v>
      </c>
      <c r="AC42" s="108">
        <v>15.541810035705566</v>
      </c>
      <c r="AD42" s="108">
        <v>18.967010498046875</v>
      </c>
      <c r="AE42" s="109"/>
      <c r="AF42" s="109">
        <v>0</v>
      </c>
      <c r="AG42" s="109"/>
      <c r="AH42" s="109">
        <v>39.0882682800293</v>
      </c>
      <c r="AI42" s="109">
        <v>29.45602035522461</v>
      </c>
      <c r="AJ42" s="109">
        <v>-0.0008333396981470287</v>
      </c>
      <c r="AK42" s="109"/>
      <c r="AL42" s="111"/>
      <c r="AM42" s="127"/>
      <c r="AN42" s="110"/>
      <c r="AO42" s="109"/>
      <c r="AP42" s="109"/>
      <c r="AQ42" s="109"/>
      <c r="AR42" s="114"/>
    </row>
    <row r="43" spans="2:44" ht="13.5" customHeight="1" x14ac:dyDescent="0.4">
      <c r="B43" s="49" t="s">
        <v>272</v>
      </c>
      <c r="C43" s="105">
        <v>0</v>
      </c>
      <c r="D43" s="105">
        <v>8.926391501518083E-07</v>
      </c>
      <c r="E43" s="105">
        <v>56.293399810791016</v>
      </c>
      <c r="F43" s="105"/>
      <c r="G43" s="105"/>
      <c r="H43" s="105">
        <v>26.475690841674805</v>
      </c>
      <c r="I43" s="105">
        <v>0</v>
      </c>
      <c r="J43" s="105">
        <v>49.03609085083008</v>
      </c>
      <c r="K43" s="105">
        <v>0.14000000059604645</v>
      </c>
      <c r="L43" s="105">
        <v>225.14169311523438</v>
      </c>
      <c r="M43" s="105">
        <v>28.455949783325195</v>
      </c>
      <c r="N43" s="105">
        <v>0</v>
      </c>
      <c r="O43" s="105">
        <v>0.20543980598449707</v>
      </c>
      <c r="P43" s="105">
        <v>241.5478057861328</v>
      </c>
      <c r="Q43" s="105">
        <v>0</v>
      </c>
      <c r="R43" s="105">
        <v>0</v>
      </c>
      <c r="S43" s="105">
        <v>0</v>
      </c>
      <c r="T43" s="105">
        <v>0</v>
      </c>
      <c r="U43" s="108">
        <v>93.54744720458984</v>
      </c>
      <c r="V43" s="125">
        <v>0.0003616905305534601</v>
      </c>
      <c r="W43" s="126">
        <v>33</v>
      </c>
      <c r="X43" s="108">
        <v>82.41754150390625</v>
      </c>
      <c r="Y43" s="108">
        <v>26.638460159301758</v>
      </c>
      <c r="Z43" s="108">
        <v>41.93251037597656</v>
      </c>
      <c r="AA43" s="108">
        <v>30</v>
      </c>
      <c r="AB43" s="108">
        <v>75.42534637451172</v>
      </c>
      <c r="AC43" s="108">
        <v>15.670209884643555</v>
      </c>
      <c r="AD43" s="108">
        <v>19.401039123535156</v>
      </c>
      <c r="AE43" s="109"/>
      <c r="AF43" s="109">
        <v>0</v>
      </c>
      <c r="AG43" s="109"/>
      <c r="AH43" s="109">
        <v>39.0882682800293</v>
      </c>
      <c r="AI43" s="109">
        <v>29.318580627441406</v>
      </c>
      <c r="AJ43" s="109">
        <v>0.01709780842065811</v>
      </c>
      <c r="AK43" s="109"/>
      <c r="AL43" s="111"/>
      <c r="AM43" s="127"/>
      <c r="AN43" s="110"/>
      <c r="AO43" s="109"/>
      <c r="AP43" s="109"/>
      <c r="AQ43" s="109"/>
      <c r="AR43" s="114"/>
    </row>
    <row r="44" spans="2:44" ht="13.5" customHeight="1" x14ac:dyDescent="0.4">
      <c r="B44" s="17">
        <v>4.1666666666666664E-2</v>
      </c>
      <c r="C44" s="105">
        <v>0</v>
      </c>
      <c r="D44" s="105">
        <v>1.3504028402167023E-06</v>
      </c>
      <c r="E44" s="105">
        <v>43.04832077026367</v>
      </c>
      <c r="F44" s="105"/>
      <c r="G44" s="105"/>
      <c r="H44" s="105">
        <v>26.475690841674805</v>
      </c>
      <c r="I44" s="105">
        <v>0</v>
      </c>
      <c r="J44" s="105">
        <v>49.20790100097656</v>
      </c>
      <c r="K44" s="105">
        <v>0.14000000059604645</v>
      </c>
      <c r="L44" s="105">
        <v>225.2816925048828</v>
      </c>
      <c r="M44" s="105">
        <v>28.347440719604492</v>
      </c>
      <c r="N44" s="105">
        <v>0</v>
      </c>
      <c r="O44" s="105">
        <v>0.20088249444961548</v>
      </c>
      <c r="P44" s="105">
        <v>241.75289916992188</v>
      </c>
      <c r="Q44" s="105">
        <v>0</v>
      </c>
      <c r="R44" s="105">
        <v>0</v>
      </c>
      <c r="S44" s="105">
        <v>0</v>
      </c>
      <c r="T44" s="105">
        <v>0</v>
      </c>
      <c r="U44" s="108">
        <v>99.97828674316406</v>
      </c>
      <c r="V44" s="125">
        <v>-0.00019169044389855117</v>
      </c>
      <c r="W44" s="126">
        <v>35</v>
      </c>
      <c r="X44" s="108">
        <v>87.13976287841797</v>
      </c>
      <c r="Y44" s="108">
        <v>25.179040908813477</v>
      </c>
      <c r="Z44" s="108">
        <v>42.057289123535156</v>
      </c>
      <c r="AA44" s="108">
        <v>35</v>
      </c>
      <c r="AB44" s="108">
        <v>88.83680725097656</v>
      </c>
      <c r="AC44" s="108">
        <v>15.351920127868652</v>
      </c>
      <c r="AD44" s="108">
        <v>19.211149215698242</v>
      </c>
      <c r="AE44" s="109"/>
      <c r="AF44" s="109">
        <v>0</v>
      </c>
      <c r="AG44" s="109"/>
      <c r="AH44" s="109">
        <v>39.0882682800293</v>
      </c>
      <c r="AI44" s="109">
        <v>29.206449508666992</v>
      </c>
      <c r="AJ44" s="109">
        <v>-0.006452548783272505</v>
      </c>
      <c r="AK44" s="109"/>
      <c r="AL44" s="111"/>
      <c r="AM44" s="127"/>
      <c r="AN44" s="110"/>
      <c r="AO44" s="109"/>
      <c r="AP44" s="109"/>
      <c r="AQ44" s="109"/>
      <c r="AR44" s="114"/>
    </row>
    <row r="45" spans="2:44" ht="13.5" customHeight="1" x14ac:dyDescent="0.4">
      <c r="B45" s="49" t="s">
        <v>273</v>
      </c>
      <c r="C45" s="105">
        <v>0</v>
      </c>
      <c r="D45" s="105">
        <v>2.1820069378009066E-06</v>
      </c>
      <c r="E45" s="105">
        <v>53.53009033203125</v>
      </c>
      <c r="F45" s="105"/>
      <c r="G45" s="105"/>
      <c r="H45" s="105">
        <v>26.475690841674805</v>
      </c>
      <c r="I45" s="105">
        <v>0</v>
      </c>
      <c r="J45" s="105">
        <v>49.20790100097656</v>
      </c>
      <c r="K45" s="105">
        <v>0.14000000059604645</v>
      </c>
      <c r="L45" s="105">
        <v>225.4217071533203</v>
      </c>
      <c r="M45" s="105">
        <v>28.058090209960938</v>
      </c>
      <c r="N45" s="105">
        <v>0</v>
      </c>
      <c r="O45" s="105">
        <v>0.20384840667247772</v>
      </c>
      <c r="P45" s="105">
        <v>241.95899963378906</v>
      </c>
      <c r="Q45" s="105">
        <v>0</v>
      </c>
      <c r="R45" s="105">
        <v>0</v>
      </c>
      <c r="S45" s="105">
        <v>0</v>
      </c>
      <c r="T45" s="105">
        <v>0</v>
      </c>
      <c r="U45" s="108">
        <v>96.00332641601562</v>
      </c>
      <c r="V45" s="125">
        <v>-0.0007703991141170263</v>
      </c>
      <c r="W45" s="126">
        <v>35</v>
      </c>
      <c r="X45" s="108">
        <v>85.43402862548828</v>
      </c>
      <c r="Y45" s="108">
        <v>24.424909591674805</v>
      </c>
      <c r="Z45" s="108">
        <v>42.854820251464844</v>
      </c>
      <c r="AA45" s="108">
        <v>50</v>
      </c>
      <c r="AB45" s="108">
        <v>123.79779815673828</v>
      </c>
      <c r="AC45" s="108">
        <v>15.221719741821289</v>
      </c>
      <c r="AD45" s="108">
        <v>19.276260375976562</v>
      </c>
      <c r="AE45" s="109"/>
      <c r="AF45" s="109">
        <v>0</v>
      </c>
      <c r="AG45" s="109"/>
      <c r="AH45" s="109">
        <v>39.0882682800293</v>
      </c>
      <c r="AI45" s="109">
        <v>29.11964988708496</v>
      </c>
      <c r="AJ45" s="109">
        <v>-0.004508110228925943</v>
      </c>
      <c r="AK45" s="109"/>
      <c r="AL45" s="111"/>
      <c r="AM45" s="127"/>
      <c r="AN45" s="110"/>
      <c r="AO45" s="109"/>
      <c r="AP45" s="109"/>
      <c r="AQ45" s="109"/>
      <c r="AR45" s="114"/>
    </row>
    <row r="46" spans="2:44" ht="13.5" customHeight="1" x14ac:dyDescent="0.4">
      <c r="B46" s="17">
        <v>0.125</v>
      </c>
      <c r="C46" s="105">
        <v>0</v>
      </c>
      <c r="D46" s="105">
        <v>1.0223388926533516E-06</v>
      </c>
      <c r="E46" s="105">
        <v>55.099830627441406</v>
      </c>
      <c r="F46" s="105"/>
      <c r="G46" s="105"/>
      <c r="H46" s="105">
        <v>26.312929153442383</v>
      </c>
      <c r="I46" s="105">
        <v>0</v>
      </c>
      <c r="J46" s="105">
        <v>48.90950012207031</v>
      </c>
      <c r="K46" s="105">
        <v>0.14000000059604645</v>
      </c>
      <c r="L46" s="105">
        <v>225.56170654296875</v>
      </c>
      <c r="M46" s="105">
        <v>27.560760498046875</v>
      </c>
      <c r="N46" s="105">
        <v>0</v>
      </c>
      <c r="O46" s="105">
        <v>0.19943580031394958</v>
      </c>
      <c r="P46" s="105">
        <v>242.1656036376953</v>
      </c>
      <c r="Q46" s="105">
        <v>0</v>
      </c>
      <c r="R46" s="105">
        <v>0</v>
      </c>
      <c r="S46" s="105">
        <v>0</v>
      </c>
      <c r="T46" s="105">
        <v>0</v>
      </c>
      <c r="U46" s="108">
        <v>94.80975341796875</v>
      </c>
      <c r="V46" s="125">
        <v>0.0003942394396290183</v>
      </c>
      <c r="W46" s="126">
        <v>35</v>
      </c>
      <c r="X46" s="108">
        <v>87.26997375488281</v>
      </c>
      <c r="Y46" s="108">
        <v>24.04513931274414</v>
      </c>
      <c r="Z46" s="108">
        <v>42.20920181274414</v>
      </c>
      <c r="AA46" s="108">
        <v>28</v>
      </c>
      <c r="AB46" s="108">
        <v>70.01302337646484</v>
      </c>
      <c r="AC46" s="108">
        <v>15.067999839782715</v>
      </c>
      <c r="AD46" s="108">
        <v>19.281679153442383</v>
      </c>
      <c r="AE46" s="109"/>
      <c r="AF46" s="109">
        <v>0</v>
      </c>
      <c r="AG46" s="109"/>
      <c r="AH46" s="109">
        <v>39.0882682800293</v>
      </c>
      <c r="AI46" s="109">
        <v>29.025609970092773</v>
      </c>
      <c r="AJ46" s="109">
        <v>-0.0028298606630414724</v>
      </c>
      <c r="AK46" s="109"/>
      <c r="AL46" s="111"/>
      <c r="AM46" s="127"/>
      <c r="AN46" s="110"/>
      <c r="AO46" s="109"/>
      <c r="AP46" s="109"/>
      <c r="AQ46" s="109"/>
      <c r="AR46" s="114"/>
    </row>
    <row r="47" spans="2:44" ht="13.5" customHeight="1" x14ac:dyDescent="0.4">
      <c r="B47" s="17">
        <v>0.16666666666666666</v>
      </c>
      <c r="C47" s="105">
        <v>0</v>
      </c>
      <c r="D47" s="105">
        <v>8.392333938900265E-08</v>
      </c>
      <c r="E47" s="105">
        <v>42.03559112548828</v>
      </c>
      <c r="F47" s="105"/>
      <c r="G47" s="105"/>
      <c r="H47" s="105">
        <v>26.08687973022461</v>
      </c>
      <c r="I47" s="105">
        <v>0</v>
      </c>
      <c r="J47" s="105">
        <v>49.03609085083008</v>
      </c>
      <c r="K47" s="105">
        <v>0.14000000059604645</v>
      </c>
      <c r="L47" s="105">
        <v>225.7017059326172</v>
      </c>
      <c r="M47" s="105">
        <v>27.28045082092285</v>
      </c>
      <c r="N47" s="105">
        <v>0</v>
      </c>
      <c r="O47" s="105">
        <v>0.19111689925193787</v>
      </c>
      <c r="P47" s="105">
        <v>242.3625030517578</v>
      </c>
      <c r="Q47" s="105">
        <v>0</v>
      </c>
      <c r="R47" s="105">
        <v>0</v>
      </c>
      <c r="S47" s="105">
        <v>0</v>
      </c>
      <c r="T47" s="105">
        <v>0</v>
      </c>
      <c r="U47" s="108">
        <v>97.42115020751953</v>
      </c>
      <c r="V47" s="125">
        <v>-0.0001338310248684138</v>
      </c>
      <c r="W47" s="126">
        <v>35</v>
      </c>
      <c r="X47" s="108">
        <v>86.91840362548828</v>
      </c>
      <c r="Y47" s="108">
        <v>24.007160186767578</v>
      </c>
      <c r="Z47" s="108">
        <v>41.23807144165039</v>
      </c>
      <c r="AA47" s="108">
        <v>35</v>
      </c>
      <c r="AB47" s="108">
        <v>88.43316650390625</v>
      </c>
      <c r="AC47" s="108">
        <v>15.17831039428711</v>
      </c>
      <c r="AD47" s="108">
        <v>19.373920440673828</v>
      </c>
      <c r="AE47" s="109"/>
      <c r="AF47" s="109">
        <v>0</v>
      </c>
      <c r="AG47" s="109"/>
      <c r="AH47" s="109">
        <v>39.0882682800293</v>
      </c>
      <c r="AI47" s="109">
        <v>28.99666976928711</v>
      </c>
      <c r="AJ47" s="109">
        <v>-0.001918399822898209</v>
      </c>
      <c r="AK47" s="109"/>
      <c r="AL47" s="111"/>
      <c r="AM47" s="127"/>
      <c r="AN47" s="110"/>
      <c r="AO47" s="109"/>
      <c r="AP47" s="109"/>
      <c r="AQ47" s="109"/>
      <c r="AR47" s="114"/>
    </row>
    <row r="48" spans="2:44" ht="13.5" customHeight="1" x14ac:dyDescent="0.4">
      <c r="B48" s="17">
        <v>0.20833333333333334</v>
      </c>
      <c r="C48" s="105">
        <v>0</v>
      </c>
      <c r="D48" s="105">
        <v>8.621215670245874E-07</v>
      </c>
      <c r="E48" s="105">
        <v>51.65653991699219</v>
      </c>
      <c r="F48" s="105"/>
      <c r="G48" s="105"/>
      <c r="H48" s="105">
        <v>25.815610885620117</v>
      </c>
      <c r="I48" s="105">
        <v>0</v>
      </c>
      <c r="J48" s="105">
        <v>48.96376037597656</v>
      </c>
      <c r="K48" s="105">
        <v>0.14000000059604645</v>
      </c>
      <c r="L48" s="105">
        <v>225.84170532226562</v>
      </c>
      <c r="M48" s="105">
        <v>27.054399490356445</v>
      </c>
      <c r="N48" s="105">
        <v>0</v>
      </c>
      <c r="O48" s="105">
        <v>0.19950810074806213</v>
      </c>
      <c r="P48" s="105">
        <v>242.55960083007812</v>
      </c>
      <c r="Q48" s="105">
        <v>0</v>
      </c>
      <c r="R48" s="105">
        <v>0</v>
      </c>
      <c r="S48" s="105">
        <v>0</v>
      </c>
      <c r="T48" s="105">
        <v>0</v>
      </c>
      <c r="U48" s="108">
        <v>99.9819107055664</v>
      </c>
      <c r="V48" s="125">
        <v>-0.0007848587119951844</v>
      </c>
      <c r="W48" s="126">
        <v>35</v>
      </c>
      <c r="X48" s="108">
        <v>86.30642700195312</v>
      </c>
      <c r="Y48" s="108">
        <v>24.38150978088379</v>
      </c>
      <c r="Z48" s="108">
        <v>40.50564956665039</v>
      </c>
      <c r="AA48" s="108">
        <v>35</v>
      </c>
      <c r="AB48" s="108">
        <v>87.62586975097656</v>
      </c>
      <c r="AC48" s="108">
        <v>14.84375</v>
      </c>
      <c r="AD48" s="108">
        <v>18.961589813232422</v>
      </c>
      <c r="AE48" s="109"/>
      <c r="AF48" s="109">
        <v>0</v>
      </c>
      <c r="AG48" s="109"/>
      <c r="AH48" s="109">
        <v>39.0882682800293</v>
      </c>
      <c r="AI48" s="109">
        <v>28.942419052124023</v>
      </c>
      <c r="AJ48" s="109">
        <v>-0.0015509299701079726</v>
      </c>
      <c r="AK48" s="109"/>
      <c r="AL48" s="111"/>
      <c r="AM48" s="127"/>
      <c r="AN48" s="110"/>
      <c r="AO48" s="109"/>
      <c r="AP48" s="109"/>
      <c r="AQ48" s="109"/>
      <c r="AR48" s="114"/>
    </row>
    <row r="49" spans="2:44" ht="13.5" customHeight="1" x14ac:dyDescent="0.4">
      <c r="B49" s="17">
        <v>0.25</v>
      </c>
      <c r="C49" s="105">
        <v>0</v>
      </c>
      <c r="D49" s="105">
        <v>0</v>
      </c>
      <c r="E49" s="105">
        <v>40.3211784362793</v>
      </c>
      <c r="F49" s="105"/>
      <c r="G49" s="105"/>
      <c r="H49" s="105">
        <v>25.580509185791016</v>
      </c>
      <c r="I49" s="105">
        <v>0</v>
      </c>
      <c r="J49" s="105">
        <v>48.74674987792969</v>
      </c>
      <c r="K49" s="105">
        <v>0.14000000059604645</v>
      </c>
      <c r="L49" s="105">
        <v>225.98179626464844</v>
      </c>
      <c r="M49" s="105">
        <v>26.656539916992188</v>
      </c>
      <c r="N49" s="105">
        <v>0</v>
      </c>
      <c r="O49" s="105">
        <v>0.15697340667247772</v>
      </c>
      <c r="P49" s="105">
        <v>242.74859619140625</v>
      </c>
      <c r="Q49" s="105">
        <v>0</v>
      </c>
      <c r="R49" s="105">
        <v>0</v>
      </c>
      <c r="S49" s="105">
        <v>0</v>
      </c>
      <c r="T49" s="105">
        <v>0</v>
      </c>
      <c r="U49" s="108">
        <v>95.89482116699219</v>
      </c>
      <c r="V49" s="125">
        <v>0.0009910297812893987</v>
      </c>
      <c r="W49" s="126">
        <v>35</v>
      </c>
      <c r="X49" s="108">
        <v>87.04427337646484</v>
      </c>
      <c r="Y49" s="108">
        <v>45.410160064697266</v>
      </c>
      <c r="Z49" s="108">
        <v>39.13302993774414</v>
      </c>
      <c r="AA49" s="108">
        <v>25</v>
      </c>
      <c r="AB49" s="108">
        <v>61.5625</v>
      </c>
      <c r="AC49" s="108">
        <v>15.237990379333496</v>
      </c>
      <c r="AD49" s="108">
        <v>19.628910064697266</v>
      </c>
      <c r="AE49" s="109"/>
      <c r="AF49" s="109">
        <v>0</v>
      </c>
      <c r="AG49" s="109"/>
      <c r="AH49" s="109">
        <v>39.0882682800293</v>
      </c>
      <c r="AI49" s="109">
        <v>28.913480758666992</v>
      </c>
      <c r="AJ49" s="109">
        <v>0.016377318650484085</v>
      </c>
      <c r="AK49" s="109"/>
      <c r="AL49" s="111"/>
      <c r="AM49" s="127"/>
      <c r="AN49" s="110"/>
      <c r="AO49" s="109"/>
      <c r="AP49" s="109"/>
      <c r="AQ49" s="109"/>
      <c r="AR49" s="114"/>
    </row>
    <row r="50" spans="2:44" ht="13.5" customHeight="1" x14ac:dyDescent="0.4">
      <c r="B50" s="17">
        <v>0.29166666666666669</v>
      </c>
      <c r="C50" s="105">
        <v>0</v>
      </c>
      <c r="D50" s="105">
        <v>3.280639759850601E-07</v>
      </c>
      <c r="E50" s="105">
        <v>51.171878814697266</v>
      </c>
      <c r="F50" s="105"/>
      <c r="G50" s="105"/>
      <c r="H50" s="105">
        <v>25.291160583496094</v>
      </c>
      <c r="I50" s="105">
        <v>0</v>
      </c>
      <c r="J50" s="105">
        <v>48.85525131225586</v>
      </c>
      <c r="K50" s="105">
        <v>0.14000000059604645</v>
      </c>
      <c r="L50" s="105">
        <v>226.1217041015625</v>
      </c>
      <c r="M50" s="105">
        <v>26.4937801361084</v>
      </c>
      <c r="N50" s="105">
        <v>0</v>
      </c>
      <c r="O50" s="105">
        <v>0.1280381977558136</v>
      </c>
      <c r="P50" s="105">
        <v>242.88999938964844</v>
      </c>
      <c r="Q50" s="105">
        <v>0</v>
      </c>
      <c r="R50" s="105">
        <v>0</v>
      </c>
      <c r="S50" s="105">
        <v>0</v>
      </c>
      <c r="T50" s="105">
        <v>0</v>
      </c>
      <c r="U50" s="108">
        <v>99.98552703857422</v>
      </c>
      <c r="V50" s="125">
        <v>-0.0007306098705157638</v>
      </c>
      <c r="W50" s="126">
        <v>35</v>
      </c>
      <c r="X50" s="108">
        <v>85.2951431274414</v>
      </c>
      <c r="Y50" s="108">
        <v>16.975910186767578</v>
      </c>
      <c r="Z50" s="108">
        <v>20.030380249023438</v>
      </c>
      <c r="AA50" s="108">
        <v>50</v>
      </c>
      <c r="AB50" s="108">
        <v>123.79340362548828</v>
      </c>
      <c r="AC50" s="108">
        <v>14.17101001739502</v>
      </c>
      <c r="AD50" s="108">
        <v>97.12999725341797</v>
      </c>
      <c r="AE50" s="109"/>
      <c r="AF50" s="109">
        <v>0</v>
      </c>
      <c r="AG50" s="109"/>
      <c r="AH50" s="109">
        <v>39.0882682800293</v>
      </c>
      <c r="AI50" s="109">
        <v>28.859230041503906</v>
      </c>
      <c r="AJ50" s="109">
        <v>-0.005992477294057608</v>
      </c>
      <c r="AK50" s="109"/>
      <c r="AL50" s="111"/>
      <c r="AM50" s="127"/>
      <c r="AN50" s="110"/>
      <c r="AO50" s="109"/>
      <c r="AP50" s="109"/>
      <c r="AQ50" s="109"/>
      <c r="AR50" s="114"/>
    </row>
    <row r="51" spans="2:44" ht="13.5" customHeight="1" x14ac:dyDescent="0.4">
      <c r="B51" s="50">
        <v>0.33333333333333331</v>
      </c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8"/>
      <c r="V51" s="128"/>
      <c r="W51" s="129"/>
      <c r="X51" s="118"/>
      <c r="Y51" s="118"/>
      <c r="Z51" s="118"/>
      <c r="AA51" s="118"/>
      <c r="AB51" s="118"/>
      <c r="AC51" s="118"/>
      <c r="AD51" s="118"/>
      <c r="AE51" s="119"/>
      <c r="AF51" s="119"/>
      <c r="AG51" s="119"/>
      <c r="AH51" s="119"/>
      <c r="AI51" s="119"/>
      <c r="AJ51" s="119"/>
      <c r="AK51" s="119"/>
      <c r="AL51" s="121"/>
      <c r="AM51" s="130"/>
      <c r="AN51" s="120"/>
      <c r="AO51" s="119"/>
      <c r="AP51" s="119"/>
      <c r="AQ51" s="119"/>
      <c r="AR51" s="124"/>
    </row>
    <row r="52" spans="2:44" ht="13.5" customHeight="1" x14ac:dyDescent="0.4">
      <c r="B52" s="173" t="s">
        <v>463</v>
      </c>
      <c r="C52" s="174"/>
      <c r="D52" s="10" t="s">
        <v>274</v>
      </c>
      <c r="E52" s="150" t="s">
        <v>20</v>
      </c>
      <c r="F52" s="153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4"/>
      <c r="AJ52" s="154"/>
      <c r="AK52" s="154"/>
      <c r="AL52" s="154"/>
      <c r="AM52" s="154"/>
      <c r="AN52" s="154"/>
      <c r="AO52" s="155"/>
      <c r="AP52" s="155"/>
      <c r="AQ52" s="155"/>
      <c r="AR52" s="156"/>
    </row>
    <row r="53" spans="2:44" ht="13.5" customHeight="1" x14ac:dyDescent="0.4">
      <c r="B53" s="149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7"/>
      <c r="AP53" s="157"/>
      <c r="AQ53" s="157"/>
      <c r="AR53" s="158"/>
    </row>
    <row r="54" spans="2:44" ht="13.5" customHeight="1" thickBot="1" x14ac:dyDescent="0.45">
      <c r="B54" s="161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  <c r="AK54" s="152"/>
      <c r="AL54" s="152"/>
      <c r="AM54" s="152"/>
      <c r="AN54" s="152"/>
      <c r="AO54" s="159"/>
      <c r="AP54" s="159"/>
      <c r="AQ54" s="159"/>
      <c r="AR54" s="160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7.8" x14ac:dyDescent="0.4"/>
  <cols>
    <col min="1" max="1" width="0.83984375" style="7" customWidth="1"/>
    <col min="2" max="58" width="3.578125" style="7" customWidth="1"/>
    <col min="59" max="293" width="9" style="7"/>
    <col min="294" max="294" width="2.1015625" style="7" customWidth="1"/>
    <col min="295" max="295" width="5.83984375" style="7" customWidth="1"/>
    <col min="296" max="296" width="6.83984375" style="7" customWidth="1"/>
    <col min="297" max="297" width="6.1015625" style="7" customWidth="1"/>
    <col min="298" max="298" width="6.83984375" style="7" customWidth="1"/>
    <col min="299" max="299" width="10.83984375" style="7" customWidth="1"/>
    <col min="300" max="300" width="11.578125" style="7" customWidth="1"/>
    <col min="301" max="301" width="5.578125" style="7" customWidth="1"/>
    <col min="302" max="302" width="6" style="7" customWidth="1"/>
    <col min="303" max="303" width="6.578125" style="7" customWidth="1"/>
    <col min="304" max="304" width="11.1015625" style="7" customWidth="1"/>
    <col min="305" max="305" width="7.1015625" style="7" customWidth="1"/>
    <col min="306" max="307" width="5.83984375" style="7" customWidth="1"/>
    <col min="308" max="308" width="6" style="7" customWidth="1"/>
    <col min="309" max="309" width="6.83984375" style="7" customWidth="1"/>
    <col min="310" max="310" width="6" style="7" customWidth="1"/>
    <col min="311" max="311" width="18.1015625" style="7" customWidth="1"/>
    <col min="312" max="549" width="9" style="7"/>
    <col min="550" max="550" width="2.1015625" style="7" customWidth="1"/>
    <col min="551" max="551" width="5.83984375" style="7" customWidth="1"/>
    <col min="552" max="552" width="6.83984375" style="7" customWidth="1"/>
    <col min="553" max="553" width="6.1015625" style="7" customWidth="1"/>
    <col min="554" max="554" width="6.83984375" style="7" customWidth="1"/>
    <col min="555" max="555" width="10.83984375" style="7" customWidth="1"/>
    <col min="556" max="556" width="11.578125" style="7" customWidth="1"/>
    <col min="557" max="557" width="5.578125" style="7" customWidth="1"/>
    <col min="558" max="558" width="6" style="7" customWidth="1"/>
    <col min="559" max="559" width="6.578125" style="7" customWidth="1"/>
    <col min="560" max="560" width="11.1015625" style="7" customWidth="1"/>
    <col min="561" max="561" width="7.1015625" style="7" customWidth="1"/>
    <col min="562" max="563" width="5.83984375" style="7" customWidth="1"/>
    <col min="564" max="564" width="6" style="7" customWidth="1"/>
    <col min="565" max="565" width="6.83984375" style="7" customWidth="1"/>
    <col min="566" max="566" width="6" style="7" customWidth="1"/>
    <col min="567" max="567" width="18.1015625" style="7" customWidth="1"/>
    <col min="568" max="805" width="9" style="7"/>
    <col min="806" max="806" width="2.1015625" style="7" customWidth="1"/>
    <col min="807" max="807" width="5.83984375" style="7" customWidth="1"/>
    <col min="808" max="808" width="6.83984375" style="7" customWidth="1"/>
    <col min="809" max="809" width="6.1015625" style="7" customWidth="1"/>
    <col min="810" max="810" width="6.83984375" style="7" customWidth="1"/>
    <col min="811" max="811" width="10.83984375" style="7" customWidth="1"/>
    <col min="812" max="812" width="11.578125" style="7" customWidth="1"/>
    <col min="813" max="813" width="5.578125" style="7" customWidth="1"/>
    <col min="814" max="814" width="6" style="7" customWidth="1"/>
    <col min="815" max="815" width="6.578125" style="7" customWidth="1"/>
    <col min="816" max="816" width="11.1015625" style="7" customWidth="1"/>
    <col min="817" max="817" width="7.1015625" style="7" customWidth="1"/>
    <col min="818" max="819" width="5.83984375" style="7" customWidth="1"/>
    <col min="820" max="820" width="6" style="7" customWidth="1"/>
    <col min="821" max="821" width="6.83984375" style="7" customWidth="1"/>
    <col min="822" max="822" width="6" style="7" customWidth="1"/>
    <col min="823" max="823" width="18.1015625" style="7" customWidth="1"/>
    <col min="824" max="1061" width="9" style="7"/>
    <col min="1062" max="1062" width="2.1015625" style="7" customWidth="1"/>
    <col min="1063" max="1063" width="5.83984375" style="7" customWidth="1"/>
    <col min="1064" max="1064" width="6.83984375" style="7" customWidth="1"/>
    <col min="1065" max="1065" width="6.1015625" style="7" customWidth="1"/>
    <col min="1066" max="1066" width="6.83984375" style="7" customWidth="1"/>
    <col min="1067" max="1067" width="10.83984375" style="7" customWidth="1"/>
    <col min="1068" max="1068" width="11.578125" style="7" customWidth="1"/>
    <col min="1069" max="1069" width="5.578125" style="7" customWidth="1"/>
    <col min="1070" max="1070" width="6" style="7" customWidth="1"/>
    <col min="1071" max="1071" width="6.578125" style="7" customWidth="1"/>
    <col min="1072" max="1072" width="11.1015625" style="7" customWidth="1"/>
    <col min="1073" max="1073" width="7.1015625" style="7" customWidth="1"/>
    <col min="1074" max="1075" width="5.83984375" style="7" customWidth="1"/>
    <col min="1076" max="1076" width="6" style="7" customWidth="1"/>
    <col min="1077" max="1077" width="6.83984375" style="7" customWidth="1"/>
    <col min="1078" max="1078" width="6" style="7" customWidth="1"/>
    <col min="1079" max="1079" width="18.1015625" style="7" customWidth="1"/>
    <col min="1080" max="1317" width="9" style="7"/>
    <col min="1318" max="1318" width="2.1015625" style="7" customWidth="1"/>
    <col min="1319" max="1319" width="5.83984375" style="7" customWidth="1"/>
    <col min="1320" max="1320" width="6.83984375" style="7" customWidth="1"/>
    <col min="1321" max="1321" width="6.1015625" style="7" customWidth="1"/>
    <col min="1322" max="1322" width="6.83984375" style="7" customWidth="1"/>
    <col min="1323" max="1323" width="10.83984375" style="7" customWidth="1"/>
    <col min="1324" max="1324" width="11.578125" style="7" customWidth="1"/>
    <col min="1325" max="1325" width="5.578125" style="7" customWidth="1"/>
    <col min="1326" max="1326" width="6" style="7" customWidth="1"/>
    <col min="1327" max="1327" width="6.578125" style="7" customWidth="1"/>
    <col min="1328" max="1328" width="11.1015625" style="7" customWidth="1"/>
    <col min="1329" max="1329" width="7.1015625" style="7" customWidth="1"/>
    <col min="1330" max="1331" width="5.83984375" style="7" customWidth="1"/>
    <col min="1332" max="1332" width="6" style="7" customWidth="1"/>
    <col min="1333" max="1333" width="6.83984375" style="7" customWidth="1"/>
    <col min="1334" max="1334" width="6" style="7" customWidth="1"/>
    <col min="1335" max="1335" width="18.1015625" style="7" customWidth="1"/>
    <col min="1336" max="1573" width="9" style="7"/>
    <col min="1574" max="1574" width="2.1015625" style="7" customWidth="1"/>
    <col min="1575" max="1575" width="5.83984375" style="7" customWidth="1"/>
    <col min="1576" max="1576" width="6.83984375" style="7" customWidth="1"/>
    <col min="1577" max="1577" width="6.1015625" style="7" customWidth="1"/>
    <col min="1578" max="1578" width="6.83984375" style="7" customWidth="1"/>
    <col min="1579" max="1579" width="10.83984375" style="7" customWidth="1"/>
    <col min="1580" max="1580" width="11.578125" style="7" customWidth="1"/>
    <col min="1581" max="1581" width="5.578125" style="7" customWidth="1"/>
    <col min="1582" max="1582" width="6" style="7" customWidth="1"/>
    <col min="1583" max="1583" width="6.578125" style="7" customWidth="1"/>
    <col min="1584" max="1584" width="11.1015625" style="7" customWidth="1"/>
    <col min="1585" max="1585" width="7.1015625" style="7" customWidth="1"/>
    <col min="1586" max="1587" width="5.83984375" style="7" customWidth="1"/>
    <col min="1588" max="1588" width="6" style="7" customWidth="1"/>
    <col min="1589" max="1589" width="6.83984375" style="7" customWidth="1"/>
    <col min="1590" max="1590" width="6" style="7" customWidth="1"/>
    <col min="1591" max="1591" width="18.1015625" style="7" customWidth="1"/>
    <col min="1592" max="1829" width="9" style="7"/>
    <col min="1830" max="1830" width="2.1015625" style="7" customWidth="1"/>
    <col min="1831" max="1831" width="5.83984375" style="7" customWidth="1"/>
    <col min="1832" max="1832" width="6.83984375" style="7" customWidth="1"/>
    <col min="1833" max="1833" width="6.1015625" style="7" customWidth="1"/>
    <col min="1834" max="1834" width="6.83984375" style="7" customWidth="1"/>
    <col min="1835" max="1835" width="10.83984375" style="7" customWidth="1"/>
    <col min="1836" max="1836" width="11.578125" style="7" customWidth="1"/>
    <col min="1837" max="1837" width="5.578125" style="7" customWidth="1"/>
    <col min="1838" max="1838" width="6" style="7" customWidth="1"/>
    <col min="1839" max="1839" width="6.578125" style="7" customWidth="1"/>
    <col min="1840" max="1840" width="11.1015625" style="7" customWidth="1"/>
    <col min="1841" max="1841" width="7.1015625" style="7" customWidth="1"/>
    <col min="1842" max="1843" width="5.83984375" style="7" customWidth="1"/>
    <col min="1844" max="1844" width="6" style="7" customWidth="1"/>
    <col min="1845" max="1845" width="6.83984375" style="7" customWidth="1"/>
    <col min="1846" max="1846" width="6" style="7" customWidth="1"/>
    <col min="1847" max="1847" width="18.1015625" style="7" customWidth="1"/>
    <col min="1848" max="2085" width="9" style="7"/>
    <col min="2086" max="2086" width="2.1015625" style="7" customWidth="1"/>
    <col min="2087" max="2087" width="5.83984375" style="7" customWidth="1"/>
    <col min="2088" max="2088" width="6.83984375" style="7" customWidth="1"/>
    <col min="2089" max="2089" width="6.1015625" style="7" customWidth="1"/>
    <col min="2090" max="2090" width="6.83984375" style="7" customWidth="1"/>
    <col min="2091" max="2091" width="10.83984375" style="7" customWidth="1"/>
    <col min="2092" max="2092" width="11.578125" style="7" customWidth="1"/>
    <col min="2093" max="2093" width="5.578125" style="7" customWidth="1"/>
    <col min="2094" max="2094" width="6" style="7" customWidth="1"/>
    <col min="2095" max="2095" width="6.578125" style="7" customWidth="1"/>
    <col min="2096" max="2096" width="11.1015625" style="7" customWidth="1"/>
    <col min="2097" max="2097" width="7.1015625" style="7" customWidth="1"/>
    <col min="2098" max="2099" width="5.83984375" style="7" customWidth="1"/>
    <col min="2100" max="2100" width="6" style="7" customWidth="1"/>
    <col min="2101" max="2101" width="6.83984375" style="7" customWidth="1"/>
    <col min="2102" max="2102" width="6" style="7" customWidth="1"/>
    <col min="2103" max="2103" width="18.1015625" style="7" customWidth="1"/>
    <col min="2104" max="2341" width="9" style="7"/>
    <col min="2342" max="2342" width="2.1015625" style="7" customWidth="1"/>
    <col min="2343" max="2343" width="5.83984375" style="7" customWidth="1"/>
    <col min="2344" max="2344" width="6.83984375" style="7" customWidth="1"/>
    <col min="2345" max="2345" width="6.1015625" style="7" customWidth="1"/>
    <col min="2346" max="2346" width="6.83984375" style="7" customWidth="1"/>
    <col min="2347" max="2347" width="10.83984375" style="7" customWidth="1"/>
    <col min="2348" max="2348" width="11.578125" style="7" customWidth="1"/>
    <col min="2349" max="2349" width="5.578125" style="7" customWidth="1"/>
    <col min="2350" max="2350" width="6" style="7" customWidth="1"/>
    <col min="2351" max="2351" width="6.578125" style="7" customWidth="1"/>
    <col min="2352" max="2352" width="11.1015625" style="7" customWidth="1"/>
    <col min="2353" max="2353" width="7.1015625" style="7" customWidth="1"/>
    <col min="2354" max="2355" width="5.83984375" style="7" customWidth="1"/>
    <col min="2356" max="2356" width="6" style="7" customWidth="1"/>
    <col min="2357" max="2357" width="6.83984375" style="7" customWidth="1"/>
    <col min="2358" max="2358" width="6" style="7" customWidth="1"/>
    <col min="2359" max="2359" width="18.1015625" style="7" customWidth="1"/>
    <col min="2360" max="2597" width="9" style="7"/>
    <col min="2598" max="2598" width="2.1015625" style="7" customWidth="1"/>
    <col min="2599" max="2599" width="5.83984375" style="7" customWidth="1"/>
    <col min="2600" max="2600" width="6.83984375" style="7" customWidth="1"/>
    <col min="2601" max="2601" width="6.1015625" style="7" customWidth="1"/>
    <col min="2602" max="2602" width="6.83984375" style="7" customWidth="1"/>
    <col min="2603" max="2603" width="10.83984375" style="7" customWidth="1"/>
    <col min="2604" max="2604" width="11.578125" style="7" customWidth="1"/>
    <col min="2605" max="2605" width="5.578125" style="7" customWidth="1"/>
    <col min="2606" max="2606" width="6" style="7" customWidth="1"/>
    <col min="2607" max="2607" width="6.578125" style="7" customWidth="1"/>
    <col min="2608" max="2608" width="11.1015625" style="7" customWidth="1"/>
    <col min="2609" max="2609" width="7.1015625" style="7" customWidth="1"/>
    <col min="2610" max="2611" width="5.83984375" style="7" customWidth="1"/>
    <col min="2612" max="2612" width="6" style="7" customWidth="1"/>
    <col min="2613" max="2613" width="6.83984375" style="7" customWidth="1"/>
    <col min="2614" max="2614" width="6" style="7" customWidth="1"/>
    <col min="2615" max="2615" width="18.1015625" style="7" customWidth="1"/>
    <col min="2616" max="2853" width="9" style="7"/>
    <col min="2854" max="2854" width="2.1015625" style="7" customWidth="1"/>
    <col min="2855" max="2855" width="5.83984375" style="7" customWidth="1"/>
    <col min="2856" max="2856" width="6.83984375" style="7" customWidth="1"/>
    <col min="2857" max="2857" width="6.1015625" style="7" customWidth="1"/>
    <col min="2858" max="2858" width="6.83984375" style="7" customWidth="1"/>
    <col min="2859" max="2859" width="10.83984375" style="7" customWidth="1"/>
    <col min="2860" max="2860" width="11.578125" style="7" customWidth="1"/>
    <col min="2861" max="2861" width="5.578125" style="7" customWidth="1"/>
    <col min="2862" max="2862" width="6" style="7" customWidth="1"/>
    <col min="2863" max="2863" width="6.578125" style="7" customWidth="1"/>
    <col min="2864" max="2864" width="11.1015625" style="7" customWidth="1"/>
    <col min="2865" max="2865" width="7.1015625" style="7" customWidth="1"/>
    <col min="2866" max="2867" width="5.83984375" style="7" customWidth="1"/>
    <col min="2868" max="2868" width="6" style="7" customWidth="1"/>
    <col min="2869" max="2869" width="6.83984375" style="7" customWidth="1"/>
    <col min="2870" max="2870" width="6" style="7" customWidth="1"/>
    <col min="2871" max="2871" width="18.1015625" style="7" customWidth="1"/>
    <col min="2872" max="3109" width="9" style="7"/>
    <col min="3110" max="3110" width="2.1015625" style="7" customWidth="1"/>
    <col min="3111" max="3111" width="5.83984375" style="7" customWidth="1"/>
    <col min="3112" max="3112" width="6.83984375" style="7" customWidth="1"/>
    <col min="3113" max="3113" width="6.1015625" style="7" customWidth="1"/>
    <col min="3114" max="3114" width="6.83984375" style="7" customWidth="1"/>
    <col min="3115" max="3115" width="10.83984375" style="7" customWidth="1"/>
    <col min="3116" max="3116" width="11.578125" style="7" customWidth="1"/>
    <col min="3117" max="3117" width="5.578125" style="7" customWidth="1"/>
    <col min="3118" max="3118" width="6" style="7" customWidth="1"/>
    <col min="3119" max="3119" width="6.578125" style="7" customWidth="1"/>
    <col min="3120" max="3120" width="11.1015625" style="7" customWidth="1"/>
    <col min="3121" max="3121" width="7.1015625" style="7" customWidth="1"/>
    <col min="3122" max="3123" width="5.83984375" style="7" customWidth="1"/>
    <col min="3124" max="3124" width="6" style="7" customWidth="1"/>
    <col min="3125" max="3125" width="6.83984375" style="7" customWidth="1"/>
    <col min="3126" max="3126" width="6" style="7" customWidth="1"/>
    <col min="3127" max="3127" width="18.1015625" style="7" customWidth="1"/>
    <col min="3128" max="3365" width="9" style="7"/>
    <col min="3366" max="3366" width="2.1015625" style="7" customWidth="1"/>
    <col min="3367" max="3367" width="5.83984375" style="7" customWidth="1"/>
    <col min="3368" max="3368" width="6.83984375" style="7" customWidth="1"/>
    <col min="3369" max="3369" width="6.1015625" style="7" customWidth="1"/>
    <col min="3370" max="3370" width="6.83984375" style="7" customWidth="1"/>
    <col min="3371" max="3371" width="10.83984375" style="7" customWidth="1"/>
    <col min="3372" max="3372" width="11.578125" style="7" customWidth="1"/>
    <col min="3373" max="3373" width="5.578125" style="7" customWidth="1"/>
    <col min="3374" max="3374" width="6" style="7" customWidth="1"/>
    <col min="3375" max="3375" width="6.578125" style="7" customWidth="1"/>
    <col min="3376" max="3376" width="11.1015625" style="7" customWidth="1"/>
    <col min="3377" max="3377" width="7.1015625" style="7" customWidth="1"/>
    <col min="3378" max="3379" width="5.83984375" style="7" customWidth="1"/>
    <col min="3380" max="3380" width="6" style="7" customWidth="1"/>
    <col min="3381" max="3381" width="6.83984375" style="7" customWidth="1"/>
    <col min="3382" max="3382" width="6" style="7" customWidth="1"/>
    <col min="3383" max="3383" width="18.1015625" style="7" customWidth="1"/>
    <col min="3384" max="3621" width="9" style="7"/>
    <col min="3622" max="3622" width="2.1015625" style="7" customWidth="1"/>
    <col min="3623" max="3623" width="5.83984375" style="7" customWidth="1"/>
    <col min="3624" max="3624" width="6.83984375" style="7" customWidth="1"/>
    <col min="3625" max="3625" width="6.1015625" style="7" customWidth="1"/>
    <col min="3626" max="3626" width="6.83984375" style="7" customWidth="1"/>
    <col min="3627" max="3627" width="10.83984375" style="7" customWidth="1"/>
    <col min="3628" max="3628" width="11.578125" style="7" customWidth="1"/>
    <col min="3629" max="3629" width="5.578125" style="7" customWidth="1"/>
    <col min="3630" max="3630" width="6" style="7" customWidth="1"/>
    <col min="3631" max="3631" width="6.578125" style="7" customWidth="1"/>
    <col min="3632" max="3632" width="11.1015625" style="7" customWidth="1"/>
    <col min="3633" max="3633" width="7.1015625" style="7" customWidth="1"/>
    <col min="3634" max="3635" width="5.83984375" style="7" customWidth="1"/>
    <col min="3636" max="3636" width="6" style="7" customWidth="1"/>
    <col min="3637" max="3637" width="6.83984375" style="7" customWidth="1"/>
    <col min="3638" max="3638" width="6" style="7" customWidth="1"/>
    <col min="3639" max="3639" width="18.1015625" style="7" customWidth="1"/>
    <col min="3640" max="3877" width="9" style="7"/>
    <col min="3878" max="3878" width="2.1015625" style="7" customWidth="1"/>
    <col min="3879" max="3879" width="5.83984375" style="7" customWidth="1"/>
    <col min="3880" max="3880" width="6.83984375" style="7" customWidth="1"/>
    <col min="3881" max="3881" width="6.1015625" style="7" customWidth="1"/>
    <col min="3882" max="3882" width="6.83984375" style="7" customWidth="1"/>
    <col min="3883" max="3883" width="10.83984375" style="7" customWidth="1"/>
    <col min="3884" max="3884" width="11.578125" style="7" customWidth="1"/>
    <col min="3885" max="3885" width="5.578125" style="7" customWidth="1"/>
    <col min="3886" max="3886" width="6" style="7" customWidth="1"/>
    <col min="3887" max="3887" width="6.578125" style="7" customWidth="1"/>
    <col min="3888" max="3888" width="11.1015625" style="7" customWidth="1"/>
    <col min="3889" max="3889" width="7.1015625" style="7" customWidth="1"/>
    <col min="3890" max="3891" width="5.83984375" style="7" customWidth="1"/>
    <col min="3892" max="3892" width="6" style="7" customWidth="1"/>
    <col min="3893" max="3893" width="6.83984375" style="7" customWidth="1"/>
    <col min="3894" max="3894" width="6" style="7" customWidth="1"/>
    <col min="3895" max="3895" width="18.1015625" style="7" customWidth="1"/>
    <col min="3896" max="4133" width="9" style="7"/>
    <col min="4134" max="4134" width="2.1015625" style="7" customWidth="1"/>
    <col min="4135" max="4135" width="5.83984375" style="7" customWidth="1"/>
    <col min="4136" max="4136" width="6.83984375" style="7" customWidth="1"/>
    <col min="4137" max="4137" width="6.1015625" style="7" customWidth="1"/>
    <col min="4138" max="4138" width="6.83984375" style="7" customWidth="1"/>
    <col min="4139" max="4139" width="10.83984375" style="7" customWidth="1"/>
    <col min="4140" max="4140" width="11.578125" style="7" customWidth="1"/>
    <col min="4141" max="4141" width="5.578125" style="7" customWidth="1"/>
    <col min="4142" max="4142" width="6" style="7" customWidth="1"/>
    <col min="4143" max="4143" width="6.578125" style="7" customWidth="1"/>
    <col min="4144" max="4144" width="11.1015625" style="7" customWidth="1"/>
    <col min="4145" max="4145" width="7.1015625" style="7" customWidth="1"/>
    <col min="4146" max="4147" width="5.83984375" style="7" customWidth="1"/>
    <col min="4148" max="4148" width="6" style="7" customWidth="1"/>
    <col min="4149" max="4149" width="6.83984375" style="7" customWidth="1"/>
    <col min="4150" max="4150" width="6" style="7" customWidth="1"/>
    <col min="4151" max="4151" width="18.1015625" style="7" customWidth="1"/>
    <col min="4152" max="4389" width="9" style="7"/>
    <col min="4390" max="4390" width="2.1015625" style="7" customWidth="1"/>
    <col min="4391" max="4391" width="5.83984375" style="7" customWidth="1"/>
    <col min="4392" max="4392" width="6.83984375" style="7" customWidth="1"/>
    <col min="4393" max="4393" width="6.1015625" style="7" customWidth="1"/>
    <col min="4394" max="4394" width="6.83984375" style="7" customWidth="1"/>
    <col min="4395" max="4395" width="10.83984375" style="7" customWidth="1"/>
    <col min="4396" max="4396" width="11.578125" style="7" customWidth="1"/>
    <col min="4397" max="4397" width="5.578125" style="7" customWidth="1"/>
    <col min="4398" max="4398" width="6" style="7" customWidth="1"/>
    <col min="4399" max="4399" width="6.578125" style="7" customWidth="1"/>
    <col min="4400" max="4400" width="11.1015625" style="7" customWidth="1"/>
    <col min="4401" max="4401" width="7.1015625" style="7" customWidth="1"/>
    <col min="4402" max="4403" width="5.83984375" style="7" customWidth="1"/>
    <col min="4404" max="4404" width="6" style="7" customWidth="1"/>
    <col min="4405" max="4405" width="6.83984375" style="7" customWidth="1"/>
    <col min="4406" max="4406" width="6" style="7" customWidth="1"/>
    <col min="4407" max="4407" width="18.1015625" style="7" customWidth="1"/>
    <col min="4408" max="4645" width="9" style="7"/>
    <col min="4646" max="4646" width="2.1015625" style="7" customWidth="1"/>
    <col min="4647" max="4647" width="5.83984375" style="7" customWidth="1"/>
    <col min="4648" max="4648" width="6.83984375" style="7" customWidth="1"/>
    <col min="4649" max="4649" width="6.1015625" style="7" customWidth="1"/>
    <col min="4650" max="4650" width="6.83984375" style="7" customWidth="1"/>
    <col min="4651" max="4651" width="10.83984375" style="7" customWidth="1"/>
    <col min="4652" max="4652" width="11.578125" style="7" customWidth="1"/>
    <col min="4653" max="4653" width="5.578125" style="7" customWidth="1"/>
    <col min="4654" max="4654" width="6" style="7" customWidth="1"/>
    <col min="4655" max="4655" width="6.578125" style="7" customWidth="1"/>
    <col min="4656" max="4656" width="11.1015625" style="7" customWidth="1"/>
    <col min="4657" max="4657" width="7.1015625" style="7" customWidth="1"/>
    <col min="4658" max="4659" width="5.83984375" style="7" customWidth="1"/>
    <col min="4660" max="4660" width="6" style="7" customWidth="1"/>
    <col min="4661" max="4661" width="6.83984375" style="7" customWidth="1"/>
    <col min="4662" max="4662" width="6" style="7" customWidth="1"/>
    <col min="4663" max="4663" width="18.1015625" style="7" customWidth="1"/>
    <col min="4664" max="4901" width="9" style="7"/>
    <col min="4902" max="4902" width="2.1015625" style="7" customWidth="1"/>
    <col min="4903" max="4903" width="5.83984375" style="7" customWidth="1"/>
    <col min="4904" max="4904" width="6.83984375" style="7" customWidth="1"/>
    <col min="4905" max="4905" width="6.1015625" style="7" customWidth="1"/>
    <col min="4906" max="4906" width="6.83984375" style="7" customWidth="1"/>
    <col min="4907" max="4907" width="10.83984375" style="7" customWidth="1"/>
    <col min="4908" max="4908" width="11.578125" style="7" customWidth="1"/>
    <col min="4909" max="4909" width="5.578125" style="7" customWidth="1"/>
    <col min="4910" max="4910" width="6" style="7" customWidth="1"/>
    <col min="4911" max="4911" width="6.578125" style="7" customWidth="1"/>
    <col min="4912" max="4912" width="11.1015625" style="7" customWidth="1"/>
    <col min="4913" max="4913" width="7.1015625" style="7" customWidth="1"/>
    <col min="4914" max="4915" width="5.83984375" style="7" customWidth="1"/>
    <col min="4916" max="4916" width="6" style="7" customWidth="1"/>
    <col min="4917" max="4917" width="6.83984375" style="7" customWidth="1"/>
    <col min="4918" max="4918" width="6" style="7" customWidth="1"/>
    <col min="4919" max="4919" width="18.1015625" style="7" customWidth="1"/>
    <col min="4920" max="5157" width="9" style="7"/>
    <col min="5158" max="5158" width="2.1015625" style="7" customWidth="1"/>
    <col min="5159" max="5159" width="5.83984375" style="7" customWidth="1"/>
    <col min="5160" max="5160" width="6.83984375" style="7" customWidth="1"/>
    <col min="5161" max="5161" width="6.1015625" style="7" customWidth="1"/>
    <col min="5162" max="5162" width="6.83984375" style="7" customWidth="1"/>
    <col min="5163" max="5163" width="10.83984375" style="7" customWidth="1"/>
    <col min="5164" max="5164" width="11.578125" style="7" customWidth="1"/>
    <col min="5165" max="5165" width="5.578125" style="7" customWidth="1"/>
    <col min="5166" max="5166" width="6" style="7" customWidth="1"/>
    <col min="5167" max="5167" width="6.578125" style="7" customWidth="1"/>
    <col min="5168" max="5168" width="11.1015625" style="7" customWidth="1"/>
    <col min="5169" max="5169" width="7.1015625" style="7" customWidth="1"/>
    <col min="5170" max="5171" width="5.83984375" style="7" customWidth="1"/>
    <col min="5172" max="5172" width="6" style="7" customWidth="1"/>
    <col min="5173" max="5173" width="6.83984375" style="7" customWidth="1"/>
    <col min="5174" max="5174" width="6" style="7" customWidth="1"/>
    <col min="5175" max="5175" width="18.1015625" style="7" customWidth="1"/>
    <col min="5176" max="5413" width="9" style="7"/>
    <col min="5414" max="5414" width="2.1015625" style="7" customWidth="1"/>
    <col min="5415" max="5415" width="5.83984375" style="7" customWidth="1"/>
    <col min="5416" max="5416" width="6.83984375" style="7" customWidth="1"/>
    <col min="5417" max="5417" width="6.1015625" style="7" customWidth="1"/>
    <col min="5418" max="5418" width="6.83984375" style="7" customWidth="1"/>
    <col min="5419" max="5419" width="10.83984375" style="7" customWidth="1"/>
    <col min="5420" max="5420" width="11.578125" style="7" customWidth="1"/>
    <col min="5421" max="5421" width="5.578125" style="7" customWidth="1"/>
    <col min="5422" max="5422" width="6" style="7" customWidth="1"/>
    <col min="5423" max="5423" width="6.578125" style="7" customWidth="1"/>
    <col min="5424" max="5424" width="11.1015625" style="7" customWidth="1"/>
    <col min="5425" max="5425" width="7.1015625" style="7" customWidth="1"/>
    <col min="5426" max="5427" width="5.83984375" style="7" customWidth="1"/>
    <col min="5428" max="5428" width="6" style="7" customWidth="1"/>
    <col min="5429" max="5429" width="6.83984375" style="7" customWidth="1"/>
    <col min="5430" max="5430" width="6" style="7" customWidth="1"/>
    <col min="5431" max="5431" width="18.1015625" style="7" customWidth="1"/>
    <col min="5432" max="5669" width="9" style="7"/>
    <col min="5670" max="5670" width="2.1015625" style="7" customWidth="1"/>
    <col min="5671" max="5671" width="5.83984375" style="7" customWidth="1"/>
    <col min="5672" max="5672" width="6.83984375" style="7" customWidth="1"/>
    <col min="5673" max="5673" width="6.1015625" style="7" customWidth="1"/>
    <col min="5674" max="5674" width="6.83984375" style="7" customWidth="1"/>
    <col min="5675" max="5675" width="10.83984375" style="7" customWidth="1"/>
    <col min="5676" max="5676" width="11.578125" style="7" customWidth="1"/>
    <col min="5677" max="5677" width="5.578125" style="7" customWidth="1"/>
    <col min="5678" max="5678" width="6" style="7" customWidth="1"/>
    <col min="5679" max="5679" width="6.578125" style="7" customWidth="1"/>
    <col min="5680" max="5680" width="11.1015625" style="7" customWidth="1"/>
    <col min="5681" max="5681" width="7.1015625" style="7" customWidth="1"/>
    <col min="5682" max="5683" width="5.83984375" style="7" customWidth="1"/>
    <col min="5684" max="5684" width="6" style="7" customWidth="1"/>
    <col min="5685" max="5685" width="6.83984375" style="7" customWidth="1"/>
    <col min="5686" max="5686" width="6" style="7" customWidth="1"/>
    <col min="5687" max="5687" width="18.1015625" style="7" customWidth="1"/>
    <col min="5688" max="5925" width="9" style="7"/>
    <col min="5926" max="5926" width="2.1015625" style="7" customWidth="1"/>
    <col min="5927" max="5927" width="5.83984375" style="7" customWidth="1"/>
    <col min="5928" max="5928" width="6.83984375" style="7" customWidth="1"/>
    <col min="5929" max="5929" width="6.1015625" style="7" customWidth="1"/>
    <col min="5930" max="5930" width="6.83984375" style="7" customWidth="1"/>
    <col min="5931" max="5931" width="10.83984375" style="7" customWidth="1"/>
    <col min="5932" max="5932" width="11.578125" style="7" customWidth="1"/>
    <col min="5933" max="5933" width="5.578125" style="7" customWidth="1"/>
    <col min="5934" max="5934" width="6" style="7" customWidth="1"/>
    <col min="5935" max="5935" width="6.578125" style="7" customWidth="1"/>
    <col min="5936" max="5936" width="11.1015625" style="7" customWidth="1"/>
    <col min="5937" max="5937" width="7.1015625" style="7" customWidth="1"/>
    <col min="5938" max="5939" width="5.83984375" style="7" customWidth="1"/>
    <col min="5940" max="5940" width="6" style="7" customWidth="1"/>
    <col min="5941" max="5941" width="6.83984375" style="7" customWidth="1"/>
    <col min="5942" max="5942" width="6" style="7" customWidth="1"/>
    <col min="5943" max="5943" width="18.1015625" style="7" customWidth="1"/>
    <col min="5944" max="6181" width="9" style="7"/>
    <col min="6182" max="6182" width="2.1015625" style="7" customWidth="1"/>
    <col min="6183" max="6183" width="5.83984375" style="7" customWidth="1"/>
    <col min="6184" max="6184" width="6.83984375" style="7" customWidth="1"/>
    <col min="6185" max="6185" width="6.1015625" style="7" customWidth="1"/>
    <col min="6186" max="6186" width="6.83984375" style="7" customWidth="1"/>
    <col min="6187" max="6187" width="10.83984375" style="7" customWidth="1"/>
    <col min="6188" max="6188" width="11.578125" style="7" customWidth="1"/>
    <col min="6189" max="6189" width="5.578125" style="7" customWidth="1"/>
    <col min="6190" max="6190" width="6" style="7" customWidth="1"/>
    <col min="6191" max="6191" width="6.578125" style="7" customWidth="1"/>
    <col min="6192" max="6192" width="11.1015625" style="7" customWidth="1"/>
    <col min="6193" max="6193" width="7.1015625" style="7" customWidth="1"/>
    <col min="6194" max="6195" width="5.83984375" style="7" customWidth="1"/>
    <col min="6196" max="6196" width="6" style="7" customWidth="1"/>
    <col min="6197" max="6197" width="6.83984375" style="7" customWidth="1"/>
    <col min="6198" max="6198" width="6" style="7" customWidth="1"/>
    <col min="6199" max="6199" width="18.1015625" style="7" customWidth="1"/>
    <col min="6200" max="6437" width="9" style="7"/>
    <col min="6438" max="6438" width="2.1015625" style="7" customWidth="1"/>
    <col min="6439" max="6439" width="5.83984375" style="7" customWidth="1"/>
    <col min="6440" max="6440" width="6.83984375" style="7" customWidth="1"/>
    <col min="6441" max="6441" width="6.1015625" style="7" customWidth="1"/>
    <col min="6442" max="6442" width="6.83984375" style="7" customWidth="1"/>
    <col min="6443" max="6443" width="10.83984375" style="7" customWidth="1"/>
    <col min="6444" max="6444" width="11.578125" style="7" customWidth="1"/>
    <col min="6445" max="6445" width="5.578125" style="7" customWidth="1"/>
    <col min="6446" max="6446" width="6" style="7" customWidth="1"/>
    <col min="6447" max="6447" width="6.578125" style="7" customWidth="1"/>
    <col min="6448" max="6448" width="11.1015625" style="7" customWidth="1"/>
    <col min="6449" max="6449" width="7.1015625" style="7" customWidth="1"/>
    <col min="6450" max="6451" width="5.83984375" style="7" customWidth="1"/>
    <col min="6452" max="6452" width="6" style="7" customWidth="1"/>
    <col min="6453" max="6453" width="6.83984375" style="7" customWidth="1"/>
    <col min="6454" max="6454" width="6" style="7" customWidth="1"/>
    <col min="6455" max="6455" width="18.1015625" style="7" customWidth="1"/>
    <col min="6456" max="6693" width="9" style="7"/>
    <col min="6694" max="6694" width="2.1015625" style="7" customWidth="1"/>
    <col min="6695" max="6695" width="5.83984375" style="7" customWidth="1"/>
    <col min="6696" max="6696" width="6.83984375" style="7" customWidth="1"/>
    <col min="6697" max="6697" width="6.1015625" style="7" customWidth="1"/>
    <col min="6698" max="6698" width="6.83984375" style="7" customWidth="1"/>
    <col min="6699" max="6699" width="10.83984375" style="7" customWidth="1"/>
    <col min="6700" max="6700" width="11.578125" style="7" customWidth="1"/>
    <col min="6701" max="6701" width="5.578125" style="7" customWidth="1"/>
    <col min="6702" max="6702" width="6" style="7" customWidth="1"/>
    <col min="6703" max="6703" width="6.578125" style="7" customWidth="1"/>
    <col min="6704" max="6704" width="11.1015625" style="7" customWidth="1"/>
    <col min="6705" max="6705" width="7.1015625" style="7" customWidth="1"/>
    <col min="6706" max="6707" width="5.83984375" style="7" customWidth="1"/>
    <col min="6708" max="6708" width="6" style="7" customWidth="1"/>
    <col min="6709" max="6709" width="6.83984375" style="7" customWidth="1"/>
    <col min="6710" max="6710" width="6" style="7" customWidth="1"/>
    <col min="6711" max="6711" width="18.1015625" style="7" customWidth="1"/>
    <col min="6712" max="6949" width="9" style="7"/>
    <col min="6950" max="6950" width="2.1015625" style="7" customWidth="1"/>
    <col min="6951" max="6951" width="5.83984375" style="7" customWidth="1"/>
    <col min="6952" max="6952" width="6.83984375" style="7" customWidth="1"/>
    <col min="6953" max="6953" width="6.1015625" style="7" customWidth="1"/>
    <col min="6954" max="6954" width="6.83984375" style="7" customWidth="1"/>
    <col min="6955" max="6955" width="10.83984375" style="7" customWidth="1"/>
    <col min="6956" max="6956" width="11.578125" style="7" customWidth="1"/>
    <col min="6957" max="6957" width="5.578125" style="7" customWidth="1"/>
    <col min="6958" max="6958" width="6" style="7" customWidth="1"/>
    <col min="6959" max="6959" width="6.578125" style="7" customWidth="1"/>
    <col min="6960" max="6960" width="11.1015625" style="7" customWidth="1"/>
    <col min="6961" max="6961" width="7.1015625" style="7" customWidth="1"/>
    <col min="6962" max="6963" width="5.83984375" style="7" customWidth="1"/>
    <col min="6964" max="6964" width="6" style="7" customWidth="1"/>
    <col min="6965" max="6965" width="6.83984375" style="7" customWidth="1"/>
    <col min="6966" max="6966" width="6" style="7" customWidth="1"/>
    <col min="6967" max="6967" width="18.1015625" style="7" customWidth="1"/>
    <col min="6968" max="7205" width="9" style="7"/>
    <col min="7206" max="7206" width="2.1015625" style="7" customWidth="1"/>
    <col min="7207" max="7207" width="5.83984375" style="7" customWidth="1"/>
    <col min="7208" max="7208" width="6.83984375" style="7" customWidth="1"/>
    <col min="7209" max="7209" width="6.1015625" style="7" customWidth="1"/>
    <col min="7210" max="7210" width="6.83984375" style="7" customWidth="1"/>
    <col min="7211" max="7211" width="10.83984375" style="7" customWidth="1"/>
    <col min="7212" max="7212" width="11.578125" style="7" customWidth="1"/>
    <col min="7213" max="7213" width="5.578125" style="7" customWidth="1"/>
    <col min="7214" max="7214" width="6" style="7" customWidth="1"/>
    <col min="7215" max="7215" width="6.578125" style="7" customWidth="1"/>
    <col min="7216" max="7216" width="11.1015625" style="7" customWidth="1"/>
    <col min="7217" max="7217" width="7.1015625" style="7" customWidth="1"/>
    <col min="7218" max="7219" width="5.83984375" style="7" customWidth="1"/>
    <col min="7220" max="7220" width="6" style="7" customWidth="1"/>
    <col min="7221" max="7221" width="6.83984375" style="7" customWidth="1"/>
    <col min="7222" max="7222" width="6" style="7" customWidth="1"/>
    <col min="7223" max="7223" width="18.1015625" style="7" customWidth="1"/>
    <col min="7224" max="7461" width="9" style="7"/>
    <col min="7462" max="7462" width="2.1015625" style="7" customWidth="1"/>
    <col min="7463" max="7463" width="5.83984375" style="7" customWidth="1"/>
    <col min="7464" max="7464" width="6.83984375" style="7" customWidth="1"/>
    <col min="7465" max="7465" width="6.1015625" style="7" customWidth="1"/>
    <col min="7466" max="7466" width="6.83984375" style="7" customWidth="1"/>
    <col min="7467" max="7467" width="10.83984375" style="7" customWidth="1"/>
    <col min="7468" max="7468" width="11.578125" style="7" customWidth="1"/>
    <col min="7469" max="7469" width="5.578125" style="7" customWidth="1"/>
    <col min="7470" max="7470" width="6" style="7" customWidth="1"/>
    <col min="7471" max="7471" width="6.578125" style="7" customWidth="1"/>
    <col min="7472" max="7472" width="11.1015625" style="7" customWidth="1"/>
    <col min="7473" max="7473" width="7.1015625" style="7" customWidth="1"/>
    <col min="7474" max="7475" width="5.83984375" style="7" customWidth="1"/>
    <col min="7476" max="7476" width="6" style="7" customWidth="1"/>
    <col min="7477" max="7477" width="6.83984375" style="7" customWidth="1"/>
    <col min="7478" max="7478" width="6" style="7" customWidth="1"/>
    <col min="7479" max="7479" width="18.1015625" style="7" customWidth="1"/>
    <col min="7480" max="7717" width="9" style="7"/>
    <col min="7718" max="7718" width="2.1015625" style="7" customWidth="1"/>
    <col min="7719" max="7719" width="5.83984375" style="7" customWidth="1"/>
    <col min="7720" max="7720" width="6.83984375" style="7" customWidth="1"/>
    <col min="7721" max="7721" width="6.1015625" style="7" customWidth="1"/>
    <col min="7722" max="7722" width="6.83984375" style="7" customWidth="1"/>
    <col min="7723" max="7723" width="10.83984375" style="7" customWidth="1"/>
    <col min="7724" max="7724" width="11.578125" style="7" customWidth="1"/>
    <col min="7725" max="7725" width="5.578125" style="7" customWidth="1"/>
    <col min="7726" max="7726" width="6" style="7" customWidth="1"/>
    <col min="7727" max="7727" width="6.578125" style="7" customWidth="1"/>
    <col min="7728" max="7728" width="11.1015625" style="7" customWidth="1"/>
    <col min="7729" max="7729" width="7.1015625" style="7" customWidth="1"/>
    <col min="7730" max="7731" width="5.83984375" style="7" customWidth="1"/>
    <col min="7732" max="7732" width="6" style="7" customWidth="1"/>
    <col min="7733" max="7733" width="6.83984375" style="7" customWidth="1"/>
    <col min="7734" max="7734" width="6" style="7" customWidth="1"/>
    <col min="7735" max="7735" width="18.1015625" style="7" customWidth="1"/>
    <col min="7736" max="7973" width="9" style="7"/>
    <col min="7974" max="7974" width="2.1015625" style="7" customWidth="1"/>
    <col min="7975" max="7975" width="5.83984375" style="7" customWidth="1"/>
    <col min="7976" max="7976" width="6.83984375" style="7" customWidth="1"/>
    <col min="7977" max="7977" width="6.1015625" style="7" customWidth="1"/>
    <col min="7978" max="7978" width="6.83984375" style="7" customWidth="1"/>
    <col min="7979" max="7979" width="10.83984375" style="7" customWidth="1"/>
    <col min="7980" max="7980" width="11.578125" style="7" customWidth="1"/>
    <col min="7981" max="7981" width="5.578125" style="7" customWidth="1"/>
    <col min="7982" max="7982" width="6" style="7" customWidth="1"/>
    <col min="7983" max="7983" width="6.578125" style="7" customWidth="1"/>
    <col min="7984" max="7984" width="11.1015625" style="7" customWidth="1"/>
    <col min="7985" max="7985" width="7.1015625" style="7" customWidth="1"/>
    <col min="7986" max="7987" width="5.83984375" style="7" customWidth="1"/>
    <col min="7988" max="7988" width="6" style="7" customWidth="1"/>
    <col min="7989" max="7989" width="6.83984375" style="7" customWidth="1"/>
    <col min="7990" max="7990" width="6" style="7" customWidth="1"/>
    <col min="7991" max="7991" width="18.1015625" style="7" customWidth="1"/>
    <col min="7992" max="8229" width="9" style="7"/>
    <col min="8230" max="8230" width="2.1015625" style="7" customWidth="1"/>
    <col min="8231" max="8231" width="5.83984375" style="7" customWidth="1"/>
    <col min="8232" max="8232" width="6.83984375" style="7" customWidth="1"/>
    <col min="8233" max="8233" width="6.1015625" style="7" customWidth="1"/>
    <col min="8234" max="8234" width="6.83984375" style="7" customWidth="1"/>
    <col min="8235" max="8235" width="10.83984375" style="7" customWidth="1"/>
    <col min="8236" max="8236" width="11.578125" style="7" customWidth="1"/>
    <col min="8237" max="8237" width="5.578125" style="7" customWidth="1"/>
    <col min="8238" max="8238" width="6" style="7" customWidth="1"/>
    <col min="8239" max="8239" width="6.578125" style="7" customWidth="1"/>
    <col min="8240" max="8240" width="11.1015625" style="7" customWidth="1"/>
    <col min="8241" max="8241" width="7.1015625" style="7" customWidth="1"/>
    <col min="8242" max="8243" width="5.83984375" style="7" customWidth="1"/>
    <col min="8244" max="8244" width="6" style="7" customWidth="1"/>
    <col min="8245" max="8245" width="6.83984375" style="7" customWidth="1"/>
    <col min="8246" max="8246" width="6" style="7" customWidth="1"/>
    <col min="8247" max="8247" width="18.1015625" style="7" customWidth="1"/>
    <col min="8248" max="8485" width="9" style="7"/>
    <col min="8486" max="8486" width="2.1015625" style="7" customWidth="1"/>
    <col min="8487" max="8487" width="5.83984375" style="7" customWidth="1"/>
    <col min="8488" max="8488" width="6.83984375" style="7" customWidth="1"/>
    <col min="8489" max="8489" width="6.1015625" style="7" customWidth="1"/>
    <col min="8490" max="8490" width="6.83984375" style="7" customWidth="1"/>
    <col min="8491" max="8491" width="10.83984375" style="7" customWidth="1"/>
    <col min="8492" max="8492" width="11.578125" style="7" customWidth="1"/>
    <col min="8493" max="8493" width="5.578125" style="7" customWidth="1"/>
    <col min="8494" max="8494" width="6" style="7" customWidth="1"/>
    <col min="8495" max="8495" width="6.578125" style="7" customWidth="1"/>
    <col min="8496" max="8496" width="11.1015625" style="7" customWidth="1"/>
    <col min="8497" max="8497" width="7.1015625" style="7" customWidth="1"/>
    <col min="8498" max="8499" width="5.83984375" style="7" customWidth="1"/>
    <col min="8500" max="8500" width="6" style="7" customWidth="1"/>
    <col min="8501" max="8501" width="6.83984375" style="7" customWidth="1"/>
    <col min="8502" max="8502" width="6" style="7" customWidth="1"/>
    <col min="8503" max="8503" width="18.1015625" style="7" customWidth="1"/>
    <col min="8504" max="8741" width="9" style="7"/>
    <col min="8742" max="8742" width="2.1015625" style="7" customWidth="1"/>
    <col min="8743" max="8743" width="5.83984375" style="7" customWidth="1"/>
    <col min="8744" max="8744" width="6.83984375" style="7" customWidth="1"/>
    <col min="8745" max="8745" width="6.1015625" style="7" customWidth="1"/>
    <col min="8746" max="8746" width="6.83984375" style="7" customWidth="1"/>
    <col min="8747" max="8747" width="10.83984375" style="7" customWidth="1"/>
    <col min="8748" max="8748" width="11.578125" style="7" customWidth="1"/>
    <col min="8749" max="8749" width="5.578125" style="7" customWidth="1"/>
    <col min="8750" max="8750" width="6" style="7" customWidth="1"/>
    <col min="8751" max="8751" width="6.578125" style="7" customWidth="1"/>
    <col min="8752" max="8752" width="11.1015625" style="7" customWidth="1"/>
    <col min="8753" max="8753" width="7.1015625" style="7" customWidth="1"/>
    <col min="8754" max="8755" width="5.83984375" style="7" customWidth="1"/>
    <col min="8756" max="8756" width="6" style="7" customWidth="1"/>
    <col min="8757" max="8757" width="6.83984375" style="7" customWidth="1"/>
    <col min="8758" max="8758" width="6" style="7" customWidth="1"/>
    <col min="8759" max="8759" width="18.1015625" style="7" customWidth="1"/>
    <col min="8760" max="8997" width="9" style="7"/>
    <col min="8998" max="8998" width="2.1015625" style="7" customWidth="1"/>
    <col min="8999" max="8999" width="5.83984375" style="7" customWidth="1"/>
    <col min="9000" max="9000" width="6.83984375" style="7" customWidth="1"/>
    <col min="9001" max="9001" width="6.1015625" style="7" customWidth="1"/>
    <col min="9002" max="9002" width="6.83984375" style="7" customWidth="1"/>
    <col min="9003" max="9003" width="10.83984375" style="7" customWidth="1"/>
    <col min="9004" max="9004" width="11.578125" style="7" customWidth="1"/>
    <col min="9005" max="9005" width="5.578125" style="7" customWidth="1"/>
    <col min="9006" max="9006" width="6" style="7" customWidth="1"/>
    <col min="9007" max="9007" width="6.578125" style="7" customWidth="1"/>
    <col min="9008" max="9008" width="11.1015625" style="7" customWidth="1"/>
    <col min="9009" max="9009" width="7.1015625" style="7" customWidth="1"/>
    <col min="9010" max="9011" width="5.83984375" style="7" customWidth="1"/>
    <col min="9012" max="9012" width="6" style="7" customWidth="1"/>
    <col min="9013" max="9013" width="6.83984375" style="7" customWidth="1"/>
    <col min="9014" max="9014" width="6" style="7" customWidth="1"/>
    <col min="9015" max="9015" width="18.1015625" style="7" customWidth="1"/>
    <col min="9016" max="9253" width="9" style="7"/>
    <col min="9254" max="9254" width="2.1015625" style="7" customWidth="1"/>
    <col min="9255" max="9255" width="5.83984375" style="7" customWidth="1"/>
    <col min="9256" max="9256" width="6.83984375" style="7" customWidth="1"/>
    <col min="9257" max="9257" width="6.1015625" style="7" customWidth="1"/>
    <col min="9258" max="9258" width="6.83984375" style="7" customWidth="1"/>
    <col min="9259" max="9259" width="10.83984375" style="7" customWidth="1"/>
    <col min="9260" max="9260" width="11.578125" style="7" customWidth="1"/>
    <col min="9261" max="9261" width="5.578125" style="7" customWidth="1"/>
    <col min="9262" max="9262" width="6" style="7" customWidth="1"/>
    <col min="9263" max="9263" width="6.578125" style="7" customWidth="1"/>
    <col min="9264" max="9264" width="11.1015625" style="7" customWidth="1"/>
    <col min="9265" max="9265" width="7.1015625" style="7" customWidth="1"/>
    <col min="9266" max="9267" width="5.83984375" style="7" customWidth="1"/>
    <col min="9268" max="9268" width="6" style="7" customWidth="1"/>
    <col min="9269" max="9269" width="6.83984375" style="7" customWidth="1"/>
    <col min="9270" max="9270" width="6" style="7" customWidth="1"/>
    <col min="9271" max="9271" width="18.1015625" style="7" customWidth="1"/>
    <col min="9272" max="9509" width="9" style="7"/>
    <col min="9510" max="9510" width="2.1015625" style="7" customWidth="1"/>
    <col min="9511" max="9511" width="5.83984375" style="7" customWidth="1"/>
    <col min="9512" max="9512" width="6.83984375" style="7" customWidth="1"/>
    <col min="9513" max="9513" width="6.1015625" style="7" customWidth="1"/>
    <col min="9514" max="9514" width="6.83984375" style="7" customWidth="1"/>
    <col min="9515" max="9515" width="10.83984375" style="7" customWidth="1"/>
    <col min="9516" max="9516" width="11.578125" style="7" customWidth="1"/>
    <col min="9517" max="9517" width="5.578125" style="7" customWidth="1"/>
    <col min="9518" max="9518" width="6" style="7" customWidth="1"/>
    <col min="9519" max="9519" width="6.578125" style="7" customWidth="1"/>
    <col min="9520" max="9520" width="11.1015625" style="7" customWidth="1"/>
    <col min="9521" max="9521" width="7.1015625" style="7" customWidth="1"/>
    <col min="9522" max="9523" width="5.83984375" style="7" customWidth="1"/>
    <col min="9524" max="9524" width="6" style="7" customWidth="1"/>
    <col min="9525" max="9525" width="6.83984375" style="7" customWidth="1"/>
    <col min="9526" max="9526" width="6" style="7" customWidth="1"/>
    <col min="9527" max="9527" width="18.1015625" style="7" customWidth="1"/>
    <col min="9528" max="9765" width="9" style="7"/>
    <col min="9766" max="9766" width="2.1015625" style="7" customWidth="1"/>
    <col min="9767" max="9767" width="5.83984375" style="7" customWidth="1"/>
    <col min="9768" max="9768" width="6.83984375" style="7" customWidth="1"/>
    <col min="9769" max="9769" width="6.1015625" style="7" customWidth="1"/>
    <col min="9770" max="9770" width="6.83984375" style="7" customWidth="1"/>
    <col min="9771" max="9771" width="10.83984375" style="7" customWidth="1"/>
    <col min="9772" max="9772" width="11.578125" style="7" customWidth="1"/>
    <col min="9773" max="9773" width="5.578125" style="7" customWidth="1"/>
    <col min="9774" max="9774" width="6" style="7" customWidth="1"/>
    <col min="9775" max="9775" width="6.578125" style="7" customWidth="1"/>
    <col min="9776" max="9776" width="11.1015625" style="7" customWidth="1"/>
    <col min="9777" max="9777" width="7.1015625" style="7" customWidth="1"/>
    <col min="9778" max="9779" width="5.83984375" style="7" customWidth="1"/>
    <col min="9780" max="9780" width="6" style="7" customWidth="1"/>
    <col min="9781" max="9781" width="6.83984375" style="7" customWidth="1"/>
    <col min="9782" max="9782" width="6" style="7" customWidth="1"/>
    <col min="9783" max="9783" width="18.1015625" style="7" customWidth="1"/>
    <col min="9784" max="10021" width="9" style="7"/>
    <col min="10022" max="10022" width="2.1015625" style="7" customWidth="1"/>
    <col min="10023" max="10023" width="5.83984375" style="7" customWidth="1"/>
    <col min="10024" max="10024" width="6.83984375" style="7" customWidth="1"/>
    <col min="10025" max="10025" width="6.1015625" style="7" customWidth="1"/>
    <col min="10026" max="10026" width="6.83984375" style="7" customWidth="1"/>
    <col min="10027" max="10027" width="10.83984375" style="7" customWidth="1"/>
    <col min="10028" max="10028" width="11.578125" style="7" customWidth="1"/>
    <col min="10029" max="10029" width="5.578125" style="7" customWidth="1"/>
    <col min="10030" max="10030" width="6" style="7" customWidth="1"/>
    <col min="10031" max="10031" width="6.578125" style="7" customWidth="1"/>
    <col min="10032" max="10032" width="11.1015625" style="7" customWidth="1"/>
    <col min="10033" max="10033" width="7.1015625" style="7" customWidth="1"/>
    <col min="10034" max="10035" width="5.83984375" style="7" customWidth="1"/>
    <col min="10036" max="10036" width="6" style="7" customWidth="1"/>
    <col min="10037" max="10037" width="6.83984375" style="7" customWidth="1"/>
    <col min="10038" max="10038" width="6" style="7" customWidth="1"/>
    <col min="10039" max="10039" width="18.1015625" style="7" customWidth="1"/>
    <col min="10040" max="10277" width="9" style="7"/>
    <col min="10278" max="10278" width="2.1015625" style="7" customWidth="1"/>
    <col min="10279" max="10279" width="5.83984375" style="7" customWidth="1"/>
    <col min="10280" max="10280" width="6.83984375" style="7" customWidth="1"/>
    <col min="10281" max="10281" width="6.1015625" style="7" customWidth="1"/>
    <col min="10282" max="10282" width="6.83984375" style="7" customWidth="1"/>
    <col min="10283" max="10283" width="10.83984375" style="7" customWidth="1"/>
    <col min="10284" max="10284" width="11.578125" style="7" customWidth="1"/>
    <col min="10285" max="10285" width="5.578125" style="7" customWidth="1"/>
    <col min="10286" max="10286" width="6" style="7" customWidth="1"/>
    <col min="10287" max="10287" width="6.578125" style="7" customWidth="1"/>
    <col min="10288" max="10288" width="11.1015625" style="7" customWidth="1"/>
    <col min="10289" max="10289" width="7.1015625" style="7" customWidth="1"/>
    <col min="10290" max="10291" width="5.83984375" style="7" customWidth="1"/>
    <col min="10292" max="10292" width="6" style="7" customWidth="1"/>
    <col min="10293" max="10293" width="6.83984375" style="7" customWidth="1"/>
    <col min="10294" max="10294" width="6" style="7" customWidth="1"/>
    <col min="10295" max="10295" width="18.1015625" style="7" customWidth="1"/>
    <col min="10296" max="10533" width="9" style="7"/>
    <col min="10534" max="10534" width="2.1015625" style="7" customWidth="1"/>
    <col min="10535" max="10535" width="5.83984375" style="7" customWidth="1"/>
    <col min="10536" max="10536" width="6.83984375" style="7" customWidth="1"/>
    <col min="10537" max="10537" width="6.1015625" style="7" customWidth="1"/>
    <col min="10538" max="10538" width="6.83984375" style="7" customWidth="1"/>
    <col min="10539" max="10539" width="10.83984375" style="7" customWidth="1"/>
    <col min="10540" max="10540" width="11.578125" style="7" customWidth="1"/>
    <col min="10541" max="10541" width="5.578125" style="7" customWidth="1"/>
    <col min="10542" max="10542" width="6" style="7" customWidth="1"/>
    <col min="10543" max="10543" width="6.578125" style="7" customWidth="1"/>
    <col min="10544" max="10544" width="11.1015625" style="7" customWidth="1"/>
    <col min="10545" max="10545" width="7.1015625" style="7" customWidth="1"/>
    <col min="10546" max="10547" width="5.83984375" style="7" customWidth="1"/>
    <col min="10548" max="10548" width="6" style="7" customWidth="1"/>
    <col min="10549" max="10549" width="6.83984375" style="7" customWidth="1"/>
    <col min="10550" max="10550" width="6" style="7" customWidth="1"/>
    <col min="10551" max="10551" width="18.1015625" style="7" customWidth="1"/>
    <col min="10552" max="10789" width="9" style="7"/>
    <col min="10790" max="10790" width="2.1015625" style="7" customWidth="1"/>
    <col min="10791" max="10791" width="5.83984375" style="7" customWidth="1"/>
    <col min="10792" max="10792" width="6.83984375" style="7" customWidth="1"/>
    <col min="10793" max="10793" width="6.1015625" style="7" customWidth="1"/>
    <col min="10794" max="10794" width="6.83984375" style="7" customWidth="1"/>
    <col min="10795" max="10795" width="10.83984375" style="7" customWidth="1"/>
    <col min="10796" max="10796" width="11.578125" style="7" customWidth="1"/>
    <col min="10797" max="10797" width="5.578125" style="7" customWidth="1"/>
    <col min="10798" max="10798" width="6" style="7" customWidth="1"/>
    <col min="10799" max="10799" width="6.578125" style="7" customWidth="1"/>
    <col min="10800" max="10800" width="11.1015625" style="7" customWidth="1"/>
    <col min="10801" max="10801" width="7.1015625" style="7" customWidth="1"/>
    <col min="10802" max="10803" width="5.83984375" style="7" customWidth="1"/>
    <col min="10804" max="10804" width="6" style="7" customWidth="1"/>
    <col min="10805" max="10805" width="6.83984375" style="7" customWidth="1"/>
    <col min="10806" max="10806" width="6" style="7" customWidth="1"/>
    <col min="10807" max="10807" width="18.1015625" style="7" customWidth="1"/>
    <col min="10808" max="11045" width="9" style="7"/>
    <col min="11046" max="11046" width="2.1015625" style="7" customWidth="1"/>
    <col min="11047" max="11047" width="5.83984375" style="7" customWidth="1"/>
    <col min="11048" max="11048" width="6.83984375" style="7" customWidth="1"/>
    <col min="11049" max="11049" width="6.1015625" style="7" customWidth="1"/>
    <col min="11050" max="11050" width="6.83984375" style="7" customWidth="1"/>
    <col min="11051" max="11051" width="10.83984375" style="7" customWidth="1"/>
    <col min="11052" max="11052" width="11.578125" style="7" customWidth="1"/>
    <col min="11053" max="11053" width="5.578125" style="7" customWidth="1"/>
    <col min="11054" max="11054" width="6" style="7" customWidth="1"/>
    <col min="11055" max="11055" width="6.578125" style="7" customWidth="1"/>
    <col min="11056" max="11056" width="11.1015625" style="7" customWidth="1"/>
    <col min="11057" max="11057" width="7.1015625" style="7" customWidth="1"/>
    <col min="11058" max="11059" width="5.83984375" style="7" customWidth="1"/>
    <col min="11060" max="11060" width="6" style="7" customWidth="1"/>
    <col min="11061" max="11061" width="6.83984375" style="7" customWidth="1"/>
    <col min="11062" max="11062" width="6" style="7" customWidth="1"/>
    <col min="11063" max="11063" width="18.1015625" style="7" customWidth="1"/>
    <col min="11064" max="11301" width="9" style="7"/>
    <col min="11302" max="11302" width="2.1015625" style="7" customWidth="1"/>
    <col min="11303" max="11303" width="5.83984375" style="7" customWidth="1"/>
    <col min="11304" max="11304" width="6.83984375" style="7" customWidth="1"/>
    <col min="11305" max="11305" width="6.1015625" style="7" customWidth="1"/>
    <col min="11306" max="11306" width="6.83984375" style="7" customWidth="1"/>
    <col min="11307" max="11307" width="10.83984375" style="7" customWidth="1"/>
    <col min="11308" max="11308" width="11.578125" style="7" customWidth="1"/>
    <col min="11309" max="11309" width="5.578125" style="7" customWidth="1"/>
    <col min="11310" max="11310" width="6" style="7" customWidth="1"/>
    <col min="11311" max="11311" width="6.578125" style="7" customWidth="1"/>
    <col min="11312" max="11312" width="11.1015625" style="7" customWidth="1"/>
    <col min="11313" max="11313" width="7.1015625" style="7" customWidth="1"/>
    <col min="11314" max="11315" width="5.83984375" style="7" customWidth="1"/>
    <col min="11316" max="11316" width="6" style="7" customWidth="1"/>
    <col min="11317" max="11317" width="6.83984375" style="7" customWidth="1"/>
    <col min="11318" max="11318" width="6" style="7" customWidth="1"/>
    <col min="11319" max="11319" width="18.1015625" style="7" customWidth="1"/>
    <col min="11320" max="11557" width="9" style="7"/>
    <col min="11558" max="11558" width="2.1015625" style="7" customWidth="1"/>
    <col min="11559" max="11559" width="5.83984375" style="7" customWidth="1"/>
    <col min="11560" max="11560" width="6.83984375" style="7" customWidth="1"/>
    <col min="11561" max="11561" width="6.1015625" style="7" customWidth="1"/>
    <col min="11562" max="11562" width="6.83984375" style="7" customWidth="1"/>
    <col min="11563" max="11563" width="10.83984375" style="7" customWidth="1"/>
    <col min="11564" max="11564" width="11.578125" style="7" customWidth="1"/>
    <col min="11565" max="11565" width="5.578125" style="7" customWidth="1"/>
    <col min="11566" max="11566" width="6" style="7" customWidth="1"/>
    <col min="11567" max="11567" width="6.578125" style="7" customWidth="1"/>
    <col min="11568" max="11568" width="11.1015625" style="7" customWidth="1"/>
    <col min="11569" max="11569" width="7.1015625" style="7" customWidth="1"/>
    <col min="11570" max="11571" width="5.83984375" style="7" customWidth="1"/>
    <col min="11572" max="11572" width="6" style="7" customWidth="1"/>
    <col min="11573" max="11573" width="6.83984375" style="7" customWidth="1"/>
    <col min="11574" max="11574" width="6" style="7" customWidth="1"/>
    <col min="11575" max="11575" width="18.1015625" style="7" customWidth="1"/>
    <col min="11576" max="11813" width="9" style="7"/>
    <col min="11814" max="11814" width="2.1015625" style="7" customWidth="1"/>
    <col min="11815" max="11815" width="5.83984375" style="7" customWidth="1"/>
    <col min="11816" max="11816" width="6.83984375" style="7" customWidth="1"/>
    <col min="11817" max="11817" width="6.1015625" style="7" customWidth="1"/>
    <col min="11818" max="11818" width="6.83984375" style="7" customWidth="1"/>
    <col min="11819" max="11819" width="10.83984375" style="7" customWidth="1"/>
    <col min="11820" max="11820" width="11.578125" style="7" customWidth="1"/>
    <col min="11821" max="11821" width="5.578125" style="7" customWidth="1"/>
    <col min="11822" max="11822" width="6" style="7" customWidth="1"/>
    <col min="11823" max="11823" width="6.578125" style="7" customWidth="1"/>
    <col min="11824" max="11824" width="11.1015625" style="7" customWidth="1"/>
    <col min="11825" max="11825" width="7.1015625" style="7" customWidth="1"/>
    <col min="11826" max="11827" width="5.83984375" style="7" customWidth="1"/>
    <col min="11828" max="11828" width="6" style="7" customWidth="1"/>
    <col min="11829" max="11829" width="6.83984375" style="7" customWidth="1"/>
    <col min="11830" max="11830" width="6" style="7" customWidth="1"/>
    <col min="11831" max="11831" width="18.1015625" style="7" customWidth="1"/>
    <col min="11832" max="12069" width="9" style="7"/>
    <col min="12070" max="12070" width="2.1015625" style="7" customWidth="1"/>
    <col min="12071" max="12071" width="5.83984375" style="7" customWidth="1"/>
    <col min="12072" max="12072" width="6.83984375" style="7" customWidth="1"/>
    <col min="12073" max="12073" width="6.1015625" style="7" customWidth="1"/>
    <col min="12074" max="12074" width="6.83984375" style="7" customWidth="1"/>
    <col min="12075" max="12075" width="10.83984375" style="7" customWidth="1"/>
    <col min="12076" max="12076" width="11.578125" style="7" customWidth="1"/>
    <col min="12077" max="12077" width="5.578125" style="7" customWidth="1"/>
    <col min="12078" max="12078" width="6" style="7" customWidth="1"/>
    <col min="12079" max="12079" width="6.578125" style="7" customWidth="1"/>
    <col min="12080" max="12080" width="11.1015625" style="7" customWidth="1"/>
    <col min="12081" max="12081" width="7.1015625" style="7" customWidth="1"/>
    <col min="12082" max="12083" width="5.83984375" style="7" customWidth="1"/>
    <col min="12084" max="12084" width="6" style="7" customWidth="1"/>
    <col min="12085" max="12085" width="6.83984375" style="7" customWidth="1"/>
    <col min="12086" max="12086" width="6" style="7" customWidth="1"/>
    <col min="12087" max="12087" width="18.1015625" style="7" customWidth="1"/>
    <col min="12088" max="12325" width="9" style="7"/>
    <col min="12326" max="12326" width="2.1015625" style="7" customWidth="1"/>
    <col min="12327" max="12327" width="5.83984375" style="7" customWidth="1"/>
    <col min="12328" max="12328" width="6.83984375" style="7" customWidth="1"/>
    <col min="12329" max="12329" width="6.1015625" style="7" customWidth="1"/>
    <col min="12330" max="12330" width="6.83984375" style="7" customWidth="1"/>
    <col min="12331" max="12331" width="10.83984375" style="7" customWidth="1"/>
    <col min="12332" max="12332" width="11.578125" style="7" customWidth="1"/>
    <col min="12333" max="12333" width="5.578125" style="7" customWidth="1"/>
    <col min="12334" max="12334" width="6" style="7" customWidth="1"/>
    <col min="12335" max="12335" width="6.578125" style="7" customWidth="1"/>
    <col min="12336" max="12336" width="11.1015625" style="7" customWidth="1"/>
    <col min="12337" max="12337" width="7.1015625" style="7" customWidth="1"/>
    <col min="12338" max="12339" width="5.83984375" style="7" customWidth="1"/>
    <col min="12340" max="12340" width="6" style="7" customWidth="1"/>
    <col min="12341" max="12341" width="6.83984375" style="7" customWidth="1"/>
    <col min="12342" max="12342" width="6" style="7" customWidth="1"/>
    <col min="12343" max="12343" width="18.1015625" style="7" customWidth="1"/>
    <col min="12344" max="12581" width="9" style="7"/>
    <col min="12582" max="12582" width="2.1015625" style="7" customWidth="1"/>
    <col min="12583" max="12583" width="5.83984375" style="7" customWidth="1"/>
    <col min="12584" max="12584" width="6.83984375" style="7" customWidth="1"/>
    <col min="12585" max="12585" width="6.1015625" style="7" customWidth="1"/>
    <col min="12586" max="12586" width="6.83984375" style="7" customWidth="1"/>
    <col min="12587" max="12587" width="10.83984375" style="7" customWidth="1"/>
    <col min="12588" max="12588" width="11.578125" style="7" customWidth="1"/>
    <col min="12589" max="12589" width="5.578125" style="7" customWidth="1"/>
    <col min="12590" max="12590" width="6" style="7" customWidth="1"/>
    <col min="12591" max="12591" width="6.578125" style="7" customWidth="1"/>
    <col min="12592" max="12592" width="11.1015625" style="7" customWidth="1"/>
    <col min="12593" max="12593" width="7.1015625" style="7" customWidth="1"/>
    <col min="12594" max="12595" width="5.83984375" style="7" customWidth="1"/>
    <col min="12596" max="12596" width="6" style="7" customWidth="1"/>
    <col min="12597" max="12597" width="6.83984375" style="7" customWidth="1"/>
    <col min="12598" max="12598" width="6" style="7" customWidth="1"/>
    <col min="12599" max="12599" width="18.1015625" style="7" customWidth="1"/>
    <col min="12600" max="12837" width="9" style="7"/>
    <col min="12838" max="12838" width="2.1015625" style="7" customWidth="1"/>
    <col min="12839" max="12839" width="5.83984375" style="7" customWidth="1"/>
    <col min="12840" max="12840" width="6.83984375" style="7" customWidth="1"/>
    <col min="12841" max="12841" width="6.1015625" style="7" customWidth="1"/>
    <col min="12842" max="12842" width="6.83984375" style="7" customWidth="1"/>
    <col min="12843" max="12843" width="10.83984375" style="7" customWidth="1"/>
    <col min="12844" max="12844" width="11.578125" style="7" customWidth="1"/>
    <col min="12845" max="12845" width="5.578125" style="7" customWidth="1"/>
    <col min="12846" max="12846" width="6" style="7" customWidth="1"/>
    <col min="12847" max="12847" width="6.578125" style="7" customWidth="1"/>
    <col min="12848" max="12848" width="11.1015625" style="7" customWidth="1"/>
    <col min="12849" max="12849" width="7.1015625" style="7" customWidth="1"/>
    <col min="12850" max="12851" width="5.83984375" style="7" customWidth="1"/>
    <col min="12852" max="12852" width="6" style="7" customWidth="1"/>
    <col min="12853" max="12853" width="6.83984375" style="7" customWidth="1"/>
    <col min="12854" max="12854" width="6" style="7" customWidth="1"/>
    <col min="12855" max="12855" width="18.1015625" style="7" customWidth="1"/>
    <col min="12856" max="13093" width="9" style="7"/>
    <col min="13094" max="13094" width="2.1015625" style="7" customWidth="1"/>
    <col min="13095" max="13095" width="5.83984375" style="7" customWidth="1"/>
    <col min="13096" max="13096" width="6.83984375" style="7" customWidth="1"/>
    <col min="13097" max="13097" width="6.1015625" style="7" customWidth="1"/>
    <col min="13098" max="13098" width="6.83984375" style="7" customWidth="1"/>
    <col min="13099" max="13099" width="10.83984375" style="7" customWidth="1"/>
    <col min="13100" max="13100" width="11.578125" style="7" customWidth="1"/>
    <col min="13101" max="13101" width="5.578125" style="7" customWidth="1"/>
    <col min="13102" max="13102" width="6" style="7" customWidth="1"/>
    <col min="13103" max="13103" width="6.578125" style="7" customWidth="1"/>
    <col min="13104" max="13104" width="11.1015625" style="7" customWidth="1"/>
    <col min="13105" max="13105" width="7.1015625" style="7" customWidth="1"/>
    <col min="13106" max="13107" width="5.83984375" style="7" customWidth="1"/>
    <col min="13108" max="13108" width="6" style="7" customWidth="1"/>
    <col min="13109" max="13109" width="6.83984375" style="7" customWidth="1"/>
    <col min="13110" max="13110" width="6" style="7" customWidth="1"/>
    <col min="13111" max="13111" width="18.1015625" style="7" customWidth="1"/>
    <col min="13112" max="13349" width="9" style="7"/>
    <col min="13350" max="13350" width="2.1015625" style="7" customWidth="1"/>
    <col min="13351" max="13351" width="5.83984375" style="7" customWidth="1"/>
    <col min="13352" max="13352" width="6.83984375" style="7" customWidth="1"/>
    <col min="13353" max="13353" width="6.1015625" style="7" customWidth="1"/>
    <col min="13354" max="13354" width="6.83984375" style="7" customWidth="1"/>
    <col min="13355" max="13355" width="10.83984375" style="7" customWidth="1"/>
    <col min="13356" max="13356" width="11.578125" style="7" customWidth="1"/>
    <col min="13357" max="13357" width="5.578125" style="7" customWidth="1"/>
    <col min="13358" max="13358" width="6" style="7" customWidth="1"/>
    <col min="13359" max="13359" width="6.578125" style="7" customWidth="1"/>
    <col min="13360" max="13360" width="11.1015625" style="7" customWidth="1"/>
    <col min="13361" max="13361" width="7.1015625" style="7" customWidth="1"/>
    <col min="13362" max="13363" width="5.83984375" style="7" customWidth="1"/>
    <col min="13364" max="13364" width="6" style="7" customWidth="1"/>
    <col min="13365" max="13365" width="6.83984375" style="7" customWidth="1"/>
    <col min="13366" max="13366" width="6" style="7" customWidth="1"/>
    <col min="13367" max="13367" width="18.1015625" style="7" customWidth="1"/>
    <col min="13368" max="13605" width="9" style="7"/>
    <col min="13606" max="13606" width="2.1015625" style="7" customWidth="1"/>
    <col min="13607" max="13607" width="5.83984375" style="7" customWidth="1"/>
    <col min="13608" max="13608" width="6.83984375" style="7" customWidth="1"/>
    <col min="13609" max="13609" width="6.1015625" style="7" customWidth="1"/>
    <col min="13610" max="13610" width="6.83984375" style="7" customWidth="1"/>
    <col min="13611" max="13611" width="10.83984375" style="7" customWidth="1"/>
    <col min="13612" max="13612" width="11.578125" style="7" customWidth="1"/>
    <col min="13613" max="13613" width="5.578125" style="7" customWidth="1"/>
    <col min="13614" max="13614" width="6" style="7" customWidth="1"/>
    <col min="13615" max="13615" width="6.578125" style="7" customWidth="1"/>
    <col min="13616" max="13616" width="11.1015625" style="7" customWidth="1"/>
    <col min="13617" max="13617" width="7.1015625" style="7" customWidth="1"/>
    <col min="13618" max="13619" width="5.83984375" style="7" customWidth="1"/>
    <col min="13620" max="13620" width="6" style="7" customWidth="1"/>
    <col min="13621" max="13621" width="6.83984375" style="7" customWidth="1"/>
    <col min="13622" max="13622" width="6" style="7" customWidth="1"/>
    <col min="13623" max="13623" width="18.1015625" style="7" customWidth="1"/>
    <col min="13624" max="13861" width="9" style="7"/>
    <col min="13862" max="13862" width="2.1015625" style="7" customWidth="1"/>
    <col min="13863" max="13863" width="5.83984375" style="7" customWidth="1"/>
    <col min="13864" max="13864" width="6.83984375" style="7" customWidth="1"/>
    <col min="13865" max="13865" width="6.1015625" style="7" customWidth="1"/>
    <col min="13866" max="13866" width="6.83984375" style="7" customWidth="1"/>
    <col min="13867" max="13867" width="10.83984375" style="7" customWidth="1"/>
    <col min="13868" max="13868" width="11.578125" style="7" customWidth="1"/>
    <col min="13869" max="13869" width="5.578125" style="7" customWidth="1"/>
    <col min="13870" max="13870" width="6" style="7" customWidth="1"/>
    <col min="13871" max="13871" width="6.578125" style="7" customWidth="1"/>
    <col min="13872" max="13872" width="11.1015625" style="7" customWidth="1"/>
    <col min="13873" max="13873" width="7.1015625" style="7" customWidth="1"/>
    <col min="13874" max="13875" width="5.83984375" style="7" customWidth="1"/>
    <col min="13876" max="13876" width="6" style="7" customWidth="1"/>
    <col min="13877" max="13877" width="6.83984375" style="7" customWidth="1"/>
    <col min="13878" max="13878" width="6" style="7" customWidth="1"/>
    <col min="13879" max="13879" width="18.1015625" style="7" customWidth="1"/>
    <col min="13880" max="14117" width="9" style="7"/>
    <col min="14118" max="14118" width="2.1015625" style="7" customWidth="1"/>
    <col min="14119" max="14119" width="5.83984375" style="7" customWidth="1"/>
    <col min="14120" max="14120" width="6.83984375" style="7" customWidth="1"/>
    <col min="14121" max="14121" width="6.1015625" style="7" customWidth="1"/>
    <col min="14122" max="14122" width="6.83984375" style="7" customWidth="1"/>
    <col min="14123" max="14123" width="10.83984375" style="7" customWidth="1"/>
    <col min="14124" max="14124" width="11.578125" style="7" customWidth="1"/>
    <col min="14125" max="14125" width="5.578125" style="7" customWidth="1"/>
    <col min="14126" max="14126" width="6" style="7" customWidth="1"/>
    <col min="14127" max="14127" width="6.578125" style="7" customWidth="1"/>
    <col min="14128" max="14128" width="11.1015625" style="7" customWidth="1"/>
    <col min="14129" max="14129" width="7.1015625" style="7" customWidth="1"/>
    <col min="14130" max="14131" width="5.83984375" style="7" customWidth="1"/>
    <col min="14132" max="14132" width="6" style="7" customWidth="1"/>
    <col min="14133" max="14133" width="6.83984375" style="7" customWidth="1"/>
    <col min="14134" max="14134" width="6" style="7" customWidth="1"/>
    <col min="14135" max="14135" width="18.1015625" style="7" customWidth="1"/>
    <col min="14136" max="14373" width="9" style="7"/>
    <col min="14374" max="14374" width="2.1015625" style="7" customWidth="1"/>
    <col min="14375" max="14375" width="5.83984375" style="7" customWidth="1"/>
    <col min="14376" max="14376" width="6.83984375" style="7" customWidth="1"/>
    <col min="14377" max="14377" width="6.1015625" style="7" customWidth="1"/>
    <col min="14378" max="14378" width="6.83984375" style="7" customWidth="1"/>
    <col min="14379" max="14379" width="10.83984375" style="7" customWidth="1"/>
    <col min="14380" max="14380" width="11.578125" style="7" customWidth="1"/>
    <col min="14381" max="14381" width="5.578125" style="7" customWidth="1"/>
    <col min="14382" max="14382" width="6" style="7" customWidth="1"/>
    <col min="14383" max="14383" width="6.578125" style="7" customWidth="1"/>
    <col min="14384" max="14384" width="11.1015625" style="7" customWidth="1"/>
    <col min="14385" max="14385" width="7.1015625" style="7" customWidth="1"/>
    <col min="14386" max="14387" width="5.83984375" style="7" customWidth="1"/>
    <col min="14388" max="14388" width="6" style="7" customWidth="1"/>
    <col min="14389" max="14389" width="6.83984375" style="7" customWidth="1"/>
    <col min="14390" max="14390" width="6" style="7" customWidth="1"/>
    <col min="14391" max="14391" width="18.1015625" style="7" customWidth="1"/>
    <col min="14392" max="14629" width="9" style="7"/>
    <col min="14630" max="14630" width="2.1015625" style="7" customWidth="1"/>
    <col min="14631" max="14631" width="5.83984375" style="7" customWidth="1"/>
    <col min="14632" max="14632" width="6.83984375" style="7" customWidth="1"/>
    <col min="14633" max="14633" width="6.1015625" style="7" customWidth="1"/>
    <col min="14634" max="14634" width="6.83984375" style="7" customWidth="1"/>
    <col min="14635" max="14635" width="10.83984375" style="7" customWidth="1"/>
    <col min="14636" max="14636" width="11.578125" style="7" customWidth="1"/>
    <col min="14637" max="14637" width="5.578125" style="7" customWidth="1"/>
    <col min="14638" max="14638" width="6" style="7" customWidth="1"/>
    <col min="14639" max="14639" width="6.578125" style="7" customWidth="1"/>
    <col min="14640" max="14640" width="11.1015625" style="7" customWidth="1"/>
    <col min="14641" max="14641" width="7.1015625" style="7" customWidth="1"/>
    <col min="14642" max="14643" width="5.83984375" style="7" customWidth="1"/>
    <col min="14644" max="14644" width="6" style="7" customWidth="1"/>
    <col min="14645" max="14645" width="6.83984375" style="7" customWidth="1"/>
    <col min="14646" max="14646" width="6" style="7" customWidth="1"/>
    <col min="14647" max="14647" width="18.1015625" style="7" customWidth="1"/>
    <col min="14648" max="14885" width="9" style="7"/>
    <col min="14886" max="14886" width="2.1015625" style="7" customWidth="1"/>
    <col min="14887" max="14887" width="5.83984375" style="7" customWidth="1"/>
    <col min="14888" max="14888" width="6.83984375" style="7" customWidth="1"/>
    <col min="14889" max="14889" width="6.1015625" style="7" customWidth="1"/>
    <col min="14890" max="14890" width="6.83984375" style="7" customWidth="1"/>
    <col min="14891" max="14891" width="10.83984375" style="7" customWidth="1"/>
    <col min="14892" max="14892" width="11.578125" style="7" customWidth="1"/>
    <col min="14893" max="14893" width="5.578125" style="7" customWidth="1"/>
    <col min="14894" max="14894" width="6" style="7" customWidth="1"/>
    <col min="14895" max="14895" width="6.578125" style="7" customWidth="1"/>
    <col min="14896" max="14896" width="11.1015625" style="7" customWidth="1"/>
    <col min="14897" max="14897" width="7.1015625" style="7" customWidth="1"/>
    <col min="14898" max="14899" width="5.83984375" style="7" customWidth="1"/>
    <col min="14900" max="14900" width="6" style="7" customWidth="1"/>
    <col min="14901" max="14901" width="6.83984375" style="7" customWidth="1"/>
    <col min="14902" max="14902" width="6" style="7" customWidth="1"/>
    <col min="14903" max="14903" width="18.1015625" style="7" customWidth="1"/>
    <col min="14904" max="15141" width="9" style="7"/>
    <col min="15142" max="15142" width="2.1015625" style="7" customWidth="1"/>
    <col min="15143" max="15143" width="5.83984375" style="7" customWidth="1"/>
    <col min="15144" max="15144" width="6.83984375" style="7" customWidth="1"/>
    <col min="15145" max="15145" width="6.1015625" style="7" customWidth="1"/>
    <col min="15146" max="15146" width="6.83984375" style="7" customWidth="1"/>
    <col min="15147" max="15147" width="10.83984375" style="7" customWidth="1"/>
    <col min="15148" max="15148" width="11.578125" style="7" customWidth="1"/>
    <col min="15149" max="15149" width="5.578125" style="7" customWidth="1"/>
    <col min="15150" max="15150" width="6" style="7" customWidth="1"/>
    <col min="15151" max="15151" width="6.578125" style="7" customWidth="1"/>
    <col min="15152" max="15152" width="11.1015625" style="7" customWidth="1"/>
    <col min="15153" max="15153" width="7.1015625" style="7" customWidth="1"/>
    <col min="15154" max="15155" width="5.83984375" style="7" customWidth="1"/>
    <col min="15156" max="15156" width="6" style="7" customWidth="1"/>
    <col min="15157" max="15157" width="6.83984375" style="7" customWidth="1"/>
    <col min="15158" max="15158" width="6" style="7" customWidth="1"/>
    <col min="15159" max="15159" width="18.1015625" style="7" customWidth="1"/>
    <col min="15160" max="15397" width="9" style="7"/>
    <col min="15398" max="15398" width="2.1015625" style="7" customWidth="1"/>
    <col min="15399" max="15399" width="5.83984375" style="7" customWidth="1"/>
    <col min="15400" max="15400" width="6.83984375" style="7" customWidth="1"/>
    <col min="15401" max="15401" width="6.1015625" style="7" customWidth="1"/>
    <col min="15402" max="15402" width="6.83984375" style="7" customWidth="1"/>
    <col min="15403" max="15403" width="10.83984375" style="7" customWidth="1"/>
    <col min="15404" max="15404" width="11.578125" style="7" customWidth="1"/>
    <col min="15405" max="15405" width="5.578125" style="7" customWidth="1"/>
    <col min="15406" max="15406" width="6" style="7" customWidth="1"/>
    <col min="15407" max="15407" width="6.578125" style="7" customWidth="1"/>
    <col min="15408" max="15408" width="11.1015625" style="7" customWidth="1"/>
    <col min="15409" max="15409" width="7.1015625" style="7" customWidth="1"/>
    <col min="15410" max="15411" width="5.83984375" style="7" customWidth="1"/>
    <col min="15412" max="15412" width="6" style="7" customWidth="1"/>
    <col min="15413" max="15413" width="6.83984375" style="7" customWidth="1"/>
    <col min="15414" max="15414" width="6" style="7" customWidth="1"/>
    <col min="15415" max="15415" width="18.1015625" style="7" customWidth="1"/>
    <col min="15416" max="15653" width="9" style="7"/>
    <col min="15654" max="15654" width="2.1015625" style="7" customWidth="1"/>
    <col min="15655" max="15655" width="5.83984375" style="7" customWidth="1"/>
    <col min="15656" max="15656" width="6.83984375" style="7" customWidth="1"/>
    <col min="15657" max="15657" width="6.1015625" style="7" customWidth="1"/>
    <col min="15658" max="15658" width="6.83984375" style="7" customWidth="1"/>
    <col min="15659" max="15659" width="10.83984375" style="7" customWidth="1"/>
    <col min="15660" max="15660" width="11.578125" style="7" customWidth="1"/>
    <col min="15661" max="15661" width="5.578125" style="7" customWidth="1"/>
    <col min="15662" max="15662" width="6" style="7" customWidth="1"/>
    <col min="15663" max="15663" width="6.578125" style="7" customWidth="1"/>
    <col min="15664" max="15664" width="11.1015625" style="7" customWidth="1"/>
    <col min="15665" max="15665" width="7.1015625" style="7" customWidth="1"/>
    <col min="15666" max="15667" width="5.83984375" style="7" customWidth="1"/>
    <col min="15668" max="15668" width="6" style="7" customWidth="1"/>
    <col min="15669" max="15669" width="6.83984375" style="7" customWidth="1"/>
    <col min="15670" max="15670" width="6" style="7" customWidth="1"/>
    <col min="15671" max="15671" width="18.1015625" style="7" customWidth="1"/>
    <col min="15672" max="15909" width="9" style="7"/>
    <col min="15910" max="15910" width="2.1015625" style="7" customWidth="1"/>
    <col min="15911" max="15911" width="5.83984375" style="7" customWidth="1"/>
    <col min="15912" max="15912" width="6.83984375" style="7" customWidth="1"/>
    <col min="15913" max="15913" width="6.1015625" style="7" customWidth="1"/>
    <col min="15914" max="15914" width="6.83984375" style="7" customWidth="1"/>
    <col min="15915" max="15915" width="10.83984375" style="7" customWidth="1"/>
    <col min="15916" max="15916" width="11.578125" style="7" customWidth="1"/>
    <col min="15917" max="15917" width="5.578125" style="7" customWidth="1"/>
    <col min="15918" max="15918" width="6" style="7" customWidth="1"/>
    <col min="15919" max="15919" width="6.578125" style="7" customWidth="1"/>
    <col min="15920" max="15920" width="11.1015625" style="7" customWidth="1"/>
    <col min="15921" max="15921" width="7.1015625" style="7" customWidth="1"/>
    <col min="15922" max="15923" width="5.83984375" style="7" customWidth="1"/>
    <col min="15924" max="15924" width="6" style="7" customWidth="1"/>
    <col min="15925" max="15925" width="6.83984375" style="7" customWidth="1"/>
    <col min="15926" max="15926" width="6" style="7" customWidth="1"/>
    <col min="15927" max="15927" width="18.1015625" style="7" customWidth="1"/>
    <col min="15928" max="16165" width="9" style="7"/>
    <col min="16166" max="16166" width="2.1015625" style="7" customWidth="1"/>
    <col min="16167" max="16167" width="5.83984375" style="7" customWidth="1"/>
    <col min="16168" max="16168" width="6.83984375" style="7" customWidth="1"/>
    <col min="16169" max="16169" width="6.1015625" style="7" customWidth="1"/>
    <col min="16170" max="16170" width="6.83984375" style="7" customWidth="1"/>
    <col min="16171" max="16171" width="10.83984375" style="7" customWidth="1"/>
    <col min="16172" max="16172" width="11.578125" style="7" customWidth="1"/>
    <col min="16173" max="16173" width="5.578125" style="7" customWidth="1"/>
    <col min="16174" max="16174" width="6" style="7" customWidth="1"/>
    <col min="16175" max="16175" width="6.578125" style="7" customWidth="1"/>
    <col min="16176" max="16176" width="11.1015625" style="7" customWidth="1"/>
    <col min="16177" max="16177" width="7.1015625" style="7" customWidth="1"/>
    <col min="16178" max="16179" width="5.83984375" style="7" customWidth="1"/>
    <col min="16180" max="16180" width="6" style="7" customWidth="1"/>
    <col min="16181" max="16181" width="6.83984375" style="7" customWidth="1"/>
    <col min="16182" max="16182" width="6" style="7" customWidth="1"/>
    <col min="16183" max="16183" width="18.1015625" style="7" customWidth="1"/>
  </cols>
  <sheetData>
    <row r="1" spans="2:58" ht="17.5" customHeight="1" thickBot="1" x14ac:dyDescent="0.45">
      <c r="B1" s="176" t="s">
        <v>230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</row>
    <row r="2" spans="2:58" ht="13" customHeight="1" x14ac:dyDescent="0.4">
      <c r="B2" s="223" t="s">
        <v>232</v>
      </c>
      <c r="C2" s="186"/>
      <c r="D2" s="186"/>
      <c r="E2" s="186"/>
      <c r="F2" s="186"/>
      <c r="G2" s="186"/>
      <c r="H2" s="186"/>
      <c r="I2" s="186"/>
      <c r="J2" s="186"/>
      <c r="K2" s="186"/>
      <c r="L2" s="191"/>
      <c r="M2" s="224" t="s">
        <v>231</v>
      </c>
      <c r="N2" s="186"/>
      <c r="O2" s="186"/>
      <c r="P2" s="186"/>
      <c r="Q2" s="186"/>
      <c r="R2" s="186"/>
      <c r="S2" s="186"/>
      <c r="T2" s="186"/>
      <c r="U2" s="186"/>
      <c r="V2" s="186"/>
      <c r="W2" s="191"/>
      <c r="X2" s="136" t="s">
        <v>233</v>
      </c>
      <c r="Y2" s="186"/>
      <c r="Z2" s="186"/>
      <c r="AA2" s="186"/>
      <c r="AB2" s="186"/>
      <c r="AC2" s="186"/>
      <c r="AD2" s="186"/>
      <c r="AE2" s="186"/>
      <c r="AF2" s="186"/>
      <c r="AG2" s="186"/>
      <c r="AH2" s="191"/>
      <c r="AI2" s="224" t="s">
        <v>234</v>
      </c>
      <c r="AJ2" s="186"/>
      <c r="AK2" s="186"/>
      <c r="AL2" s="186"/>
      <c r="AM2" s="186"/>
      <c r="AN2" s="186"/>
      <c r="AO2" s="186"/>
      <c r="AP2" s="186"/>
      <c r="AQ2" s="186"/>
      <c r="AR2" s="186"/>
      <c r="AS2" s="186"/>
      <c r="AT2" s="191"/>
      <c r="AU2" s="136" t="s">
        <v>235</v>
      </c>
      <c r="AV2" s="186"/>
      <c r="AW2" s="186"/>
      <c r="AX2" s="186"/>
      <c r="AY2" s="186"/>
      <c r="AZ2" s="186"/>
      <c r="BA2" s="186"/>
      <c r="BB2" s="186"/>
      <c r="BC2" s="186"/>
      <c r="BD2" s="186"/>
      <c r="BE2" s="186"/>
      <c r="BF2" s="225"/>
    </row>
    <row r="3" spans="2:58" ht="13" customHeight="1" x14ac:dyDescent="0.4">
      <c r="B3" s="227"/>
      <c r="C3" s="211"/>
      <c r="D3" s="211"/>
      <c r="E3" s="211"/>
      <c r="F3" s="211"/>
      <c r="G3" s="211"/>
      <c r="H3" s="211"/>
      <c r="I3" s="211"/>
      <c r="J3" s="211"/>
      <c r="K3" s="211"/>
      <c r="L3" s="212"/>
      <c r="M3" s="230"/>
      <c r="N3" s="211"/>
      <c r="O3" s="211"/>
      <c r="P3" s="211"/>
      <c r="Q3" s="211"/>
      <c r="R3" s="211"/>
      <c r="S3" s="211"/>
      <c r="T3" s="211"/>
      <c r="U3" s="211"/>
      <c r="V3" s="211"/>
      <c r="W3" s="212"/>
      <c r="X3" s="218"/>
      <c r="Y3" s="211"/>
      <c r="Z3" s="211"/>
      <c r="AA3" s="211"/>
      <c r="AB3" s="211"/>
      <c r="AC3" s="211"/>
      <c r="AD3" s="211"/>
      <c r="AE3" s="211"/>
      <c r="AF3" s="211"/>
      <c r="AG3" s="211"/>
      <c r="AH3" s="212"/>
      <c r="AI3" s="240"/>
      <c r="AJ3" s="211"/>
      <c r="AK3" s="211"/>
      <c r="AL3" s="211"/>
      <c r="AM3" s="211"/>
      <c r="AN3" s="211"/>
      <c r="AO3" s="211"/>
      <c r="AP3" s="211"/>
      <c r="AQ3" s="211"/>
      <c r="AR3" s="211"/>
      <c r="AS3" s="211"/>
      <c r="AT3" s="212"/>
      <c r="AU3" s="218"/>
      <c r="AV3" s="211"/>
      <c r="AW3" s="211"/>
      <c r="AX3" s="211"/>
      <c r="AY3" s="211"/>
      <c r="AZ3" s="211"/>
      <c r="BA3" s="211"/>
      <c r="BB3" s="211"/>
      <c r="BC3" s="211"/>
      <c r="BD3" s="211"/>
      <c r="BE3" s="211"/>
      <c r="BF3" s="220"/>
    </row>
    <row r="4" spans="2:58" ht="13" customHeight="1" x14ac:dyDescent="0.4">
      <c r="B4" s="228"/>
      <c r="C4" s="214"/>
      <c r="D4" s="214"/>
      <c r="E4" s="214"/>
      <c r="F4" s="214"/>
      <c r="G4" s="214"/>
      <c r="H4" s="214"/>
      <c r="I4" s="214"/>
      <c r="J4" s="214"/>
      <c r="K4" s="214"/>
      <c r="L4" s="215"/>
      <c r="M4" s="213"/>
      <c r="N4" s="214"/>
      <c r="O4" s="214"/>
      <c r="P4" s="214"/>
      <c r="Q4" s="214"/>
      <c r="R4" s="214"/>
      <c r="S4" s="214"/>
      <c r="T4" s="214"/>
      <c r="U4" s="214"/>
      <c r="V4" s="214"/>
      <c r="W4" s="215"/>
      <c r="X4" s="213"/>
      <c r="Y4" s="214"/>
      <c r="Z4" s="214"/>
      <c r="AA4" s="214"/>
      <c r="AB4" s="214"/>
      <c r="AC4" s="214"/>
      <c r="AD4" s="214"/>
      <c r="AE4" s="214"/>
      <c r="AF4" s="214"/>
      <c r="AG4" s="214"/>
      <c r="AH4" s="215"/>
      <c r="AI4" s="213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5"/>
      <c r="AU4" s="213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21"/>
    </row>
    <row r="5" spans="2:58" ht="13" customHeight="1" x14ac:dyDescent="0.4">
      <c r="B5" s="228"/>
      <c r="C5" s="214"/>
      <c r="D5" s="214"/>
      <c r="E5" s="214"/>
      <c r="F5" s="214"/>
      <c r="G5" s="214"/>
      <c r="H5" s="214"/>
      <c r="I5" s="214"/>
      <c r="J5" s="214"/>
      <c r="K5" s="214"/>
      <c r="L5" s="215"/>
      <c r="M5" s="213"/>
      <c r="N5" s="214"/>
      <c r="O5" s="214"/>
      <c r="P5" s="214"/>
      <c r="Q5" s="214"/>
      <c r="R5" s="214"/>
      <c r="S5" s="214"/>
      <c r="T5" s="214"/>
      <c r="U5" s="214"/>
      <c r="V5" s="214"/>
      <c r="W5" s="215"/>
      <c r="X5" s="213"/>
      <c r="Y5" s="214"/>
      <c r="Z5" s="214"/>
      <c r="AA5" s="214"/>
      <c r="AB5" s="214"/>
      <c r="AC5" s="214"/>
      <c r="AD5" s="214"/>
      <c r="AE5" s="214"/>
      <c r="AF5" s="214"/>
      <c r="AG5" s="214"/>
      <c r="AH5" s="215"/>
      <c r="AI5" s="213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5"/>
      <c r="AU5" s="213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21"/>
    </row>
    <row r="6" spans="2:58" ht="13" customHeight="1" x14ac:dyDescent="0.4">
      <c r="B6" s="228"/>
      <c r="C6" s="214"/>
      <c r="D6" s="214"/>
      <c r="E6" s="214"/>
      <c r="F6" s="214"/>
      <c r="G6" s="214"/>
      <c r="H6" s="214"/>
      <c r="I6" s="214"/>
      <c r="J6" s="214"/>
      <c r="K6" s="214"/>
      <c r="L6" s="215"/>
      <c r="M6" s="213"/>
      <c r="N6" s="214"/>
      <c r="O6" s="214"/>
      <c r="P6" s="214"/>
      <c r="Q6" s="214"/>
      <c r="R6" s="214"/>
      <c r="S6" s="214"/>
      <c r="T6" s="214"/>
      <c r="U6" s="214"/>
      <c r="V6" s="214"/>
      <c r="W6" s="215"/>
      <c r="X6" s="213"/>
      <c r="Y6" s="214"/>
      <c r="Z6" s="214"/>
      <c r="AA6" s="214"/>
      <c r="AB6" s="214"/>
      <c r="AC6" s="214"/>
      <c r="AD6" s="214"/>
      <c r="AE6" s="214"/>
      <c r="AF6" s="214"/>
      <c r="AG6" s="214"/>
      <c r="AH6" s="215"/>
      <c r="AI6" s="213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5"/>
      <c r="AU6" s="213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21"/>
    </row>
    <row r="7" spans="2:58" ht="13" customHeight="1" x14ac:dyDescent="0.4">
      <c r="B7" s="228"/>
      <c r="C7" s="214"/>
      <c r="D7" s="214"/>
      <c r="E7" s="214"/>
      <c r="F7" s="214"/>
      <c r="G7" s="214"/>
      <c r="H7" s="214"/>
      <c r="I7" s="214"/>
      <c r="J7" s="214"/>
      <c r="K7" s="214"/>
      <c r="L7" s="215"/>
      <c r="M7" s="213"/>
      <c r="N7" s="214"/>
      <c r="O7" s="214"/>
      <c r="P7" s="214"/>
      <c r="Q7" s="214"/>
      <c r="R7" s="214"/>
      <c r="S7" s="214"/>
      <c r="T7" s="214"/>
      <c r="U7" s="214"/>
      <c r="V7" s="214"/>
      <c r="W7" s="215"/>
      <c r="X7" s="213"/>
      <c r="Y7" s="214"/>
      <c r="Z7" s="214"/>
      <c r="AA7" s="214"/>
      <c r="AB7" s="214"/>
      <c r="AC7" s="214"/>
      <c r="AD7" s="214"/>
      <c r="AE7" s="214"/>
      <c r="AF7" s="214"/>
      <c r="AG7" s="214"/>
      <c r="AH7" s="215"/>
      <c r="AI7" s="213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5"/>
      <c r="AU7" s="213"/>
      <c r="AV7" s="214"/>
      <c r="AW7" s="214"/>
      <c r="AX7" s="214"/>
      <c r="AY7" s="214"/>
      <c r="AZ7" s="214"/>
      <c r="BA7" s="214"/>
      <c r="BB7" s="214"/>
      <c r="BC7" s="214"/>
      <c r="BD7" s="214"/>
      <c r="BE7" s="214"/>
      <c r="BF7" s="221"/>
    </row>
    <row r="8" spans="2:58" ht="13" customHeight="1" x14ac:dyDescent="0.4">
      <c r="B8" s="228"/>
      <c r="C8" s="214"/>
      <c r="D8" s="214"/>
      <c r="E8" s="214"/>
      <c r="F8" s="214"/>
      <c r="G8" s="214"/>
      <c r="H8" s="214"/>
      <c r="I8" s="214"/>
      <c r="J8" s="214"/>
      <c r="K8" s="214"/>
      <c r="L8" s="215"/>
      <c r="M8" s="213"/>
      <c r="N8" s="214"/>
      <c r="O8" s="214"/>
      <c r="P8" s="214"/>
      <c r="Q8" s="214"/>
      <c r="R8" s="214"/>
      <c r="S8" s="214"/>
      <c r="T8" s="214"/>
      <c r="U8" s="214"/>
      <c r="V8" s="214"/>
      <c r="W8" s="215"/>
      <c r="X8" s="213"/>
      <c r="Y8" s="214"/>
      <c r="Z8" s="214"/>
      <c r="AA8" s="214"/>
      <c r="AB8" s="214"/>
      <c r="AC8" s="214"/>
      <c r="AD8" s="214"/>
      <c r="AE8" s="214"/>
      <c r="AF8" s="214"/>
      <c r="AG8" s="214"/>
      <c r="AH8" s="215"/>
      <c r="AI8" s="213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5"/>
      <c r="AU8" s="213"/>
      <c r="AV8" s="214"/>
      <c r="AW8" s="214"/>
      <c r="AX8" s="214"/>
      <c r="AY8" s="214"/>
      <c r="AZ8" s="214"/>
      <c r="BA8" s="214"/>
      <c r="BB8" s="214"/>
      <c r="BC8" s="214"/>
      <c r="BD8" s="214"/>
      <c r="BE8" s="214"/>
      <c r="BF8" s="221"/>
    </row>
    <row r="9" spans="2:58" ht="13" customHeight="1" x14ac:dyDescent="0.4">
      <c r="B9" s="229"/>
      <c r="C9" s="217"/>
      <c r="D9" s="217"/>
      <c r="E9" s="217"/>
      <c r="F9" s="217"/>
      <c r="G9" s="217"/>
      <c r="H9" s="217"/>
      <c r="I9" s="217"/>
      <c r="J9" s="217"/>
      <c r="K9" s="217"/>
      <c r="L9" s="174"/>
      <c r="M9" s="216"/>
      <c r="N9" s="217"/>
      <c r="O9" s="217"/>
      <c r="P9" s="217"/>
      <c r="Q9" s="217"/>
      <c r="R9" s="217"/>
      <c r="S9" s="217"/>
      <c r="T9" s="217"/>
      <c r="U9" s="217"/>
      <c r="V9" s="217"/>
      <c r="W9" s="174"/>
      <c r="X9" s="216"/>
      <c r="Y9" s="217"/>
      <c r="Z9" s="217"/>
      <c r="AA9" s="217"/>
      <c r="AB9" s="217"/>
      <c r="AC9" s="217"/>
      <c r="AD9" s="217"/>
      <c r="AE9" s="217"/>
      <c r="AF9" s="217"/>
      <c r="AG9" s="217"/>
      <c r="AH9" s="174"/>
      <c r="AI9" s="216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174"/>
      <c r="AU9" s="216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22"/>
    </row>
    <row r="10" spans="2:58" ht="13" customHeight="1" x14ac:dyDescent="0.4">
      <c r="B10" s="206" t="s">
        <v>236</v>
      </c>
      <c r="C10" s="204"/>
      <c r="D10" s="204"/>
      <c r="E10" s="204"/>
      <c r="F10" s="204"/>
      <c r="G10" s="204"/>
      <c r="H10" s="204"/>
      <c r="I10" s="204"/>
      <c r="J10" s="204"/>
      <c r="K10" s="204"/>
      <c r="L10" s="175"/>
      <c r="M10" s="226" t="s">
        <v>237</v>
      </c>
      <c r="N10" s="204"/>
      <c r="O10" s="204"/>
      <c r="P10" s="204"/>
      <c r="Q10" s="204"/>
      <c r="R10" s="204"/>
      <c r="S10" s="204"/>
      <c r="T10" s="204"/>
      <c r="U10" s="204"/>
      <c r="V10" s="204"/>
      <c r="W10" s="175"/>
      <c r="X10" s="181" t="s">
        <v>238</v>
      </c>
      <c r="Y10" s="204"/>
      <c r="Z10" s="204"/>
      <c r="AA10" s="204"/>
      <c r="AB10" s="204"/>
      <c r="AC10" s="204"/>
      <c r="AD10" s="204"/>
      <c r="AE10" s="204"/>
      <c r="AF10" s="204"/>
      <c r="AG10" s="204"/>
      <c r="AH10" s="175"/>
      <c r="AI10" s="181" t="s">
        <v>239</v>
      </c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175"/>
      <c r="AU10" s="157" t="s">
        <v>240</v>
      </c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8"/>
    </row>
    <row r="11" spans="2:58" ht="13" customHeight="1" x14ac:dyDescent="0.4">
      <c r="B11" s="227"/>
      <c r="C11" s="211"/>
      <c r="D11" s="211"/>
      <c r="E11" s="211"/>
      <c r="F11" s="211"/>
      <c r="G11" s="211"/>
      <c r="H11" s="211"/>
      <c r="I11" s="211"/>
      <c r="J11" s="211"/>
      <c r="K11" s="211"/>
      <c r="L11" s="212"/>
      <c r="M11" s="230"/>
      <c r="N11" s="211"/>
      <c r="O11" s="211"/>
      <c r="P11" s="211"/>
      <c r="Q11" s="211"/>
      <c r="R11" s="211"/>
      <c r="S11" s="211"/>
      <c r="T11" s="211"/>
      <c r="U11" s="211"/>
      <c r="V11" s="211"/>
      <c r="W11" s="212"/>
      <c r="X11" s="230"/>
      <c r="Y11" s="211"/>
      <c r="Z11" s="211"/>
      <c r="AA11" s="211"/>
      <c r="AB11" s="211"/>
      <c r="AC11" s="211"/>
      <c r="AD11" s="211"/>
      <c r="AE11" s="211"/>
      <c r="AF11" s="211"/>
      <c r="AG11" s="211"/>
      <c r="AH11" s="212"/>
      <c r="AI11" s="230"/>
      <c r="AJ11" s="211"/>
      <c r="AK11" s="211"/>
      <c r="AL11" s="211"/>
      <c r="AM11" s="211"/>
      <c r="AN11" s="211"/>
      <c r="AO11" s="211"/>
      <c r="AP11" s="211"/>
      <c r="AQ11" s="211"/>
      <c r="AR11" s="211"/>
      <c r="AS11" s="211"/>
      <c r="AT11" s="212"/>
      <c r="AU11" s="219"/>
      <c r="AV11" s="211"/>
      <c r="AW11" s="211"/>
      <c r="AX11" s="211"/>
      <c r="AY11" s="211"/>
      <c r="AZ11" s="211"/>
      <c r="BA11" s="211"/>
      <c r="BB11" s="211"/>
      <c r="BC11" s="211"/>
      <c r="BD11" s="211"/>
      <c r="BE11" s="211"/>
      <c r="BF11" s="220"/>
    </row>
    <row r="12" spans="2:58" ht="13" customHeight="1" x14ac:dyDescent="0.4">
      <c r="B12" s="228"/>
      <c r="C12" s="214"/>
      <c r="D12" s="214"/>
      <c r="E12" s="214"/>
      <c r="F12" s="214"/>
      <c r="G12" s="214"/>
      <c r="H12" s="214"/>
      <c r="I12" s="214"/>
      <c r="J12" s="214"/>
      <c r="K12" s="214"/>
      <c r="L12" s="215"/>
      <c r="M12" s="213"/>
      <c r="N12" s="214"/>
      <c r="O12" s="214"/>
      <c r="P12" s="214"/>
      <c r="Q12" s="214"/>
      <c r="R12" s="214"/>
      <c r="S12" s="214"/>
      <c r="T12" s="214"/>
      <c r="U12" s="214"/>
      <c r="V12" s="214"/>
      <c r="W12" s="215"/>
      <c r="X12" s="213"/>
      <c r="Y12" s="214"/>
      <c r="Z12" s="214"/>
      <c r="AA12" s="214"/>
      <c r="AB12" s="214"/>
      <c r="AC12" s="214"/>
      <c r="AD12" s="214"/>
      <c r="AE12" s="214"/>
      <c r="AF12" s="214"/>
      <c r="AG12" s="214"/>
      <c r="AH12" s="215"/>
      <c r="AI12" s="213"/>
      <c r="AJ12" s="214"/>
      <c r="AK12" s="214"/>
      <c r="AL12" s="214"/>
      <c r="AM12" s="214"/>
      <c r="AN12" s="214"/>
      <c r="AO12" s="214"/>
      <c r="AP12" s="214"/>
      <c r="AQ12" s="214"/>
      <c r="AR12" s="214"/>
      <c r="AS12" s="214"/>
      <c r="AT12" s="215"/>
      <c r="AU12" s="213"/>
      <c r="AV12" s="214"/>
      <c r="AW12" s="214"/>
      <c r="AX12" s="214"/>
      <c r="AY12" s="214"/>
      <c r="AZ12" s="214"/>
      <c r="BA12" s="214"/>
      <c r="BB12" s="214"/>
      <c r="BC12" s="214"/>
      <c r="BD12" s="214"/>
      <c r="BE12" s="214"/>
      <c r="BF12" s="221"/>
    </row>
    <row r="13" spans="2:58" ht="13" customHeight="1" x14ac:dyDescent="0.4">
      <c r="B13" s="228"/>
      <c r="C13" s="214"/>
      <c r="D13" s="214"/>
      <c r="E13" s="214"/>
      <c r="F13" s="214"/>
      <c r="G13" s="214"/>
      <c r="H13" s="214"/>
      <c r="I13" s="214"/>
      <c r="J13" s="214"/>
      <c r="K13" s="214"/>
      <c r="L13" s="215"/>
      <c r="M13" s="213"/>
      <c r="N13" s="214"/>
      <c r="O13" s="214"/>
      <c r="P13" s="214"/>
      <c r="Q13" s="214"/>
      <c r="R13" s="214"/>
      <c r="S13" s="214"/>
      <c r="T13" s="214"/>
      <c r="U13" s="214"/>
      <c r="V13" s="214"/>
      <c r="W13" s="215"/>
      <c r="X13" s="213"/>
      <c r="Y13" s="214"/>
      <c r="Z13" s="214"/>
      <c r="AA13" s="214"/>
      <c r="AB13" s="214"/>
      <c r="AC13" s="214"/>
      <c r="AD13" s="214"/>
      <c r="AE13" s="214"/>
      <c r="AF13" s="214"/>
      <c r="AG13" s="214"/>
      <c r="AH13" s="215"/>
      <c r="AI13" s="213"/>
      <c r="AJ13" s="214"/>
      <c r="AK13" s="214"/>
      <c r="AL13" s="214"/>
      <c r="AM13" s="214"/>
      <c r="AN13" s="214"/>
      <c r="AO13" s="214"/>
      <c r="AP13" s="214"/>
      <c r="AQ13" s="214"/>
      <c r="AR13" s="214"/>
      <c r="AS13" s="214"/>
      <c r="AT13" s="215"/>
      <c r="AU13" s="213"/>
      <c r="AV13" s="214"/>
      <c r="AW13" s="214"/>
      <c r="AX13" s="214"/>
      <c r="AY13" s="214"/>
      <c r="AZ13" s="214"/>
      <c r="BA13" s="214"/>
      <c r="BB13" s="214"/>
      <c r="BC13" s="214"/>
      <c r="BD13" s="214"/>
      <c r="BE13" s="214"/>
      <c r="BF13" s="221"/>
    </row>
    <row r="14" spans="2:58" ht="13" customHeight="1" x14ac:dyDescent="0.4">
      <c r="B14" s="228"/>
      <c r="C14" s="214"/>
      <c r="D14" s="214"/>
      <c r="E14" s="214"/>
      <c r="F14" s="214"/>
      <c r="G14" s="214"/>
      <c r="H14" s="214"/>
      <c r="I14" s="214"/>
      <c r="J14" s="214"/>
      <c r="K14" s="214"/>
      <c r="L14" s="215"/>
      <c r="M14" s="213"/>
      <c r="N14" s="214"/>
      <c r="O14" s="214"/>
      <c r="P14" s="214"/>
      <c r="Q14" s="214"/>
      <c r="R14" s="214"/>
      <c r="S14" s="214"/>
      <c r="T14" s="214"/>
      <c r="U14" s="214"/>
      <c r="V14" s="214"/>
      <c r="W14" s="215"/>
      <c r="X14" s="213"/>
      <c r="Y14" s="214"/>
      <c r="Z14" s="214"/>
      <c r="AA14" s="214"/>
      <c r="AB14" s="214"/>
      <c r="AC14" s="214"/>
      <c r="AD14" s="214"/>
      <c r="AE14" s="214"/>
      <c r="AF14" s="214"/>
      <c r="AG14" s="214"/>
      <c r="AH14" s="215"/>
      <c r="AI14" s="213"/>
      <c r="AJ14" s="214"/>
      <c r="AK14" s="214"/>
      <c r="AL14" s="214"/>
      <c r="AM14" s="214"/>
      <c r="AN14" s="214"/>
      <c r="AO14" s="214"/>
      <c r="AP14" s="214"/>
      <c r="AQ14" s="214"/>
      <c r="AR14" s="214"/>
      <c r="AS14" s="214"/>
      <c r="AT14" s="215"/>
      <c r="AU14" s="213"/>
      <c r="AV14" s="214"/>
      <c r="AW14" s="214"/>
      <c r="AX14" s="214"/>
      <c r="AY14" s="214"/>
      <c r="AZ14" s="214"/>
      <c r="BA14" s="214"/>
      <c r="BB14" s="214"/>
      <c r="BC14" s="214"/>
      <c r="BD14" s="214"/>
      <c r="BE14" s="214"/>
      <c r="BF14" s="221"/>
    </row>
    <row r="15" spans="2:58" ht="13" customHeight="1" x14ac:dyDescent="0.4">
      <c r="B15" s="228"/>
      <c r="C15" s="214"/>
      <c r="D15" s="214"/>
      <c r="E15" s="214"/>
      <c r="F15" s="214"/>
      <c r="G15" s="214"/>
      <c r="H15" s="214"/>
      <c r="I15" s="214"/>
      <c r="J15" s="214"/>
      <c r="K15" s="214"/>
      <c r="L15" s="215"/>
      <c r="M15" s="213"/>
      <c r="N15" s="214"/>
      <c r="O15" s="214"/>
      <c r="P15" s="214"/>
      <c r="Q15" s="214"/>
      <c r="R15" s="214"/>
      <c r="S15" s="214"/>
      <c r="T15" s="214"/>
      <c r="U15" s="214"/>
      <c r="V15" s="214"/>
      <c r="W15" s="215"/>
      <c r="X15" s="213"/>
      <c r="Y15" s="214"/>
      <c r="Z15" s="214"/>
      <c r="AA15" s="214"/>
      <c r="AB15" s="214"/>
      <c r="AC15" s="214"/>
      <c r="AD15" s="214"/>
      <c r="AE15" s="214"/>
      <c r="AF15" s="214"/>
      <c r="AG15" s="214"/>
      <c r="AH15" s="215"/>
      <c r="AI15" s="213"/>
      <c r="AJ15" s="214"/>
      <c r="AK15" s="214"/>
      <c r="AL15" s="214"/>
      <c r="AM15" s="214"/>
      <c r="AN15" s="214"/>
      <c r="AO15" s="214"/>
      <c r="AP15" s="214"/>
      <c r="AQ15" s="214"/>
      <c r="AR15" s="214"/>
      <c r="AS15" s="214"/>
      <c r="AT15" s="215"/>
      <c r="AU15" s="213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221"/>
    </row>
    <row r="16" spans="2:58" ht="13" customHeight="1" x14ac:dyDescent="0.4">
      <c r="B16" s="228"/>
      <c r="C16" s="214"/>
      <c r="D16" s="214"/>
      <c r="E16" s="214"/>
      <c r="F16" s="214"/>
      <c r="G16" s="214"/>
      <c r="H16" s="214"/>
      <c r="I16" s="214"/>
      <c r="J16" s="214"/>
      <c r="K16" s="214"/>
      <c r="L16" s="215"/>
      <c r="M16" s="213"/>
      <c r="N16" s="214"/>
      <c r="O16" s="214"/>
      <c r="P16" s="214"/>
      <c r="Q16" s="214"/>
      <c r="R16" s="214"/>
      <c r="S16" s="214"/>
      <c r="T16" s="214"/>
      <c r="U16" s="214"/>
      <c r="V16" s="214"/>
      <c r="W16" s="215"/>
      <c r="X16" s="213"/>
      <c r="Y16" s="214"/>
      <c r="Z16" s="214"/>
      <c r="AA16" s="214"/>
      <c r="AB16" s="214"/>
      <c r="AC16" s="214"/>
      <c r="AD16" s="214"/>
      <c r="AE16" s="214"/>
      <c r="AF16" s="214"/>
      <c r="AG16" s="214"/>
      <c r="AH16" s="215"/>
      <c r="AI16" s="213"/>
      <c r="AJ16" s="214"/>
      <c r="AK16" s="214"/>
      <c r="AL16" s="214"/>
      <c r="AM16" s="214"/>
      <c r="AN16" s="214"/>
      <c r="AO16" s="214"/>
      <c r="AP16" s="214"/>
      <c r="AQ16" s="214"/>
      <c r="AR16" s="214"/>
      <c r="AS16" s="214"/>
      <c r="AT16" s="215"/>
      <c r="AU16" s="213"/>
      <c r="AV16" s="214"/>
      <c r="AW16" s="214"/>
      <c r="AX16" s="214"/>
      <c r="AY16" s="214"/>
      <c r="AZ16" s="214"/>
      <c r="BA16" s="214"/>
      <c r="BB16" s="214"/>
      <c r="BC16" s="214"/>
      <c r="BD16" s="214"/>
      <c r="BE16" s="214"/>
      <c r="BF16" s="221"/>
    </row>
    <row r="17" spans="2:58" ht="13" customHeight="1" x14ac:dyDescent="0.4">
      <c r="B17" s="229"/>
      <c r="C17" s="217"/>
      <c r="D17" s="217"/>
      <c r="E17" s="217"/>
      <c r="F17" s="217"/>
      <c r="G17" s="217"/>
      <c r="H17" s="217"/>
      <c r="I17" s="217"/>
      <c r="J17" s="217"/>
      <c r="K17" s="217"/>
      <c r="L17" s="174"/>
      <c r="M17" s="216"/>
      <c r="N17" s="217"/>
      <c r="O17" s="217"/>
      <c r="P17" s="217"/>
      <c r="Q17" s="217"/>
      <c r="R17" s="217"/>
      <c r="S17" s="217"/>
      <c r="T17" s="217"/>
      <c r="U17" s="217"/>
      <c r="V17" s="217"/>
      <c r="W17" s="174"/>
      <c r="X17" s="216"/>
      <c r="Y17" s="217"/>
      <c r="Z17" s="217"/>
      <c r="AA17" s="217"/>
      <c r="AB17" s="217"/>
      <c r="AC17" s="217"/>
      <c r="AD17" s="217"/>
      <c r="AE17" s="217"/>
      <c r="AF17" s="217"/>
      <c r="AG17" s="217"/>
      <c r="AH17" s="174"/>
      <c r="AI17" s="216"/>
      <c r="AJ17" s="217"/>
      <c r="AK17" s="217"/>
      <c r="AL17" s="217"/>
      <c r="AM17" s="217"/>
      <c r="AN17" s="217"/>
      <c r="AO17" s="217"/>
      <c r="AP17" s="217"/>
      <c r="AQ17" s="217"/>
      <c r="AR17" s="217"/>
      <c r="AS17" s="217"/>
      <c r="AT17" s="174"/>
      <c r="AU17" s="216"/>
      <c r="AV17" s="217"/>
      <c r="AW17" s="217"/>
      <c r="AX17" s="217"/>
      <c r="AY17" s="217"/>
      <c r="AZ17" s="217"/>
      <c r="BA17" s="217"/>
      <c r="BB17" s="217"/>
      <c r="BC17" s="217"/>
      <c r="BD17" s="217"/>
      <c r="BE17" s="217"/>
      <c r="BF17" s="222"/>
    </row>
    <row r="18" spans="2:58" ht="13" customHeight="1" x14ac:dyDescent="0.4">
      <c r="B18" s="206" t="s">
        <v>241</v>
      </c>
      <c r="C18" s="204"/>
      <c r="D18" s="204"/>
      <c r="E18" s="204"/>
      <c r="F18" s="204"/>
      <c r="G18" s="204"/>
      <c r="H18" s="204"/>
      <c r="I18" s="204"/>
      <c r="J18" s="204"/>
      <c r="K18" s="204"/>
      <c r="L18" s="204"/>
      <c r="M18" s="239" t="s">
        <v>242</v>
      </c>
      <c r="N18" s="204"/>
      <c r="O18" s="204"/>
      <c r="P18" s="204"/>
      <c r="Q18" s="204"/>
      <c r="R18" s="204"/>
      <c r="S18" s="204"/>
      <c r="T18" s="204"/>
      <c r="U18" s="204"/>
      <c r="V18" s="204"/>
      <c r="W18" s="175"/>
      <c r="X18" s="238" t="s">
        <v>243</v>
      </c>
      <c r="Y18" s="204"/>
      <c r="Z18" s="204"/>
      <c r="AA18" s="204"/>
      <c r="AB18" s="204"/>
      <c r="AC18" s="204"/>
      <c r="AD18" s="204"/>
      <c r="AE18" s="204"/>
      <c r="AF18" s="204"/>
      <c r="AG18" s="204"/>
      <c r="AH18" s="175"/>
      <c r="AI18" s="143" t="s">
        <v>244</v>
      </c>
      <c r="AJ18" s="204"/>
      <c r="AK18" s="204"/>
      <c r="AL18" s="204"/>
      <c r="AM18" s="204"/>
      <c r="AN18" s="204"/>
      <c r="AO18" s="204"/>
      <c r="AP18" s="204"/>
      <c r="AQ18" s="204"/>
      <c r="AR18" s="204"/>
      <c r="AS18" s="204"/>
      <c r="AT18" s="175"/>
      <c r="AU18" s="157" t="s">
        <v>245</v>
      </c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8"/>
    </row>
    <row r="19" spans="2:58" ht="13" customHeight="1" x14ac:dyDescent="0.4">
      <c r="B19" s="227"/>
      <c r="C19" s="211"/>
      <c r="D19" s="211"/>
      <c r="E19" s="211"/>
      <c r="F19" s="211"/>
      <c r="G19" s="211"/>
      <c r="H19" s="211"/>
      <c r="I19" s="211"/>
      <c r="J19" s="211"/>
      <c r="K19" s="211"/>
      <c r="L19" s="212"/>
      <c r="M19" s="241"/>
      <c r="N19" s="211"/>
      <c r="O19" s="211"/>
      <c r="P19" s="211"/>
      <c r="Q19" s="211"/>
      <c r="R19" s="211"/>
      <c r="S19" s="211"/>
      <c r="T19" s="211"/>
      <c r="U19" s="211"/>
      <c r="V19" s="211"/>
      <c r="W19" s="212"/>
      <c r="X19" s="210"/>
      <c r="Y19" s="211"/>
      <c r="Z19" s="211"/>
      <c r="AA19" s="211"/>
      <c r="AB19" s="211"/>
      <c r="AC19" s="211"/>
      <c r="AD19" s="211"/>
      <c r="AE19" s="211"/>
      <c r="AF19" s="211"/>
      <c r="AG19" s="211"/>
      <c r="AH19" s="212"/>
      <c r="AI19" s="218"/>
      <c r="AJ19" s="211"/>
      <c r="AK19" s="211"/>
      <c r="AL19" s="211"/>
      <c r="AM19" s="211"/>
      <c r="AN19" s="211"/>
      <c r="AO19" s="211"/>
      <c r="AP19" s="211"/>
      <c r="AQ19" s="211"/>
      <c r="AR19" s="211"/>
      <c r="AS19" s="211"/>
      <c r="AT19" s="212"/>
      <c r="AU19" s="219"/>
      <c r="AV19" s="211"/>
      <c r="AW19" s="211"/>
      <c r="AX19" s="211"/>
      <c r="AY19" s="211"/>
      <c r="AZ19" s="211"/>
      <c r="BA19" s="211"/>
      <c r="BB19" s="211"/>
      <c r="BC19" s="211"/>
      <c r="BD19" s="211"/>
      <c r="BE19" s="211"/>
      <c r="BF19" s="220"/>
    </row>
    <row r="20" spans="2:58" ht="13" customHeight="1" x14ac:dyDescent="0.4">
      <c r="B20" s="228"/>
      <c r="C20" s="214"/>
      <c r="D20" s="214"/>
      <c r="E20" s="214"/>
      <c r="F20" s="214"/>
      <c r="G20" s="214"/>
      <c r="H20" s="214"/>
      <c r="I20" s="214"/>
      <c r="J20" s="214"/>
      <c r="K20" s="214"/>
      <c r="L20" s="215"/>
      <c r="M20" s="213"/>
      <c r="N20" s="214"/>
      <c r="O20" s="214"/>
      <c r="P20" s="214"/>
      <c r="Q20" s="214"/>
      <c r="R20" s="214"/>
      <c r="S20" s="214"/>
      <c r="T20" s="214"/>
      <c r="U20" s="214"/>
      <c r="V20" s="214"/>
      <c r="W20" s="215"/>
      <c r="X20" s="213"/>
      <c r="Y20" s="214"/>
      <c r="Z20" s="214"/>
      <c r="AA20" s="214"/>
      <c r="AB20" s="214"/>
      <c r="AC20" s="214"/>
      <c r="AD20" s="214"/>
      <c r="AE20" s="214"/>
      <c r="AF20" s="214"/>
      <c r="AG20" s="214"/>
      <c r="AH20" s="215"/>
      <c r="AI20" s="213"/>
      <c r="AJ20" s="214"/>
      <c r="AK20" s="214"/>
      <c r="AL20" s="214"/>
      <c r="AM20" s="214"/>
      <c r="AN20" s="214"/>
      <c r="AO20" s="214"/>
      <c r="AP20" s="214"/>
      <c r="AQ20" s="214"/>
      <c r="AR20" s="214"/>
      <c r="AS20" s="214"/>
      <c r="AT20" s="215"/>
      <c r="AU20" s="213"/>
      <c r="AV20" s="214"/>
      <c r="AW20" s="214"/>
      <c r="AX20" s="214"/>
      <c r="AY20" s="214"/>
      <c r="AZ20" s="214"/>
      <c r="BA20" s="214"/>
      <c r="BB20" s="214"/>
      <c r="BC20" s="214"/>
      <c r="BD20" s="214"/>
      <c r="BE20" s="214"/>
      <c r="BF20" s="221"/>
    </row>
    <row r="21" spans="2:58" ht="13" customHeight="1" x14ac:dyDescent="0.4">
      <c r="B21" s="228"/>
      <c r="C21" s="214"/>
      <c r="D21" s="214"/>
      <c r="E21" s="214"/>
      <c r="F21" s="214"/>
      <c r="G21" s="214"/>
      <c r="H21" s="214"/>
      <c r="I21" s="214"/>
      <c r="J21" s="214"/>
      <c r="K21" s="214"/>
      <c r="L21" s="215"/>
      <c r="M21" s="213"/>
      <c r="N21" s="214"/>
      <c r="O21" s="214"/>
      <c r="P21" s="214"/>
      <c r="Q21" s="214"/>
      <c r="R21" s="214"/>
      <c r="S21" s="214"/>
      <c r="T21" s="214"/>
      <c r="U21" s="214"/>
      <c r="V21" s="214"/>
      <c r="W21" s="215"/>
      <c r="X21" s="213"/>
      <c r="Y21" s="214"/>
      <c r="Z21" s="214"/>
      <c r="AA21" s="214"/>
      <c r="AB21" s="214"/>
      <c r="AC21" s="214"/>
      <c r="AD21" s="214"/>
      <c r="AE21" s="214"/>
      <c r="AF21" s="214"/>
      <c r="AG21" s="214"/>
      <c r="AH21" s="215"/>
      <c r="AI21" s="213"/>
      <c r="AJ21" s="214"/>
      <c r="AK21" s="214"/>
      <c r="AL21" s="214"/>
      <c r="AM21" s="214"/>
      <c r="AN21" s="214"/>
      <c r="AO21" s="214"/>
      <c r="AP21" s="214"/>
      <c r="AQ21" s="214"/>
      <c r="AR21" s="214"/>
      <c r="AS21" s="214"/>
      <c r="AT21" s="215"/>
      <c r="AU21" s="213"/>
      <c r="AV21" s="214"/>
      <c r="AW21" s="214"/>
      <c r="AX21" s="214"/>
      <c r="AY21" s="214"/>
      <c r="AZ21" s="214"/>
      <c r="BA21" s="214"/>
      <c r="BB21" s="214"/>
      <c r="BC21" s="214"/>
      <c r="BD21" s="214"/>
      <c r="BE21" s="214"/>
      <c r="BF21" s="221"/>
    </row>
    <row r="22" spans="2:58" ht="13" customHeight="1" x14ac:dyDescent="0.4">
      <c r="B22" s="228"/>
      <c r="C22" s="214"/>
      <c r="D22" s="214"/>
      <c r="E22" s="214"/>
      <c r="F22" s="214"/>
      <c r="G22" s="214"/>
      <c r="H22" s="214"/>
      <c r="I22" s="214"/>
      <c r="J22" s="214"/>
      <c r="K22" s="214"/>
      <c r="L22" s="215"/>
      <c r="M22" s="213"/>
      <c r="N22" s="214"/>
      <c r="O22" s="214"/>
      <c r="P22" s="214"/>
      <c r="Q22" s="214"/>
      <c r="R22" s="214"/>
      <c r="S22" s="214"/>
      <c r="T22" s="214"/>
      <c r="U22" s="214"/>
      <c r="V22" s="214"/>
      <c r="W22" s="215"/>
      <c r="X22" s="213"/>
      <c r="Y22" s="214"/>
      <c r="Z22" s="214"/>
      <c r="AA22" s="214"/>
      <c r="AB22" s="214"/>
      <c r="AC22" s="214"/>
      <c r="AD22" s="214"/>
      <c r="AE22" s="214"/>
      <c r="AF22" s="214"/>
      <c r="AG22" s="214"/>
      <c r="AH22" s="215"/>
      <c r="AI22" s="213"/>
      <c r="AJ22" s="214"/>
      <c r="AK22" s="214"/>
      <c r="AL22" s="214"/>
      <c r="AM22" s="214"/>
      <c r="AN22" s="214"/>
      <c r="AO22" s="214"/>
      <c r="AP22" s="214"/>
      <c r="AQ22" s="214"/>
      <c r="AR22" s="214"/>
      <c r="AS22" s="214"/>
      <c r="AT22" s="215"/>
      <c r="AU22" s="213"/>
      <c r="AV22" s="214"/>
      <c r="AW22" s="214"/>
      <c r="AX22" s="214"/>
      <c r="AY22" s="214"/>
      <c r="AZ22" s="214"/>
      <c r="BA22" s="214"/>
      <c r="BB22" s="214"/>
      <c r="BC22" s="214"/>
      <c r="BD22" s="214"/>
      <c r="BE22" s="214"/>
      <c r="BF22" s="221"/>
    </row>
    <row r="23" spans="2:58" ht="13" customHeight="1" x14ac:dyDescent="0.4">
      <c r="B23" s="228"/>
      <c r="C23" s="214"/>
      <c r="D23" s="214"/>
      <c r="E23" s="214"/>
      <c r="F23" s="214"/>
      <c r="G23" s="214"/>
      <c r="H23" s="214"/>
      <c r="I23" s="214"/>
      <c r="J23" s="214"/>
      <c r="K23" s="214"/>
      <c r="L23" s="215"/>
      <c r="M23" s="213"/>
      <c r="N23" s="214"/>
      <c r="O23" s="214"/>
      <c r="P23" s="214"/>
      <c r="Q23" s="214"/>
      <c r="R23" s="214"/>
      <c r="S23" s="214"/>
      <c r="T23" s="214"/>
      <c r="U23" s="214"/>
      <c r="V23" s="214"/>
      <c r="W23" s="215"/>
      <c r="X23" s="213"/>
      <c r="Y23" s="214"/>
      <c r="Z23" s="214"/>
      <c r="AA23" s="214"/>
      <c r="AB23" s="214"/>
      <c r="AC23" s="214"/>
      <c r="AD23" s="214"/>
      <c r="AE23" s="214"/>
      <c r="AF23" s="214"/>
      <c r="AG23" s="214"/>
      <c r="AH23" s="215"/>
      <c r="AI23" s="213"/>
      <c r="AJ23" s="214"/>
      <c r="AK23" s="214"/>
      <c r="AL23" s="214"/>
      <c r="AM23" s="214"/>
      <c r="AN23" s="214"/>
      <c r="AO23" s="214"/>
      <c r="AP23" s="214"/>
      <c r="AQ23" s="214"/>
      <c r="AR23" s="214"/>
      <c r="AS23" s="214"/>
      <c r="AT23" s="215"/>
      <c r="AU23" s="213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21"/>
    </row>
    <row r="24" spans="2:58" ht="13" customHeight="1" x14ac:dyDescent="0.4">
      <c r="B24" s="229"/>
      <c r="C24" s="217"/>
      <c r="D24" s="217"/>
      <c r="E24" s="217"/>
      <c r="F24" s="217"/>
      <c r="G24" s="217"/>
      <c r="H24" s="217"/>
      <c r="I24" s="217"/>
      <c r="J24" s="217"/>
      <c r="K24" s="217"/>
      <c r="L24" s="174"/>
      <c r="M24" s="216"/>
      <c r="N24" s="217"/>
      <c r="O24" s="217"/>
      <c r="P24" s="217"/>
      <c r="Q24" s="217"/>
      <c r="R24" s="217"/>
      <c r="S24" s="217"/>
      <c r="T24" s="217"/>
      <c r="U24" s="217"/>
      <c r="V24" s="217"/>
      <c r="W24" s="174"/>
      <c r="X24" s="216"/>
      <c r="Y24" s="217"/>
      <c r="Z24" s="217"/>
      <c r="AA24" s="217"/>
      <c r="AB24" s="217"/>
      <c r="AC24" s="217"/>
      <c r="AD24" s="217"/>
      <c r="AE24" s="217"/>
      <c r="AF24" s="217"/>
      <c r="AG24" s="217"/>
      <c r="AH24" s="174"/>
      <c r="AI24" s="216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174"/>
      <c r="AU24" s="216"/>
      <c r="AV24" s="217"/>
      <c r="AW24" s="217"/>
      <c r="AX24" s="217"/>
      <c r="AY24" s="217"/>
      <c r="AZ24" s="217"/>
      <c r="BA24" s="217"/>
      <c r="BB24" s="217"/>
      <c r="BC24" s="217"/>
      <c r="BD24" s="217"/>
      <c r="BE24" s="217"/>
      <c r="BF24" s="222"/>
    </row>
    <row r="25" spans="2:58" ht="13" customHeight="1" x14ac:dyDescent="0.4">
      <c r="B25" s="206" t="s">
        <v>246</v>
      </c>
      <c r="C25" s="204"/>
      <c r="D25" s="204"/>
      <c r="E25" s="204"/>
      <c r="F25" s="204"/>
      <c r="G25" s="204"/>
      <c r="H25" s="204"/>
      <c r="I25" s="204"/>
      <c r="J25" s="204"/>
      <c r="K25" s="204"/>
      <c r="L25" s="175"/>
      <c r="M25" s="181" t="s">
        <v>247</v>
      </c>
      <c r="N25" s="204"/>
      <c r="O25" s="204"/>
      <c r="P25" s="204"/>
      <c r="Q25" s="204"/>
      <c r="R25" s="204"/>
      <c r="S25" s="204"/>
      <c r="T25" s="204"/>
      <c r="U25" s="204"/>
      <c r="V25" s="204"/>
      <c r="W25" s="175"/>
      <c r="X25" s="207" t="s">
        <v>248</v>
      </c>
      <c r="Y25" s="204"/>
      <c r="Z25" s="204"/>
      <c r="AA25" s="204"/>
      <c r="AB25" s="204"/>
      <c r="AC25" s="204"/>
      <c r="AD25" s="204"/>
      <c r="AE25" s="204"/>
      <c r="AF25" s="204"/>
      <c r="AG25" s="204"/>
      <c r="AH25" s="175"/>
      <c r="AI25" s="157" t="s">
        <v>249</v>
      </c>
      <c r="AJ25" s="204"/>
      <c r="AK25" s="204"/>
      <c r="AL25" s="204"/>
      <c r="AM25" s="204"/>
      <c r="AN25" s="204"/>
      <c r="AO25" s="204"/>
      <c r="AP25" s="204"/>
      <c r="AQ25" s="204"/>
      <c r="AR25" s="204"/>
      <c r="AS25" s="204"/>
      <c r="AT25" s="175"/>
      <c r="AU25" s="157" t="s">
        <v>250</v>
      </c>
      <c r="AV25" s="204"/>
      <c r="AW25" s="204"/>
      <c r="AX25" s="204"/>
      <c r="AY25" s="204"/>
      <c r="AZ25" s="204"/>
      <c r="BA25" s="204"/>
      <c r="BB25" s="204"/>
      <c r="BC25" s="204"/>
      <c r="BD25" s="204"/>
      <c r="BE25" s="204"/>
      <c r="BF25" s="208"/>
    </row>
    <row r="26" spans="2:58" ht="13" customHeight="1" x14ac:dyDescent="0.4">
      <c r="B26" s="227"/>
      <c r="C26" s="211"/>
      <c r="D26" s="211"/>
      <c r="E26" s="211"/>
      <c r="F26" s="211"/>
      <c r="G26" s="211"/>
      <c r="H26" s="211"/>
      <c r="I26" s="211"/>
      <c r="J26" s="211"/>
      <c r="K26" s="211"/>
      <c r="L26" s="212"/>
      <c r="M26" s="235"/>
      <c r="N26" s="211"/>
      <c r="O26" s="211"/>
      <c r="P26" s="211"/>
      <c r="Q26" s="211"/>
      <c r="R26" s="211"/>
      <c r="S26" s="211"/>
      <c r="T26" s="211"/>
      <c r="U26" s="211"/>
      <c r="V26" s="211"/>
      <c r="W26" s="212"/>
      <c r="X26" s="231"/>
      <c r="Y26" s="211"/>
      <c r="Z26" s="211"/>
      <c r="AA26" s="211"/>
      <c r="AB26" s="211"/>
      <c r="AC26" s="211"/>
      <c r="AD26" s="211"/>
      <c r="AE26" s="211"/>
      <c r="AF26" s="211"/>
      <c r="AG26" s="211"/>
      <c r="AH26" s="212"/>
      <c r="AI26" s="219"/>
      <c r="AJ26" s="211"/>
      <c r="AK26" s="211"/>
      <c r="AL26" s="211"/>
      <c r="AM26" s="211"/>
      <c r="AN26" s="211"/>
      <c r="AO26" s="211"/>
      <c r="AP26" s="211"/>
      <c r="AQ26" s="211"/>
      <c r="AR26" s="211"/>
      <c r="AS26" s="211"/>
      <c r="AT26" s="212"/>
      <c r="AU26" s="219"/>
      <c r="AV26" s="211"/>
      <c r="AW26" s="211"/>
      <c r="AX26" s="211"/>
      <c r="AY26" s="211"/>
      <c r="AZ26" s="211"/>
      <c r="BA26" s="211"/>
      <c r="BB26" s="211"/>
      <c r="BC26" s="211"/>
      <c r="BD26" s="211"/>
      <c r="BE26" s="211"/>
      <c r="BF26" s="220"/>
    </row>
    <row r="27" spans="2:58" ht="13" customHeight="1" x14ac:dyDescent="0.4">
      <c r="B27" s="228"/>
      <c r="C27" s="214"/>
      <c r="D27" s="214"/>
      <c r="E27" s="214"/>
      <c r="F27" s="214"/>
      <c r="G27" s="214"/>
      <c r="H27" s="214"/>
      <c r="I27" s="214"/>
      <c r="J27" s="214"/>
      <c r="K27" s="214"/>
      <c r="L27" s="215"/>
      <c r="M27" s="213"/>
      <c r="N27" s="214"/>
      <c r="O27" s="214"/>
      <c r="P27" s="214"/>
      <c r="Q27" s="214"/>
      <c r="R27" s="214"/>
      <c r="S27" s="214"/>
      <c r="T27" s="214"/>
      <c r="U27" s="214"/>
      <c r="V27" s="214"/>
      <c r="W27" s="215"/>
      <c r="X27" s="213"/>
      <c r="Y27" s="214"/>
      <c r="Z27" s="214"/>
      <c r="AA27" s="214"/>
      <c r="AB27" s="214"/>
      <c r="AC27" s="214"/>
      <c r="AD27" s="214"/>
      <c r="AE27" s="214"/>
      <c r="AF27" s="214"/>
      <c r="AG27" s="214"/>
      <c r="AH27" s="215"/>
      <c r="AI27" s="213"/>
      <c r="AJ27" s="214"/>
      <c r="AK27" s="214"/>
      <c r="AL27" s="214"/>
      <c r="AM27" s="214"/>
      <c r="AN27" s="214"/>
      <c r="AO27" s="214"/>
      <c r="AP27" s="214"/>
      <c r="AQ27" s="214"/>
      <c r="AR27" s="214"/>
      <c r="AS27" s="214"/>
      <c r="AT27" s="215"/>
      <c r="AU27" s="213"/>
      <c r="AV27" s="214"/>
      <c r="AW27" s="214"/>
      <c r="AX27" s="214"/>
      <c r="AY27" s="214"/>
      <c r="AZ27" s="214"/>
      <c r="BA27" s="214"/>
      <c r="BB27" s="214"/>
      <c r="BC27" s="214"/>
      <c r="BD27" s="214"/>
      <c r="BE27" s="214"/>
      <c r="BF27" s="221"/>
    </row>
    <row r="28" spans="2:58" ht="13" customHeight="1" x14ac:dyDescent="0.4">
      <c r="B28" s="228"/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M28" s="213"/>
      <c r="N28" s="214"/>
      <c r="O28" s="214"/>
      <c r="P28" s="214"/>
      <c r="Q28" s="214"/>
      <c r="R28" s="214"/>
      <c r="S28" s="214"/>
      <c r="T28" s="214"/>
      <c r="U28" s="214"/>
      <c r="V28" s="214"/>
      <c r="W28" s="215"/>
      <c r="X28" s="213"/>
      <c r="Y28" s="214"/>
      <c r="Z28" s="214"/>
      <c r="AA28" s="214"/>
      <c r="AB28" s="214"/>
      <c r="AC28" s="214"/>
      <c r="AD28" s="214"/>
      <c r="AE28" s="214"/>
      <c r="AF28" s="214"/>
      <c r="AG28" s="214"/>
      <c r="AH28" s="215"/>
      <c r="AI28" s="213"/>
      <c r="AJ28" s="214"/>
      <c r="AK28" s="214"/>
      <c r="AL28" s="214"/>
      <c r="AM28" s="214"/>
      <c r="AN28" s="214"/>
      <c r="AO28" s="214"/>
      <c r="AP28" s="214"/>
      <c r="AQ28" s="214"/>
      <c r="AR28" s="214"/>
      <c r="AS28" s="214"/>
      <c r="AT28" s="215"/>
      <c r="AU28" s="213"/>
      <c r="AV28" s="214"/>
      <c r="AW28" s="214"/>
      <c r="AX28" s="214"/>
      <c r="AY28" s="214"/>
      <c r="AZ28" s="214"/>
      <c r="BA28" s="214"/>
      <c r="BB28" s="214"/>
      <c r="BC28" s="214"/>
      <c r="BD28" s="214"/>
      <c r="BE28" s="214"/>
      <c r="BF28" s="221"/>
    </row>
    <row r="29" spans="2:58" ht="13" customHeight="1" x14ac:dyDescent="0.4">
      <c r="B29" s="228"/>
      <c r="C29" s="214"/>
      <c r="D29" s="214"/>
      <c r="E29" s="214"/>
      <c r="F29" s="214"/>
      <c r="G29" s="214"/>
      <c r="H29" s="214"/>
      <c r="I29" s="214"/>
      <c r="J29" s="214"/>
      <c r="K29" s="214"/>
      <c r="L29" s="215"/>
      <c r="M29" s="213"/>
      <c r="N29" s="214"/>
      <c r="O29" s="214"/>
      <c r="P29" s="214"/>
      <c r="Q29" s="214"/>
      <c r="R29" s="214"/>
      <c r="S29" s="214"/>
      <c r="T29" s="214"/>
      <c r="U29" s="214"/>
      <c r="V29" s="214"/>
      <c r="W29" s="215"/>
      <c r="X29" s="213"/>
      <c r="Y29" s="214"/>
      <c r="Z29" s="214"/>
      <c r="AA29" s="214"/>
      <c r="AB29" s="214"/>
      <c r="AC29" s="214"/>
      <c r="AD29" s="214"/>
      <c r="AE29" s="214"/>
      <c r="AF29" s="214"/>
      <c r="AG29" s="214"/>
      <c r="AH29" s="215"/>
      <c r="AI29" s="213"/>
      <c r="AJ29" s="214"/>
      <c r="AK29" s="214"/>
      <c r="AL29" s="214"/>
      <c r="AM29" s="214"/>
      <c r="AN29" s="214"/>
      <c r="AO29" s="214"/>
      <c r="AP29" s="214"/>
      <c r="AQ29" s="214"/>
      <c r="AR29" s="214"/>
      <c r="AS29" s="214"/>
      <c r="AT29" s="215"/>
      <c r="AU29" s="213"/>
      <c r="AV29" s="214"/>
      <c r="AW29" s="214"/>
      <c r="AX29" s="214"/>
      <c r="AY29" s="214"/>
      <c r="AZ29" s="214"/>
      <c r="BA29" s="214"/>
      <c r="BB29" s="214"/>
      <c r="BC29" s="214"/>
      <c r="BD29" s="214"/>
      <c r="BE29" s="214"/>
      <c r="BF29" s="221"/>
    </row>
    <row r="30" spans="2:58" ht="13" customHeight="1" x14ac:dyDescent="0.4">
      <c r="B30" s="228"/>
      <c r="C30" s="214"/>
      <c r="D30" s="214"/>
      <c r="E30" s="214"/>
      <c r="F30" s="214"/>
      <c r="G30" s="214"/>
      <c r="H30" s="214"/>
      <c r="I30" s="214"/>
      <c r="J30" s="214"/>
      <c r="K30" s="214"/>
      <c r="L30" s="215"/>
      <c r="M30" s="213"/>
      <c r="N30" s="214"/>
      <c r="O30" s="214"/>
      <c r="P30" s="214"/>
      <c r="Q30" s="214"/>
      <c r="R30" s="214"/>
      <c r="S30" s="214"/>
      <c r="T30" s="214"/>
      <c r="U30" s="214"/>
      <c r="V30" s="214"/>
      <c r="W30" s="215"/>
      <c r="X30" s="213"/>
      <c r="Y30" s="214"/>
      <c r="Z30" s="214"/>
      <c r="AA30" s="214"/>
      <c r="AB30" s="214"/>
      <c r="AC30" s="214"/>
      <c r="AD30" s="214"/>
      <c r="AE30" s="214"/>
      <c r="AF30" s="214"/>
      <c r="AG30" s="214"/>
      <c r="AH30" s="215"/>
      <c r="AI30" s="213"/>
      <c r="AJ30" s="214"/>
      <c r="AK30" s="214"/>
      <c r="AL30" s="214"/>
      <c r="AM30" s="214"/>
      <c r="AN30" s="214"/>
      <c r="AO30" s="214"/>
      <c r="AP30" s="214"/>
      <c r="AQ30" s="214"/>
      <c r="AR30" s="214"/>
      <c r="AS30" s="214"/>
      <c r="AT30" s="215"/>
      <c r="AU30" s="213"/>
      <c r="AV30" s="214"/>
      <c r="AW30" s="214"/>
      <c r="AX30" s="214"/>
      <c r="AY30" s="214"/>
      <c r="AZ30" s="214"/>
      <c r="BA30" s="214"/>
      <c r="BB30" s="214"/>
      <c r="BC30" s="214"/>
      <c r="BD30" s="214"/>
      <c r="BE30" s="214"/>
      <c r="BF30" s="221"/>
    </row>
    <row r="31" spans="2:58" ht="13" customHeight="1" x14ac:dyDescent="0.4">
      <c r="B31" s="229"/>
      <c r="C31" s="217"/>
      <c r="D31" s="217"/>
      <c r="E31" s="217"/>
      <c r="F31" s="217"/>
      <c r="G31" s="217"/>
      <c r="H31" s="217"/>
      <c r="I31" s="217"/>
      <c r="J31" s="217"/>
      <c r="K31" s="217"/>
      <c r="L31" s="174"/>
      <c r="M31" s="216"/>
      <c r="N31" s="217"/>
      <c r="O31" s="217"/>
      <c r="P31" s="217"/>
      <c r="Q31" s="217"/>
      <c r="R31" s="217"/>
      <c r="S31" s="217"/>
      <c r="T31" s="217"/>
      <c r="U31" s="217"/>
      <c r="V31" s="217"/>
      <c r="W31" s="174"/>
      <c r="X31" s="216"/>
      <c r="Y31" s="217"/>
      <c r="Z31" s="217"/>
      <c r="AA31" s="217"/>
      <c r="AB31" s="217"/>
      <c r="AC31" s="217"/>
      <c r="AD31" s="217"/>
      <c r="AE31" s="217"/>
      <c r="AF31" s="217"/>
      <c r="AG31" s="217"/>
      <c r="AH31" s="174"/>
      <c r="AI31" s="216"/>
      <c r="AJ31" s="217"/>
      <c r="AK31" s="217"/>
      <c r="AL31" s="217"/>
      <c r="AM31" s="217"/>
      <c r="AN31" s="217"/>
      <c r="AO31" s="217"/>
      <c r="AP31" s="217"/>
      <c r="AQ31" s="217"/>
      <c r="AR31" s="217"/>
      <c r="AS31" s="217"/>
      <c r="AT31" s="174"/>
      <c r="AU31" s="216"/>
      <c r="AV31" s="217"/>
      <c r="AW31" s="217"/>
      <c r="AX31" s="217"/>
      <c r="AY31" s="217"/>
      <c r="AZ31" s="217"/>
      <c r="BA31" s="217"/>
      <c r="BB31" s="217"/>
      <c r="BC31" s="217"/>
      <c r="BD31" s="217"/>
      <c r="BE31" s="217"/>
      <c r="BF31" s="222"/>
    </row>
    <row r="32" spans="2:58" ht="13" customHeight="1" x14ac:dyDescent="0.4">
      <c r="B32" s="206" t="s">
        <v>251</v>
      </c>
      <c r="C32" s="204"/>
      <c r="D32" s="204"/>
      <c r="E32" s="204"/>
      <c r="F32" s="204"/>
      <c r="G32" s="204"/>
      <c r="H32" s="204"/>
      <c r="I32" s="204"/>
      <c r="J32" s="204"/>
      <c r="K32" s="204"/>
      <c r="L32" s="175"/>
      <c r="M32" s="209" t="s">
        <v>252</v>
      </c>
      <c r="N32" s="204"/>
      <c r="O32" s="204"/>
      <c r="P32" s="204"/>
      <c r="Q32" s="204"/>
      <c r="R32" s="204"/>
      <c r="S32" s="204"/>
      <c r="T32" s="204"/>
      <c r="U32" s="204"/>
      <c r="V32" s="204"/>
      <c r="W32" s="175"/>
      <c r="X32" s="207" t="s">
        <v>253</v>
      </c>
      <c r="Y32" s="204"/>
      <c r="Z32" s="204"/>
      <c r="AA32" s="204"/>
      <c r="AB32" s="204"/>
      <c r="AC32" s="204"/>
      <c r="AD32" s="204"/>
      <c r="AE32" s="204"/>
      <c r="AF32" s="204"/>
      <c r="AG32" s="204"/>
      <c r="AH32" s="175"/>
      <c r="AI32" s="157" t="s">
        <v>254</v>
      </c>
      <c r="AJ32" s="204"/>
      <c r="AK32" s="204"/>
      <c r="AL32" s="204"/>
      <c r="AM32" s="204"/>
      <c r="AN32" s="204"/>
      <c r="AO32" s="204"/>
      <c r="AP32" s="204"/>
      <c r="AQ32" s="204"/>
      <c r="AR32" s="204"/>
      <c r="AS32" s="204"/>
      <c r="AT32" s="175"/>
      <c r="AU32" s="157" t="s">
        <v>255</v>
      </c>
      <c r="AV32" s="204"/>
      <c r="AW32" s="204"/>
      <c r="AX32" s="204"/>
      <c r="AY32" s="204"/>
      <c r="AZ32" s="204"/>
      <c r="BA32" s="204"/>
      <c r="BB32" s="204"/>
      <c r="BC32" s="204"/>
      <c r="BD32" s="204"/>
      <c r="BE32" s="204"/>
      <c r="BF32" s="208"/>
    </row>
    <row r="33" spans="2:58" ht="13" customHeight="1" x14ac:dyDescent="0.4">
      <c r="B33" s="227"/>
      <c r="C33" s="211"/>
      <c r="D33" s="211"/>
      <c r="E33" s="211"/>
      <c r="F33" s="211"/>
      <c r="G33" s="211"/>
      <c r="H33" s="211"/>
      <c r="I33" s="211"/>
      <c r="J33" s="211"/>
      <c r="K33" s="211"/>
      <c r="L33" s="212"/>
      <c r="M33" s="230"/>
      <c r="N33" s="211"/>
      <c r="O33" s="211"/>
      <c r="P33" s="211"/>
      <c r="Q33" s="211"/>
      <c r="R33" s="211"/>
      <c r="S33" s="211"/>
      <c r="T33" s="211"/>
      <c r="U33" s="211"/>
      <c r="V33" s="211"/>
      <c r="W33" s="212"/>
      <c r="X33" s="231"/>
      <c r="Y33" s="211"/>
      <c r="Z33" s="211"/>
      <c r="AA33" s="211"/>
      <c r="AB33" s="211"/>
      <c r="AC33" s="211"/>
      <c r="AD33" s="211"/>
      <c r="AE33" s="211"/>
      <c r="AF33" s="211"/>
      <c r="AG33" s="211"/>
      <c r="AH33" s="212"/>
      <c r="AI33" s="219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2"/>
      <c r="AU33" s="219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20"/>
    </row>
    <row r="34" spans="2:58" ht="13" customHeight="1" x14ac:dyDescent="0.4">
      <c r="B34" s="228"/>
      <c r="C34" s="214"/>
      <c r="D34" s="214"/>
      <c r="E34" s="214"/>
      <c r="F34" s="214"/>
      <c r="G34" s="214"/>
      <c r="H34" s="214"/>
      <c r="I34" s="214"/>
      <c r="J34" s="214"/>
      <c r="K34" s="214"/>
      <c r="L34" s="215"/>
      <c r="M34" s="213"/>
      <c r="N34" s="214"/>
      <c r="O34" s="214"/>
      <c r="P34" s="214"/>
      <c r="Q34" s="214"/>
      <c r="R34" s="214"/>
      <c r="S34" s="214"/>
      <c r="T34" s="214"/>
      <c r="U34" s="214"/>
      <c r="V34" s="214"/>
      <c r="W34" s="215"/>
      <c r="X34" s="213"/>
      <c r="Y34" s="214"/>
      <c r="Z34" s="214"/>
      <c r="AA34" s="214"/>
      <c r="AB34" s="214"/>
      <c r="AC34" s="214"/>
      <c r="AD34" s="214"/>
      <c r="AE34" s="214"/>
      <c r="AF34" s="214"/>
      <c r="AG34" s="214"/>
      <c r="AH34" s="215"/>
      <c r="AI34" s="213"/>
      <c r="AJ34" s="214"/>
      <c r="AK34" s="214"/>
      <c r="AL34" s="214"/>
      <c r="AM34" s="214"/>
      <c r="AN34" s="214"/>
      <c r="AO34" s="214"/>
      <c r="AP34" s="214"/>
      <c r="AQ34" s="214"/>
      <c r="AR34" s="214"/>
      <c r="AS34" s="214"/>
      <c r="AT34" s="215"/>
      <c r="AU34" s="213"/>
      <c r="AV34" s="214"/>
      <c r="AW34" s="214"/>
      <c r="AX34" s="214"/>
      <c r="AY34" s="214"/>
      <c r="AZ34" s="214"/>
      <c r="BA34" s="214"/>
      <c r="BB34" s="214"/>
      <c r="BC34" s="214"/>
      <c r="BD34" s="214"/>
      <c r="BE34" s="214"/>
      <c r="BF34" s="221"/>
    </row>
    <row r="35" spans="2:58" ht="13" customHeight="1" x14ac:dyDescent="0.4">
      <c r="B35" s="228"/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M35" s="213"/>
      <c r="N35" s="214"/>
      <c r="O35" s="214"/>
      <c r="P35" s="214"/>
      <c r="Q35" s="214"/>
      <c r="R35" s="214"/>
      <c r="S35" s="214"/>
      <c r="T35" s="214"/>
      <c r="U35" s="214"/>
      <c r="V35" s="214"/>
      <c r="W35" s="215"/>
      <c r="X35" s="213"/>
      <c r="Y35" s="214"/>
      <c r="Z35" s="214"/>
      <c r="AA35" s="214"/>
      <c r="AB35" s="214"/>
      <c r="AC35" s="214"/>
      <c r="AD35" s="214"/>
      <c r="AE35" s="214"/>
      <c r="AF35" s="214"/>
      <c r="AG35" s="214"/>
      <c r="AH35" s="215"/>
      <c r="AI35" s="213"/>
      <c r="AJ35" s="214"/>
      <c r="AK35" s="214"/>
      <c r="AL35" s="214"/>
      <c r="AM35" s="214"/>
      <c r="AN35" s="214"/>
      <c r="AO35" s="214"/>
      <c r="AP35" s="214"/>
      <c r="AQ35" s="214"/>
      <c r="AR35" s="214"/>
      <c r="AS35" s="214"/>
      <c r="AT35" s="215"/>
      <c r="AU35" s="213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21"/>
    </row>
    <row r="36" spans="2:58" ht="13" customHeight="1" x14ac:dyDescent="0.4">
      <c r="B36" s="228"/>
      <c r="C36" s="214"/>
      <c r="D36" s="214"/>
      <c r="E36" s="214"/>
      <c r="F36" s="214"/>
      <c r="G36" s="214"/>
      <c r="H36" s="214"/>
      <c r="I36" s="214"/>
      <c r="J36" s="214"/>
      <c r="K36" s="214"/>
      <c r="L36" s="215"/>
      <c r="M36" s="213"/>
      <c r="N36" s="214"/>
      <c r="O36" s="214"/>
      <c r="P36" s="214"/>
      <c r="Q36" s="214"/>
      <c r="R36" s="214"/>
      <c r="S36" s="214"/>
      <c r="T36" s="214"/>
      <c r="U36" s="214"/>
      <c r="V36" s="214"/>
      <c r="W36" s="215"/>
      <c r="X36" s="213"/>
      <c r="Y36" s="214"/>
      <c r="Z36" s="214"/>
      <c r="AA36" s="214"/>
      <c r="AB36" s="214"/>
      <c r="AC36" s="214"/>
      <c r="AD36" s="214"/>
      <c r="AE36" s="214"/>
      <c r="AF36" s="214"/>
      <c r="AG36" s="214"/>
      <c r="AH36" s="215"/>
      <c r="AI36" s="213"/>
      <c r="AJ36" s="214"/>
      <c r="AK36" s="214"/>
      <c r="AL36" s="214"/>
      <c r="AM36" s="214"/>
      <c r="AN36" s="214"/>
      <c r="AO36" s="214"/>
      <c r="AP36" s="214"/>
      <c r="AQ36" s="214"/>
      <c r="AR36" s="214"/>
      <c r="AS36" s="214"/>
      <c r="AT36" s="215"/>
      <c r="AU36" s="213"/>
      <c r="AV36" s="214"/>
      <c r="AW36" s="214"/>
      <c r="AX36" s="214"/>
      <c r="AY36" s="214"/>
      <c r="AZ36" s="214"/>
      <c r="BA36" s="214"/>
      <c r="BB36" s="214"/>
      <c r="BC36" s="214"/>
      <c r="BD36" s="214"/>
      <c r="BE36" s="214"/>
      <c r="BF36" s="221"/>
    </row>
    <row r="37" spans="2:58" ht="13" customHeight="1" x14ac:dyDescent="0.4">
      <c r="B37" s="228"/>
      <c r="C37" s="214"/>
      <c r="D37" s="214"/>
      <c r="E37" s="214"/>
      <c r="F37" s="214"/>
      <c r="G37" s="214"/>
      <c r="H37" s="214"/>
      <c r="I37" s="214"/>
      <c r="J37" s="214"/>
      <c r="K37" s="214"/>
      <c r="L37" s="215"/>
      <c r="M37" s="213"/>
      <c r="N37" s="214"/>
      <c r="O37" s="214"/>
      <c r="P37" s="214"/>
      <c r="Q37" s="214"/>
      <c r="R37" s="214"/>
      <c r="S37" s="214"/>
      <c r="T37" s="214"/>
      <c r="U37" s="214"/>
      <c r="V37" s="214"/>
      <c r="W37" s="215"/>
      <c r="X37" s="213"/>
      <c r="Y37" s="214"/>
      <c r="Z37" s="214"/>
      <c r="AA37" s="214"/>
      <c r="AB37" s="214"/>
      <c r="AC37" s="214"/>
      <c r="AD37" s="214"/>
      <c r="AE37" s="214"/>
      <c r="AF37" s="214"/>
      <c r="AG37" s="214"/>
      <c r="AH37" s="215"/>
      <c r="AI37" s="213"/>
      <c r="AJ37" s="214"/>
      <c r="AK37" s="214"/>
      <c r="AL37" s="214"/>
      <c r="AM37" s="214"/>
      <c r="AN37" s="214"/>
      <c r="AO37" s="214"/>
      <c r="AP37" s="214"/>
      <c r="AQ37" s="214"/>
      <c r="AR37" s="214"/>
      <c r="AS37" s="214"/>
      <c r="AT37" s="215"/>
      <c r="AU37" s="213"/>
      <c r="AV37" s="214"/>
      <c r="AW37" s="214"/>
      <c r="AX37" s="214"/>
      <c r="AY37" s="214"/>
      <c r="AZ37" s="214"/>
      <c r="BA37" s="214"/>
      <c r="BB37" s="214"/>
      <c r="BC37" s="214"/>
      <c r="BD37" s="214"/>
      <c r="BE37" s="214"/>
      <c r="BF37" s="221"/>
    </row>
    <row r="38" spans="2:58" ht="13" customHeight="1" x14ac:dyDescent="0.4">
      <c r="B38" s="229"/>
      <c r="C38" s="217"/>
      <c r="D38" s="217"/>
      <c r="E38" s="217"/>
      <c r="F38" s="217"/>
      <c r="G38" s="217"/>
      <c r="H38" s="217"/>
      <c r="I38" s="217"/>
      <c r="J38" s="217"/>
      <c r="K38" s="217"/>
      <c r="L38" s="174"/>
      <c r="M38" s="216"/>
      <c r="N38" s="217"/>
      <c r="O38" s="217"/>
      <c r="P38" s="217"/>
      <c r="Q38" s="217"/>
      <c r="R38" s="217"/>
      <c r="S38" s="217"/>
      <c r="T38" s="217"/>
      <c r="U38" s="217"/>
      <c r="V38" s="217"/>
      <c r="W38" s="174"/>
      <c r="X38" s="216"/>
      <c r="Y38" s="217"/>
      <c r="Z38" s="217"/>
      <c r="AA38" s="217"/>
      <c r="AB38" s="217"/>
      <c r="AC38" s="217"/>
      <c r="AD38" s="217"/>
      <c r="AE38" s="217"/>
      <c r="AF38" s="217"/>
      <c r="AG38" s="217"/>
      <c r="AH38" s="174"/>
      <c r="AI38" s="216"/>
      <c r="AJ38" s="217"/>
      <c r="AK38" s="217"/>
      <c r="AL38" s="217"/>
      <c r="AM38" s="217"/>
      <c r="AN38" s="217"/>
      <c r="AO38" s="217"/>
      <c r="AP38" s="217"/>
      <c r="AQ38" s="217"/>
      <c r="AR38" s="217"/>
      <c r="AS38" s="217"/>
      <c r="AT38" s="174"/>
      <c r="AU38" s="216"/>
      <c r="AV38" s="217"/>
      <c r="AW38" s="217"/>
      <c r="AX38" s="217"/>
      <c r="AY38" s="217"/>
      <c r="AZ38" s="217"/>
      <c r="BA38" s="217"/>
      <c r="BB38" s="217"/>
      <c r="BC38" s="217"/>
      <c r="BD38" s="217"/>
      <c r="BE38" s="217"/>
      <c r="BF38" s="222"/>
    </row>
    <row r="39" spans="2:58" ht="13" customHeight="1" x14ac:dyDescent="0.4">
      <c r="B39" s="206" t="s">
        <v>256</v>
      </c>
      <c r="C39" s="204"/>
      <c r="D39" s="204"/>
      <c r="E39" s="204"/>
      <c r="F39" s="204"/>
      <c r="G39" s="204"/>
      <c r="H39" s="204"/>
      <c r="I39" s="204"/>
      <c r="J39" s="204"/>
      <c r="K39" s="204"/>
      <c r="L39" s="175"/>
      <c r="M39" s="209" t="s">
        <v>257</v>
      </c>
      <c r="N39" s="204"/>
      <c r="O39" s="204"/>
      <c r="P39" s="204"/>
      <c r="Q39" s="204"/>
      <c r="R39" s="204"/>
      <c r="S39" s="204"/>
      <c r="T39" s="204"/>
      <c r="U39" s="204"/>
      <c r="V39" s="204"/>
      <c r="W39" s="175"/>
      <c r="X39" s="207" t="s">
        <v>258</v>
      </c>
      <c r="Y39" s="204"/>
      <c r="Z39" s="204"/>
      <c r="AA39" s="204"/>
      <c r="AB39" s="204"/>
      <c r="AC39" s="204"/>
      <c r="AD39" s="204"/>
      <c r="AE39" s="204"/>
      <c r="AF39" s="204"/>
      <c r="AG39" s="204"/>
      <c r="AH39" s="175"/>
      <c r="AI39" s="157" t="s">
        <v>259</v>
      </c>
      <c r="AJ39" s="204"/>
      <c r="AK39" s="204"/>
      <c r="AL39" s="204"/>
      <c r="AM39" s="204"/>
      <c r="AN39" s="204"/>
      <c r="AO39" s="204"/>
      <c r="AP39" s="204"/>
      <c r="AQ39" s="204"/>
      <c r="AR39" s="204"/>
      <c r="AS39" s="204"/>
      <c r="AT39" s="175"/>
      <c r="AU39" s="157" t="s">
        <v>260</v>
      </c>
      <c r="AV39" s="204"/>
      <c r="AW39" s="204"/>
      <c r="AX39" s="204"/>
      <c r="AY39" s="204"/>
      <c r="AZ39" s="204"/>
      <c r="BA39" s="204"/>
      <c r="BB39" s="204"/>
      <c r="BC39" s="204"/>
      <c r="BD39" s="204"/>
      <c r="BE39" s="204"/>
      <c r="BF39" s="208"/>
    </row>
    <row r="40" spans="2:58" ht="13" customHeight="1" x14ac:dyDescent="0.4">
      <c r="B40" s="227"/>
      <c r="C40" s="211"/>
      <c r="D40" s="211"/>
      <c r="E40" s="211"/>
      <c r="F40" s="211"/>
      <c r="G40" s="211"/>
      <c r="H40" s="211"/>
      <c r="I40" s="211"/>
      <c r="J40" s="211"/>
      <c r="K40" s="211"/>
      <c r="L40" s="212"/>
      <c r="M40" s="230"/>
      <c r="N40" s="211"/>
      <c r="O40" s="211"/>
      <c r="P40" s="211"/>
      <c r="Q40" s="211"/>
      <c r="R40" s="211"/>
      <c r="S40" s="211"/>
      <c r="T40" s="211"/>
      <c r="U40" s="211"/>
      <c r="V40" s="211"/>
      <c r="W40" s="212"/>
      <c r="X40" s="231"/>
      <c r="Y40" s="211"/>
      <c r="Z40" s="211"/>
      <c r="AA40" s="211"/>
      <c r="AB40" s="211"/>
      <c r="AC40" s="211"/>
      <c r="AD40" s="211"/>
      <c r="AE40" s="211"/>
      <c r="AF40" s="211"/>
      <c r="AG40" s="211"/>
      <c r="AH40" s="212"/>
      <c r="AI40" s="219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2"/>
      <c r="AU40" s="219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20"/>
    </row>
    <row r="41" spans="2:58" ht="13" customHeight="1" x14ac:dyDescent="0.4">
      <c r="B41" s="228"/>
      <c r="C41" s="214"/>
      <c r="D41" s="214"/>
      <c r="E41" s="214"/>
      <c r="F41" s="214"/>
      <c r="G41" s="214"/>
      <c r="H41" s="214"/>
      <c r="I41" s="214"/>
      <c r="J41" s="214"/>
      <c r="K41" s="214"/>
      <c r="L41" s="215"/>
      <c r="M41" s="213"/>
      <c r="N41" s="214"/>
      <c r="O41" s="214"/>
      <c r="P41" s="214"/>
      <c r="Q41" s="214"/>
      <c r="R41" s="214"/>
      <c r="S41" s="214"/>
      <c r="T41" s="214"/>
      <c r="U41" s="214"/>
      <c r="V41" s="214"/>
      <c r="W41" s="215"/>
      <c r="X41" s="213"/>
      <c r="Y41" s="214"/>
      <c r="Z41" s="214"/>
      <c r="AA41" s="214"/>
      <c r="AB41" s="214"/>
      <c r="AC41" s="214"/>
      <c r="AD41" s="214"/>
      <c r="AE41" s="214"/>
      <c r="AF41" s="214"/>
      <c r="AG41" s="214"/>
      <c r="AH41" s="215"/>
      <c r="AI41" s="213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5"/>
      <c r="AU41" s="213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21"/>
    </row>
    <row r="42" spans="2:58" ht="13" customHeight="1" x14ac:dyDescent="0.4">
      <c r="B42" s="228"/>
      <c r="C42" s="214"/>
      <c r="D42" s="214"/>
      <c r="E42" s="214"/>
      <c r="F42" s="214"/>
      <c r="G42" s="214"/>
      <c r="H42" s="214"/>
      <c r="I42" s="214"/>
      <c r="J42" s="214"/>
      <c r="K42" s="214"/>
      <c r="L42" s="215"/>
      <c r="M42" s="213"/>
      <c r="N42" s="214"/>
      <c r="O42" s="214"/>
      <c r="P42" s="214"/>
      <c r="Q42" s="214"/>
      <c r="R42" s="214"/>
      <c r="S42" s="214"/>
      <c r="T42" s="214"/>
      <c r="U42" s="214"/>
      <c r="V42" s="214"/>
      <c r="W42" s="215"/>
      <c r="X42" s="213"/>
      <c r="Y42" s="214"/>
      <c r="Z42" s="214"/>
      <c r="AA42" s="214"/>
      <c r="AB42" s="214"/>
      <c r="AC42" s="214"/>
      <c r="AD42" s="214"/>
      <c r="AE42" s="214"/>
      <c r="AF42" s="214"/>
      <c r="AG42" s="214"/>
      <c r="AH42" s="215"/>
      <c r="AI42" s="213"/>
      <c r="AJ42" s="214"/>
      <c r="AK42" s="214"/>
      <c r="AL42" s="214"/>
      <c r="AM42" s="214"/>
      <c r="AN42" s="214"/>
      <c r="AO42" s="214"/>
      <c r="AP42" s="214"/>
      <c r="AQ42" s="214"/>
      <c r="AR42" s="214"/>
      <c r="AS42" s="214"/>
      <c r="AT42" s="215"/>
      <c r="AU42" s="213"/>
      <c r="AV42" s="214"/>
      <c r="AW42" s="214"/>
      <c r="AX42" s="214"/>
      <c r="AY42" s="214"/>
      <c r="AZ42" s="214"/>
      <c r="BA42" s="214"/>
      <c r="BB42" s="214"/>
      <c r="BC42" s="214"/>
      <c r="BD42" s="214"/>
      <c r="BE42" s="214"/>
      <c r="BF42" s="221"/>
    </row>
    <row r="43" spans="2:58" ht="13" customHeight="1" x14ac:dyDescent="0.4">
      <c r="B43" s="228"/>
      <c r="C43" s="214"/>
      <c r="D43" s="214"/>
      <c r="E43" s="214"/>
      <c r="F43" s="214"/>
      <c r="G43" s="214"/>
      <c r="H43" s="214"/>
      <c r="I43" s="214"/>
      <c r="J43" s="214"/>
      <c r="K43" s="214"/>
      <c r="L43" s="215"/>
      <c r="M43" s="213"/>
      <c r="N43" s="214"/>
      <c r="O43" s="214"/>
      <c r="P43" s="214"/>
      <c r="Q43" s="214"/>
      <c r="R43" s="214"/>
      <c r="S43" s="214"/>
      <c r="T43" s="214"/>
      <c r="U43" s="214"/>
      <c r="V43" s="214"/>
      <c r="W43" s="215"/>
      <c r="X43" s="213"/>
      <c r="Y43" s="214"/>
      <c r="Z43" s="214"/>
      <c r="AA43" s="214"/>
      <c r="AB43" s="214"/>
      <c r="AC43" s="214"/>
      <c r="AD43" s="214"/>
      <c r="AE43" s="214"/>
      <c r="AF43" s="214"/>
      <c r="AG43" s="214"/>
      <c r="AH43" s="215"/>
      <c r="AI43" s="213"/>
      <c r="AJ43" s="214"/>
      <c r="AK43" s="214"/>
      <c r="AL43" s="214"/>
      <c r="AM43" s="214"/>
      <c r="AN43" s="214"/>
      <c r="AO43" s="214"/>
      <c r="AP43" s="214"/>
      <c r="AQ43" s="214"/>
      <c r="AR43" s="214"/>
      <c r="AS43" s="214"/>
      <c r="AT43" s="215"/>
      <c r="AU43" s="213"/>
      <c r="AV43" s="214"/>
      <c r="AW43" s="214"/>
      <c r="AX43" s="214"/>
      <c r="AY43" s="214"/>
      <c r="AZ43" s="214"/>
      <c r="BA43" s="214"/>
      <c r="BB43" s="214"/>
      <c r="BC43" s="214"/>
      <c r="BD43" s="214"/>
      <c r="BE43" s="214"/>
      <c r="BF43" s="221"/>
    </row>
    <row r="44" spans="2:58" ht="13" customHeight="1" x14ac:dyDescent="0.4">
      <c r="B44" s="228"/>
      <c r="C44" s="214"/>
      <c r="D44" s="214"/>
      <c r="E44" s="214"/>
      <c r="F44" s="214"/>
      <c r="G44" s="214"/>
      <c r="H44" s="214"/>
      <c r="I44" s="214"/>
      <c r="J44" s="214"/>
      <c r="K44" s="214"/>
      <c r="L44" s="215"/>
      <c r="M44" s="213"/>
      <c r="N44" s="214"/>
      <c r="O44" s="214"/>
      <c r="P44" s="214"/>
      <c r="Q44" s="214"/>
      <c r="R44" s="214"/>
      <c r="S44" s="214"/>
      <c r="T44" s="214"/>
      <c r="U44" s="214"/>
      <c r="V44" s="214"/>
      <c r="W44" s="215"/>
      <c r="X44" s="213"/>
      <c r="Y44" s="214"/>
      <c r="Z44" s="214"/>
      <c r="AA44" s="214"/>
      <c r="AB44" s="214"/>
      <c r="AC44" s="214"/>
      <c r="AD44" s="214"/>
      <c r="AE44" s="214"/>
      <c r="AF44" s="214"/>
      <c r="AG44" s="214"/>
      <c r="AH44" s="215"/>
      <c r="AI44" s="213"/>
      <c r="AJ44" s="214"/>
      <c r="AK44" s="214"/>
      <c r="AL44" s="214"/>
      <c r="AM44" s="214"/>
      <c r="AN44" s="214"/>
      <c r="AO44" s="214"/>
      <c r="AP44" s="214"/>
      <c r="AQ44" s="214"/>
      <c r="AR44" s="214"/>
      <c r="AS44" s="214"/>
      <c r="AT44" s="215"/>
      <c r="AU44" s="213"/>
      <c r="AV44" s="214"/>
      <c r="AW44" s="214"/>
      <c r="AX44" s="214"/>
      <c r="AY44" s="214"/>
      <c r="AZ44" s="214"/>
      <c r="BA44" s="214"/>
      <c r="BB44" s="214"/>
      <c r="BC44" s="214"/>
      <c r="BD44" s="214"/>
      <c r="BE44" s="214"/>
      <c r="BF44" s="221"/>
    </row>
    <row r="45" spans="2:58" ht="13" customHeight="1" x14ac:dyDescent="0.4">
      <c r="B45" s="229"/>
      <c r="C45" s="217"/>
      <c r="D45" s="217"/>
      <c r="E45" s="217"/>
      <c r="F45" s="217"/>
      <c r="G45" s="217"/>
      <c r="H45" s="217"/>
      <c r="I45" s="217"/>
      <c r="J45" s="217"/>
      <c r="K45" s="217"/>
      <c r="L45" s="174"/>
      <c r="M45" s="216"/>
      <c r="N45" s="217"/>
      <c r="O45" s="217"/>
      <c r="P45" s="217"/>
      <c r="Q45" s="217"/>
      <c r="R45" s="217"/>
      <c r="S45" s="217"/>
      <c r="T45" s="217"/>
      <c r="U45" s="217"/>
      <c r="V45" s="217"/>
      <c r="W45" s="174"/>
      <c r="X45" s="216"/>
      <c r="Y45" s="217"/>
      <c r="Z45" s="217"/>
      <c r="AA45" s="217"/>
      <c r="AB45" s="217"/>
      <c r="AC45" s="217"/>
      <c r="AD45" s="217"/>
      <c r="AE45" s="217"/>
      <c r="AF45" s="217"/>
      <c r="AG45" s="217"/>
      <c r="AH45" s="174"/>
      <c r="AI45" s="216"/>
      <c r="AJ45" s="217"/>
      <c r="AK45" s="217"/>
      <c r="AL45" s="217"/>
      <c r="AM45" s="217"/>
      <c r="AN45" s="217"/>
      <c r="AO45" s="217"/>
      <c r="AP45" s="217"/>
      <c r="AQ45" s="217"/>
      <c r="AR45" s="217"/>
      <c r="AS45" s="217"/>
      <c r="AT45" s="174"/>
      <c r="AU45" s="216"/>
      <c r="AV45" s="217"/>
      <c r="AW45" s="217"/>
      <c r="AX45" s="217"/>
      <c r="AY45" s="217"/>
      <c r="AZ45" s="217"/>
      <c r="BA45" s="217"/>
      <c r="BB45" s="217"/>
      <c r="BC45" s="217"/>
      <c r="BD45" s="217"/>
      <c r="BE45" s="217"/>
      <c r="BF45" s="222"/>
    </row>
    <row r="46" spans="2:58" ht="13" customHeight="1" x14ac:dyDescent="0.4">
      <c r="B46" s="206" t="s">
        <v>261</v>
      </c>
      <c r="C46" s="204"/>
      <c r="D46" s="204"/>
      <c r="E46" s="204"/>
      <c r="F46" s="204"/>
      <c r="G46" s="204"/>
      <c r="H46" s="204"/>
      <c r="I46" s="204"/>
      <c r="J46" s="204"/>
      <c r="K46" s="204"/>
      <c r="L46" s="175"/>
      <c r="M46" s="181" t="s">
        <v>262</v>
      </c>
      <c r="N46" s="204"/>
      <c r="O46" s="204"/>
      <c r="P46" s="204"/>
      <c r="Q46" s="204"/>
      <c r="R46" s="204"/>
      <c r="S46" s="204"/>
      <c r="T46" s="204"/>
      <c r="U46" s="204"/>
      <c r="V46" s="204"/>
      <c r="W46" s="175"/>
      <c r="X46" s="207" t="s">
        <v>263</v>
      </c>
      <c r="Y46" s="204"/>
      <c r="Z46" s="204"/>
      <c r="AA46" s="204"/>
      <c r="AB46" s="204"/>
      <c r="AC46" s="204"/>
      <c r="AD46" s="204"/>
      <c r="AE46" s="204"/>
      <c r="AF46" s="204"/>
      <c r="AG46" s="204"/>
      <c r="AH46" s="175"/>
      <c r="AI46" s="157" t="s">
        <v>264</v>
      </c>
      <c r="AJ46" s="204"/>
      <c r="AK46" s="204"/>
      <c r="AL46" s="204"/>
      <c r="AM46" s="204"/>
      <c r="AN46" s="204"/>
      <c r="AO46" s="204"/>
      <c r="AP46" s="204"/>
      <c r="AQ46" s="204"/>
      <c r="AR46" s="204"/>
      <c r="AS46" s="204"/>
      <c r="AT46" s="175"/>
      <c r="AU46" s="157" t="s">
        <v>265</v>
      </c>
      <c r="AV46" s="204"/>
      <c r="AW46" s="204"/>
      <c r="AX46" s="204"/>
      <c r="AY46" s="204"/>
      <c r="AZ46" s="204"/>
      <c r="BA46" s="204"/>
      <c r="BB46" s="204"/>
      <c r="BC46" s="204"/>
      <c r="BD46" s="204"/>
      <c r="BE46" s="204"/>
      <c r="BF46" s="208"/>
    </row>
    <row r="47" spans="2:58" ht="13" customHeight="1" x14ac:dyDescent="0.4">
      <c r="B47" s="227"/>
      <c r="C47" s="211"/>
      <c r="D47" s="211"/>
      <c r="E47" s="211"/>
      <c r="F47" s="211"/>
      <c r="G47" s="211"/>
      <c r="H47" s="211"/>
      <c r="I47" s="211"/>
      <c r="J47" s="211"/>
      <c r="K47" s="211"/>
      <c r="L47" s="212"/>
      <c r="M47" s="230"/>
      <c r="N47" s="211"/>
      <c r="O47" s="211"/>
      <c r="P47" s="211"/>
      <c r="Q47" s="211"/>
      <c r="R47" s="211"/>
      <c r="S47" s="211"/>
      <c r="T47" s="211"/>
      <c r="U47" s="211"/>
      <c r="V47" s="211"/>
      <c r="W47" s="212"/>
      <c r="X47" s="231"/>
      <c r="Y47" s="211"/>
      <c r="Z47" s="211"/>
      <c r="AA47" s="211"/>
      <c r="AB47" s="211"/>
      <c r="AC47" s="211"/>
      <c r="AD47" s="211"/>
      <c r="AE47" s="211"/>
      <c r="AF47" s="211"/>
      <c r="AG47" s="211"/>
      <c r="AH47" s="212"/>
      <c r="AI47" s="219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212"/>
      <c r="AU47" s="219"/>
      <c r="AV47" s="211"/>
      <c r="AW47" s="211"/>
      <c r="AX47" s="211"/>
      <c r="AY47" s="211"/>
      <c r="AZ47" s="211"/>
      <c r="BA47" s="211"/>
      <c r="BB47" s="211"/>
      <c r="BC47" s="211"/>
      <c r="BD47" s="211"/>
      <c r="BE47" s="211"/>
      <c r="BF47" s="220"/>
    </row>
    <row r="48" spans="2:58" ht="13" customHeight="1" x14ac:dyDescent="0.4">
      <c r="B48" s="228"/>
      <c r="C48" s="214"/>
      <c r="D48" s="214"/>
      <c r="E48" s="214"/>
      <c r="F48" s="214"/>
      <c r="G48" s="214"/>
      <c r="H48" s="214"/>
      <c r="I48" s="214"/>
      <c r="J48" s="214"/>
      <c r="K48" s="214"/>
      <c r="L48" s="215"/>
      <c r="M48" s="213"/>
      <c r="N48" s="214"/>
      <c r="O48" s="214"/>
      <c r="P48" s="214"/>
      <c r="Q48" s="214"/>
      <c r="R48" s="214"/>
      <c r="S48" s="214"/>
      <c r="T48" s="214"/>
      <c r="U48" s="214"/>
      <c r="V48" s="214"/>
      <c r="W48" s="215"/>
      <c r="X48" s="213"/>
      <c r="Y48" s="214"/>
      <c r="Z48" s="214"/>
      <c r="AA48" s="214"/>
      <c r="AB48" s="214"/>
      <c r="AC48" s="214"/>
      <c r="AD48" s="214"/>
      <c r="AE48" s="214"/>
      <c r="AF48" s="214"/>
      <c r="AG48" s="214"/>
      <c r="AH48" s="215"/>
      <c r="AI48" s="213"/>
      <c r="AJ48" s="214"/>
      <c r="AK48" s="214"/>
      <c r="AL48" s="214"/>
      <c r="AM48" s="214"/>
      <c r="AN48" s="214"/>
      <c r="AO48" s="214"/>
      <c r="AP48" s="214"/>
      <c r="AQ48" s="214"/>
      <c r="AR48" s="214"/>
      <c r="AS48" s="214"/>
      <c r="AT48" s="215"/>
      <c r="AU48" s="213"/>
      <c r="AV48" s="214"/>
      <c r="AW48" s="214"/>
      <c r="AX48" s="214"/>
      <c r="AY48" s="214"/>
      <c r="AZ48" s="214"/>
      <c r="BA48" s="214"/>
      <c r="BB48" s="214"/>
      <c r="BC48" s="214"/>
      <c r="BD48" s="214"/>
      <c r="BE48" s="214"/>
      <c r="BF48" s="221"/>
    </row>
    <row r="49" spans="2:58" ht="13" customHeight="1" x14ac:dyDescent="0.4">
      <c r="B49" s="228"/>
      <c r="C49" s="214"/>
      <c r="D49" s="214"/>
      <c r="E49" s="214"/>
      <c r="F49" s="214"/>
      <c r="G49" s="214"/>
      <c r="H49" s="214"/>
      <c r="I49" s="214"/>
      <c r="J49" s="214"/>
      <c r="K49" s="214"/>
      <c r="L49" s="215"/>
      <c r="M49" s="213"/>
      <c r="N49" s="214"/>
      <c r="O49" s="214"/>
      <c r="P49" s="214"/>
      <c r="Q49" s="214"/>
      <c r="R49" s="214"/>
      <c r="S49" s="214"/>
      <c r="T49" s="214"/>
      <c r="U49" s="214"/>
      <c r="V49" s="214"/>
      <c r="W49" s="215"/>
      <c r="X49" s="213"/>
      <c r="Y49" s="214"/>
      <c r="Z49" s="214"/>
      <c r="AA49" s="214"/>
      <c r="AB49" s="214"/>
      <c r="AC49" s="214"/>
      <c r="AD49" s="214"/>
      <c r="AE49" s="214"/>
      <c r="AF49" s="214"/>
      <c r="AG49" s="214"/>
      <c r="AH49" s="215"/>
      <c r="AI49" s="213"/>
      <c r="AJ49" s="214"/>
      <c r="AK49" s="214"/>
      <c r="AL49" s="214"/>
      <c r="AM49" s="214"/>
      <c r="AN49" s="214"/>
      <c r="AO49" s="214"/>
      <c r="AP49" s="214"/>
      <c r="AQ49" s="214"/>
      <c r="AR49" s="214"/>
      <c r="AS49" s="214"/>
      <c r="AT49" s="215"/>
      <c r="AU49" s="213"/>
      <c r="AV49" s="214"/>
      <c r="AW49" s="214"/>
      <c r="AX49" s="214"/>
      <c r="AY49" s="214"/>
      <c r="AZ49" s="214"/>
      <c r="BA49" s="214"/>
      <c r="BB49" s="214"/>
      <c r="BC49" s="214"/>
      <c r="BD49" s="214"/>
      <c r="BE49" s="214"/>
      <c r="BF49" s="221"/>
    </row>
    <row r="50" spans="2:58" ht="13" customHeight="1" x14ac:dyDescent="0.4">
      <c r="B50" s="228"/>
      <c r="C50" s="214"/>
      <c r="D50" s="214"/>
      <c r="E50" s="214"/>
      <c r="F50" s="214"/>
      <c r="G50" s="214"/>
      <c r="H50" s="214"/>
      <c r="I50" s="214"/>
      <c r="J50" s="214"/>
      <c r="K50" s="214"/>
      <c r="L50" s="215"/>
      <c r="M50" s="213"/>
      <c r="N50" s="214"/>
      <c r="O50" s="214"/>
      <c r="P50" s="214"/>
      <c r="Q50" s="214"/>
      <c r="R50" s="214"/>
      <c r="S50" s="214"/>
      <c r="T50" s="214"/>
      <c r="U50" s="214"/>
      <c r="V50" s="214"/>
      <c r="W50" s="215"/>
      <c r="X50" s="213"/>
      <c r="Y50" s="214"/>
      <c r="Z50" s="214"/>
      <c r="AA50" s="214"/>
      <c r="AB50" s="214"/>
      <c r="AC50" s="214"/>
      <c r="AD50" s="214"/>
      <c r="AE50" s="214"/>
      <c r="AF50" s="214"/>
      <c r="AG50" s="214"/>
      <c r="AH50" s="215"/>
      <c r="AI50" s="213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5"/>
      <c r="AU50" s="213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21"/>
    </row>
    <row r="51" spans="2:58" ht="13" customHeight="1" x14ac:dyDescent="0.4">
      <c r="B51" s="228"/>
      <c r="C51" s="214"/>
      <c r="D51" s="214"/>
      <c r="E51" s="214"/>
      <c r="F51" s="214"/>
      <c r="G51" s="214"/>
      <c r="H51" s="214"/>
      <c r="I51" s="214"/>
      <c r="J51" s="214"/>
      <c r="K51" s="214"/>
      <c r="L51" s="215"/>
      <c r="M51" s="213"/>
      <c r="N51" s="214"/>
      <c r="O51" s="214"/>
      <c r="P51" s="214"/>
      <c r="Q51" s="214"/>
      <c r="R51" s="214"/>
      <c r="S51" s="214"/>
      <c r="T51" s="214"/>
      <c r="U51" s="214"/>
      <c r="V51" s="214"/>
      <c r="W51" s="215"/>
      <c r="X51" s="213"/>
      <c r="Y51" s="214"/>
      <c r="Z51" s="214"/>
      <c r="AA51" s="214"/>
      <c r="AB51" s="214"/>
      <c r="AC51" s="214"/>
      <c r="AD51" s="214"/>
      <c r="AE51" s="214"/>
      <c r="AF51" s="214"/>
      <c r="AG51" s="214"/>
      <c r="AH51" s="215"/>
      <c r="AI51" s="213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5"/>
      <c r="AU51" s="213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21"/>
    </row>
    <row r="52" spans="2:58" ht="13" customHeight="1" x14ac:dyDescent="0.4">
      <c r="B52" s="229"/>
      <c r="C52" s="217"/>
      <c r="D52" s="217"/>
      <c r="E52" s="217"/>
      <c r="F52" s="217"/>
      <c r="G52" s="217"/>
      <c r="H52" s="217"/>
      <c r="I52" s="217"/>
      <c r="J52" s="217"/>
      <c r="K52" s="217"/>
      <c r="L52" s="174"/>
      <c r="M52" s="216"/>
      <c r="N52" s="217"/>
      <c r="O52" s="217"/>
      <c r="P52" s="217"/>
      <c r="Q52" s="217"/>
      <c r="R52" s="217"/>
      <c r="S52" s="217"/>
      <c r="T52" s="217"/>
      <c r="U52" s="217"/>
      <c r="V52" s="217"/>
      <c r="W52" s="174"/>
      <c r="X52" s="216"/>
      <c r="Y52" s="217"/>
      <c r="Z52" s="217"/>
      <c r="AA52" s="217"/>
      <c r="AB52" s="217"/>
      <c r="AC52" s="217"/>
      <c r="AD52" s="217"/>
      <c r="AE52" s="217"/>
      <c r="AF52" s="217"/>
      <c r="AG52" s="217"/>
      <c r="AH52" s="174"/>
      <c r="AI52" s="216"/>
      <c r="AJ52" s="217"/>
      <c r="AK52" s="217"/>
      <c r="AL52" s="217"/>
      <c r="AM52" s="217"/>
      <c r="AN52" s="217"/>
      <c r="AO52" s="217"/>
      <c r="AP52" s="217"/>
      <c r="AQ52" s="217"/>
      <c r="AR52" s="217"/>
      <c r="AS52" s="217"/>
      <c r="AT52" s="174"/>
      <c r="AU52" s="216"/>
      <c r="AV52" s="217"/>
      <c r="AW52" s="217"/>
      <c r="AX52" s="217"/>
      <c r="AY52" s="217"/>
      <c r="AZ52" s="217"/>
      <c r="BA52" s="217"/>
      <c r="BB52" s="217"/>
      <c r="BC52" s="217"/>
      <c r="BD52" s="217"/>
      <c r="BE52" s="217"/>
      <c r="BF52" s="222"/>
    </row>
    <row r="53" spans="2:58" ht="13" customHeight="1" x14ac:dyDescent="0.4">
      <c r="B53" s="206" t="s">
        <v>266</v>
      </c>
      <c r="C53" s="204"/>
      <c r="D53" s="204"/>
      <c r="E53" s="204"/>
      <c r="F53" s="204"/>
      <c r="G53" s="204"/>
      <c r="H53" s="204"/>
      <c r="I53" s="204"/>
      <c r="J53" s="204"/>
      <c r="K53" s="204"/>
      <c r="L53" s="175"/>
      <c r="M53" s="209" t="s">
        <v>267</v>
      </c>
      <c r="N53" s="204"/>
      <c r="O53" s="204"/>
      <c r="P53" s="204"/>
      <c r="Q53" s="204"/>
      <c r="R53" s="204"/>
      <c r="S53" s="204"/>
      <c r="T53" s="204"/>
      <c r="U53" s="204"/>
      <c r="V53" s="204"/>
      <c r="W53" s="175"/>
      <c r="X53" s="207" t="s">
        <v>268</v>
      </c>
      <c r="Y53" s="204"/>
      <c r="Z53" s="204"/>
      <c r="AA53" s="204"/>
      <c r="AB53" s="204"/>
      <c r="AC53" s="204"/>
      <c r="AD53" s="204"/>
      <c r="AE53" s="204"/>
      <c r="AF53" s="204"/>
      <c r="AG53" s="204"/>
      <c r="AH53" s="175"/>
      <c r="AI53" s="157" t="s">
        <v>269</v>
      </c>
      <c r="AJ53" s="204"/>
      <c r="AK53" s="204"/>
      <c r="AL53" s="204"/>
      <c r="AM53" s="204"/>
      <c r="AN53" s="204"/>
      <c r="AO53" s="204"/>
      <c r="AP53" s="204"/>
      <c r="AQ53" s="204"/>
      <c r="AR53" s="204"/>
      <c r="AS53" s="204"/>
      <c r="AT53" s="175"/>
      <c r="AU53" s="157" t="s">
        <v>270</v>
      </c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8"/>
    </row>
    <row r="54" spans="2:58" ht="13" customHeight="1" x14ac:dyDescent="0.4">
      <c r="B54" s="227"/>
      <c r="C54" s="211"/>
      <c r="D54" s="211"/>
      <c r="E54" s="211"/>
      <c r="F54" s="211"/>
      <c r="G54" s="211"/>
      <c r="H54" s="211"/>
      <c r="I54" s="211"/>
      <c r="J54" s="211"/>
      <c r="K54" s="211"/>
      <c r="L54" s="212"/>
      <c r="M54" s="235"/>
      <c r="N54" s="211"/>
      <c r="O54" s="211"/>
      <c r="P54" s="211"/>
      <c r="Q54" s="211"/>
      <c r="R54" s="211"/>
      <c r="S54" s="211"/>
      <c r="T54" s="211"/>
      <c r="U54" s="211"/>
      <c r="V54" s="211"/>
      <c r="W54" s="212"/>
      <c r="X54" s="231"/>
      <c r="Y54" s="211"/>
      <c r="Z54" s="211"/>
      <c r="AA54" s="211"/>
      <c r="AB54" s="211"/>
      <c r="AC54" s="211"/>
      <c r="AD54" s="211"/>
      <c r="AE54" s="211"/>
      <c r="AF54" s="211"/>
      <c r="AG54" s="211"/>
      <c r="AH54" s="212"/>
      <c r="AI54" s="219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2"/>
      <c r="AU54" s="219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20"/>
    </row>
    <row r="55" spans="2:58" ht="13" customHeight="1" x14ac:dyDescent="0.4">
      <c r="B55" s="228"/>
      <c r="C55" s="214"/>
      <c r="D55" s="214"/>
      <c r="E55" s="214"/>
      <c r="F55" s="214"/>
      <c r="G55" s="214"/>
      <c r="H55" s="214"/>
      <c r="I55" s="214"/>
      <c r="J55" s="214"/>
      <c r="K55" s="214"/>
      <c r="L55" s="215"/>
      <c r="M55" s="213"/>
      <c r="N55" s="214"/>
      <c r="O55" s="214"/>
      <c r="P55" s="214"/>
      <c r="Q55" s="214"/>
      <c r="R55" s="214"/>
      <c r="S55" s="214"/>
      <c r="T55" s="214"/>
      <c r="U55" s="214"/>
      <c r="V55" s="214"/>
      <c r="W55" s="215"/>
      <c r="X55" s="213"/>
      <c r="Y55" s="214"/>
      <c r="Z55" s="214"/>
      <c r="AA55" s="214"/>
      <c r="AB55" s="214"/>
      <c r="AC55" s="214"/>
      <c r="AD55" s="214"/>
      <c r="AE55" s="214"/>
      <c r="AF55" s="214"/>
      <c r="AG55" s="214"/>
      <c r="AH55" s="215"/>
      <c r="AI55" s="213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5"/>
      <c r="AU55" s="213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21"/>
    </row>
    <row r="56" spans="2:58" ht="13" customHeight="1" x14ac:dyDescent="0.4">
      <c r="B56" s="228"/>
      <c r="C56" s="214"/>
      <c r="D56" s="214"/>
      <c r="E56" s="214"/>
      <c r="F56" s="214"/>
      <c r="G56" s="214"/>
      <c r="H56" s="214"/>
      <c r="I56" s="214"/>
      <c r="J56" s="214"/>
      <c r="K56" s="214"/>
      <c r="L56" s="215"/>
      <c r="M56" s="213"/>
      <c r="N56" s="214"/>
      <c r="O56" s="214"/>
      <c r="P56" s="214"/>
      <c r="Q56" s="214"/>
      <c r="R56" s="214"/>
      <c r="S56" s="214"/>
      <c r="T56" s="214"/>
      <c r="U56" s="214"/>
      <c r="V56" s="214"/>
      <c r="W56" s="215"/>
      <c r="X56" s="213"/>
      <c r="Y56" s="214"/>
      <c r="Z56" s="214"/>
      <c r="AA56" s="214"/>
      <c r="AB56" s="214"/>
      <c r="AC56" s="214"/>
      <c r="AD56" s="214"/>
      <c r="AE56" s="214"/>
      <c r="AF56" s="214"/>
      <c r="AG56" s="214"/>
      <c r="AH56" s="215"/>
      <c r="AI56" s="213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5"/>
      <c r="AU56" s="213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21"/>
    </row>
    <row r="57" spans="2:58" ht="13" customHeight="1" x14ac:dyDescent="0.4">
      <c r="B57" s="228"/>
      <c r="C57" s="214"/>
      <c r="D57" s="214"/>
      <c r="E57" s="214"/>
      <c r="F57" s="214"/>
      <c r="G57" s="214"/>
      <c r="H57" s="214"/>
      <c r="I57" s="214"/>
      <c r="J57" s="214"/>
      <c r="K57" s="214"/>
      <c r="L57" s="215"/>
      <c r="M57" s="213"/>
      <c r="N57" s="214"/>
      <c r="O57" s="214"/>
      <c r="P57" s="214"/>
      <c r="Q57" s="214"/>
      <c r="R57" s="214"/>
      <c r="S57" s="214"/>
      <c r="T57" s="214"/>
      <c r="U57" s="214"/>
      <c r="V57" s="214"/>
      <c r="W57" s="215"/>
      <c r="X57" s="213"/>
      <c r="Y57" s="214"/>
      <c r="Z57" s="214"/>
      <c r="AA57" s="214"/>
      <c r="AB57" s="214"/>
      <c r="AC57" s="214"/>
      <c r="AD57" s="214"/>
      <c r="AE57" s="214"/>
      <c r="AF57" s="214"/>
      <c r="AG57" s="214"/>
      <c r="AH57" s="215"/>
      <c r="AI57" s="213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5"/>
      <c r="AU57" s="213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21"/>
    </row>
    <row r="58" spans="2:58" ht="13" customHeight="1" x14ac:dyDescent="0.4">
      <c r="B58" s="228"/>
      <c r="C58" s="214"/>
      <c r="D58" s="214"/>
      <c r="E58" s="214"/>
      <c r="F58" s="214"/>
      <c r="G58" s="214"/>
      <c r="H58" s="214"/>
      <c r="I58" s="214"/>
      <c r="J58" s="214"/>
      <c r="K58" s="214"/>
      <c r="L58" s="215"/>
      <c r="M58" s="213"/>
      <c r="N58" s="214"/>
      <c r="O58" s="214"/>
      <c r="P58" s="214"/>
      <c r="Q58" s="214"/>
      <c r="R58" s="214"/>
      <c r="S58" s="214"/>
      <c r="T58" s="214"/>
      <c r="U58" s="214"/>
      <c r="V58" s="214"/>
      <c r="W58" s="215"/>
      <c r="X58" s="213"/>
      <c r="Y58" s="214"/>
      <c r="Z58" s="214"/>
      <c r="AA58" s="214"/>
      <c r="AB58" s="214"/>
      <c r="AC58" s="214"/>
      <c r="AD58" s="214"/>
      <c r="AE58" s="214"/>
      <c r="AF58" s="214"/>
      <c r="AG58" s="214"/>
      <c r="AH58" s="215"/>
      <c r="AI58" s="213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5"/>
      <c r="AU58" s="213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21"/>
    </row>
    <row r="59" spans="2:58" ht="13" customHeight="1" x14ac:dyDescent="0.4">
      <c r="B59" s="232"/>
      <c r="C59" s="233"/>
      <c r="D59" s="233"/>
      <c r="E59" s="233"/>
      <c r="F59" s="233"/>
      <c r="G59" s="233"/>
      <c r="H59" s="233"/>
      <c r="I59" s="233"/>
      <c r="J59" s="233"/>
      <c r="K59" s="233"/>
      <c r="L59" s="234"/>
      <c r="M59" s="236"/>
      <c r="N59" s="233"/>
      <c r="O59" s="233"/>
      <c r="P59" s="233"/>
      <c r="Q59" s="233"/>
      <c r="R59" s="233"/>
      <c r="S59" s="233"/>
      <c r="T59" s="233"/>
      <c r="U59" s="233"/>
      <c r="V59" s="233"/>
      <c r="W59" s="234"/>
      <c r="X59" s="236"/>
      <c r="Y59" s="233"/>
      <c r="Z59" s="233"/>
      <c r="AA59" s="233"/>
      <c r="AB59" s="233"/>
      <c r="AC59" s="233"/>
      <c r="AD59" s="233"/>
      <c r="AE59" s="233"/>
      <c r="AF59" s="233"/>
      <c r="AG59" s="233"/>
      <c r="AH59" s="234"/>
      <c r="AI59" s="236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4"/>
      <c r="AU59" s="236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7"/>
    </row>
    <row r="60" spans="2:58" ht="13" customHeight="1" x14ac:dyDescent="0.4">
      <c r="B60" s="173" t="s">
        <v>463</v>
      </c>
      <c r="C60" s="174"/>
      <c r="D60" s="10" t="s">
        <v>274</v>
      </c>
      <c r="E60" s="150" t="s">
        <v>20</v>
      </c>
      <c r="F60" s="153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4"/>
      <c r="AJ60" s="154"/>
      <c r="AK60" s="154"/>
      <c r="AL60" s="154"/>
      <c r="AM60" s="154"/>
      <c r="AN60" s="154"/>
      <c r="AO60" s="155"/>
      <c r="AP60" s="155"/>
      <c r="AQ60" s="155"/>
      <c r="AR60" s="155"/>
      <c r="AS60" s="155"/>
      <c r="AT60" s="155"/>
      <c r="AU60" s="155"/>
      <c r="AV60" s="155"/>
      <c r="AW60" s="155"/>
      <c r="AX60" s="155"/>
      <c r="AY60" s="155"/>
      <c r="AZ60" s="155"/>
      <c r="BA60" s="155"/>
      <c r="BB60" s="155"/>
      <c r="BC60" s="155"/>
      <c r="BD60" s="155"/>
      <c r="BE60" s="155"/>
      <c r="BF60" s="156"/>
    </row>
    <row r="61" spans="2:58" ht="13" customHeight="1" x14ac:dyDescent="0.4">
      <c r="B61" s="149" t="s">
        <v>275</v>
      </c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  <c r="AC61" s="151"/>
      <c r="AD61" s="151"/>
      <c r="AE61" s="151"/>
      <c r="AF61" s="151"/>
      <c r="AG61" s="151"/>
      <c r="AH61" s="151"/>
      <c r="AI61" s="151"/>
      <c r="AJ61" s="151"/>
      <c r="AK61" s="151"/>
      <c r="AL61" s="151"/>
      <c r="AM61" s="151"/>
      <c r="AN61" s="151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8"/>
    </row>
    <row r="62" spans="2:58" ht="13" customHeight="1" thickBot="1" x14ac:dyDescent="0.45">
      <c r="B62" s="161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  <c r="AN62" s="152"/>
      <c r="AO62" s="159"/>
      <c r="AP62" s="159"/>
      <c r="AQ62" s="159"/>
      <c r="AR62" s="159"/>
      <c r="AS62" s="159"/>
      <c r="AT62" s="159"/>
      <c r="AU62" s="159"/>
      <c r="AV62" s="159"/>
      <c r="AW62" s="159"/>
      <c r="AX62" s="159"/>
      <c r="AY62" s="159"/>
      <c r="AZ62" s="159"/>
      <c r="BA62" s="159"/>
      <c r="BB62" s="159"/>
      <c r="BC62" s="159"/>
      <c r="BD62" s="159"/>
      <c r="BE62" s="159"/>
      <c r="BF62" s="160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tabSelected="1" topLeftCell="A3" zoomScale="70" zoomScaleNormal="70" workbookViewId="0">
      <selection activeCell="AL28" sqref="AL28"/>
    </sheetView>
  </sheetViews>
  <sheetFormatPr defaultRowHeight="11.4" x14ac:dyDescent="0.4"/>
  <cols>
    <col min="1" max="1" width="1.578125" style="55" customWidth="1"/>
    <col min="2" max="2" width="3.578125" style="55" customWidth="1"/>
    <col min="3" max="3" width="2.578125" style="55" customWidth="1"/>
    <col min="4" max="36" width="7.05078125" style="55" customWidth="1"/>
    <col min="37" max="37" width="6.41796875" style="55" customWidth="1"/>
    <col min="38" max="270" width="8.83984375" style="55"/>
    <col min="271" max="271" width="2.1015625" style="55" customWidth="1"/>
    <col min="272" max="272" width="5.83984375" style="55" customWidth="1"/>
    <col min="273" max="273" width="6.83984375" style="55" customWidth="1"/>
    <col min="274" max="274" width="6.1015625" style="55" customWidth="1"/>
    <col min="275" max="275" width="6.83984375" style="55" customWidth="1"/>
    <col min="276" max="276" width="10.83984375" style="55" customWidth="1"/>
    <col min="277" max="277" width="11.578125" style="55" customWidth="1"/>
    <col min="278" max="278" width="5.578125" style="55" customWidth="1"/>
    <col min="279" max="279" width="6" style="55" customWidth="1"/>
    <col min="280" max="280" width="6.578125" style="55" customWidth="1"/>
    <col min="281" max="281" width="11.1015625" style="55" customWidth="1"/>
    <col min="282" max="282" width="7.1015625" style="55" customWidth="1"/>
    <col min="283" max="284" width="5.83984375" style="55" customWidth="1"/>
    <col min="285" max="285" width="6" style="55" customWidth="1"/>
    <col min="286" max="286" width="6.83984375" style="55" customWidth="1"/>
    <col min="287" max="287" width="6" style="55" customWidth="1"/>
    <col min="288" max="288" width="18.1015625" style="55" customWidth="1"/>
    <col min="289" max="526" width="8.83984375" style="55"/>
    <col min="527" max="527" width="2.1015625" style="55" customWidth="1"/>
    <col min="528" max="528" width="5.83984375" style="55" customWidth="1"/>
    <col min="529" max="529" width="6.83984375" style="55" customWidth="1"/>
    <col min="530" max="530" width="6.1015625" style="55" customWidth="1"/>
    <col min="531" max="531" width="6.83984375" style="55" customWidth="1"/>
    <col min="532" max="532" width="10.83984375" style="55" customWidth="1"/>
    <col min="533" max="533" width="11.578125" style="55" customWidth="1"/>
    <col min="534" max="534" width="5.578125" style="55" customWidth="1"/>
    <col min="535" max="535" width="6" style="55" customWidth="1"/>
    <col min="536" max="536" width="6.578125" style="55" customWidth="1"/>
    <col min="537" max="537" width="11.1015625" style="55" customWidth="1"/>
    <col min="538" max="538" width="7.1015625" style="55" customWidth="1"/>
    <col min="539" max="540" width="5.83984375" style="55" customWidth="1"/>
    <col min="541" max="541" width="6" style="55" customWidth="1"/>
    <col min="542" max="542" width="6.83984375" style="55" customWidth="1"/>
    <col min="543" max="543" width="6" style="55" customWidth="1"/>
    <col min="544" max="544" width="18.1015625" style="55" customWidth="1"/>
    <col min="545" max="782" width="8.83984375" style="55"/>
    <col min="783" max="783" width="2.1015625" style="55" customWidth="1"/>
    <col min="784" max="784" width="5.83984375" style="55" customWidth="1"/>
    <col min="785" max="785" width="6.83984375" style="55" customWidth="1"/>
    <col min="786" max="786" width="6.1015625" style="55" customWidth="1"/>
    <col min="787" max="787" width="6.83984375" style="55" customWidth="1"/>
    <col min="788" max="788" width="10.83984375" style="55" customWidth="1"/>
    <col min="789" max="789" width="11.578125" style="55" customWidth="1"/>
    <col min="790" max="790" width="5.578125" style="55" customWidth="1"/>
    <col min="791" max="791" width="6" style="55" customWidth="1"/>
    <col min="792" max="792" width="6.578125" style="55" customWidth="1"/>
    <col min="793" max="793" width="11.1015625" style="55" customWidth="1"/>
    <col min="794" max="794" width="7.1015625" style="55" customWidth="1"/>
    <col min="795" max="796" width="5.83984375" style="55" customWidth="1"/>
    <col min="797" max="797" width="6" style="55" customWidth="1"/>
    <col min="798" max="798" width="6.83984375" style="55" customWidth="1"/>
    <col min="799" max="799" width="6" style="55" customWidth="1"/>
    <col min="800" max="800" width="18.1015625" style="55" customWidth="1"/>
    <col min="801" max="1038" width="8.83984375" style="55"/>
    <col min="1039" max="1039" width="2.1015625" style="55" customWidth="1"/>
    <col min="1040" max="1040" width="5.83984375" style="55" customWidth="1"/>
    <col min="1041" max="1041" width="6.83984375" style="55" customWidth="1"/>
    <col min="1042" max="1042" width="6.1015625" style="55" customWidth="1"/>
    <col min="1043" max="1043" width="6.83984375" style="55" customWidth="1"/>
    <col min="1044" max="1044" width="10.83984375" style="55" customWidth="1"/>
    <col min="1045" max="1045" width="11.578125" style="55" customWidth="1"/>
    <col min="1046" max="1046" width="5.578125" style="55" customWidth="1"/>
    <col min="1047" max="1047" width="6" style="55" customWidth="1"/>
    <col min="1048" max="1048" width="6.578125" style="55" customWidth="1"/>
    <col min="1049" max="1049" width="11.1015625" style="55" customWidth="1"/>
    <col min="1050" max="1050" width="7.1015625" style="55" customWidth="1"/>
    <col min="1051" max="1052" width="5.83984375" style="55" customWidth="1"/>
    <col min="1053" max="1053" width="6" style="55" customWidth="1"/>
    <col min="1054" max="1054" width="6.83984375" style="55" customWidth="1"/>
    <col min="1055" max="1055" width="6" style="55" customWidth="1"/>
    <col min="1056" max="1056" width="18.1015625" style="55" customWidth="1"/>
    <col min="1057" max="1294" width="8.83984375" style="55"/>
    <col min="1295" max="1295" width="2.1015625" style="55" customWidth="1"/>
    <col min="1296" max="1296" width="5.83984375" style="55" customWidth="1"/>
    <col min="1297" max="1297" width="6.83984375" style="55" customWidth="1"/>
    <col min="1298" max="1298" width="6.1015625" style="55" customWidth="1"/>
    <col min="1299" max="1299" width="6.83984375" style="55" customWidth="1"/>
    <col min="1300" max="1300" width="10.83984375" style="55" customWidth="1"/>
    <col min="1301" max="1301" width="11.578125" style="55" customWidth="1"/>
    <col min="1302" max="1302" width="5.578125" style="55" customWidth="1"/>
    <col min="1303" max="1303" width="6" style="55" customWidth="1"/>
    <col min="1304" max="1304" width="6.578125" style="55" customWidth="1"/>
    <col min="1305" max="1305" width="11.1015625" style="55" customWidth="1"/>
    <col min="1306" max="1306" width="7.1015625" style="55" customWidth="1"/>
    <col min="1307" max="1308" width="5.83984375" style="55" customWidth="1"/>
    <col min="1309" max="1309" width="6" style="55" customWidth="1"/>
    <col min="1310" max="1310" width="6.83984375" style="55" customWidth="1"/>
    <col min="1311" max="1311" width="6" style="55" customWidth="1"/>
    <col min="1312" max="1312" width="18.1015625" style="55" customWidth="1"/>
    <col min="1313" max="1550" width="8.83984375" style="55"/>
    <col min="1551" max="1551" width="2.1015625" style="55" customWidth="1"/>
    <col min="1552" max="1552" width="5.83984375" style="55" customWidth="1"/>
    <col min="1553" max="1553" width="6.83984375" style="55" customWidth="1"/>
    <col min="1554" max="1554" width="6.1015625" style="55" customWidth="1"/>
    <col min="1555" max="1555" width="6.83984375" style="55" customWidth="1"/>
    <col min="1556" max="1556" width="10.83984375" style="55" customWidth="1"/>
    <col min="1557" max="1557" width="11.578125" style="55" customWidth="1"/>
    <col min="1558" max="1558" width="5.578125" style="55" customWidth="1"/>
    <col min="1559" max="1559" width="6" style="55" customWidth="1"/>
    <col min="1560" max="1560" width="6.578125" style="55" customWidth="1"/>
    <col min="1561" max="1561" width="11.1015625" style="55" customWidth="1"/>
    <col min="1562" max="1562" width="7.1015625" style="55" customWidth="1"/>
    <col min="1563" max="1564" width="5.83984375" style="55" customWidth="1"/>
    <col min="1565" max="1565" width="6" style="55" customWidth="1"/>
    <col min="1566" max="1566" width="6.83984375" style="55" customWidth="1"/>
    <col min="1567" max="1567" width="6" style="55" customWidth="1"/>
    <col min="1568" max="1568" width="18.1015625" style="55" customWidth="1"/>
    <col min="1569" max="1806" width="8.83984375" style="55"/>
    <col min="1807" max="1807" width="2.1015625" style="55" customWidth="1"/>
    <col min="1808" max="1808" width="5.83984375" style="55" customWidth="1"/>
    <col min="1809" max="1809" width="6.83984375" style="55" customWidth="1"/>
    <col min="1810" max="1810" width="6.1015625" style="55" customWidth="1"/>
    <col min="1811" max="1811" width="6.83984375" style="55" customWidth="1"/>
    <col min="1812" max="1812" width="10.83984375" style="55" customWidth="1"/>
    <col min="1813" max="1813" width="11.578125" style="55" customWidth="1"/>
    <col min="1814" max="1814" width="5.578125" style="55" customWidth="1"/>
    <col min="1815" max="1815" width="6" style="55" customWidth="1"/>
    <col min="1816" max="1816" width="6.578125" style="55" customWidth="1"/>
    <col min="1817" max="1817" width="11.1015625" style="55" customWidth="1"/>
    <col min="1818" max="1818" width="7.1015625" style="55" customWidth="1"/>
    <col min="1819" max="1820" width="5.83984375" style="55" customWidth="1"/>
    <col min="1821" max="1821" width="6" style="55" customWidth="1"/>
    <col min="1822" max="1822" width="6.83984375" style="55" customWidth="1"/>
    <col min="1823" max="1823" width="6" style="55" customWidth="1"/>
    <col min="1824" max="1824" width="18.1015625" style="55" customWidth="1"/>
    <col min="1825" max="2062" width="8.83984375" style="55"/>
    <col min="2063" max="2063" width="2.1015625" style="55" customWidth="1"/>
    <col min="2064" max="2064" width="5.83984375" style="55" customWidth="1"/>
    <col min="2065" max="2065" width="6.83984375" style="55" customWidth="1"/>
    <col min="2066" max="2066" width="6.1015625" style="55" customWidth="1"/>
    <col min="2067" max="2067" width="6.83984375" style="55" customWidth="1"/>
    <col min="2068" max="2068" width="10.83984375" style="55" customWidth="1"/>
    <col min="2069" max="2069" width="11.578125" style="55" customWidth="1"/>
    <col min="2070" max="2070" width="5.578125" style="55" customWidth="1"/>
    <col min="2071" max="2071" width="6" style="55" customWidth="1"/>
    <col min="2072" max="2072" width="6.578125" style="55" customWidth="1"/>
    <col min="2073" max="2073" width="11.1015625" style="55" customWidth="1"/>
    <col min="2074" max="2074" width="7.1015625" style="55" customWidth="1"/>
    <col min="2075" max="2076" width="5.83984375" style="55" customWidth="1"/>
    <col min="2077" max="2077" width="6" style="55" customWidth="1"/>
    <col min="2078" max="2078" width="6.83984375" style="55" customWidth="1"/>
    <col min="2079" max="2079" width="6" style="55" customWidth="1"/>
    <col min="2080" max="2080" width="18.1015625" style="55" customWidth="1"/>
    <col min="2081" max="2318" width="8.83984375" style="55"/>
    <col min="2319" max="2319" width="2.1015625" style="55" customWidth="1"/>
    <col min="2320" max="2320" width="5.83984375" style="55" customWidth="1"/>
    <col min="2321" max="2321" width="6.83984375" style="55" customWidth="1"/>
    <col min="2322" max="2322" width="6.1015625" style="55" customWidth="1"/>
    <col min="2323" max="2323" width="6.83984375" style="55" customWidth="1"/>
    <col min="2324" max="2324" width="10.83984375" style="55" customWidth="1"/>
    <col min="2325" max="2325" width="11.578125" style="55" customWidth="1"/>
    <col min="2326" max="2326" width="5.578125" style="55" customWidth="1"/>
    <col min="2327" max="2327" width="6" style="55" customWidth="1"/>
    <col min="2328" max="2328" width="6.578125" style="55" customWidth="1"/>
    <col min="2329" max="2329" width="11.1015625" style="55" customWidth="1"/>
    <col min="2330" max="2330" width="7.1015625" style="55" customWidth="1"/>
    <col min="2331" max="2332" width="5.83984375" style="55" customWidth="1"/>
    <col min="2333" max="2333" width="6" style="55" customWidth="1"/>
    <col min="2334" max="2334" width="6.83984375" style="55" customWidth="1"/>
    <col min="2335" max="2335" width="6" style="55" customWidth="1"/>
    <col min="2336" max="2336" width="18.1015625" style="55" customWidth="1"/>
    <col min="2337" max="2574" width="8.83984375" style="55"/>
    <col min="2575" max="2575" width="2.1015625" style="55" customWidth="1"/>
    <col min="2576" max="2576" width="5.83984375" style="55" customWidth="1"/>
    <col min="2577" max="2577" width="6.83984375" style="55" customWidth="1"/>
    <col min="2578" max="2578" width="6.1015625" style="55" customWidth="1"/>
    <col min="2579" max="2579" width="6.83984375" style="55" customWidth="1"/>
    <col min="2580" max="2580" width="10.83984375" style="55" customWidth="1"/>
    <col min="2581" max="2581" width="11.578125" style="55" customWidth="1"/>
    <col min="2582" max="2582" width="5.578125" style="55" customWidth="1"/>
    <col min="2583" max="2583" width="6" style="55" customWidth="1"/>
    <col min="2584" max="2584" width="6.578125" style="55" customWidth="1"/>
    <col min="2585" max="2585" width="11.1015625" style="55" customWidth="1"/>
    <col min="2586" max="2586" width="7.1015625" style="55" customWidth="1"/>
    <col min="2587" max="2588" width="5.83984375" style="55" customWidth="1"/>
    <col min="2589" max="2589" width="6" style="55" customWidth="1"/>
    <col min="2590" max="2590" width="6.83984375" style="55" customWidth="1"/>
    <col min="2591" max="2591" width="6" style="55" customWidth="1"/>
    <col min="2592" max="2592" width="18.1015625" style="55" customWidth="1"/>
    <col min="2593" max="2830" width="8.83984375" style="55"/>
    <col min="2831" max="2831" width="2.1015625" style="55" customWidth="1"/>
    <col min="2832" max="2832" width="5.83984375" style="55" customWidth="1"/>
    <col min="2833" max="2833" width="6.83984375" style="55" customWidth="1"/>
    <col min="2834" max="2834" width="6.1015625" style="55" customWidth="1"/>
    <col min="2835" max="2835" width="6.83984375" style="55" customWidth="1"/>
    <col min="2836" max="2836" width="10.83984375" style="55" customWidth="1"/>
    <col min="2837" max="2837" width="11.578125" style="55" customWidth="1"/>
    <col min="2838" max="2838" width="5.578125" style="55" customWidth="1"/>
    <col min="2839" max="2839" width="6" style="55" customWidth="1"/>
    <col min="2840" max="2840" width="6.578125" style="55" customWidth="1"/>
    <col min="2841" max="2841" width="11.1015625" style="55" customWidth="1"/>
    <col min="2842" max="2842" width="7.1015625" style="55" customWidth="1"/>
    <col min="2843" max="2844" width="5.83984375" style="55" customWidth="1"/>
    <col min="2845" max="2845" width="6" style="55" customWidth="1"/>
    <col min="2846" max="2846" width="6.83984375" style="55" customWidth="1"/>
    <col min="2847" max="2847" width="6" style="55" customWidth="1"/>
    <col min="2848" max="2848" width="18.1015625" style="55" customWidth="1"/>
    <col min="2849" max="3086" width="8.83984375" style="55"/>
    <col min="3087" max="3087" width="2.1015625" style="55" customWidth="1"/>
    <col min="3088" max="3088" width="5.83984375" style="55" customWidth="1"/>
    <col min="3089" max="3089" width="6.83984375" style="55" customWidth="1"/>
    <col min="3090" max="3090" width="6.1015625" style="55" customWidth="1"/>
    <col min="3091" max="3091" width="6.83984375" style="55" customWidth="1"/>
    <col min="3092" max="3092" width="10.83984375" style="55" customWidth="1"/>
    <col min="3093" max="3093" width="11.578125" style="55" customWidth="1"/>
    <col min="3094" max="3094" width="5.578125" style="55" customWidth="1"/>
    <col min="3095" max="3095" width="6" style="55" customWidth="1"/>
    <col min="3096" max="3096" width="6.578125" style="55" customWidth="1"/>
    <col min="3097" max="3097" width="11.1015625" style="55" customWidth="1"/>
    <col min="3098" max="3098" width="7.1015625" style="55" customWidth="1"/>
    <col min="3099" max="3100" width="5.83984375" style="55" customWidth="1"/>
    <col min="3101" max="3101" width="6" style="55" customWidth="1"/>
    <col min="3102" max="3102" width="6.83984375" style="55" customWidth="1"/>
    <col min="3103" max="3103" width="6" style="55" customWidth="1"/>
    <col min="3104" max="3104" width="18.1015625" style="55" customWidth="1"/>
    <col min="3105" max="3342" width="8.83984375" style="55"/>
    <col min="3343" max="3343" width="2.1015625" style="55" customWidth="1"/>
    <col min="3344" max="3344" width="5.83984375" style="55" customWidth="1"/>
    <col min="3345" max="3345" width="6.83984375" style="55" customWidth="1"/>
    <col min="3346" max="3346" width="6.1015625" style="55" customWidth="1"/>
    <col min="3347" max="3347" width="6.83984375" style="55" customWidth="1"/>
    <col min="3348" max="3348" width="10.83984375" style="55" customWidth="1"/>
    <col min="3349" max="3349" width="11.578125" style="55" customWidth="1"/>
    <col min="3350" max="3350" width="5.578125" style="55" customWidth="1"/>
    <col min="3351" max="3351" width="6" style="55" customWidth="1"/>
    <col min="3352" max="3352" width="6.578125" style="55" customWidth="1"/>
    <col min="3353" max="3353" width="11.1015625" style="55" customWidth="1"/>
    <col min="3354" max="3354" width="7.1015625" style="55" customWidth="1"/>
    <col min="3355" max="3356" width="5.83984375" style="55" customWidth="1"/>
    <col min="3357" max="3357" width="6" style="55" customWidth="1"/>
    <col min="3358" max="3358" width="6.83984375" style="55" customWidth="1"/>
    <col min="3359" max="3359" width="6" style="55" customWidth="1"/>
    <col min="3360" max="3360" width="18.1015625" style="55" customWidth="1"/>
    <col min="3361" max="3598" width="8.83984375" style="55"/>
    <col min="3599" max="3599" width="2.1015625" style="55" customWidth="1"/>
    <col min="3600" max="3600" width="5.83984375" style="55" customWidth="1"/>
    <col min="3601" max="3601" width="6.83984375" style="55" customWidth="1"/>
    <col min="3602" max="3602" width="6.1015625" style="55" customWidth="1"/>
    <col min="3603" max="3603" width="6.83984375" style="55" customWidth="1"/>
    <col min="3604" max="3604" width="10.83984375" style="55" customWidth="1"/>
    <col min="3605" max="3605" width="11.578125" style="55" customWidth="1"/>
    <col min="3606" max="3606" width="5.578125" style="55" customWidth="1"/>
    <col min="3607" max="3607" width="6" style="55" customWidth="1"/>
    <col min="3608" max="3608" width="6.578125" style="55" customWidth="1"/>
    <col min="3609" max="3609" width="11.1015625" style="55" customWidth="1"/>
    <col min="3610" max="3610" width="7.1015625" style="55" customWidth="1"/>
    <col min="3611" max="3612" width="5.83984375" style="55" customWidth="1"/>
    <col min="3613" max="3613" width="6" style="55" customWidth="1"/>
    <col min="3614" max="3614" width="6.83984375" style="55" customWidth="1"/>
    <col min="3615" max="3615" width="6" style="55" customWidth="1"/>
    <col min="3616" max="3616" width="18.1015625" style="55" customWidth="1"/>
    <col min="3617" max="3854" width="8.83984375" style="55"/>
    <col min="3855" max="3855" width="2.1015625" style="55" customWidth="1"/>
    <col min="3856" max="3856" width="5.83984375" style="55" customWidth="1"/>
    <col min="3857" max="3857" width="6.83984375" style="55" customWidth="1"/>
    <col min="3858" max="3858" width="6.1015625" style="55" customWidth="1"/>
    <col min="3859" max="3859" width="6.83984375" style="55" customWidth="1"/>
    <col min="3860" max="3860" width="10.83984375" style="55" customWidth="1"/>
    <col min="3861" max="3861" width="11.578125" style="55" customWidth="1"/>
    <col min="3862" max="3862" width="5.578125" style="55" customWidth="1"/>
    <col min="3863" max="3863" width="6" style="55" customWidth="1"/>
    <col min="3864" max="3864" width="6.578125" style="55" customWidth="1"/>
    <col min="3865" max="3865" width="11.1015625" style="55" customWidth="1"/>
    <col min="3866" max="3866" width="7.1015625" style="55" customWidth="1"/>
    <col min="3867" max="3868" width="5.83984375" style="55" customWidth="1"/>
    <col min="3869" max="3869" width="6" style="55" customWidth="1"/>
    <col min="3870" max="3870" width="6.83984375" style="55" customWidth="1"/>
    <col min="3871" max="3871" width="6" style="55" customWidth="1"/>
    <col min="3872" max="3872" width="18.1015625" style="55" customWidth="1"/>
    <col min="3873" max="4110" width="8.83984375" style="55"/>
    <col min="4111" max="4111" width="2.1015625" style="55" customWidth="1"/>
    <col min="4112" max="4112" width="5.83984375" style="55" customWidth="1"/>
    <col min="4113" max="4113" width="6.83984375" style="55" customWidth="1"/>
    <col min="4114" max="4114" width="6.1015625" style="55" customWidth="1"/>
    <col min="4115" max="4115" width="6.83984375" style="55" customWidth="1"/>
    <col min="4116" max="4116" width="10.83984375" style="55" customWidth="1"/>
    <col min="4117" max="4117" width="11.578125" style="55" customWidth="1"/>
    <col min="4118" max="4118" width="5.578125" style="55" customWidth="1"/>
    <col min="4119" max="4119" width="6" style="55" customWidth="1"/>
    <col min="4120" max="4120" width="6.578125" style="55" customWidth="1"/>
    <col min="4121" max="4121" width="11.1015625" style="55" customWidth="1"/>
    <col min="4122" max="4122" width="7.1015625" style="55" customWidth="1"/>
    <col min="4123" max="4124" width="5.83984375" style="55" customWidth="1"/>
    <col min="4125" max="4125" width="6" style="55" customWidth="1"/>
    <col min="4126" max="4126" width="6.83984375" style="55" customWidth="1"/>
    <col min="4127" max="4127" width="6" style="55" customWidth="1"/>
    <col min="4128" max="4128" width="18.1015625" style="55" customWidth="1"/>
    <col min="4129" max="4366" width="8.83984375" style="55"/>
    <col min="4367" max="4367" width="2.1015625" style="55" customWidth="1"/>
    <col min="4368" max="4368" width="5.83984375" style="55" customWidth="1"/>
    <col min="4369" max="4369" width="6.83984375" style="55" customWidth="1"/>
    <col min="4370" max="4370" width="6.1015625" style="55" customWidth="1"/>
    <col min="4371" max="4371" width="6.83984375" style="55" customWidth="1"/>
    <col min="4372" max="4372" width="10.83984375" style="55" customWidth="1"/>
    <col min="4373" max="4373" width="11.578125" style="55" customWidth="1"/>
    <col min="4374" max="4374" width="5.578125" style="55" customWidth="1"/>
    <col min="4375" max="4375" width="6" style="55" customWidth="1"/>
    <col min="4376" max="4376" width="6.578125" style="55" customWidth="1"/>
    <col min="4377" max="4377" width="11.1015625" style="55" customWidth="1"/>
    <col min="4378" max="4378" width="7.1015625" style="55" customWidth="1"/>
    <col min="4379" max="4380" width="5.83984375" style="55" customWidth="1"/>
    <col min="4381" max="4381" width="6" style="55" customWidth="1"/>
    <col min="4382" max="4382" width="6.83984375" style="55" customWidth="1"/>
    <col min="4383" max="4383" width="6" style="55" customWidth="1"/>
    <col min="4384" max="4384" width="18.1015625" style="55" customWidth="1"/>
    <col min="4385" max="4622" width="8.83984375" style="55"/>
    <col min="4623" max="4623" width="2.1015625" style="55" customWidth="1"/>
    <col min="4624" max="4624" width="5.83984375" style="55" customWidth="1"/>
    <col min="4625" max="4625" width="6.83984375" style="55" customWidth="1"/>
    <col min="4626" max="4626" width="6.1015625" style="55" customWidth="1"/>
    <col min="4627" max="4627" width="6.83984375" style="55" customWidth="1"/>
    <col min="4628" max="4628" width="10.83984375" style="55" customWidth="1"/>
    <col min="4629" max="4629" width="11.578125" style="55" customWidth="1"/>
    <col min="4630" max="4630" width="5.578125" style="55" customWidth="1"/>
    <col min="4631" max="4631" width="6" style="55" customWidth="1"/>
    <col min="4632" max="4632" width="6.578125" style="55" customWidth="1"/>
    <col min="4633" max="4633" width="11.1015625" style="55" customWidth="1"/>
    <col min="4634" max="4634" width="7.1015625" style="55" customWidth="1"/>
    <col min="4635" max="4636" width="5.83984375" style="55" customWidth="1"/>
    <col min="4637" max="4637" width="6" style="55" customWidth="1"/>
    <col min="4638" max="4638" width="6.83984375" style="55" customWidth="1"/>
    <col min="4639" max="4639" width="6" style="55" customWidth="1"/>
    <col min="4640" max="4640" width="18.1015625" style="55" customWidth="1"/>
    <col min="4641" max="4878" width="8.83984375" style="55"/>
    <col min="4879" max="4879" width="2.1015625" style="55" customWidth="1"/>
    <col min="4880" max="4880" width="5.83984375" style="55" customWidth="1"/>
    <col min="4881" max="4881" width="6.83984375" style="55" customWidth="1"/>
    <col min="4882" max="4882" width="6.1015625" style="55" customWidth="1"/>
    <col min="4883" max="4883" width="6.83984375" style="55" customWidth="1"/>
    <col min="4884" max="4884" width="10.83984375" style="55" customWidth="1"/>
    <col min="4885" max="4885" width="11.578125" style="55" customWidth="1"/>
    <col min="4886" max="4886" width="5.578125" style="55" customWidth="1"/>
    <col min="4887" max="4887" width="6" style="55" customWidth="1"/>
    <col min="4888" max="4888" width="6.578125" style="55" customWidth="1"/>
    <col min="4889" max="4889" width="11.1015625" style="55" customWidth="1"/>
    <col min="4890" max="4890" width="7.1015625" style="55" customWidth="1"/>
    <col min="4891" max="4892" width="5.83984375" style="55" customWidth="1"/>
    <col min="4893" max="4893" width="6" style="55" customWidth="1"/>
    <col min="4894" max="4894" width="6.83984375" style="55" customWidth="1"/>
    <col min="4895" max="4895" width="6" style="55" customWidth="1"/>
    <col min="4896" max="4896" width="18.1015625" style="55" customWidth="1"/>
    <col min="4897" max="5134" width="8.83984375" style="55"/>
    <col min="5135" max="5135" width="2.1015625" style="55" customWidth="1"/>
    <col min="5136" max="5136" width="5.83984375" style="55" customWidth="1"/>
    <col min="5137" max="5137" width="6.83984375" style="55" customWidth="1"/>
    <col min="5138" max="5138" width="6.1015625" style="55" customWidth="1"/>
    <col min="5139" max="5139" width="6.83984375" style="55" customWidth="1"/>
    <col min="5140" max="5140" width="10.83984375" style="55" customWidth="1"/>
    <col min="5141" max="5141" width="11.578125" style="55" customWidth="1"/>
    <col min="5142" max="5142" width="5.578125" style="55" customWidth="1"/>
    <col min="5143" max="5143" width="6" style="55" customWidth="1"/>
    <col min="5144" max="5144" width="6.578125" style="55" customWidth="1"/>
    <col min="5145" max="5145" width="11.1015625" style="55" customWidth="1"/>
    <col min="5146" max="5146" width="7.1015625" style="55" customWidth="1"/>
    <col min="5147" max="5148" width="5.83984375" style="55" customWidth="1"/>
    <col min="5149" max="5149" width="6" style="55" customWidth="1"/>
    <col min="5150" max="5150" width="6.83984375" style="55" customWidth="1"/>
    <col min="5151" max="5151" width="6" style="55" customWidth="1"/>
    <col min="5152" max="5152" width="18.1015625" style="55" customWidth="1"/>
    <col min="5153" max="5390" width="8.83984375" style="55"/>
    <col min="5391" max="5391" width="2.1015625" style="55" customWidth="1"/>
    <col min="5392" max="5392" width="5.83984375" style="55" customWidth="1"/>
    <col min="5393" max="5393" width="6.83984375" style="55" customWidth="1"/>
    <col min="5394" max="5394" width="6.1015625" style="55" customWidth="1"/>
    <col min="5395" max="5395" width="6.83984375" style="55" customWidth="1"/>
    <col min="5396" max="5396" width="10.83984375" style="55" customWidth="1"/>
    <col min="5397" max="5397" width="11.578125" style="55" customWidth="1"/>
    <col min="5398" max="5398" width="5.578125" style="55" customWidth="1"/>
    <col min="5399" max="5399" width="6" style="55" customWidth="1"/>
    <col min="5400" max="5400" width="6.578125" style="55" customWidth="1"/>
    <col min="5401" max="5401" width="11.1015625" style="55" customWidth="1"/>
    <col min="5402" max="5402" width="7.1015625" style="55" customWidth="1"/>
    <col min="5403" max="5404" width="5.83984375" style="55" customWidth="1"/>
    <col min="5405" max="5405" width="6" style="55" customWidth="1"/>
    <col min="5406" max="5406" width="6.83984375" style="55" customWidth="1"/>
    <col min="5407" max="5407" width="6" style="55" customWidth="1"/>
    <col min="5408" max="5408" width="18.1015625" style="55" customWidth="1"/>
    <col min="5409" max="5646" width="8.83984375" style="55"/>
    <col min="5647" max="5647" width="2.1015625" style="55" customWidth="1"/>
    <col min="5648" max="5648" width="5.83984375" style="55" customWidth="1"/>
    <col min="5649" max="5649" width="6.83984375" style="55" customWidth="1"/>
    <col min="5650" max="5650" width="6.1015625" style="55" customWidth="1"/>
    <col min="5651" max="5651" width="6.83984375" style="55" customWidth="1"/>
    <col min="5652" max="5652" width="10.83984375" style="55" customWidth="1"/>
    <col min="5653" max="5653" width="11.578125" style="55" customWidth="1"/>
    <col min="5654" max="5654" width="5.578125" style="55" customWidth="1"/>
    <col min="5655" max="5655" width="6" style="55" customWidth="1"/>
    <col min="5656" max="5656" width="6.578125" style="55" customWidth="1"/>
    <col min="5657" max="5657" width="11.1015625" style="55" customWidth="1"/>
    <col min="5658" max="5658" width="7.1015625" style="55" customWidth="1"/>
    <col min="5659" max="5660" width="5.83984375" style="55" customWidth="1"/>
    <col min="5661" max="5661" width="6" style="55" customWidth="1"/>
    <col min="5662" max="5662" width="6.83984375" style="55" customWidth="1"/>
    <col min="5663" max="5663" width="6" style="55" customWidth="1"/>
    <col min="5664" max="5664" width="18.1015625" style="55" customWidth="1"/>
    <col min="5665" max="5902" width="8.83984375" style="55"/>
    <col min="5903" max="5903" width="2.1015625" style="55" customWidth="1"/>
    <col min="5904" max="5904" width="5.83984375" style="55" customWidth="1"/>
    <col min="5905" max="5905" width="6.83984375" style="55" customWidth="1"/>
    <col min="5906" max="5906" width="6.1015625" style="55" customWidth="1"/>
    <col min="5907" max="5907" width="6.83984375" style="55" customWidth="1"/>
    <col min="5908" max="5908" width="10.83984375" style="55" customWidth="1"/>
    <col min="5909" max="5909" width="11.578125" style="55" customWidth="1"/>
    <col min="5910" max="5910" width="5.578125" style="55" customWidth="1"/>
    <col min="5911" max="5911" width="6" style="55" customWidth="1"/>
    <col min="5912" max="5912" width="6.578125" style="55" customWidth="1"/>
    <col min="5913" max="5913" width="11.1015625" style="55" customWidth="1"/>
    <col min="5914" max="5914" width="7.1015625" style="55" customWidth="1"/>
    <col min="5915" max="5916" width="5.83984375" style="55" customWidth="1"/>
    <col min="5917" max="5917" width="6" style="55" customWidth="1"/>
    <col min="5918" max="5918" width="6.83984375" style="55" customWidth="1"/>
    <col min="5919" max="5919" width="6" style="55" customWidth="1"/>
    <col min="5920" max="5920" width="18.1015625" style="55" customWidth="1"/>
    <col min="5921" max="6158" width="8.83984375" style="55"/>
    <col min="6159" max="6159" width="2.1015625" style="55" customWidth="1"/>
    <col min="6160" max="6160" width="5.83984375" style="55" customWidth="1"/>
    <col min="6161" max="6161" width="6.83984375" style="55" customWidth="1"/>
    <col min="6162" max="6162" width="6.1015625" style="55" customWidth="1"/>
    <col min="6163" max="6163" width="6.83984375" style="55" customWidth="1"/>
    <col min="6164" max="6164" width="10.83984375" style="55" customWidth="1"/>
    <col min="6165" max="6165" width="11.578125" style="55" customWidth="1"/>
    <col min="6166" max="6166" width="5.578125" style="55" customWidth="1"/>
    <col min="6167" max="6167" width="6" style="55" customWidth="1"/>
    <col min="6168" max="6168" width="6.578125" style="55" customWidth="1"/>
    <col min="6169" max="6169" width="11.1015625" style="55" customWidth="1"/>
    <col min="6170" max="6170" width="7.1015625" style="55" customWidth="1"/>
    <col min="6171" max="6172" width="5.83984375" style="55" customWidth="1"/>
    <col min="6173" max="6173" width="6" style="55" customWidth="1"/>
    <col min="6174" max="6174" width="6.83984375" style="55" customWidth="1"/>
    <col min="6175" max="6175" width="6" style="55" customWidth="1"/>
    <col min="6176" max="6176" width="18.1015625" style="55" customWidth="1"/>
    <col min="6177" max="6414" width="8.83984375" style="55"/>
    <col min="6415" max="6415" width="2.1015625" style="55" customWidth="1"/>
    <col min="6416" max="6416" width="5.83984375" style="55" customWidth="1"/>
    <col min="6417" max="6417" width="6.83984375" style="55" customWidth="1"/>
    <col min="6418" max="6418" width="6.1015625" style="55" customWidth="1"/>
    <col min="6419" max="6419" width="6.83984375" style="55" customWidth="1"/>
    <col min="6420" max="6420" width="10.83984375" style="55" customWidth="1"/>
    <col min="6421" max="6421" width="11.578125" style="55" customWidth="1"/>
    <col min="6422" max="6422" width="5.578125" style="55" customWidth="1"/>
    <col min="6423" max="6423" width="6" style="55" customWidth="1"/>
    <col min="6424" max="6424" width="6.578125" style="55" customWidth="1"/>
    <col min="6425" max="6425" width="11.1015625" style="55" customWidth="1"/>
    <col min="6426" max="6426" width="7.1015625" style="55" customWidth="1"/>
    <col min="6427" max="6428" width="5.83984375" style="55" customWidth="1"/>
    <col min="6429" max="6429" width="6" style="55" customWidth="1"/>
    <col min="6430" max="6430" width="6.83984375" style="55" customWidth="1"/>
    <col min="6431" max="6431" width="6" style="55" customWidth="1"/>
    <col min="6432" max="6432" width="18.1015625" style="55" customWidth="1"/>
    <col min="6433" max="6670" width="8.83984375" style="55"/>
    <col min="6671" max="6671" width="2.1015625" style="55" customWidth="1"/>
    <col min="6672" max="6672" width="5.83984375" style="55" customWidth="1"/>
    <col min="6673" max="6673" width="6.83984375" style="55" customWidth="1"/>
    <col min="6674" max="6674" width="6.1015625" style="55" customWidth="1"/>
    <col min="6675" max="6675" width="6.83984375" style="55" customWidth="1"/>
    <col min="6676" max="6676" width="10.83984375" style="55" customWidth="1"/>
    <col min="6677" max="6677" width="11.578125" style="55" customWidth="1"/>
    <col min="6678" max="6678" width="5.578125" style="55" customWidth="1"/>
    <col min="6679" max="6679" width="6" style="55" customWidth="1"/>
    <col min="6680" max="6680" width="6.578125" style="55" customWidth="1"/>
    <col min="6681" max="6681" width="11.1015625" style="55" customWidth="1"/>
    <col min="6682" max="6682" width="7.1015625" style="55" customWidth="1"/>
    <col min="6683" max="6684" width="5.83984375" style="55" customWidth="1"/>
    <col min="6685" max="6685" width="6" style="55" customWidth="1"/>
    <col min="6686" max="6686" width="6.83984375" style="55" customWidth="1"/>
    <col min="6687" max="6687" width="6" style="55" customWidth="1"/>
    <col min="6688" max="6688" width="18.1015625" style="55" customWidth="1"/>
    <col min="6689" max="6926" width="8.83984375" style="55"/>
    <col min="6927" max="6927" width="2.1015625" style="55" customWidth="1"/>
    <col min="6928" max="6928" width="5.83984375" style="55" customWidth="1"/>
    <col min="6929" max="6929" width="6.83984375" style="55" customWidth="1"/>
    <col min="6930" max="6930" width="6.1015625" style="55" customWidth="1"/>
    <col min="6931" max="6931" width="6.83984375" style="55" customWidth="1"/>
    <col min="6932" max="6932" width="10.83984375" style="55" customWidth="1"/>
    <col min="6933" max="6933" width="11.578125" style="55" customWidth="1"/>
    <col min="6934" max="6934" width="5.578125" style="55" customWidth="1"/>
    <col min="6935" max="6935" width="6" style="55" customWidth="1"/>
    <col min="6936" max="6936" width="6.578125" style="55" customWidth="1"/>
    <col min="6937" max="6937" width="11.1015625" style="55" customWidth="1"/>
    <col min="6938" max="6938" width="7.1015625" style="55" customWidth="1"/>
    <col min="6939" max="6940" width="5.83984375" style="55" customWidth="1"/>
    <col min="6941" max="6941" width="6" style="55" customWidth="1"/>
    <col min="6942" max="6942" width="6.83984375" style="55" customWidth="1"/>
    <col min="6943" max="6943" width="6" style="55" customWidth="1"/>
    <col min="6944" max="6944" width="18.1015625" style="55" customWidth="1"/>
    <col min="6945" max="7182" width="8.83984375" style="55"/>
    <col min="7183" max="7183" width="2.1015625" style="55" customWidth="1"/>
    <col min="7184" max="7184" width="5.83984375" style="55" customWidth="1"/>
    <col min="7185" max="7185" width="6.83984375" style="55" customWidth="1"/>
    <col min="7186" max="7186" width="6.1015625" style="55" customWidth="1"/>
    <col min="7187" max="7187" width="6.83984375" style="55" customWidth="1"/>
    <col min="7188" max="7188" width="10.83984375" style="55" customWidth="1"/>
    <col min="7189" max="7189" width="11.578125" style="55" customWidth="1"/>
    <col min="7190" max="7190" width="5.578125" style="55" customWidth="1"/>
    <col min="7191" max="7191" width="6" style="55" customWidth="1"/>
    <col min="7192" max="7192" width="6.578125" style="55" customWidth="1"/>
    <col min="7193" max="7193" width="11.1015625" style="55" customWidth="1"/>
    <col min="7194" max="7194" width="7.1015625" style="55" customWidth="1"/>
    <col min="7195" max="7196" width="5.83984375" style="55" customWidth="1"/>
    <col min="7197" max="7197" width="6" style="55" customWidth="1"/>
    <col min="7198" max="7198" width="6.83984375" style="55" customWidth="1"/>
    <col min="7199" max="7199" width="6" style="55" customWidth="1"/>
    <col min="7200" max="7200" width="18.1015625" style="55" customWidth="1"/>
    <col min="7201" max="7438" width="8.83984375" style="55"/>
    <col min="7439" max="7439" width="2.1015625" style="55" customWidth="1"/>
    <col min="7440" max="7440" width="5.83984375" style="55" customWidth="1"/>
    <col min="7441" max="7441" width="6.83984375" style="55" customWidth="1"/>
    <col min="7442" max="7442" width="6.1015625" style="55" customWidth="1"/>
    <col min="7443" max="7443" width="6.83984375" style="55" customWidth="1"/>
    <col min="7444" max="7444" width="10.83984375" style="55" customWidth="1"/>
    <col min="7445" max="7445" width="11.578125" style="55" customWidth="1"/>
    <col min="7446" max="7446" width="5.578125" style="55" customWidth="1"/>
    <col min="7447" max="7447" width="6" style="55" customWidth="1"/>
    <col min="7448" max="7448" width="6.578125" style="55" customWidth="1"/>
    <col min="7449" max="7449" width="11.1015625" style="55" customWidth="1"/>
    <col min="7450" max="7450" width="7.1015625" style="55" customWidth="1"/>
    <col min="7451" max="7452" width="5.83984375" style="55" customWidth="1"/>
    <col min="7453" max="7453" width="6" style="55" customWidth="1"/>
    <col min="7454" max="7454" width="6.83984375" style="55" customWidth="1"/>
    <col min="7455" max="7455" width="6" style="55" customWidth="1"/>
    <col min="7456" max="7456" width="18.1015625" style="55" customWidth="1"/>
    <col min="7457" max="7694" width="8.83984375" style="55"/>
    <col min="7695" max="7695" width="2.1015625" style="55" customWidth="1"/>
    <col min="7696" max="7696" width="5.83984375" style="55" customWidth="1"/>
    <col min="7697" max="7697" width="6.83984375" style="55" customWidth="1"/>
    <col min="7698" max="7698" width="6.1015625" style="55" customWidth="1"/>
    <col min="7699" max="7699" width="6.83984375" style="55" customWidth="1"/>
    <col min="7700" max="7700" width="10.83984375" style="55" customWidth="1"/>
    <col min="7701" max="7701" width="11.578125" style="55" customWidth="1"/>
    <col min="7702" max="7702" width="5.578125" style="55" customWidth="1"/>
    <col min="7703" max="7703" width="6" style="55" customWidth="1"/>
    <col min="7704" max="7704" width="6.578125" style="55" customWidth="1"/>
    <col min="7705" max="7705" width="11.1015625" style="55" customWidth="1"/>
    <col min="7706" max="7706" width="7.1015625" style="55" customWidth="1"/>
    <col min="7707" max="7708" width="5.83984375" style="55" customWidth="1"/>
    <col min="7709" max="7709" width="6" style="55" customWidth="1"/>
    <col min="7710" max="7710" width="6.83984375" style="55" customWidth="1"/>
    <col min="7711" max="7711" width="6" style="55" customWidth="1"/>
    <col min="7712" max="7712" width="18.1015625" style="55" customWidth="1"/>
    <col min="7713" max="7950" width="8.83984375" style="55"/>
    <col min="7951" max="7951" width="2.1015625" style="55" customWidth="1"/>
    <col min="7952" max="7952" width="5.83984375" style="55" customWidth="1"/>
    <col min="7953" max="7953" width="6.83984375" style="55" customWidth="1"/>
    <col min="7954" max="7954" width="6.1015625" style="55" customWidth="1"/>
    <col min="7955" max="7955" width="6.83984375" style="55" customWidth="1"/>
    <col min="7956" max="7956" width="10.83984375" style="55" customWidth="1"/>
    <col min="7957" max="7957" width="11.578125" style="55" customWidth="1"/>
    <col min="7958" max="7958" width="5.578125" style="55" customWidth="1"/>
    <col min="7959" max="7959" width="6" style="55" customWidth="1"/>
    <col min="7960" max="7960" width="6.578125" style="55" customWidth="1"/>
    <col min="7961" max="7961" width="11.1015625" style="55" customWidth="1"/>
    <col min="7962" max="7962" width="7.1015625" style="55" customWidth="1"/>
    <col min="7963" max="7964" width="5.83984375" style="55" customWidth="1"/>
    <col min="7965" max="7965" width="6" style="55" customWidth="1"/>
    <col min="7966" max="7966" width="6.83984375" style="55" customWidth="1"/>
    <col min="7967" max="7967" width="6" style="55" customWidth="1"/>
    <col min="7968" max="7968" width="18.1015625" style="55" customWidth="1"/>
    <col min="7969" max="8206" width="8.83984375" style="55"/>
    <col min="8207" max="8207" width="2.1015625" style="55" customWidth="1"/>
    <col min="8208" max="8208" width="5.83984375" style="55" customWidth="1"/>
    <col min="8209" max="8209" width="6.83984375" style="55" customWidth="1"/>
    <col min="8210" max="8210" width="6.1015625" style="55" customWidth="1"/>
    <col min="8211" max="8211" width="6.83984375" style="55" customWidth="1"/>
    <col min="8212" max="8212" width="10.83984375" style="55" customWidth="1"/>
    <col min="8213" max="8213" width="11.578125" style="55" customWidth="1"/>
    <col min="8214" max="8214" width="5.578125" style="55" customWidth="1"/>
    <col min="8215" max="8215" width="6" style="55" customWidth="1"/>
    <col min="8216" max="8216" width="6.578125" style="55" customWidth="1"/>
    <col min="8217" max="8217" width="11.1015625" style="55" customWidth="1"/>
    <col min="8218" max="8218" width="7.1015625" style="55" customWidth="1"/>
    <col min="8219" max="8220" width="5.83984375" style="55" customWidth="1"/>
    <col min="8221" max="8221" width="6" style="55" customWidth="1"/>
    <col min="8222" max="8222" width="6.83984375" style="55" customWidth="1"/>
    <col min="8223" max="8223" width="6" style="55" customWidth="1"/>
    <col min="8224" max="8224" width="18.1015625" style="55" customWidth="1"/>
    <col min="8225" max="8462" width="8.83984375" style="55"/>
    <col min="8463" max="8463" width="2.1015625" style="55" customWidth="1"/>
    <col min="8464" max="8464" width="5.83984375" style="55" customWidth="1"/>
    <col min="8465" max="8465" width="6.83984375" style="55" customWidth="1"/>
    <col min="8466" max="8466" width="6.1015625" style="55" customWidth="1"/>
    <col min="8467" max="8467" width="6.83984375" style="55" customWidth="1"/>
    <col min="8468" max="8468" width="10.83984375" style="55" customWidth="1"/>
    <col min="8469" max="8469" width="11.578125" style="55" customWidth="1"/>
    <col min="8470" max="8470" width="5.578125" style="55" customWidth="1"/>
    <col min="8471" max="8471" width="6" style="55" customWidth="1"/>
    <col min="8472" max="8472" width="6.578125" style="55" customWidth="1"/>
    <col min="8473" max="8473" width="11.1015625" style="55" customWidth="1"/>
    <col min="8474" max="8474" width="7.1015625" style="55" customWidth="1"/>
    <col min="8475" max="8476" width="5.83984375" style="55" customWidth="1"/>
    <col min="8477" max="8477" width="6" style="55" customWidth="1"/>
    <col min="8478" max="8478" width="6.83984375" style="55" customWidth="1"/>
    <col min="8479" max="8479" width="6" style="55" customWidth="1"/>
    <col min="8480" max="8480" width="18.1015625" style="55" customWidth="1"/>
    <col min="8481" max="8718" width="8.83984375" style="55"/>
    <col min="8719" max="8719" width="2.1015625" style="55" customWidth="1"/>
    <col min="8720" max="8720" width="5.83984375" style="55" customWidth="1"/>
    <col min="8721" max="8721" width="6.83984375" style="55" customWidth="1"/>
    <col min="8722" max="8722" width="6.1015625" style="55" customWidth="1"/>
    <col min="8723" max="8723" width="6.83984375" style="55" customWidth="1"/>
    <col min="8724" max="8724" width="10.83984375" style="55" customWidth="1"/>
    <col min="8725" max="8725" width="11.578125" style="55" customWidth="1"/>
    <col min="8726" max="8726" width="5.578125" style="55" customWidth="1"/>
    <col min="8727" max="8727" width="6" style="55" customWidth="1"/>
    <col min="8728" max="8728" width="6.578125" style="55" customWidth="1"/>
    <col min="8729" max="8729" width="11.1015625" style="55" customWidth="1"/>
    <col min="8730" max="8730" width="7.1015625" style="55" customWidth="1"/>
    <col min="8731" max="8732" width="5.83984375" style="55" customWidth="1"/>
    <col min="8733" max="8733" width="6" style="55" customWidth="1"/>
    <col min="8734" max="8734" width="6.83984375" style="55" customWidth="1"/>
    <col min="8735" max="8735" width="6" style="55" customWidth="1"/>
    <col min="8736" max="8736" width="18.1015625" style="55" customWidth="1"/>
    <col min="8737" max="8974" width="8.83984375" style="55"/>
    <col min="8975" max="8975" width="2.1015625" style="55" customWidth="1"/>
    <col min="8976" max="8976" width="5.83984375" style="55" customWidth="1"/>
    <col min="8977" max="8977" width="6.83984375" style="55" customWidth="1"/>
    <col min="8978" max="8978" width="6.1015625" style="55" customWidth="1"/>
    <col min="8979" max="8979" width="6.83984375" style="55" customWidth="1"/>
    <col min="8980" max="8980" width="10.83984375" style="55" customWidth="1"/>
    <col min="8981" max="8981" width="11.578125" style="55" customWidth="1"/>
    <col min="8982" max="8982" width="5.578125" style="55" customWidth="1"/>
    <col min="8983" max="8983" width="6" style="55" customWidth="1"/>
    <col min="8984" max="8984" width="6.578125" style="55" customWidth="1"/>
    <col min="8985" max="8985" width="11.1015625" style="55" customWidth="1"/>
    <col min="8986" max="8986" width="7.1015625" style="55" customWidth="1"/>
    <col min="8987" max="8988" width="5.83984375" style="55" customWidth="1"/>
    <col min="8989" max="8989" width="6" style="55" customWidth="1"/>
    <col min="8990" max="8990" width="6.83984375" style="55" customWidth="1"/>
    <col min="8991" max="8991" width="6" style="55" customWidth="1"/>
    <col min="8992" max="8992" width="18.1015625" style="55" customWidth="1"/>
    <col min="8993" max="9230" width="8.83984375" style="55"/>
    <col min="9231" max="9231" width="2.1015625" style="55" customWidth="1"/>
    <col min="9232" max="9232" width="5.83984375" style="55" customWidth="1"/>
    <col min="9233" max="9233" width="6.83984375" style="55" customWidth="1"/>
    <col min="9234" max="9234" width="6.1015625" style="55" customWidth="1"/>
    <col min="9235" max="9235" width="6.83984375" style="55" customWidth="1"/>
    <col min="9236" max="9236" width="10.83984375" style="55" customWidth="1"/>
    <col min="9237" max="9237" width="11.578125" style="55" customWidth="1"/>
    <col min="9238" max="9238" width="5.578125" style="55" customWidth="1"/>
    <col min="9239" max="9239" width="6" style="55" customWidth="1"/>
    <col min="9240" max="9240" width="6.578125" style="55" customWidth="1"/>
    <col min="9241" max="9241" width="11.1015625" style="55" customWidth="1"/>
    <col min="9242" max="9242" width="7.1015625" style="55" customWidth="1"/>
    <col min="9243" max="9244" width="5.83984375" style="55" customWidth="1"/>
    <col min="9245" max="9245" width="6" style="55" customWidth="1"/>
    <col min="9246" max="9246" width="6.83984375" style="55" customWidth="1"/>
    <col min="9247" max="9247" width="6" style="55" customWidth="1"/>
    <col min="9248" max="9248" width="18.1015625" style="55" customWidth="1"/>
    <col min="9249" max="9486" width="8.83984375" style="55"/>
    <col min="9487" max="9487" width="2.1015625" style="55" customWidth="1"/>
    <col min="9488" max="9488" width="5.83984375" style="55" customWidth="1"/>
    <col min="9489" max="9489" width="6.83984375" style="55" customWidth="1"/>
    <col min="9490" max="9490" width="6.1015625" style="55" customWidth="1"/>
    <col min="9491" max="9491" width="6.83984375" style="55" customWidth="1"/>
    <col min="9492" max="9492" width="10.83984375" style="55" customWidth="1"/>
    <col min="9493" max="9493" width="11.578125" style="55" customWidth="1"/>
    <col min="9494" max="9494" width="5.578125" style="55" customWidth="1"/>
    <col min="9495" max="9495" width="6" style="55" customWidth="1"/>
    <col min="9496" max="9496" width="6.578125" style="55" customWidth="1"/>
    <col min="9497" max="9497" width="11.1015625" style="55" customWidth="1"/>
    <col min="9498" max="9498" width="7.1015625" style="55" customWidth="1"/>
    <col min="9499" max="9500" width="5.83984375" style="55" customWidth="1"/>
    <col min="9501" max="9501" width="6" style="55" customWidth="1"/>
    <col min="9502" max="9502" width="6.83984375" style="55" customWidth="1"/>
    <col min="9503" max="9503" width="6" style="55" customWidth="1"/>
    <col min="9504" max="9504" width="18.1015625" style="55" customWidth="1"/>
    <col min="9505" max="9742" width="8.83984375" style="55"/>
    <col min="9743" max="9743" width="2.1015625" style="55" customWidth="1"/>
    <col min="9744" max="9744" width="5.83984375" style="55" customWidth="1"/>
    <col min="9745" max="9745" width="6.83984375" style="55" customWidth="1"/>
    <col min="9746" max="9746" width="6.1015625" style="55" customWidth="1"/>
    <col min="9747" max="9747" width="6.83984375" style="55" customWidth="1"/>
    <col min="9748" max="9748" width="10.83984375" style="55" customWidth="1"/>
    <col min="9749" max="9749" width="11.578125" style="55" customWidth="1"/>
    <col min="9750" max="9750" width="5.578125" style="55" customWidth="1"/>
    <col min="9751" max="9751" width="6" style="55" customWidth="1"/>
    <col min="9752" max="9752" width="6.578125" style="55" customWidth="1"/>
    <col min="9753" max="9753" width="11.1015625" style="55" customWidth="1"/>
    <col min="9754" max="9754" width="7.1015625" style="55" customWidth="1"/>
    <col min="9755" max="9756" width="5.83984375" style="55" customWidth="1"/>
    <col min="9757" max="9757" width="6" style="55" customWidth="1"/>
    <col min="9758" max="9758" width="6.83984375" style="55" customWidth="1"/>
    <col min="9759" max="9759" width="6" style="55" customWidth="1"/>
    <col min="9760" max="9760" width="18.1015625" style="55" customWidth="1"/>
    <col min="9761" max="9998" width="8.83984375" style="55"/>
    <col min="9999" max="9999" width="2.1015625" style="55" customWidth="1"/>
    <col min="10000" max="10000" width="5.83984375" style="55" customWidth="1"/>
    <col min="10001" max="10001" width="6.83984375" style="55" customWidth="1"/>
    <col min="10002" max="10002" width="6.1015625" style="55" customWidth="1"/>
    <col min="10003" max="10003" width="6.83984375" style="55" customWidth="1"/>
    <col min="10004" max="10004" width="10.83984375" style="55" customWidth="1"/>
    <col min="10005" max="10005" width="11.578125" style="55" customWidth="1"/>
    <col min="10006" max="10006" width="5.578125" style="55" customWidth="1"/>
    <col min="10007" max="10007" width="6" style="55" customWidth="1"/>
    <col min="10008" max="10008" width="6.578125" style="55" customWidth="1"/>
    <col min="10009" max="10009" width="11.1015625" style="55" customWidth="1"/>
    <col min="10010" max="10010" width="7.1015625" style="55" customWidth="1"/>
    <col min="10011" max="10012" width="5.83984375" style="55" customWidth="1"/>
    <col min="10013" max="10013" width="6" style="55" customWidth="1"/>
    <col min="10014" max="10014" width="6.83984375" style="55" customWidth="1"/>
    <col min="10015" max="10015" width="6" style="55" customWidth="1"/>
    <col min="10016" max="10016" width="18.1015625" style="55" customWidth="1"/>
    <col min="10017" max="10254" width="8.83984375" style="55"/>
    <col min="10255" max="10255" width="2.1015625" style="55" customWidth="1"/>
    <col min="10256" max="10256" width="5.83984375" style="55" customWidth="1"/>
    <col min="10257" max="10257" width="6.83984375" style="55" customWidth="1"/>
    <col min="10258" max="10258" width="6.1015625" style="55" customWidth="1"/>
    <col min="10259" max="10259" width="6.83984375" style="55" customWidth="1"/>
    <col min="10260" max="10260" width="10.83984375" style="55" customWidth="1"/>
    <col min="10261" max="10261" width="11.578125" style="55" customWidth="1"/>
    <col min="10262" max="10262" width="5.578125" style="55" customWidth="1"/>
    <col min="10263" max="10263" width="6" style="55" customWidth="1"/>
    <col min="10264" max="10264" width="6.578125" style="55" customWidth="1"/>
    <col min="10265" max="10265" width="11.1015625" style="55" customWidth="1"/>
    <col min="10266" max="10266" width="7.1015625" style="55" customWidth="1"/>
    <col min="10267" max="10268" width="5.83984375" style="55" customWidth="1"/>
    <col min="10269" max="10269" width="6" style="55" customWidth="1"/>
    <col min="10270" max="10270" width="6.83984375" style="55" customWidth="1"/>
    <col min="10271" max="10271" width="6" style="55" customWidth="1"/>
    <col min="10272" max="10272" width="18.1015625" style="55" customWidth="1"/>
    <col min="10273" max="10510" width="8.83984375" style="55"/>
    <col min="10511" max="10511" width="2.1015625" style="55" customWidth="1"/>
    <col min="10512" max="10512" width="5.83984375" style="55" customWidth="1"/>
    <col min="10513" max="10513" width="6.83984375" style="55" customWidth="1"/>
    <col min="10514" max="10514" width="6.1015625" style="55" customWidth="1"/>
    <col min="10515" max="10515" width="6.83984375" style="55" customWidth="1"/>
    <col min="10516" max="10516" width="10.83984375" style="55" customWidth="1"/>
    <col min="10517" max="10517" width="11.578125" style="55" customWidth="1"/>
    <col min="10518" max="10518" width="5.578125" style="55" customWidth="1"/>
    <col min="10519" max="10519" width="6" style="55" customWidth="1"/>
    <col min="10520" max="10520" width="6.578125" style="55" customWidth="1"/>
    <col min="10521" max="10521" width="11.1015625" style="55" customWidth="1"/>
    <col min="10522" max="10522" width="7.1015625" style="55" customWidth="1"/>
    <col min="10523" max="10524" width="5.83984375" style="55" customWidth="1"/>
    <col min="10525" max="10525" width="6" style="55" customWidth="1"/>
    <col min="10526" max="10526" width="6.83984375" style="55" customWidth="1"/>
    <col min="10527" max="10527" width="6" style="55" customWidth="1"/>
    <col min="10528" max="10528" width="18.1015625" style="55" customWidth="1"/>
    <col min="10529" max="10766" width="8.83984375" style="55"/>
    <col min="10767" max="10767" width="2.1015625" style="55" customWidth="1"/>
    <col min="10768" max="10768" width="5.83984375" style="55" customWidth="1"/>
    <col min="10769" max="10769" width="6.83984375" style="55" customWidth="1"/>
    <col min="10770" max="10770" width="6.1015625" style="55" customWidth="1"/>
    <col min="10771" max="10771" width="6.83984375" style="55" customWidth="1"/>
    <col min="10772" max="10772" width="10.83984375" style="55" customWidth="1"/>
    <col min="10773" max="10773" width="11.578125" style="55" customWidth="1"/>
    <col min="10774" max="10774" width="5.578125" style="55" customWidth="1"/>
    <col min="10775" max="10775" width="6" style="55" customWidth="1"/>
    <col min="10776" max="10776" width="6.578125" style="55" customWidth="1"/>
    <col min="10777" max="10777" width="11.1015625" style="55" customWidth="1"/>
    <col min="10778" max="10778" width="7.1015625" style="55" customWidth="1"/>
    <col min="10779" max="10780" width="5.83984375" style="55" customWidth="1"/>
    <col min="10781" max="10781" width="6" style="55" customWidth="1"/>
    <col min="10782" max="10782" width="6.83984375" style="55" customWidth="1"/>
    <col min="10783" max="10783" width="6" style="55" customWidth="1"/>
    <col min="10784" max="10784" width="18.1015625" style="55" customWidth="1"/>
    <col min="10785" max="11022" width="8.83984375" style="55"/>
    <col min="11023" max="11023" width="2.1015625" style="55" customWidth="1"/>
    <col min="11024" max="11024" width="5.83984375" style="55" customWidth="1"/>
    <col min="11025" max="11025" width="6.83984375" style="55" customWidth="1"/>
    <col min="11026" max="11026" width="6.1015625" style="55" customWidth="1"/>
    <col min="11027" max="11027" width="6.83984375" style="55" customWidth="1"/>
    <col min="11028" max="11028" width="10.83984375" style="55" customWidth="1"/>
    <col min="11029" max="11029" width="11.578125" style="55" customWidth="1"/>
    <col min="11030" max="11030" width="5.578125" style="55" customWidth="1"/>
    <col min="11031" max="11031" width="6" style="55" customWidth="1"/>
    <col min="11032" max="11032" width="6.578125" style="55" customWidth="1"/>
    <col min="11033" max="11033" width="11.1015625" style="55" customWidth="1"/>
    <col min="11034" max="11034" width="7.1015625" style="55" customWidth="1"/>
    <col min="11035" max="11036" width="5.83984375" style="55" customWidth="1"/>
    <col min="11037" max="11037" width="6" style="55" customWidth="1"/>
    <col min="11038" max="11038" width="6.83984375" style="55" customWidth="1"/>
    <col min="11039" max="11039" width="6" style="55" customWidth="1"/>
    <col min="11040" max="11040" width="18.1015625" style="55" customWidth="1"/>
    <col min="11041" max="11278" width="8.83984375" style="55"/>
    <col min="11279" max="11279" width="2.1015625" style="55" customWidth="1"/>
    <col min="11280" max="11280" width="5.83984375" style="55" customWidth="1"/>
    <col min="11281" max="11281" width="6.83984375" style="55" customWidth="1"/>
    <col min="11282" max="11282" width="6.1015625" style="55" customWidth="1"/>
    <col min="11283" max="11283" width="6.83984375" style="55" customWidth="1"/>
    <col min="11284" max="11284" width="10.83984375" style="55" customWidth="1"/>
    <col min="11285" max="11285" width="11.578125" style="55" customWidth="1"/>
    <col min="11286" max="11286" width="5.578125" style="55" customWidth="1"/>
    <col min="11287" max="11287" width="6" style="55" customWidth="1"/>
    <col min="11288" max="11288" width="6.578125" style="55" customWidth="1"/>
    <col min="11289" max="11289" width="11.1015625" style="55" customWidth="1"/>
    <col min="11290" max="11290" width="7.1015625" style="55" customWidth="1"/>
    <col min="11291" max="11292" width="5.83984375" style="55" customWidth="1"/>
    <col min="11293" max="11293" width="6" style="55" customWidth="1"/>
    <col min="11294" max="11294" width="6.83984375" style="55" customWidth="1"/>
    <col min="11295" max="11295" width="6" style="55" customWidth="1"/>
    <col min="11296" max="11296" width="18.1015625" style="55" customWidth="1"/>
    <col min="11297" max="11534" width="8.83984375" style="55"/>
    <col min="11535" max="11535" width="2.1015625" style="55" customWidth="1"/>
    <col min="11536" max="11536" width="5.83984375" style="55" customWidth="1"/>
    <col min="11537" max="11537" width="6.83984375" style="55" customWidth="1"/>
    <col min="11538" max="11538" width="6.1015625" style="55" customWidth="1"/>
    <col min="11539" max="11539" width="6.83984375" style="55" customWidth="1"/>
    <col min="11540" max="11540" width="10.83984375" style="55" customWidth="1"/>
    <col min="11541" max="11541" width="11.578125" style="55" customWidth="1"/>
    <col min="11542" max="11542" width="5.578125" style="55" customWidth="1"/>
    <col min="11543" max="11543" width="6" style="55" customWidth="1"/>
    <col min="11544" max="11544" width="6.578125" style="55" customWidth="1"/>
    <col min="11545" max="11545" width="11.1015625" style="55" customWidth="1"/>
    <col min="11546" max="11546" width="7.1015625" style="55" customWidth="1"/>
    <col min="11547" max="11548" width="5.83984375" style="55" customWidth="1"/>
    <col min="11549" max="11549" width="6" style="55" customWidth="1"/>
    <col min="11550" max="11550" width="6.83984375" style="55" customWidth="1"/>
    <col min="11551" max="11551" width="6" style="55" customWidth="1"/>
    <col min="11552" max="11552" width="18.1015625" style="55" customWidth="1"/>
    <col min="11553" max="11790" width="8.83984375" style="55"/>
    <col min="11791" max="11791" width="2.1015625" style="55" customWidth="1"/>
    <col min="11792" max="11792" width="5.83984375" style="55" customWidth="1"/>
    <col min="11793" max="11793" width="6.83984375" style="55" customWidth="1"/>
    <col min="11794" max="11794" width="6.1015625" style="55" customWidth="1"/>
    <col min="11795" max="11795" width="6.83984375" style="55" customWidth="1"/>
    <col min="11796" max="11796" width="10.83984375" style="55" customWidth="1"/>
    <col min="11797" max="11797" width="11.578125" style="55" customWidth="1"/>
    <col min="11798" max="11798" width="5.578125" style="55" customWidth="1"/>
    <col min="11799" max="11799" width="6" style="55" customWidth="1"/>
    <col min="11800" max="11800" width="6.578125" style="55" customWidth="1"/>
    <col min="11801" max="11801" width="11.1015625" style="55" customWidth="1"/>
    <col min="11802" max="11802" width="7.1015625" style="55" customWidth="1"/>
    <col min="11803" max="11804" width="5.83984375" style="55" customWidth="1"/>
    <col min="11805" max="11805" width="6" style="55" customWidth="1"/>
    <col min="11806" max="11806" width="6.83984375" style="55" customWidth="1"/>
    <col min="11807" max="11807" width="6" style="55" customWidth="1"/>
    <col min="11808" max="11808" width="18.1015625" style="55" customWidth="1"/>
    <col min="11809" max="12046" width="8.83984375" style="55"/>
    <col min="12047" max="12047" width="2.1015625" style="55" customWidth="1"/>
    <col min="12048" max="12048" width="5.83984375" style="55" customWidth="1"/>
    <col min="12049" max="12049" width="6.83984375" style="55" customWidth="1"/>
    <col min="12050" max="12050" width="6.1015625" style="55" customWidth="1"/>
    <col min="12051" max="12051" width="6.83984375" style="55" customWidth="1"/>
    <col min="12052" max="12052" width="10.83984375" style="55" customWidth="1"/>
    <col min="12053" max="12053" width="11.578125" style="55" customWidth="1"/>
    <col min="12054" max="12054" width="5.578125" style="55" customWidth="1"/>
    <col min="12055" max="12055" width="6" style="55" customWidth="1"/>
    <col min="12056" max="12056" width="6.578125" style="55" customWidth="1"/>
    <col min="12057" max="12057" width="11.1015625" style="55" customWidth="1"/>
    <col min="12058" max="12058" width="7.1015625" style="55" customWidth="1"/>
    <col min="12059" max="12060" width="5.83984375" style="55" customWidth="1"/>
    <col min="12061" max="12061" width="6" style="55" customWidth="1"/>
    <col min="12062" max="12062" width="6.83984375" style="55" customWidth="1"/>
    <col min="12063" max="12063" width="6" style="55" customWidth="1"/>
    <col min="12064" max="12064" width="18.1015625" style="55" customWidth="1"/>
    <col min="12065" max="12302" width="8.83984375" style="55"/>
    <col min="12303" max="12303" width="2.1015625" style="55" customWidth="1"/>
    <col min="12304" max="12304" width="5.83984375" style="55" customWidth="1"/>
    <col min="12305" max="12305" width="6.83984375" style="55" customWidth="1"/>
    <col min="12306" max="12306" width="6.1015625" style="55" customWidth="1"/>
    <col min="12307" max="12307" width="6.83984375" style="55" customWidth="1"/>
    <col min="12308" max="12308" width="10.83984375" style="55" customWidth="1"/>
    <col min="12309" max="12309" width="11.578125" style="55" customWidth="1"/>
    <col min="12310" max="12310" width="5.578125" style="55" customWidth="1"/>
    <col min="12311" max="12311" width="6" style="55" customWidth="1"/>
    <col min="12312" max="12312" width="6.578125" style="55" customWidth="1"/>
    <col min="12313" max="12313" width="11.1015625" style="55" customWidth="1"/>
    <col min="12314" max="12314" width="7.1015625" style="55" customWidth="1"/>
    <col min="12315" max="12316" width="5.83984375" style="55" customWidth="1"/>
    <col min="12317" max="12317" width="6" style="55" customWidth="1"/>
    <col min="12318" max="12318" width="6.83984375" style="55" customWidth="1"/>
    <col min="12319" max="12319" width="6" style="55" customWidth="1"/>
    <col min="12320" max="12320" width="18.1015625" style="55" customWidth="1"/>
    <col min="12321" max="12558" width="8.83984375" style="55"/>
    <col min="12559" max="12559" width="2.1015625" style="55" customWidth="1"/>
    <col min="12560" max="12560" width="5.83984375" style="55" customWidth="1"/>
    <col min="12561" max="12561" width="6.83984375" style="55" customWidth="1"/>
    <col min="12562" max="12562" width="6.1015625" style="55" customWidth="1"/>
    <col min="12563" max="12563" width="6.83984375" style="55" customWidth="1"/>
    <col min="12564" max="12564" width="10.83984375" style="55" customWidth="1"/>
    <col min="12565" max="12565" width="11.578125" style="55" customWidth="1"/>
    <col min="12566" max="12566" width="5.578125" style="55" customWidth="1"/>
    <col min="12567" max="12567" width="6" style="55" customWidth="1"/>
    <col min="12568" max="12568" width="6.578125" style="55" customWidth="1"/>
    <col min="12569" max="12569" width="11.1015625" style="55" customWidth="1"/>
    <col min="12570" max="12570" width="7.1015625" style="55" customWidth="1"/>
    <col min="12571" max="12572" width="5.83984375" style="55" customWidth="1"/>
    <col min="12573" max="12573" width="6" style="55" customWidth="1"/>
    <col min="12574" max="12574" width="6.83984375" style="55" customWidth="1"/>
    <col min="12575" max="12575" width="6" style="55" customWidth="1"/>
    <col min="12576" max="12576" width="18.1015625" style="55" customWidth="1"/>
    <col min="12577" max="12814" width="8.83984375" style="55"/>
    <col min="12815" max="12815" width="2.1015625" style="55" customWidth="1"/>
    <col min="12816" max="12816" width="5.83984375" style="55" customWidth="1"/>
    <col min="12817" max="12817" width="6.83984375" style="55" customWidth="1"/>
    <col min="12818" max="12818" width="6.1015625" style="55" customWidth="1"/>
    <col min="12819" max="12819" width="6.83984375" style="55" customWidth="1"/>
    <col min="12820" max="12820" width="10.83984375" style="55" customWidth="1"/>
    <col min="12821" max="12821" width="11.578125" style="55" customWidth="1"/>
    <col min="12822" max="12822" width="5.578125" style="55" customWidth="1"/>
    <col min="12823" max="12823" width="6" style="55" customWidth="1"/>
    <col min="12824" max="12824" width="6.578125" style="55" customWidth="1"/>
    <col min="12825" max="12825" width="11.1015625" style="55" customWidth="1"/>
    <col min="12826" max="12826" width="7.1015625" style="55" customWidth="1"/>
    <col min="12827" max="12828" width="5.83984375" style="55" customWidth="1"/>
    <col min="12829" max="12829" width="6" style="55" customWidth="1"/>
    <col min="12830" max="12830" width="6.83984375" style="55" customWidth="1"/>
    <col min="12831" max="12831" width="6" style="55" customWidth="1"/>
    <col min="12832" max="12832" width="18.1015625" style="55" customWidth="1"/>
    <col min="12833" max="13070" width="8.83984375" style="55"/>
    <col min="13071" max="13071" width="2.1015625" style="55" customWidth="1"/>
    <col min="13072" max="13072" width="5.83984375" style="55" customWidth="1"/>
    <col min="13073" max="13073" width="6.83984375" style="55" customWidth="1"/>
    <col min="13074" max="13074" width="6.1015625" style="55" customWidth="1"/>
    <col min="13075" max="13075" width="6.83984375" style="55" customWidth="1"/>
    <col min="13076" max="13076" width="10.83984375" style="55" customWidth="1"/>
    <col min="13077" max="13077" width="11.578125" style="55" customWidth="1"/>
    <col min="13078" max="13078" width="5.578125" style="55" customWidth="1"/>
    <col min="13079" max="13079" width="6" style="55" customWidth="1"/>
    <col min="13080" max="13080" width="6.578125" style="55" customWidth="1"/>
    <col min="13081" max="13081" width="11.1015625" style="55" customWidth="1"/>
    <col min="13082" max="13082" width="7.1015625" style="55" customWidth="1"/>
    <col min="13083" max="13084" width="5.83984375" style="55" customWidth="1"/>
    <col min="13085" max="13085" width="6" style="55" customWidth="1"/>
    <col min="13086" max="13086" width="6.83984375" style="55" customWidth="1"/>
    <col min="13087" max="13087" width="6" style="55" customWidth="1"/>
    <col min="13088" max="13088" width="18.1015625" style="55" customWidth="1"/>
    <col min="13089" max="13326" width="8.83984375" style="55"/>
    <col min="13327" max="13327" width="2.1015625" style="55" customWidth="1"/>
    <col min="13328" max="13328" width="5.83984375" style="55" customWidth="1"/>
    <col min="13329" max="13329" width="6.83984375" style="55" customWidth="1"/>
    <col min="13330" max="13330" width="6.1015625" style="55" customWidth="1"/>
    <col min="13331" max="13331" width="6.83984375" style="55" customWidth="1"/>
    <col min="13332" max="13332" width="10.83984375" style="55" customWidth="1"/>
    <col min="13333" max="13333" width="11.578125" style="55" customWidth="1"/>
    <col min="13334" max="13334" width="5.578125" style="55" customWidth="1"/>
    <col min="13335" max="13335" width="6" style="55" customWidth="1"/>
    <col min="13336" max="13336" width="6.578125" style="55" customWidth="1"/>
    <col min="13337" max="13337" width="11.1015625" style="55" customWidth="1"/>
    <col min="13338" max="13338" width="7.1015625" style="55" customWidth="1"/>
    <col min="13339" max="13340" width="5.83984375" style="55" customWidth="1"/>
    <col min="13341" max="13341" width="6" style="55" customWidth="1"/>
    <col min="13342" max="13342" width="6.83984375" style="55" customWidth="1"/>
    <col min="13343" max="13343" width="6" style="55" customWidth="1"/>
    <col min="13344" max="13344" width="18.1015625" style="55" customWidth="1"/>
    <col min="13345" max="13582" width="8.83984375" style="55"/>
    <col min="13583" max="13583" width="2.1015625" style="55" customWidth="1"/>
    <col min="13584" max="13584" width="5.83984375" style="55" customWidth="1"/>
    <col min="13585" max="13585" width="6.83984375" style="55" customWidth="1"/>
    <col min="13586" max="13586" width="6.1015625" style="55" customWidth="1"/>
    <col min="13587" max="13587" width="6.83984375" style="55" customWidth="1"/>
    <col min="13588" max="13588" width="10.83984375" style="55" customWidth="1"/>
    <col min="13589" max="13589" width="11.578125" style="55" customWidth="1"/>
    <col min="13590" max="13590" width="5.578125" style="55" customWidth="1"/>
    <col min="13591" max="13591" width="6" style="55" customWidth="1"/>
    <col min="13592" max="13592" width="6.578125" style="55" customWidth="1"/>
    <col min="13593" max="13593" width="11.1015625" style="55" customWidth="1"/>
    <col min="13594" max="13594" width="7.1015625" style="55" customWidth="1"/>
    <col min="13595" max="13596" width="5.83984375" style="55" customWidth="1"/>
    <col min="13597" max="13597" width="6" style="55" customWidth="1"/>
    <col min="13598" max="13598" width="6.83984375" style="55" customWidth="1"/>
    <col min="13599" max="13599" width="6" style="55" customWidth="1"/>
    <col min="13600" max="13600" width="18.1015625" style="55" customWidth="1"/>
    <col min="13601" max="13838" width="8.83984375" style="55"/>
    <col min="13839" max="13839" width="2.1015625" style="55" customWidth="1"/>
    <col min="13840" max="13840" width="5.83984375" style="55" customWidth="1"/>
    <col min="13841" max="13841" width="6.83984375" style="55" customWidth="1"/>
    <col min="13842" max="13842" width="6.1015625" style="55" customWidth="1"/>
    <col min="13843" max="13843" width="6.83984375" style="55" customWidth="1"/>
    <col min="13844" max="13844" width="10.83984375" style="55" customWidth="1"/>
    <col min="13845" max="13845" width="11.578125" style="55" customWidth="1"/>
    <col min="13846" max="13846" width="5.578125" style="55" customWidth="1"/>
    <col min="13847" max="13847" width="6" style="55" customWidth="1"/>
    <col min="13848" max="13848" width="6.578125" style="55" customWidth="1"/>
    <col min="13849" max="13849" width="11.1015625" style="55" customWidth="1"/>
    <col min="13850" max="13850" width="7.1015625" style="55" customWidth="1"/>
    <col min="13851" max="13852" width="5.83984375" style="55" customWidth="1"/>
    <col min="13853" max="13853" width="6" style="55" customWidth="1"/>
    <col min="13854" max="13854" width="6.83984375" style="55" customWidth="1"/>
    <col min="13855" max="13855" width="6" style="55" customWidth="1"/>
    <col min="13856" max="13856" width="18.1015625" style="55" customWidth="1"/>
    <col min="13857" max="14094" width="8.83984375" style="55"/>
    <col min="14095" max="14095" width="2.1015625" style="55" customWidth="1"/>
    <col min="14096" max="14096" width="5.83984375" style="55" customWidth="1"/>
    <col min="14097" max="14097" width="6.83984375" style="55" customWidth="1"/>
    <col min="14098" max="14098" width="6.1015625" style="55" customWidth="1"/>
    <col min="14099" max="14099" width="6.83984375" style="55" customWidth="1"/>
    <col min="14100" max="14100" width="10.83984375" style="55" customWidth="1"/>
    <col min="14101" max="14101" width="11.578125" style="55" customWidth="1"/>
    <col min="14102" max="14102" width="5.578125" style="55" customWidth="1"/>
    <col min="14103" max="14103" width="6" style="55" customWidth="1"/>
    <col min="14104" max="14104" width="6.578125" style="55" customWidth="1"/>
    <col min="14105" max="14105" width="11.1015625" style="55" customWidth="1"/>
    <col min="14106" max="14106" width="7.1015625" style="55" customWidth="1"/>
    <col min="14107" max="14108" width="5.83984375" style="55" customWidth="1"/>
    <col min="14109" max="14109" width="6" style="55" customWidth="1"/>
    <col min="14110" max="14110" width="6.83984375" style="55" customWidth="1"/>
    <col min="14111" max="14111" width="6" style="55" customWidth="1"/>
    <col min="14112" max="14112" width="18.1015625" style="55" customWidth="1"/>
    <col min="14113" max="14350" width="8.83984375" style="55"/>
    <col min="14351" max="14351" width="2.1015625" style="55" customWidth="1"/>
    <col min="14352" max="14352" width="5.83984375" style="55" customWidth="1"/>
    <col min="14353" max="14353" width="6.83984375" style="55" customWidth="1"/>
    <col min="14354" max="14354" width="6.1015625" style="55" customWidth="1"/>
    <col min="14355" max="14355" width="6.83984375" style="55" customWidth="1"/>
    <col min="14356" max="14356" width="10.83984375" style="55" customWidth="1"/>
    <col min="14357" max="14357" width="11.578125" style="55" customWidth="1"/>
    <col min="14358" max="14358" width="5.578125" style="55" customWidth="1"/>
    <col min="14359" max="14359" width="6" style="55" customWidth="1"/>
    <col min="14360" max="14360" width="6.578125" style="55" customWidth="1"/>
    <col min="14361" max="14361" width="11.1015625" style="55" customWidth="1"/>
    <col min="14362" max="14362" width="7.1015625" style="55" customWidth="1"/>
    <col min="14363" max="14364" width="5.83984375" style="55" customWidth="1"/>
    <col min="14365" max="14365" width="6" style="55" customWidth="1"/>
    <col min="14366" max="14366" width="6.83984375" style="55" customWidth="1"/>
    <col min="14367" max="14367" width="6" style="55" customWidth="1"/>
    <col min="14368" max="14368" width="18.1015625" style="55" customWidth="1"/>
    <col min="14369" max="14606" width="8.83984375" style="55"/>
    <col min="14607" max="14607" width="2.1015625" style="55" customWidth="1"/>
    <col min="14608" max="14608" width="5.83984375" style="55" customWidth="1"/>
    <col min="14609" max="14609" width="6.83984375" style="55" customWidth="1"/>
    <col min="14610" max="14610" width="6.1015625" style="55" customWidth="1"/>
    <col min="14611" max="14611" width="6.83984375" style="55" customWidth="1"/>
    <col min="14612" max="14612" width="10.83984375" style="55" customWidth="1"/>
    <col min="14613" max="14613" width="11.578125" style="55" customWidth="1"/>
    <col min="14614" max="14614" width="5.578125" style="55" customWidth="1"/>
    <col min="14615" max="14615" width="6" style="55" customWidth="1"/>
    <col min="14616" max="14616" width="6.578125" style="55" customWidth="1"/>
    <col min="14617" max="14617" width="11.1015625" style="55" customWidth="1"/>
    <col min="14618" max="14618" width="7.1015625" style="55" customWidth="1"/>
    <col min="14619" max="14620" width="5.83984375" style="55" customWidth="1"/>
    <col min="14621" max="14621" width="6" style="55" customWidth="1"/>
    <col min="14622" max="14622" width="6.83984375" style="55" customWidth="1"/>
    <col min="14623" max="14623" width="6" style="55" customWidth="1"/>
    <col min="14624" max="14624" width="18.1015625" style="55" customWidth="1"/>
    <col min="14625" max="14862" width="8.83984375" style="55"/>
    <col min="14863" max="14863" width="2.1015625" style="55" customWidth="1"/>
    <col min="14864" max="14864" width="5.83984375" style="55" customWidth="1"/>
    <col min="14865" max="14865" width="6.83984375" style="55" customWidth="1"/>
    <col min="14866" max="14866" width="6.1015625" style="55" customWidth="1"/>
    <col min="14867" max="14867" width="6.83984375" style="55" customWidth="1"/>
    <col min="14868" max="14868" width="10.83984375" style="55" customWidth="1"/>
    <col min="14869" max="14869" width="11.578125" style="55" customWidth="1"/>
    <col min="14870" max="14870" width="5.578125" style="55" customWidth="1"/>
    <col min="14871" max="14871" width="6" style="55" customWidth="1"/>
    <col min="14872" max="14872" width="6.578125" style="55" customWidth="1"/>
    <col min="14873" max="14873" width="11.1015625" style="55" customWidth="1"/>
    <col min="14874" max="14874" width="7.1015625" style="55" customWidth="1"/>
    <col min="14875" max="14876" width="5.83984375" style="55" customWidth="1"/>
    <col min="14877" max="14877" width="6" style="55" customWidth="1"/>
    <col min="14878" max="14878" width="6.83984375" style="55" customWidth="1"/>
    <col min="14879" max="14879" width="6" style="55" customWidth="1"/>
    <col min="14880" max="14880" width="18.1015625" style="55" customWidth="1"/>
    <col min="14881" max="15118" width="8.83984375" style="55"/>
    <col min="15119" max="15119" width="2.1015625" style="55" customWidth="1"/>
    <col min="15120" max="15120" width="5.83984375" style="55" customWidth="1"/>
    <col min="15121" max="15121" width="6.83984375" style="55" customWidth="1"/>
    <col min="15122" max="15122" width="6.1015625" style="55" customWidth="1"/>
    <col min="15123" max="15123" width="6.83984375" style="55" customWidth="1"/>
    <col min="15124" max="15124" width="10.83984375" style="55" customWidth="1"/>
    <col min="15125" max="15125" width="11.578125" style="55" customWidth="1"/>
    <col min="15126" max="15126" width="5.578125" style="55" customWidth="1"/>
    <col min="15127" max="15127" width="6" style="55" customWidth="1"/>
    <col min="15128" max="15128" width="6.578125" style="55" customWidth="1"/>
    <col min="15129" max="15129" width="11.1015625" style="55" customWidth="1"/>
    <col min="15130" max="15130" width="7.1015625" style="55" customWidth="1"/>
    <col min="15131" max="15132" width="5.83984375" style="55" customWidth="1"/>
    <col min="15133" max="15133" width="6" style="55" customWidth="1"/>
    <col min="15134" max="15134" width="6.83984375" style="55" customWidth="1"/>
    <col min="15135" max="15135" width="6" style="55" customWidth="1"/>
    <col min="15136" max="15136" width="18.1015625" style="55" customWidth="1"/>
    <col min="15137" max="15374" width="8.83984375" style="55"/>
    <col min="15375" max="15375" width="2.1015625" style="55" customWidth="1"/>
    <col min="15376" max="15376" width="5.83984375" style="55" customWidth="1"/>
    <col min="15377" max="15377" width="6.83984375" style="55" customWidth="1"/>
    <col min="15378" max="15378" width="6.1015625" style="55" customWidth="1"/>
    <col min="15379" max="15379" width="6.83984375" style="55" customWidth="1"/>
    <col min="15380" max="15380" width="10.83984375" style="55" customWidth="1"/>
    <col min="15381" max="15381" width="11.578125" style="55" customWidth="1"/>
    <col min="15382" max="15382" width="5.578125" style="55" customWidth="1"/>
    <col min="15383" max="15383" width="6" style="55" customWidth="1"/>
    <col min="15384" max="15384" width="6.578125" style="55" customWidth="1"/>
    <col min="15385" max="15385" width="11.1015625" style="55" customWidth="1"/>
    <col min="15386" max="15386" width="7.1015625" style="55" customWidth="1"/>
    <col min="15387" max="15388" width="5.83984375" style="55" customWidth="1"/>
    <col min="15389" max="15389" width="6" style="55" customWidth="1"/>
    <col min="15390" max="15390" width="6.83984375" style="55" customWidth="1"/>
    <col min="15391" max="15391" width="6" style="55" customWidth="1"/>
    <col min="15392" max="15392" width="18.1015625" style="55" customWidth="1"/>
    <col min="15393" max="15630" width="8.83984375" style="55"/>
    <col min="15631" max="15631" width="2.1015625" style="55" customWidth="1"/>
    <col min="15632" max="15632" width="5.83984375" style="55" customWidth="1"/>
    <col min="15633" max="15633" width="6.83984375" style="55" customWidth="1"/>
    <col min="15634" max="15634" width="6.1015625" style="55" customWidth="1"/>
    <col min="15635" max="15635" width="6.83984375" style="55" customWidth="1"/>
    <col min="15636" max="15636" width="10.83984375" style="55" customWidth="1"/>
    <col min="15637" max="15637" width="11.578125" style="55" customWidth="1"/>
    <col min="15638" max="15638" width="5.578125" style="55" customWidth="1"/>
    <col min="15639" max="15639" width="6" style="55" customWidth="1"/>
    <col min="15640" max="15640" width="6.578125" style="55" customWidth="1"/>
    <col min="15641" max="15641" width="11.1015625" style="55" customWidth="1"/>
    <col min="15642" max="15642" width="7.1015625" style="55" customWidth="1"/>
    <col min="15643" max="15644" width="5.83984375" style="55" customWidth="1"/>
    <col min="15645" max="15645" width="6" style="55" customWidth="1"/>
    <col min="15646" max="15646" width="6.83984375" style="55" customWidth="1"/>
    <col min="15647" max="15647" width="6" style="55" customWidth="1"/>
    <col min="15648" max="15648" width="18.1015625" style="55" customWidth="1"/>
    <col min="15649" max="15886" width="8.83984375" style="55"/>
    <col min="15887" max="15887" width="2.1015625" style="55" customWidth="1"/>
    <col min="15888" max="15888" width="5.83984375" style="55" customWidth="1"/>
    <col min="15889" max="15889" width="6.83984375" style="55" customWidth="1"/>
    <col min="15890" max="15890" width="6.1015625" style="55" customWidth="1"/>
    <col min="15891" max="15891" width="6.83984375" style="55" customWidth="1"/>
    <col min="15892" max="15892" width="10.83984375" style="55" customWidth="1"/>
    <col min="15893" max="15893" width="11.578125" style="55" customWidth="1"/>
    <col min="15894" max="15894" width="5.578125" style="55" customWidth="1"/>
    <col min="15895" max="15895" width="6" style="55" customWidth="1"/>
    <col min="15896" max="15896" width="6.578125" style="55" customWidth="1"/>
    <col min="15897" max="15897" width="11.1015625" style="55" customWidth="1"/>
    <col min="15898" max="15898" width="7.1015625" style="55" customWidth="1"/>
    <col min="15899" max="15900" width="5.83984375" style="55" customWidth="1"/>
    <col min="15901" max="15901" width="6" style="55" customWidth="1"/>
    <col min="15902" max="15902" width="6.83984375" style="55" customWidth="1"/>
    <col min="15903" max="15903" width="6" style="55" customWidth="1"/>
    <col min="15904" max="15904" width="18.1015625" style="55" customWidth="1"/>
    <col min="15905" max="16142" width="8.83984375" style="55"/>
    <col min="16143" max="16143" width="2.1015625" style="55" customWidth="1"/>
    <col min="16144" max="16144" width="5.83984375" style="55" customWidth="1"/>
    <col min="16145" max="16145" width="6.83984375" style="55" customWidth="1"/>
    <col min="16146" max="16146" width="6.1015625" style="55" customWidth="1"/>
    <col min="16147" max="16147" width="6.83984375" style="55" customWidth="1"/>
    <col min="16148" max="16148" width="10.83984375" style="55" customWidth="1"/>
    <col min="16149" max="16149" width="11.578125" style="55" customWidth="1"/>
    <col min="16150" max="16150" width="5.578125" style="55" customWidth="1"/>
    <col min="16151" max="16151" width="6" style="55" customWidth="1"/>
    <col min="16152" max="16152" width="6.578125" style="55" customWidth="1"/>
    <col min="16153" max="16153" width="11.1015625" style="55" customWidth="1"/>
    <col min="16154" max="16154" width="7.1015625" style="55" customWidth="1"/>
    <col min="16155" max="16156" width="5.83984375" style="55" customWidth="1"/>
    <col min="16157" max="16157" width="6" style="55" customWidth="1"/>
    <col min="16158" max="16158" width="6.83984375" style="55" customWidth="1"/>
    <col min="16159" max="16159" width="6" style="55" customWidth="1"/>
    <col min="16160" max="16160" width="18.1015625" style="55" customWidth="1"/>
  </cols>
  <sheetData>
    <row r="1" spans="2:36" ht="10" customHeight="1" x14ac:dyDescent="0.4"/>
    <row r="2" spans="2:36" ht="35.4" customHeight="1" thickBot="1" x14ac:dyDescent="0.45">
      <c r="B2" s="388" t="s">
        <v>462</v>
      </c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90"/>
    </row>
    <row r="3" spans="2:36" s="56" customFormat="1" ht="17.5" customHeight="1" x14ac:dyDescent="0.4">
      <c r="B3" s="391" t="s">
        <v>411</v>
      </c>
      <c r="C3" s="242" t="s">
        <v>410</v>
      </c>
      <c r="D3" s="245" t="s">
        <v>409</v>
      </c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7"/>
      <c r="AA3" s="248" t="s">
        <v>408</v>
      </c>
      <c r="AB3" s="249"/>
      <c r="AC3" s="249"/>
      <c r="AD3" s="249"/>
      <c r="AE3" s="249"/>
      <c r="AF3" s="249"/>
      <c r="AG3" s="249"/>
      <c r="AH3" s="249"/>
      <c r="AI3" s="249"/>
      <c r="AJ3" s="392"/>
    </row>
    <row r="4" spans="2:36" s="56" customFormat="1" ht="17.5" customHeight="1" x14ac:dyDescent="0.4">
      <c r="B4" s="393"/>
      <c r="C4" s="243"/>
      <c r="D4" s="250" t="s">
        <v>407</v>
      </c>
      <c r="E4" s="410"/>
      <c r="F4" s="410"/>
      <c r="G4" s="410"/>
      <c r="H4" s="410"/>
      <c r="I4" s="410"/>
      <c r="J4" s="251" t="s">
        <v>406</v>
      </c>
      <c r="K4" s="411"/>
      <c r="L4" s="411"/>
      <c r="M4" s="411"/>
      <c r="N4" s="411"/>
      <c r="O4" s="411"/>
      <c r="P4" s="411"/>
      <c r="Q4" s="411"/>
      <c r="R4" s="411"/>
      <c r="S4" s="411"/>
      <c r="T4" s="412"/>
      <c r="U4" s="252" t="s">
        <v>405</v>
      </c>
      <c r="V4" s="411"/>
      <c r="W4" s="411"/>
      <c r="X4" s="411"/>
      <c r="Y4" s="411"/>
      <c r="Z4" s="412"/>
      <c r="AA4" s="252" t="s">
        <v>404</v>
      </c>
      <c r="AB4" s="253" t="s">
        <v>403</v>
      </c>
      <c r="AC4" s="255" t="s">
        <v>402</v>
      </c>
      <c r="AD4" s="255" t="s">
        <v>309</v>
      </c>
      <c r="AE4" s="255" t="s">
        <v>401</v>
      </c>
      <c r="AF4" s="256" t="s">
        <v>400</v>
      </c>
      <c r="AG4" s="255" t="s">
        <v>399</v>
      </c>
      <c r="AH4" s="256" t="s">
        <v>398</v>
      </c>
      <c r="AI4" s="255" t="s">
        <v>397</v>
      </c>
      <c r="AJ4" s="394" t="s">
        <v>396</v>
      </c>
    </row>
    <row r="5" spans="2:36" s="56" customFormat="1" ht="37.5" customHeight="1" x14ac:dyDescent="0.4">
      <c r="B5" s="395"/>
      <c r="C5" s="244"/>
      <c r="D5" s="103" t="s">
        <v>395</v>
      </c>
      <c r="E5" s="100" t="s">
        <v>394</v>
      </c>
      <c r="F5" s="100" t="s">
        <v>393</v>
      </c>
      <c r="G5" s="100" t="s">
        <v>392</v>
      </c>
      <c r="H5" s="100" t="s">
        <v>383</v>
      </c>
      <c r="I5" s="77" t="s">
        <v>382</v>
      </c>
      <c r="J5" s="103" t="s">
        <v>386</v>
      </c>
      <c r="K5" s="100" t="s">
        <v>385</v>
      </c>
      <c r="L5" s="100" t="s">
        <v>384</v>
      </c>
      <c r="M5" s="100" t="s">
        <v>391</v>
      </c>
      <c r="N5" s="100" t="s">
        <v>391</v>
      </c>
      <c r="O5" s="100" t="s">
        <v>383</v>
      </c>
      <c r="P5" s="100" t="s">
        <v>390</v>
      </c>
      <c r="Q5" s="100" t="s">
        <v>389</v>
      </c>
      <c r="R5" s="100" t="s">
        <v>382</v>
      </c>
      <c r="S5" s="100" t="s">
        <v>388</v>
      </c>
      <c r="T5" s="102" t="s">
        <v>387</v>
      </c>
      <c r="U5" s="103" t="s">
        <v>386</v>
      </c>
      <c r="V5" s="76" t="s">
        <v>385</v>
      </c>
      <c r="W5" s="100" t="s">
        <v>384</v>
      </c>
      <c r="X5" s="100" t="s">
        <v>383</v>
      </c>
      <c r="Y5" s="100" t="s">
        <v>382</v>
      </c>
      <c r="Z5" s="102" t="s">
        <v>381</v>
      </c>
      <c r="AA5" s="413"/>
      <c r="AB5" s="254"/>
      <c r="AC5" s="414"/>
      <c r="AD5" s="414"/>
      <c r="AE5" s="414"/>
      <c r="AF5" s="414"/>
      <c r="AG5" s="414"/>
      <c r="AH5" s="414"/>
      <c r="AI5" s="414"/>
      <c r="AJ5" s="415"/>
    </row>
    <row r="6" spans="2:36" s="56" customFormat="1" ht="17.5" customHeight="1" x14ac:dyDescent="0.4">
      <c r="B6" s="396" t="s">
        <v>463</v>
      </c>
      <c r="C6" s="257" t="s">
        <v>412</v>
      </c>
      <c r="D6" s="60" t="s">
        <v>281</v>
      </c>
      <c r="E6" s="59" t="s">
        <v>281</v>
      </c>
      <c r="F6" s="59" t="s">
        <v>4</v>
      </c>
      <c r="G6" s="59" t="s">
        <v>281</v>
      </c>
      <c r="H6" s="59" t="s">
        <v>284</v>
      </c>
      <c r="I6" s="75" t="s">
        <v>284</v>
      </c>
      <c r="J6" s="60" t="s">
        <v>281</v>
      </c>
      <c r="K6" s="59" t="s">
        <v>281</v>
      </c>
      <c r="L6" s="59" t="s">
        <v>284</v>
      </c>
      <c r="M6" s="59" t="s">
        <v>284</v>
      </c>
      <c r="N6" s="59" t="s">
        <v>284</v>
      </c>
      <c r="O6" s="59" t="s">
        <v>284</v>
      </c>
      <c r="P6" s="59" t="s">
        <v>284</v>
      </c>
      <c r="Q6" s="59" t="s">
        <v>284</v>
      </c>
      <c r="R6" s="59" t="s">
        <v>284</v>
      </c>
      <c r="S6" s="59" t="s">
        <v>284</v>
      </c>
      <c r="T6" s="67" t="s">
        <v>284</v>
      </c>
      <c r="U6" s="60" t="s">
        <v>281</v>
      </c>
      <c r="V6" s="74" t="s">
        <v>281</v>
      </c>
      <c r="W6" s="59" t="s">
        <v>284</v>
      </c>
      <c r="X6" s="59" t="s">
        <v>284</v>
      </c>
      <c r="Y6" s="59" t="s">
        <v>284</v>
      </c>
      <c r="Z6" s="67" t="s">
        <v>284</v>
      </c>
      <c r="AA6" s="60" t="s">
        <v>300</v>
      </c>
      <c r="AB6" s="59" t="s">
        <v>300</v>
      </c>
      <c r="AC6" s="59" t="s">
        <v>377</v>
      </c>
      <c r="AD6" s="59" t="s">
        <v>300</v>
      </c>
      <c r="AE6" s="58" t="s">
        <v>377</v>
      </c>
      <c r="AF6" s="57" t="s">
        <v>379</v>
      </c>
      <c r="AG6" s="59" t="s">
        <v>300</v>
      </c>
      <c r="AH6" s="57" t="s">
        <v>378</v>
      </c>
      <c r="AI6" s="58" t="s">
        <v>377</v>
      </c>
      <c r="AJ6" s="72" t="s">
        <v>377</v>
      </c>
    </row>
    <row r="7" spans="2:36" s="56" customFormat="1" ht="15" customHeight="1" x14ac:dyDescent="0.45">
      <c r="B7" s="393"/>
      <c r="C7" s="243"/>
      <c r="D7" s="373">
        <v>0</v>
      </c>
      <c r="E7" s="374">
        <f>K7+V7</f>
        <v>0</v>
      </c>
      <c r="F7" s="423">
        <v>5</v>
      </c>
      <c r="G7" s="374">
        <v>0</v>
      </c>
      <c r="H7" s="374">
        <v>0</v>
      </c>
      <c r="I7" s="375">
        <v>0</v>
      </c>
      <c r="J7" s="376">
        <v>0</v>
      </c>
      <c r="K7" s="377">
        <v>0</v>
      </c>
      <c r="L7" s="377">
        <v>0</v>
      </c>
      <c r="M7" s="377"/>
      <c r="N7" s="377"/>
      <c r="O7" s="377">
        <v>0</v>
      </c>
      <c r="P7" s="377"/>
      <c r="Q7" s="377"/>
      <c r="R7" s="377">
        <v>0</v>
      </c>
      <c r="S7" s="377"/>
      <c r="T7" s="378"/>
      <c r="U7" s="376">
        <v>0</v>
      </c>
      <c r="V7" s="379">
        <v>0</v>
      </c>
      <c r="W7" s="374">
        <v>0</v>
      </c>
      <c r="X7" s="374">
        <v>0</v>
      </c>
      <c r="Y7" s="374">
        <v>0</v>
      </c>
      <c r="Z7" s="380">
        <f>U7/D7</f>
        <v>0</v>
      </c>
      <c r="AA7" s="381"/>
      <c r="AB7" s="374"/>
      <c r="AC7" s="374"/>
      <c r="AD7" s="374"/>
      <c r="AE7" s="382"/>
      <c r="AF7" s="382"/>
      <c r="AG7" s="382"/>
      <c r="AH7" s="382"/>
      <c r="AI7" s="382"/>
      <c r="AJ7" s="397"/>
    </row>
    <row r="8" spans="2:36" s="56" customFormat="1" ht="17.5" customHeight="1" x14ac:dyDescent="0.4">
      <c r="B8" s="393"/>
      <c r="C8" s="243"/>
      <c r="D8" s="252" t="s">
        <v>376</v>
      </c>
      <c r="E8" s="411"/>
      <c r="F8" s="412"/>
      <c r="G8" s="252" t="s">
        <v>375</v>
      </c>
      <c r="H8" s="411"/>
      <c r="I8" s="411"/>
      <c r="J8" s="411"/>
      <c r="K8" s="411"/>
      <c r="L8" s="411"/>
      <c r="M8" s="411"/>
      <c r="N8" s="411"/>
      <c r="O8" s="412"/>
      <c r="P8" s="252" t="s">
        <v>374</v>
      </c>
      <c r="Q8" s="411"/>
      <c r="R8" s="411"/>
      <c r="S8" s="411"/>
      <c r="T8" s="411"/>
      <c r="U8" s="411"/>
      <c r="V8" s="411"/>
      <c r="W8" s="411"/>
      <c r="X8" s="411"/>
      <c r="Y8" s="411"/>
      <c r="Z8" s="411"/>
      <c r="AA8" s="411"/>
      <c r="AB8" s="411"/>
      <c r="AC8" s="411"/>
      <c r="AD8" s="412"/>
      <c r="AE8" s="258" t="s">
        <v>339</v>
      </c>
      <c r="AF8" s="411"/>
      <c r="AG8" s="411"/>
      <c r="AH8" s="411"/>
      <c r="AI8" s="411"/>
      <c r="AJ8" s="412"/>
    </row>
    <row r="9" spans="2:36" s="56" customFormat="1" ht="15" customHeight="1" x14ac:dyDescent="0.4">
      <c r="B9" s="393"/>
      <c r="C9" s="243"/>
      <c r="D9" s="259" t="s">
        <v>373</v>
      </c>
      <c r="E9" s="260" t="s">
        <v>372</v>
      </c>
      <c r="F9" s="261" t="s">
        <v>371</v>
      </c>
      <c r="G9" s="259" t="s">
        <v>370</v>
      </c>
      <c r="H9" s="414"/>
      <c r="I9" s="262" t="s">
        <v>369</v>
      </c>
      <c r="J9" s="262" t="s">
        <v>368</v>
      </c>
      <c r="K9" s="262" t="s">
        <v>367</v>
      </c>
      <c r="L9" s="262" t="s">
        <v>366</v>
      </c>
      <c r="M9" s="262" t="s">
        <v>365</v>
      </c>
      <c r="N9" s="262" t="s">
        <v>364</v>
      </c>
      <c r="O9" s="264" t="s">
        <v>363</v>
      </c>
      <c r="P9" s="259" t="s">
        <v>362</v>
      </c>
      <c r="Q9" s="414"/>
      <c r="R9" s="260" t="s">
        <v>361</v>
      </c>
      <c r="S9" s="414"/>
      <c r="T9" s="414"/>
      <c r="U9" s="260" t="s">
        <v>360</v>
      </c>
      <c r="V9" s="266" t="s">
        <v>359</v>
      </c>
      <c r="W9" s="414"/>
      <c r="X9" s="266" t="s">
        <v>358</v>
      </c>
      <c r="Y9" s="414"/>
      <c r="Z9" s="414"/>
      <c r="AA9" s="266" t="s">
        <v>357</v>
      </c>
      <c r="AB9" s="260" t="s">
        <v>356</v>
      </c>
      <c r="AC9" s="263" t="s">
        <v>355</v>
      </c>
      <c r="AD9" s="261" t="s">
        <v>354</v>
      </c>
      <c r="AE9" s="265" t="s">
        <v>353</v>
      </c>
      <c r="AF9" s="414"/>
      <c r="AG9" s="414"/>
      <c r="AH9" s="262" t="s">
        <v>335</v>
      </c>
      <c r="AI9" s="414"/>
      <c r="AJ9" s="415"/>
    </row>
    <row r="10" spans="2:36" s="56" customFormat="1" ht="15" customHeight="1" x14ac:dyDescent="0.4">
      <c r="B10" s="393"/>
      <c r="C10" s="243"/>
      <c r="D10" s="413"/>
      <c r="E10" s="414"/>
      <c r="F10" s="415"/>
      <c r="G10" s="101" t="s">
        <v>352</v>
      </c>
      <c r="H10" s="98" t="s">
        <v>351</v>
      </c>
      <c r="I10" s="414"/>
      <c r="J10" s="414"/>
      <c r="K10" s="414"/>
      <c r="L10" s="414"/>
      <c r="M10" s="414"/>
      <c r="N10" s="414"/>
      <c r="O10" s="415"/>
      <c r="P10" s="101" t="s">
        <v>350</v>
      </c>
      <c r="Q10" s="98" t="s">
        <v>349</v>
      </c>
      <c r="R10" s="98" t="s">
        <v>349</v>
      </c>
      <c r="S10" s="98" t="s">
        <v>348</v>
      </c>
      <c r="T10" s="97" t="s">
        <v>347</v>
      </c>
      <c r="U10" s="414"/>
      <c r="V10" s="97" t="s">
        <v>350</v>
      </c>
      <c r="W10" s="98" t="s">
        <v>349</v>
      </c>
      <c r="X10" s="97" t="s">
        <v>349</v>
      </c>
      <c r="Y10" s="98" t="s">
        <v>348</v>
      </c>
      <c r="Z10" s="97" t="s">
        <v>347</v>
      </c>
      <c r="AA10" s="414"/>
      <c r="AB10" s="414"/>
      <c r="AC10" s="414"/>
      <c r="AD10" s="415"/>
      <c r="AE10" s="103" t="s">
        <v>1</v>
      </c>
      <c r="AF10" s="100" t="s">
        <v>12</v>
      </c>
      <c r="AG10" s="100" t="s">
        <v>15</v>
      </c>
      <c r="AH10" s="62" t="s">
        <v>103</v>
      </c>
      <c r="AI10" s="100" t="s">
        <v>346</v>
      </c>
      <c r="AJ10" s="99" t="s">
        <v>345</v>
      </c>
    </row>
    <row r="11" spans="2:36" s="56" customFormat="1" ht="17.5" customHeight="1" x14ac:dyDescent="0.4">
      <c r="B11" s="393"/>
      <c r="C11" s="243"/>
      <c r="D11" s="101" t="s">
        <v>4</v>
      </c>
      <c r="E11" s="98" t="s">
        <v>4</v>
      </c>
      <c r="F11" s="99" t="s">
        <v>4</v>
      </c>
      <c r="G11" s="60" t="s">
        <v>302</v>
      </c>
      <c r="H11" s="59" t="s">
        <v>283</v>
      </c>
      <c r="I11" s="59" t="s">
        <v>344</v>
      </c>
      <c r="J11" s="59" t="s">
        <v>302</v>
      </c>
      <c r="K11" s="68" t="s">
        <v>305</v>
      </c>
      <c r="L11" s="59" t="s">
        <v>304</v>
      </c>
      <c r="M11" s="68" t="s">
        <v>305</v>
      </c>
      <c r="N11" s="68" t="s">
        <v>305</v>
      </c>
      <c r="O11" s="67" t="s">
        <v>304</v>
      </c>
      <c r="P11" s="60" t="s">
        <v>284</v>
      </c>
      <c r="Q11" s="58" t="s">
        <v>284</v>
      </c>
      <c r="R11" s="59" t="s">
        <v>284</v>
      </c>
      <c r="S11" s="58" t="s">
        <v>284</v>
      </c>
      <c r="T11" s="57" t="s">
        <v>4</v>
      </c>
      <c r="U11" s="58" t="s">
        <v>283</v>
      </c>
      <c r="V11" s="57" t="s">
        <v>284</v>
      </c>
      <c r="W11" s="58" t="s">
        <v>283</v>
      </c>
      <c r="X11" s="57" t="s">
        <v>283</v>
      </c>
      <c r="Y11" s="58" t="s">
        <v>283</v>
      </c>
      <c r="Z11" s="73" t="s">
        <v>4</v>
      </c>
      <c r="AA11" s="73" t="s">
        <v>344</v>
      </c>
      <c r="AB11" s="68" t="s">
        <v>343</v>
      </c>
      <c r="AC11" s="68" t="s">
        <v>343</v>
      </c>
      <c r="AD11" s="72" t="s">
        <v>4</v>
      </c>
      <c r="AE11" s="70" t="s">
        <v>304</v>
      </c>
      <c r="AF11" s="63" t="s">
        <v>305</v>
      </c>
      <c r="AG11" s="62" t="s">
        <v>284</v>
      </c>
      <c r="AH11" s="62" t="s">
        <v>306</v>
      </c>
      <c r="AI11" s="62" t="s">
        <v>306</v>
      </c>
      <c r="AJ11" s="61" t="s">
        <v>306</v>
      </c>
    </row>
    <row r="12" spans="2:36" s="56" customFormat="1" ht="17.5" customHeight="1" x14ac:dyDescent="0.45">
      <c r="B12" s="393"/>
      <c r="C12" s="243"/>
      <c r="D12" s="381" t="s">
        <v>342</v>
      </c>
      <c r="E12" s="383">
        <v>0.5291426777839661</v>
      </c>
      <c r="F12" s="384"/>
      <c r="G12" s="373">
        <v>0.2744329571723938</v>
      </c>
      <c r="H12" s="374">
        <v>447.0999755859375</v>
      </c>
      <c r="I12" s="374">
        <v>18.45365333557129</v>
      </c>
      <c r="J12" s="374">
        <v>1.5980020761489868</v>
      </c>
      <c r="K12" s="374">
        <v>147.8467254638672</v>
      </c>
      <c r="L12" s="374">
        <v>0.7487799525260925</v>
      </c>
      <c r="M12" s="374">
        <v>162.61212158203125</v>
      </c>
      <c r="N12" s="374">
        <v>157.33204650878906</v>
      </c>
      <c r="O12" s="380">
        <v>0.3985339403152466</v>
      </c>
      <c r="P12" s="373">
        <v>29.1</v>
      </c>
      <c r="Q12" s="374" t="s">
        <v>341</v>
      </c>
      <c r="R12" s="374">
        <v>34.09000015258789</v>
      </c>
      <c r="S12" s="374">
        <f>R12-Q12</f>
        <v>-33.1</v>
      </c>
      <c r="T12" s="423">
        <v>1</v>
      </c>
      <c r="U12" s="382" t="s">
        <v>340</v>
      </c>
      <c r="V12" s="374">
        <v>1.6</v>
      </c>
      <c r="W12" s="374">
        <v>17.600000000000001</v>
      </c>
      <c r="X12" s="374"/>
      <c r="Y12" s="374"/>
      <c r="Z12" s="423">
        <v>1</v>
      </c>
      <c r="AA12" s="374">
        <v>6.28</v>
      </c>
      <c r="AB12" s="374">
        <v>27.10677146911621</v>
      </c>
      <c r="AC12" s="374">
        <f>AB12-AA12</f>
        <v>-6.28</v>
      </c>
      <c r="AD12" s="423">
        <v>1</v>
      </c>
      <c r="AE12" s="385"/>
      <c r="AF12" s="374"/>
      <c r="AG12" s="382"/>
      <c r="AH12" s="382"/>
      <c r="AI12" s="382"/>
      <c r="AJ12" s="397"/>
    </row>
    <row r="13" spans="2:36" s="56" customFormat="1" ht="15" customHeight="1" x14ac:dyDescent="0.4">
      <c r="B13" s="393"/>
      <c r="C13" s="243"/>
      <c r="D13" s="252" t="s">
        <v>339</v>
      </c>
      <c r="E13" s="412"/>
      <c r="F13" s="252" t="s">
        <v>338</v>
      </c>
      <c r="G13" s="411"/>
      <c r="H13" s="411"/>
      <c r="I13" s="411"/>
      <c r="J13" s="411"/>
      <c r="K13" s="411"/>
      <c r="L13" s="411"/>
      <c r="M13" s="412"/>
      <c r="N13" s="252" t="s">
        <v>337</v>
      </c>
      <c r="O13" s="411"/>
      <c r="P13" s="411"/>
      <c r="Q13" s="411"/>
      <c r="R13" s="411"/>
      <c r="S13" s="411"/>
      <c r="T13" s="411"/>
      <c r="U13" s="412"/>
      <c r="V13" s="258" t="s">
        <v>336</v>
      </c>
      <c r="W13" s="411"/>
      <c r="X13" s="411"/>
      <c r="Y13" s="411"/>
      <c r="Z13" s="411"/>
      <c r="AA13" s="411"/>
      <c r="AB13" s="411"/>
      <c r="AC13" s="411"/>
      <c r="AD13" s="411"/>
      <c r="AE13" s="411"/>
      <c r="AF13" s="411"/>
      <c r="AG13" s="411"/>
      <c r="AH13" s="411"/>
      <c r="AI13" s="411"/>
      <c r="AJ13" s="412"/>
    </row>
    <row r="14" spans="2:36" s="56" customFormat="1" ht="15" customHeight="1" x14ac:dyDescent="0.4">
      <c r="B14" s="393"/>
      <c r="C14" s="243"/>
      <c r="D14" s="259" t="s">
        <v>335</v>
      </c>
      <c r="E14" s="415"/>
      <c r="F14" s="259" t="s">
        <v>334</v>
      </c>
      <c r="G14" s="414"/>
      <c r="H14" s="414"/>
      <c r="I14" s="414"/>
      <c r="J14" s="414"/>
      <c r="K14" s="262" t="s">
        <v>333</v>
      </c>
      <c r="L14" s="414"/>
      <c r="M14" s="415"/>
      <c r="N14" s="259" t="s">
        <v>332</v>
      </c>
      <c r="O14" s="414"/>
      <c r="P14" s="414"/>
      <c r="Q14" s="414"/>
      <c r="R14" s="414"/>
      <c r="S14" s="260" t="s">
        <v>331</v>
      </c>
      <c r="T14" s="414"/>
      <c r="U14" s="415"/>
      <c r="V14" s="265" t="s">
        <v>330</v>
      </c>
      <c r="W14" s="414"/>
      <c r="X14" s="414"/>
      <c r="Y14" s="414"/>
      <c r="Z14" s="262" t="s">
        <v>329</v>
      </c>
      <c r="AA14" s="414"/>
      <c r="AB14" s="414"/>
      <c r="AC14" s="414"/>
      <c r="AD14" s="414"/>
      <c r="AE14" s="414"/>
      <c r="AF14" s="414"/>
      <c r="AG14" s="414"/>
      <c r="AH14" s="414"/>
      <c r="AI14" s="414"/>
      <c r="AJ14" s="415"/>
    </row>
    <row r="15" spans="2:36" s="56" customFormat="1" ht="25" customHeight="1" x14ac:dyDescent="0.4">
      <c r="B15" s="393"/>
      <c r="C15" s="243"/>
      <c r="D15" s="101" t="s">
        <v>328</v>
      </c>
      <c r="E15" s="99" t="s">
        <v>325</v>
      </c>
      <c r="F15" s="101" t="s">
        <v>327</v>
      </c>
      <c r="G15" s="98" t="s">
        <v>320</v>
      </c>
      <c r="H15" s="98" t="s">
        <v>326</v>
      </c>
      <c r="I15" s="100" t="s">
        <v>15</v>
      </c>
      <c r="J15" s="62" t="s">
        <v>325</v>
      </c>
      <c r="K15" s="100" t="s">
        <v>324</v>
      </c>
      <c r="L15" s="100" t="s">
        <v>323</v>
      </c>
      <c r="M15" s="99" t="s">
        <v>322</v>
      </c>
      <c r="N15" s="101" t="s">
        <v>327</v>
      </c>
      <c r="O15" s="98" t="s">
        <v>320</v>
      </c>
      <c r="P15" s="98" t="s">
        <v>326</v>
      </c>
      <c r="Q15" s="98" t="s">
        <v>15</v>
      </c>
      <c r="R15" s="97" t="s">
        <v>325</v>
      </c>
      <c r="S15" s="100" t="s">
        <v>324</v>
      </c>
      <c r="T15" s="100" t="s">
        <v>323</v>
      </c>
      <c r="U15" s="99" t="s">
        <v>322</v>
      </c>
      <c r="V15" s="103" t="s">
        <v>321</v>
      </c>
      <c r="W15" s="100" t="s">
        <v>320</v>
      </c>
      <c r="X15" s="100" t="s">
        <v>319</v>
      </c>
      <c r="Y15" s="100" t="s">
        <v>318</v>
      </c>
      <c r="Z15" s="100" t="s">
        <v>317</v>
      </c>
      <c r="AA15" s="100" t="s">
        <v>316</v>
      </c>
      <c r="AB15" s="100" t="s">
        <v>315</v>
      </c>
      <c r="AC15" s="100" t="s">
        <v>314</v>
      </c>
      <c r="AD15" s="100" t="s">
        <v>313</v>
      </c>
      <c r="AE15" s="100" t="s">
        <v>312</v>
      </c>
      <c r="AF15" s="100" t="s">
        <v>311</v>
      </c>
      <c r="AG15" s="100" t="s">
        <v>310</v>
      </c>
      <c r="AH15" s="100" t="s">
        <v>309</v>
      </c>
      <c r="AI15" s="100" t="s">
        <v>308</v>
      </c>
      <c r="AJ15" s="102" t="s">
        <v>307</v>
      </c>
    </row>
    <row r="16" spans="2:36" s="56" customFormat="1" ht="15" customHeight="1" x14ac:dyDescent="0.4">
      <c r="B16" s="393"/>
      <c r="C16" s="243"/>
      <c r="D16" s="70" t="s">
        <v>306</v>
      </c>
      <c r="E16" s="61" t="s">
        <v>4</v>
      </c>
      <c r="F16" s="64" t="s">
        <v>305</v>
      </c>
      <c r="G16" s="63" t="s">
        <v>305</v>
      </c>
      <c r="H16" s="63" t="s">
        <v>305</v>
      </c>
      <c r="I16" s="62" t="s">
        <v>284</v>
      </c>
      <c r="J16" s="62" t="s">
        <v>4</v>
      </c>
      <c r="K16" s="62" t="s">
        <v>284</v>
      </c>
      <c r="L16" s="62" t="s">
        <v>284</v>
      </c>
      <c r="M16" s="67" t="s">
        <v>284</v>
      </c>
      <c r="N16" s="69" t="s">
        <v>305</v>
      </c>
      <c r="O16" s="98" t="s">
        <v>305</v>
      </c>
      <c r="P16" s="68" t="s">
        <v>305</v>
      </c>
      <c r="Q16" s="59" t="s">
        <v>284</v>
      </c>
      <c r="R16" s="59" t="s">
        <v>4</v>
      </c>
      <c r="S16" s="62" t="s">
        <v>284</v>
      </c>
      <c r="T16" s="62" t="s">
        <v>284</v>
      </c>
      <c r="U16" s="67" t="s">
        <v>284</v>
      </c>
      <c r="V16" s="64" t="s">
        <v>305</v>
      </c>
      <c r="W16" s="63" t="s">
        <v>305</v>
      </c>
      <c r="X16" s="62" t="s">
        <v>304</v>
      </c>
      <c r="Y16" s="62" t="s">
        <v>284</v>
      </c>
      <c r="Z16" s="62" t="s">
        <v>303</v>
      </c>
      <c r="AA16" s="62" t="s">
        <v>302</v>
      </c>
      <c r="AB16" s="62" t="s">
        <v>303</v>
      </c>
      <c r="AC16" s="63" t="s">
        <v>302</v>
      </c>
      <c r="AD16" s="63" t="s">
        <v>283</v>
      </c>
      <c r="AE16" s="63" t="s">
        <v>4</v>
      </c>
      <c r="AF16" s="62" t="s">
        <v>282</v>
      </c>
      <c r="AG16" s="62" t="s">
        <v>301</v>
      </c>
      <c r="AH16" s="62" t="s">
        <v>300</v>
      </c>
      <c r="AI16" s="62" t="s">
        <v>300</v>
      </c>
      <c r="AJ16" s="61" t="s">
        <v>4</v>
      </c>
    </row>
    <row r="17" spans="2:36" s="56" customFormat="1" ht="15" customHeight="1" x14ac:dyDescent="0.45">
      <c r="B17" s="393"/>
      <c r="C17" s="243"/>
      <c r="D17" s="385"/>
      <c r="E17" s="380"/>
      <c r="F17" s="385">
        <v>20.018177032470703</v>
      </c>
      <c r="G17" s="382">
        <v>20.00174903869629</v>
      </c>
      <c r="H17" s="382">
        <f>G17-F17</f>
        <v>-0.016427993774414062</v>
      </c>
      <c r="I17" s="374">
        <v>93.00371551513672</v>
      </c>
      <c r="J17" s="374">
        <v>3.3205654621124268</v>
      </c>
      <c r="K17" s="374">
        <v>0</v>
      </c>
      <c r="L17" s="374">
        <v>0</v>
      </c>
      <c r="M17" s="380">
        <f>K17+L17</f>
        <v>0</v>
      </c>
      <c r="N17" s="373">
        <v>50</v>
      </c>
      <c r="O17" s="374">
        <v>113.55252075195312</v>
      </c>
      <c r="P17" s="374">
        <f>O17-N17</f>
        <v>63.552520751953125</v>
      </c>
      <c r="Q17" s="374">
        <v>49.16666793823242</v>
      </c>
      <c r="R17" s="374"/>
      <c r="S17" s="374">
        <v>0</v>
      </c>
      <c r="T17" s="374">
        <v>0</v>
      </c>
      <c r="U17" s="380">
        <f>S17+T17</f>
        <v>0</v>
      </c>
      <c r="V17" s="373">
        <v>223.6717071533203</v>
      </c>
      <c r="W17" s="374">
        <v>48.34210205078125</v>
      </c>
      <c r="X17" s="374">
        <v>0.08590507507324219</v>
      </c>
      <c r="Y17" s="374"/>
      <c r="Z17" s="374">
        <v>3.779661178588867</v>
      </c>
      <c r="AA17" s="374">
        <v>0</v>
      </c>
      <c r="AB17" s="374">
        <v>0</v>
      </c>
      <c r="AC17" s="374">
        <v>0</v>
      </c>
      <c r="AD17" s="374">
        <v>239.57806396484375</v>
      </c>
      <c r="AE17" s="374" t="e">
        <f>Z17/AB17</f>
        <v>#DIV/0!</v>
      </c>
      <c r="AF17" s="374">
        <v>0</v>
      </c>
      <c r="AG17" s="374">
        <v>0.05000000819563866</v>
      </c>
      <c r="AH17" s="374" t="e">
        <f>AF17/(Z17-AB17)</f>
        <v>#DIV/0!</v>
      </c>
      <c r="AI17" s="374" t="s">
        <v>296</v>
      </c>
      <c r="AJ17" s="423">
        <v>1</v>
      </c>
    </row>
    <row r="18" spans="2:36" s="56" customFormat="1" ht="15" customHeight="1" x14ac:dyDescent="0.4">
      <c r="B18" s="393"/>
      <c r="C18" s="243"/>
      <c r="D18" s="258" t="s">
        <v>295</v>
      </c>
      <c r="E18" s="411"/>
      <c r="F18" s="411"/>
      <c r="G18" s="411"/>
      <c r="H18" s="411"/>
      <c r="I18" s="411"/>
      <c r="J18" s="411"/>
      <c r="K18" s="411"/>
      <c r="L18" s="411"/>
      <c r="M18" s="411"/>
      <c r="N18" s="411"/>
      <c r="O18" s="411"/>
      <c r="P18" s="411"/>
      <c r="Q18" s="412"/>
      <c r="R18" s="104" t="s">
        <v>4</v>
      </c>
      <c r="S18" s="66" t="s">
        <v>4</v>
      </c>
      <c r="T18" s="66" t="s">
        <v>4</v>
      </c>
      <c r="U18" s="66" t="s">
        <v>82</v>
      </c>
      <c r="V18" s="66" t="s">
        <v>82</v>
      </c>
      <c r="W18" s="66" t="s">
        <v>82</v>
      </c>
      <c r="X18" s="66" t="s">
        <v>82</v>
      </c>
      <c r="Y18" s="66" t="s">
        <v>82</v>
      </c>
      <c r="Z18" s="66" t="s">
        <v>82</v>
      </c>
      <c r="AA18" s="66" t="s">
        <v>82</v>
      </c>
      <c r="AB18" s="66" t="s">
        <v>82</v>
      </c>
      <c r="AC18" s="66" t="s">
        <v>82</v>
      </c>
      <c r="AD18" s="66" t="s">
        <v>82</v>
      </c>
      <c r="AE18" s="66" t="s">
        <v>82</v>
      </c>
      <c r="AF18" s="65" t="s">
        <v>82</v>
      </c>
      <c r="AG18" s="65" t="s">
        <v>82</v>
      </c>
      <c r="AH18" s="65" t="s">
        <v>82</v>
      </c>
      <c r="AI18" s="65" t="s">
        <v>82</v>
      </c>
      <c r="AJ18" s="398" t="s">
        <v>82</v>
      </c>
    </row>
    <row r="19" spans="2:36" s="56" customFormat="1" ht="15" customHeight="1" x14ac:dyDescent="0.4">
      <c r="B19" s="393"/>
      <c r="C19" s="243"/>
      <c r="D19" s="265" t="s">
        <v>294</v>
      </c>
      <c r="E19" s="414"/>
      <c r="F19" s="414"/>
      <c r="G19" s="262" t="s">
        <v>293</v>
      </c>
      <c r="H19" s="414"/>
      <c r="I19" s="414"/>
      <c r="J19" s="262" t="s">
        <v>292</v>
      </c>
      <c r="K19" s="414"/>
      <c r="L19" s="414"/>
      <c r="M19" s="262" t="s">
        <v>291</v>
      </c>
      <c r="N19" s="262" t="s">
        <v>290</v>
      </c>
      <c r="O19" s="262" t="s">
        <v>289</v>
      </c>
      <c r="P19" s="262" t="s">
        <v>225</v>
      </c>
      <c r="Q19" s="264" t="s">
        <v>288</v>
      </c>
      <c r="R19" s="60" t="s">
        <v>4</v>
      </c>
      <c r="S19" s="59" t="s">
        <v>4</v>
      </c>
      <c r="T19" s="59" t="s">
        <v>4</v>
      </c>
      <c r="U19" s="59" t="s">
        <v>82</v>
      </c>
      <c r="V19" s="59" t="s">
        <v>82</v>
      </c>
      <c r="W19" s="59" t="s">
        <v>82</v>
      </c>
      <c r="X19" s="59" t="s">
        <v>82</v>
      </c>
      <c r="Y19" s="59" t="s">
        <v>82</v>
      </c>
      <c r="Z19" s="59" t="s">
        <v>82</v>
      </c>
      <c r="AA19" s="59" t="s">
        <v>82</v>
      </c>
      <c r="AB19" s="59" t="s">
        <v>82</v>
      </c>
      <c r="AC19" s="59" t="s">
        <v>82</v>
      </c>
      <c r="AD19" s="59" t="s">
        <v>82</v>
      </c>
      <c r="AE19" s="59" t="s">
        <v>82</v>
      </c>
      <c r="AF19" s="57" t="s">
        <v>82</v>
      </c>
      <c r="AG19" s="57" t="s">
        <v>82</v>
      </c>
      <c r="AH19" s="57" t="s">
        <v>82</v>
      </c>
      <c r="AI19" s="57" t="s">
        <v>82</v>
      </c>
      <c r="AJ19" s="72" t="s">
        <v>82</v>
      </c>
    </row>
    <row r="20" spans="2:36" s="56" customFormat="1" ht="25" customHeight="1" x14ac:dyDescent="0.4">
      <c r="B20" s="393"/>
      <c r="C20" s="243"/>
      <c r="D20" s="103" t="s">
        <v>287</v>
      </c>
      <c r="E20" s="100" t="s">
        <v>286</v>
      </c>
      <c r="F20" s="100" t="s">
        <v>285</v>
      </c>
      <c r="G20" s="100" t="s">
        <v>287</v>
      </c>
      <c r="H20" s="100" t="s">
        <v>286</v>
      </c>
      <c r="I20" s="100" t="s">
        <v>285</v>
      </c>
      <c r="J20" s="100" t="s">
        <v>287</v>
      </c>
      <c r="K20" s="100" t="s">
        <v>286</v>
      </c>
      <c r="L20" s="100" t="s">
        <v>285</v>
      </c>
      <c r="M20" s="414"/>
      <c r="N20" s="414"/>
      <c r="O20" s="414"/>
      <c r="P20" s="414"/>
      <c r="Q20" s="415"/>
      <c r="R20" s="101" t="s">
        <v>4</v>
      </c>
      <c r="S20" s="98" t="s">
        <v>4</v>
      </c>
      <c r="T20" s="98" t="s">
        <v>4</v>
      </c>
      <c r="U20" s="98" t="s">
        <v>82</v>
      </c>
      <c r="V20" s="98" t="s">
        <v>82</v>
      </c>
      <c r="W20" s="100" t="s">
        <v>82</v>
      </c>
      <c r="X20" s="98" t="s">
        <v>82</v>
      </c>
      <c r="Y20" s="98" t="s">
        <v>82</v>
      </c>
      <c r="Z20" s="100" t="s">
        <v>82</v>
      </c>
      <c r="AA20" s="59" t="s">
        <v>82</v>
      </c>
      <c r="AB20" s="59" t="s">
        <v>82</v>
      </c>
      <c r="AC20" s="59" t="s">
        <v>82</v>
      </c>
      <c r="AD20" s="59" t="s">
        <v>82</v>
      </c>
      <c r="AE20" s="59" t="s">
        <v>82</v>
      </c>
      <c r="AF20" s="57" t="s">
        <v>82</v>
      </c>
      <c r="AG20" s="57" t="s">
        <v>82</v>
      </c>
      <c r="AH20" s="57" t="s">
        <v>82</v>
      </c>
      <c r="AI20" s="57" t="s">
        <v>82</v>
      </c>
      <c r="AJ20" s="72" t="s">
        <v>82</v>
      </c>
    </row>
    <row r="21" spans="2:36" s="56" customFormat="1" ht="15" customHeight="1" x14ac:dyDescent="0.4">
      <c r="B21" s="393"/>
      <c r="C21" s="243" t="s">
        <v>464</v>
      </c>
      <c r="D21" s="64" t="s">
        <v>284</v>
      </c>
      <c r="E21" s="63" t="s">
        <v>284</v>
      </c>
      <c r="F21" s="62" t="s">
        <v>284</v>
      </c>
      <c r="G21" s="62" t="s">
        <v>283</v>
      </c>
      <c r="H21" s="59" t="s">
        <v>283</v>
      </c>
      <c r="I21" s="59" t="s">
        <v>283</v>
      </c>
      <c r="J21" s="62" t="s">
        <v>283</v>
      </c>
      <c r="K21" s="59" t="s">
        <v>283</v>
      </c>
      <c r="L21" s="59" t="s">
        <v>283</v>
      </c>
      <c r="M21" s="59" t="s">
        <v>282</v>
      </c>
      <c r="N21" s="59" t="s">
        <v>281</v>
      </c>
      <c r="O21" s="62" t="s">
        <v>280</v>
      </c>
      <c r="P21" s="62" t="s">
        <v>4</v>
      </c>
      <c r="Q21" s="61" t="s">
        <v>4</v>
      </c>
      <c r="R21" s="60" t="s">
        <v>4</v>
      </c>
      <c r="S21" s="59" t="s">
        <v>4</v>
      </c>
      <c r="T21" s="59" t="s">
        <v>4</v>
      </c>
      <c r="U21" s="59" t="s">
        <v>82</v>
      </c>
      <c r="V21" s="59" t="s">
        <v>82</v>
      </c>
      <c r="W21" s="59" t="s">
        <v>82</v>
      </c>
      <c r="X21" s="59" t="s">
        <v>82</v>
      </c>
      <c r="Y21" s="59" t="s">
        <v>82</v>
      </c>
      <c r="Z21" s="59" t="s">
        <v>82</v>
      </c>
      <c r="AA21" s="59" t="s">
        <v>82</v>
      </c>
      <c r="AB21" s="59" t="s">
        <v>82</v>
      </c>
      <c r="AC21" s="59" t="s">
        <v>82</v>
      </c>
      <c r="AD21" s="59" t="s">
        <v>82</v>
      </c>
      <c r="AE21" s="58" t="s">
        <v>82</v>
      </c>
      <c r="AF21" s="57" t="s">
        <v>82</v>
      </c>
      <c r="AG21" s="57" t="s">
        <v>82</v>
      </c>
      <c r="AH21" s="57" t="s">
        <v>82</v>
      </c>
      <c r="AI21" s="57" t="s">
        <v>82</v>
      </c>
      <c r="AJ21" s="72" t="s">
        <v>82</v>
      </c>
    </row>
    <row r="22" spans="2:36" s="56" customFormat="1" ht="15" customHeight="1" x14ac:dyDescent="0.4">
      <c r="B22" s="393"/>
      <c r="C22" s="243"/>
      <c r="D22" s="386"/>
      <c r="E22" s="387"/>
      <c r="F22" s="387">
        <f>D22-E22</f>
        <v>0</v>
      </c>
      <c r="G22" s="387"/>
      <c r="H22" s="387"/>
      <c r="I22" s="387">
        <f>G22-H22</f>
        <v>0</v>
      </c>
      <c r="J22" s="387"/>
      <c r="K22" s="387"/>
      <c r="L22" s="387">
        <f>J22-K22</f>
        <v>0</v>
      </c>
      <c r="M22" s="387">
        <v>-0.36608123779296875</v>
      </c>
      <c r="N22" s="387"/>
      <c r="O22" s="387" t="e">
        <f>N22/M22</f>
        <v>#DIV/0!</v>
      </c>
      <c r="P22" s="387"/>
      <c r="Q22" s="416">
        <v>301</v>
      </c>
      <c r="R22" s="84" t="s">
        <v>4</v>
      </c>
      <c r="S22" s="83" t="s">
        <v>4</v>
      </c>
      <c r="T22" s="83" t="s">
        <v>4</v>
      </c>
      <c r="U22" s="83" t="s">
        <v>82</v>
      </c>
      <c r="V22" s="83" t="s">
        <v>82</v>
      </c>
      <c r="W22" s="83" t="s">
        <v>82</v>
      </c>
      <c r="X22" s="83" t="s">
        <v>82</v>
      </c>
      <c r="Y22" s="83" t="s">
        <v>82</v>
      </c>
      <c r="Z22" s="83" t="s">
        <v>82</v>
      </c>
      <c r="AA22" s="83" t="s">
        <v>82</v>
      </c>
      <c r="AB22" s="83" t="s">
        <v>82</v>
      </c>
      <c r="AC22" s="83" t="s">
        <v>82</v>
      </c>
      <c r="AD22" s="83" t="s">
        <v>82</v>
      </c>
      <c r="AE22" s="82" t="s">
        <v>82</v>
      </c>
      <c r="AF22" s="82" t="s">
        <v>82</v>
      </c>
      <c r="AG22" s="82" t="s">
        <v>82</v>
      </c>
      <c r="AH22" s="82" t="s">
        <v>82</v>
      </c>
      <c r="AI22" s="82" t="s">
        <v>82</v>
      </c>
      <c r="AJ22" s="399" t="s">
        <v>82</v>
      </c>
    </row>
    <row r="23" spans="2:36" s="56" customFormat="1" ht="7.5" customHeight="1" x14ac:dyDescent="0.4">
      <c r="B23" s="400"/>
      <c r="C23" s="81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79"/>
      <c r="AF23" s="78"/>
      <c r="AG23" s="79"/>
      <c r="AH23" s="78"/>
      <c r="AI23" s="78"/>
      <c r="AJ23" s="401"/>
    </row>
    <row r="24" spans="2:36" s="56" customFormat="1" ht="17.5" customHeight="1" x14ac:dyDescent="0.4">
      <c r="B24" s="402" t="s">
        <v>411</v>
      </c>
      <c r="C24" s="267" t="s">
        <v>410</v>
      </c>
      <c r="D24" s="417" t="s">
        <v>409</v>
      </c>
      <c r="E24" s="418"/>
      <c r="F24" s="418"/>
      <c r="G24" s="418"/>
      <c r="H24" s="418"/>
      <c r="I24" s="418"/>
      <c r="J24" s="418"/>
      <c r="K24" s="418"/>
      <c r="L24" s="418"/>
      <c r="M24" s="418"/>
      <c r="N24" s="418"/>
      <c r="O24" s="418"/>
      <c r="P24" s="418"/>
      <c r="Q24" s="418"/>
      <c r="R24" s="418"/>
      <c r="S24" s="418"/>
      <c r="T24" s="418"/>
      <c r="U24" s="418"/>
      <c r="V24" s="418"/>
      <c r="W24" s="418"/>
      <c r="X24" s="418"/>
      <c r="Y24" s="418"/>
      <c r="Z24" s="419"/>
      <c r="AA24" s="403" t="s">
        <v>408</v>
      </c>
      <c r="AB24" s="420"/>
      <c r="AC24" s="420"/>
      <c r="AD24" s="420"/>
      <c r="AE24" s="420"/>
      <c r="AF24" s="420"/>
      <c r="AG24" s="420"/>
      <c r="AH24" s="420"/>
      <c r="AI24" s="420"/>
      <c r="AJ24" s="421"/>
    </row>
    <row r="25" spans="2:36" s="56" customFormat="1" ht="17.5" customHeight="1" x14ac:dyDescent="0.4">
      <c r="B25" s="393"/>
      <c r="C25" s="243"/>
      <c r="D25" s="250" t="s">
        <v>407</v>
      </c>
      <c r="E25" s="410"/>
      <c r="F25" s="410"/>
      <c r="G25" s="410"/>
      <c r="H25" s="410"/>
      <c r="I25" s="410"/>
      <c r="J25" s="251" t="s">
        <v>406</v>
      </c>
      <c r="K25" s="411"/>
      <c r="L25" s="411"/>
      <c r="M25" s="411"/>
      <c r="N25" s="411"/>
      <c r="O25" s="411"/>
      <c r="P25" s="411"/>
      <c r="Q25" s="411"/>
      <c r="R25" s="411"/>
      <c r="S25" s="411"/>
      <c r="T25" s="412"/>
      <c r="U25" s="252" t="s">
        <v>405</v>
      </c>
      <c r="V25" s="411"/>
      <c r="W25" s="411"/>
      <c r="X25" s="411"/>
      <c r="Y25" s="411"/>
      <c r="Z25" s="412"/>
      <c r="AA25" s="252" t="s">
        <v>404</v>
      </c>
      <c r="AB25" s="253" t="s">
        <v>403</v>
      </c>
      <c r="AC25" s="255" t="s">
        <v>402</v>
      </c>
      <c r="AD25" s="255" t="s">
        <v>309</v>
      </c>
      <c r="AE25" s="255" t="s">
        <v>401</v>
      </c>
      <c r="AF25" s="256" t="s">
        <v>400</v>
      </c>
      <c r="AG25" s="255" t="s">
        <v>399</v>
      </c>
      <c r="AH25" s="256" t="s">
        <v>398</v>
      </c>
      <c r="AI25" s="255" t="s">
        <v>397</v>
      </c>
      <c r="AJ25" s="394" t="s">
        <v>396</v>
      </c>
    </row>
    <row r="26" spans="2:36" s="56" customFormat="1" ht="37.5" customHeight="1" x14ac:dyDescent="0.4">
      <c r="B26" s="395"/>
      <c r="C26" s="244"/>
      <c r="D26" s="103" t="s">
        <v>395</v>
      </c>
      <c r="E26" s="100" t="s">
        <v>394</v>
      </c>
      <c r="F26" s="100" t="s">
        <v>393</v>
      </c>
      <c r="G26" s="100" t="s">
        <v>392</v>
      </c>
      <c r="H26" s="100" t="s">
        <v>383</v>
      </c>
      <c r="I26" s="77" t="s">
        <v>382</v>
      </c>
      <c r="J26" s="103" t="s">
        <v>386</v>
      </c>
      <c r="K26" s="100" t="s">
        <v>385</v>
      </c>
      <c r="L26" s="100" t="s">
        <v>384</v>
      </c>
      <c r="M26" s="100" t="s">
        <v>391</v>
      </c>
      <c r="N26" s="100" t="s">
        <v>391</v>
      </c>
      <c r="O26" s="100" t="s">
        <v>383</v>
      </c>
      <c r="P26" s="100" t="s">
        <v>390</v>
      </c>
      <c r="Q26" s="100" t="s">
        <v>389</v>
      </c>
      <c r="R26" s="100" t="s">
        <v>382</v>
      </c>
      <c r="S26" s="100" t="s">
        <v>388</v>
      </c>
      <c r="T26" s="102" t="s">
        <v>387</v>
      </c>
      <c r="U26" s="103" t="s">
        <v>386</v>
      </c>
      <c r="V26" s="76" t="s">
        <v>385</v>
      </c>
      <c r="W26" s="100" t="s">
        <v>384</v>
      </c>
      <c r="X26" s="100" t="s">
        <v>383</v>
      </c>
      <c r="Y26" s="100" t="s">
        <v>382</v>
      </c>
      <c r="Z26" s="102" t="s">
        <v>381</v>
      </c>
      <c r="AA26" s="413"/>
      <c r="AB26" s="254"/>
      <c r="AC26" s="414"/>
      <c r="AD26" s="414"/>
      <c r="AE26" s="414"/>
      <c r="AF26" s="414"/>
      <c r="AG26" s="414"/>
      <c r="AH26" s="414"/>
      <c r="AI26" s="414"/>
      <c r="AJ26" s="415"/>
    </row>
    <row r="27" spans="2:36" s="56" customFormat="1" ht="17.5" customHeight="1" x14ac:dyDescent="0.4">
      <c r="B27" s="396" t="s">
        <v>463</v>
      </c>
      <c r="C27" s="257" t="s">
        <v>380</v>
      </c>
      <c r="D27" s="60" t="s">
        <v>281</v>
      </c>
      <c r="E27" s="59" t="s">
        <v>281</v>
      </c>
      <c r="F27" s="59" t="s">
        <v>4</v>
      </c>
      <c r="G27" s="59" t="s">
        <v>281</v>
      </c>
      <c r="H27" s="59" t="s">
        <v>284</v>
      </c>
      <c r="I27" s="75" t="s">
        <v>284</v>
      </c>
      <c r="J27" s="60" t="s">
        <v>281</v>
      </c>
      <c r="K27" s="59" t="s">
        <v>281</v>
      </c>
      <c r="L27" s="59" t="s">
        <v>284</v>
      </c>
      <c r="M27" s="59" t="s">
        <v>284</v>
      </c>
      <c r="N27" s="59" t="s">
        <v>284</v>
      </c>
      <c r="O27" s="59" t="s">
        <v>284</v>
      </c>
      <c r="P27" s="59" t="s">
        <v>284</v>
      </c>
      <c r="Q27" s="59" t="s">
        <v>284</v>
      </c>
      <c r="R27" s="59" t="s">
        <v>284</v>
      </c>
      <c r="S27" s="59" t="s">
        <v>284</v>
      </c>
      <c r="T27" s="67" t="s">
        <v>284</v>
      </c>
      <c r="U27" s="60" t="s">
        <v>281</v>
      </c>
      <c r="V27" s="74" t="s">
        <v>281</v>
      </c>
      <c r="W27" s="59" t="s">
        <v>284</v>
      </c>
      <c r="X27" s="59" t="s">
        <v>284</v>
      </c>
      <c r="Y27" s="59" t="s">
        <v>284</v>
      </c>
      <c r="Z27" s="67" t="s">
        <v>284</v>
      </c>
      <c r="AA27" s="60" t="s">
        <v>300</v>
      </c>
      <c r="AB27" s="59" t="s">
        <v>300</v>
      </c>
      <c r="AC27" s="59" t="s">
        <v>377</v>
      </c>
      <c r="AD27" s="59" t="s">
        <v>300</v>
      </c>
      <c r="AE27" s="58" t="s">
        <v>377</v>
      </c>
      <c r="AF27" s="57" t="s">
        <v>379</v>
      </c>
      <c r="AG27" s="59" t="s">
        <v>300</v>
      </c>
      <c r="AH27" s="57" t="s">
        <v>378</v>
      </c>
      <c r="AI27" s="58" t="s">
        <v>377</v>
      </c>
      <c r="AJ27" s="72" t="s">
        <v>377</v>
      </c>
    </row>
    <row r="28" spans="2:36" s="56" customFormat="1" ht="15" customHeight="1" x14ac:dyDescent="0.45">
      <c r="B28" s="393"/>
      <c r="C28" s="243"/>
      <c r="D28" s="373">
        <v>0</v>
      </c>
      <c r="E28" s="374">
        <f>K28+V28</f>
        <v>0</v>
      </c>
      <c r="F28" s="423">
        <v>5</v>
      </c>
      <c r="G28" s="374">
        <v>0</v>
      </c>
      <c r="H28" s="374">
        <v>0</v>
      </c>
      <c r="I28" s="375">
        <v>0</v>
      </c>
      <c r="J28" s="376">
        <v>0</v>
      </c>
      <c r="K28" s="377">
        <v>0</v>
      </c>
      <c r="L28" s="377">
        <v>0</v>
      </c>
      <c r="M28" s="377"/>
      <c r="N28" s="377"/>
      <c r="O28" s="377">
        <v>0</v>
      </c>
      <c r="P28" s="377"/>
      <c r="Q28" s="377"/>
      <c r="R28" s="377">
        <v>0</v>
      </c>
      <c r="S28" s="377"/>
      <c r="T28" s="378"/>
      <c r="U28" s="376">
        <v>0</v>
      </c>
      <c r="V28" s="379">
        <v>0</v>
      </c>
      <c r="W28" s="374">
        <v>0</v>
      </c>
      <c r="X28" s="374">
        <v>0</v>
      </c>
      <c r="Y28" s="374">
        <v>0</v>
      </c>
      <c r="Z28" s="380">
        <f>U28/D28</f>
        <v>0</v>
      </c>
      <c r="AA28" s="381"/>
      <c r="AB28" s="374"/>
      <c r="AC28" s="374"/>
      <c r="AD28" s="374"/>
      <c r="AE28" s="382"/>
      <c r="AF28" s="382"/>
      <c r="AG28" s="382"/>
      <c r="AH28" s="382"/>
      <c r="AI28" s="382"/>
      <c r="AJ28" s="397"/>
    </row>
    <row r="29" spans="2:36" s="56" customFormat="1" ht="17.5" customHeight="1" x14ac:dyDescent="0.4">
      <c r="B29" s="393"/>
      <c r="C29" s="243"/>
      <c r="D29" s="252" t="s">
        <v>376</v>
      </c>
      <c r="E29" s="411"/>
      <c r="F29" s="412"/>
      <c r="G29" s="252" t="s">
        <v>375</v>
      </c>
      <c r="H29" s="411"/>
      <c r="I29" s="411"/>
      <c r="J29" s="411"/>
      <c r="K29" s="411"/>
      <c r="L29" s="411"/>
      <c r="M29" s="411"/>
      <c r="N29" s="411"/>
      <c r="O29" s="412"/>
      <c r="P29" s="252" t="s">
        <v>374</v>
      </c>
      <c r="Q29" s="411"/>
      <c r="R29" s="411"/>
      <c r="S29" s="411"/>
      <c r="T29" s="411"/>
      <c r="U29" s="411"/>
      <c r="V29" s="411"/>
      <c r="W29" s="411"/>
      <c r="X29" s="411"/>
      <c r="Y29" s="411"/>
      <c r="Z29" s="411"/>
      <c r="AA29" s="411"/>
      <c r="AB29" s="411"/>
      <c r="AC29" s="411"/>
      <c r="AD29" s="412"/>
      <c r="AE29" s="258" t="s">
        <v>339</v>
      </c>
      <c r="AF29" s="411"/>
      <c r="AG29" s="411"/>
      <c r="AH29" s="411"/>
      <c r="AI29" s="411"/>
      <c r="AJ29" s="412"/>
    </row>
    <row r="30" spans="2:36" s="56" customFormat="1" ht="15" customHeight="1" x14ac:dyDescent="0.4">
      <c r="B30" s="393"/>
      <c r="C30" s="243"/>
      <c r="D30" s="259" t="s">
        <v>373</v>
      </c>
      <c r="E30" s="260" t="s">
        <v>372</v>
      </c>
      <c r="F30" s="261" t="s">
        <v>371</v>
      </c>
      <c r="G30" s="259" t="s">
        <v>370</v>
      </c>
      <c r="H30" s="414"/>
      <c r="I30" s="262" t="s">
        <v>369</v>
      </c>
      <c r="J30" s="262" t="s">
        <v>368</v>
      </c>
      <c r="K30" s="262" t="s">
        <v>367</v>
      </c>
      <c r="L30" s="262" t="s">
        <v>366</v>
      </c>
      <c r="M30" s="262" t="s">
        <v>365</v>
      </c>
      <c r="N30" s="262" t="s">
        <v>364</v>
      </c>
      <c r="O30" s="264" t="s">
        <v>363</v>
      </c>
      <c r="P30" s="259" t="s">
        <v>362</v>
      </c>
      <c r="Q30" s="414"/>
      <c r="R30" s="260" t="s">
        <v>361</v>
      </c>
      <c r="S30" s="414"/>
      <c r="T30" s="414"/>
      <c r="U30" s="260" t="s">
        <v>360</v>
      </c>
      <c r="V30" s="266" t="s">
        <v>359</v>
      </c>
      <c r="W30" s="414"/>
      <c r="X30" s="266" t="s">
        <v>358</v>
      </c>
      <c r="Y30" s="414"/>
      <c r="Z30" s="414"/>
      <c r="AA30" s="266" t="s">
        <v>357</v>
      </c>
      <c r="AB30" s="260" t="s">
        <v>356</v>
      </c>
      <c r="AC30" s="263" t="s">
        <v>355</v>
      </c>
      <c r="AD30" s="261" t="s">
        <v>354</v>
      </c>
      <c r="AE30" s="265" t="s">
        <v>353</v>
      </c>
      <c r="AF30" s="414"/>
      <c r="AG30" s="414"/>
      <c r="AH30" s="262" t="s">
        <v>335</v>
      </c>
      <c r="AI30" s="414"/>
      <c r="AJ30" s="415"/>
    </row>
    <row r="31" spans="2:36" s="56" customFormat="1" ht="15" customHeight="1" x14ac:dyDescent="0.4">
      <c r="B31" s="393"/>
      <c r="C31" s="243"/>
      <c r="D31" s="413"/>
      <c r="E31" s="414"/>
      <c r="F31" s="415"/>
      <c r="G31" s="101" t="s">
        <v>352</v>
      </c>
      <c r="H31" s="98" t="s">
        <v>351</v>
      </c>
      <c r="I31" s="414"/>
      <c r="J31" s="414"/>
      <c r="K31" s="414"/>
      <c r="L31" s="414"/>
      <c r="M31" s="414"/>
      <c r="N31" s="414"/>
      <c r="O31" s="415"/>
      <c r="P31" s="101" t="s">
        <v>350</v>
      </c>
      <c r="Q31" s="98" t="s">
        <v>349</v>
      </c>
      <c r="R31" s="98" t="s">
        <v>349</v>
      </c>
      <c r="S31" s="98" t="s">
        <v>348</v>
      </c>
      <c r="T31" s="97" t="s">
        <v>347</v>
      </c>
      <c r="U31" s="414"/>
      <c r="V31" s="97" t="s">
        <v>350</v>
      </c>
      <c r="W31" s="98" t="s">
        <v>349</v>
      </c>
      <c r="X31" s="97" t="s">
        <v>349</v>
      </c>
      <c r="Y31" s="98" t="s">
        <v>348</v>
      </c>
      <c r="Z31" s="97" t="s">
        <v>347</v>
      </c>
      <c r="AA31" s="414"/>
      <c r="AB31" s="414"/>
      <c r="AC31" s="414"/>
      <c r="AD31" s="415"/>
      <c r="AE31" s="103" t="s">
        <v>1</v>
      </c>
      <c r="AF31" s="100" t="s">
        <v>12</v>
      </c>
      <c r="AG31" s="100" t="s">
        <v>15</v>
      </c>
      <c r="AH31" s="62" t="s">
        <v>103</v>
      </c>
      <c r="AI31" s="100" t="s">
        <v>346</v>
      </c>
      <c r="AJ31" s="99" t="s">
        <v>345</v>
      </c>
    </row>
    <row r="32" spans="2:36" s="56" customFormat="1" ht="17.5" customHeight="1" x14ac:dyDescent="0.4">
      <c r="B32" s="393"/>
      <c r="C32" s="243"/>
      <c r="D32" s="101" t="s">
        <v>4</v>
      </c>
      <c r="E32" s="98" t="s">
        <v>4</v>
      </c>
      <c r="F32" s="99" t="s">
        <v>4</v>
      </c>
      <c r="G32" s="60" t="s">
        <v>302</v>
      </c>
      <c r="H32" s="59" t="s">
        <v>283</v>
      </c>
      <c r="I32" s="59" t="s">
        <v>344</v>
      </c>
      <c r="J32" s="59" t="s">
        <v>302</v>
      </c>
      <c r="K32" s="68" t="s">
        <v>305</v>
      </c>
      <c r="L32" s="59" t="s">
        <v>304</v>
      </c>
      <c r="M32" s="68" t="s">
        <v>305</v>
      </c>
      <c r="N32" s="68" t="s">
        <v>305</v>
      </c>
      <c r="O32" s="67" t="s">
        <v>304</v>
      </c>
      <c r="P32" s="60" t="s">
        <v>284</v>
      </c>
      <c r="Q32" s="58" t="s">
        <v>284</v>
      </c>
      <c r="R32" s="59" t="s">
        <v>284</v>
      </c>
      <c r="S32" s="58" t="s">
        <v>284</v>
      </c>
      <c r="T32" s="57" t="s">
        <v>4</v>
      </c>
      <c r="U32" s="58" t="s">
        <v>283</v>
      </c>
      <c r="V32" s="57" t="s">
        <v>284</v>
      </c>
      <c r="W32" s="58" t="s">
        <v>283</v>
      </c>
      <c r="X32" s="57" t="s">
        <v>283</v>
      </c>
      <c r="Y32" s="58" t="s">
        <v>283</v>
      </c>
      <c r="Z32" s="73" t="s">
        <v>4</v>
      </c>
      <c r="AA32" s="73" t="s">
        <v>344</v>
      </c>
      <c r="AB32" s="68" t="s">
        <v>343</v>
      </c>
      <c r="AC32" s="68" t="s">
        <v>343</v>
      </c>
      <c r="AD32" s="72" t="s">
        <v>4</v>
      </c>
      <c r="AE32" s="70" t="s">
        <v>304</v>
      </c>
      <c r="AF32" s="63" t="s">
        <v>305</v>
      </c>
      <c r="AG32" s="62" t="s">
        <v>284</v>
      </c>
      <c r="AH32" s="62" t="s">
        <v>306</v>
      </c>
      <c r="AI32" s="62" t="s">
        <v>306</v>
      </c>
      <c r="AJ32" s="61" t="s">
        <v>306</v>
      </c>
    </row>
    <row r="33" spans="2:36" s="56" customFormat="1" ht="17.5" customHeight="1" x14ac:dyDescent="0.45">
      <c r="B33" s="393"/>
      <c r="C33" s="243"/>
      <c r="D33" s="381" t="s">
        <v>342</v>
      </c>
      <c r="E33" s="383">
        <v>0.5291751623153687</v>
      </c>
      <c r="F33" s="384"/>
      <c r="G33" s="373">
        <v>0.2750755250453949</v>
      </c>
      <c r="H33" s="374">
        <v>422.1095275878906</v>
      </c>
      <c r="I33" s="374">
        <v>18.49751853942871</v>
      </c>
      <c r="J33" s="374">
        <v>1.7459920644760132</v>
      </c>
      <c r="K33" s="374">
        <v>147.4132843017578</v>
      </c>
      <c r="L33" s="374">
        <v>0.7427904009819031</v>
      </c>
      <c r="M33" s="374">
        <v>162.5036163330078</v>
      </c>
      <c r="N33" s="374">
        <v>157.18740844726562</v>
      </c>
      <c r="O33" s="380">
        <v>0.40168067812919617</v>
      </c>
      <c r="P33" s="373">
        <v>29.1</v>
      </c>
      <c r="Q33" s="374" t="s">
        <v>341</v>
      </c>
      <c r="R33" s="374">
        <v>32.939998626708984</v>
      </c>
      <c r="S33" s="374">
        <f>R33-33.1</f>
        <v>-33.1</v>
      </c>
      <c r="T33" s="423">
        <v>1</v>
      </c>
      <c r="U33" s="382" t="s">
        <v>340</v>
      </c>
      <c r="V33" s="374">
        <v>1.6</v>
      </c>
      <c r="W33" s="374">
        <v>17.600000000000001</v>
      </c>
      <c r="X33" s="374">
        <v>1</v>
      </c>
      <c r="Y33" s="374">
        <f>X33-W33</f>
        <v>-16.600000000000001</v>
      </c>
      <c r="Z33" s="423"/>
      <c r="AA33" s="374">
        <v>6.28</v>
      </c>
      <c r="AB33" s="374">
        <v>18.68831443786621</v>
      </c>
      <c r="AC33" s="374">
        <f>AB33-AA33</f>
        <v>-5.28</v>
      </c>
      <c r="AD33" s="423">
        <v>1</v>
      </c>
      <c r="AE33" s="385"/>
      <c r="AF33" s="374"/>
      <c r="AG33" s="382"/>
      <c r="AH33" s="382"/>
      <c r="AI33" s="382"/>
      <c r="AJ33" s="397"/>
    </row>
    <row r="34" spans="2:36" s="56" customFormat="1" ht="15" customHeight="1" x14ac:dyDescent="0.4">
      <c r="B34" s="393"/>
      <c r="C34" s="243"/>
      <c r="D34" s="252" t="s">
        <v>339</v>
      </c>
      <c r="E34" s="412"/>
      <c r="F34" s="252" t="s">
        <v>338</v>
      </c>
      <c r="G34" s="411"/>
      <c r="H34" s="411"/>
      <c r="I34" s="411"/>
      <c r="J34" s="411"/>
      <c r="K34" s="411"/>
      <c r="L34" s="411"/>
      <c r="M34" s="412"/>
      <c r="N34" s="252" t="s">
        <v>337</v>
      </c>
      <c r="O34" s="411"/>
      <c r="P34" s="411"/>
      <c r="Q34" s="411"/>
      <c r="R34" s="411"/>
      <c r="S34" s="411"/>
      <c r="T34" s="411"/>
      <c r="U34" s="412"/>
      <c r="V34" s="258" t="s">
        <v>336</v>
      </c>
      <c r="W34" s="411"/>
      <c r="X34" s="411"/>
      <c r="Y34" s="411"/>
      <c r="Z34" s="411"/>
      <c r="AA34" s="411"/>
      <c r="AB34" s="411"/>
      <c r="AC34" s="411"/>
      <c r="AD34" s="411"/>
      <c r="AE34" s="411"/>
      <c r="AF34" s="411"/>
      <c r="AG34" s="411"/>
      <c r="AH34" s="411"/>
      <c r="AI34" s="411"/>
      <c r="AJ34" s="412"/>
    </row>
    <row r="35" spans="2:36" s="56" customFormat="1" ht="15" customHeight="1" x14ac:dyDescent="0.4">
      <c r="B35" s="393"/>
      <c r="C35" s="243"/>
      <c r="D35" s="259" t="s">
        <v>335</v>
      </c>
      <c r="E35" s="415"/>
      <c r="F35" s="259" t="s">
        <v>334</v>
      </c>
      <c r="G35" s="414"/>
      <c r="H35" s="414"/>
      <c r="I35" s="414"/>
      <c r="J35" s="414"/>
      <c r="K35" s="262" t="s">
        <v>333</v>
      </c>
      <c r="L35" s="414"/>
      <c r="M35" s="415"/>
      <c r="N35" s="259" t="s">
        <v>332</v>
      </c>
      <c r="O35" s="414"/>
      <c r="P35" s="414"/>
      <c r="Q35" s="414"/>
      <c r="R35" s="414"/>
      <c r="S35" s="260" t="s">
        <v>331</v>
      </c>
      <c r="T35" s="414"/>
      <c r="U35" s="415"/>
      <c r="V35" s="265" t="s">
        <v>330</v>
      </c>
      <c r="W35" s="414"/>
      <c r="X35" s="414"/>
      <c r="Y35" s="414"/>
      <c r="Z35" s="262" t="s">
        <v>329</v>
      </c>
      <c r="AA35" s="414"/>
      <c r="AB35" s="414"/>
      <c r="AC35" s="414"/>
      <c r="AD35" s="414"/>
      <c r="AE35" s="414"/>
      <c r="AF35" s="414"/>
      <c r="AG35" s="414"/>
      <c r="AH35" s="414"/>
      <c r="AI35" s="414"/>
      <c r="AJ35" s="415"/>
    </row>
    <row r="36" spans="2:36" s="56" customFormat="1" ht="25" customHeight="1" x14ac:dyDescent="0.4">
      <c r="B36" s="393"/>
      <c r="C36" s="243"/>
      <c r="D36" s="101" t="s">
        <v>328</v>
      </c>
      <c r="E36" s="99" t="s">
        <v>325</v>
      </c>
      <c r="F36" s="101" t="s">
        <v>327</v>
      </c>
      <c r="G36" s="98" t="s">
        <v>320</v>
      </c>
      <c r="H36" s="98" t="s">
        <v>326</v>
      </c>
      <c r="I36" s="100" t="s">
        <v>15</v>
      </c>
      <c r="J36" s="62" t="s">
        <v>325</v>
      </c>
      <c r="K36" s="100" t="s">
        <v>324</v>
      </c>
      <c r="L36" s="100" t="s">
        <v>323</v>
      </c>
      <c r="M36" s="99" t="s">
        <v>322</v>
      </c>
      <c r="N36" s="101" t="s">
        <v>327</v>
      </c>
      <c r="O36" s="98" t="s">
        <v>320</v>
      </c>
      <c r="P36" s="98" t="s">
        <v>326</v>
      </c>
      <c r="Q36" s="98" t="s">
        <v>15</v>
      </c>
      <c r="R36" s="97" t="s">
        <v>325</v>
      </c>
      <c r="S36" s="100" t="s">
        <v>324</v>
      </c>
      <c r="T36" s="100" t="s">
        <v>323</v>
      </c>
      <c r="U36" s="99" t="s">
        <v>322</v>
      </c>
      <c r="V36" s="103" t="s">
        <v>321</v>
      </c>
      <c r="W36" s="100" t="s">
        <v>320</v>
      </c>
      <c r="X36" s="100" t="s">
        <v>319</v>
      </c>
      <c r="Y36" s="100" t="s">
        <v>318</v>
      </c>
      <c r="Z36" s="100" t="s">
        <v>317</v>
      </c>
      <c r="AA36" s="100" t="s">
        <v>316</v>
      </c>
      <c r="AB36" s="100" t="s">
        <v>315</v>
      </c>
      <c r="AC36" s="100" t="s">
        <v>314</v>
      </c>
      <c r="AD36" s="100" t="s">
        <v>313</v>
      </c>
      <c r="AE36" s="100" t="s">
        <v>312</v>
      </c>
      <c r="AF36" s="100" t="s">
        <v>311</v>
      </c>
      <c r="AG36" s="100" t="s">
        <v>310</v>
      </c>
      <c r="AH36" s="100" t="s">
        <v>309</v>
      </c>
      <c r="AI36" s="100" t="s">
        <v>308</v>
      </c>
      <c r="AJ36" s="102" t="s">
        <v>307</v>
      </c>
    </row>
    <row r="37" spans="2:36" s="56" customFormat="1" ht="15" customHeight="1" x14ac:dyDescent="0.4">
      <c r="B37" s="393"/>
      <c r="C37" s="243"/>
      <c r="D37" s="70" t="s">
        <v>306</v>
      </c>
      <c r="E37" s="61" t="s">
        <v>4</v>
      </c>
      <c r="F37" s="64" t="s">
        <v>305</v>
      </c>
      <c r="G37" s="63" t="s">
        <v>305</v>
      </c>
      <c r="H37" s="63" t="s">
        <v>305</v>
      </c>
      <c r="I37" s="62" t="s">
        <v>284</v>
      </c>
      <c r="J37" s="62" t="s">
        <v>4</v>
      </c>
      <c r="K37" s="62" t="s">
        <v>284</v>
      </c>
      <c r="L37" s="62" t="s">
        <v>284</v>
      </c>
      <c r="M37" s="67" t="s">
        <v>284</v>
      </c>
      <c r="N37" s="69" t="s">
        <v>305</v>
      </c>
      <c r="O37" s="98" t="s">
        <v>305</v>
      </c>
      <c r="P37" s="68" t="s">
        <v>305</v>
      </c>
      <c r="Q37" s="59" t="s">
        <v>284</v>
      </c>
      <c r="R37" s="59" t="s">
        <v>4</v>
      </c>
      <c r="S37" s="62" t="s">
        <v>284</v>
      </c>
      <c r="T37" s="62" t="s">
        <v>284</v>
      </c>
      <c r="U37" s="67" t="s">
        <v>284</v>
      </c>
      <c r="V37" s="64" t="s">
        <v>305</v>
      </c>
      <c r="W37" s="63" t="s">
        <v>305</v>
      </c>
      <c r="X37" s="62" t="s">
        <v>304</v>
      </c>
      <c r="Y37" s="62" t="s">
        <v>284</v>
      </c>
      <c r="Z37" s="62" t="s">
        <v>303</v>
      </c>
      <c r="AA37" s="62" t="s">
        <v>302</v>
      </c>
      <c r="AB37" s="62" t="s">
        <v>303</v>
      </c>
      <c r="AC37" s="63" t="s">
        <v>302</v>
      </c>
      <c r="AD37" s="63" t="s">
        <v>283</v>
      </c>
      <c r="AE37" s="63" t="s">
        <v>4</v>
      </c>
      <c r="AF37" s="62" t="s">
        <v>282</v>
      </c>
      <c r="AG37" s="62" t="s">
        <v>301</v>
      </c>
      <c r="AH37" s="62" t="s">
        <v>300</v>
      </c>
      <c r="AI37" s="62" t="s">
        <v>300</v>
      </c>
      <c r="AJ37" s="61" t="s">
        <v>4</v>
      </c>
    </row>
    <row r="38" spans="2:36" s="56" customFormat="1" ht="15" customHeight="1" x14ac:dyDescent="0.4">
      <c r="B38" s="393"/>
      <c r="C38" s="243"/>
      <c r="D38" s="385"/>
      <c r="E38" s="380"/>
      <c r="F38" s="385">
        <v>26.76097869873047</v>
      </c>
      <c r="G38" s="382">
        <v>19.694011688232422</v>
      </c>
      <c r="H38" s="382">
        <f>G38-F38</f>
        <v>-7.066967010498047</v>
      </c>
      <c r="I38" s="374">
        <v>91.61995697021484</v>
      </c>
      <c r="J38" s="374">
        <v>3.271484136581421</v>
      </c>
      <c r="K38" s="374">
        <v>0</v>
      </c>
      <c r="L38" s="374">
        <v>0</v>
      </c>
      <c r="M38" s="380">
        <f>K38+L38</f>
        <v>0</v>
      </c>
      <c r="N38" s="373">
        <v>39.41666793823242</v>
      </c>
      <c r="O38" s="374">
        <v>95.6430892944336</v>
      </c>
      <c r="P38" s="374">
        <f>O38-N38</f>
        <v>56.22642135620117</v>
      </c>
      <c r="Q38" s="374">
        <v>38.58333206176758</v>
      </c>
      <c r="R38" s="374"/>
      <c r="S38" s="374">
        <v>0</v>
      </c>
      <c r="T38" s="374">
        <v>0</v>
      </c>
      <c r="U38" s="380">
        <f>S38+T38</f>
        <v>0</v>
      </c>
      <c r="V38" s="373">
        <v>225.3517303466797</v>
      </c>
      <c r="W38" s="374">
        <v>49.028560638427734</v>
      </c>
      <c r="X38" s="374">
        <v>0.11122513562440872</v>
      </c>
      <c r="Y38" s="374"/>
      <c r="Z38" s="374">
        <v>-0.8047599792480469</v>
      </c>
      <c r="AA38" s="374">
        <v>0</v>
      </c>
      <c r="AB38" s="374">
        <v>0</v>
      </c>
      <c r="AC38" s="374">
        <v>0</v>
      </c>
      <c r="AD38" s="374">
        <v>241.8447723388672</v>
      </c>
      <c r="AE38" s="374" t="e">
        <f>Z38/AB38</f>
        <v>#DIV/0!</v>
      </c>
      <c r="AF38" s="374">
        <v>0</v>
      </c>
      <c r="AG38" s="374">
        <v>0.05000000819563866</v>
      </c>
      <c r="AH38" s="374" t="e">
        <f>AF38/(Z38-AB38)</f>
        <v>#DIV/0!</v>
      </c>
      <c r="AI38" s="374" t="s">
        <v>296</v>
      </c>
      <c r="AJ38" s="380"/>
    </row>
    <row r="39" spans="2:36" s="56" customFormat="1" ht="15" customHeight="1" x14ac:dyDescent="0.4">
      <c r="B39" s="393"/>
      <c r="C39" s="243"/>
      <c r="D39" s="258" t="s">
        <v>295</v>
      </c>
      <c r="E39" s="411"/>
      <c r="F39" s="411"/>
      <c r="G39" s="411"/>
      <c r="H39" s="411"/>
      <c r="I39" s="411"/>
      <c r="J39" s="411"/>
      <c r="K39" s="411"/>
      <c r="L39" s="411"/>
      <c r="M39" s="411"/>
      <c r="N39" s="411"/>
      <c r="O39" s="411"/>
      <c r="P39" s="411"/>
      <c r="Q39" s="412"/>
      <c r="R39" s="104" t="s">
        <v>4</v>
      </c>
      <c r="S39" s="66" t="s">
        <v>4</v>
      </c>
      <c r="T39" s="66" t="s">
        <v>4</v>
      </c>
      <c r="U39" s="66" t="s">
        <v>82</v>
      </c>
      <c r="V39" s="66" t="s">
        <v>82</v>
      </c>
      <c r="W39" s="66" t="s">
        <v>82</v>
      </c>
      <c r="X39" s="66" t="s">
        <v>82</v>
      </c>
      <c r="Y39" s="66" t="s">
        <v>82</v>
      </c>
      <c r="Z39" s="66" t="s">
        <v>82</v>
      </c>
      <c r="AA39" s="66" t="s">
        <v>82</v>
      </c>
      <c r="AB39" s="66" t="s">
        <v>82</v>
      </c>
      <c r="AC39" s="66" t="s">
        <v>82</v>
      </c>
      <c r="AD39" s="66" t="s">
        <v>82</v>
      </c>
      <c r="AE39" s="66" t="s">
        <v>82</v>
      </c>
      <c r="AF39" s="65" t="s">
        <v>82</v>
      </c>
      <c r="AG39" s="65" t="s">
        <v>82</v>
      </c>
      <c r="AH39" s="65" t="s">
        <v>82</v>
      </c>
      <c r="AI39" s="65" t="s">
        <v>82</v>
      </c>
      <c r="AJ39" s="398" t="s">
        <v>82</v>
      </c>
    </row>
    <row r="40" spans="2:36" s="56" customFormat="1" ht="15" customHeight="1" x14ac:dyDescent="0.4">
      <c r="B40" s="393"/>
      <c r="C40" s="243"/>
      <c r="D40" s="265" t="s">
        <v>294</v>
      </c>
      <c r="E40" s="414"/>
      <c r="F40" s="414"/>
      <c r="G40" s="262" t="s">
        <v>293</v>
      </c>
      <c r="H40" s="414"/>
      <c r="I40" s="414"/>
      <c r="J40" s="262" t="s">
        <v>292</v>
      </c>
      <c r="K40" s="414"/>
      <c r="L40" s="414"/>
      <c r="M40" s="262" t="s">
        <v>291</v>
      </c>
      <c r="N40" s="262" t="s">
        <v>290</v>
      </c>
      <c r="O40" s="262" t="s">
        <v>289</v>
      </c>
      <c r="P40" s="262" t="s">
        <v>225</v>
      </c>
      <c r="Q40" s="264" t="s">
        <v>288</v>
      </c>
      <c r="R40" s="60" t="s">
        <v>4</v>
      </c>
      <c r="S40" s="59" t="s">
        <v>4</v>
      </c>
      <c r="T40" s="59" t="s">
        <v>4</v>
      </c>
      <c r="U40" s="59" t="s">
        <v>82</v>
      </c>
      <c r="V40" s="59" t="s">
        <v>82</v>
      </c>
      <c r="W40" s="59" t="s">
        <v>82</v>
      </c>
      <c r="X40" s="59" t="s">
        <v>82</v>
      </c>
      <c r="Y40" s="59" t="s">
        <v>82</v>
      </c>
      <c r="Z40" s="59" t="s">
        <v>82</v>
      </c>
      <c r="AA40" s="59" t="s">
        <v>82</v>
      </c>
      <c r="AB40" s="59" t="s">
        <v>82</v>
      </c>
      <c r="AC40" s="59" t="s">
        <v>82</v>
      </c>
      <c r="AD40" s="59" t="s">
        <v>82</v>
      </c>
      <c r="AE40" s="59" t="s">
        <v>82</v>
      </c>
      <c r="AF40" s="57" t="s">
        <v>82</v>
      </c>
      <c r="AG40" s="57" t="s">
        <v>82</v>
      </c>
      <c r="AH40" s="57" t="s">
        <v>82</v>
      </c>
      <c r="AI40" s="57" t="s">
        <v>82</v>
      </c>
      <c r="AJ40" s="72" t="s">
        <v>82</v>
      </c>
    </row>
    <row r="41" spans="2:36" s="56" customFormat="1" ht="25" customHeight="1" x14ac:dyDescent="0.4">
      <c r="B41" s="393"/>
      <c r="C41" s="243"/>
      <c r="D41" s="103" t="s">
        <v>287</v>
      </c>
      <c r="E41" s="100" t="s">
        <v>286</v>
      </c>
      <c r="F41" s="100" t="s">
        <v>285</v>
      </c>
      <c r="G41" s="100" t="s">
        <v>287</v>
      </c>
      <c r="H41" s="100" t="s">
        <v>286</v>
      </c>
      <c r="I41" s="100" t="s">
        <v>285</v>
      </c>
      <c r="J41" s="100" t="s">
        <v>287</v>
      </c>
      <c r="K41" s="100" t="s">
        <v>286</v>
      </c>
      <c r="L41" s="100" t="s">
        <v>285</v>
      </c>
      <c r="M41" s="414"/>
      <c r="N41" s="414"/>
      <c r="O41" s="414"/>
      <c r="P41" s="414"/>
      <c r="Q41" s="415"/>
      <c r="R41" s="101" t="s">
        <v>4</v>
      </c>
      <c r="S41" s="98" t="s">
        <v>4</v>
      </c>
      <c r="T41" s="98" t="s">
        <v>4</v>
      </c>
      <c r="U41" s="98" t="s">
        <v>82</v>
      </c>
      <c r="V41" s="98" t="s">
        <v>82</v>
      </c>
      <c r="W41" s="100" t="s">
        <v>82</v>
      </c>
      <c r="X41" s="98" t="s">
        <v>82</v>
      </c>
      <c r="Y41" s="98" t="s">
        <v>82</v>
      </c>
      <c r="Z41" s="100" t="s">
        <v>82</v>
      </c>
      <c r="AA41" s="59" t="s">
        <v>82</v>
      </c>
      <c r="AB41" s="59" t="s">
        <v>82</v>
      </c>
      <c r="AC41" s="59" t="s">
        <v>82</v>
      </c>
      <c r="AD41" s="59" t="s">
        <v>82</v>
      </c>
      <c r="AE41" s="59" t="s">
        <v>82</v>
      </c>
      <c r="AF41" s="57" t="s">
        <v>82</v>
      </c>
      <c r="AG41" s="57" t="s">
        <v>82</v>
      </c>
      <c r="AH41" s="57" t="s">
        <v>82</v>
      </c>
      <c r="AI41" s="57" t="s">
        <v>82</v>
      </c>
      <c r="AJ41" s="72" t="s">
        <v>82</v>
      </c>
    </row>
    <row r="42" spans="2:36" s="56" customFormat="1" ht="15" customHeight="1" x14ac:dyDescent="0.4">
      <c r="B42" s="393"/>
      <c r="C42" s="243"/>
      <c r="D42" s="64" t="s">
        <v>284</v>
      </c>
      <c r="E42" s="63" t="s">
        <v>284</v>
      </c>
      <c r="F42" s="62" t="s">
        <v>284</v>
      </c>
      <c r="G42" s="62" t="s">
        <v>283</v>
      </c>
      <c r="H42" s="59" t="s">
        <v>283</v>
      </c>
      <c r="I42" s="59" t="s">
        <v>283</v>
      </c>
      <c r="J42" s="62" t="s">
        <v>283</v>
      </c>
      <c r="K42" s="59" t="s">
        <v>283</v>
      </c>
      <c r="L42" s="59" t="s">
        <v>283</v>
      </c>
      <c r="M42" s="59" t="s">
        <v>282</v>
      </c>
      <c r="N42" s="59" t="s">
        <v>281</v>
      </c>
      <c r="O42" s="62" t="s">
        <v>280</v>
      </c>
      <c r="P42" s="62" t="s">
        <v>4</v>
      </c>
      <c r="Q42" s="61" t="s">
        <v>4</v>
      </c>
      <c r="R42" s="60" t="s">
        <v>4</v>
      </c>
      <c r="S42" s="59" t="s">
        <v>4</v>
      </c>
      <c r="T42" s="59" t="s">
        <v>4</v>
      </c>
      <c r="U42" s="59" t="s">
        <v>82</v>
      </c>
      <c r="V42" s="59" t="s">
        <v>82</v>
      </c>
      <c r="W42" s="59" t="s">
        <v>82</v>
      </c>
      <c r="X42" s="59" t="s">
        <v>82</v>
      </c>
      <c r="Y42" s="59" t="s">
        <v>82</v>
      </c>
      <c r="Z42" s="59" t="s">
        <v>82</v>
      </c>
      <c r="AA42" s="59" t="s">
        <v>82</v>
      </c>
      <c r="AB42" s="59" t="s">
        <v>82</v>
      </c>
      <c r="AC42" s="59" t="s">
        <v>82</v>
      </c>
      <c r="AD42" s="59" t="s">
        <v>82</v>
      </c>
      <c r="AE42" s="58" t="s">
        <v>82</v>
      </c>
      <c r="AF42" s="57" t="s">
        <v>82</v>
      </c>
      <c r="AG42" s="57" t="s">
        <v>82</v>
      </c>
      <c r="AH42" s="57" t="s">
        <v>82</v>
      </c>
      <c r="AI42" s="57" t="s">
        <v>82</v>
      </c>
      <c r="AJ42" s="72" t="s">
        <v>82</v>
      </c>
    </row>
    <row r="43" spans="2:36" s="56" customFormat="1" ht="15" customHeight="1" x14ac:dyDescent="0.4">
      <c r="B43" s="405"/>
      <c r="C43" s="406"/>
      <c r="D43" s="373"/>
      <c r="E43" s="374"/>
      <c r="F43" s="374">
        <f>D43-E43</f>
        <v>0</v>
      </c>
      <c r="G43" s="374"/>
      <c r="H43" s="374"/>
      <c r="I43" s="374">
        <f>G43-H43</f>
        <v>0</v>
      </c>
      <c r="J43" s="374"/>
      <c r="K43" s="374"/>
      <c r="L43" s="374">
        <f>J43-K43</f>
        <v>0</v>
      </c>
      <c r="M43" s="374">
        <v>-0.0100250244140625</v>
      </c>
      <c r="N43" s="374"/>
      <c r="O43" s="374" t="e">
        <f>N43/M43</f>
        <v>#DIV/0!</v>
      </c>
      <c r="P43" s="374"/>
      <c r="Q43" s="404">
        <v>301</v>
      </c>
      <c r="R43" s="407" t="s">
        <v>4</v>
      </c>
      <c r="S43" s="71" t="s">
        <v>4</v>
      </c>
      <c r="T43" s="71" t="s">
        <v>4</v>
      </c>
      <c r="U43" s="71" t="s">
        <v>82</v>
      </c>
      <c r="V43" s="71" t="s">
        <v>82</v>
      </c>
      <c r="W43" s="71" t="s">
        <v>82</v>
      </c>
      <c r="X43" s="71" t="s">
        <v>82</v>
      </c>
      <c r="Y43" s="71" t="s">
        <v>82</v>
      </c>
      <c r="Z43" s="71" t="s">
        <v>82</v>
      </c>
      <c r="AA43" s="71" t="s">
        <v>82</v>
      </c>
      <c r="AB43" s="71" t="s">
        <v>82</v>
      </c>
      <c r="AC43" s="71" t="s">
        <v>82</v>
      </c>
      <c r="AD43" s="71" t="s">
        <v>82</v>
      </c>
      <c r="AE43" s="408" t="s">
        <v>82</v>
      </c>
      <c r="AF43" s="408" t="s">
        <v>82</v>
      </c>
      <c r="AG43" s="408" t="s">
        <v>82</v>
      </c>
      <c r="AH43" s="408" t="s">
        <v>82</v>
      </c>
      <c r="AI43" s="408" t="s">
        <v>82</v>
      </c>
      <c r="AJ43" s="409" t="s">
        <v>82</v>
      </c>
    </row>
    <row r="44" spans="2:36" ht="15" customHeight="1" x14ac:dyDescent="0.4"/>
    <row r="45" spans="2:36" ht="18" customHeight="1" x14ac:dyDescent="0.4"/>
    <row r="46" spans="2:36" ht="18" customHeight="1" x14ac:dyDescent="0.4"/>
    <row r="47" spans="2:36" ht="18" customHeight="1" x14ac:dyDescent="0.4"/>
    <row r="48" spans="2:36" ht="18" customHeight="1" x14ac:dyDescent="0.4"/>
    <row r="49" ht="18" customHeight="1" x14ac:dyDescent="0.4"/>
    <row r="50" ht="18" customHeight="1" x14ac:dyDescent="0.4"/>
    <row r="51" ht="18" customHeight="1" x14ac:dyDescent="0.4"/>
    <row r="52" ht="18" customHeight="1" x14ac:dyDescent="0.4"/>
    <row r="53" ht="18" customHeight="1" x14ac:dyDescent="0.4"/>
    <row r="54" ht="18" customHeight="1" x14ac:dyDescent="0.4"/>
    <row r="55" ht="18" customHeight="1" x14ac:dyDescent="0.4"/>
    <row r="56" ht="18" customHeight="1" x14ac:dyDescent="0.4"/>
    <row r="57" ht="18" customHeight="1" x14ac:dyDescent="0.4"/>
    <row r="58" ht="18" customHeight="1" x14ac:dyDescent="0.4"/>
    <row r="59" ht="18" customHeight="1" x14ac:dyDescent="0.4"/>
    <row r="60" ht="18" customHeight="1" x14ac:dyDescent="0.4"/>
    <row r="61" ht="18" customHeight="1" x14ac:dyDescent="0.4"/>
    <row r="62" ht="18" customHeight="1" x14ac:dyDescent="0.4"/>
    <row r="63" ht="18" customHeight="1" x14ac:dyDescent="0.4"/>
    <row r="64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printOptions horizontalCentered="1" verticalCentered="1"/>
  <pageMargins left="0.25" right="0.25" top="0.75" bottom="0.75" header="0.3" footer="0.3"/>
  <pageSetup paperSize="8" scale="84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V22"/>
  <sheetViews>
    <sheetView workbookViewId="0">
      <selection activeCell="F2" sqref="F2"/>
    </sheetView>
  </sheetViews>
  <sheetFormatPr defaultRowHeight="14.1" x14ac:dyDescent="0.4"/>
  <sheetData>
    <row r="2" spans="2:21" ht="14.4" x14ac:dyDescent="0.45">
      <c r="B2" s="422">
        <v>1</v>
      </c>
      <c r="C2" s="422">
        <v>2</v>
      </c>
      <c r="D2" s="422">
        <v>3</v>
      </c>
      <c r="E2" s="422">
        <v>4</v>
      </c>
      <c r="F2" s="422">
        <v>5</v>
      </c>
      <c r="G2" s="422">
        <v>6</v>
      </c>
      <c r="H2" s="422">
        <v>7</v>
      </c>
      <c r="I2" s="422">
        <v>8</v>
      </c>
      <c r="J2" s="422">
        <v>9</v>
      </c>
      <c r="K2" s="422">
        <v>10</v>
      </c>
      <c r="L2" s="422">
        <v>11</v>
      </c>
      <c r="M2" s="422">
        <v>12</v>
      </c>
      <c r="N2" s="422">
        <v>13</v>
      </c>
      <c r="O2" s="422">
        <v>14</v>
      </c>
      <c r="P2" s="422">
        <v>15</v>
      </c>
      <c r="Q2" s="422">
        <v>16</v>
      </c>
      <c r="R2" s="422">
        <v>17</v>
      </c>
      <c r="S2" s="422">
        <v>18</v>
      </c>
      <c r="T2" s="422">
        <v>19</v>
      </c>
      <c r="U2" s="422">
        <v>20</v>
      </c>
    </row>
    <row r="3" spans="2:21" ht="14.4" x14ac:dyDescent="0.45">
      <c r="B3" s="422">
        <v>20</v>
      </c>
      <c r="C3" s="422">
        <v>21</v>
      </c>
      <c r="D3" s="422">
        <v>22</v>
      </c>
      <c r="E3" s="422">
        <v>23</v>
      </c>
      <c r="F3" s="422">
        <v>24</v>
      </c>
      <c r="G3" s="422">
        <v>25</v>
      </c>
      <c r="H3" s="422">
        <v>26</v>
      </c>
      <c r="I3" s="422">
        <v>27</v>
      </c>
      <c r="J3" s="422">
        <v>28</v>
      </c>
      <c r="K3" s="422">
        <v>29</v>
      </c>
      <c r="L3" s="422">
        <v>30</v>
      </c>
      <c r="M3" s="422">
        <v>31</v>
      </c>
      <c r="N3" s="422">
        <v>32</v>
      </c>
      <c r="O3" s="422">
        <v>33</v>
      </c>
      <c r="P3" s="422">
        <v>34</v>
      </c>
      <c r="Q3" s="422">
        <v>35</v>
      </c>
      <c r="R3" s="422">
        <v>36</v>
      </c>
      <c r="S3" s="422">
        <v>37</v>
      </c>
      <c r="T3" s="422">
        <v>38</v>
      </c>
      <c r="U3" s="422">
        <v>39</v>
      </c>
    </row>
    <row r="4" spans="2:21" ht="14.4" x14ac:dyDescent="0.45">
      <c r="B4" s="422">
        <v>40</v>
      </c>
      <c r="C4" s="422" t="s">
        <v>463</v>
      </c>
      <c r="D4" s="422">
        <v>42</v>
      </c>
      <c r="E4" s="422">
        <v>43</v>
      </c>
      <c r="F4" s="422">
        <v>44</v>
      </c>
      <c r="G4" s="422">
        <v>45</v>
      </c>
      <c r="H4" s="422">
        <v>46</v>
      </c>
      <c r="I4" s="422">
        <v>47</v>
      </c>
      <c r="J4" s="422">
        <v>48</v>
      </c>
      <c r="K4" s="422">
        <v>49</v>
      </c>
      <c r="L4" s="422">
        <v>50</v>
      </c>
      <c r="M4" s="422">
        <v>51</v>
      </c>
      <c r="N4" s="422">
        <v>52</v>
      </c>
      <c r="O4" s="422">
        <v>53</v>
      </c>
      <c r="P4" s="422">
        <v>54</v>
      </c>
      <c r="Q4" s="422">
        <v>55</v>
      </c>
      <c r="R4" s="422">
        <v>56</v>
      </c>
      <c r="S4" s="422">
        <v>57</v>
      </c>
      <c r="T4" s="422">
        <v>58</v>
      </c>
      <c r="U4" s="422">
        <v>59</v>
      </c>
    </row>
    <row r="6">
      <c r="H6" s="0">
        <v>1</v>
      </c>
    </row>
    <row r="7">
      <c r="H7" s="0">
        <v>1</v>
      </c>
    </row>
    <row r="8">
      <c r="H8" s="0">
        <v>1</v>
      </c>
    </row>
    <row r="10">
      <c r="H10" s="0">
        <v>1</v>
      </c>
    </row>
    <row r="11">
      <c r="H11" s="0">
        <v>1</v>
      </c>
    </row>
    <row r="13">
      <c r="H13" s="0">
        <v>0</v>
      </c>
    </row>
    <row r="22"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24"/>
  <sheetViews>
    <sheetView zoomScale="55" zoomScaleNormal="55" workbookViewId="0">
      <selection activeCell="U4" sqref="U4"/>
    </sheetView>
  </sheetViews>
  <sheetFormatPr defaultColWidth="9" defaultRowHeight="12.6" x14ac:dyDescent="0.45"/>
  <cols>
    <col min="1" max="1" width="2.1015625" style="86" customWidth="1"/>
    <col min="2" max="2" width="5.9453125" style="86" customWidth="1"/>
    <col min="3" max="3" width="13" style="86" customWidth="1"/>
    <col min="4" max="5" width="7.1015625" style="86" customWidth="1"/>
    <col min="6" max="7" width="6.1015625" style="86" customWidth="1"/>
    <col min="8" max="9" width="5.1015625" style="86" customWidth="1"/>
    <col min="10" max="11" width="6.1015625" style="86" customWidth="1"/>
    <col min="12" max="13" width="7.578125" style="86" customWidth="1"/>
    <col min="14" max="17" width="6.1015625" style="86" customWidth="1"/>
    <col min="18" max="18" width="6.05078125" style="86" customWidth="1"/>
    <col min="19" max="19" width="5.1015625" style="86" hidden="1" customWidth="1"/>
    <col min="20" max="20" width="25.3125" style="86" customWidth="1"/>
    <col min="21" max="21" width="16.734375" style="86" customWidth="1"/>
  </cols>
  <sheetData>
    <row r="1" spans="1:21" ht="25" customHeight="1" thickBot="1" x14ac:dyDescent="0.5"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1" ht="35.1" customHeight="1" x14ac:dyDescent="0.45">
      <c r="B2" s="268" t="s">
        <v>413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70"/>
    </row>
    <row r="3" spans="1:21" ht="35.1" customHeight="1" x14ac:dyDescent="0.45">
      <c r="B3" s="271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3"/>
    </row>
    <row r="4" spans="1:21" s="87" customFormat="1" ht="35.1" customHeight="1" x14ac:dyDescent="0.55">
      <c r="A4" s="94"/>
      <c r="B4" s="95" t="s">
        <v>458</v>
      </c>
      <c r="C4" s="282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4"/>
      <c r="T4" s="96" t="s">
        <v>457</v>
      </c>
      <c r="U4" s="93"/>
    </row>
    <row r="5" spans="1:21" s="89" customFormat="1" ht="40" customHeight="1" x14ac:dyDescent="0.4">
      <c r="B5" s="274" t="s">
        <v>414</v>
      </c>
      <c r="C5" s="275"/>
      <c r="D5" s="276"/>
      <c r="E5" s="88" t="s">
        <v>415</v>
      </c>
      <c r="F5" s="277" t="s">
        <v>416</v>
      </c>
      <c r="G5" s="278"/>
      <c r="H5" s="277" t="s">
        <v>417</v>
      </c>
      <c r="I5" s="278"/>
      <c r="J5" s="279" t="s">
        <v>418</v>
      </c>
      <c r="K5" s="280"/>
      <c r="L5" s="280"/>
      <c r="M5" s="280"/>
      <c r="N5" s="280"/>
      <c r="O5" s="280"/>
      <c r="P5" s="280"/>
      <c r="Q5" s="280"/>
      <c r="R5" s="278"/>
      <c r="S5" s="277" t="s">
        <v>419</v>
      </c>
      <c r="T5" s="281"/>
    </row>
    <row r="6" spans="1:21" s="87" customFormat="1" ht="35.1" customHeight="1" x14ac:dyDescent="0.55">
      <c r="B6" s="285" t="s">
        <v>420</v>
      </c>
      <c r="C6" s="286"/>
      <c r="D6" s="286"/>
      <c r="E6" s="90" t="s">
        <v>421</v>
      </c>
      <c r="F6" s="287" t="s">
        <v>422</v>
      </c>
      <c r="G6" s="288"/>
      <c r="H6" s="289"/>
      <c r="I6" s="290"/>
      <c r="J6" s="289"/>
      <c r="K6" s="290"/>
      <c r="L6" s="290"/>
      <c r="M6" s="290"/>
      <c r="N6" s="290"/>
      <c r="O6" s="290"/>
      <c r="P6" s="290"/>
      <c r="Q6" s="290"/>
      <c r="R6" s="290"/>
      <c r="S6" s="289"/>
      <c r="T6" s="291"/>
    </row>
    <row r="7" spans="1:21" s="87" customFormat="1" ht="35.1" customHeight="1" x14ac:dyDescent="0.55">
      <c r="B7" s="285" t="s">
        <v>423</v>
      </c>
      <c r="C7" s="286"/>
      <c r="D7" s="286"/>
      <c r="E7" s="90" t="s">
        <v>421</v>
      </c>
      <c r="F7" s="287" t="s">
        <v>422</v>
      </c>
      <c r="G7" s="288"/>
      <c r="H7" s="289"/>
      <c r="I7" s="290"/>
      <c r="J7" s="289"/>
      <c r="K7" s="290"/>
      <c r="L7" s="290"/>
      <c r="M7" s="290"/>
      <c r="N7" s="290"/>
      <c r="O7" s="290"/>
      <c r="P7" s="290"/>
      <c r="Q7" s="290"/>
      <c r="R7" s="290"/>
      <c r="S7" s="289"/>
      <c r="T7" s="291"/>
    </row>
    <row r="8" spans="1:21" s="87" customFormat="1" ht="35.1" customHeight="1" x14ac:dyDescent="0.55">
      <c r="B8" s="292" t="s">
        <v>424</v>
      </c>
      <c r="C8" s="293"/>
      <c r="D8" s="293"/>
      <c r="E8" s="91" t="s">
        <v>421</v>
      </c>
      <c r="F8" s="294" t="s">
        <v>422</v>
      </c>
      <c r="G8" s="295"/>
      <c r="H8" s="296"/>
      <c r="I8" s="297"/>
      <c r="J8" s="296"/>
      <c r="K8" s="297"/>
      <c r="L8" s="297"/>
      <c r="M8" s="297"/>
      <c r="N8" s="297"/>
      <c r="O8" s="297"/>
      <c r="P8" s="297"/>
      <c r="Q8" s="297"/>
      <c r="R8" s="297"/>
      <c r="S8" s="296"/>
      <c r="T8" s="298"/>
    </row>
    <row r="9" spans="1:21" s="89" customFormat="1" ht="40" customHeight="1" x14ac:dyDescent="0.4">
      <c r="B9" s="274" t="s">
        <v>425</v>
      </c>
      <c r="C9" s="275"/>
      <c r="D9" s="276"/>
      <c r="E9" s="92" t="s">
        <v>415</v>
      </c>
      <c r="F9" s="277" t="s">
        <v>416</v>
      </c>
      <c r="G9" s="278"/>
      <c r="H9" s="277" t="s">
        <v>417</v>
      </c>
      <c r="I9" s="278"/>
      <c r="J9" s="279" t="s">
        <v>418</v>
      </c>
      <c r="K9" s="280"/>
      <c r="L9" s="280"/>
      <c r="M9" s="280"/>
      <c r="N9" s="280"/>
      <c r="O9" s="280"/>
      <c r="P9" s="280"/>
      <c r="Q9" s="280"/>
      <c r="R9" s="278"/>
      <c r="S9" s="277" t="s">
        <v>419</v>
      </c>
      <c r="T9" s="281"/>
    </row>
    <row r="10" spans="1:21" s="87" customFormat="1" ht="35.1" customHeight="1" x14ac:dyDescent="0.55">
      <c r="B10" s="308" t="s">
        <v>426</v>
      </c>
      <c r="C10" s="309"/>
      <c r="D10" s="310"/>
      <c r="E10" s="90" t="s">
        <v>421</v>
      </c>
      <c r="F10" s="311">
        <v>1</v>
      </c>
      <c r="G10" s="312"/>
      <c r="H10" s="313"/>
      <c r="I10" s="314"/>
      <c r="J10" s="313"/>
      <c r="K10" s="315"/>
      <c r="L10" s="315"/>
      <c r="M10" s="315"/>
      <c r="N10" s="315"/>
      <c r="O10" s="315"/>
      <c r="P10" s="315"/>
      <c r="Q10" s="315"/>
      <c r="R10" s="314"/>
      <c r="S10" s="313"/>
      <c r="T10" s="316"/>
    </row>
    <row r="11" spans="1:21" s="87" customFormat="1" ht="35.1" customHeight="1" x14ac:dyDescent="0.55">
      <c r="B11" s="299" t="s">
        <v>427</v>
      </c>
      <c r="C11" s="300"/>
      <c r="D11" s="301"/>
      <c r="E11" s="91" t="s">
        <v>421</v>
      </c>
      <c r="F11" s="302">
        <v>1</v>
      </c>
      <c r="G11" s="303"/>
      <c r="H11" s="304"/>
      <c r="I11" s="305"/>
      <c r="J11" s="304"/>
      <c r="K11" s="306"/>
      <c r="L11" s="306"/>
      <c r="M11" s="306"/>
      <c r="N11" s="306"/>
      <c r="O11" s="306"/>
      <c r="P11" s="306"/>
      <c r="Q11" s="306"/>
      <c r="R11" s="305"/>
      <c r="S11" s="304"/>
      <c r="T11" s="307"/>
    </row>
    <row r="12" spans="1:21" s="89" customFormat="1" ht="50.1" customHeight="1" x14ac:dyDescent="0.4">
      <c r="B12" s="274" t="s">
        <v>428</v>
      </c>
      <c r="C12" s="275"/>
      <c r="D12" s="276"/>
      <c r="E12" s="279" t="s">
        <v>429</v>
      </c>
      <c r="F12" s="320"/>
      <c r="G12" s="321"/>
      <c r="H12" s="277" t="s">
        <v>430</v>
      </c>
      <c r="I12" s="278"/>
      <c r="J12" s="279" t="s">
        <v>418</v>
      </c>
      <c r="K12" s="280"/>
      <c r="L12" s="280"/>
      <c r="M12" s="280"/>
      <c r="N12" s="280"/>
      <c r="O12" s="280"/>
      <c r="P12" s="280"/>
      <c r="Q12" s="280"/>
      <c r="R12" s="278"/>
      <c r="S12" s="277" t="s">
        <v>419</v>
      </c>
      <c r="T12" s="281"/>
    </row>
    <row r="13" spans="1:21" s="87" customFormat="1" ht="50.1" customHeight="1" x14ac:dyDescent="0.55">
      <c r="B13" s="299" t="s">
        <v>431</v>
      </c>
      <c r="C13" s="300"/>
      <c r="D13" s="301"/>
      <c r="E13" s="317" t="s">
        <v>432</v>
      </c>
      <c r="F13" s="318"/>
      <c r="G13" s="319"/>
      <c r="H13" s="304"/>
      <c r="I13" s="305"/>
      <c r="J13" s="304"/>
      <c r="K13" s="306"/>
      <c r="L13" s="306"/>
      <c r="M13" s="306"/>
      <c r="N13" s="306"/>
      <c r="O13" s="306"/>
      <c r="P13" s="306"/>
      <c r="Q13" s="306"/>
      <c r="R13" s="305"/>
      <c r="S13" s="304"/>
      <c r="T13" s="307"/>
    </row>
    <row r="14" spans="1:21" s="89" customFormat="1" ht="50.1" customHeight="1" x14ac:dyDescent="0.4">
      <c r="B14" s="274" t="s">
        <v>433</v>
      </c>
      <c r="C14" s="275"/>
      <c r="D14" s="276"/>
      <c r="E14" s="279" t="s">
        <v>434</v>
      </c>
      <c r="F14" s="320"/>
      <c r="G14" s="320"/>
      <c r="H14" s="320"/>
      <c r="I14" s="321"/>
      <c r="J14" s="279" t="s">
        <v>418</v>
      </c>
      <c r="K14" s="280"/>
      <c r="L14" s="280"/>
      <c r="M14" s="280"/>
      <c r="N14" s="280"/>
      <c r="O14" s="280"/>
      <c r="P14" s="280"/>
      <c r="Q14" s="280"/>
      <c r="R14" s="278"/>
      <c r="S14" s="277" t="s">
        <v>419</v>
      </c>
      <c r="T14" s="281"/>
    </row>
    <row r="15" spans="1:21" s="87" customFormat="1" ht="35.1" customHeight="1" x14ac:dyDescent="0.55">
      <c r="B15" s="322" t="s">
        <v>435</v>
      </c>
      <c r="C15" s="323"/>
      <c r="D15" s="324"/>
      <c r="E15" s="328"/>
      <c r="F15" s="329"/>
      <c r="G15" s="329"/>
      <c r="H15" s="329"/>
      <c r="I15" s="330"/>
      <c r="J15" s="328"/>
      <c r="K15" s="329"/>
      <c r="L15" s="329"/>
      <c r="M15" s="329"/>
      <c r="N15" s="329"/>
      <c r="O15" s="329"/>
      <c r="P15" s="329"/>
      <c r="Q15" s="329"/>
      <c r="R15" s="330"/>
      <c r="S15" s="328"/>
      <c r="T15" s="334"/>
    </row>
    <row r="16" spans="1:21" s="87" customFormat="1" ht="35.1" customHeight="1" x14ac:dyDescent="0.55">
      <c r="B16" s="325"/>
      <c r="C16" s="326"/>
      <c r="D16" s="327"/>
      <c r="E16" s="331"/>
      <c r="F16" s="332"/>
      <c r="G16" s="332"/>
      <c r="H16" s="332"/>
      <c r="I16" s="333"/>
      <c r="J16" s="331"/>
      <c r="K16" s="332"/>
      <c r="L16" s="332"/>
      <c r="M16" s="332"/>
      <c r="N16" s="332"/>
      <c r="O16" s="332"/>
      <c r="P16" s="332"/>
      <c r="Q16" s="332"/>
      <c r="R16" s="333"/>
      <c r="S16" s="331"/>
      <c r="T16" s="335"/>
    </row>
    <row r="17" spans="2:20" s="87" customFormat="1" ht="45" customHeight="1" x14ac:dyDescent="0.55">
      <c r="B17" s="336" t="s">
        <v>436</v>
      </c>
      <c r="C17" s="337"/>
      <c r="D17" s="338"/>
      <c r="E17" s="342" t="s">
        <v>437</v>
      </c>
      <c r="F17" s="343"/>
      <c r="G17" s="343"/>
      <c r="H17" s="343"/>
      <c r="I17" s="344"/>
      <c r="J17" s="342" t="s">
        <v>418</v>
      </c>
      <c r="K17" s="343"/>
      <c r="L17" s="343"/>
      <c r="M17" s="343"/>
      <c r="N17" s="343"/>
      <c r="O17" s="343"/>
      <c r="P17" s="343"/>
      <c r="Q17" s="343"/>
      <c r="R17" s="344"/>
      <c r="S17" s="345" t="s">
        <v>438</v>
      </c>
      <c r="T17" s="346"/>
    </row>
    <row r="18" spans="2:20" s="87" customFormat="1" ht="45" customHeight="1" thickBot="1" x14ac:dyDescent="0.6">
      <c r="B18" s="339"/>
      <c r="C18" s="340"/>
      <c r="D18" s="341"/>
      <c r="E18" s="347" t="s">
        <v>439</v>
      </c>
      <c r="F18" s="348"/>
      <c r="G18" s="348"/>
      <c r="H18" s="348"/>
      <c r="I18" s="349"/>
      <c r="J18" s="350" t="s">
        <v>4</v>
      </c>
      <c r="K18" s="348"/>
      <c r="L18" s="348"/>
      <c r="M18" s="348"/>
      <c r="N18" s="348"/>
      <c r="O18" s="348"/>
      <c r="P18" s="348"/>
      <c r="Q18" s="348"/>
      <c r="R18" s="349"/>
      <c r="S18" s="351"/>
      <c r="T18" s="352"/>
    </row>
    <row r="19" spans="2:20" s="87" customFormat="1" ht="50.1" customHeight="1" x14ac:dyDescent="0.55">
      <c r="B19" s="353" t="s">
        <v>440</v>
      </c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5"/>
    </row>
    <row r="20" spans="2:20" s="87" customFormat="1" ht="50.1" customHeight="1" x14ac:dyDescent="0.55">
      <c r="B20" s="356" t="s">
        <v>441</v>
      </c>
      <c r="C20" s="321"/>
      <c r="D20" s="357" t="s">
        <v>442</v>
      </c>
      <c r="E20" s="321"/>
      <c r="F20" s="357" t="s">
        <v>443</v>
      </c>
      <c r="G20" s="321"/>
      <c r="H20" s="357" t="s">
        <v>444</v>
      </c>
      <c r="I20" s="321"/>
      <c r="J20" s="357" t="s">
        <v>445</v>
      </c>
      <c r="K20" s="321"/>
      <c r="L20" s="357" t="s">
        <v>446</v>
      </c>
      <c r="M20" s="321"/>
      <c r="N20" s="357" t="s">
        <v>447</v>
      </c>
      <c r="O20" s="358"/>
      <c r="P20" s="359" t="s">
        <v>448</v>
      </c>
      <c r="Q20" s="320"/>
      <c r="R20" s="320"/>
      <c r="S20" s="320"/>
      <c r="T20" s="360"/>
    </row>
    <row r="21" spans="2:20" s="87" customFormat="1" ht="50.1" customHeight="1" x14ac:dyDescent="0.55">
      <c r="B21" s="370" t="s">
        <v>449</v>
      </c>
      <c r="C21" s="312"/>
      <c r="D21" s="361" t="s">
        <v>449</v>
      </c>
      <c r="E21" s="312"/>
      <c r="F21" s="361" t="s">
        <v>449</v>
      </c>
      <c r="G21" s="312"/>
      <c r="H21" s="361" t="s">
        <v>450</v>
      </c>
      <c r="I21" s="312"/>
      <c r="J21" s="361" t="s">
        <v>284</v>
      </c>
      <c r="K21" s="312"/>
      <c r="L21" s="361" t="s">
        <v>284</v>
      </c>
      <c r="M21" s="312"/>
      <c r="N21" s="361" t="s">
        <v>284</v>
      </c>
      <c r="O21" s="362"/>
      <c r="P21" s="363"/>
      <c r="Q21" s="362"/>
      <c r="R21" s="362"/>
      <c r="S21" s="362"/>
      <c r="T21" s="364"/>
    </row>
    <row r="22" spans="2:20" s="87" customFormat="1" ht="50.1" customHeight="1" x14ac:dyDescent="0.55">
      <c r="B22" s="368"/>
      <c r="C22" s="314"/>
      <c r="D22" s="313"/>
      <c r="E22" s="314"/>
      <c r="F22" s="313"/>
      <c r="G22" s="314"/>
      <c r="H22" s="313"/>
      <c r="I22" s="314"/>
      <c r="J22" s="313"/>
      <c r="K22" s="314"/>
      <c r="L22" s="313"/>
      <c r="M22" s="314"/>
      <c r="N22" s="313"/>
      <c r="O22" s="369"/>
      <c r="P22" s="365"/>
      <c r="Q22" s="315"/>
      <c r="R22" s="315"/>
      <c r="S22" s="315"/>
      <c r="T22" s="316"/>
    </row>
    <row r="23" spans="2:20" s="87" customFormat="1" ht="50.1" customHeight="1" x14ac:dyDescent="0.55">
      <c r="B23" s="356" t="s">
        <v>451</v>
      </c>
      <c r="C23" s="320"/>
      <c r="D23" s="321"/>
      <c r="E23" s="372"/>
      <c r="F23" s="321"/>
      <c r="G23" s="357" t="s">
        <v>452</v>
      </c>
      <c r="H23" s="320"/>
      <c r="I23" s="321"/>
      <c r="J23" s="372"/>
      <c r="K23" s="321"/>
      <c r="L23" s="357" t="s">
        <v>453</v>
      </c>
      <c r="M23" s="321"/>
      <c r="N23" s="372"/>
      <c r="O23" s="320"/>
      <c r="P23" s="365"/>
      <c r="Q23" s="315"/>
      <c r="R23" s="315"/>
      <c r="S23" s="315"/>
      <c r="T23" s="316"/>
    </row>
    <row r="24" spans="2:20" s="87" customFormat="1" ht="50.1" customHeight="1" thickBot="1" x14ac:dyDescent="0.6">
      <c r="B24" s="371" t="s">
        <v>454</v>
      </c>
      <c r="C24" s="348"/>
      <c r="D24" s="349"/>
      <c r="E24" s="350"/>
      <c r="F24" s="349"/>
      <c r="G24" s="347" t="s">
        <v>455</v>
      </c>
      <c r="H24" s="348"/>
      <c r="I24" s="349"/>
      <c r="J24" s="350"/>
      <c r="K24" s="349"/>
      <c r="L24" s="347" t="s">
        <v>456</v>
      </c>
      <c r="M24" s="349"/>
      <c r="N24" s="350"/>
      <c r="O24" s="348"/>
      <c r="P24" s="366"/>
      <c r="Q24" s="367"/>
      <c r="R24" s="367"/>
      <c r="S24" s="367"/>
      <c r="T24" s="352"/>
    </row>
  </sheetData>
  <mergeCells count="98">
    <mergeCell ref="N24:O24"/>
    <mergeCell ref="E23:F23"/>
    <mergeCell ref="G23:I23"/>
    <mergeCell ref="J23:K23"/>
    <mergeCell ref="L23:M23"/>
    <mergeCell ref="N23:O23"/>
    <mergeCell ref="B24:D24"/>
    <mergeCell ref="E24:F24"/>
    <mergeCell ref="G24:I24"/>
    <mergeCell ref="J24:K24"/>
    <mergeCell ref="L24:M24"/>
    <mergeCell ref="N21:O21"/>
    <mergeCell ref="P21:T24"/>
    <mergeCell ref="B22:C22"/>
    <mergeCell ref="D22:E22"/>
    <mergeCell ref="F22:G22"/>
    <mergeCell ref="H22:I22"/>
    <mergeCell ref="J22:K22"/>
    <mergeCell ref="L22:M22"/>
    <mergeCell ref="N22:O22"/>
    <mergeCell ref="B23:D23"/>
    <mergeCell ref="B21:C21"/>
    <mergeCell ref="D21:E21"/>
    <mergeCell ref="F21:G21"/>
    <mergeCell ref="H21:I21"/>
    <mergeCell ref="J21:K21"/>
    <mergeCell ref="L21:M21"/>
    <mergeCell ref="B19:T19"/>
    <mergeCell ref="B20:C20"/>
    <mergeCell ref="D20:E20"/>
    <mergeCell ref="F20:G20"/>
    <mergeCell ref="H20:I20"/>
    <mergeCell ref="J20:K20"/>
    <mergeCell ref="L20:M20"/>
    <mergeCell ref="N20:O20"/>
    <mergeCell ref="P20:T20"/>
    <mergeCell ref="B17:D18"/>
    <mergeCell ref="E17:I17"/>
    <mergeCell ref="J17:R17"/>
    <mergeCell ref="S17:T17"/>
    <mergeCell ref="E18:I18"/>
    <mergeCell ref="J18:R18"/>
    <mergeCell ref="S18:T18"/>
    <mergeCell ref="B14:D14"/>
    <mergeCell ref="E14:I14"/>
    <mergeCell ref="J14:R14"/>
    <mergeCell ref="S14:T14"/>
    <mergeCell ref="B15:D16"/>
    <mergeCell ref="E15:I16"/>
    <mergeCell ref="J15:R16"/>
    <mergeCell ref="S15:T16"/>
    <mergeCell ref="B12:D12"/>
    <mergeCell ref="E12:G12"/>
    <mergeCell ref="H12:I12"/>
    <mergeCell ref="J12:R12"/>
    <mergeCell ref="S12:T12"/>
    <mergeCell ref="B13:D13"/>
    <mergeCell ref="E13:G13"/>
    <mergeCell ref="H13:I13"/>
    <mergeCell ref="J13:R13"/>
    <mergeCell ref="S13:T13"/>
    <mergeCell ref="B10:D10"/>
    <mergeCell ref="F10:G10"/>
    <mergeCell ref="H10:I10"/>
    <mergeCell ref="J10:R10"/>
    <mergeCell ref="S10:T10"/>
    <mergeCell ref="B11:D11"/>
    <mergeCell ref="F11:G11"/>
    <mergeCell ref="H11:I11"/>
    <mergeCell ref="J11:R11"/>
    <mergeCell ref="S11:T11"/>
    <mergeCell ref="B8:D8"/>
    <mergeCell ref="F8:G8"/>
    <mergeCell ref="H8:I8"/>
    <mergeCell ref="J8:R8"/>
    <mergeCell ref="S8:T8"/>
    <mergeCell ref="B9:D9"/>
    <mergeCell ref="F9:G9"/>
    <mergeCell ref="H9:I9"/>
    <mergeCell ref="J9:R9"/>
    <mergeCell ref="S9:T9"/>
    <mergeCell ref="B6:D6"/>
    <mergeCell ref="F6:G6"/>
    <mergeCell ref="H6:I6"/>
    <mergeCell ref="J6:R6"/>
    <mergeCell ref="S6:T6"/>
    <mergeCell ref="B7:D7"/>
    <mergeCell ref="F7:G7"/>
    <mergeCell ref="H7:I7"/>
    <mergeCell ref="J7:R7"/>
    <mergeCell ref="S7:T7"/>
    <mergeCell ref="B2:T3"/>
    <mergeCell ref="B5:D5"/>
    <mergeCell ref="F5:G5"/>
    <mergeCell ref="H5:I5"/>
    <mergeCell ref="J5:R5"/>
    <mergeCell ref="S5:T5"/>
    <mergeCell ref="C4:S4"/>
  </mergeCells>
  <phoneticPr fontId="1" type="noConversion"/>
  <printOptions horizontalCentered="1" verticalCentered="1"/>
  <pageMargins left="0" right="0" top="0" bottom="0" header="0" footer="0"/>
  <pageSetup paperSize="9" scale="80" orientation="portrait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7</vt:i4>
      </vt:variant>
      <vt:variant>
        <vt:lpstr>命名范围</vt:lpstr>
      </vt:variant>
      <vt:variant>
        <vt:i4>1</vt:i4>
      </vt:variant>
    </vt:vector>
  </HeadingPairs>
  <TitlesOfParts>
    <vt:vector baseType="lpstr" size="8">
      <vt:lpstr>白班过程记录</vt:lpstr>
      <vt:lpstr>白班曲线</vt:lpstr>
      <vt:lpstr>夜班过程记录</vt:lpstr>
      <vt:lpstr>夜班曲线</vt:lpstr>
      <vt:lpstr>班组＆日生产过程运行质量考评表</vt:lpstr>
      <vt:lpstr>Sheet1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2026-04-22T08:29:25Z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