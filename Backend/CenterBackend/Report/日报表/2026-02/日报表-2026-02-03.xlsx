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AJ38" i="11" l="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<sst xmlns="http://schemas.openxmlformats.org/spreadsheetml/2006/main" count="1503" uniqueCount="462">
  <si>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</si>
  <si>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</si>
  <si>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</si>
  <si>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</si>
  <si>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</si>
  <si>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</si>
  <si>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</si>
  <si>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</si>
  <si>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</si>
  <si>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</si>
  <si>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</si>
  <si>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</si>
  <si>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</si>
  <si>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</si>
  <si>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</si>
  <si>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</si>
  <si>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</si>
  <si>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</si>
  <si>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</si>
  <si>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</si>
  <si>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</si>
  <si>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</si>
  <si>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</si>
  <si>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</si>
  <si>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</si>
  <si>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</si>
  <si>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</si>
  <si>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</si>
  <si>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</si>
  <si>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</si>
  <si>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</si>
  <si>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</si>
  <si>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</si>
  <si>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</si>
  <si>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</si>
  <si>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</si>
  <si>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</si>
  <si>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</si>
  <si>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</si>
  <si>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</si>
  <si>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</si>
  <si>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</si>
  <si>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</si>
  <si>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</si>
  <si>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</si>
  <si>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</si>
  <si>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</si>
  <si>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</si>
  <si>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</si>
  <si>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</si>
  <si>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</si>
  <si>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</si>
  <si>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</si>
  <si>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</si>
  <si>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</si>
  <si>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</si>
  <si>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</si>
  <si>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</si>
  <si>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</si>
  <si>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</si>
  <si>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</si>
  <si>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</si>
  <si>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</si>
  <si>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</si>
  <si>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</si>
  <si>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</si>
  <si>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</si>
  <si>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</si>
  <si>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</si>
  <si>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</si>
  <si>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</si>
  <si>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</si>
  <si>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</si>
  <si>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</si>
  <si>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</si>
  <si>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</si>
  <si>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</si>
  <si>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</si>
  <si>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</si>
  <si>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</si>
  <si>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</si>
  <si>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</si>
  <si>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</si>
  <si>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</si>
  <si>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</si>
  <si>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</si>
  <si>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</si>
  <si>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</si>
  <si>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</si>
  <si>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</si>
  <si>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</si>
  <si>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</si>
  <si>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</si>
  <si>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</si>
  <si>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</si>
  <si>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</si>
  <si>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</si>
  <si>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</si>
  <si>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</si>
  <si>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</si>
  <si>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</si>
  <si>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</si>
  <si>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</si>
  <si>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</si>
  <si>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</si>
  <si>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</si>
  <si>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</si>
  <si>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</si>
  <si>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</si>
  <si>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</si>
  <si>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</si>
  <si>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</si>
  <si>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</si>
  <si>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</si>
  <si>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</si>
  <si>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</si>
  <si>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</si>
  <si>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</si>
  <si>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</si>
  <si>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</si>
  <si>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</si>
  <si>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</si>
  <si>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</si>
  <si>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</si>
  <si>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</si>
  <si>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</si>
  <si>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</si>
  <si>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</si>
  <si>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</si>
  <si>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</si>
  <si>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</si>
  <si>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</si>
  <si>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</si>
  <si>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</si>
  <si>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</si>
  <si>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</si>
  <si>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</si>
  <si>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</si>
  <si>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</si>
  <si>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</si>
  <si>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</si>
  <si>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</si>
  <si>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</si>
  <si>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</si>
  <si>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</si>
  <si>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</si>
  <si>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</si>
  <si>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</si>
  <si>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</si>
  <si>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</si>
  <si>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</si>
  <si>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</si>
  <si>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</si>
  <si>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</si>
  <si>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</si>
  <si>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</si>
  <si>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</si>
  <si>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</si>
  <si>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</si>
  <si>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</si>
  <si>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</si>
  <si>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</si>
  <si>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</si>
  <si>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</si>
  <si>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</si>
  <si>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</si>
  <si>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</si>
  <si>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</si>
  <si>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</si>
  <si>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</si>
  <si>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</si>
  <si>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</si>
  <si>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</si>
  <si>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</si>
  <si>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</si>
  <si>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</si>
  <si>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</si>
  <si>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</si>
  <si>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</si>
  <si>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</si>
  <si>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</si>
  <si>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</si>
  <si>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</si>
  <si>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</si>
  <si>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</si>
  <si>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</si>
  <si>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</si>
  <si>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</si>
  <si>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</si>
  <si>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</si>
  <si>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</si>
  <si>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</si>
  <si>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</si>
  <si>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</si>
  <si>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</si>
  <si>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</si>
  <si>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</si>
  <si>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</si>
  <si>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</si>
  <si>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</si>
  <si>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</si>
  <si>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</si>
  <si>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</si>
  <si>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</si>
  <si>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</si>
  <si>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</si>
  <si>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</si>
  <si>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</si>
  <si>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</si>
  <si>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</si>
  <si>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</si>
  <si>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</si>
  <si>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</si>
  <si>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</si>
  <si>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</si>
  <si>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</si>
  <si>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</si>
  <si>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</si>
  <si>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</si>
  <si>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</si>
  <si>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</si>
  <si>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</si>
  <si>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</si>
  <si>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</si>
  <si>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</si>
  <si>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</si>
  <si>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</si>
  <si>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</si>
  <si>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</si>
  <si>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</si>
  <si>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</si>
  <si>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</si>
  <si>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</si>
  <si>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</si>
  <si>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</si>
  <si>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</si>
  <si>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</si>
  <si>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</si>
  <si>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</si>
  <si>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</si>
  <si>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</si>
  <si>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</si>
  <si>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</si>
  <si>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</si>
  <si>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</si>
  <si>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</si>
  <si>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</si>
  <si>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</si>
  <si>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</si>
  <si>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</si>
  <si>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</si>
  <si>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</si>
  <si>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</si>
  <si>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</si>
  <si>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</si>
  <si>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</si>
  <si>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</si>
  <si>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</si>
  <si>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</si>
  <si>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</si>
  <si>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</si>
  <si>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</si>
  <si>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</si>
  <si>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</si>
  <si>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</si>
  <si>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</si>
  <si>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</si>
  <si>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</si>
  <si>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</si>
  <si>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</si>
  <si>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</si>
  <si>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</si>
  <si>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</si>
  <si>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</si>
  <si>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</si>
  <si>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</si>
  <si>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</si>
  <si>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</si>
  <si>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</si>
  <si>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</si>
  <si>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</si>
  <si>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</si>
  <si>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</si>
  <si>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</si>
  <si>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</si>
  <si>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</si>
  <si>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</si>
  <si>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</si>
  <si>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</si>
  <si>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</si>
  <si>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</si>
  <si>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</si>
  <si>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</si>
  <si>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</si>
  <si>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</si>
  <si>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</si>
  <si>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</si>
  <si>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</si>
  <si>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</si>
  <si>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</si>
  <si>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</si>
  <si>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</si>
  <si>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</si>
  <si>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</si>
  <si>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</si>
  <si>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</si>
  <si>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</si>
  <si>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</si>
  <si>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</si>
  <si>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</si>
  <si>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</si>
  <si>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</si>
  <si>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</si>
  <si>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</si>
  <si>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</si>
  <si>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</si>
  <si>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</si>
  <si>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</si>
  <si>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</si>
  <si>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</si>
  <si>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</si>
  <si>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</si>
  <si>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</si>
  <si>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</si>
  <si>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</si>
  <si>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</si>
  <si>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</si>
  <si>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</si>
  <si>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</si>
  <si>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</si>
  <si>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</si>
  <si>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</si>
  <si>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</si>
  <si>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</si>
  <si>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</si>
  <si>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</si>
  <si>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</si>
  <si>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</si>
  <si>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0.515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</si>
  <si>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</si>
  <si>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</si>
  <si>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</si>
  <si>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</si>
  <si>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</si>
  <si>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</si>
  <si>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</si>
  <si>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</si>
  <si>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</si>
  <si>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</si>
  <si>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</si>
  <si>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</si>
  <si>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</si>
  <si>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</si>
  <si>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</si>
  <si>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</si>
  <si>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</si>
  <si>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</si>
  <si>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</si>
  <si>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</si>
  <si>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</si>
  <si>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</si>
  <si>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</si>
  <si>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</si>
  <si>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</si>
  <si>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</si>
  <si>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</si>
  <si>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</si>
  <si>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</si>
  <si>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</si>
  <si>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</si>
  <si>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</si>
  <si>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</si>
  <si>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</si>
  <si>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</si>
  <si>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</si>
  <si>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</si>
  <si>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</si>
  <si>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</si>
  <si>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</si>
  <si>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</si>
  <si>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</si>
  <si>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</si>
  <si>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</si>
  <si>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</si>
  <si>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</si>
  <si>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</si>
  <si>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</si>
  <si>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</si>
  <si>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</si>
  <si>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</si>
  <si>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</si>
  <si>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</si>
  <si>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</si>
  <si>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</si>
  <si>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</si>
  <si>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</si>
  <si>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</si>
  <si>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</si>
  <si>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</si>
  <si>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</si>
  <si>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</si>
  <si>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</si>
  <si>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</si>
  <si>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</si>
  <si>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</si>
  <si>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</si>
  <si>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</si>
  <si>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</si>
  <si>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</si>
  <si>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和邦生物化工研究院
二乙腈中试装置责任目标一级考核日考评表</t>
    <phoneticPr fontId="1" type="noConversion"/>
  </si>
  <si>
    <t xml:space="preserve">一、核心工艺指标</t>
    <phoneticPr fontId="1" type="noConversion"/>
  </si>
  <si>
    <t xml:space="preserve">班次</t>
    <phoneticPr fontId="1" type="noConversion"/>
  </si>
  <si>
    <t xml:space="preserve">目标
合格率</t>
    <phoneticPr fontId="1" type="noConversion"/>
  </si>
  <si>
    <t xml:space="preserve">实际
合格率</t>
    <phoneticPr fontId="1" type="noConversion"/>
  </si>
  <si>
    <t xml:space="preserve">督查情况</t>
    <phoneticPr fontId="1" type="noConversion"/>
  </si>
  <si>
    <t xml:space="preserve"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</si>
  <si>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1" type="noConversion"/>
  </si>
  <si>
    <t xml:space="preserve">全天</t>
    <phoneticPr fontId="1" type="noConversion"/>
  </si>
  <si>
    <t xml:space="preserve">≥98%</t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</si>
  <si>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</si>
  <si>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1" type="noConversion"/>
  </si>
  <si>
    <t xml:space="preserve"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</si>
  <si>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</si>
  <si>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1" type="noConversion"/>
  </si>
  <si>
    <t xml:space="preserve">三、收率</t>
    <phoneticPr fontId="1" type="noConversion"/>
  </si>
  <si>
    <t xml:space="preserve">责任目标</t>
    <phoneticPr fontId="1" type="noConversion"/>
  </si>
  <si>
    <t xml:space="preserve"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</si>
  <si>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1" type="noConversion"/>
  </si>
  <si>
    <t xml:space="preserve">≥90%</t>
    <phoneticPr fontId="1" type="noConversion"/>
  </si>
  <si>
    <t xml:space="preserve">四、安全环保指标</t>
    <phoneticPr fontId="1" type="noConversion"/>
  </si>
  <si>
    <t xml:space="preserve">安全环保有无异常情况</t>
    <phoneticPr fontId="1" type="noConversion"/>
  </si>
  <si>
    <t xml:space="preserve">二乙腈中试
安全环保状况</t>
    <phoneticPr fontId="1" type="noConversion"/>
  </si>
  <si>
    <t xml:space="preserve">五、合计得分</t>
    <phoneticPr fontId="1" type="noConversion"/>
  </si>
  <si>
    <t xml:space="preserve">考核单元</t>
    <phoneticPr fontId="1" type="noConversion"/>
  </si>
  <si>
    <t xml:space="preserve">合计
得分</t>
    <phoneticPr fontId="1" type="noConversion"/>
  </si>
  <si>
    <t xml:space="preserve">二乙腈中试装置</t>
    <phoneticPr fontId="1" type="noConversion"/>
  </si>
  <si>
    <t xml:space="preserve">产量/质量情况简报</t>
    <phoneticPr fontId="1" type="noConversion"/>
  </si>
  <si>
    <t xml:space="preserve">当日总产量</t>
    <phoneticPr fontId="1" type="noConversion"/>
  </si>
  <si>
    <t xml:space="preserve">折百产量</t>
    <phoneticPr fontId="1" type="noConversion"/>
  </si>
  <si>
    <t xml:space="preserve">同比增加</t>
    <phoneticPr fontId="1" type="noConversion"/>
  </si>
  <si>
    <t xml:space="preserve">同比减少</t>
    <phoneticPr fontId="1" type="noConversion"/>
  </si>
  <si>
    <t xml:space="preserve">综合含量</t>
    <phoneticPr fontId="1" type="noConversion"/>
  </si>
  <si>
    <t xml:space="preserve">水分含量</t>
    <phoneticPr fontId="1" type="noConversion"/>
  </si>
  <si>
    <t xml:space="preserve">未知物含量</t>
    <phoneticPr fontId="1" type="noConversion"/>
  </si>
  <si>
    <t xml:space="preserve">其他事项说明</t>
    <phoneticPr fontId="1" type="noConversion"/>
  </si>
  <si>
    <t xml:space="preserve">Kg</t>
  </si>
  <si>
    <t xml:space="preserve">Kg</t>
    <phoneticPr fontId="1" type="noConversion"/>
  </si>
  <si>
    <t xml:space="preserve">呈报人：</t>
    <phoneticPr fontId="1" type="noConversion"/>
  </si>
  <si>
    <t xml:space="preserve">督查人：</t>
    <phoneticPr fontId="1" type="noConversion"/>
  </si>
  <si>
    <t xml:space="preserve">考评人：</t>
    <phoneticPr fontId="1" type="noConversion"/>
  </si>
  <si>
    <t xml:space="preserve">呈报单位负责人：</t>
    <phoneticPr fontId="1" type="noConversion"/>
  </si>
  <si>
    <t xml:space="preserve">督查办负责人：</t>
    <phoneticPr fontId="1" type="noConversion"/>
  </si>
  <si>
    <t xml:space="preserve">考评办负责人：</t>
    <phoneticPr fontId="1" type="noConversion"/>
  </si>
  <si>
    <t xml:space="preserve">编号：HB/ZS26-01</t>
    <phoneticPr fontId="1" type="noConversion"/>
  </si>
  <si>
    <t xml:space="preserve">日期: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</si>
  <si>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</si>
  <si>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</si>
  <si>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</si>
  <si>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</si>
  <si>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</si>
  <si>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2026-02-03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</si>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</sst>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4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FF0000"/>
      <name val="Times New Roman"/>
      <family val="1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6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/>
    <xf numFmtId="0" fontId="28" fillId="0" borderId="0" xfId="0" applyFont="1"/>
    <xf numFmtId="0" fontId="30" fillId="0" borderId="2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27" fillId="0" borderId="0" xfId="0" applyFont="1"/>
    <xf numFmtId="0" fontId="27" fillId="0" borderId="82" xfId="0" applyFont="1" applyBorder="1"/>
    <xf numFmtId="0" fontId="29" fillId="0" borderId="83" xfId="0" applyFont="1" applyBorder="1"/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101" xfId="0" applyFont="1" applyFill="1" applyBorder="1" applyAlignment="1">
      <alignment horizontal="center" vertical="center"/>
    </xf>
    <xf numFmtId="49" fontId="19" fillId="4" borderId="102" xfId="0" applyNumberFormat="1" applyFont="1" applyFill="1" applyBorder="1" applyAlignment="1">
      <alignment horizontal="center" vertical="center" wrapText="1"/>
    </xf>
    <xf numFmtId="176" fontId="41" fillId="0" borderId="4" xfId="0" applyNumberFormat="1" applyFont="1" applyBorder="1" applyAlignment="1">
      <alignment horizontal="center" vertical="center" wrapText="1"/>
    </xf>
    <xf numFmtId="176" fontId="42" fillId="0" borderId="4" xfId="0" applyNumberFormat="1" applyFont="1" applyBorder="1" applyAlignment="1">
      <alignment horizontal="center" vertical="center" wrapText="1"/>
    </xf>
    <xf numFmtId="176" fontId="42" fillId="0" borderId="47" xfId="0" applyNumberFormat="1" applyFont="1" applyBorder="1" applyAlignment="1">
      <alignment horizontal="center" vertical="center" wrapText="1"/>
    </xf>
    <xf numFmtId="176" fontId="42" fillId="0" borderId="5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77" fontId="41" fillId="0" borderId="4" xfId="0" applyNumberFormat="1" applyFont="1" applyBorder="1" applyAlignment="1">
      <alignment horizontal="center" vertical="center" wrapText="1"/>
    </xf>
    <xf numFmtId="177" fontId="41" fillId="0" borderId="47" xfId="0" applyNumberFormat="1" applyFont="1" applyBorder="1" applyAlignment="1">
      <alignment horizontal="center" vertical="center" wrapText="1"/>
    </xf>
    <xf numFmtId="177" fontId="41" fillId="0" borderId="51" xfId="0" applyNumberFormat="1" applyFont="1" applyBorder="1" applyAlignment="1">
      <alignment horizontal="center" vertical="center" wrapText="1"/>
    </xf>
    <xf numFmtId="177" fontId="41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41" fillId="0" borderId="30" xfId="0" applyNumberFormat="1" applyFont="1" applyBorder="1" applyAlignment="1">
      <alignment horizontal="center" vertical="center" wrapText="1"/>
    </xf>
    <xf numFmtId="177" fontId="41" fillId="0" borderId="48" xfId="0" applyNumberFormat="1" applyFont="1" applyBorder="1" applyAlignment="1">
      <alignment horizontal="center" vertical="center" wrapText="1"/>
    </xf>
    <xf numFmtId="177" fontId="41" fillId="0" borderId="52" xfId="0" applyNumberFormat="1" applyFont="1" applyBorder="1" applyAlignment="1">
      <alignment horizontal="center" vertical="center" wrapText="1"/>
    </xf>
    <xf numFmtId="177" fontId="41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1" fillId="0" borderId="12" xfId="0" applyNumberFormat="1" applyFont="1" applyBorder="1" applyAlignment="1">
      <alignment horizontal="center" vertical="center" wrapText="1"/>
    </xf>
    <xf numFmtId="177" fontId="42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41" fillId="0" borderId="45" xfId="0" applyNumberFormat="1" applyFont="1" applyBorder="1" applyAlignment="1">
      <alignment horizontal="center" vertical="center" wrapText="1"/>
    </xf>
    <xf numFmtId="177" fontId="42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42" fillId="0" borderId="47" xfId="0" applyNumberFormat="1" applyFont="1" applyBorder="1" applyAlignment="1">
      <alignment horizontal="center" vertical="center" wrapText="1"/>
    </xf>
    <xf numFmtId="177" fontId="42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42" fillId="0" borderId="48" xfId="0" applyNumberFormat="1" applyFont="1" applyBorder="1" applyAlignment="1">
      <alignment horizontal="center" vertical="center" wrapText="1"/>
    </xf>
    <xf numFmtId="177" fontId="42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21" fillId="0" borderId="48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34" fillId="0" borderId="94" xfId="0" applyFont="1" applyBorder="1" applyAlignment="1">
      <alignment horizontal="left" vertical="center"/>
    </xf>
    <xf numFmtId="0" fontId="21" fillId="0" borderId="97" xfId="0" applyFont="1" applyBorder="1" applyAlignment="1">
      <alignment horizontal="center" vertical="center" wrapText="1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69" xfId="0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9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39" fillId="0" borderId="72" xfId="0" applyNumberFormat="1" applyFont="1" applyBorder="1" applyAlignment="1">
      <alignment horizontal="center" vertical="center" wrapText="1"/>
    </xf>
    <xf numFmtId="0" fontId="40" fillId="0" borderId="62" xfId="0" applyFont="1" applyBorder="1" applyAlignment="1">
      <alignment horizontal="center" vertical="center" wrapText="1"/>
    </xf>
    <xf numFmtId="0" fontId="40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03" xfId="0" applyFont="1" applyBorder="1" applyAlignment="1">
      <alignment horizontal="center" vertical="center" wrapText="1"/>
    </xf>
    <xf numFmtId="0" fontId="0" fillId="0" borderId="104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24" fillId="0" borderId="81" xfId="0" applyFont="1" applyBorder="1" applyAlignment="1">
      <alignment horizontal="center" vertical="center" wrapText="1"/>
    </xf>
    <xf numFmtId="0" fontId="25" fillId="0" borderId="78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30" fillId="0" borderId="84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31" fillId="0" borderId="38" xfId="0" applyFont="1" applyBorder="1" applyAlignment="1">
      <alignment horizontal="left" vertical="center"/>
    </xf>
    <xf numFmtId="0" fontId="30" fillId="0" borderId="36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29" fillId="0" borderId="64" xfId="0" applyFont="1" applyBorder="1"/>
    <xf numFmtId="0" fontId="29" fillId="0" borderId="62" xfId="0" applyFont="1" applyBorder="1"/>
    <xf numFmtId="0" fontId="29" fillId="0" borderId="63" xfId="0" applyFont="1" applyBorder="1"/>
    <xf numFmtId="0" fontId="28" fillId="0" borderId="3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33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10" fontId="28" fillId="0" borderId="4" xfId="0" applyNumberFormat="1" applyFont="1" applyBorder="1" applyAlignment="1">
      <alignment horizontal="center" vertical="center"/>
    </xf>
    <xf numFmtId="10" fontId="29" fillId="0" borderId="4" xfId="0" applyNumberFormat="1" applyFont="1" applyBorder="1" applyAlignment="1">
      <alignment horizontal="center" vertical="center"/>
    </xf>
    <xf numFmtId="0" fontId="28" fillId="0" borderId="4" xfId="0" applyFont="1" applyBorder="1"/>
    <xf numFmtId="0" fontId="29" fillId="0" borderId="4" xfId="0" applyFont="1" applyBorder="1"/>
    <xf numFmtId="0" fontId="29" fillId="0" borderId="5" xfId="0" applyFont="1" applyBorder="1"/>
    <xf numFmtId="0" fontId="28" fillId="0" borderId="29" xfId="0" applyFont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0" fontId="33" fillId="0" borderId="30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8" fillId="0" borderId="30" xfId="0" applyFont="1" applyBorder="1"/>
    <xf numFmtId="0" fontId="29" fillId="0" borderId="30" xfId="0" applyFont="1" applyBorder="1"/>
    <xf numFmtId="0" fontId="29" fillId="0" borderId="31" xfId="0" applyFont="1" applyBorder="1"/>
    <xf numFmtId="0" fontId="28" fillId="0" borderId="85" xfId="0" applyFont="1" applyBorder="1" applyAlignment="1">
      <alignment horizontal="left" vertical="center"/>
    </xf>
    <xf numFmtId="0" fontId="29" fillId="0" borderId="57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9" fontId="28" fillId="0" borderId="39" xfId="0" applyNumberFormat="1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8" fillId="0" borderId="39" xfId="0" applyFont="1" applyBorder="1"/>
    <xf numFmtId="0" fontId="29" fillId="0" borderId="57" xfId="0" applyFont="1" applyBorder="1"/>
    <xf numFmtId="0" fontId="29" fillId="0" borderId="45" xfId="0" applyFont="1" applyBorder="1"/>
    <xf numFmtId="0" fontId="29" fillId="0" borderId="86" xfId="0" applyFont="1" applyBorder="1"/>
    <xf numFmtId="0" fontId="28" fillId="0" borderId="67" xfId="0" applyFont="1" applyBorder="1" applyAlignment="1">
      <alignment horizontal="left" vertical="center"/>
    </xf>
    <xf numFmtId="0" fontId="29" fillId="0" borderId="41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9" fontId="28" fillId="0" borderId="11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8" fillId="0" borderId="11" xfId="0" applyFont="1" applyBorder="1"/>
    <xf numFmtId="0" fontId="29" fillId="0" borderId="41" xfId="0" applyFont="1" applyBorder="1"/>
    <xf numFmtId="0" fontId="29" fillId="0" borderId="12" xfId="0" applyFont="1" applyBorder="1"/>
    <xf numFmtId="0" fontId="29" fillId="0" borderId="42" xfId="0" applyFont="1" applyBorder="1"/>
    <xf numFmtId="0" fontId="27" fillId="0" borderId="39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13" xfId="0" applyFont="1" applyBorder="1"/>
    <xf numFmtId="0" fontId="29" fillId="0" borderId="18" xfId="0" applyFont="1" applyBorder="1"/>
    <xf numFmtId="0" fontId="29" fillId="0" borderId="14" xfId="0" applyFont="1" applyBorder="1"/>
    <xf numFmtId="0" fontId="29" fillId="0" borderId="15" xfId="0" applyFont="1" applyBorder="1"/>
    <xf numFmtId="0" fontId="29" fillId="0" borderId="55" xfId="0" applyFont="1" applyBorder="1"/>
    <xf numFmtId="0" fontId="29" fillId="0" borderId="16" xfId="0" applyFont="1" applyBorder="1"/>
    <xf numFmtId="0" fontId="29" fillId="0" borderId="25" xfId="0" applyFont="1" applyBorder="1"/>
    <xf numFmtId="0" fontId="29" fillId="0" borderId="56" xfId="0" applyFont="1" applyBorder="1"/>
    <xf numFmtId="0" fontId="34" fillId="0" borderId="60" xfId="0" applyFont="1" applyBorder="1" applyAlignment="1">
      <alignment horizontal="left" vertical="center"/>
    </xf>
    <xf numFmtId="0" fontId="35" fillId="0" borderId="18" xfId="0" applyFont="1" applyBorder="1" applyAlignment="1">
      <alignment horizontal="left" vertical="center"/>
    </xf>
    <xf numFmtId="0" fontId="35" fillId="0" borderId="14" xfId="0" applyFont="1" applyBorder="1" applyAlignment="1">
      <alignment horizontal="left" vertical="center"/>
    </xf>
    <xf numFmtId="0" fontId="35" fillId="0" borderId="87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88" xfId="0" applyFont="1" applyBorder="1" applyAlignment="1">
      <alignment horizontal="left" vertical="center"/>
    </xf>
    <xf numFmtId="0" fontId="34" fillId="0" borderId="11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9" fillId="0" borderId="89" xfId="0" applyFont="1" applyBorder="1" applyAlignment="1">
      <alignment horizontal="center" vertical="center"/>
    </xf>
    <xf numFmtId="0" fontId="29" fillId="0" borderId="90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40" xfId="0" applyFont="1" applyBorder="1"/>
    <xf numFmtId="0" fontId="29" fillId="0" borderId="91" xfId="0" applyFont="1" applyBorder="1"/>
    <xf numFmtId="0" fontId="34" fillId="0" borderId="81" xfId="0" applyFont="1" applyBorder="1" applyAlignment="1">
      <alignment horizontal="center" vertical="center"/>
    </xf>
    <xf numFmtId="0" fontId="35" fillId="0" borderId="78" xfId="0" applyFont="1" applyBorder="1" applyAlignment="1">
      <alignment horizontal="center" vertical="center"/>
    </xf>
    <xf numFmtId="0" fontId="35" fillId="0" borderId="77" xfId="0" applyFont="1" applyBorder="1" applyAlignment="1">
      <alignment horizontal="center" vertical="center"/>
    </xf>
    <xf numFmtId="0" fontId="27" fillId="0" borderId="84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50" xfId="0" applyFont="1" applyBorder="1"/>
    <xf numFmtId="0" fontId="29" fillId="0" borderId="93" xfId="0" applyFont="1" applyBorder="1"/>
    <xf numFmtId="0" fontId="29" fillId="0" borderId="89" xfId="0" applyFont="1" applyBorder="1"/>
    <xf numFmtId="178" fontId="28" fillId="0" borderId="67" xfId="0" applyNumberFormat="1" applyFont="1" applyBorder="1" applyAlignment="1">
      <alignment horizontal="center" vertical="center"/>
    </xf>
    <xf numFmtId="178" fontId="29" fillId="0" borderId="12" xfId="0" applyNumberFormat="1" applyFont="1" applyBorder="1" applyAlignment="1">
      <alignment horizontal="center" vertical="center"/>
    </xf>
    <xf numFmtId="178" fontId="28" fillId="0" borderId="11" xfId="0" applyNumberFormat="1" applyFont="1" applyBorder="1" applyAlignment="1">
      <alignment horizontal="center" vertical="center"/>
    </xf>
    <xf numFmtId="178" fontId="29" fillId="0" borderId="54" xfId="0" applyNumberFormat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34" fillId="0" borderId="95" xfId="0" applyFont="1" applyBorder="1" applyAlignment="1">
      <alignment horizontal="left" vertical="center"/>
    </xf>
    <xf numFmtId="0" fontId="34" fillId="0" borderId="96" xfId="0" applyFont="1" applyBorder="1" applyAlignment="1">
      <alignment horizontal="left" vertical="center"/>
    </xf>
    <xf numFmtId="2" fontId="21" fillId="0" borderId="79" xfId="0" applyNumberFormat="1" applyFont="1" applyBorder="1" applyAlignment="1">
      <alignment horizontal="center" vertical="center" wrapText="1"/>
    </xf>
    <xf numFmtId="177" fontId="43" fillId="0" borderId="30" xfId="0" applyNumberFormat="1" applyFont="1" applyBorder="1" applyAlignment="1">
      <alignment horizontal="center" vertical="center" wrapText="1"/>
    </xf>
    <xf numFmtId="177" fontId="44" fillId="0" borderId="52" xfId="0" applyNumberFormat="1" applyFont="1" applyBorder="1" applyAlignment="1">
      <alignment horizontal="center" vertical="center" wrapText="1"/>
    </xf>
    <xf numFmtId="177" fontId="45" fillId="0" borderId="52" xfId="0" applyNumberFormat="1" applyFont="1" applyBorder="1" applyAlignment="1">
      <alignment horizontal="center" vertical="center" wrapText="1"/>
    </xf>
    <xf numFmtId="177" fontId="45" fillId="0" borderId="30" xfId="0" applyNumberFormat="1" applyFont="1" applyBorder="1" applyAlignment="1">
      <alignment horizontal="center" vertical="center" wrapText="1"/>
    </xf>
    <xf numFmtId="177" fontId="45" fillId="0" borderId="76" xfId="0" applyNumberFormat="1" applyFont="1" applyBorder="1" applyAlignment="1">
      <alignment horizontal="center" vertical="center" wrapText="1"/>
    </xf>
    <xf numFmtId="177" fontId="45" fillId="0" borderId="48" xfId="0" applyNumberFormat="1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2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1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5.vml" /><Relationship Id="rId3" Type="http://schemas.openxmlformats.org/officeDocument/2006/relationships/comments" Target="../comments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95" t="s">
        <v>227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</row>
    <row r="3" spans="2:47" ht="20.15" customHeight="1" x14ac:dyDescent="0.25">
      <c r="B3" s="197" t="s">
        <v>181</v>
      </c>
      <c r="C3" s="155" t="s">
        <v>163</v>
      </c>
      <c r="D3" s="205"/>
      <c r="E3" s="205"/>
      <c r="F3" s="205"/>
      <c r="G3" s="205"/>
      <c r="H3" s="206"/>
      <c r="I3" s="209" t="s">
        <v>8</v>
      </c>
      <c r="J3" s="205"/>
      <c r="K3" s="205"/>
      <c r="L3" s="205"/>
      <c r="M3" s="205"/>
      <c r="N3" s="205"/>
      <c r="O3" s="205"/>
      <c r="P3" s="210"/>
      <c r="Q3" s="155" t="s">
        <v>77</v>
      </c>
      <c r="R3" s="205"/>
      <c r="S3" s="210"/>
      <c r="T3" s="155" t="s">
        <v>10</v>
      </c>
      <c r="U3" s="205"/>
      <c r="V3" s="205"/>
      <c r="W3" s="210"/>
      <c r="X3" s="155" t="s">
        <v>80</v>
      </c>
      <c r="Y3" s="156"/>
      <c r="Z3" s="155" t="s">
        <v>11</v>
      </c>
      <c r="AA3" s="156"/>
      <c r="AB3" s="13" t="s">
        <v>13</v>
      </c>
      <c r="AC3" s="155" t="s">
        <v>14</v>
      </c>
      <c r="AD3" s="156"/>
      <c r="AE3" s="159" t="s">
        <v>88</v>
      </c>
      <c r="AF3" s="160"/>
      <c r="AG3" s="160"/>
      <c r="AH3" s="160"/>
      <c r="AI3" s="160"/>
      <c r="AJ3" s="160"/>
      <c r="AK3" s="161"/>
      <c r="AL3" s="155" t="s">
        <v>18</v>
      </c>
      <c r="AM3" s="201"/>
      <c r="AN3" s="202"/>
      <c r="AO3" s="201" t="s">
        <v>16</v>
      </c>
      <c r="AP3" s="201"/>
      <c r="AQ3" s="201"/>
      <c r="AR3" s="204"/>
    </row>
    <row r="4" spans="2:47" ht="30" customHeight="1" x14ac:dyDescent="0.25">
      <c r="B4" s="198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207" t="s">
        <v>62</v>
      </c>
      <c r="J4" s="208"/>
      <c r="K4" s="3" t="s">
        <v>6</v>
      </c>
      <c r="L4" s="3" t="s">
        <v>66</v>
      </c>
      <c r="M4" s="3" t="s">
        <v>164</v>
      </c>
      <c r="N4" s="3" t="s">
        <v>165</v>
      </c>
      <c r="O4" s="162" t="s">
        <v>7</v>
      </c>
      <c r="P4" s="163"/>
      <c r="Q4" s="200" t="s">
        <v>71</v>
      </c>
      <c r="R4" s="163"/>
      <c r="S4" s="3" t="s">
        <v>51</v>
      </c>
      <c r="T4" s="3" t="s">
        <v>75</v>
      </c>
      <c r="U4" s="200" t="s">
        <v>78</v>
      </c>
      <c r="V4" s="163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57" t="s">
        <v>89</v>
      </c>
      <c r="AF4" s="158"/>
      <c r="AG4" s="157" t="s">
        <v>92</v>
      </c>
      <c r="AH4" s="158"/>
      <c r="AI4" s="10" t="s">
        <v>166</v>
      </c>
      <c r="AJ4" s="10" t="s">
        <v>167</v>
      </c>
      <c r="AK4" s="11" t="s">
        <v>115</v>
      </c>
      <c r="AL4" s="200" t="s">
        <v>110</v>
      </c>
      <c r="AM4" s="163"/>
      <c r="AN4" s="29" t="s">
        <v>111</v>
      </c>
      <c r="AO4" s="26" t="s">
        <v>12</v>
      </c>
      <c r="AP4" s="3" t="s">
        <v>1</v>
      </c>
      <c r="AQ4" s="176" t="s">
        <v>161</v>
      </c>
      <c r="AR4" s="203"/>
      <c r="AU4" s="20"/>
    </row>
    <row r="5" spans="2:47" ht="20.15" customHeight="1" x14ac:dyDescent="0.25">
      <c r="B5" s="199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455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104">
        <v>6.6333909034729</v>
      </c>
      <c r="D6" s="104">
        <v>18.006729125976562</v>
      </c>
      <c r="E6" s="104">
        <v>416.6593017578125</v>
      </c>
      <c r="F6" s="104"/>
      <c r="G6" s="104"/>
      <c r="H6" s="105">
        <v>413.5180969238281</v>
      </c>
      <c r="I6" s="106">
        <v>0</v>
      </c>
      <c r="J6" s="104"/>
      <c r="K6" s="104">
        <v>10.445599555969238</v>
      </c>
      <c r="L6" s="104">
        <v>0.17234520614147186</v>
      </c>
      <c r="M6" s="104">
        <v>8.783638000488281</v>
      </c>
      <c r="N6" s="104">
        <v>9.65711784362793</v>
      </c>
      <c r="O6" s="104">
        <v>0</v>
      </c>
      <c r="P6" s="104"/>
      <c r="Q6" s="104">
        <v>0.00061614322476089</v>
      </c>
      <c r="R6" s="104"/>
      <c r="S6" s="104">
        <v>8.651619911193848</v>
      </c>
      <c r="T6" s="104">
        <v>0.0178493894636631</v>
      </c>
      <c r="U6" s="104">
        <v>0</v>
      </c>
      <c r="V6" s="104"/>
      <c r="W6" s="104">
        <v>9.143518447875977</v>
      </c>
      <c r="X6" s="104">
        <v>1.2509210109710693</v>
      </c>
      <c r="Y6" s="104"/>
      <c r="Z6" s="104">
        <v>-0.0011574069503694773</v>
      </c>
      <c r="AA6" s="104">
        <v>9.497974395751953</v>
      </c>
      <c r="AB6" s="104">
        <v>12.53617000579834</v>
      </c>
      <c r="AC6" s="104">
        <v>-0.00629340298473835</v>
      </c>
      <c r="AD6" s="104">
        <v>9.700521469116211</v>
      </c>
      <c r="AE6" s="107">
        <v>11</v>
      </c>
      <c r="AF6" s="107">
        <v>12</v>
      </c>
      <c r="AG6" s="107">
        <v>13</v>
      </c>
      <c r="AH6" s="107">
        <v>14</v>
      </c>
      <c r="AI6" s="107">
        <v>15</v>
      </c>
      <c r="AJ6" s="107">
        <v>16</v>
      </c>
      <c r="AK6" s="107">
        <v>17</v>
      </c>
      <c r="AL6" s="104">
        <v>0</v>
      </c>
      <c r="AM6" s="108"/>
      <c r="AN6" s="109">
        <v>48.96556091308594</v>
      </c>
      <c r="AO6" s="110"/>
      <c r="AP6" s="111"/>
      <c r="AQ6" s="111">
        <v>0</v>
      </c>
      <c r="AR6" s="112"/>
    </row>
    <row r="7" spans="2:47" ht="13.5" customHeight="1" x14ac:dyDescent="0.25">
      <c r="B7" s="14">
        <v>0.375</v>
      </c>
      <c r="C7" s="104">
        <v>6.651474952697754</v>
      </c>
      <c r="D7" s="104">
        <v>18.028430938720703</v>
      </c>
      <c r="E7" s="104">
        <v>416.5232849121094</v>
      </c>
      <c r="F7" s="104">
        <v>0</v>
      </c>
      <c r="G7" s="104">
        <v>0</v>
      </c>
      <c r="H7" s="105">
        <v>413.5447082519531</v>
      </c>
      <c r="I7" s="106">
        <v>0</v>
      </c>
      <c r="J7" s="104">
        <v>0</v>
      </c>
      <c r="K7" s="104">
        <v>10.243060111999512</v>
      </c>
      <c r="L7" s="104">
        <v>0.17017510533332825</v>
      </c>
      <c r="M7" s="104">
        <v>9.00607681274414</v>
      </c>
      <c r="N7" s="104">
        <v>9.67881965637207</v>
      </c>
      <c r="O7" s="104">
        <v>0</v>
      </c>
      <c r="P7" s="104">
        <v>0</v>
      </c>
      <c r="Q7" s="104">
        <v>0.00029622239526361227</v>
      </c>
      <c r="R7" s="104">
        <v>0</v>
      </c>
      <c r="S7" s="104">
        <v>8.658853530883789</v>
      </c>
      <c r="T7" s="104">
        <v>0.016836659982800484</v>
      </c>
      <c r="U7" s="104">
        <v>0</v>
      </c>
      <c r="V7" s="104">
        <v>0</v>
      </c>
      <c r="W7" s="104">
        <v>9.1652193069458</v>
      </c>
      <c r="X7" s="104">
        <v>1.2509210109710693</v>
      </c>
      <c r="Y7" s="104" t="s">
        <v>82</v>
      </c>
      <c r="Z7" s="104">
        <v>-0.001215278054587543</v>
      </c>
      <c r="AA7" s="104">
        <v>9.440103530883789</v>
      </c>
      <c r="AB7" s="104">
        <v>12.037039756774902</v>
      </c>
      <c r="AC7" s="104">
        <v>-0.006365741137415171</v>
      </c>
      <c r="AD7" s="104">
        <v>9.592013359069824</v>
      </c>
      <c r="AE7" s="107">
        <v>11</v>
      </c>
      <c r="AF7" s="107">
        <v>12</v>
      </c>
      <c r="AG7" s="107">
        <v>13</v>
      </c>
      <c r="AH7" s="107">
        <v>14</v>
      </c>
      <c r="AI7" s="107">
        <v>15</v>
      </c>
      <c r="AJ7" s="107">
        <v>16</v>
      </c>
      <c r="AK7" s="107">
        <v>17</v>
      </c>
      <c r="AL7" s="104">
        <v>0</v>
      </c>
      <c r="AM7" s="108">
        <v>0</v>
      </c>
      <c r="AN7" s="109">
        <v>48.95109939575195</v>
      </c>
      <c r="AO7" s="110"/>
      <c r="AP7" s="111"/>
      <c r="AQ7" s="111">
        <v>0</v>
      </c>
      <c r="AR7" s="112">
        <v>0</v>
      </c>
    </row>
    <row r="8" spans="2:47" ht="13.5" customHeight="1" x14ac:dyDescent="0.25">
      <c r="B8" s="14">
        <v>0.41666666666666669</v>
      </c>
      <c r="C8" s="104">
        <v>6.741898059844971</v>
      </c>
      <c r="D8" s="104">
        <v>18.077259063720703</v>
      </c>
      <c r="E8" s="104">
        <v>416.5827941894531</v>
      </c>
      <c r="F8" s="104">
        <v>0</v>
      </c>
      <c r="G8" s="104">
        <v>0</v>
      </c>
      <c r="H8" s="105">
        <v>413.4158020019531</v>
      </c>
      <c r="I8" s="106">
        <v>0</v>
      </c>
      <c r="J8" s="104">
        <v>0</v>
      </c>
      <c r="K8" s="104">
        <v>10.279219627380371</v>
      </c>
      <c r="L8" s="104">
        <v>0.16890910267829895</v>
      </c>
      <c r="M8" s="104">
        <v>10.004340171813965</v>
      </c>
      <c r="N8" s="104">
        <v>10.04773998260498</v>
      </c>
      <c r="O8" s="104">
        <v>0</v>
      </c>
      <c r="P8" s="104">
        <v>0</v>
      </c>
      <c r="Q8" s="104">
        <v>1.6332869563484564E-05</v>
      </c>
      <c r="R8" s="104">
        <v>0.0009765625</v>
      </c>
      <c r="S8" s="104">
        <v>9.252025604248047</v>
      </c>
      <c r="T8" s="104">
        <v>0.040509261190891266</v>
      </c>
      <c r="U8" s="104">
        <v>0</v>
      </c>
      <c r="V8" s="104">
        <v>0</v>
      </c>
      <c r="W8" s="104">
        <v>9.837963104248047</v>
      </c>
      <c r="X8" s="104">
        <v>1.2509210109710693</v>
      </c>
      <c r="Y8" s="104" t="s">
        <v>82</v>
      </c>
      <c r="Z8" s="104">
        <v>-0.004803241230547428</v>
      </c>
      <c r="AA8" s="104">
        <v>10.235819816589355</v>
      </c>
      <c r="AB8" s="104">
        <v>11.68257999420166</v>
      </c>
      <c r="AC8" s="104">
        <v>-0.006474248133599758</v>
      </c>
      <c r="AD8" s="104">
        <v>9.649884223937988</v>
      </c>
      <c r="AE8" s="107">
        <v>11</v>
      </c>
      <c r="AF8" s="107">
        <v>12</v>
      </c>
      <c r="AG8" s="107">
        <v>13</v>
      </c>
      <c r="AH8" s="107">
        <v>14</v>
      </c>
      <c r="AI8" s="107">
        <v>15</v>
      </c>
      <c r="AJ8" s="107">
        <v>16</v>
      </c>
      <c r="AK8" s="107">
        <v>17</v>
      </c>
      <c r="AL8" s="104">
        <v>0</v>
      </c>
      <c r="AM8" s="108">
        <v>0</v>
      </c>
      <c r="AN8" s="109">
        <v>48.92940139770508</v>
      </c>
      <c r="AO8" s="110"/>
      <c r="AP8" s="111"/>
      <c r="AQ8" s="111">
        <v>0</v>
      </c>
      <c r="AR8" s="112">
        <v>0</v>
      </c>
    </row>
    <row r="9" spans="2:47" ht="13.5" customHeight="1" x14ac:dyDescent="0.25">
      <c r="B9" s="14">
        <v>0.45833333333333298</v>
      </c>
      <c r="C9" s="104">
        <v>6.8829569816589355</v>
      </c>
      <c r="D9" s="104">
        <v>18.10980987548828</v>
      </c>
      <c r="E9" s="104">
        <v>416.43389892578125</v>
      </c>
      <c r="F9" s="104">
        <v>0</v>
      </c>
      <c r="G9" s="104">
        <v>0</v>
      </c>
      <c r="H9" s="105">
        <v>413.3334045410156</v>
      </c>
      <c r="I9" s="106">
        <v>0</v>
      </c>
      <c r="J9" s="104">
        <v>0</v>
      </c>
      <c r="K9" s="104">
        <v>10.70602035522461</v>
      </c>
      <c r="L9" s="104">
        <v>0.1703559011220932</v>
      </c>
      <c r="M9" s="104">
        <v>11.762149810791016</v>
      </c>
      <c r="N9" s="104">
        <v>11.48727035522461</v>
      </c>
      <c r="O9" s="104">
        <v>0</v>
      </c>
      <c r="P9" s="104">
        <v>0</v>
      </c>
      <c r="Q9" s="104">
        <v>0.0004724276077467948</v>
      </c>
      <c r="R9" s="104">
        <v>0.0009765625</v>
      </c>
      <c r="S9" s="104">
        <v>11.08218002319336</v>
      </c>
      <c r="T9" s="104">
        <v>0.2760958969593048</v>
      </c>
      <c r="U9" s="104">
        <v>0</v>
      </c>
      <c r="V9" s="104">
        <v>0</v>
      </c>
      <c r="W9" s="104">
        <v>11.48727035522461</v>
      </c>
      <c r="X9" s="104">
        <v>1.2509210109710693</v>
      </c>
      <c r="Y9" s="104" t="s">
        <v>82</v>
      </c>
      <c r="Z9" s="104">
        <v>-0.00486111082136631</v>
      </c>
      <c r="AA9" s="104">
        <v>10.980899810791016</v>
      </c>
      <c r="AB9" s="104">
        <v>11.5378999710083</v>
      </c>
      <c r="AC9" s="104">
        <v>-0.006510416977107525</v>
      </c>
      <c r="AD9" s="104">
        <v>10.105609893798828</v>
      </c>
      <c r="AE9" s="107">
        <v>11</v>
      </c>
      <c r="AF9" s="107">
        <v>12</v>
      </c>
      <c r="AG9" s="107">
        <v>13</v>
      </c>
      <c r="AH9" s="107">
        <v>14</v>
      </c>
      <c r="AI9" s="107">
        <v>15</v>
      </c>
      <c r="AJ9" s="107">
        <v>16</v>
      </c>
      <c r="AK9" s="107">
        <v>17</v>
      </c>
      <c r="AL9" s="104">
        <v>0</v>
      </c>
      <c r="AM9" s="108">
        <v>0</v>
      </c>
      <c r="AN9" s="109">
        <v>48.9149284362793</v>
      </c>
      <c r="AO9" s="110"/>
      <c r="AP9" s="111"/>
      <c r="AQ9" s="111">
        <v>0</v>
      </c>
      <c r="AR9" s="112">
        <v>0</v>
      </c>
    </row>
    <row r="10" spans="2:47" ht="13.5" customHeight="1" x14ac:dyDescent="0.25">
      <c r="B10" s="14">
        <v>0.5</v>
      </c>
      <c r="C10" s="104">
        <v>6.966145992279053</v>
      </c>
      <c r="D10" s="104">
        <v>18.147790908813477</v>
      </c>
      <c r="E10" s="104">
        <v>416.0307922363281</v>
      </c>
      <c r="F10" s="104">
        <v>0</v>
      </c>
      <c r="G10" s="104">
        <v>0</v>
      </c>
      <c r="H10" s="105">
        <v>413.1601867675781</v>
      </c>
      <c r="I10" s="106">
        <v>0</v>
      </c>
      <c r="J10" s="104">
        <v>0</v>
      </c>
      <c r="K10" s="104">
        <v>11.41493034362793</v>
      </c>
      <c r="L10" s="104">
        <v>0.1713505983352661</v>
      </c>
      <c r="M10" s="104">
        <v>12.369790077209473</v>
      </c>
      <c r="N10" s="104">
        <v>12.659139633178711</v>
      </c>
      <c r="O10" s="104">
        <v>0</v>
      </c>
      <c r="P10" s="104">
        <v>0</v>
      </c>
      <c r="Q10" s="104">
        <v>1.2454600402859821E-17</v>
      </c>
      <c r="R10" s="104">
        <v>0</v>
      </c>
      <c r="S10" s="104">
        <v>12.16001033782959</v>
      </c>
      <c r="T10" s="104">
        <v>0.3417969048023224</v>
      </c>
      <c r="U10" s="104">
        <v>0</v>
      </c>
      <c r="V10" s="104">
        <v>0</v>
      </c>
      <c r="W10" s="104">
        <v>12.753179550170898</v>
      </c>
      <c r="X10" s="104">
        <v>1.2509210109710693</v>
      </c>
      <c r="Y10" s="104" t="s">
        <v>82</v>
      </c>
      <c r="Z10" s="104">
        <v>-0.005034721922129393</v>
      </c>
      <c r="AA10" s="104">
        <v>11.689809799194336</v>
      </c>
      <c r="AB10" s="104">
        <v>11.639180183410645</v>
      </c>
      <c r="AC10" s="104">
        <v>-0.006546585820615292</v>
      </c>
      <c r="AD10" s="104">
        <v>10.807290077209473</v>
      </c>
      <c r="AE10" s="107">
        <v>11</v>
      </c>
      <c r="AF10" s="107">
        <v>12</v>
      </c>
      <c r="AG10" s="107">
        <v>13</v>
      </c>
      <c r="AH10" s="107">
        <v>14</v>
      </c>
      <c r="AI10" s="107">
        <v>15</v>
      </c>
      <c r="AJ10" s="107">
        <v>16</v>
      </c>
      <c r="AK10" s="107">
        <v>17</v>
      </c>
      <c r="AL10" s="104">
        <v>0</v>
      </c>
      <c r="AM10" s="108">
        <v>0</v>
      </c>
      <c r="AN10" s="109">
        <v>48.90045928955078</v>
      </c>
      <c r="AO10" s="110"/>
      <c r="AP10" s="111"/>
      <c r="AQ10" s="111">
        <v>0</v>
      </c>
      <c r="AR10" s="112">
        <v>0</v>
      </c>
    </row>
    <row r="11" spans="2:47" ht="13.5" customHeight="1" x14ac:dyDescent="0.25">
      <c r="B11" s="14">
        <v>0.54166666666666696</v>
      </c>
      <c r="C11" s="104">
        <v>7.4291090965271</v>
      </c>
      <c r="D11" s="104">
        <v>18.136940002441406</v>
      </c>
      <c r="E11" s="104">
        <v>415.1249084472656</v>
      </c>
      <c r="F11" s="104">
        <v>0</v>
      </c>
      <c r="G11" s="104">
        <v>0</v>
      </c>
      <c r="H11" s="105">
        <v>412.589599609375</v>
      </c>
      <c r="I11" s="106">
        <v>0</v>
      </c>
      <c r="J11" s="104">
        <v>0</v>
      </c>
      <c r="K11" s="104">
        <v>12.239580154418945</v>
      </c>
      <c r="L11" s="104">
        <v>0.17496749758720398</v>
      </c>
      <c r="M11" s="104">
        <v>16.151260375976562</v>
      </c>
      <c r="N11" s="104">
        <v>16.688369750976562</v>
      </c>
      <c r="O11" s="104">
        <v>0</v>
      </c>
      <c r="P11" s="104">
        <v>0</v>
      </c>
      <c r="Q11" s="104">
        <v>2.0640260345317074E-07</v>
      </c>
      <c r="R11" s="104">
        <v>0</v>
      </c>
      <c r="S11" s="104">
        <v>17.245370864868164</v>
      </c>
      <c r="T11" s="104">
        <v>0.3585068881511688</v>
      </c>
      <c r="U11" s="104">
        <v>0</v>
      </c>
      <c r="V11" s="104">
        <v>0</v>
      </c>
      <c r="W11" s="104">
        <v>16.50752067565918</v>
      </c>
      <c r="X11" s="104">
        <v>1.2509210109710693</v>
      </c>
      <c r="Y11" s="104" t="s">
        <v>82</v>
      </c>
      <c r="Z11" s="104">
        <v>-0.005208333022892475</v>
      </c>
      <c r="AA11" s="104">
        <v>13.078700065612793</v>
      </c>
      <c r="AB11" s="104">
        <v>11.885129928588867</v>
      </c>
      <c r="AC11" s="104">
        <v>-0.006510416977107525</v>
      </c>
      <c r="AD11" s="104">
        <v>11.747690200805664</v>
      </c>
      <c r="AE11" s="107">
        <v>11</v>
      </c>
      <c r="AF11" s="107">
        <v>12</v>
      </c>
      <c r="AG11" s="107">
        <v>13</v>
      </c>
      <c r="AH11" s="107">
        <v>14</v>
      </c>
      <c r="AI11" s="107">
        <v>15</v>
      </c>
      <c r="AJ11" s="107">
        <v>16</v>
      </c>
      <c r="AK11" s="107">
        <v>17</v>
      </c>
      <c r="AL11" s="104">
        <v>0</v>
      </c>
      <c r="AM11" s="108">
        <v>0</v>
      </c>
      <c r="AN11" s="109">
        <v>48.89323043823242</v>
      </c>
      <c r="AO11" s="110"/>
      <c r="AP11" s="111"/>
      <c r="AQ11" s="111">
        <v>0</v>
      </c>
      <c r="AR11" s="112">
        <v>0</v>
      </c>
    </row>
    <row r="12" spans="2:47" ht="13.5" customHeight="1" x14ac:dyDescent="0.25">
      <c r="B12" s="14">
        <v>0.58333333333333304</v>
      </c>
      <c r="C12" s="104">
        <v>7.472510814666748</v>
      </c>
      <c r="D12" s="104">
        <v>18.180339813232422</v>
      </c>
      <c r="E12" s="104">
        <v>414.0400085449219</v>
      </c>
      <c r="F12" s="104">
        <v>0</v>
      </c>
      <c r="G12" s="104">
        <v>0</v>
      </c>
      <c r="H12" s="105">
        <v>412.5237121582031</v>
      </c>
      <c r="I12" s="106">
        <v>0</v>
      </c>
      <c r="J12" s="104">
        <v>0</v>
      </c>
      <c r="K12" s="104">
        <v>13.859950065612793</v>
      </c>
      <c r="L12" s="104">
        <v>0.17804180085659027</v>
      </c>
      <c r="M12" s="104">
        <v>16.889110565185547</v>
      </c>
      <c r="N12" s="104">
        <v>20.421009063720703</v>
      </c>
      <c r="O12" s="104">
        <v>0</v>
      </c>
      <c r="P12" s="104">
        <v>0</v>
      </c>
      <c r="Q12" s="104">
        <v>0.00012422319559846073</v>
      </c>
      <c r="R12" s="104">
        <v>0</v>
      </c>
      <c r="S12" s="104">
        <v>20.529510498046875</v>
      </c>
      <c r="T12" s="104">
        <v>0.3200230896472931</v>
      </c>
      <c r="U12" s="104">
        <v>0</v>
      </c>
      <c r="V12" s="104">
        <v>0</v>
      </c>
      <c r="W12" s="104">
        <v>19.83506965637207</v>
      </c>
      <c r="X12" s="104">
        <v>1.2509210109710693</v>
      </c>
      <c r="Y12" s="104" t="s">
        <v>82</v>
      </c>
      <c r="Z12" s="104">
        <v>-0.005324074998497963</v>
      </c>
      <c r="AA12" s="104">
        <v>15.451390266418457</v>
      </c>
      <c r="AB12" s="104">
        <v>12.398730278015137</v>
      </c>
      <c r="AC12" s="104">
        <v>-0.006474248133599758</v>
      </c>
      <c r="AD12" s="104">
        <v>12.94126033782959</v>
      </c>
      <c r="AE12" s="107">
        <v>11</v>
      </c>
      <c r="AF12" s="107">
        <v>12</v>
      </c>
      <c r="AG12" s="107">
        <v>13</v>
      </c>
      <c r="AH12" s="107">
        <v>14</v>
      </c>
      <c r="AI12" s="107">
        <v>15</v>
      </c>
      <c r="AJ12" s="107">
        <v>16</v>
      </c>
      <c r="AK12" s="107">
        <v>17</v>
      </c>
      <c r="AL12" s="104">
        <v>0</v>
      </c>
      <c r="AM12" s="108">
        <v>0</v>
      </c>
      <c r="AN12" s="109">
        <v>48.878761291503906</v>
      </c>
      <c r="AO12" s="110"/>
      <c r="AP12" s="111"/>
      <c r="AQ12" s="111">
        <v>0</v>
      </c>
      <c r="AR12" s="112">
        <v>0</v>
      </c>
    </row>
    <row r="13" spans="2:47" ht="13.5" customHeight="1" x14ac:dyDescent="0.25">
      <c r="B13" s="14">
        <v>0.625</v>
      </c>
      <c r="C13" s="104">
        <v>7.461660861968994</v>
      </c>
      <c r="D13" s="104">
        <v>18.147790908813477</v>
      </c>
      <c r="E13" s="104">
        <v>414.3111877441406</v>
      </c>
      <c r="F13" s="104">
        <v>0</v>
      </c>
      <c r="G13" s="104">
        <v>0</v>
      </c>
      <c r="H13" s="105">
        <v>413.01849365234375</v>
      </c>
      <c r="I13" s="106">
        <v>0</v>
      </c>
      <c r="J13" s="104">
        <v>0</v>
      </c>
      <c r="K13" s="104">
        <v>15.494790077209473</v>
      </c>
      <c r="L13" s="104">
        <v>0.17921729385852814</v>
      </c>
      <c r="M13" s="104">
        <v>15.684679985046387</v>
      </c>
      <c r="N13" s="104">
        <v>20.45718002319336</v>
      </c>
      <c r="O13" s="104">
        <v>0</v>
      </c>
      <c r="P13" s="104">
        <v>0</v>
      </c>
      <c r="Q13" s="104">
        <v>3.363439827808179E-05</v>
      </c>
      <c r="R13" s="104">
        <v>0.0009765625</v>
      </c>
      <c r="S13" s="104">
        <v>19.769960403442383</v>
      </c>
      <c r="T13" s="104">
        <v>0.3254666030406952</v>
      </c>
      <c r="U13" s="104">
        <v>0</v>
      </c>
      <c r="V13" s="104">
        <v>0</v>
      </c>
      <c r="W13" s="104">
        <v>22.1281795501709</v>
      </c>
      <c r="X13" s="104">
        <v>1.2509210109710693</v>
      </c>
      <c r="Y13" s="104" t="s">
        <v>82</v>
      </c>
      <c r="Z13" s="104">
        <v>-0.005266204010695219</v>
      </c>
      <c r="AA13" s="104">
        <v>16.55816078186035</v>
      </c>
      <c r="AB13" s="104">
        <v>13.302949905395508</v>
      </c>
      <c r="AC13" s="104">
        <v>-0.006438078824430704</v>
      </c>
      <c r="AD13" s="104">
        <v>14.301219940185547</v>
      </c>
      <c r="AE13" s="107">
        <v>11</v>
      </c>
      <c r="AF13" s="107">
        <v>12</v>
      </c>
      <c r="AG13" s="107">
        <v>13</v>
      </c>
      <c r="AH13" s="107">
        <v>14</v>
      </c>
      <c r="AI13" s="107">
        <v>15</v>
      </c>
      <c r="AJ13" s="107">
        <v>16</v>
      </c>
      <c r="AK13" s="107">
        <v>17</v>
      </c>
      <c r="AL13" s="104">
        <v>0</v>
      </c>
      <c r="AM13" s="108">
        <v>0</v>
      </c>
      <c r="AN13" s="109">
        <v>48.882381439208984</v>
      </c>
      <c r="AO13" s="110"/>
      <c r="AP13" s="111"/>
      <c r="AQ13" s="111">
        <v>0</v>
      </c>
      <c r="AR13" s="112">
        <v>0</v>
      </c>
    </row>
    <row r="14" spans="2:47" ht="13.5" customHeight="1" x14ac:dyDescent="0.25">
      <c r="B14" s="14">
        <v>0.66666666666666696</v>
      </c>
      <c r="C14" s="104">
        <v>7.154223918914795</v>
      </c>
      <c r="D14" s="104">
        <v>17.925350189208984</v>
      </c>
      <c r="E14" s="104">
        <v>414.99420166015625</v>
      </c>
      <c r="F14" s="104">
        <v>0</v>
      </c>
      <c r="G14" s="104">
        <v>0</v>
      </c>
      <c r="H14" s="105">
        <v>413.43438720703125</v>
      </c>
      <c r="I14" s="106">
        <v>0</v>
      </c>
      <c r="J14" s="104">
        <v>0</v>
      </c>
      <c r="K14" s="104">
        <v>15.85647964477539</v>
      </c>
      <c r="L14" s="104">
        <v>0.17740890383720398</v>
      </c>
      <c r="M14" s="104">
        <v>14.512800216674805</v>
      </c>
      <c r="N14" s="104">
        <v>17.5781307220459</v>
      </c>
      <c r="O14" s="104">
        <v>0</v>
      </c>
      <c r="P14" s="104">
        <v>0.02099609375</v>
      </c>
      <c r="Q14" s="104">
        <v>1.1386339648922217E-09</v>
      </c>
      <c r="R14" s="104">
        <v>0.004150390625</v>
      </c>
      <c r="S14" s="104">
        <v>18.11343002319336</v>
      </c>
      <c r="T14" s="104">
        <v>0.302680104970932</v>
      </c>
      <c r="U14" s="104">
        <v>0</v>
      </c>
      <c r="V14" s="104">
        <v>0</v>
      </c>
      <c r="W14" s="104">
        <v>19.04659080505371</v>
      </c>
      <c r="X14" s="104">
        <v>1.2509210109710693</v>
      </c>
      <c r="Y14" s="104" t="s">
        <v>82</v>
      </c>
      <c r="Z14" s="104">
        <v>-0.004398148972541094</v>
      </c>
      <c r="AA14" s="104">
        <v>17.057289123535156</v>
      </c>
      <c r="AB14" s="104">
        <v>13.852720260620117</v>
      </c>
      <c r="AC14" s="104">
        <v>-0.006510416977107525</v>
      </c>
      <c r="AD14" s="104">
        <v>14.973959922790527</v>
      </c>
      <c r="AE14" s="107">
        <v>11</v>
      </c>
      <c r="AF14" s="107">
        <v>12</v>
      </c>
      <c r="AG14" s="107">
        <v>13</v>
      </c>
      <c r="AH14" s="107">
        <v>14</v>
      </c>
      <c r="AI14" s="107">
        <v>15</v>
      </c>
      <c r="AJ14" s="107">
        <v>16</v>
      </c>
      <c r="AK14" s="107">
        <v>17</v>
      </c>
      <c r="AL14" s="104">
        <v>0</v>
      </c>
      <c r="AM14" s="108">
        <v>0</v>
      </c>
      <c r="AN14" s="109">
        <v>48.90045928955078</v>
      </c>
      <c r="AO14" s="110"/>
      <c r="AP14" s="111"/>
      <c r="AQ14" s="111">
        <v>0</v>
      </c>
      <c r="AR14" s="112">
        <v>0</v>
      </c>
    </row>
    <row r="15" spans="2:47" ht="13.5" customHeight="1" x14ac:dyDescent="0.25">
      <c r="B15" s="14">
        <v>0.70833333333333304</v>
      </c>
      <c r="C15" s="104">
        <v>7.1614580154418945</v>
      </c>
      <c r="D15" s="104">
        <v>17.881940841674805</v>
      </c>
      <c r="E15" s="104">
        <v>415.0364074707031</v>
      </c>
      <c r="F15" s="104">
        <v>0</v>
      </c>
      <c r="G15" s="104">
        <v>0</v>
      </c>
      <c r="H15" s="105">
        <v>413.3775939941406</v>
      </c>
      <c r="I15" s="106">
        <v>0</v>
      </c>
      <c r="J15" s="104">
        <v>0</v>
      </c>
      <c r="K15" s="104">
        <v>15.603300094604492</v>
      </c>
      <c r="L15" s="104">
        <v>0.176323801279068</v>
      </c>
      <c r="M15" s="104">
        <v>14.203559875488281</v>
      </c>
      <c r="N15" s="104">
        <v>23.271120071411133</v>
      </c>
      <c r="O15" s="104">
        <v>0</v>
      </c>
      <c r="P15" s="104">
        <v>0.091796875</v>
      </c>
      <c r="Q15" s="104">
        <v>7.104833343873906E-08</v>
      </c>
      <c r="R15" s="104">
        <v>0.041015625</v>
      </c>
      <c r="S15" s="104">
        <v>69.91464233398438</v>
      </c>
      <c r="T15" s="104">
        <v>0.3134404122829437</v>
      </c>
      <c r="U15" s="104">
        <v>0</v>
      </c>
      <c r="V15" s="104">
        <v>0</v>
      </c>
      <c r="W15" s="104">
        <v>33.05121994018555</v>
      </c>
      <c r="X15" s="104">
        <v>1.2509210109710693</v>
      </c>
      <c r="Y15" s="104" t="s">
        <v>82</v>
      </c>
      <c r="Z15" s="104">
        <v>-0.008738425560295582</v>
      </c>
      <c r="AA15" s="104">
        <v>22.366899490356445</v>
      </c>
      <c r="AB15" s="104">
        <v>56.42361068725586</v>
      </c>
      <c r="AC15" s="104">
        <v>-0.006474248133599758</v>
      </c>
      <c r="AD15" s="104">
        <v>37.39873123168945</v>
      </c>
      <c r="AE15" s="107">
        <v>11</v>
      </c>
      <c r="AF15" s="107">
        <v>12</v>
      </c>
      <c r="AG15" s="107">
        <v>13</v>
      </c>
      <c r="AH15" s="107">
        <v>14</v>
      </c>
      <c r="AI15" s="107">
        <v>15</v>
      </c>
      <c r="AJ15" s="107">
        <v>16</v>
      </c>
      <c r="AK15" s="107">
        <v>17</v>
      </c>
      <c r="AL15" s="104">
        <v>0</v>
      </c>
      <c r="AM15" s="108">
        <v>0</v>
      </c>
      <c r="AN15" s="109">
        <v>48.91130828857422</v>
      </c>
      <c r="AO15" s="110"/>
      <c r="AP15" s="111"/>
      <c r="AQ15" s="111">
        <v>0</v>
      </c>
      <c r="AR15" s="112">
        <v>0</v>
      </c>
    </row>
    <row r="16" spans="2:47" ht="13.5" customHeight="1" x14ac:dyDescent="0.25">
      <c r="B16" s="14">
        <v>0.75</v>
      </c>
      <c r="C16" s="104">
        <v>6.955295085906982</v>
      </c>
      <c r="D16" s="104">
        <v>17.914499282836914</v>
      </c>
      <c r="E16" s="104">
        <v>415.08349609375</v>
      </c>
      <c r="F16" s="104">
        <v>0</v>
      </c>
      <c r="G16" s="104">
        <v>0</v>
      </c>
      <c r="H16" s="105">
        <v>413.48760986328125</v>
      </c>
      <c r="I16" s="106">
        <v>0</v>
      </c>
      <c r="J16" s="104">
        <v>0</v>
      </c>
      <c r="K16" s="104">
        <v>15.451390266418457</v>
      </c>
      <c r="L16" s="104">
        <v>0.17532910406589508</v>
      </c>
      <c r="M16" s="104">
        <v>13.964839935302734</v>
      </c>
      <c r="N16" s="104">
        <v>22.96006965637207</v>
      </c>
      <c r="O16" s="104">
        <v>0</v>
      </c>
      <c r="P16" s="104">
        <v>0</v>
      </c>
      <c r="Q16" s="104">
        <v>0.0005226464127190411</v>
      </c>
      <c r="R16" s="104">
        <v>0.0009765625</v>
      </c>
      <c r="S16" s="104">
        <v>23.408559799194336</v>
      </c>
      <c r="T16" s="104">
        <v>0.3440755009651184</v>
      </c>
      <c r="U16" s="104">
        <v>0</v>
      </c>
      <c r="V16" s="104">
        <v>0</v>
      </c>
      <c r="W16" s="104">
        <v>19.097219467163086</v>
      </c>
      <c r="X16" s="104">
        <v>1.2509210109710693</v>
      </c>
      <c r="Y16" s="104" t="s">
        <v>82</v>
      </c>
      <c r="Z16" s="104">
        <v>-0.009664352051913738</v>
      </c>
      <c r="AA16" s="104">
        <v>14.518230438232422</v>
      </c>
      <c r="AB16" s="104">
        <v>46.9039306640625</v>
      </c>
      <c r="AC16" s="104">
        <v>-0.006510416977107525</v>
      </c>
      <c r="AD16" s="104">
        <v>26.41058921813965</v>
      </c>
      <c r="AE16" s="107">
        <v>11</v>
      </c>
      <c r="AF16" s="107">
        <v>12</v>
      </c>
      <c r="AG16" s="107">
        <v>13</v>
      </c>
      <c r="AH16" s="107">
        <v>14</v>
      </c>
      <c r="AI16" s="107">
        <v>15</v>
      </c>
      <c r="AJ16" s="107">
        <v>16</v>
      </c>
      <c r="AK16" s="107">
        <v>17</v>
      </c>
      <c r="AL16" s="104">
        <v>0</v>
      </c>
      <c r="AM16" s="108">
        <v>0</v>
      </c>
      <c r="AN16" s="109">
        <v>48.918540954589844</v>
      </c>
      <c r="AO16" s="110"/>
      <c r="AP16" s="111"/>
      <c r="AQ16" s="111">
        <v>0</v>
      </c>
      <c r="AR16" s="112">
        <v>0</v>
      </c>
    </row>
    <row r="17" spans="2:44" ht="13.5" customHeight="1" x14ac:dyDescent="0.25">
      <c r="B17" s="14">
        <v>0.79166666666666696</v>
      </c>
      <c r="C17" s="104">
        <v>6.879340171813965</v>
      </c>
      <c r="D17" s="104">
        <v>17.990449905395508</v>
      </c>
      <c r="E17" s="104">
        <v>415.3262023925781</v>
      </c>
      <c r="F17" s="104">
        <v>0</v>
      </c>
      <c r="G17" s="104">
        <v>0</v>
      </c>
      <c r="H17" s="105">
        <v>413.45208740234375</v>
      </c>
      <c r="I17" s="106">
        <v>0</v>
      </c>
      <c r="J17" s="104">
        <v>0</v>
      </c>
      <c r="K17" s="104">
        <v>15.263310432434082</v>
      </c>
      <c r="L17" s="104">
        <v>0.17424410581588745</v>
      </c>
      <c r="M17" s="104">
        <v>13.199870109558105</v>
      </c>
      <c r="N17" s="104">
        <v>20.79715919494629</v>
      </c>
      <c r="O17" s="104">
        <v>0</v>
      </c>
      <c r="P17" s="104">
        <v>0</v>
      </c>
      <c r="Q17" s="104">
        <v>1.5330270386471057E-08</v>
      </c>
      <c r="R17" s="104">
        <v>0</v>
      </c>
      <c r="S17" s="104">
        <v>15.371820449829102</v>
      </c>
      <c r="T17" s="104">
        <v>0.34610098600387573</v>
      </c>
      <c r="U17" s="104">
        <v>0</v>
      </c>
      <c r="V17" s="104">
        <v>0</v>
      </c>
      <c r="W17" s="104">
        <v>15.32118034362793</v>
      </c>
      <c r="X17" s="104">
        <v>1.2509210109710693</v>
      </c>
      <c r="Y17" s="104" t="s">
        <v>82</v>
      </c>
      <c r="Z17" s="104">
        <v>-0.01001156959682703</v>
      </c>
      <c r="AA17" s="104">
        <v>13.469329833984375</v>
      </c>
      <c r="AB17" s="104">
        <v>41.34114074707031</v>
      </c>
      <c r="AC17" s="104">
        <v>-0.006546585820615292</v>
      </c>
      <c r="AD17" s="104">
        <v>20.261859893798828</v>
      </c>
      <c r="AE17" s="107">
        <v>11</v>
      </c>
      <c r="AF17" s="107">
        <v>12</v>
      </c>
      <c r="AG17" s="107">
        <v>13</v>
      </c>
      <c r="AH17" s="107">
        <v>14</v>
      </c>
      <c r="AI17" s="107">
        <v>15</v>
      </c>
      <c r="AJ17" s="107">
        <v>16</v>
      </c>
      <c r="AK17" s="107">
        <v>17</v>
      </c>
      <c r="AL17" s="104">
        <v>0</v>
      </c>
      <c r="AM17" s="108">
        <v>0</v>
      </c>
      <c r="AN17" s="109">
        <v>48.92940139770508</v>
      </c>
      <c r="AO17" s="110"/>
      <c r="AP17" s="111"/>
      <c r="AQ17" s="111">
        <v>0</v>
      </c>
      <c r="AR17" s="112">
        <v>0</v>
      </c>
    </row>
    <row r="18" spans="2:44" ht="13.5" customHeight="1" x14ac:dyDescent="0.25">
      <c r="B18" s="42">
        <v>0.83333333333333404</v>
      </c>
      <c r="C18" s="113">
        <v>6.810618877410889</v>
      </c>
      <c r="D18" s="113">
        <v>18.033859252929688</v>
      </c>
      <c r="E18" s="113">
        <v>415.47369384765625</v>
      </c>
      <c r="F18" s="113">
        <v>0</v>
      </c>
      <c r="G18" s="113">
        <v>0</v>
      </c>
      <c r="H18" s="114">
        <v>413.5354919433594</v>
      </c>
      <c r="I18" s="115">
        <v>0</v>
      </c>
      <c r="J18" s="113">
        <v>0</v>
      </c>
      <c r="K18" s="113">
        <v>14.836520195007324</v>
      </c>
      <c r="L18" s="113">
        <v>0.17252600193023682</v>
      </c>
      <c r="M18" s="113">
        <v>12.217880249023438</v>
      </c>
      <c r="N18" s="113">
        <v>18.52574920654297</v>
      </c>
      <c r="O18" s="113">
        <v>0</v>
      </c>
      <c r="P18" s="113">
        <v>0</v>
      </c>
      <c r="Q18" s="113">
        <v>6.22448297349365E-08</v>
      </c>
      <c r="R18" s="113">
        <v>0</v>
      </c>
      <c r="S18" s="113">
        <v>12.87615966796875</v>
      </c>
      <c r="T18" s="113">
        <v>0.3388853073120117</v>
      </c>
      <c r="U18" s="113">
        <v>0</v>
      </c>
      <c r="V18" s="113">
        <v>0</v>
      </c>
      <c r="W18" s="113">
        <v>13.534429550170898</v>
      </c>
      <c r="X18" s="113">
        <v>1.2509210109710693</v>
      </c>
      <c r="Y18" s="113"/>
      <c r="Z18" s="113">
        <v>-0.010069440118968487</v>
      </c>
      <c r="AA18" s="113">
        <v>12.557869911193848</v>
      </c>
      <c r="AB18" s="113">
        <v>36.588539123535156</v>
      </c>
      <c r="AC18" s="113">
        <v>-0.006510416977107525</v>
      </c>
      <c r="AD18" s="113">
        <v>16.81134033203125</v>
      </c>
      <c r="AE18" s="116">
        <v>11</v>
      </c>
      <c r="AF18" s="116">
        <v>12</v>
      </c>
      <c r="AG18" s="116">
        <v>13</v>
      </c>
      <c r="AH18" s="116">
        <v>14</v>
      </c>
      <c r="AI18" s="116">
        <v>15</v>
      </c>
      <c r="AJ18" s="116">
        <v>16</v>
      </c>
      <c r="AK18" s="116">
        <v>17</v>
      </c>
      <c r="AL18" s="113">
        <v>0</v>
      </c>
      <c r="AM18" s="117">
        <v>0</v>
      </c>
      <c r="AN18" s="118">
        <v>48.92940139770508</v>
      </c>
      <c r="AO18" s="110"/>
      <c r="AP18" s="111"/>
      <c r="AQ18" s="111">
        <v>0</v>
      </c>
      <c r="AR18" s="119">
        <v>0</v>
      </c>
    </row>
    <row r="19" spans="2:44" ht="18" customHeight="1" x14ac:dyDescent="0.25">
      <c r="B19" s="167" t="s">
        <v>181</v>
      </c>
      <c r="C19" s="36" t="s">
        <v>168</v>
      </c>
      <c r="D19" s="36" t="s">
        <v>171</v>
      </c>
      <c r="E19" s="182" t="s">
        <v>17</v>
      </c>
      <c r="F19" s="183"/>
      <c r="G19" s="184"/>
      <c r="H19" s="185" t="s">
        <v>108</v>
      </c>
      <c r="I19" s="183"/>
      <c r="J19" s="183"/>
      <c r="K19" s="183"/>
      <c r="L19" s="186"/>
      <c r="M19" s="187" t="s">
        <v>123</v>
      </c>
      <c r="N19" s="183"/>
      <c r="O19" s="183"/>
      <c r="P19" s="183"/>
      <c r="Q19" s="184"/>
      <c r="R19" s="185" t="s">
        <v>147</v>
      </c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4"/>
      <c r="AG19" s="188" t="s">
        <v>24</v>
      </c>
      <c r="AH19" s="184"/>
      <c r="AI19" s="164" t="s">
        <v>173</v>
      </c>
      <c r="AJ19" s="165"/>
      <c r="AK19" s="165"/>
      <c r="AL19" s="165"/>
      <c r="AM19" s="166"/>
      <c r="AN19" s="188" t="s">
        <v>47</v>
      </c>
      <c r="AO19" s="189"/>
      <c r="AP19" s="183" t="s">
        <v>180</v>
      </c>
      <c r="AQ19" s="190"/>
      <c r="AR19" s="191"/>
    </row>
    <row r="20" spans="2:44" ht="20.15" customHeight="1" x14ac:dyDescent="0.25">
      <c r="B20" s="168"/>
      <c r="C20" s="3" t="s">
        <v>169</v>
      </c>
      <c r="D20" s="3" t="s">
        <v>113</v>
      </c>
      <c r="E20" s="3" t="s">
        <v>15</v>
      </c>
      <c r="F20" s="162" t="s">
        <v>100</v>
      </c>
      <c r="G20" s="163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76" t="s">
        <v>148</v>
      </c>
      <c r="AE20" s="163"/>
      <c r="AF20" s="17" t="s">
        <v>151</v>
      </c>
      <c r="AG20" s="17" t="s">
        <v>153</v>
      </c>
      <c r="AH20" s="17" t="s">
        <v>155</v>
      </c>
      <c r="AI20" s="157" t="s">
        <v>89</v>
      </c>
      <c r="AJ20" s="158"/>
      <c r="AK20" s="157" t="s">
        <v>92</v>
      </c>
      <c r="AL20" s="158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8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104">
        <v>0.0868072509765625</v>
      </c>
      <c r="D22" s="104">
        <v>-0.1880798041820526</v>
      </c>
      <c r="E22" s="104">
        <v>23.719619750976562</v>
      </c>
      <c r="F22" s="104">
        <v>0</v>
      </c>
      <c r="G22" s="104"/>
      <c r="H22" s="104">
        <v>1</v>
      </c>
      <c r="I22" s="104">
        <v>2</v>
      </c>
      <c r="J22" s="104">
        <v>3</v>
      </c>
      <c r="K22" s="104">
        <v>4</v>
      </c>
      <c r="L22" s="105">
        <v>5</v>
      </c>
      <c r="M22" s="120">
        <v>0</v>
      </c>
      <c r="N22" s="104">
        <v>21.70500946044922</v>
      </c>
      <c r="O22" s="104">
        <v>0</v>
      </c>
      <c r="P22" s="104">
        <v>50</v>
      </c>
      <c r="Q22" s="104">
        <v>13.138890266418457</v>
      </c>
      <c r="R22" s="104">
        <v>27.473960876464844</v>
      </c>
      <c r="S22" s="121">
        <v>93.52213287353516</v>
      </c>
      <c r="T22" s="121">
        <v>50</v>
      </c>
      <c r="U22" s="121">
        <v>63.630279541015625</v>
      </c>
      <c r="V22" s="121">
        <v>19.032119750976562</v>
      </c>
      <c r="W22" s="121">
        <v>26.681859970092773</v>
      </c>
      <c r="X22" s="121">
        <v>30</v>
      </c>
      <c r="Y22" s="121">
        <v>70.27362060546875</v>
      </c>
      <c r="Z22" s="121">
        <v>21.15523910522461</v>
      </c>
      <c r="AA22" s="121">
        <v>26.269529342651367</v>
      </c>
      <c r="AB22" s="121"/>
      <c r="AC22" s="108"/>
      <c r="AD22" s="108">
        <v>0.0914713516831398</v>
      </c>
      <c r="AE22" s="108"/>
      <c r="AF22" s="108"/>
      <c r="AG22" s="108">
        <v>29.043689727783203</v>
      </c>
      <c r="AH22" s="108">
        <v>26</v>
      </c>
      <c r="AI22" s="122">
        <v>41</v>
      </c>
      <c r="AJ22" s="122">
        <v>42</v>
      </c>
      <c r="AK22" s="122">
        <v>43</v>
      </c>
      <c r="AL22" s="122">
        <v>44</v>
      </c>
      <c r="AM22" s="122">
        <v>45</v>
      </c>
      <c r="AN22" s="108">
        <v>50.70891189575195</v>
      </c>
      <c r="AO22" s="109">
        <v>33.45269012451172</v>
      </c>
      <c r="AP22" s="110">
        <v>11.203339576721191</v>
      </c>
      <c r="AQ22" s="111">
        <v>36.440250396728516</v>
      </c>
      <c r="AR22" s="112">
        <v>0.03255463019013405</v>
      </c>
    </row>
    <row r="23" spans="2:44" ht="13.5" customHeight="1" x14ac:dyDescent="0.25">
      <c r="B23" s="14">
        <v>0.375</v>
      </c>
      <c r="C23" s="104">
        <v>0.14467619359493256</v>
      </c>
      <c r="D23" s="104">
        <v>-0.20978550612926483</v>
      </c>
      <c r="E23" s="104">
        <v>23.969179153442383</v>
      </c>
      <c r="F23" s="104">
        <v>0</v>
      </c>
      <c r="G23" s="104">
        <v>0</v>
      </c>
      <c r="H23" s="104">
        <v>1</v>
      </c>
      <c r="I23" s="104">
        <v>2</v>
      </c>
      <c r="J23" s="104">
        <v>3</v>
      </c>
      <c r="K23" s="104">
        <v>4</v>
      </c>
      <c r="L23" s="105">
        <v>5</v>
      </c>
      <c r="M23" s="120">
        <v>0</v>
      </c>
      <c r="N23" s="104">
        <v>20.39569091796875</v>
      </c>
      <c r="O23" s="104">
        <v>0</v>
      </c>
      <c r="P23" s="104">
        <v>50</v>
      </c>
      <c r="Q23" s="104">
        <v>13.137149810791016</v>
      </c>
      <c r="R23" s="104">
        <v>23.97279930114746</v>
      </c>
      <c r="S23" s="121">
        <v>93.4389419555664</v>
      </c>
      <c r="T23" s="121">
        <v>50</v>
      </c>
      <c r="U23" s="121">
        <v>64.36469268798828</v>
      </c>
      <c r="V23" s="121">
        <v>16.059030532836914</v>
      </c>
      <c r="W23" s="121">
        <v>23.307289123535156</v>
      </c>
      <c r="X23" s="121">
        <v>30</v>
      </c>
      <c r="Y23" s="121">
        <v>70.27922821044922</v>
      </c>
      <c r="Z23" s="121">
        <v>18.538410186767578</v>
      </c>
      <c r="AA23" s="121">
        <v>22.835290908813477</v>
      </c>
      <c r="AB23" s="121"/>
      <c r="AC23" s="108"/>
      <c r="AD23" s="108">
        <v>1.5480690002441406</v>
      </c>
      <c r="AE23" s="108">
        <v>0.0007861938211135566</v>
      </c>
      <c r="AF23" s="108"/>
      <c r="AG23" s="108">
        <v>65.87818145751953</v>
      </c>
      <c r="AH23" s="108">
        <v>26</v>
      </c>
      <c r="AI23" s="122">
        <v>41</v>
      </c>
      <c r="AJ23" s="122">
        <v>42</v>
      </c>
      <c r="AK23" s="122">
        <v>43</v>
      </c>
      <c r="AL23" s="122">
        <v>44</v>
      </c>
      <c r="AM23" s="122">
        <v>45</v>
      </c>
      <c r="AN23" s="108">
        <v>49.82638931274414</v>
      </c>
      <c r="AO23" s="109">
        <v>33.4273681640625</v>
      </c>
      <c r="AP23" s="110">
        <v>10.959199905395508</v>
      </c>
      <c r="AQ23" s="111">
        <v>36.650028228759766</v>
      </c>
      <c r="AR23" s="112">
        <v>7.629395440744702E-06</v>
      </c>
    </row>
    <row r="24" spans="2:44" ht="13.5" customHeight="1" x14ac:dyDescent="0.25">
      <c r="B24" s="14">
        <v>0.41666666666666702</v>
      </c>
      <c r="C24" s="104">
        <v>0.13020320236682892</v>
      </c>
      <c r="D24" s="104">
        <v>-0.21701809763908386</v>
      </c>
      <c r="E24" s="104">
        <v>24.634689331054688</v>
      </c>
      <c r="F24" s="104">
        <v>0</v>
      </c>
      <c r="G24" s="104">
        <v>0</v>
      </c>
      <c r="H24" s="104">
        <v>1</v>
      </c>
      <c r="I24" s="104">
        <v>2</v>
      </c>
      <c r="J24" s="104">
        <v>3</v>
      </c>
      <c r="K24" s="104">
        <v>4</v>
      </c>
      <c r="L24" s="105">
        <v>5</v>
      </c>
      <c r="M24" s="120">
        <v>0</v>
      </c>
      <c r="N24" s="104">
        <v>19.679540634155273</v>
      </c>
      <c r="O24" s="104">
        <v>0</v>
      </c>
      <c r="P24" s="104">
        <v>50</v>
      </c>
      <c r="Q24" s="104">
        <v>13.135419845581055</v>
      </c>
      <c r="R24" s="104">
        <v>20.86949920654297</v>
      </c>
      <c r="S24" s="121">
        <v>89.93055725097656</v>
      </c>
      <c r="T24" s="121">
        <v>50</v>
      </c>
      <c r="U24" s="121">
        <v>0</v>
      </c>
      <c r="V24" s="121">
        <v>12.586810111999512</v>
      </c>
      <c r="W24" s="121">
        <v>138.8345947265625</v>
      </c>
      <c r="X24" s="121">
        <v>30</v>
      </c>
      <c r="Y24" s="121">
        <v>50.141780853271484</v>
      </c>
      <c r="Z24" s="121">
        <v>15.755209922790527</v>
      </c>
      <c r="AA24" s="121">
        <v>19.60177993774414</v>
      </c>
      <c r="AB24" s="121"/>
      <c r="AC24" s="108"/>
      <c r="AD24" s="108">
        <v>0</v>
      </c>
      <c r="AE24" s="108">
        <v>0.0007108764839358628</v>
      </c>
      <c r="AF24" s="108"/>
      <c r="AG24" s="108">
        <v>43.554691314697266</v>
      </c>
      <c r="AH24" s="108">
        <v>26</v>
      </c>
      <c r="AI24" s="122">
        <v>41</v>
      </c>
      <c r="AJ24" s="122">
        <v>42</v>
      </c>
      <c r="AK24" s="122">
        <v>43</v>
      </c>
      <c r="AL24" s="122">
        <v>44</v>
      </c>
      <c r="AM24" s="122">
        <v>45</v>
      </c>
      <c r="AN24" s="108">
        <v>49.29108810424805</v>
      </c>
      <c r="AO24" s="109">
        <v>37.51084899902344</v>
      </c>
      <c r="AP24" s="110">
        <v>10.986330032348633</v>
      </c>
      <c r="AQ24" s="111">
        <v>36.70790100097656</v>
      </c>
      <c r="AR24" s="112">
        <v>-0.02169799990952015</v>
      </c>
    </row>
    <row r="25" spans="2:44" ht="13.5" customHeight="1" x14ac:dyDescent="0.25">
      <c r="B25" s="14">
        <v>0.45833333333333298</v>
      </c>
      <c r="C25" s="104">
        <v>0.15914149582386017</v>
      </c>
      <c r="D25" s="104">
        <v>-0.23148350417613983</v>
      </c>
      <c r="E25" s="104">
        <v>26.33824920654297</v>
      </c>
      <c r="F25" s="104">
        <v>0</v>
      </c>
      <c r="G25" s="104">
        <v>0</v>
      </c>
      <c r="H25" s="104">
        <v>1</v>
      </c>
      <c r="I25" s="104">
        <v>2</v>
      </c>
      <c r="J25" s="104">
        <v>3</v>
      </c>
      <c r="K25" s="104">
        <v>4</v>
      </c>
      <c r="L25" s="105">
        <v>5</v>
      </c>
      <c r="M25" s="120">
        <v>0</v>
      </c>
      <c r="N25" s="104">
        <v>19.661460876464844</v>
      </c>
      <c r="O25" s="104">
        <v>0</v>
      </c>
      <c r="P25" s="104">
        <v>50</v>
      </c>
      <c r="Q25" s="104">
        <v>13.135419845581055</v>
      </c>
      <c r="R25" s="104">
        <v>18.44256019592285</v>
      </c>
      <c r="S25" s="121">
        <v>94.06466674804688</v>
      </c>
      <c r="T25" s="121">
        <v>0</v>
      </c>
      <c r="U25" s="121">
        <v>0</v>
      </c>
      <c r="V25" s="121">
        <v>11.37695026397705</v>
      </c>
      <c r="W25" s="121">
        <v>109.78730010986328</v>
      </c>
      <c r="X25" s="121">
        <v>25.397930145263672</v>
      </c>
      <c r="Y25" s="121">
        <v>59.504119873046875</v>
      </c>
      <c r="Z25" s="121">
        <v>14.252389907836914</v>
      </c>
      <c r="AA25" s="121">
        <v>17.442489624023438</v>
      </c>
      <c r="AB25" s="121"/>
      <c r="AC25" s="108"/>
      <c r="AD25" s="108">
        <v>0</v>
      </c>
      <c r="AE25" s="108">
        <v>0.0001854858419392258</v>
      </c>
      <c r="AF25" s="108"/>
      <c r="AG25" s="108">
        <v>53.03458023071289</v>
      </c>
      <c r="AH25" s="108">
        <v>26</v>
      </c>
      <c r="AI25" s="122">
        <v>41</v>
      </c>
      <c r="AJ25" s="122">
        <v>42</v>
      </c>
      <c r="AK25" s="122">
        <v>43</v>
      </c>
      <c r="AL25" s="122">
        <v>44</v>
      </c>
      <c r="AM25" s="122">
        <v>45</v>
      </c>
      <c r="AN25" s="108">
        <v>70.22569274902344</v>
      </c>
      <c r="AO25" s="109">
        <v>55.9281005859375</v>
      </c>
      <c r="AP25" s="110">
        <v>11.375140190124512</v>
      </c>
      <c r="AQ25" s="111">
        <v>36.65364074707031</v>
      </c>
      <c r="AR25" s="112">
        <v>-0.0325470007956028</v>
      </c>
    </row>
    <row r="26" spans="2:44" ht="13.5" customHeight="1" x14ac:dyDescent="0.25">
      <c r="B26" s="14">
        <v>0.5</v>
      </c>
      <c r="C26" s="104">
        <v>0.0868072509765625</v>
      </c>
      <c r="D26" s="104">
        <v>-0.23148350417613983</v>
      </c>
      <c r="E26" s="104">
        <v>27.021839141845703</v>
      </c>
      <c r="F26" s="104">
        <v>0</v>
      </c>
      <c r="G26" s="104">
        <v>0</v>
      </c>
      <c r="H26" s="104">
        <v>1</v>
      </c>
      <c r="I26" s="104">
        <v>2</v>
      </c>
      <c r="J26" s="104">
        <v>3</v>
      </c>
      <c r="K26" s="104">
        <v>4</v>
      </c>
      <c r="L26" s="105">
        <v>5</v>
      </c>
      <c r="M26" s="120">
        <v>0</v>
      </c>
      <c r="N26" s="104">
        <v>20.102720260620117</v>
      </c>
      <c r="O26" s="104">
        <v>0</v>
      </c>
      <c r="P26" s="104">
        <v>50</v>
      </c>
      <c r="Q26" s="104">
        <v>13.134550094604492</v>
      </c>
      <c r="R26" s="104">
        <v>17.078990936279297</v>
      </c>
      <c r="S26" s="121">
        <v>94.7735824584961</v>
      </c>
      <c r="T26" s="121">
        <v>0</v>
      </c>
      <c r="U26" s="121">
        <v>0</v>
      </c>
      <c r="V26" s="121">
        <v>9.217665672302246</v>
      </c>
      <c r="W26" s="121">
        <v>142.17120361328125</v>
      </c>
      <c r="X26" s="121">
        <v>35</v>
      </c>
      <c r="Y26" s="121">
        <v>82.90997314453125</v>
      </c>
      <c r="Z26" s="121">
        <v>14.6285400390625</v>
      </c>
      <c r="AA26" s="121">
        <v>16.617839813232422</v>
      </c>
      <c r="AB26" s="121"/>
      <c r="AC26" s="108"/>
      <c r="AD26" s="108">
        <v>0</v>
      </c>
      <c r="AE26" s="108">
        <v>0.0010036011226475239</v>
      </c>
      <c r="AF26" s="108"/>
      <c r="AG26" s="108">
        <v>58.12355041503906</v>
      </c>
      <c r="AH26" s="108">
        <v>26</v>
      </c>
      <c r="AI26" s="122">
        <v>41</v>
      </c>
      <c r="AJ26" s="122">
        <v>42</v>
      </c>
      <c r="AK26" s="122">
        <v>43</v>
      </c>
      <c r="AL26" s="122">
        <v>44</v>
      </c>
      <c r="AM26" s="122">
        <v>45</v>
      </c>
      <c r="AN26" s="108">
        <v>75.93315887451172</v>
      </c>
      <c r="AO26" s="109">
        <v>57.165069580078125</v>
      </c>
      <c r="AP26" s="110">
        <v>11.546950340270996</v>
      </c>
      <c r="AQ26" s="111">
        <v>36.66088104248047</v>
      </c>
      <c r="AR26" s="112">
        <v>-0.0325470007956028</v>
      </c>
    </row>
    <row r="27" spans="2:44" ht="13.5" customHeight="1" x14ac:dyDescent="0.25">
      <c r="B27" s="14">
        <v>0.54166666666666596</v>
      </c>
      <c r="C27" s="104">
        <v>-0.007232666015625</v>
      </c>
      <c r="D27" s="104">
        <v>-0.25318148732185364</v>
      </c>
      <c r="E27" s="104">
        <v>30.266199111938477</v>
      </c>
      <c r="F27" s="104">
        <v>0</v>
      </c>
      <c r="G27" s="104">
        <v>0</v>
      </c>
      <c r="H27" s="104">
        <v>1</v>
      </c>
      <c r="I27" s="104">
        <v>2</v>
      </c>
      <c r="J27" s="104">
        <v>3</v>
      </c>
      <c r="K27" s="104">
        <v>4</v>
      </c>
      <c r="L27" s="105">
        <v>5</v>
      </c>
      <c r="M27" s="120">
        <v>0</v>
      </c>
      <c r="N27" s="104">
        <v>20.48249053955078</v>
      </c>
      <c r="O27" s="104">
        <v>0</v>
      </c>
      <c r="P27" s="104">
        <v>50</v>
      </c>
      <c r="Q27" s="104">
        <v>13.134550094604492</v>
      </c>
      <c r="R27" s="104">
        <v>16.94516944885254</v>
      </c>
      <c r="S27" s="121">
        <v>94.7554931640625</v>
      </c>
      <c r="T27" s="121">
        <v>0</v>
      </c>
      <c r="U27" s="121">
        <v>0</v>
      </c>
      <c r="V27" s="121">
        <v>7.611763000488281</v>
      </c>
      <c r="W27" s="121">
        <v>127.84290313720703</v>
      </c>
      <c r="X27" s="121">
        <v>35</v>
      </c>
      <c r="Y27" s="121">
        <v>82.70255279541016</v>
      </c>
      <c r="Z27" s="121">
        <v>16.400819778442383</v>
      </c>
      <c r="AA27" s="121">
        <v>16.612409591674805</v>
      </c>
      <c r="AB27" s="121"/>
      <c r="AC27" s="108"/>
      <c r="AD27" s="108">
        <v>0</v>
      </c>
      <c r="AE27" s="108">
        <v>3.601074240577873E-06</v>
      </c>
      <c r="AF27" s="108"/>
      <c r="AG27" s="108">
        <v>59.411170959472656</v>
      </c>
      <c r="AH27" s="108">
        <v>26</v>
      </c>
      <c r="AI27" s="122">
        <v>41</v>
      </c>
      <c r="AJ27" s="122">
        <v>42</v>
      </c>
      <c r="AK27" s="122">
        <v>43</v>
      </c>
      <c r="AL27" s="122">
        <v>44</v>
      </c>
      <c r="AM27" s="122">
        <v>45</v>
      </c>
      <c r="AN27" s="108">
        <v>75.42680358886719</v>
      </c>
      <c r="AO27" s="109">
        <v>60.659000396728516</v>
      </c>
      <c r="AP27" s="110">
        <v>11.872469902038574</v>
      </c>
      <c r="AQ27" s="111">
        <v>36.49811935424805</v>
      </c>
      <c r="AR27" s="112">
        <v>-0.02169799990952015</v>
      </c>
    </row>
    <row r="28" spans="2:44" ht="13.5" customHeight="1" x14ac:dyDescent="0.25">
      <c r="B28" s="14">
        <v>0.58333333333333304</v>
      </c>
      <c r="C28" s="104">
        <v>-0.13021090626716614</v>
      </c>
      <c r="D28" s="104">
        <v>-0.20978550612926483</v>
      </c>
      <c r="E28" s="104">
        <v>31.6406307220459</v>
      </c>
      <c r="F28" s="104">
        <v>0</v>
      </c>
      <c r="G28" s="104">
        <v>0</v>
      </c>
      <c r="H28" s="104">
        <v>1</v>
      </c>
      <c r="I28" s="104">
        <v>2</v>
      </c>
      <c r="J28" s="104">
        <v>3</v>
      </c>
      <c r="K28" s="104">
        <v>4</v>
      </c>
      <c r="L28" s="105">
        <v>5</v>
      </c>
      <c r="M28" s="120">
        <v>0</v>
      </c>
      <c r="N28" s="104">
        <v>20.95992088317871</v>
      </c>
      <c r="O28" s="104">
        <v>0</v>
      </c>
      <c r="P28" s="104">
        <v>50</v>
      </c>
      <c r="Q28" s="104">
        <v>13.135419845581055</v>
      </c>
      <c r="R28" s="104">
        <v>18.330440521240234</v>
      </c>
      <c r="S28" s="121">
        <v>95.8514175415039</v>
      </c>
      <c r="T28" s="121">
        <v>0</v>
      </c>
      <c r="U28" s="121">
        <v>0</v>
      </c>
      <c r="V28" s="121">
        <v>6.1686201095581055</v>
      </c>
      <c r="W28" s="121">
        <v>108.21939849853516</v>
      </c>
      <c r="X28" s="121">
        <v>30</v>
      </c>
      <c r="Y28" s="121">
        <v>70.73892974853516</v>
      </c>
      <c r="Z28" s="121">
        <v>17.692060470581055</v>
      </c>
      <c r="AA28" s="121">
        <v>17.96875</v>
      </c>
      <c r="AB28" s="121"/>
      <c r="AC28" s="108"/>
      <c r="AD28" s="108">
        <v>0</v>
      </c>
      <c r="AE28" s="108">
        <v>2.0446777853067033E-05</v>
      </c>
      <c r="AF28" s="108"/>
      <c r="AG28" s="108">
        <v>47.724971771240234</v>
      </c>
      <c r="AH28" s="108">
        <v>26</v>
      </c>
      <c r="AI28" s="122">
        <v>41</v>
      </c>
      <c r="AJ28" s="122">
        <v>42</v>
      </c>
      <c r="AK28" s="122">
        <v>43</v>
      </c>
      <c r="AL28" s="122">
        <v>44</v>
      </c>
      <c r="AM28" s="122">
        <v>45</v>
      </c>
      <c r="AN28" s="108">
        <v>76.91694641113281</v>
      </c>
      <c r="AO28" s="109">
        <v>66.34838104248047</v>
      </c>
      <c r="AP28" s="110">
        <v>12.143739700317383</v>
      </c>
      <c r="AQ28" s="111">
        <v>36.51982116699219</v>
      </c>
      <c r="AR28" s="112">
        <v>-0.0325470007956028</v>
      </c>
    </row>
    <row r="29" spans="2:44" ht="13.5" customHeight="1" x14ac:dyDescent="0.25">
      <c r="B29" s="14">
        <v>0.625</v>
      </c>
      <c r="C29" s="104">
        <v>-0.25318148732185364</v>
      </c>
      <c r="D29" s="104">
        <v>-0.1663818061351776</v>
      </c>
      <c r="E29" s="104">
        <v>31.41999053955078</v>
      </c>
      <c r="F29" s="104">
        <v>0</v>
      </c>
      <c r="G29" s="104">
        <v>0</v>
      </c>
      <c r="H29" s="104">
        <v>1</v>
      </c>
      <c r="I29" s="104">
        <v>2</v>
      </c>
      <c r="J29" s="104">
        <v>3</v>
      </c>
      <c r="K29" s="104">
        <v>4</v>
      </c>
      <c r="L29" s="105">
        <v>5</v>
      </c>
      <c r="M29" s="120">
        <v>0</v>
      </c>
      <c r="N29" s="104">
        <v>21.40842056274414</v>
      </c>
      <c r="O29" s="104">
        <v>0</v>
      </c>
      <c r="P29" s="104">
        <v>50</v>
      </c>
      <c r="Q29" s="104">
        <v>13.135849952697754</v>
      </c>
      <c r="R29" s="104">
        <v>17.87833023071289</v>
      </c>
      <c r="S29" s="121">
        <v>95.8297119140625</v>
      </c>
      <c r="T29" s="121">
        <v>0</v>
      </c>
      <c r="U29" s="121">
        <v>0</v>
      </c>
      <c r="V29" s="121">
        <v>6.3802080154418945</v>
      </c>
      <c r="W29" s="121">
        <v>95.45355987548828</v>
      </c>
      <c r="X29" s="121">
        <v>30</v>
      </c>
      <c r="Y29" s="121">
        <v>70.57634735107422</v>
      </c>
      <c r="Z29" s="121">
        <v>16.833040237426758</v>
      </c>
      <c r="AA29" s="121">
        <v>17.437070846557617</v>
      </c>
      <c r="AB29" s="121"/>
      <c r="AC29" s="108"/>
      <c r="AD29" s="108">
        <v>0</v>
      </c>
      <c r="AE29" s="108">
        <v>0</v>
      </c>
      <c r="AF29" s="108"/>
      <c r="AG29" s="108">
        <v>82.23380279541016</v>
      </c>
      <c r="AH29" s="108">
        <v>26</v>
      </c>
      <c r="AI29" s="122">
        <v>41</v>
      </c>
      <c r="AJ29" s="122">
        <v>42</v>
      </c>
      <c r="AK29" s="122">
        <v>43</v>
      </c>
      <c r="AL29" s="122">
        <v>44</v>
      </c>
      <c r="AM29" s="122">
        <v>45</v>
      </c>
      <c r="AN29" s="108">
        <v>77.82118225097656</v>
      </c>
      <c r="AO29" s="109">
        <v>66.5509262084961</v>
      </c>
      <c r="AP29" s="110">
        <v>13.002750396728516</v>
      </c>
      <c r="AQ29" s="111">
        <v>2.32566499710083</v>
      </c>
      <c r="AR29" s="112">
        <v>-0.02169799990952015</v>
      </c>
    </row>
    <row r="30" spans="2:44" ht="13.5" customHeight="1" x14ac:dyDescent="0.25">
      <c r="B30" s="14">
        <v>0.66666666666666596</v>
      </c>
      <c r="C30" s="104">
        <v>-0.390625</v>
      </c>
      <c r="D30" s="104">
        <v>-0.1953125</v>
      </c>
      <c r="E30" s="104">
        <v>30.36747932434082</v>
      </c>
      <c r="F30" s="104">
        <v>0</v>
      </c>
      <c r="G30" s="104">
        <v>0</v>
      </c>
      <c r="H30" s="104">
        <v>1</v>
      </c>
      <c r="I30" s="104">
        <v>2</v>
      </c>
      <c r="J30" s="104">
        <v>3</v>
      </c>
      <c r="K30" s="104">
        <v>4</v>
      </c>
      <c r="L30" s="105">
        <v>5</v>
      </c>
      <c r="M30" s="120">
        <v>0</v>
      </c>
      <c r="N30" s="104">
        <v>21.144390106201172</v>
      </c>
      <c r="O30" s="104">
        <v>0</v>
      </c>
      <c r="P30" s="104">
        <v>50</v>
      </c>
      <c r="Q30" s="104">
        <v>13.135849952697754</v>
      </c>
      <c r="R30" s="104">
        <v>34.59563064575195</v>
      </c>
      <c r="S30" s="121">
        <v>94.84230041503906</v>
      </c>
      <c r="T30" s="121">
        <v>50</v>
      </c>
      <c r="U30" s="121">
        <v>58.125</v>
      </c>
      <c r="V30" s="121">
        <v>5.805121898651123</v>
      </c>
      <c r="W30" s="121">
        <v>33.517799377441406</v>
      </c>
      <c r="X30" s="121">
        <v>50</v>
      </c>
      <c r="Y30" s="121">
        <v>114.4280014038086</v>
      </c>
      <c r="Z30" s="121">
        <v>22.741249084472656</v>
      </c>
      <c r="AA30" s="121">
        <v>33.76736068725586</v>
      </c>
      <c r="AB30" s="121"/>
      <c r="AC30" s="108"/>
      <c r="AD30" s="108">
        <v>0</v>
      </c>
      <c r="AE30" s="108">
        <v>0</v>
      </c>
      <c r="AF30" s="108"/>
      <c r="AG30" s="108">
        <v>83.89034271240234</v>
      </c>
      <c r="AH30" s="108">
        <v>26</v>
      </c>
      <c r="AI30" s="122">
        <v>41</v>
      </c>
      <c r="AJ30" s="122">
        <v>42</v>
      </c>
      <c r="AK30" s="122">
        <v>43</v>
      </c>
      <c r="AL30" s="122">
        <v>44</v>
      </c>
      <c r="AM30" s="122">
        <v>45</v>
      </c>
      <c r="AN30" s="108">
        <v>75.91869354248047</v>
      </c>
      <c r="AO30" s="109">
        <v>65.9649887084961</v>
      </c>
      <c r="AP30" s="110">
        <v>13.165510177612305</v>
      </c>
      <c r="AQ30" s="111">
        <v>2.71990704536438</v>
      </c>
      <c r="AR30" s="112">
        <v>-0.02169799990952015</v>
      </c>
    </row>
    <row r="31" spans="2:44" ht="13.5" customHeight="1" x14ac:dyDescent="0.25">
      <c r="B31" s="14">
        <v>0.70833333333333304</v>
      </c>
      <c r="C31" s="104">
        <v>-0.3761596977710724</v>
      </c>
      <c r="D31" s="104">
        <v>-0.1953125</v>
      </c>
      <c r="E31" s="104">
        <v>30.110679626464844</v>
      </c>
      <c r="F31" s="104">
        <v>0</v>
      </c>
      <c r="G31" s="104">
        <v>0</v>
      </c>
      <c r="H31" s="104">
        <v>1</v>
      </c>
      <c r="I31" s="104">
        <v>2</v>
      </c>
      <c r="J31" s="104">
        <v>3</v>
      </c>
      <c r="K31" s="104">
        <v>4</v>
      </c>
      <c r="L31" s="105">
        <v>5</v>
      </c>
      <c r="M31" s="120">
        <v>0</v>
      </c>
      <c r="N31" s="104">
        <v>20.504199981689453</v>
      </c>
      <c r="O31" s="104">
        <v>0</v>
      </c>
      <c r="P31" s="104">
        <v>50</v>
      </c>
      <c r="Q31" s="104">
        <v>13.135419845581055</v>
      </c>
      <c r="R31" s="104">
        <v>49.38874053955078</v>
      </c>
      <c r="S31" s="121">
        <v>98.0975112915039</v>
      </c>
      <c r="T31" s="121">
        <v>50</v>
      </c>
      <c r="U31" s="121">
        <v>63.8713493347168</v>
      </c>
      <c r="V31" s="121">
        <v>40.46223831176758</v>
      </c>
      <c r="W31" s="121">
        <v>48.0848503112793</v>
      </c>
      <c r="X31" s="121">
        <v>50</v>
      </c>
      <c r="Y31" s="121">
        <v>116.5302963256836</v>
      </c>
      <c r="Z31" s="121">
        <v>47.62369918823242</v>
      </c>
      <c r="AA31" s="121">
        <v>48.47005081176758</v>
      </c>
      <c r="AB31" s="121"/>
      <c r="AC31" s="108"/>
      <c r="AD31" s="108">
        <v>0</v>
      </c>
      <c r="AE31" s="108">
        <v>0</v>
      </c>
      <c r="AF31" s="108"/>
      <c r="AG31" s="108">
        <v>83.07653045654297</v>
      </c>
      <c r="AH31" s="108">
        <v>26</v>
      </c>
      <c r="AI31" s="122">
        <v>41</v>
      </c>
      <c r="AJ31" s="122">
        <v>42</v>
      </c>
      <c r="AK31" s="122">
        <v>43</v>
      </c>
      <c r="AL31" s="122">
        <v>44</v>
      </c>
      <c r="AM31" s="122">
        <v>45</v>
      </c>
      <c r="AN31" s="108">
        <v>72.84432983398438</v>
      </c>
      <c r="AO31" s="109">
        <v>65.00650787353516</v>
      </c>
      <c r="AP31" s="110">
        <v>13.382519721984863</v>
      </c>
      <c r="AQ31" s="111">
        <v>2.506510019302368</v>
      </c>
      <c r="AR31" s="112">
        <v>-0.02169799990952015</v>
      </c>
    </row>
    <row r="32" spans="2:44" ht="13.5" customHeight="1" x14ac:dyDescent="0.25">
      <c r="B32" s="14">
        <v>0.75</v>
      </c>
      <c r="C32" s="104">
        <v>-0.368927001953125</v>
      </c>
      <c r="D32" s="104">
        <v>-0.1808471977710724</v>
      </c>
      <c r="E32" s="104">
        <v>29.745370864868164</v>
      </c>
      <c r="F32" s="104">
        <v>0</v>
      </c>
      <c r="G32" s="104">
        <v>0</v>
      </c>
      <c r="H32" s="104">
        <v>1</v>
      </c>
      <c r="I32" s="104">
        <v>2</v>
      </c>
      <c r="J32" s="104">
        <v>3</v>
      </c>
      <c r="K32" s="104">
        <v>4</v>
      </c>
      <c r="L32" s="105">
        <v>5</v>
      </c>
      <c r="M32" s="120">
        <v>0</v>
      </c>
      <c r="N32" s="104">
        <v>20.073780059814453</v>
      </c>
      <c r="O32" s="104">
        <v>0</v>
      </c>
      <c r="P32" s="104">
        <v>50</v>
      </c>
      <c r="Q32" s="104">
        <v>13.134980201721191</v>
      </c>
      <c r="R32" s="104">
        <v>45.86949920654297</v>
      </c>
      <c r="S32" s="121">
        <v>97.95284271240234</v>
      </c>
      <c r="T32" s="121">
        <v>50</v>
      </c>
      <c r="U32" s="121">
        <v>61.89236068725586</v>
      </c>
      <c r="V32" s="121">
        <v>37.131080627441406</v>
      </c>
      <c r="W32" s="121">
        <v>44.52582931518555</v>
      </c>
      <c r="X32" s="121">
        <v>50</v>
      </c>
      <c r="Y32" s="121">
        <v>115.77909851074219</v>
      </c>
      <c r="Z32" s="121">
        <v>43.918190002441406</v>
      </c>
      <c r="AA32" s="121">
        <v>44.851348876953125</v>
      </c>
      <c r="AB32" s="121"/>
      <c r="AC32" s="108"/>
      <c r="AD32" s="108">
        <v>0</v>
      </c>
      <c r="AE32" s="108">
        <v>0</v>
      </c>
      <c r="AF32" s="108"/>
      <c r="AG32" s="108">
        <v>82.71846008300781</v>
      </c>
      <c r="AH32" s="108">
        <v>26</v>
      </c>
      <c r="AI32" s="122">
        <v>41</v>
      </c>
      <c r="AJ32" s="122">
        <v>42</v>
      </c>
      <c r="AK32" s="122">
        <v>43</v>
      </c>
      <c r="AL32" s="122">
        <v>44</v>
      </c>
      <c r="AM32" s="122">
        <v>45</v>
      </c>
      <c r="AN32" s="108">
        <v>70.54398345947266</v>
      </c>
      <c r="AO32" s="109">
        <v>64.83651733398438</v>
      </c>
      <c r="AP32" s="110">
        <v>13.373479843139648</v>
      </c>
      <c r="AQ32" s="111">
        <v>2.484808921813965</v>
      </c>
      <c r="AR32" s="112">
        <v>-0.0325470007956028</v>
      </c>
    </row>
    <row r="33" spans="2:44" ht="13.5" customHeight="1" x14ac:dyDescent="0.25">
      <c r="B33" s="14">
        <v>0.79166666666666696</v>
      </c>
      <c r="C33" s="104">
        <v>-0.32552340626716614</v>
      </c>
      <c r="D33" s="104">
        <v>-0.1880798041820526</v>
      </c>
      <c r="E33" s="104">
        <v>29.188369750976562</v>
      </c>
      <c r="F33" s="104">
        <v>0</v>
      </c>
      <c r="G33" s="104">
        <v>0</v>
      </c>
      <c r="H33" s="104">
        <v>1</v>
      </c>
      <c r="I33" s="104">
        <v>2</v>
      </c>
      <c r="J33" s="104">
        <v>3</v>
      </c>
      <c r="K33" s="104">
        <v>4</v>
      </c>
      <c r="L33" s="105">
        <v>5</v>
      </c>
      <c r="M33" s="120">
        <v>0</v>
      </c>
      <c r="N33" s="104">
        <v>19.97612953186035</v>
      </c>
      <c r="O33" s="104">
        <v>0</v>
      </c>
      <c r="P33" s="104">
        <v>50</v>
      </c>
      <c r="Q33" s="104">
        <v>13.134980201721191</v>
      </c>
      <c r="R33" s="104">
        <v>42.0789909362793</v>
      </c>
      <c r="S33" s="121">
        <v>97.75752258300781</v>
      </c>
      <c r="T33" s="121">
        <v>50</v>
      </c>
      <c r="U33" s="121">
        <v>63.01359939575195</v>
      </c>
      <c r="V33" s="121">
        <v>33.273651123046875</v>
      </c>
      <c r="W33" s="121">
        <v>40.738929748535156</v>
      </c>
      <c r="X33" s="121">
        <v>50</v>
      </c>
      <c r="Y33" s="121">
        <v>116.64800262451172</v>
      </c>
      <c r="Z33" s="121">
        <v>40.02640151977539</v>
      </c>
      <c r="AA33" s="121">
        <v>40.966800689697266</v>
      </c>
      <c r="AB33" s="121"/>
      <c r="AC33" s="108"/>
      <c r="AD33" s="108">
        <v>0</v>
      </c>
      <c r="AE33" s="108">
        <v>0</v>
      </c>
      <c r="AF33" s="108"/>
      <c r="AG33" s="108">
        <v>82.04209899902344</v>
      </c>
      <c r="AH33" s="108">
        <v>26</v>
      </c>
      <c r="AI33" s="122">
        <v>41</v>
      </c>
      <c r="AJ33" s="122">
        <v>42</v>
      </c>
      <c r="AK33" s="122">
        <v>43</v>
      </c>
      <c r="AL33" s="122">
        <v>44</v>
      </c>
      <c r="AM33" s="122">
        <v>45</v>
      </c>
      <c r="AN33" s="108">
        <v>68.9236068725586</v>
      </c>
      <c r="AO33" s="109">
        <v>64.86183166503906</v>
      </c>
      <c r="AP33" s="110">
        <v>13.21072006225586</v>
      </c>
      <c r="AQ33" s="111">
        <v>2.6439530849456787</v>
      </c>
      <c r="AR33" s="112">
        <v>-0.0433959998190403</v>
      </c>
    </row>
    <row r="34" spans="2:44" ht="13.5" customHeight="1" x14ac:dyDescent="0.25">
      <c r="B34" s="15">
        <v>0.83333333333333304</v>
      </c>
      <c r="C34" s="113">
        <v>-0.2748871147632599</v>
      </c>
      <c r="D34" s="113">
        <v>-0.1953125</v>
      </c>
      <c r="E34" s="113">
        <v>28.454139709472656</v>
      </c>
      <c r="F34" s="113">
        <v>0</v>
      </c>
      <c r="G34" s="113">
        <v>0</v>
      </c>
      <c r="H34" s="113">
        <v>1</v>
      </c>
      <c r="I34" s="113">
        <v>2</v>
      </c>
      <c r="J34" s="113">
        <v>3</v>
      </c>
      <c r="K34" s="113">
        <v>4</v>
      </c>
      <c r="L34" s="114">
        <v>5</v>
      </c>
      <c r="M34" s="123">
        <v>0</v>
      </c>
      <c r="N34" s="113">
        <v>19.581890106201172</v>
      </c>
      <c r="O34" s="113">
        <v>0</v>
      </c>
      <c r="P34" s="113">
        <v>50</v>
      </c>
      <c r="Q34" s="113">
        <v>13.135419845581055</v>
      </c>
      <c r="R34" s="113">
        <v>37.6844596862793</v>
      </c>
      <c r="S34" s="124">
        <v>97.5079574584961</v>
      </c>
      <c r="T34" s="124">
        <v>50</v>
      </c>
      <c r="U34" s="124">
        <v>61.8306884765625</v>
      </c>
      <c r="V34" s="124">
        <v>30.506729125976562</v>
      </c>
      <c r="W34" s="124">
        <v>36.71332931518555</v>
      </c>
      <c r="X34" s="124">
        <v>50</v>
      </c>
      <c r="Y34" s="124">
        <v>116.60320281982422</v>
      </c>
      <c r="Z34" s="124">
        <v>31.14872932434082</v>
      </c>
      <c r="AA34" s="124">
        <v>36.132808685302734</v>
      </c>
      <c r="AB34" s="124"/>
      <c r="AC34" s="117"/>
      <c r="AD34" s="117">
        <v>0</v>
      </c>
      <c r="AE34" s="117">
        <v>0</v>
      </c>
      <c r="AF34" s="117"/>
      <c r="AG34" s="117">
        <v>94.50592803955078</v>
      </c>
      <c r="AH34" s="117">
        <v>26</v>
      </c>
      <c r="AI34" s="125">
        <v>41</v>
      </c>
      <c r="AJ34" s="125">
        <v>42</v>
      </c>
      <c r="AK34" s="125">
        <v>43</v>
      </c>
      <c r="AL34" s="125">
        <v>44</v>
      </c>
      <c r="AM34" s="125">
        <v>45</v>
      </c>
      <c r="AN34" s="117">
        <v>66.98494720458984</v>
      </c>
      <c r="AO34" s="118">
        <v>64.49652862548828</v>
      </c>
      <c r="AP34" s="126">
        <v>12.894240379333496</v>
      </c>
      <c r="AQ34" s="127">
        <v>2.452256917953491</v>
      </c>
      <c r="AR34" s="128">
        <v>-0.0325470007956028</v>
      </c>
    </row>
    <row r="35" spans="2:44" ht="15" customHeight="1" x14ac:dyDescent="0.25">
      <c r="B35" s="181" t="s">
        <v>181</v>
      </c>
      <c r="C35" s="182" t="s">
        <v>38</v>
      </c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2" t="s">
        <v>216</v>
      </c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4"/>
      <c r="AK35" s="188" t="s">
        <v>48</v>
      </c>
      <c r="AL35" s="186"/>
      <c r="AM35" s="215" t="s">
        <v>223</v>
      </c>
      <c r="AN35" s="216"/>
      <c r="AO35" s="43"/>
      <c r="AP35" s="43"/>
      <c r="AQ35" s="43"/>
      <c r="AR35" s="44"/>
    </row>
    <row r="36" spans="2:44" ht="20.15" customHeight="1" x14ac:dyDescent="0.25">
      <c r="B36" s="168"/>
      <c r="C36" s="162" t="s">
        <v>32</v>
      </c>
      <c r="D36" s="194"/>
      <c r="E36" s="162" t="s">
        <v>33</v>
      </c>
      <c r="F36" s="223"/>
      <c r="G36" s="194"/>
      <c r="H36" s="217" t="s">
        <v>276</v>
      </c>
      <c r="I36" s="218"/>
      <c r="J36" s="4" t="s">
        <v>27</v>
      </c>
      <c r="K36" s="4" t="s">
        <v>30</v>
      </c>
      <c r="L36" s="4" t="s">
        <v>191</v>
      </c>
      <c r="M36" s="219" t="s">
        <v>192</v>
      </c>
      <c r="N36" s="220"/>
      <c r="O36" s="4" t="s">
        <v>26</v>
      </c>
      <c r="P36" s="4" t="s">
        <v>197</v>
      </c>
      <c r="Q36" s="162" t="s">
        <v>199</v>
      </c>
      <c r="R36" s="224"/>
      <c r="S36" s="162" t="s">
        <v>202</v>
      </c>
      <c r="T36" s="224"/>
      <c r="U36" s="162" t="s">
        <v>201</v>
      </c>
      <c r="V36" s="221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76" t="s">
        <v>46</v>
      </c>
      <c r="AI36" s="222"/>
      <c r="AJ36" s="163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8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8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456</v>
      </c>
      <c r="N38" s="1" t="s">
        <v>457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104">
        <v>0</v>
      </c>
      <c r="D39" s="104"/>
      <c r="E39" s="104">
        <v>16.485820770263672</v>
      </c>
      <c r="F39" s="104"/>
      <c r="G39" s="104"/>
      <c r="H39" s="104">
        <v>33.022281646728516</v>
      </c>
      <c r="I39" s="104"/>
      <c r="J39" s="104">
        <v>27.9495792388916</v>
      </c>
      <c r="K39" s="104">
        <v>0</v>
      </c>
      <c r="L39" s="104">
        <v>268.69378662109375</v>
      </c>
      <c r="M39" s="104">
        <v>22.49711036682129</v>
      </c>
      <c r="N39" s="104"/>
      <c r="O39" s="104">
        <v>0</v>
      </c>
      <c r="P39" s="104">
        <v>0.019817190244793892</v>
      </c>
      <c r="Q39" s="104">
        <v>0</v>
      </c>
      <c r="R39" s="104"/>
      <c r="S39" s="104">
        <v>0</v>
      </c>
      <c r="T39" s="104"/>
      <c r="U39" s="121">
        <v>98.10836029052734</v>
      </c>
      <c r="V39" s="129"/>
      <c r="W39" s="130">
        <v>45</v>
      </c>
      <c r="X39" s="121">
        <v>65.39063262939453</v>
      </c>
      <c r="Y39" s="121">
        <v>19.032119750976562</v>
      </c>
      <c r="Z39" s="121">
        <v>26.681859970092773</v>
      </c>
      <c r="AA39" s="121">
        <v>35</v>
      </c>
      <c r="AB39" s="121">
        <v>57.52170944213867</v>
      </c>
      <c r="AC39" s="121">
        <v>21.15523910522461</v>
      </c>
      <c r="AD39" s="121">
        <v>26.269529342651367</v>
      </c>
      <c r="AE39" s="108"/>
      <c r="AF39" s="108">
        <v>35.2936897277832</v>
      </c>
      <c r="AG39" s="108">
        <v>36</v>
      </c>
      <c r="AH39" s="108">
        <v>71.952880859375</v>
      </c>
      <c r="AI39" s="108">
        <v>34.66073989868164</v>
      </c>
      <c r="AJ39" s="108"/>
      <c r="AK39" s="108"/>
      <c r="AL39" s="109"/>
      <c r="AM39" s="131">
        <v>56</v>
      </c>
      <c r="AN39" s="122">
        <v>62</v>
      </c>
      <c r="AO39" s="108"/>
      <c r="AP39" s="108"/>
      <c r="AQ39" s="108"/>
      <c r="AR39" s="112"/>
    </row>
    <row r="40" spans="2:44" ht="13.5" customHeight="1" x14ac:dyDescent="0.25">
      <c r="B40" s="14">
        <v>0.375</v>
      </c>
      <c r="C40" s="104">
        <v>0</v>
      </c>
      <c r="D40" s="104">
        <v>0</v>
      </c>
      <c r="E40" s="104">
        <v>16.138599395751953</v>
      </c>
      <c r="F40" s="104"/>
      <c r="G40" s="104"/>
      <c r="H40" s="104">
        <v>28.139469146728516</v>
      </c>
      <c r="I40" s="104">
        <v>0</v>
      </c>
      <c r="J40" s="104">
        <v>25.15553092956543</v>
      </c>
      <c r="K40" s="104">
        <v>0</v>
      </c>
      <c r="L40" s="104">
        <v>268.69378662109375</v>
      </c>
      <c r="M40" s="104">
        <v>19.44986915588379</v>
      </c>
      <c r="N40" s="104">
        <v>0</v>
      </c>
      <c r="O40" s="104">
        <v>0</v>
      </c>
      <c r="P40" s="104">
        <v>0.019817190244793892</v>
      </c>
      <c r="Q40" s="104">
        <v>0</v>
      </c>
      <c r="R40" s="104">
        <v>0</v>
      </c>
      <c r="S40" s="104">
        <v>0</v>
      </c>
      <c r="T40" s="104">
        <v>0</v>
      </c>
      <c r="U40" s="121">
        <v>93.45340728759766</v>
      </c>
      <c r="V40" s="129">
        <v>-0.0029911804012954235</v>
      </c>
      <c r="W40" s="130">
        <v>23</v>
      </c>
      <c r="X40" s="121">
        <v>28.532989501953125</v>
      </c>
      <c r="Y40" s="121">
        <v>16.059030532836914</v>
      </c>
      <c r="Z40" s="121">
        <v>23.307289123535156</v>
      </c>
      <c r="AA40" s="121">
        <v>28</v>
      </c>
      <c r="AB40" s="121">
        <v>46.21961975097656</v>
      </c>
      <c r="AC40" s="121">
        <v>18.538410186767578</v>
      </c>
      <c r="AD40" s="121">
        <v>22.835290908813477</v>
      </c>
      <c r="AE40" s="108"/>
      <c r="AF40" s="108">
        <v>0</v>
      </c>
      <c r="AG40" s="108">
        <v>36</v>
      </c>
      <c r="AH40" s="108">
        <v>71.952880859375</v>
      </c>
      <c r="AI40" s="108">
        <v>34.534141540527344</v>
      </c>
      <c r="AJ40" s="108">
        <v>-0.0023726806975901127</v>
      </c>
      <c r="AK40" s="108"/>
      <c r="AL40" s="109"/>
      <c r="AM40" s="131">
        <v>56</v>
      </c>
      <c r="AN40" s="122">
        <v>62</v>
      </c>
      <c r="AO40" s="108"/>
      <c r="AP40" s="108"/>
      <c r="AQ40" s="108"/>
      <c r="AR40" s="112"/>
    </row>
    <row r="41" spans="2:44" ht="13.5" customHeight="1" x14ac:dyDescent="0.25">
      <c r="B41" s="14">
        <v>0.41666666666666702</v>
      </c>
      <c r="C41" s="104">
        <v>0</v>
      </c>
      <c r="D41" s="104">
        <v>0</v>
      </c>
      <c r="E41" s="104">
        <v>15.849249839782715</v>
      </c>
      <c r="F41" s="104"/>
      <c r="G41" s="104"/>
      <c r="H41" s="104">
        <v>24.468320846557617</v>
      </c>
      <c r="I41" s="104">
        <v>0</v>
      </c>
      <c r="J41" s="104">
        <v>24.088539123535156</v>
      </c>
      <c r="K41" s="104">
        <v>0</v>
      </c>
      <c r="L41" s="104">
        <v>268.6940002441406</v>
      </c>
      <c r="M41" s="104">
        <v>17.758970260620117</v>
      </c>
      <c r="N41" s="104">
        <v>0</v>
      </c>
      <c r="O41" s="104">
        <v>0</v>
      </c>
      <c r="P41" s="104">
        <v>0.019817190244793892</v>
      </c>
      <c r="Q41" s="104">
        <v>0</v>
      </c>
      <c r="R41" s="104">
        <v>0</v>
      </c>
      <c r="S41" s="104">
        <v>0</v>
      </c>
      <c r="T41" s="104">
        <v>0</v>
      </c>
      <c r="U41" s="121">
        <v>94.79528045654297</v>
      </c>
      <c r="V41" s="129">
        <v>-0.0017686595674604177</v>
      </c>
      <c r="W41" s="130">
        <v>23</v>
      </c>
      <c r="X41" s="121">
        <v>28.45486068725586</v>
      </c>
      <c r="Y41" s="121">
        <v>12.586810111999512</v>
      </c>
      <c r="Z41" s="121">
        <v>138.8345947265625</v>
      </c>
      <c r="AA41" s="121">
        <v>28</v>
      </c>
      <c r="AB41" s="121">
        <v>46.44097900390625</v>
      </c>
      <c r="AC41" s="121">
        <v>15.755209922790527</v>
      </c>
      <c r="AD41" s="121">
        <v>19.60177993774414</v>
      </c>
      <c r="AE41" s="108"/>
      <c r="AF41" s="108">
        <v>0</v>
      </c>
      <c r="AG41" s="108">
        <v>36</v>
      </c>
      <c r="AH41" s="108">
        <v>71.952880859375</v>
      </c>
      <c r="AI41" s="108">
        <v>34.5594596862793</v>
      </c>
      <c r="AJ41" s="108">
        <v>0.00856771133840084</v>
      </c>
      <c r="AK41" s="108"/>
      <c r="AL41" s="109"/>
      <c r="AM41" s="131">
        <v>56</v>
      </c>
      <c r="AN41" s="122">
        <v>62</v>
      </c>
      <c r="AO41" s="108"/>
      <c r="AP41" s="108"/>
      <c r="AQ41" s="108"/>
      <c r="AR41" s="112"/>
    </row>
    <row r="42" spans="2:44" ht="13.5" customHeight="1" x14ac:dyDescent="0.25">
      <c r="B42" s="14">
        <v>0.45833333333333298</v>
      </c>
      <c r="C42" s="104">
        <v>0</v>
      </c>
      <c r="D42" s="104">
        <v>0</v>
      </c>
      <c r="E42" s="104">
        <v>15.653929710388184</v>
      </c>
      <c r="F42" s="104"/>
      <c r="G42" s="104"/>
      <c r="H42" s="104">
        <v>21.981700897216797</v>
      </c>
      <c r="I42" s="104">
        <v>0</v>
      </c>
      <c r="J42" s="104">
        <v>22.786460876464844</v>
      </c>
      <c r="K42" s="104">
        <v>0.06495948880910873</v>
      </c>
      <c r="L42" s="104">
        <v>268.7312927246094</v>
      </c>
      <c r="M42" s="104">
        <v>17.01750946044922</v>
      </c>
      <c r="N42" s="104">
        <v>0</v>
      </c>
      <c r="O42" s="104">
        <v>0</v>
      </c>
      <c r="P42" s="104">
        <v>0.019817190244793892</v>
      </c>
      <c r="Q42" s="104">
        <v>0</v>
      </c>
      <c r="R42" s="104">
        <v>0</v>
      </c>
      <c r="S42" s="104">
        <v>0</v>
      </c>
      <c r="T42" s="104">
        <v>0.006450389977544546</v>
      </c>
      <c r="U42" s="121">
        <v>99.96021270751953</v>
      </c>
      <c r="V42" s="129">
        <v>0.024124708026647568</v>
      </c>
      <c r="W42" s="130">
        <v>50</v>
      </c>
      <c r="X42" s="121">
        <v>74.97396087646484</v>
      </c>
      <c r="Y42" s="121">
        <v>11.37695026397705</v>
      </c>
      <c r="Z42" s="121">
        <v>109.78730010986328</v>
      </c>
      <c r="AA42" s="121">
        <v>50</v>
      </c>
      <c r="AB42" s="121">
        <v>90.31684112548828</v>
      </c>
      <c r="AC42" s="121">
        <v>14.252389907836914</v>
      </c>
      <c r="AD42" s="121">
        <v>17.442489624023438</v>
      </c>
      <c r="AE42" s="108"/>
      <c r="AF42" s="108">
        <v>0</v>
      </c>
      <c r="AG42" s="108">
        <v>36</v>
      </c>
      <c r="AH42" s="108">
        <v>71.952880859375</v>
      </c>
      <c r="AI42" s="108">
        <v>34.360530853271484</v>
      </c>
      <c r="AJ42" s="108">
        <v>-0.003417251631617546</v>
      </c>
      <c r="AK42" s="108"/>
      <c r="AL42" s="109"/>
      <c r="AM42" s="131">
        <v>56</v>
      </c>
      <c r="AN42" s="122">
        <v>62</v>
      </c>
      <c r="AO42" s="108"/>
      <c r="AP42" s="108"/>
      <c r="AQ42" s="108"/>
      <c r="AR42" s="112"/>
    </row>
    <row r="43" spans="2:44" ht="13.5" customHeight="1" x14ac:dyDescent="0.25">
      <c r="B43" s="14">
        <v>0.5</v>
      </c>
      <c r="C43" s="104">
        <v>0</v>
      </c>
      <c r="D43" s="104">
        <v>0</v>
      </c>
      <c r="E43" s="104">
        <v>15.494790077209473</v>
      </c>
      <c r="F43" s="104"/>
      <c r="G43" s="104"/>
      <c r="H43" s="104">
        <v>20.245590209960938</v>
      </c>
      <c r="I43" s="104">
        <v>0</v>
      </c>
      <c r="J43" s="104">
        <v>21.656179428100586</v>
      </c>
      <c r="K43" s="104">
        <v>0</v>
      </c>
      <c r="L43" s="104">
        <v>268.73858642578125</v>
      </c>
      <c r="M43" s="104">
        <v>16.2308292388916</v>
      </c>
      <c r="N43" s="104">
        <v>0</v>
      </c>
      <c r="O43" s="104">
        <v>0</v>
      </c>
      <c r="P43" s="104">
        <v>0.019817190244793892</v>
      </c>
      <c r="Q43" s="104">
        <v>0</v>
      </c>
      <c r="R43" s="104">
        <v>0</v>
      </c>
      <c r="S43" s="104">
        <v>0</v>
      </c>
      <c r="T43" s="104">
        <v>0</v>
      </c>
      <c r="U43" s="121">
        <v>99.96021270751953</v>
      </c>
      <c r="V43" s="129">
        <v>0.01017433125525713</v>
      </c>
      <c r="W43" s="130">
        <v>50</v>
      </c>
      <c r="X43" s="121">
        <v>76.40191650390625</v>
      </c>
      <c r="Y43" s="121">
        <v>9.217665672302246</v>
      </c>
      <c r="Z43" s="121">
        <v>142.17120361328125</v>
      </c>
      <c r="AA43" s="121">
        <v>50</v>
      </c>
      <c r="AB43" s="121">
        <v>86.70572662353516</v>
      </c>
      <c r="AC43" s="121">
        <v>14.6285400390625</v>
      </c>
      <c r="AD43" s="121">
        <v>16.617839813232422</v>
      </c>
      <c r="AE43" s="108"/>
      <c r="AF43" s="108">
        <v>0</v>
      </c>
      <c r="AG43" s="108">
        <v>36</v>
      </c>
      <c r="AH43" s="108">
        <v>71.952880859375</v>
      </c>
      <c r="AI43" s="108">
        <v>34.248409271240234</v>
      </c>
      <c r="AJ43" s="108">
        <v>-0.0027662047650665045</v>
      </c>
      <c r="AK43" s="108"/>
      <c r="AL43" s="109"/>
      <c r="AM43" s="131">
        <v>56</v>
      </c>
      <c r="AN43" s="122">
        <v>62</v>
      </c>
      <c r="AO43" s="108"/>
      <c r="AP43" s="108"/>
      <c r="AQ43" s="108"/>
      <c r="AR43" s="112"/>
    </row>
    <row r="44" spans="2:44" ht="13.5" customHeight="1" x14ac:dyDescent="0.25">
      <c r="B44" s="14">
        <v>0.54166666666666596</v>
      </c>
      <c r="C44" s="104">
        <v>0</v>
      </c>
      <c r="D44" s="104">
        <v>0</v>
      </c>
      <c r="E44" s="104">
        <v>15.35735034942627</v>
      </c>
      <c r="F44" s="104"/>
      <c r="G44" s="104"/>
      <c r="H44" s="104">
        <v>18.988719940185547</v>
      </c>
      <c r="I44" s="104">
        <v>0</v>
      </c>
      <c r="J44" s="104">
        <v>22.45189094543457</v>
      </c>
      <c r="K44" s="104">
        <v>0</v>
      </c>
      <c r="L44" s="104">
        <v>268.73858642578125</v>
      </c>
      <c r="M44" s="104">
        <v>16.113279342651367</v>
      </c>
      <c r="N44" s="104">
        <v>0</v>
      </c>
      <c r="O44" s="104">
        <v>0</v>
      </c>
      <c r="P44" s="104">
        <v>0.019817190244793892</v>
      </c>
      <c r="Q44" s="104">
        <v>0</v>
      </c>
      <c r="R44" s="104">
        <v>0</v>
      </c>
      <c r="S44" s="104">
        <v>0</v>
      </c>
      <c r="T44" s="104">
        <v>0</v>
      </c>
      <c r="U44" s="121">
        <v>99.95659637451172</v>
      </c>
      <c r="V44" s="129">
        <v>-0.0007957191555760801</v>
      </c>
      <c r="W44" s="130">
        <v>50</v>
      </c>
      <c r="X44" s="121">
        <v>77.46527862548828</v>
      </c>
      <c r="Y44" s="121">
        <v>7.611763000488281</v>
      </c>
      <c r="Z44" s="121">
        <v>127.84290313720703</v>
      </c>
      <c r="AA44" s="121">
        <v>50</v>
      </c>
      <c r="AB44" s="121">
        <v>87.04427337646484</v>
      </c>
      <c r="AC44" s="121">
        <v>16.400819778442383</v>
      </c>
      <c r="AD44" s="121">
        <v>16.612409591674805</v>
      </c>
      <c r="AE44" s="108"/>
      <c r="AF44" s="108">
        <v>0</v>
      </c>
      <c r="AG44" s="108">
        <v>36</v>
      </c>
      <c r="AH44" s="108">
        <v>71.952880859375</v>
      </c>
      <c r="AI44" s="108">
        <v>34.14352035522461</v>
      </c>
      <c r="AJ44" s="108">
        <v>-0.001912612933665514</v>
      </c>
      <c r="AK44" s="108"/>
      <c r="AL44" s="109"/>
      <c r="AM44" s="131">
        <v>56</v>
      </c>
      <c r="AN44" s="122">
        <v>62</v>
      </c>
      <c r="AO44" s="108"/>
      <c r="AP44" s="108"/>
      <c r="AQ44" s="108"/>
      <c r="AR44" s="112"/>
    </row>
    <row r="45" spans="2:44" ht="13.5" customHeight="1" x14ac:dyDescent="0.25">
      <c r="B45" s="14">
        <v>0.58333333333333304</v>
      </c>
      <c r="C45" s="104">
        <v>0</v>
      </c>
      <c r="D45" s="104">
        <v>0</v>
      </c>
      <c r="E45" s="104">
        <v>15.342880249023438</v>
      </c>
      <c r="F45" s="104"/>
      <c r="G45" s="104"/>
      <c r="H45" s="104">
        <v>18.1839599609375</v>
      </c>
      <c r="I45" s="104">
        <v>0</v>
      </c>
      <c r="J45" s="104">
        <v>23.139110565185547</v>
      </c>
      <c r="K45" s="104">
        <v>0</v>
      </c>
      <c r="L45" s="104">
        <v>268.7394104003906</v>
      </c>
      <c r="M45" s="104">
        <v>16.63772964477539</v>
      </c>
      <c r="N45" s="104">
        <v>0</v>
      </c>
      <c r="O45" s="104">
        <v>0</v>
      </c>
      <c r="P45" s="104">
        <v>0.019817190244793892</v>
      </c>
      <c r="Q45" s="104">
        <v>0</v>
      </c>
      <c r="R45" s="104">
        <v>0</v>
      </c>
      <c r="S45" s="104">
        <v>0</v>
      </c>
      <c r="T45" s="104">
        <v>0.006706821266561747</v>
      </c>
      <c r="U45" s="121">
        <v>0</v>
      </c>
      <c r="V45" s="129">
        <v>0.029593467712402344</v>
      </c>
      <c r="W45" s="130">
        <v>50</v>
      </c>
      <c r="X45" s="121">
        <v>0</v>
      </c>
      <c r="Y45" s="121">
        <v>6.1686201095581055</v>
      </c>
      <c r="Z45" s="121">
        <v>108.21939849853516</v>
      </c>
      <c r="AA45" s="121">
        <v>50</v>
      </c>
      <c r="AB45" s="121">
        <v>0</v>
      </c>
      <c r="AC45" s="121">
        <v>17.692060470581055</v>
      </c>
      <c r="AD45" s="121">
        <v>17.96875</v>
      </c>
      <c r="AE45" s="108"/>
      <c r="AF45" s="108">
        <v>0</v>
      </c>
      <c r="AG45" s="108">
        <v>36</v>
      </c>
      <c r="AH45" s="108">
        <v>73.78457641601562</v>
      </c>
      <c r="AI45" s="108">
        <v>34.21223831176758</v>
      </c>
      <c r="AJ45" s="108">
        <v>0.00881655141711235</v>
      </c>
      <c r="AK45" s="108"/>
      <c r="AL45" s="109"/>
      <c r="AM45" s="131">
        <v>56</v>
      </c>
      <c r="AN45" s="122">
        <v>62</v>
      </c>
      <c r="AO45" s="108"/>
      <c r="AP45" s="108"/>
      <c r="AQ45" s="108"/>
      <c r="AR45" s="112"/>
    </row>
    <row r="46" spans="2:44" ht="13.5" customHeight="1" x14ac:dyDescent="0.25">
      <c r="B46" s="14">
        <v>0.625</v>
      </c>
      <c r="C46" s="104">
        <v>0</v>
      </c>
      <c r="D46" s="104">
        <v>0</v>
      </c>
      <c r="E46" s="104">
        <v>15.335650444030762</v>
      </c>
      <c r="F46" s="104"/>
      <c r="G46" s="104"/>
      <c r="H46" s="104">
        <v>17.74087905883789</v>
      </c>
      <c r="I46" s="104">
        <v>0</v>
      </c>
      <c r="J46" s="104">
        <v>22.68699073791504</v>
      </c>
      <c r="K46" s="104">
        <v>0</v>
      </c>
      <c r="L46" s="104">
        <v>268.7394104003906</v>
      </c>
      <c r="M46" s="104">
        <v>16.86379051208496</v>
      </c>
      <c r="N46" s="104">
        <v>0</v>
      </c>
      <c r="O46" s="104">
        <v>0</v>
      </c>
      <c r="P46" s="104">
        <v>0.019817190244793892</v>
      </c>
      <c r="Q46" s="104">
        <v>0</v>
      </c>
      <c r="R46" s="104">
        <v>0</v>
      </c>
      <c r="S46" s="104">
        <v>0</v>
      </c>
      <c r="T46" s="104">
        <v>0</v>
      </c>
      <c r="U46" s="121">
        <v>0</v>
      </c>
      <c r="V46" s="129">
        <v>-0.013794845901429653</v>
      </c>
      <c r="W46" s="130">
        <v>50</v>
      </c>
      <c r="X46" s="121">
        <v>0</v>
      </c>
      <c r="Y46" s="121">
        <v>6.3802080154418945</v>
      </c>
      <c r="Z46" s="121">
        <v>95.45355987548828</v>
      </c>
      <c r="AA46" s="121">
        <v>50</v>
      </c>
      <c r="AB46" s="121">
        <v>0</v>
      </c>
      <c r="AC46" s="121">
        <v>16.833040237426758</v>
      </c>
      <c r="AD46" s="121">
        <v>17.437070846557617</v>
      </c>
      <c r="AE46" s="108"/>
      <c r="AF46" s="108">
        <v>0</v>
      </c>
      <c r="AG46" s="108">
        <v>36</v>
      </c>
      <c r="AH46" s="108">
        <v>73.78457641601562</v>
      </c>
      <c r="AI46" s="108">
        <v>34.06394958496094</v>
      </c>
      <c r="AJ46" s="108">
        <v>-0.002615745645016432</v>
      </c>
      <c r="AK46" s="108"/>
      <c r="AL46" s="109"/>
      <c r="AM46" s="131">
        <v>56</v>
      </c>
      <c r="AN46" s="122">
        <v>62</v>
      </c>
      <c r="AO46" s="108"/>
      <c r="AP46" s="108"/>
      <c r="AQ46" s="108"/>
      <c r="AR46" s="112"/>
    </row>
    <row r="47" spans="2:44" ht="13.5" customHeight="1" x14ac:dyDescent="0.25">
      <c r="B47" s="14">
        <v>0.66666666666666596</v>
      </c>
      <c r="C47" s="104">
        <v>0</v>
      </c>
      <c r="D47" s="104">
        <v>0</v>
      </c>
      <c r="E47" s="104">
        <v>15.400750160217285</v>
      </c>
      <c r="F47" s="104"/>
      <c r="G47" s="104"/>
      <c r="H47" s="104">
        <v>17.36111068725586</v>
      </c>
      <c r="I47" s="104">
        <v>0</v>
      </c>
      <c r="J47" s="104">
        <v>21.620010375976562</v>
      </c>
      <c r="K47" s="104">
        <v>0</v>
      </c>
      <c r="L47" s="104">
        <v>268.7403869628906</v>
      </c>
      <c r="M47" s="104">
        <v>16.529220581054688</v>
      </c>
      <c r="N47" s="104">
        <v>0</v>
      </c>
      <c r="O47" s="104">
        <v>0</v>
      </c>
      <c r="P47" s="104">
        <v>0.019817190244793892</v>
      </c>
      <c r="Q47" s="104">
        <v>0</v>
      </c>
      <c r="R47" s="104">
        <v>0</v>
      </c>
      <c r="S47" s="104">
        <v>0</v>
      </c>
      <c r="T47" s="104">
        <v>0</v>
      </c>
      <c r="U47" s="121">
        <v>0</v>
      </c>
      <c r="V47" s="129">
        <v>-0.010485393926501274</v>
      </c>
      <c r="W47" s="130">
        <v>50</v>
      </c>
      <c r="X47" s="121">
        <v>0</v>
      </c>
      <c r="Y47" s="121">
        <v>5.805121898651123</v>
      </c>
      <c r="Z47" s="121">
        <v>33.517799377441406</v>
      </c>
      <c r="AA47" s="121">
        <v>50</v>
      </c>
      <c r="AB47" s="121">
        <v>0</v>
      </c>
      <c r="AC47" s="121">
        <v>22.741249084472656</v>
      </c>
      <c r="AD47" s="121">
        <v>33.76736068725586</v>
      </c>
      <c r="AE47" s="108"/>
      <c r="AF47" s="108">
        <v>0</v>
      </c>
      <c r="AG47" s="108">
        <v>36</v>
      </c>
      <c r="AH47" s="108">
        <v>73.78457641601562</v>
      </c>
      <c r="AI47" s="108">
        <v>33.94097137451172</v>
      </c>
      <c r="AJ47" s="108">
        <v>-0.002858787542209029</v>
      </c>
      <c r="AK47" s="108"/>
      <c r="AL47" s="109"/>
      <c r="AM47" s="131">
        <v>56</v>
      </c>
      <c r="AN47" s="122">
        <v>62</v>
      </c>
      <c r="AO47" s="108"/>
      <c r="AP47" s="108"/>
      <c r="AQ47" s="108"/>
      <c r="AR47" s="112"/>
    </row>
    <row r="48" spans="2:44" ht="13.5" customHeight="1" x14ac:dyDescent="0.25">
      <c r="B48" s="14">
        <v>0.70833333333333304</v>
      </c>
      <c r="C48" s="104">
        <v>0</v>
      </c>
      <c r="D48" s="104">
        <v>0</v>
      </c>
      <c r="E48" s="104">
        <v>15.42969036102295</v>
      </c>
      <c r="F48" s="104"/>
      <c r="G48" s="104"/>
      <c r="H48" s="104">
        <v>16.89090919494629</v>
      </c>
      <c r="I48" s="104">
        <v>0</v>
      </c>
      <c r="J48" s="104">
        <v>24.197050094604492</v>
      </c>
      <c r="K48" s="104">
        <v>0</v>
      </c>
      <c r="L48" s="104">
        <v>268.7403869628906</v>
      </c>
      <c r="M48" s="104">
        <v>16.1223201751709</v>
      </c>
      <c r="N48" s="104">
        <v>0</v>
      </c>
      <c r="O48" s="104">
        <v>0</v>
      </c>
      <c r="P48" s="104">
        <v>0.019817190244793892</v>
      </c>
      <c r="Q48" s="104">
        <v>0</v>
      </c>
      <c r="R48" s="104">
        <v>0</v>
      </c>
      <c r="S48" s="104">
        <v>0</v>
      </c>
      <c r="T48" s="104">
        <v>0.006802379619330168</v>
      </c>
      <c r="U48" s="121">
        <v>0</v>
      </c>
      <c r="V48" s="129">
        <v>-0.0077944183722138405</v>
      </c>
      <c r="W48" s="130">
        <v>50</v>
      </c>
      <c r="X48" s="121">
        <v>0</v>
      </c>
      <c r="Y48" s="121">
        <v>40.46223831176758</v>
      </c>
      <c r="Z48" s="121">
        <v>48.0848503112793</v>
      </c>
      <c r="AA48" s="121">
        <v>50</v>
      </c>
      <c r="AB48" s="121">
        <v>0</v>
      </c>
      <c r="AC48" s="121">
        <v>47.62369918823242</v>
      </c>
      <c r="AD48" s="121">
        <v>48.47005081176758</v>
      </c>
      <c r="AE48" s="108"/>
      <c r="AF48" s="108">
        <v>0</v>
      </c>
      <c r="AG48" s="108">
        <v>36</v>
      </c>
      <c r="AH48" s="108">
        <v>73.78457641601562</v>
      </c>
      <c r="AI48" s="108">
        <v>33.85055160522461</v>
      </c>
      <c r="AJ48" s="108">
        <v>-0.002262725727632642</v>
      </c>
      <c r="AK48" s="108"/>
      <c r="AL48" s="109"/>
      <c r="AM48" s="131">
        <v>56</v>
      </c>
      <c r="AN48" s="122">
        <v>62</v>
      </c>
      <c r="AO48" s="108"/>
      <c r="AP48" s="108"/>
      <c r="AQ48" s="108"/>
      <c r="AR48" s="112"/>
    </row>
    <row r="49" spans="2:44" ht="13.5" customHeight="1" x14ac:dyDescent="0.25">
      <c r="B49" s="14">
        <v>0.75</v>
      </c>
      <c r="C49" s="104">
        <v>0</v>
      </c>
      <c r="D49" s="104">
        <v>0</v>
      </c>
      <c r="E49" s="104">
        <v>15.422450065612793</v>
      </c>
      <c r="F49" s="104"/>
      <c r="G49" s="104"/>
      <c r="H49" s="104">
        <v>16.493059158325195</v>
      </c>
      <c r="I49" s="104">
        <v>0</v>
      </c>
      <c r="J49" s="104">
        <v>24.088539123535156</v>
      </c>
      <c r="K49" s="104">
        <v>0</v>
      </c>
      <c r="L49" s="104">
        <v>268.7403869628906</v>
      </c>
      <c r="M49" s="104">
        <v>15.99573040008545</v>
      </c>
      <c r="N49" s="104">
        <v>0</v>
      </c>
      <c r="O49" s="104">
        <v>0</v>
      </c>
      <c r="P49" s="104">
        <v>0.019817190244793892</v>
      </c>
      <c r="Q49" s="104">
        <v>0</v>
      </c>
      <c r="R49" s="104">
        <v>0</v>
      </c>
      <c r="S49" s="104">
        <v>0</v>
      </c>
      <c r="T49" s="104">
        <v>0</v>
      </c>
      <c r="U49" s="121">
        <v>0</v>
      </c>
      <c r="V49" s="129">
        <v>-0.0061197890900075436</v>
      </c>
      <c r="W49" s="130">
        <v>50</v>
      </c>
      <c r="X49" s="121">
        <v>0</v>
      </c>
      <c r="Y49" s="121">
        <v>37.131080627441406</v>
      </c>
      <c r="Z49" s="121">
        <v>44.52582931518555</v>
      </c>
      <c r="AA49" s="121">
        <v>50</v>
      </c>
      <c r="AB49" s="121">
        <v>0</v>
      </c>
      <c r="AC49" s="121">
        <v>43.918190002441406</v>
      </c>
      <c r="AD49" s="121">
        <v>44.851348876953125</v>
      </c>
      <c r="AE49" s="108"/>
      <c r="AF49" s="108">
        <v>0</v>
      </c>
      <c r="AG49" s="108">
        <v>36</v>
      </c>
      <c r="AH49" s="108">
        <v>73.78457641601562</v>
      </c>
      <c r="AI49" s="108">
        <v>33.723960876464844</v>
      </c>
      <c r="AJ49" s="108">
        <v>-0.001686920179054141</v>
      </c>
      <c r="AK49" s="108"/>
      <c r="AL49" s="109"/>
      <c r="AM49" s="131">
        <v>56</v>
      </c>
      <c r="AN49" s="122">
        <v>62</v>
      </c>
      <c r="AO49" s="108"/>
      <c r="AP49" s="108"/>
      <c r="AQ49" s="108"/>
      <c r="AR49" s="112"/>
    </row>
    <row r="50" spans="2:44" ht="13.5" customHeight="1" x14ac:dyDescent="0.25">
      <c r="B50" s="14">
        <v>0.79166666666666696</v>
      </c>
      <c r="C50" s="104">
        <v>0</v>
      </c>
      <c r="D50" s="104">
        <v>0</v>
      </c>
      <c r="E50" s="104">
        <v>15.458620071411133</v>
      </c>
      <c r="F50" s="104"/>
      <c r="G50" s="104"/>
      <c r="H50" s="104">
        <v>16.149450302124023</v>
      </c>
      <c r="I50" s="104">
        <v>0</v>
      </c>
      <c r="J50" s="104">
        <v>22.741249084472656</v>
      </c>
      <c r="K50" s="104">
        <v>0</v>
      </c>
      <c r="L50" s="104">
        <v>268.7406005859375</v>
      </c>
      <c r="M50" s="104">
        <v>16.068069458007812</v>
      </c>
      <c r="N50" s="104">
        <v>0</v>
      </c>
      <c r="O50" s="104">
        <v>0</v>
      </c>
      <c r="P50" s="104">
        <v>0.019817190244793892</v>
      </c>
      <c r="Q50" s="104">
        <v>0</v>
      </c>
      <c r="R50" s="104">
        <v>0</v>
      </c>
      <c r="S50" s="104">
        <v>0</v>
      </c>
      <c r="T50" s="104">
        <v>0.006856140214949846</v>
      </c>
      <c r="U50" s="121">
        <v>0</v>
      </c>
      <c r="V50" s="129">
        <v>-0.0050094034522771835</v>
      </c>
      <c r="W50" s="130">
        <v>50</v>
      </c>
      <c r="X50" s="121">
        <v>0</v>
      </c>
      <c r="Y50" s="121">
        <v>33.273651123046875</v>
      </c>
      <c r="Z50" s="121">
        <v>40.738929748535156</v>
      </c>
      <c r="AA50" s="121">
        <v>50</v>
      </c>
      <c r="AB50" s="121">
        <v>0</v>
      </c>
      <c r="AC50" s="121">
        <v>40.02640151977539</v>
      </c>
      <c r="AD50" s="121">
        <v>40.966800689697266</v>
      </c>
      <c r="AE50" s="108"/>
      <c r="AF50" s="108">
        <v>0</v>
      </c>
      <c r="AG50" s="108">
        <v>36</v>
      </c>
      <c r="AH50" s="108">
        <v>73.78457641601562</v>
      </c>
      <c r="AI50" s="108">
        <v>33.74203872680664</v>
      </c>
      <c r="AJ50" s="108">
        <v>0.008425918407738209</v>
      </c>
      <c r="AK50" s="108"/>
      <c r="AL50" s="109"/>
      <c r="AM50" s="131">
        <v>56</v>
      </c>
      <c r="AN50" s="122">
        <v>62</v>
      </c>
      <c r="AO50" s="108"/>
      <c r="AP50" s="108"/>
      <c r="AQ50" s="108"/>
      <c r="AR50" s="112"/>
    </row>
    <row r="51" spans="2:44" ht="13.5" customHeight="1" x14ac:dyDescent="0.25">
      <c r="B51" s="14">
        <v>0.83333333333333304</v>
      </c>
      <c r="C51" s="113">
        <v>0</v>
      </c>
      <c r="D51" s="113">
        <v>0</v>
      </c>
      <c r="E51" s="113">
        <v>15.42969036102295</v>
      </c>
      <c r="F51" s="113"/>
      <c r="G51" s="113"/>
      <c r="H51" s="113">
        <v>15.76968002319336</v>
      </c>
      <c r="I51" s="113">
        <v>0</v>
      </c>
      <c r="J51" s="113">
        <v>21.285449981689453</v>
      </c>
      <c r="K51" s="113">
        <v>0</v>
      </c>
      <c r="L51" s="113">
        <v>268.7408142089844</v>
      </c>
      <c r="M51" s="113">
        <v>15.66117000579834</v>
      </c>
      <c r="N51" s="113">
        <v>0</v>
      </c>
      <c r="O51" s="113">
        <v>0</v>
      </c>
      <c r="P51" s="113">
        <v>0.019817190244793892</v>
      </c>
      <c r="Q51" s="113">
        <v>0</v>
      </c>
      <c r="R51" s="113">
        <v>0</v>
      </c>
      <c r="S51" s="113">
        <v>0</v>
      </c>
      <c r="T51" s="113">
        <v>0</v>
      </c>
      <c r="U51" s="124">
        <v>0</v>
      </c>
      <c r="V51" s="132">
        <v>-0.0041341171599924564</v>
      </c>
      <c r="W51" s="133">
        <v>50</v>
      </c>
      <c r="X51" s="124">
        <v>0</v>
      </c>
      <c r="Y51" s="124">
        <v>30.506729125976562</v>
      </c>
      <c r="Z51" s="124">
        <v>36.71332931518555</v>
      </c>
      <c r="AA51" s="124">
        <v>50</v>
      </c>
      <c r="AB51" s="124">
        <v>0</v>
      </c>
      <c r="AC51" s="124">
        <v>31.14872932434082</v>
      </c>
      <c r="AD51" s="124">
        <v>36.132808685302734</v>
      </c>
      <c r="AE51" s="117"/>
      <c r="AF51" s="117">
        <v>0</v>
      </c>
      <c r="AG51" s="117">
        <v>36</v>
      </c>
      <c r="AH51" s="117">
        <v>73.78457641601562</v>
      </c>
      <c r="AI51" s="117">
        <v>33.58652114868164</v>
      </c>
      <c r="AJ51" s="117">
        <v>-0.0035821686033159494</v>
      </c>
      <c r="AK51" s="117"/>
      <c r="AL51" s="118"/>
      <c r="AM51" s="134">
        <v>56</v>
      </c>
      <c r="AN51" s="125">
        <v>62</v>
      </c>
      <c r="AO51" s="117"/>
      <c r="AP51" s="117"/>
      <c r="AQ51" s="117"/>
      <c r="AR51" s="128"/>
    </row>
    <row r="52" spans="2:44" ht="13.5" customHeight="1" x14ac:dyDescent="0.25">
      <c r="B52" s="192" t="s">
        <v>460</v>
      </c>
      <c r="C52" s="193"/>
      <c r="D52" s="9" t="s">
        <v>19</v>
      </c>
      <c r="E52" s="169" t="s">
        <v>20</v>
      </c>
      <c r="F52" s="172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4"/>
      <c r="AP52" s="174"/>
      <c r="AQ52" s="174"/>
      <c r="AR52" s="175"/>
    </row>
    <row r="53" spans="2:44" ht="13.5" customHeight="1" x14ac:dyDescent="0.25">
      <c r="B53" s="168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6"/>
      <c r="AP53" s="176"/>
      <c r="AQ53" s="176"/>
      <c r="AR53" s="177"/>
    </row>
    <row r="54" spans="2:44" ht="13.5" customHeight="1" thickBot="1" x14ac:dyDescent="0.3">
      <c r="B54" s="180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8"/>
      <c r="AP54" s="178"/>
      <c r="AQ54" s="178"/>
      <c r="AR54" s="179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95" t="s">
        <v>230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</row>
    <row r="2" spans="2:58" ht="13" customHeight="1" x14ac:dyDescent="0.25">
      <c r="B2" s="242" t="s">
        <v>232</v>
      </c>
      <c r="C2" s="205"/>
      <c r="D2" s="205"/>
      <c r="E2" s="205"/>
      <c r="F2" s="205"/>
      <c r="G2" s="205"/>
      <c r="H2" s="205"/>
      <c r="I2" s="205"/>
      <c r="J2" s="205"/>
      <c r="K2" s="205"/>
      <c r="L2" s="210"/>
      <c r="M2" s="243" t="s">
        <v>231</v>
      </c>
      <c r="N2" s="205"/>
      <c r="O2" s="205"/>
      <c r="P2" s="205"/>
      <c r="Q2" s="205"/>
      <c r="R2" s="205"/>
      <c r="S2" s="205"/>
      <c r="T2" s="205"/>
      <c r="U2" s="205"/>
      <c r="V2" s="205"/>
      <c r="W2" s="210"/>
      <c r="X2" s="155" t="s">
        <v>233</v>
      </c>
      <c r="Y2" s="205"/>
      <c r="Z2" s="205"/>
      <c r="AA2" s="205"/>
      <c r="AB2" s="205"/>
      <c r="AC2" s="205"/>
      <c r="AD2" s="205"/>
      <c r="AE2" s="205"/>
      <c r="AF2" s="205"/>
      <c r="AG2" s="205"/>
      <c r="AH2" s="210"/>
      <c r="AI2" s="243" t="s">
        <v>234</v>
      </c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10"/>
      <c r="AU2" s="155" t="s">
        <v>235</v>
      </c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44"/>
    </row>
    <row r="3" spans="2:58" ht="13" customHeight="1" x14ac:dyDescent="0.25">
      <c r="B3" s="246"/>
      <c r="C3" s="230"/>
      <c r="D3" s="230"/>
      <c r="E3" s="230"/>
      <c r="F3" s="230"/>
      <c r="G3" s="230"/>
      <c r="H3" s="230"/>
      <c r="I3" s="230"/>
      <c r="J3" s="230"/>
      <c r="K3" s="230"/>
      <c r="L3" s="231"/>
      <c r="M3" s="249"/>
      <c r="N3" s="230"/>
      <c r="O3" s="230"/>
      <c r="P3" s="230"/>
      <c r="Q3" s="230"/>
      <c r="R3" s="230"/>
      <c r="S3" s="230"/>
      <c r="T3" s="230"/>
      <c r="U3" s="230"/>
      <c r="V3" s="230"/>
      <c r="W3" s="231"/>
      <c r="X3" s="237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59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1"/>
      <c r="AU3" s="237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9"/>
    </row>
    <row r="4" spans="2:58" ht="13" customHeight="1" x14ac:dyDescent="0.25">
      <c r="B4" s="247"/>
      <c r="C4" s="233"/>
      <c r="D4" s="233"/>
      <c r="E4" s="233"/>
      <c r="F4" s="233"/>
      <c r="G4" s="233"/>
      <c r="H4" s="233"/>
      <c r="I4" s="233"/>
      <c r="J4" s="233"/>
      <c r="K4" s="233"/>
      <c r="L4" s="234"/>
      <c r="M4" s="232"/>
      <c r="N4" s="233"/>
      <c r="O4" s="233"/>
      <c r="P4" s="233"/>
      <c r="Q4" s="233"/>
      <c r="R4" s="233"/>
      <c r="S4" s="233"/>
      <c r="T4" s="233"/>
      <c r="U4" s="233"/>
      <c r="V4" s="233"/>
      <c r="W4" s="234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4"/>
      <c r="AI4" s="232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4"/>
      <c r="AU4" s="232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40"/>
    </row>
    <row r="5" spans="2:58" ht="13" customHeight="1" x14ac:dyDescent="0.25">
      <c r="B5" s="247"/>
      <c r="C5" s="233"/>
      <c r="D5" s="233"/>
      <c r="E5" s="233"/>
      <c r="F5" s="233"/>
      <c r="G5" s="233"/>
      <c r="H5" s="233"/>
      <c r="I5" s="233"/>
      <c r="J5" s="233"/>
      <c r="K5" s="233"/>
      <c r="L5" s="234"/>
      <c r="M5" s="232"/>
      <c r="N5" s="233"/>
      <c r="O5" s="233"/>
      <c r="P5" s="233"/>
      <c r="Q5" s="233"/>
      <c r="R5" s="233"/>
      <c r="S5" s="233"/>
      <c r="T5" s="233"/>
      <c r="U5" s="233"/>
      <c r="V5" s="233"/>
      <c r="W5" s="234"/>
      <c r="X5" s="232"/>
      <c r="Y5" s="233"/>
      <c r="Z5" s="233"/>
      <c r="AA5" s="233"/>
      <c r="AB5" s="233"/>
      <c r="AC5" s="233"/>
      <c r="AD5" s="233"/>
      <c r="AE5" s="233"/>
      <c r="AF5" s="233"/>
      <c r="AG5" s="233"/>
      <c r="AH5" s="234"/>
      <c r="AI5" s="232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4"/>
      <c r="AU5" s="232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40"/>
    </row>
    <row r="6" spans="2:58" ht="13" customHeight="1" x14ac:dyDescent="0.25">
      <c r="B6" s="247"/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2"/>
      <c r="N6" s="233"/>
      <c r="O6" s="233"/>
      <c r="P6" s="233"/>
      <c r="Q6" s="233"/>
      <c r="R6" s="233"/>
      <c r="S6" s="233"/>
      <c r="T6" s="233"/>
      <c r="U6" s="233"/>
      <c r="V6" s="233"/>
      <c r="W6" s="234"/>
      <c r="X6" s="232"/>
      <c r="Y6" s="233"/>
      <c r="Z6" s="233"/>
      <c r="AA6" s="233"/>
      <c r="AB6" s="233"/>
      <c r="AC6" s="233"/>
      <c r="AD6" s="233"/>
      <c r="AE6" s="233"/>
      <c r="AF6" s="233"/>
      <c r="AG6" s="233"/>
      <c r="AH6" s="234"/>
      <c r="AI6" s="232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4"/>
      <c r="AU6" s="232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40"/>
    </row>
    <row r="7" spans="2:58" ht="13" customHeight="1" x14ac:dyDescent="0.25">
      <c r="B7" s="247"/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232"/>
      <c r="N7" s="233"/>
      <c r="O7" s="233"/>
      <c r="P7" s="233"/>
      <c r="Q7" s="233"/>
      <c r="R7" s="233"/>
      <c r="S7" s="233"/>
      <c r="T7" s="233"/>
      <c r="U7" s="233"/>
      <c r="V7" s="233"/>
      <c r="W7" s="234"/>
      <c r="X7" s="232"/>
      <c r="Y7" s="233"/>
      <c r="Z7" s="233"/>
      <c r="AA7" s="233"/>
      <c r="AB7" s="233"/>
      <c r="AC7" s="233"/>
      <c r="AD7" s="233"/>
      <c r="AE7" s="233"/>
      <c r="AF7" s="233"/>
      <c r="AG7" s="233"/>
      <c r="AH7" s="234"/>
      <c r="AI7" s="232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4"/>
      <c r="AU7" s="232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40"/>
    </row>
    <row r="8" spans="2:58" ht="13" customHeight="1" x14ac:dyDescent="0.25">
      <c r="B8" s="247"/>
      <c r="C8" s="233"/>
      <c r="D8" s="233"/>
      <c r="E8" s="233"/>
      <c r="F8" s="233"/>
      <c r="G8" s="233"/>
      <c r="H8" s="233"/>
      <c r="I8" s="233"/>
      <c r="J8" s="233"/>
      <c r="K8" s="233"/>
      <c r="L8" s="234"/>
      <c r="M8" s="232"/>
      <c r="N8" s="233"/>
      <c r="O8" s="233"/>
      <c r="P8" s="233"/>
      <c r="Q8" s="233"/>
      <c r="R8" s="233"/>
      <c r="S8" s="233"/>
      <c r="T8" s="233"/>
      <c r="U8" s="233"/>
      <c r="V8" s="233"/>
      <c r="W8" s="234"/>
      <c r="X8" s="232"/>
      <c r="Y8" s="233"/>
      <c r="Z8" s="233"/>
      <c r="AA8" s="233"/>
      <c r="AB8" s="233"/>
      <c r="AC8" s="233"/>
      <c r="AD8" s="233"/>
      <c r="AE8" s="233"/>
      <c r="AF8" s="233"/>
      <c r="AG8" s="233"/>
      <c r="AH8" s="234"/>
      <c r="AI8" s="232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4"/>
      <c r="AU8" s="232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40"/>
    </row>
    <row r="9" spans="2:58" ht="13" customHeight="1" x14ac:dyDescent="0.25">
      <c r="B9" s="248"/>
      <c r="C9" s="236"/>
      <c r="D9" s="236"/>
      <c r="E9" s="236"/>
      <c r="F9" s="236"/>
      <c r="G9" s="236"/>
      <c r="H9" s="236"/>
      <c r="I9" s="236"/>
      <c r="J9" s="236"/>
      <c r="K9" s="236"/>
      <c r="L9" s="193"/>
      <c r="M9" s="235"/>
      <c r="N9" s="236"/>
      <c r="O9" s="236"/>
      <c r="P9" s="236"/>
      <c r="Q9" s="236"/>
      <c r="R9" s="236"/>
      <c r="S9" s="236"/>
      <c r="T9" s="236"/>
      <c r="U9" s="236"/>
      <c r="V9" s="236"/>
      <c r="W9" s="193"/>
      <c r="X9" s="235"/>
      <c r="Y9" s="236"/>
      <c r="Z9" s="236"/>
      <c r="AA9" s="236"/>
      <c r="AB9" s="236"/>
      <c r="AC9" s="236"/>
      <c r="AD9" s="236"/>
      <c r="AE9" s="236"/>
      <c r="AF9" s="236"/>
      <c r="AG9" s="236"/>
      <c r="AH9" s="193"/>
      <c r="AI9" s="235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193"/>
      <c r="AU9" s="235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41"/>
    </row>
    <row r="10" spans="2:58" ht="13" customHeight="1" x14ac:dyDescent="0.25">
      <c r="B10" s="225" t="s">
        <v>236</v>
      </c>
      <c r="C10" s="223"/>
      <c r="D10" s="223"/>
      <c r="E10" s="223"/>
      <c r="F10" s="223"/>
      <c r="G10" s="223"/>
      <c r="H10" s="223"/>
      <c r="I10" s="223"/>
      <c r="J10" s="223"/>
      <c r="K10" s="223"/>
      <c r="L10" s="194"/>
      <c r="M10" s="245" t="s">
        <v>237</v>
      </c>
      <c r="N10" s="223"/>
      <c r="O10" s="223"/>
      <c r="P10" s="223"/>
      <c r="Q10" s="223"/>
      <c r="R10" s="223"/>
      <c r="S10" s="223"/>
      <c r="T10" s="223"/>
      <c r="U10" s="223"/>
      <c r="V10" s="223"/>
      <c r="W10" s="194"/>
      <c r="X10" s="200" t="s">
        <v>238</v>
      </c>
      <c r="Y10" s="223"/>
      <c r="Z10" s="223"/>
      <c r="AA10" s="223"/>
      <c r="AB10" s="223"/>
      <c r="AC10" s="223"/>
      <c r="AD10" s="223"/>
      <c r="AE10" s="223"/>
      <c r="AF10" s="223"/>
      <c r="AG10" s="223"/>
      <c r="AH10" s="194"/>
      <c r="AI10" s="200" t="s">
        <v>239</v>
      </c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194"/>
      <c r="AU10" s="176" t="s">
        <v>240</v>
      </c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7"/>
    </row>
    <row r="11" spans="2:58" ht="13" customHeight="1" x14ac:dyDescent="0.25">
      <c r="B11" s="246"/>
      <c r="C11" s="230"/>
      <c r="D11" s="230"/>
      <c r="E11" s="230"/>
      <c r="F11" s="230"/>
      <c r="G11" s="230"/>
      <c r="H11" s="230"/>
      <c r="I11" s="230"/>
      <c r="J11" s="230"/>
      <c r="K11" s="230"/>
      <c r="L11" s="231"/>
      <c r="M11" s="249"/>
      <c r="N11" s="230"/>
      <c r="O11" s="230"/>
      <c r="P11" s="230"/>
      <c r="Q11" s="230"/>
      <c r="R11" s="230"/>
      <c r="S11" s="230"/>
      <c r="T11" s="230"/>
      <c r="U11" s="230"/>
      <c r="V11" s="230"/>
      <c r="W11" s="231"/>
      <c r="X11" s="249"/>
      <c r="Y11" s="230"/>
      <c r="Z11" s="230"/>
      <c r="AA11" s="230"/>
      <c r="AB11" s="230"/>
      <c r="AC11" s="230"/>
      <c r="AD11" s="230"/>
      <c r="AE11" s="230"/>
      <c r="AF11" s="230"/>
      <c r="AG11" s="230"/>
      <c r="AH11" s="231"/>
      <c r="AI11" s="249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1"/>
      <c r="AU11" s="238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39"/>
    </row>
    <row r="12" spans="2:58" ht="13" customHeight="1" x14ac:dyDescent="0.25">
      <c r="B12" s="247"/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2"/>
      <c r="N12" s="233"/>
      <c r="O12" s="233"/>
      <c r="P12" s="233"/>
      <c r="Q12" s="233"/>
      <c r="R12" s="233"/>
      <c r="S12" s="233"/>
      <c r="T12" s="233"/>
      <c r="U12" s="233"/>
      <c r="V12" s="233"/>
      <c r="W12" s="234"/>
      <c r="X12" s="232"/>
      <c r="Y12" s="233"/>
      <c r="Z12" s="233"/>
      <c r="AA12" s="233"/>
      <c r="AB12" s="233"/>
      <c r="AC12" s="233"/>
      <c r="AD12" s="233"/>
      <c r="AE12" s="233"/>
      <c r="AF12" s="233"/>
      <c r="AG12" s="233"/>
      <c r="AH12" s="234"/>
      <c r="AI12" s="232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4"/>
      <c r="AU12" s="232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40"/>
    </row>
    <row r="13" spans="2:58" ht="13" customHeight="1" x14ac:dyDescent="0.25">
      <c r="B13" s="247"/>
      <c r="C13" s="233"/>
      <c r="D13" s="233"/>
      <c r="E13" s="233"/>
      <c r="F13" s="233"/>
      <c r="G13" s="233"/>
      <c r="H13" s="233"/>
      <c r="I13" s="233"/>
      <c r="J13" s="233"/>
      <c r="K13" s="233"/>
      <c r="L13" s="234"/>
      <c r="M13" s="232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32"/>
      <c r="Y13" s="233"/>
      <c r="Z13" s="233"/>
      <c r="AA13" s="233"/>
      <c r="AB13" s="233"/>
      <c r="AC13" s="233"/>
      <c r="AD13" s="233"/>
      <c r="AE13" s="233"/>
      <c r="AF13" s="233"/>
      <c r="AG13" s="233"/>
      <c r="AH13" s="234"/>
      <c r="AI13" s="232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4"/>
      <c r="AU13" s="232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40"/>
    </row>
    <row r="14" spans="2:58" ht="13" customHeight="1" x14ac:dyDescent="0.25">
      <c r="B14" s="247"/>
      <c r="C14" s="233"/>
      <c r="D14" s="233"/>
      <c r="E14" s="233"/>
      <c r="F14" s="233"/>
      <c r="G14" s="233"/>
      <c r="H14" s="233"/>
      <c r="I14" s="233"/>
      <c r="J14" s="233"/>
      <c r="K14" s="233"/>
      <c r="L14" s="234"/>
      <c r="M14" s="232"/>
      <c r="N14" s="233"/>
      <c r="O14" s="233"/>
      <c r="P14" s="233"/>
      <c r="Q14" s="233"/>
      <c r="R14" s="233"/>
      <c r="S14" s="233"/>
      <c r="T14" s="233"/>
      <c r="U14" s="233"/>
      <c r="V14" s="233"/>
      <c r="W14" s="234"/>
      <c r="X14" s="232"/>
      <c r="Y14" s="233"/>
      <c r="Z14" s="233"/>
      <c r="AA14" s="233"/>
      <c r="AB14" s="233"/>
      <c r="AC14" s="233"/>
      <c r="AD14" s="233"/>
      <c r="AE14" s="233"/>
      <c r="AF14" s="233"/>
      <c r="AG14" s="233"/>
      <c r="AH14" s="234"/>
      <c r="AI14" s="232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4"/>
      <c r="AU14" s="232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40"/>
    </row>
    <row r="15" spans="2:58" ht="13" customHeight="1" x14ac:dyDescent="0.25">
      <c r="B15" s="247"/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232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32"/>
      <c r="Y15" s="233"/>
      <c r="Z15" s="233"/>
      <c r="AA15" s="233"/>
      <c r="AB15" s="233"/>
      <c r="AC15" s="233"/>
      <c r="AD15" s="233"/>
      <c r="AE15" s="233"/>
      <c r="AF15" s="233"/>
      <c r="AG15" s="233"/>
      <c r="AH15" s="234"/>
      <c r="AI15" s="232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4"/>
      <c r="AU15" s="232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40"/>
    </row>
    <row r="16" spans="2:58" ht="13" customHeight="1" x14ac:dyDescent="0.25">
      <c r="B16" s="247"/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2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32"/>
      <c r="Y16" s="233"/>
      <c r="Z16" s="233"/>
      <c r="AA16" s="233"/>
      <c r="AB16" s="233"/>
      <c r="AC16" s="233"/>
      <c r="AD16" s="233"/>
      <c r="AE16" s="233"/>
      <c r="AF16" s="233"/>
      <c r="AG16" s="233"/>
      <c r="AH16" s="234"/>
      <c r="AI16" s="232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4"/>
      <c r="AU16" s="232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40"/>
    </row>
    <row r="17" spans="2:58" ht="13" customHeight="1" x14ac:dyDescent="0.25">
      <c r="B17" s="248"/>
      <c r="C17" s="236"/>
      <c r="D17" s="236"/>
      <c r="E17" s="236"/>
      <c r="F17" s="236"/>
      <c r="G17" s="236"/>
      <c r="H17" s="236"/>
      <c r="I17" s="236"/>
      <c r="J17" s="236"/>
      <c r="K17" s="236"/>
      <c r="L17" s="193"/>
      <c r="M17" s="235"/>
      <c r="N17" s="236"/>
      <c r="O17" s="236"/>
      <c r="P17" s="236"/>
      <c r="Q17" s="236"/>
      <c r="R17" s="236"/>
      <c r="S17" s="236"/>
      <c r="T17" s="236"/>
      <c r="U17" s="236"/>
      <c r="V17" s="236"/>
      <c r="W17" s="193"/>
      <c r="X17" s="235"/>
      <c r="Y17" s="236"/>
      <c r="Z17" s="236"/>
      <c r="AA17" s="236"/>
      <c r="AB17" s="236"/>
      <c r="AC17" s="236"/>
      <c r="AD17" s="236"/>
      <c r="AE17" s="236"/>
      <c r="AF17" s="236"/>
      <c r="AG17" s="236"/>
      <c r="AH17" s="193"/>
      <c r="AI17" s="235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193"/>
      <c r="AU17" s="235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41"/>
    </row>
    <row r="18" spans="2:58" ht="13" customHeight="1" x14ac:dyDescent="0.25">
      <c r="B18" s="225" t="s">
        <v>241</v>
      </c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58" t="s">
        <v>242</v>
      </c>
      <c r="N18" s="223"/>
      <c r="O18" s="223"/>
      <c r="P18" s="223"/>
      <c r="Q18" s="223"/>
      <c r="R18" s="223"/>
      <c r="S18" s="223"/>
      <c r="T18" s="223"/>
      <c r="U18" s="223"/>
      <c r="V18" s="223"/>
      <c r="W18" s="194"/>
      <c r="X18" s="257" t="s">
        <v>243</v>
      </c>
      <c r="Y18" s="223"/>
      <c r="Z18" s="223"/>
      <c r="AA18" s="223"/>
      <c r="AB18" s="223"/>
      <c r="AC18" s="223"/>
      <c r="AD18" s="223"/>
      <c r="AE18" s="223"/>
      <c r="AF18" s="223"/>
      <c r="AG18" s="223"/>
      <c r="AH18" s="194"/>
      <c r="AI18" s="162" t="s">
        <v>244</v>
      </c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194"/>
      <c r="AU18" s="176" t="s">
        <v>245</v>
      </c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7"/>
    </row>
    <row r="19" spans="2:58" ht="13" customHeight="1" x14ac:dyDescent="0.25">
      <c r="B19" s="246"/>
      <c r="C19" s="230"/>
      <c r="D19" s="230"/>
      <c r="E19" s="230"/>
      <c r="F19" s="230"/>
      <c r="G19" s="230"/>
      <c r="H19" s="230"/>
      <c r="I19" s="230"/>
      <c r="J19" s="230"/>
      <c r="K19" s="230"/>
      <c r="L19" s="231"/>
      <c r="M19" s="260"/>
      <c r="N19" s="230"/>
      <c r="O19" s="230"/>
      <c r="P19" s="230"/>
      <c r="Q19" s="230"/>
      <c r="R19" s="230"/>
      <c r="S19" s="230"/>
      <c r="T19" s="230"/>
      <c r="U19" s="230"/>
      <c r="V19" s="230"/>
      <c r="W19" s="231"/>
      <c r="X19" s="229"/>
      <c r="Y19" s="230"/>
      <c r="Z19" s="230"/>
      <c r="AA19" s="230"/>
      <c r="AB19" s="230"/>
      <c r="AC19" s="230"/>
      <c r="AD19" s="230"/>
      <c r="AE19" s="230"/>
      <c r="AF19" s="230"/>
      <c r="AG19" s="230"/>
      <c r="AH19" s="231"/>
      <c r="AI19" s="237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1"/>
      <c r="AU19" s="238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9"/>
    </row>
    <row r="20" spans="2:58" ht="13" customHeight="1" x14ac:dyDescent="0.25">
      <c r="B20" s="247"/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2"/>
      <c r="N20" s="233"/>
      <c r="O20" s="233"/>
      <c r="P20" s="233"/>
      <c r="Q20" s="233"/>
      <c r="R20" s="233"/>
      <c r="S20" s="233"/>
      <c r="T20" s="233"/>
      <c r="U20" s="233"/>
      <c r="V20" s="233"/>
      <c r="W20" s="234"/>
      <c r="X20" s="232"/>
      <c r="Y20" s="233"/>
      <c r="Z20" s="233"/>
      <c r="AA20" s="233"/>
      <c r="AB20" s="233"/>
      <c r="AC20" s="233"/>
      <c r="AD20" s="233"/>
      <c r="AE20" s="233"/>
      <c r="AF20" s="233"/>
      <c r="AG20" s="233"/>
      <c r="AH20" s="234"/>
      <c r="AI20" s="232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4"/>
      <c r="AU20" s="232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40"/>
    </row>
    <row r="21" spans="2:58" ht="13" customHeight="1" x14ac:dyDescent="0.25">
      <c r="B21" s="247"/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2"/>
      <c r="N21" s="233"/>
      <c r="O21" s="233"/>
      <c r="P21" s="233"/>
      <c r="Q21" s="233"/>
      <c r="R21" s="233"/>
      <c r="S21" s="233"/>
      <c r="T21" s="233"/>
      <c r="U21" s="233"/>
      <c r="V21" s="233"/>
      <c r="W21" s="234"/>
      <c r="X21" s="232"/>
      <c r="Y21" s="233"/>
      <c r="Z21" s="233"/>
      <c r="AA21" s="233"/>
      <c r="AB21" s="233"/>
      <c r="AC21" s="233"/>
      <c r="AD21" s="233"/>
      <c r="AE21" s="233"/>
      <c r="AF21" s="233"/>
      <c r="AG21" s="233"/>
      <c r="AH21" s="234"/>
      <c r="AI21" s="232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4"/>
      <c r="AU21" s="232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40"/>
    </row>
    <row r="22" spans="2:58" ht="13" customHeight="1" x14ac:dyDescent="0.25">
      <c r="B22" s="247"/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2"/>
      <c r="N22" s="233"/>
      <c r="O22" s="233"/>
      <c r="P22" s="233"/>
      <c r="Q22" s="233"/>
      <c r="R22" s="233"/>
      <c r="S22" s="233"/>
      <c r="T22" s="233"/>
      <c r="U22" s="233"/>
      <c r="V22" s="233"/>
      <c r="W22" s="234"/>
      <c r="X22" s="232"/>
      <c r="Y22" s="233"/>
      <c r="Z22" s="233"/>
      <c r="AA22" s="233"/>
      <c r="AB22" s="233"/>
      <c r="AC22" s="233"/>
      <c r="AD22" s="233"/>
      <c r="AE22" s="233"/>
      <c r="AF22" s="233"/>
      <c r="AG22" s="233"/>
      <c r="AH22" s="234"/>
      <c r="AI22" s="232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4"/>
      <c r="AU22" s="232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40"/>
    </row>
    <row r="23" spans="2:58" ht="13" customHeight="1" x14ac:dyDescent="0.25">
      <c r="B23" s="247"/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2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32"/>
      <c r="Y23" s="233"/>
      <c r="Z23" s="233"/>
      <c r="AA23" s="233"/>
      <c r="AB23" s="233"/>
      <c r="AC23" s="233"/>
      <c r="AD23" s="233"/>
      <c r="AE23" s="233"/>
      <c r="AF23" s="233"/>
      <c r="AG23" s="233"/>
      <c r="AH23" s="234"/>
      <c r="AI23" s="232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4"/>
      <c r="AU23" s="232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40"/>
    </row>
    <row r="24" spans="2:58" ht="13" customHeight="1" x14ac:dyDescent="0.25">
      <c r="B24" s="248"/>
      <c r="C24" s="236"/>
      <c r="D24" s="236"/>
      <c r="E24" s="236"/>
      <c r="F24" s="236"/>
      <c r="G24" s="236"/>
      <c r="H24" s="236"/>
      <c r="I24" s="236"/>
      <c r="J24" s="236"/>
      <c r="K24" s="236"/>
      <c r="L24" s="193"/>
      <c r="M24" s="235"/>
      <c r="N24" s="236"/>
      <c r="O24" s="236"/>
      <c r="P24" s="236"/>
      <c r="Q24" s="236"/>
      <c r="R24" s="236"/>
      <c r="S24" s="236"/>
      <c r="T24" s="236"/>
      <c r="U24" s="236"/>
      <c r="V24" s="236"/>
      <c r="W24" s="193"/>
      <c r="X24" s="235"/>
      <c r="Y24" s="236"/>
      <c r="Z24" s="236"/>
      <c r="AA24" s="236"/>
      <c r="AB24" s="236"/>
      <c r="AC24" s="236"/>
      <c r="AD24" s="236"/>
      <c r="AE24" s="236"/>
      <c r="AF24" s="236"/>
      <c r="AG24" s="236"/>
      <c r="AH24" s="193"/>
      <c r="AI24" s="235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193"/>
      <c r="AU24" s="235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41"/>
    </row>
    <row r="25" spans="2:58" ht="13" customHeight="1" x14ac:dyDescent="0.25">
      <c r="B25" s="225" t="s">
        <v>246</v>
      </c>
      <c r="C25" s="223"/>
      <c r="D25" s="223"/>
      <c r="E25" s="223"/>
      <c r="F25" s="223"/>
      <c r="G25" s="223"/>
      <c r="H25" s="223"/>
      <c r="I25" s="223"/>
      <c r="J25" s="223"/>
      <c r="K25" s="223"/>
      <c r="L25" s="194"/>
      <c r="M25" s="200" t="s">
        <v>247</v>
      </c>
      <c r="N25" s="223"/>
      <c r="O25" s="223"/>
      <c r="P25" s="223"/>
      <c r="Q25" s="223"/>
      <c r="R25" s="223"/>
      <c r="S25" s="223"/>
      <c r="T25" s="223"/>
      <c r="U25" s="223"/>
      <c r="V25" s="223"/>
      <c r="W25" s="194"/>
      <c r="X25" s="226" t="s">
        <v>248</v>
      </c>
      <c r="Y25" s="223"/>
      <c r="Z25" s="223"/>
      <c r="AA25" s="223"/>
      <c r="AB25" s="223"/>
      <c r="AC25" s="223"/>
      <c r="AD25" s="223"/>
      <c r="AE25" s="223"/>
      <c r="AF25" s="223"/>
      <c r="AG25" s="223"/>
      <c r="AH25" s="194"/>
      <c r="AI25" s="176" t="s">
        <v>249</v>
      </c>
      <c r="AJ25" s="223"/>
      <c r="AK25" s="223"/>
      <c r="AL25" s="223"/>
      <c r="AM25" s="223"/>
      <c r="AN25" s="223"/>
      <c r="AO25" s="223"/>
      <c r="AP25" s="223"/>
      <c r="AQ25" s="223"/>
      <c r="AR25" s="223"/>
      <c r="AS25" s="223"/>
      <c r="AT25" s="194"/>
      <c r="AU25" s="176" t="s">
        <v>250</v>
      </c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7"/>
    </row>
    <row r="26" spans="2:58" ht="13" customHeight="1" x14ac:dyDescent="0.25">
      <c r="B26" s="246"/>
      <c r="C26" s="230"/>
      <c r="D26" s="230"/>
      <c r="E26" s="230"/>
      <c r="F26" s="230"/>
      <c r="G26" s="230"/>
      <c r="H26" s="230"/>
      <c r="I26" s="230"/>
      <c r="J26" s="230"/>
      <c r="K26" s="230"/>
      <c r="L26" s="231"/>
      <c r="M26" s="254"/>
      <c r="N26" s="230"/>
      <c r="O26" s="230"/>
      <c r="P26" s="230"/>
      <c r="Q26" s="230"/>
      <c r="R26" s="230"/>
      <c r="S26" s="230"/>
      <c r="T26" s="230"/>
      <c r="U26" s="230"/>
      <c r="V26" s="230"/>
      <c r="W26" s="231"/>
      <c r="X26" s="250"/>
      <c r="Y26" s="230"/>
      <c r="Z26" s="230"/>
      <c r="AA26" s="230"/>
      <c r="AB26" s="230"/>
      <c r="AC26" s="230"/>
      <c r="AD26" s="230"/>
      <c r="AE26" s="230"/>
      <c r="AF26" s="230"/>
      <c r="AG26" s="230"/>
      <c r="AH26" s="231"/>
      <c r="AI26" s="238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1"/>
      <c r="AU26" s="238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39"/>
    </row>
    <row r="27" spans="2:58" ht="13" customHeight="1" x14ac:dyDescent="0.25">
      <c r="B27" s="247"/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2"/>
      <c r="N27" s="233"/>
      <c r="O27" s="233"/>
      <c r="P27" s="233"/>
      <c r="Q27" s="233"/>
      <c r="R27" s="233"/>
      <c r="S27" s="233"/>
      <c r="T27" s="233"/>
      <c r="U27" s="233"/>
      <c r="V27" s="233"/>
      <c r="W27" s="234"/>
      <c r="X27" s="232"/>
      <c r="Y27" s="233"/>
      <c r="Z27" s="233"/>
      <c r="AA27" s="233"/>
      <c r="AB27" s="233"/>
      <c r="AC27" s="233"/>
      <c r="AD27" s="233"/>
      <c r="AE27" s="233"/>
      <c r="AF27" s="233"/>
      <c r="AG27" s="233"/>
      <c r="AH27" s="234"/>
      <c r="AI27" s="232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4"/>
      <c r="AU27" s="232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40"/>
    </row>
    <row r="28" spans="2:58" ht="13" customHeight="1" x14ac:dyDescent="0.25">
      <c r="B28" s="247"/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2"/>
      <c r="N28" s="233"/>
      <c r="O28" s="233"/>
      <c r="P28" s="233"/>
      <c r="Q28" s="233"/>
      <c r="R28" s="233"/>
      <c r="S28" s="233"/>
      <c r="T28" s="233"/>
      <c r="U28" s="233"/>
      <c r="V28" s="233"/>
      <c r="W28" s="234"/>
      <c r="X28" s="232"/>
      <c r="Y28" s="233"/>
      <c r="Z28" s="233"/>
      <c r="AA28" s="233"/>
      <c r="AB28" s="233"/>
      <c r="AC28" s="233"/>
      <c r="AD28" s="233"/>
      <c r="AE28" s="233"/>
      <c r="AF28" s="233"/>
      <c r="AG28" s="233"/>
      <c r="AH28" s="234"/>
      <c r="AI28" s="232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4"/>
      <c r="AU28" s="232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40"/>
    </row>
    <row r="29" spans="2:58" ht="13" customHeight="1" x14ac:dyDescent="0.25">
      <c r="B29" s="247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2"/>
      <c r="N29" s="233"/>
      <c r="O29" s="233"/>
      <c r="P29" s="233"/>
      <c r="Q29" s="233"/>
      <c r="R29" s="233"/>
      <c r="S29" s="233"/>
      <c r="T29" s="233"/>
      <c r="U29" s="233"/>
      <c r="V29" s="233"/>
      <c r="W29" s="234"/>
      <c r="X29" s="232"/>
      <c r="Y29" s="233"/>
      <c r="Z29" s="233"/>
      <c r="AA29" s="233"/>
      <c r="AB29" s="233"/>
      <c r="AC29" s="233"/>
      <c r="AD29" s="233"/>
      <c r="AE29" s="233"/>
      <c r="AF29" s="233"/>
      <c r="AG29" s="233"/>
      <c r="AH29" s="234"/>
      <c r="AI29" s="232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4"/>
      <c r="AU29" s="232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40"/>
    </row>
    <row r="30" spans="2:58" ht="13" customHeight="1" x14ac:dyDescent="0.25">
      <c r="B30" s="247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2"/>
      <c r="N30" s="233"/>
      <c r="O30" s="233"/>
      <c r="P30" s="233"/>
      <c r="Q30" s="233"/>
      <c r="R30" s="233"/>
      <c r="S30" s="233"/>
      <c r="T30" s="233"/>
      <c r="U30" s="233"/>
      <c r="V30" s="233"/>
      <c r="W30" s="234"/>
      <c r="X30" s="232"/>
      <c r="Y30" s="233"/>
      <c r="Z30" s="233"/>
      <c r="AA30" s="233"/>
      <c r="AB30" s="233"/>
      <c r="AC30" s="233"/>
      <c r="AD30" s="233"/>
      <c r="AE30" s="233"/>
      <c r="AF30" s="233"/>
      <c r="AG30" s="233"/>
      <c r="AH30" s="234"/>
      <c r="AI30" s="232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4"/>
      <c r="AU30" s="232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40"/>
    </row>
    <row r="31" spans="2:58" ht="13" customHeight="1" x14ac:dyDescent="0.25">
      <c r="B31" s="248"/>
      <c r="C31" s="236"/>
      <c r="D31" s="236"/>
      <c r="E31" s="236"/>
      <c r="F31" s="236"/>
      <c r="G31" s="236"/>
      <c r="H31" s="236"/>
      <c r="I31" s="236"/>
      <c r="J31" s="236"/>
      <c r="K31" s="236"/>
      <c r="L31" s="193"/>
      <c r="M31" s="235"/>
      <c r="N31" s="236"/>
      <c r="O31" s="236"/>
      <c r="P31" s="236"/>
      <c r="Q31" s="236"/>
      <c r="R31" s="236"/>
      <c r="S31" s="236"/>
      <c r="T31" s="236"/>
      <c r="U31" s="236"/>
      <c r="V31" s="236"/>
      <c r="W31" s="193"/>
      <c r="X31" s="235"/>
      <c r="Y31" s="236"/>
      <c r="Z31" s="236"/>
      <c r="AA31" s="236"/>
      <c r="AB31" s="236"/>
      <c r="AC31" s="236"/>
      <c r="AD31" s="236"/>
      <c r="AE31" s="236"/>
      <c r="AF31" s="236"/>
      <c r="AG31" s="236"/>
      <c r="AH31" s="193"/>
      <c r="AI31" s="235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193"/>
      <c r="AU31" s="235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41"/>
    </row>
    <row r="32" spans="2:58" ht="13" customHeight="1" x14ac:dyDescent="0.25">
      <c r="B32" s="225" t="s">
        <v>251</v>
      </c>
      <c r="C32" s="223"/>
      <c r="D32" s="223"/>
      <c r="E32" s="223"/>
      <c r="F32" s="223"/>
      <c r="G32" s="223"/>
      <c r="H32" s="223"/>
      <c r="I32" s="223"/>
      <c r="J32" s="223"/>
      <c r="K32" s="223"/>
      <c r="L32" s="194"/>
      <c r="M32" s="228" t="s">
        <v>252</v>
      </c>
      <c r="N32" s="223"/>
      <c r="O32" s="223"/>
      <c r="P32" s="223"/>
      <c r="Q32" s="223"/>
      <c r="R32" s="223"/>
      <c r="S32" s="223"/>
      <c r="T32" s="223"/>
      <c r="U32" s="223"/>
      <c r="V32" s="223"/>
      <c r="W32" s="194"/>
      <c r="X32" s="226" t="s">
        <v>253</v>
      </c>
      <c r="Y32" s="223"/>
      <c r="Z32" s="223"/>
      <c r="AA32" s="223"/>
      <c r="AB32" s="223"/>
      <c r="AC32" s="223"/>
      <c r="AD32" s="223"/>
      <c r="AE32" s="223"/>
      <c r="AF32" s="223"/>
      <c r="AG32" s="223"/>
      <c r="AH32" s="194"/>
      <c r="AI32" s="176" t="s">
        <v>254</v>
      </c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194"/>
      <c r="AU32" s="176" t="s">
        <v>255</v>
      </c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7"/>
    </row>
    <row r="33" spans="2:58" ht="13" customHeight="1" x14ac:dyDescent="0.25">
      <c r="B33" s="246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49"/>
      <c r="N33" s="230"/>
      <c r="O33" s="230"/>
      <c r="P33" s="230"/>
      <c r="Q33" s="230"/>
      <c r="R33" s="230"/>
      <c r="S33" s="230"/>
      <c r="T33" s="230"/>
      <c r="U33" s="230"/>
      <c r="V33" s="230"/>
      <c r="W33" s="231"/>
      <c r="X33" s="250"/>
      <c r="Y33" s="230"/>
      <c r="Z33" s="230"/>
      <c r="AA33" s="230"/>
      <c r="AB33" s="230"/>
      <c r="AC33" s="230"/>
      <c r="AD33" s="230"/>
      <c r="AE33" s="230"/>
      <c r="AF33" s="230"/>
      <c r="AG33" s="230"/>
      <c r="AH33" s="231"/>
      <c r="AI33" s="238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1"/>
      <c r="AU33" s="238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9"/>
    </row>
    <row r="34" spans="2:58" ht="13" customHeight="1" x14ac:dyDescent="0.25">
      <c r="B34" s="247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232"/>
      <c r="N34" s="233"/>
      <c r="O34" s="233"/>
      <c r="P34" s="233"/>
      <c r="Q34" s="233"/>
      <c r="R34" s="233"/>
      <c r="S34" s="233"/>
      <c r="T34" s="233"/>
      <c r="U34" s="233"/>
      <c r="V34" s="233"/>
      <c r="W34" s="234"/>
      <c r="X34" s="232"/>
      <c r="Y34" s="233"/>
      <c r="Z34" s="233"/>
      <c r="AA34" s="233"/>
      <c r="AB34" s="233"/>
      <c r="AC34" s="233"/>
      <c r="AD34" s="233"/>
      <c r="AE34" s="233"/>
      <c r="AF34" s="233"/>
      <c r="AG34" s="233"/>
      <c r="AH34" s="234"/>
      <c r="AI34" s="232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4"/>
      <c r="AU34" s="232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40"/>
    </row>
    <row r="35" spans="2:58" ht="13" customHeight="1" x14ac:dyDescent="0.25">
      <c r="B35" s="247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32"/>
      <c r="N35" s="233"/>
      <c r="O35" s="233"/>
      <c r="P35" s="233"/>
      <c r="Q35" s="233"/>
      <c r="R35" s="233"/>
      <c r="S35" s="233"/>
      <c r="T35" s="233"/>
      <c r="U35" s="233"/>
      <c r="V35" s="233"/>
      <c r="W35" s="234"/>
      <c r="X35" s="232"/>
      <c r="Y35" s="233"/>
      <c r="Z35" s="233"/>
      <c r="AA35" s="233"/>
      <c r="AB35" s="233"/>
      <c r="AC35" s="233"/>
      <c r="AD35" s="233"/>
      <c r="AE35" s="233"/>
      <c r="AF35" s="233"/>
      <c r="AG35" s="233"/>
      <c r="AH35" s="234"/>
      <c r="AI35" s="232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4"/>
      <c r="AU35" s="232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40"/>
    </row>
    <row r="36" spans="2:58" ht="13" customHeight="1" x14ac:dyDescent="0.25">
      <c r="B36" s="247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32"/>
      <c r="N36" s="233"/>
      <c r="O36" s="233"/>
      <c r="P36" s="233"/>
      <c r="Q36" s="233"/>
      <c r="R36" s="233"/>
      <c r="S36" s="233"/>
      <c r="T36" s="233"/>
      <c r="U36" s="233"/>
      <c r="V36" s="233"/>
      <c r="W36" s="234"/>
      <c r="X36" s="232"/>
      <c r="Y36" s="233"/>
      <c r="Z36" s="233"/>
      <c r="AA36" s="233"/>
      <c r="AB36" s="233"/>
      <c r="AC36" s="233"/>
      <c r="AD36" s="233"/>
      <c r="AE36" s="233"/>
      <c r="AF36" s="233"/>
      <c r="AG36" s="233"/>
      <c r="AH36" s="234"/>
      <c r="AI36" s="232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4"/>
      <c r="AU36" s="232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40"/>
    </row>
    <row r="37" spans="2:58" ht="13" customHeight="1" x14ac:dyDescent="0.25">
      <c r="B37" s="247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32"/>
      <c r="N37" s="233"/>
      <c r="O37" s="233"/>
      <c r="P37" s="233"/>
      <c r="Q37" s="233"/>
      <c r="R37" s="233"/>
      <c r="S37" s="233"/>
      <c r="T37" s="233"/>
      <c r="U37" s="233"/>
      <c r="V37" s="233"/>
      <c r="W37" s="234"/>
      <c r="X37" s="232"/>
      <c r="Y37" s="233"/>
      <c r="Z37" s="233"/>
      <c r="AA37" s="233"/>
      <c r="AB37" s="233"/>
      <c r="AC37" s="233"/>
      <c r="AD37" s="233"/>
      <c r="AE37" s="233"/>
      <c r="AF37" s="233"/>
      <c r="AG37" s="233"/>
      <c r="AH37" s="234"/>
      <c r="AI37" s="232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4"/>
      <c r="AU37" s="232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40"/>
    </row>
    <row r="38" spans="2:58" ht="13" customHeight="1" x14ac:dyDescent="0.25">
      <c r="B38" s="248"/>
      <c r="C38" s="236"/>
      <c r="D38" s="236"/>
      <c r="E38" s="236"/>
      <c r="F38" s="236"/>
      <c r="G38" s="236"/>
      <c r="H38" s="236"/>
      <c r="I38" s="236"/>
      <c r="J38" s="236"/>
      <c r="K38" s="236"/>
      <c r="L38" s="193"/>
      <c r="M38" s="235"/>
      <c r="N38" s="236"/>
      <c r="O38" s="236"/>
      <c r="P38" s="236"/>
      <c r="Q38" s="236"/>
      <c r="R38" s="236"/>
      <c r="S38" s="236"/>
      <c r="T38" s="236"/>
      <c r="U38" s="236"/>
      <c r="V38" s="236"/>
      <c r="W38" s="193"/>
      <c r="X38" s="235"/>
      <c r="Y38" s="236"/>
      <c r="Z38" s="236"/>
      <c r="AA38" s="236"/>
      <c r="AB38" s="236"/>
      <c r="AC38" s="236"/>
      <c r="AD38" s="236"/>
      <c r="AE38" s="236"/>
      <c r="AF38" s="236"/>
      <c r="AG38" s="236"/>
      <c r="AH38" s="193"/>
      <c r="AI38" s="235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193"/>
      <c r="AU38" s="235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41"/>
    </row>
    <row r="39" spans="2:58" ht="13" customHeight="1" x14ac:dyDescent="0.25">
      <c r="B39" s="225" t="s">
        <v>256</v>
      </c>
      <c r="C39" s="223"/>
      <c r="D39" s="223"/>
      <c r="E39" s="223"/>
      <c r="F39" s="223"/>
      <c r="G39" s="223"/>
      <c r="H39" s="223"/>
      <c r="I39" s="223"/>
      <c r="J39" s="223"/>
      <c r="K39" s="223"/>
      <c r="L39" s="194"/>
      <c r="M39" s="228" t="s">
        <v>257</v>
      </c>
      <c r="N39" s="223"/>
      <c r="O39" s="223"/>
      <c r="P39" s="223"/>
      <c r="Q39" s="223"/>
      <c r="R39" s="223"/>
      <c r="S39" s="223"/>
      <c r="T39" s="223"/>
      <c r="U39" s="223"/>
      <c r="V39" s="223"/>
      <c r="W39" s="194"/>
      <c r="X39" s="226" t="s">
        <v>258</v>
      </c>
      <c r="Y39" s="223"/>
      <c r="Z39" s="223"/>
      <c r="AA39" s="223"/>
      <c r="AB39" s="223"/>
      <c r="AC39" s="223"/>
      <c r="AD39" s="223"/>
      <c r="AE39" s="223"/>
      <c r="AF39" s="223"/>
      <c r="AG39" s="223"/>
      <c r="AH39" s="194"/>
      <c r="AI39" s="176" t="s">
        <v>259</v>
      </c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194"/>
      <c r="AU39" s="176" t="s">
        <v>260</v>
      </c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7"/>
    </row>
    <row r="40" spans="2:58" ht="13" customHeight="1" x14ac:dyDescent="0.25">
      <c r="B40" s="246"/>
      <c r="C40" s="230"/>
      <c r="D40" s="230"/>
      <c r="E40" s="230"/>
      <c r="F40" s="230"/>
      <c r="G40" s="230"/>
      <c r="H40" s="230"/>
      <c r="I40" s="230"/>
      <c r="J40" s="230"/>
      <c r="K40" s="230"/>
      <c r="L40" s="231"/>
      <c r="M40" s="249"/>
      <c r="N40" s="230"/>
      <c r="O40" s="230"/>
      <c r="P40" s="230"/>
      <c r="Q40" s="230"/>
      <c r="R40" s="230"/>
      <c r="S40" s="230"/>
      <c r="T40" s="230"/>
      <c r="U40" s="230"/>
      <c r="V40" s="230"/>
      <c r="W40" s="231"/>
      <c r="X40" s="250"/>
      <c r="Y40" s="230"/>
      <c r="Z40" s="230"/>
      <c r="AA40" s="230"/>
      <c r="AB40" s="230"/>
      <c r="AC40" s="230"/>
      <c r="AD40" s="230"/>
      <c r="AE40" s="230"/>
      <c r="AF40" s="230"/>
      <c r="AG40" s="230"/>
      <c r="AH40" s="231"/>
      <c r="AI40" s="238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1"/>
      <c r="AU40" s="238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39"/>
    </row>
    <row r="41" spans="2:58" ht="13" customHeight="1" x14ac:dyDescent="0.25">
      <c r="B41" s="247"/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232"/>
      <c r="N41" s="233"/>
      <c r="O41" s="233"/>
      <c r="P41" s="233"/>
      <c r="Q41" s="233"/>
      <c r="R41" s="233"/>
      <c r="S41" s="233"/>
      <c r="T41" s="233"/>
      <c r="U41" s="233"/>
      <c r="V41" s="233"/>
      <c r="W41" s="234"/>
      <c r="X41" s="232"/>
      <c r="Y41" s="233"/>
      <c r="Z41" s="233"/>
      <c r="AA41" s="233"/>
      <c r="AB41" s="233"/>
      <c r="AC41" s="233"/>
      <c r="AD41" s="233"/>
      <c r="AE41" s="233"/>
      <c r="AF41" s="233"/>
      <c r="AG41" s="233"/>
      <c r="AH41" s="234"/>
      <c r="AI41" s="232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4"/>
      <c r="AU41" s="232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40"/>
    </row>
    <row r="42" spans="2:58" ht="13" customHeight="1" x14ac:dyDescent="0.25">
      <c r="B42" s="247"/>
      <c r="C42" s="233"/>
      <c r="D42" s="233"/>
      <c r="E42" s="233"/>
      <c r="F42" s="233"/>
      <c r="G42" s="233"/>
      <c r="H42" s="233"/>
      <c r="I42" s="233"/>
      <c r="J42" s="233"/>
      <c r="K42" s="233"/>
      <c r="L42" s="234"/>
      <c r="M42" s="232"/>
      <c r="N42" s="233"/>
      <c r="O42" s="233"/>
      <c r="P42" s="233"/>
      <c r="Q42" s="233"/>
      <c r="R42" s="233"/>
      <c r="S42" s="233"/>
      <c r="T42" s="233"/>
      <c r="U42" s="233"/>
      <c r="V42" s="233"/>
      <c r="W42" s="234"/>
      <c r="X42" s="232"/>
      <c r="Y42" s="233"/>
      <c r="Z42" s="233"/>
      <c r="AA42" s="233"/>
      <c r="AB42" s="233"/>
      <c r="AC42" s="233"/>
      <c r="AD42" s="233"/>
      <c r="AE42" s="233"/>
      <c r="AF42" s="233"/>
      <c r="AG42" s="233"/>
      <c r="AH42" s="234"/>
      <c r="AI42" s="232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4"/>
      <c r="AU42" s="232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40"/>
    </row>
    <row r="43" spans="2:58" ht="13" customHeight="1" x14ac:dyDescent="0.25">
      <c r="B43" s="247"/>
      <c r="C43" s="233"/>
      <c r="D43" s="233"/>
      <c r="E43" s="233"/>
      <c r="F43" s="233"/>
      <c r="G43" s="233"/>
      <c r="H43" s="233"/>
      <c r="I43" s="233"/>
      <c r="J43" s="233"/>
      <c r="K43" s="233"/>
      <c r="L43" s="234"/>
      <c r="M43" s="232"/>
      <c r="N43" s="233"/>
      <c r="O43" s="233"/>
      <c r="P43" s="233"/>
      <c r="Q43" s="233"/>
      <c r="R43" s="233"/>
      <c r="S43" s="233"/>
      <c r="T43" s="233"/>
      <c r="U43" s="233"/>
      <c r="V43" s="233"/>
      <c r="W43" s="234"/>
      <c r="X43" s="232"/>
      <c r="Y43" s="233"/>
      <c r="Z43" s="233"/>
      <c r="AA43" s="233"/>
      <c r="AB43" s="233"/>
      <c r="AC43" s="233"/>
      <c r="AD43" s="233"/>
      <c r="AE43" s="233"/>
      <c r="AF43" s="233"/>
      <c r="AG43" s="233"/>
      <c r="AH43" s="234"/>
      <c r="AI43" s="232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4"/>
      <c r="AU43" s="232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40"/>
    </row>
    <row r="44" spans="2:58" ht="13" customHeight="1" x14ac:dyDescent="0.25">
      <c r="B44" s="247"/>
      <c r="C44" s="233"/>
      <c r="D44" s="233"/>
      <c r="E44" s="233"/>
      <c r="F44" s="233"/>
      <c r="G44" s="233"/>
      <c r="H44" s="233"/>
      <c r="I44" s="233"/>
      <c r="J44" s="233"/>
      <c r="K44" s="233"/>
      <c r="L44" s="234"/>
      <c r="M44" s="232"/>
      <c r="N44" s="233"/>
      <c r="O44" s="233"/>
      <c r="P44" s="233"/>
      <c r="Q44" s="233"/>
      <c r="R44" s="233"/>
      <c r="S44" s="233"/>
      <c r="T44" s="233"/>
      <c r="U44" s="233"/>
      <c r="V44" s="233"/>
      <c r="W44" s="234"/>
      <c r="X44" s="232"/>
      <c r="Y44" s="233"/>
      <c r="Z44" s="233"/>
      <c r="AA44" s="233"/>
      <c r="AB44" s="233"/>
      <c r="AC44" s="233"/>
      <c r="AD44" s="233"/>
      <c r="AE44" s="233"/>
      <c r="AF44" s="233"/>
      <c r="AG44" s="233"/>
      <c r="AH44" s="234"/>
      <c r="AI44" s="232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4"/>
      <c r="AU44" s="232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40"/>
    </row>
    <row r="45" spans="2:58" ht="13" customHeight="1" x14ac:dyDescent="0.25">
      <c r="B45" s="248"/>
      <c r="C45" s="236"/>
      <c r="D45" s="236"/>
      <c r="E45" s="236"/>
      <c r="F45" s="236"/>
      <c r="G45" s="236"/>
      <c r="H45" s="236"/>
      <c r="I45" s="236"/>
      <c r="J45" s="236"/>
      <c r="K45" s="236"/>
      <c r="L45" s="193"/>
      <c r="M45" s="235"/>
      <c r="N45" s="236"/>
      <c r="O45" s="236"/>
      <c r="P45" s="236"/>
      <c r="Q45" s="236"/>
      <c r="R45" s="236"/>
      <c r="S45" s="236"/>
      <c r="T45" s="236"/>
      <c r="U45" s="236"/>
      <c r="V45" s="236"/>
      <c r="W45" s="193"/>
      <c r="X45" s="235"/>
      <c r="Y45" s="236"/>
      <c r="Z45" s="236"/>
      <c r="AA45" s="236"/>
      <c r="AB45" s="236"/>
      <c r="AC45" s="236"/>
      <c r="AD45" s="236"/>
      <c r="AE45" s="236"/>
      <c r="AF45" s="236"/>
      <c r="AG45" s="236"/>
      <c r="AH45" s="193"/>
      <c r="AI45" s="235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193"/>
      <c r="AU45" s="235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41"/>
    </row>
    <row r="46" spans="2:58" ht="13" customHeight="1" x14ac:dyDescent="0.25">
      <c r="B46" s="225" t="s">
        <v>261</v>
      </c>
      <c r="C46" s="223"/>
      <c r="D46" s="223"/>
      <c r="E46" s="223"/>
      <c r="F46" s="223"/>
      <c r="G46" s="223"/>
      <c r="H46" s="223"/>
      <c r="I46" s="223"/>
      <c r="J46" s="223"/>
      <c r="K46" s="223"/>
      <c r="L46" s="194"/>
      <c r="M46" s="200" t="s">
        <v>262</v>
      </c>
      <c r="N46" s="223"/>
      <c r="O46" s="223"/>
      <c r="P46" s="223"/>
      <c r="Q46" s="223"/>
      <c r="R46" s="223"/>
      <c r="S46" s="223"/>
      <c r="T46" s="223"/>
      <c r="U46" s="223"/>
      <c r="V46" s="223"/>
      <c r="W46" s="194"/>
      <c r="X46" s="226" t="s">
        <v>263</v>
      </c>
      <c r="Y46" s="223"/>
      <c r="Z46" s="223"/>
      <c r="AA46" s="223"/>
      <c r="AB46" s="223"/>
      <c r="AC46" s="223"/>
      <c r="AD46" s="223"/>
      <c r="AE46" s="223"/>
      <c r="AF46" s="223"/>
      <c r="AG46" s="223"/>
      <c r="AH46" s="194"/>
      <c r="AI46" s="176" t="s">
        <v>264</v>
      </c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194"/>
      <c r="AU46" s="176" t="s">
        <v>265</v>
      </c>
      <c r="AV46" s="223"/>
      <c r="AW46" s="223"/>
      <c r="AX46" s="223"/>
      <c r="AY46" s="223"/>
      <c r="AZ46" s="223"/>
      <c r="BA46" s="223"/>
      <c r="BB46" s="223"/>
      <c r="BC46" s="223"/>
      <c r="BD46" s="223"/>
      <c r="BE46" s="223"/>
      <c r="BF46" s="227"/>
    </row>
    <row r="47" spans="2:58" ht="13" customHeight="1" x14ac:dyDescent="0.25">
      <c r="B47" s="246"/>
      <c r="C47" s="230"/>
      <c r="D47" s="230"/>
      <c r="E47" s="230"/>
      <c r="F47" s="230"/>
      <c r="G47" s="230"/>
      <c r="H47" s="230"/>
      <c r="I47" s="230"/>
      <c r="J47" s="230"/>
      <c r="K47" s="230"/>
      <c r="L47" s="231"/>
      <c r="M47" s="249"/>
      <c r="N47" s="230"/>
      <c r="O47" s="230"/>
      <c r="P47" s="230"/>
      <c r="Q47" s="230"/>
      <c r="R47" s="230"/>
      <c r="S47" s="230"/>
      <c r="T47" s="230"/>
      <c r="U47" s="230"/>
      <c r="V47" s="230"/>
      <c r="W47" s="231"/>
      <c r="X47" s="250"/>
      <c r="Y47" s="230"/>
      <c r="Z47" s="230"/>
      <c r="AA47" s="230"/>
      <c r="AB47" s="230"/>
      <c r="AC47" s="230"/>
      <c r="AD47" s="230"/>
      <c r="AE47" s="230"/>
      <c r="AF47" s="230"/>
      <c r="AG47" s="230"/>
      <c r="AH47" s="231"/>
      <c r="AI47" s="238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1"/>
      <c r="AU47" s="238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39"/>
    </row>
    <row r="48" spans="2:58" ht="13" customHeight="1" x14ac:dyDescent="0.25">
      <c r="B48" s="247"/>
      <c r="C48" s="233"/>
      <c r="D48" s="233"/>
      <c r="E48" s="233"/>
      <c r="F48" s="233"/>
      <c r="G48" s="233"/>
      <c r="H48" s="233"/>
      <c r="I48" s="233"/>
      <c r="J48" s="233"/>
      <c r="K48" s="233"/>
      <c r="L48" s="234"/>
      <c r="M48" s="232"/>
      <c r="N48" s="233"/>
      <c r="O48" s="233"/>
      <c r="P48" s="233"/>
      <c r="Q48" s="233"/>
      <c r="R48" s="233"/>
      <c r="S48" s="233"/>
      <c r="T48" s="233"/>
      <c r="U48" s="233"/>
      <c r="V48" s="233"/>
      <c r="W48" s="234"/>
      <c r="X48" s="232"/>
      <c r="Y48" s="233"/>
      <c r="Z48" s="233"/>
      <c r="AA48" s="233"/>
      <c r="AB48" s="233"/>
      <c r="AC48" s="233"/>
      <c r="AD48" s="233"/>
      <c r="AE48" s="233"/>
      <c r="AF48" s="233"/>
      <c r="AG48" s="233"/>
      <c r="AH48" s="234"/>
      <c r="AI48" s="232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4"/>
      <c r="AU48" s="232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40"/>
    </row>
    <row r="49" spans="2:58" ht="13" customHeight="1" x14ac:dyDescent="0.25">
      <c r="B49" s="247"/>
      <c r="C49" s="233"/>
      <c r="D49" s="233"/>
      <c r="E49" s="233"/>
      <c r="F49" s="233"/>
      <c r="G49" s="233"/>
      <c r="H49" s="233"/>
      <c r="I49" s="233"/>
      <c r="J49" s="233"/>
      <c r="K49" s="233"/>
      <c r="L49" s="234"/>
      <c r="M49" s="232"/>
      <c r="N49" s="233"/>
      <c r="O49" s="233"/>
      <c r="P49" s="233"/>
      <c r="Q49" s="233"/>
      <c r="R49" s="233"/>
      <c r="S49" s="233"/>
      <c r="T49" s="233"/>
      <c r="U49" s="233"/>
      <c r="V49" s="233"/>
      <c r="W49" s="234"/>
      <c r="X49" s="232"/>
      <c r="Y49" s="233"/>
      <c r="Z49" s="233"/>
      <c r="AA49" s="233"/>
      <c r="AB49" s="233"/>
      <c r="AC49" s="233"/>
      <c r="AD49" s="233"/>
      <c r="AE49" s="233"/>
      <c r="AF49" s="233"/>
      <c r="AG49" s="233"/>
      <c r="AH49" s="234"/>
      <c r="AI49" s="232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4"/>
      <c r="AU49" s="232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40"/>
    </row>
    <row r="50" spans="2:58" ht="13" customHeight="1" x14ac:dyDescent="0.25">
      <c r="B50" s="247"/>
      <c r="C50" s="233"/>
      <c r="D50" s="233"/>
      <c r="E50" s="233"/>
      <c r="F50" s="233"/>
      <c r="G50" s="233"/>
      <c r="H50" s="233"/>
      <c r="I50" s="233"/>
      <c r="J50" s="233"/>
      <c r="K50" s="233"/>
      <c r="L50" s="234"/>
      <c r="M50" s="232"/>
      <c r="N50" s="233"/>
      <c r="O50" s="233"/>
      <c r="P50" s="233"/>
      <c r="Q50" s="233"/>
      <c r="R50" s="233"/>
      <c r="S50" s="233"/>
      <c r="T50" s="233"/>
      <c r="U50" s="233"/>
      <c r="V50" s="233"/>
      <c r="W50" s="234"/>
      <c r="X50" s="232"/>
      <c r="Y50" s="233"/>
      <c r="Z50" s="233"/>
      <c r="AA50" s="233"/>
      <c r="AB50" s="233"/>
      <c r="AC50" s="233"/>
      <c r="AD50" s="233"/>
      <c r="AE50" s="233"/>
      <c r="AF50" s="233"/>
      <c r="AG50" s="233"/>
      <c r="AH50" s="234"/>
      <c r="AI50" s="232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4"/>
      <c r="AU50" s="232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40"/>
    </row>
    <row r="51" spans="2:58" ht="13" customHeight="1" x14ac:dyDescent="0.25">
      <c r="B51" s="247"/>
      <c r="C51" s="233"/>
      <c r="D51" s="233"/>
      <c r="E51" s="233"/>
      <c r="F51" s="233"/>
      <c r="G51" s="233"/>
      <c r="H51" s="233"/>
      <c r="I51" s="233"/>
      <c r="J51" s="233"/>
      <c r="K51" s="233"/>
      <c r="L51" s="234"/>
      <c r="M51" s="232"/>
      <c r="N51" s="233"/>
      <c r="O51" s="233"/>
      <c r="P51" s="233"/>
      <c r="Q51" s="233"/>
      <c r="R51" s="233"/>
      <c r="S51" s="233"/>
      <c r="T51" s="233"/>
      <c r="U51" s="233"/>
      <c r="V51" s="233"/>
      <c r="W51" s="234"/>
      <c r="X51" s="232"/>
      <c r="Y51" s="233"/>
      <c r="Z51" s="233"/>
      <c r="AA51" s="233"/>
      <c r="AB51" s="233"/>
      <c r="AC51" s="233"/>
      <c r="AD51" s="233"/>
      <c r="AE51" s="233"/>
      <c r="AF51" s="233"/>
      <c r="AG51" s="233"/>
      <c r="AH51" s="234"/>
      <c r="AI51" s="232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4"/>
      <c r="AU51" s="232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40"/>
    </row>
    <row r="52" spans="2:58" ht="13" customHeight="1" x14ac:dyDescent="0.25">
      <c r="B52" s="248"/>
      <c r="C52" s="236"/>
      <c r="D52" s="236"/>
      <c r="E52" s="236"/>
      <c r="F52" s="236"/>
      <c r="G52" s="236"/>
      <c r="H52" s="236"/>
      <c r="I52" s="236"/>
      <c r="J52" s="236"/>
      <c r="K52" s="236"/>
      <c r="L52" s="193"/>
      <c r="M52" s="235"/>
      <c r="N52" s="236"/>
      <c r="O52" s="236"/>
      <c r="P52" s="236"/>
      <c r="Q52" s="236"/>
      <c r="R52" s="236"/>
      <c r="S52" s="236"/>
      <c r="T52" s="236"/>
      <c r="U52" s="236"/>
      <c r="V52" s="236"/>
      <c r="W52" s="193"/>
      <c r="X52" s="235"/>
      <c r="Y52" s="236"/>
      <c r="Z52" s="236"/>
      <c r="AA52" s="236"/>
      <c r="AB52" s="236"/>
      <c r="AC52" s="236"/>
      <c r="AD52" s="236"/>
      <c r="AE52" s="236"/>
      <c r="AF52" s="236"/>
      <c r="AG52" s="236"/>
      <c r="AH52" s="193"/>
      <c r="AI52" s="235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193"/>
      <c r="AU52" s="235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41"/>
    </row>
    <row r="53" spans="2:58" ht="13" customHeight="1" x14ac:dyDescent="0.25">
      <c r="B53" s="225" t="s">
        <v>266</v>
      </c>
      <c r="C53" s="223"/>
      <c r="D53" s="223"/>
      <c r="E53" s="223"/>
      <c r="F53" s="223"/>
      <c r="G53" s="223"/>
      <c r="H53" s="223"/>
      <c r="I53" s="223"/>
      <c r="J53" s="223"/>
      <c r="K53" s="223"/>
      <c r="L53" s="194"/>
      <c r="M53" s="228" t="s">
        <v>267</v>
      </c>
      <c r="N53" s="223"/>
      <c r="O53" s="223"/>
      <c r="P53" s="223"/>
      <c r="Q53" s="223"/>
      <c r="R53" s="223"/>
      <c r="S53" s="223"/>
      <c r="T53" s="223"/>
      <c r="U53" s="223"/>
      <c r="V53" s="223"/>
      <c r="W53" s="194"/>
      <c r="X53" s="226" t="s">
        <v>268</v>
      </c>
      <c r="Y53" s="223"/>
      <c r="Z53" s="223"/>
      <c r="AA53" s="223"/>
      <c r="AB53" s="223"/>
      <c r="AC53" s="223"/>
      <c r="AD53" s="223"/>
      <c r="AE53" s="223"/>
      <c r="AF53" s="223"/>
      <c r="AG53" s="223"/>
      <c r="AH53" s="194"/>
      <c r="AI53" s="176" t="s">
        <v>269</v>
      </c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194"/>
      <c r="AU53" s="176" t="s">
        <v>270</v>
      </c>
      <c r="AV53" s="223"/>
      <c r="AW53" s="223"/>
      <c r="AX53" s="223"/>
      <c r="AY53" s="223"/>
      <c r="AZ53" s="223"/>
      <c r="BA53" s="223"/>
      <c r="BB53" s="223"/>
      <c r="BC53" s="223"/>
      <c r="BD53" s="223"/>
      <c r="BE53" s="223"/>
      <c r="BF53" s="227"/>
    </row>
    <row r="54" spans="2:58" ht="13" customHeight="1" x14ac:dyDescent="0.25">
      <c r="B54" s="246"/>
      <c r="C54" s="230"/>
      <c r="D54" s="230"/>
      <c r="E54" s="230"/>
      <c r="F54" s="230"/>
      <c r="G54" s="230"/>
      <c r="H54" s="230"/>
      <c r="I54" s="230"/>
      <c r="J54" s="230"/>
      <c r="K54" s="230"/>
      <c r="L54" s="231"/>
      <c r="M54" s="254"/>
      <c r="N54" s="230"/>
      <c r="O54" s="230"/>
      <c r="P54" s="230"/>
      <c r="Q54" s="230"/>
      <c r="R54" s="230"/>
      <c r="S54" s="230"/>
      <c r="T54" s="230"/>
      <c r="U54" s="230"/>
      <c r="V54" s="230"/>
      <c r="W54" s="231"/>
      <c r="X54" s="250"/>
      <c r="Y54" s="230"/>
      <c r="Z54" s="230"/>
      <c r="AA54" s="230"/>
      <c r="AB54" s="230"/>
      <c r="AC54" s="230"/>
      <c r="AD54" s="230"/>
      <c r="AE54" s="230"/>
      <c r="AF54" s="230"/>
      <c r="AG54" s="230"/>
      <c r="AH54" s="231"/>
      <c r="AI54" s="238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1"/>
      <c r="AU54" s="238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39"/>
    </row>
    <row r="55" spans="2:58" ht="13" customHeight="1" x14ac:dyDescent="0.25">
      <c r="B55" s="247"/>
      <c r="C55" s="233"/>
      <c r="D55" s="233"/>
      <c r="E55" s="233"/>
      <c r="F55" s="233"/>
      <c r="G55" s="233"/>
      <c r="H55" s="233"/>
      <c r="I55" s="233"/>
      <c r="J55" s="233"/>
      <c r="K55" s="233"/>
      <c r="L55" s="234"/>
      <c r="M55" s="232"/>
      <c r="N55" s="233"/>
      <c r="O55" s="233"/>
      <c r="P55" s="233"/>
      <c r="Q55" s="233"/>
      <c r="R55" s="233"/>
      <c r="S55" s="233"/>
      <c r="T55" s="233"/>
      <c r="U55" s="233"/>
      <c r="V55" s="233"/>
      <c r="W55" s="234"/>
      <c r="X55" s="232"/>
      <c r="Y55" s="233"/>
      <c r="Z55" s="233"/>
      <c r="AA55" s="233"/>
      <c r="AB55" s="233"/>
      <c r="AC55" s="233"/>
      <c r="AD55" s="233"/>
      <c r="AE55" s="233"/>
      <c r="AF55" s="233"/>
      <c r="AG55" s="233"/>
      <c r="AH55" s="234"/>
      <c r="AI55" s="232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4"/>
      <c r="AU55" s="232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40"/>
    </row>
    <row r="56" spans="2:58" ht="13" customHeight="1" x14ac:dyDescent="0.25">
      <c r="B56" s="247"/>
      <c r="C56" s="233"/>
      <c r="D56" s="233"/>
      <c r="E56" s="233"/>
      <c r="F56" s="233"/>
      <c r="G56" s="233"/>
      <c r="H56" s="233"/>
      <c r="I56" s="233"/>
      <c r="J56" s="233"/>
      <c r="K56" s="233"/>
      <c r="L56" s="234"/>
      <c r="M56" s="232"/>
      <c r="N56" s="233"/>
      <c r="O56" s="233"/>
      <c r="P56" s="233"/>
      <c r="Q56" s="233"/>
      <c r="R56" s="233"/>
      <c r="S56" s="233"/>
      <c r="T56" s="233"/>
      <c r="U56" s="233"/>
      <c r="V56" s="233"/>
      <c r="W56" s="234"/>
      <c r="X56" s="232"/>
      <c r="Y56" s="233"/>
      <c r="Z56" s="233"/>
      <c r="AA56" s="233"/>
      <c r="AB56" s="233"/>
      <c r="AC56" s="233"/>
      <c r="AD56" s="233"/>
      <c r="AE56" s="233"/>
      <c r="AF56" s="233"/>
      <c r="AG56" s="233"/>
      <c r="AH56" s="234"/>
      <c r="AI56" s="232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4"/>
      <c r="AU56" s="232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40"/>
    </row>
    <row r="57" spans="2:58" ht="13" customHeight="1" x14ac:dyDescent="0.25">
      <c r="B57" s="247"/>
      <c r="C57" s="233"/>
      <c r="D57" s="233"/>
      <c r="E57" s="233"/>
      <c r="F57" s="233"/>
      <c r="G57" s="233"/>
      <c r="H57" s="233"/>
      <c r="I57" s="233"/>
      <c r="J57" s="233"/>
      <c r="K57" s="233"/>
      <c r="L57" s="234"/>
      <c r="M57" s="232"/>
      <c r="N57" s="233"/>
      <c r="O57" s="233"/>
      <c r="P57" s="233"/>
      <c r="Q57" s="233"/>
      <c r="R57" s="233"/>
      <c r="S57" s="233"/>
      <c r="T57" s="233"/>
      <c r="U57" s="233"/>
      <c r="V57" s="233"/>
      <c r="W57" s="234"/>
      <c r="X57" s="232"/>
      <c r="Y57" s="233"/>
      <c r="Z57" s="233"/>
      <c r="AA57" s="233"/>
      <c r="AB57" s="233"/>
      <c r="AC57" s="233"/>
      <c r="AD57" s="233"/>
      <c r="AE57" s="233"/>
      <c r="AF57" s="233"/>
      <c r="AG57" s="233"/>
      <c r="AH57" s="234"/>
      <c r="AI57" s="232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4"/>
      <c r="AU57" s="232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40"/>
    </row>
    <row r="58" spans="2:58" ht="13" customHeight="1" x14ac:dyDescent="0.25">
      <c r="B58" s="247"/>
      <c r="C58" s="233"/>
      <c r="D58" s="233"/>
      <c r="E58" s="233"/>
      <c r="F58" s="233"/>
      <c r="G58" s="233"/>
      <c r="H58" s="233"/>
      <c r="I58" s="233"/>
      <c r="J58" s="233"/>
      <c r="K58" s="233"/>
      <c r="L58" s="234"/>
      <c r="M58" s="232"/>
      <c r="N58" s="233"/>
      <c r="O58" s="233"/>
      <c r="P58" s="233"/>
      <c r="Q58" s="233"/>
      <c r="R58" s="233"/>
      <c r="S58" s="233"/>
      <c r="T58" s="233"/>
      <c r="U58" s="233"/>
      <c r="V58" s="233"/>
      <c r="W58" s="234"/>
      <c r="X58" s="232"/>
      <c r="Y58" s="233"/>
      <c r="Z58" s="233"/>
      <c r="AA58" s="233"/>
      <c r="AB58" s="233"/>
      <c r="AC58" s="233"/>
      <c r="AD58" s="233"/>
      <c r="AE58" s="233"/>
      <c r="AF58" s="233"/>
      <c r="AG58" s="233"/>
      <c r="AH58" s="234"/>
      <c r="AI58" s="232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4"/>
      <c r="AU58" s="232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40"/>
    </row>
    <row r="59" spans="2:58" ht="13" customHeight="1" x14ac:dyDescent="0.25">
      <c r="B59" s="251"/>
      <c r="C59" s="252"/>
      <c r="D59" s="252"/>
      <c r="E59" s="252"/>
      <c r="F59" s="252"/>
      <c r="G59" s="252"/>
      <c r="H59" s="252"/>
      <c r="I59" s="252"/>
      <c r="J59" s="252"/>
      <c r="K59" s="252"/>
      <c r="L59" s="253"/>
      <c r="M59" s="255"/>
      <c r="N59" s="252"/>
      <c r="O59" s="252"/>
      <c r="P59" s="252"/>
      <c r="Q59" s="252"/>
      <c r="R59" s="252"/>
      <c r="S59" s="252"/>
      <c r="T59" s="252"/>
      <c r="U59" s="252"/>
      <c r="V59" s="252"/>
      <c r="W59" s="253"/>
      <c r="X59" s="255"/>
      <c r="Y59" s="252"/>
      <c r="Z59" s="252"/>
      <c r="AA59" s="252"/>
      <c r="AB59" s="252"/>
      <c r="AC59" s="252"/>
      <c r="AD59" s="252"/>
      <c r="AE59" s="252"/>
      <c r="AF59" s="252"/>
      <c r="AG59" s="252"/>
      <c r="AH59" s="253"/>
      <c r="AI59" s="255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3"/>
      <c r="AU59" s="255"/>
      <c r="AV59" s="252"/>
      <c r="AW59" s="252"/>
      <c r="AX59" s="252"/>
      <c r="AY59" s="252"/>
      <c r="AZ59" s="252"/>
      <c r="BA59" s="252"/>
      <c r="BB59" s="252"/>
      <c r="BC59" s="252"/>
      <c r="BD59" s="252"/>
      <c r="BE59" s="252"/>
      <c r="BF59" s="256"/>
    </row>
    <row r="60" spans="2:58" ht="13" customHeight="1" x14ac:dyDescent="0.25">
      <c r="B60" s="192" t="s">
        <v>460</v>
      </c>
      <c r="C60" s="193"/>
      <c r="D60" s="9" t="s">
        <v>19</v>
      </c>
      <c r="E60" s="169" t="s">
        <v>20</v>
      </c>
      <c r="F60" s="172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5"/>
    </row>
    <row r="61" spans="2:58" ht="13" customHeight="1" x14ac:dyDescent="0.25">
      <c r="B61" s="168" t="s">
        <v>226</v>
      </c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7"/>
    </row>
    <row r="62" spans="2:58" ht="13" customHeight="1" thickBot="1" x14ac:dyDescent="0.3">
      <c r="B62" s="180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9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95" t="s">
        <v>227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</row>
    <row r="3" spans="2:47" ht="20.15" customHeight="1" x14ac:dyDescent="0.25">
      <c r="B3" s="197" t="s">
        <v>181</v>
      </c>
      <c r="C3" s="155" t="s">
        <v>163</v>
      </c>
      <c r="D3" s="205"/>
      <c r="E3" s="205"/>
      <c r="F3" s="205"/>
      <c r="G3" s="205"/>
      <c r="H3" s="206"/>
      <c r="I3" s="209" t="s">
        <v>8</v>
      </c>
      <c r="J3" s="205"/>
      <c r="K3" s="205"/>
      <c r="L3" s="205"/>
      <c r="M3" s="205"/>
      <c r="N3" s="205"/>
      <c r="O3" s="205"/>
      <c r="P3" s="210"/>
      <c r="Q3" s="155" t="s">
        <v>77</v>
      </c>
      <c r="R3" s="205"/>
      <c r="S3" s="210"/>
      <c r="T3" s="155" t="s">
        <v>10</v>
      </c>
      <c r="U3" s="205"/>
      <c r="V3" s="205"/>
      <c r="W3" s="210"/>
      <c r="X3" s="155" t="s">
        <v>80</v>
      </c>
      <c r="Y3" s="156"/>
      <c r="Z3" s="155" t="s">
        <v>11</v>
      </c>
      <c r="AA3" s="156"/>
      <c r="AB3" s="13" t="s">
        <v>13</v>
      </c>
      <c r="AC3" s="155" t="s">
        <v>14</v>
      </c>
      <c r="AD3" s="156"/>
      <c r="AE3" s="159" t="s">
        <v>88</v>
      </c>
      <c r="AF3" s="160"/>
      <c r="AG3" s="160"/>
      <c r="AH3" s="160"/>
      <c r="AI3" s="160"/>
      <c r="AJ3" s="160"/>
      <c r="AK3" s="161"/>
      <c r="AL3" s="155" t="s">
        <v>18</v>
      </c>
      <c r="AM3" s="201"/>
      <c r="AN3" s="202"/>
      <c r="AO3" s="201" t="s">
        <v>16</v>
      </c>
      <c r="AP3" s="201"/>
      <c r="AQ3" s="201"/>
      <c r="AR3" s="204"/>
    </row>
    <row r="4" spans="2:47" ht="30" customHeight="1" x14ac:dyDescent="0.25">
      <c r="B4" s="198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207" t="s">
        <v>62</v>
      </c>
      <c r="J4" s="208"/>
      <c r="K4" s="3" t="s">
        <v>6</v>
      </c>
      <c r="L4" s="3" t="s">
        <v>66</v>
      </c>
      <c r="M4" s="3" t="s">
        <v>164</v>
      </c>
      <c r="N4" s="3" t="s">
        <v>165</v>
      </c>
      <c r="O4" s="162" t="s">
        <v>7</v>
      </c>
      <c r="P4" s="163"/>
      <c r="Q4" s="200" t="s">
        <v>71</v>
      </c>
      <c r="R4" s="163"/>
      <c r="S4" s="3" t="s">
        <v>51</v>
      </c>
      <c r="T4" s="3" t="s">
        <v>75</v>
      </c>
      <c r="U4" s="200" t="s">
        <v>78</v>
      </c>
      <c r="V4" s="163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57" t="s">
        <v>89</v>
      </c>
      <c r="AF4" s="158"/>
      <c r="AG4" s="157" t="s">
        <v>92</v>
      </c>
      <c r="AH4" s="158"/>
      <c r="AI4" s="10" t="s">
        <v>166</v>
      </c>
      <c r="AJ4" s="10" t="s">
        <v>167</v>
      </c>
      <c r="AK4" s="11" t="s">
        <v>115</v>
      </c>
      <c r="AL4" s="200" t="s">
        <v>110</v>
      </c>
      <c r="AM4" s="163"/>
      <c r="AN4" s="29" t="s">
        <v>111</v>
      </c>
      <c r="AO4" s="26" t="s">
        <v>12</v>
      </c>
      <c r="AP4" s="3" t="s">
        <v>1</v>
      </c>
      <c r="AQ4" s="176" t="s">
        <v>161</v>
      </c>
      <c r="AR4" s="203"/>
      <c r="AU4" s="20"/>
    </row>
    <row r="5" spans="2:47" ht="20.15" customHeight="1" x14ac:dyDescent="0.25">
      <c r="B5" s="199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455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104">
        <v>6.810618877410889</v>
      </c>
      <c r="D6" s="104">
        <v>18.033859252929688</v>
      </c>
      <c r="E6" s="104">
        <v>415.47369384765625</v>
      </c>
      <c r="F6" s="104"/>
      <c r="G6" s="104"/>
      <c r="H6" s="105">
        <v>413.5354919433594</v>
      </c>
      <c r="I6" s="106">
        <v>0</v>
      </c>
      <c r="J6" s="104"/>
      <c r="K6" s="104">
        <v>14.836520195007324</v>
      </c>
      <c r="L6" s="104">
        <v>0.17252600193023682</v>
      </c>
      <c r="M6" s="104">
        <v>12.217880249023438</v>
      </c>
      <c r="N6" s="104">
        <v>18.52574920654297</v>
      </c>
      <c r="O6" s="104">
        <v>0</v>
      </c>
      <c r="P6" s="104"/>
      <c r="Q6" s="104">
        <v>6.22448297349365E-08</v>
      </c>
      <c r="R6" s="104"/>
      <c r="S6" s="104">
        <v>12.87615966796875</v>
      </c>
      <c r="T6" s="104">
        <v>0.3388853073120117</v>
      </c>
      <c r="U6" s="104">
        <v>0</v>
      </c>
      <c r="V6" s="104"/>
      <c r="W6" s="104">
        <v>13.534429550170898</v>
      </c>
      <c r="X6" s="104">
        <v>1.2509210109710693</v>
      </c>
      <c r="Y6" s="104" t="s">
        <v>4</v>
      </c>
      <c r="Z6" s="104">
        <v>-0.010069440118968487</v>
      </c>
      <c r="AA6" s="104">
        <v>12.557869911193848</v>
      </c>
      <c r="AB6" s="104">
        <v>36.588539123535156</v>
      </c>
      <c r="AC6" s="104">
        <v>-0.006510416977107525</v>
      </c>
      <c r="AD6" s="104">
        <v>16.81134033203125</v>
      </c>
      <c r="AE6" s="107">
        <v>11</v>
      </c>
      <c r="AF6" s="107">
        <v>12</v>
      </c>
      <c r="AG6" s="107">
        <v>13</v>
      </c>
      <c r="AH6" s="107">
        <v>14</v>
      </c>
      <c r="AI6" s="107">
        <v>15</v>
      </c>
      <c r="AJ6" s="107">
        <v>16</v>
      </c>
      <c r="AK6" s="107">
        <v>17</v>
      </c>
      <c r="AL6" s="104">
        <v>0</v>
      </c>
      <c r="AM6" s="108"/>
      <c r="AN6" s="109">
        <v>48.92940139770508</v>
      </c>
      <c r="AO6" s="110"/>
      <c r="AP6" s="111"/>
      <c r="AQ6" s="111">
        <v>0</v>
      </c>
      <c r="AR6" s="112"/>
    </row>
    <row r="7" spans="2:47" ht="13.5" customHeight="1" x14ac:dyDescent="0.25">
      <c r="B7" s="14">
        <v>0.875</v>
      </c>
      <c r="C7" s="104">
        <v>6.7310471534729</v>
      </c>
      <c r="D7" s="104">
        <v>18.164060592651367</v>
      </c>
      <c r="E7" s="104">
        <v>415.6134948730469</v>
      </c>
      <c r="F7" s="104">
        <v>0</v>
      </c>
      <c r="G7" s="104">
        <v>0</v>
      </c>
      <c r="H7" s="105">
        <v>413.3828125</v>
      </c>
      <c r="I7" s="106">
        <v>0</v>
      </c>
      <c r="J7" s="104">
        <v>0</v>
      </c>
      <c r="K7" s="104">
        <v>14.25780963897705</v>
      </c>
      <c r="L7" s="104">
        <v>0.1713505983352661</v>
      </c>
      <c r="M7" s="104">
        <v>11.848959922790527</v>
      </c>
      <c r="N7" s="104">
        <v>16.63772964477539</v>
      </c>
      <c r="O7" s="104">
        <v>0</v>
      </c>
      <c r="P7" s="104">
        <v>0</v>
      </c>
      <c r="Q7" s="104">
        <v>2.0481629888501366E-16</v>
      </c>
      <c r="R7" s="104">
        <v>0</v>
      </c>
      <c r="S7" s="104">
        <v>11.964699745178223</v>
      </c>
      <c r="T7" s="104">
        <v>0.3286314010620117</v>
      </c>
      <c r="U7" s="104">
        <v>0</v>
      </c>
      <c r="V7" s="104">
        <v>0</v>
      </c>
      <c r="W7" s="104">
        <v>12.753179550170898</v>
      </c>
      <c r="X7" s="104">
        <v>1.2509210109710693</v>
      </c>
      <c r="Y7" s="104" t="s">
        <v>82</v>
      </c>
      <c r="Z7" s="104">
        <v>-0.010185189545154572</v>
      </c>
      <c r="AA7" s="104">
        <v>12.23235034942627</v>
      </c>
      <c r="AB7" s="104">
        <v>32.371238708496094</v>
      </c>
      <c r="AC7" s="104">
        <v>-0.006474248133599758</v>
      </c>
      <c r="AD7" s="104">
        <v>14.778650283813477</v>
      </c>
      <c r="AE7" s="107">
        <v>11</v>
      </c>
      <c r="AF7" s="107">
        <v>12</v>
      </c>
      <c r="AG7" s="107">
        <v>13</v>
      </c>
      <c r="AH7" s="107">
        <v>14</v>
      </c>
      <c r="AI7" s="107">
        <v>15</v>
      </c>
      <c r="AJ7" s="107">
        <v>16</v>
      </c>
      <c r="AK7" s="107">
        <v>17</v>
      </c>
      <c r="AL7" s="104">
        <v>0</v>
      </c>
      <c r="AM7" s="108">
        <v>0</v>
      </c>
      <c r="AN7" s="109">
        <v>48.940250396728516</v>
      </c>
      <c r="AO7" s="110"/>
      <c r="AP7" s="111"/>
      <c r="AQ7" s="111">
        <v>0</v>
      </c>
      <c r="AR7" s="112">
        <v>0</v>
      </c>
    </row>
    <row r="8" spans="2:47" ht="13.5" customHeight="1" x14ac:dyDescent="0.25">
      <c r="B8" s="41" t="s">
        <v>271</v>
      </c>
      <c r="C8" s="104">
        <v>6.814236164093018</v>
      </c>
      <c r="D8" s="104">
        <v>18.05013084411621</v>
      </c>
      <c r="E8" s="104">
        <v>415.660888671875</v>
      </c>
      <c r="F8" s="104">
        <v>0</v>
      </c>
      <c r="G8" s="104">
        <v>0</v>
      </c>
      <c r="H8" s="105">
        <v>413.4836120605469</v>
      </c>
      <c r="I8" s="106">
        <v>0</v>
      </c>
      <c r="J8" s="104">
        <v>0</v>
      </c>
      <c r="K8" s="104">
        <v>13.852720260620117</v>
      </c>
      <c r="L8" s="104">
        <v>0.1705368012189865</v>
      </c>
      <c r="M8" s="104">
        <v>11.924909591674805</v>
      </c>
      <c r="N8" s="104">
        <v>15.313949584960938</v>
      </c>
      <c r="O8" s="104">
        <v>0</v>
      </c>
      <c r="P8" s="104">
        <v>0</v>
      </c>
      <c r="Q8" s="104">
        <v>2.1621799402987696E-12</v>
      </c>
      <c r="R8" s="104">
        <v>0</v>
      </c>
      <c r="S8" s="104">
        <v>11.711520195007324</v>
      </c>
      <c r="T8" s="104">
        <v>0.3548358082771301</v>
      </c>
      <c r="U8" s="104">
        <v>0</v>
      </c>
      <c r="V8" s="104">
        <v>0</v>
      </c>
      <c r="W8" s="104">
        <v>12.449359893798828</v>
      </c>
      <c r="X8" s="104">
        <v>1.2509210109710693</v>
      </c>
      <c r="Y8" s="104" t="s">
        <v>82</v>
      </c>
      <c r="Z8" s="104">
        <v>-0.010243060067296028</v>
      </c>
      <c r="AA8" s="104">
        <v>12.167240142822266</v>
      </c>
      <c r="AB8" s="104">
        <v>28.80497932434082</v>
      </c>
      <c r="AC8" s="104">
        <v>-0.006438078824430704</v>
      </c>
      <c r="AD8" s="104">
        <v>13.65017032623291</v>
      </c>
      <c r="AE8" s="107">
        <v>11</v>
      </c>
      <c r="AF8" s="107">
        <v>12</v>
      </c>
      <c r="AG8" s="107">
        <v>13</v>
      </c>
      <c r="AH8" s="107">
        <v>14</v>
      </c>
      <c r="AI8" s="107">
        <v>15</v>
      </c>
      <c r="AJ8" s="107">
        <v>16</v>
      </c>
      <c r="AK8" s="107">
        <v>17</v>
      </c>
      <c r="AL8" s="104">
        <v>0</v>
      </c>
      <c r="AM8" s="108">
        <v>0</v>
      </c>
      <c r="AN8" s="109">
        <v>48.940250396728516</v>
      </c>
      <c r="AO8" s="110"/>
      <c r="AP8" s="111"/>
      <c r="AQ8" s="111">
        <v>0</v>
      </c>
      <c r="AR8" s="112">
        <v>0</v>
      </c>
    </row>
    <row r="9" spans="2:47" ht="13.5" customHeight="1" x14ac:dyDescent="0.25">
      <c r="B9" s="14">
        <v>0.95833333333333337</v>
      </c>
      <c r="C9" s="104">
        <v>6.759983062744141</v>
      </c>
      <c r="D9" s="104">
        <v>17.952470779418945</v>
      </c>
      <c r="E9" s="104">
        <v>415.7752990722656</v>
      </c>
      <c r="F9" s="104">
        <v>0</v>
      </c>
      <c r="G9" s="104">
        <v>0</v>
      </c>
      <c r="H9" s="105">
        <v>413.5328063964844</v>
      </c>
      <c r="I9" s="106">
        <v>0</v>
      </c>
      <c r="J9" s="104">
        <v>0</v>
      </c>
      <c r="K9" s="104">
        <v>13.541669845581055</v>
      </c>
      <c r="L9" s="104">
        <v>0.1698133945465088</v>
      </c>
      <c r="M9" s="104">
        <v>11.919489860534668</v>
      </c>
      <c r="N9" s="104">
        <v>14.388019561767578</v>
      </c>
      <c r="O9" s="104">
        <v>0</v>
      </c>
      <c r="P9" s="104">
        <v>0</v>
      </c>
      <c r="Q9" s="104">
        <v>3.1125309300733807E-30</v>
      </c>
      <c r="R9" s="104">
        <v>0</v>
      </c>
      <c r="S9" s="104">
        <v>11.595780372619629</v>
      </c>
      <c r="T9" s="104">
        <v>0.3542028069496155</v>
      </c>
      <c r="U9" s="104">
        <v>0</v>
      </c>
      <c r="V9" s="104">
        <v>0</v>
      </c>
      <c r="W9" s="104">
        <v>12.16001033782959</v>
      </c>
      <c r="X9" s="104">
        <v>1.2509210109710693</v>
      </c>
      <c r="Y9" s="104" t="s">
        <v>82</v>
      </c>
      <c r="Z9" s="104">
        <v>-0.01030092965811491</v>
      </c>
      <c r="AA9" s="104">
        <v>12.015339851379395</v>
      </c>
      <c r="AB9" s="104">
        <v>25.824649810791016</v>
      </c>
      <c r="AC9" s="104">
        <v>-0.006438078824430704</v>
      </c>
      <c r="AD9" s="104">
        <v>12.919560432434082</v>
      </c>
      <c r="AE9" s="107">
        <v>11</v>
      </c>
      <c r="AF9" s="107">
        <v>12</v>
      </c>
      <c r="AG9" s="107">
        <v>13</v>
      </c>
      <c r="AH9" s="107">
        <v>14</v>
      </c>
      <c r="AI9" s="107">
        <v>15</v>
      </c>
      <c r="AJ9" s="107">
        <v>16</v>
      </c>
      <c r="AK9" s="107">
        <v>17</v>
      </c>
      <c r="AL9" s="104">
        <v>0</v>
      </c>
      <c r="AM9" s="108">
        <v>0</v>
      </c>
      <c r="AN9" s="109">
        <v>48.940250396728516</v>
      </c>
      <c r="AO9" s="110"/>
      <c r="AP9" s="111"/>
      <c r="AQ9" s="111">
        <v>0</v>
      </c>
      <c r="AR9" s="112">
        <v>0</v>
      </c>
    </row>
    <row r="10" spans="2:47" ht="13.5" customHeight="1" x14ac:dyDescent="0.25">
      <c r="B10" s="41" t="s">
        <v>272</v>
      </c>
      <c r="C10" s="104">
        <v>6.676794052124023</v>
      </c>
      <c r="D10" s="104">
        <v>17.65407943725586</v>
      </c>
      <c r="E10" s="104">
        <v>415.78729248046875</v>
      </c>
      <c r="F10" s="104">
        <v>0</v>
      </c>
      <c r="G10" s="104">
        <v>0</v>
      </c>
      <c r="H10" s="105">
        <v>413.904296875</v>
      </c>
      <c r="I10" s="106">
        <v>0</v>
      </c>
      <c r="J10" s="104">
        <v>0</v>
      </c>
      <c r="K10" s="104">
        <v>13.38976001739502</v>
      </c>
      <c r="L10" s="104">
        <v>0.16890910267829895</v>
      </c>
      <c r="M10" s="104">
        <v>11.637370109558105</v>
      </c>
      <c r="N10" s="104">
        <v>13.679109573364258</v>
      </c>
      <c r="O10" s="104">
        <v>0</v>
      </c>
      <c r="P10" s="104">
        <v>0</v>
      </c>
      <c r="Q10" s="104">
        <v>1.5812089770861348E-07</v>
      </c>
      <c r="R10" s="104">
        <v>0</v>
      </c>
      <c r="S10" s="104">
        <v>11.508970260620117</v>
      </c>
      <c r="T10" s="104">
        <v>0.3577474057674408</v>
      </c>
      <c r="U10" s="104">
        <v>0</v>
      </c>
      <c r="V10" s="104">
        <v>0</v>
      </c>
      <c r="W10" s="104">
        <v>12.008099555969238</v>
      </c>
      <c r="X10" s="104">
        <v>1.2509210109710693</v>
      </c>
      <c r="Y10" s="104" t="s">
        <v>82</v>
      </c>
      <c r="Z10" s="104">
        <v>-0.010358800180256367</v>
      </c>
      <c r="AA10" s="104">
        <v>11.79109001159668</v>
      </c>
      <c r="AB10" s="104">
        <v>23.357929229736328</v>
      </c>
      <c r="AC10" s="104">
        <v>-0.006438078824430704</v>
      </c>
      <c r="AD10" s="104">
        <v>12.514470100402832</v>
      </c>
      <c r="AE10" s="107">
        <v>11</v>
      </c>
      <c r="AF10" s="107">
        <v>12</v>
      </c>
      <c r="AG10" s="107">
        <v>13</v>
      </c>
      <c r="AH10" s="107">
        <v>14</v>
      </c>
      <c r="AI10" s="107">
        <v>15</v>
      </c>
      <c r="AJ10" s="107">
        <v>16</v>
      </c>
      <c r="AK10" s="107">
        <v>17</v>
      </c>
      <c r="AL10" s="104">
        <v>0</v>
      </c>
      <c r="AM10" s="108">
        <v>0</v>
      </c>
      <c r="AN10" s="109">
        <v>48.947479248046875</v>
      </c>
      <c r="AO10" s="110"/>
      <c r="AP10" s="111"/>
      <c r="AQ10" s="111">
        <v>0</v>
      </c>
      <c r="AR10" s="112">
        <v>0</v>
      </c>
    </row>
    <row r="11" spans="2:47" ht="13.5" customHeight="1" x14ac:dyDescent="0.25">
      <c r="B11" s="14">
        <v>4.1666666666666664E-2</v>
      </c>
      <c r="C11" s="104">
        <v>6.702112197875977</v>
      </c>
      <c r="D11" s="104">
        <v>17.58354949951172</v>
      </c>
      <c r="E11" s="104">
        <v>415.8951110839844</v>
      </c>
      <c r="F11" s="104">
        <v>0</v>
      </c>
      <c r="G11" s="104">
        <v>0</v>
      </c>
      <c r="H11" s="105">
        <v>413.8918151855469</v>
      </c>
      <c r="I11" s="106">
        <v>0</v>
      </c>
      <c r="J11" s="104">
        <v>0</v>
      </c>
      <c r="K11" s="104">
        <v>13.1003999710083</v>
      </c>
      <c r="L11" s="104">
        <v>0.1680953949689865</v>
      </c>
      <c r="M11" s="104">
        <v>11.442060470581055</v>
      </c>
      <c r="N11" s="104">
        <v>13.129340171813965</v>
      </c>
      <c r="O11" s="104">
        <v>0</v>
      </c>
      <c r="P11" s="104">
        <v>0</v>
      </c>
      <c r="Q11" s="104">
        <v>3.241727881686529E-07</v>
      </c>
      <c r="R11" s="104">
        <v>0</v>
      </c>
      <c r="S11" s="104">
        <v>11.291959762573242</v>
      </c>
      <c r="T11" s="104">
        <v>0.06253617256879807</v>
      </c>
      <c r="U11" s="104">
        <v>0</v>
      </c>
      <c r="V11" s="104">
        <v>0</v>
      </c>
      <c r="W11" s="104">
        <v>11.805560111999512</v>
      </c>
      <c r="X11" s="104">
        <v>1.2509210109710693</v>
      </c>
      <c r="Y11" s="104" t="s">
        <v>82</v>
      </c>
      <c r="Z11" s="104">
        <v>-0.010358800180256367</v>
      </c>
      <c r="AA11" s="104">
        <v>11.566840171813965</v>
      </c>
      <c r="AB11" s="104">
        <v>21.303529739379883</v>
      </c>
      <c r="AC11" s="104">
        <v>-0.006401909980922937</v>
      </c>
      <c r="AD11" s="104">
        <v>12.174480438232422</v>
      </c>
      <c r="AE11" s="107">
        <v>11</v>
      </c>
      <c r="AF11" s="107">
        <v>12</v>
      </c>
      <c r="AG11" s="107">
        <v>13</v>
      </c>
      <c r="AH11" s="107">
        <v>14</v>
      </c>
      <c r="AI11" s="107">
        <v>15</v>
      </c>
      <c r="AJ11" s="107">
        <v>16</v>
      </c>
      <c r="AK11" s="107">
        <v>17</v>
      </c>
      <c r="AL11" s="104">
        <v>0</v>
      </c>
      <c r="AM11" s="108">
        <v>0</v>
      </c>
      <c r="AN11" s="109">
        <v>48.95109939575195</v>
      </c>
      <c r="AO11" s="110"/>
      <c r="AP11" s="111"/>
      <c r="AQ11" s="111">
        <v>0</v>
      </c>
      <c r="AR11" s="112">
        <v>0</v>
      </c>
    </row>
    <row r="12" spans="2:47" ht="13.5" customHeight="1" x14ac:dyDescent="0.25">
      <c r="B12" s="41" t="s">
        <v>273</v>
      </c>
      <c r="C12" s="104">
        <v>6.524884223937988</v>
      </c>
      <c r="D12" s="104">
        <v>17.49131965637207</v>
      </c>
      <c r="E12" s="104">
        <v>415.87359619140625</v>
      </c>
      <c r="F12" s="104">
        <v>0</v>
      </c>
      <c r="G12" s="104">
        <v>0</v>
      </c>
      <c r="H12" s="105">
        <v>413.9382019042969</v>
      </c>
      <c r="I12" s="106">
        <v>0</v>
      </c>
      <c r="J12" s="104">
        <v>0</v>
      </c>
      <c r="K12" s="104">
        <v>12.86892032623291</v>
      </c>
      <c r="L12" s="104">
        <v>0.16737200319766998</v>
      </c>
      <c r="M12" s="104">
        <v>11.121959686279297</v>
      </c>
      <c r="N12" s="104">
        <v>12.557869911193848</v>
      </c>
      <c r="O12" s="104">
        <v>0</v>
      </c>
      <c r="P12" s="104">
        <v>0</v>
      </c>
      <c r="Q12" s="104">
        <v>1.0713180342847295E-11</v>
      </c>
      <c r="R12" s="104">
        <v>0</v>
      </c>
      <c r="S12" s="104">
        <v>11.00984001159668</v>
      </c>
      <c r="T12" s="104">
        <v>0.32749199867248535</v>
      </c>
      <c r="U12" s="104">
        <v>0</v>
      </c>
      <c r="V12" s="104">
        <v>0</v>
      </c>
      <c r="W12" s="104">
        <v>11.5378999710083</v>
      </c>
      <c r="X12" s="104">
        <v>1.2509210109710693</v>
      </c>
      <c r="Y12" s="104" t="s">
        <v>82</v>
      </c>
      <c r="Z12" s="104">
        <v>-0.010243060067296028</v>
      </c>
      <c r="AA12" s="104">
        <v>11.24131965637207</v>
      </c>
      <c r="AB12" s="104">
        <v>19.5601806640625</v>
      </c>
      <c r="AC12" s="104">
        <v>-0.006401909980922937</v>
      </c>
      <c r="AD12" s="104">
        <v>11.841719627380371</v>
      </c>
      <c r="AE12" s="107">
        <v>11</v>
      </c>
      <c r="AF12" s="107">
        <v>12</v>
      </c>
      <c r="AG12" s="107">
        <v>13</v>
      </c>
      <c r="AH12" s="107">
        <v>14</v>
      </c>
      <c r="AI12" s="107">
        <v>15</v>
      </c>
      <c r="AJ12" s="107">
        <v>16</v>
      </c>
      <c r="AK12" s="107">
        <v>17</v>
      </c>
      <c r="AL12" s="104">
        <v>0</v>
      </c>
      <c r="AM12" s="108">
        <v>0</v>
      </c>
      <c r="AN12" s="109">
        <v>48.95109939575195</v>
      </c>
      <c r="AO12" s="110"/>
      <c r="AP12" s="111"/>
      <c r="AQ12" s="111">
        <v>0</v>
      </c>
      <c r="AR12" s="112">
        <v>0</v>
      </c>
    </row>
    <row r="13" spans="2:47" ht="13.5" customHeight="1" x14ac:dyDescent="0.25">
      <c r="B13" s="14">
        <v>0.125</v>
      </c>
      <c r="C13" s="104">
        <v>6.618924140930176</v>
      </c>
      <c r="D13" s="104">
        <v>17.333980560302734</v>
      </c>
      <c r="E13" s="104">
        <v>416.07861328125</v>
      </c>
      <c r="F13" s="104">
        <v>0</v>
      </c>
      <c r="G13" s="104">
        <v>0</v>
      </c>
      <c r="H13" s="105">
        <v>414.0143127441406</v>
      </c>
      <c r="I13" s="106">
        <v>0</v>
      </c>
      <c r="J13" s="104">
        <v>0</v>
      </c>
      <c r="K13" s="104">
        <v>12.594039916992188</v>
      </c>
      <c r="L13" s="104">
        <v>0.16655820608139038</v>
      </c>
      <c r="M13" s="104">
        <v>10.82898998260498</v>
      </c>
      <c r="N13" s="104">
        <v>12.05150032043457</v>
      </c>
      <c r="O13" s="104">
        <v>0</v>
      </c>
      <c r="P13" s="104">
        <v>0</v>
      </c>
      <c r="Q13" s="104">
        <v>1.7429949821234914E-06</v>
      </c>
      <c r="R13" s="104">
        <v>0</v>
      </c>
      <c r="S13" s="104">
        <v>10.684320449829102</v>
      </c>
      <c r="T13" s="104">
        <v>0.3445819020271301</v>
      </c>
      <c r="U13" s="104">
        <v>0</v>
      </c>
      <c r="V13" s="104">
        <v>0</v>
      </c>
      <c r="W13" s="104">
        <v>11.234089851379395</v>
      </c>
      <c r="X13" s="104">
        <v>1.2509210109710693</v>
      </c>
      <c r="Y13" s="104" t="s">
        <v>82</v>
      </c>
      <c r="Z13" s="104">
        <v>-0.010358800180256367</v>
      </c>
      <c r="AA13" s="104">
        <v>10.995369911193848</v>
      </c>
      <c r="AB13" s="104">
        <v>18.04109001159668</v>
      </c>
      <c r="AC13" s="104">
        <v>-0.006365741137415171</v>
      </c>
      <c r="AD13" s="104">
        <v>11.516200065612793</v>
      </c>
      <c r="AE13" s="107">
        <v>11</v>
      </c>
      <c r="AF13" s="107">
        <v>12</v>
      </c>
      <c r="AG13" s="107">
        <v>13</v>
      </c>
      <c r="AH13" s="107">
        <v>14</v>
      </c>
      <c r="AI13" s="107">
        <v>15</v>
      </c>
      <c r="AJ13" s="107">
        <v>16</v>
      </c>
      <c r="AK13" s="107">
        <v>17</v>
      </c>
      <c r="AL13" s="104">
        <v>0</v>
      </c>
      <c r="AM13" s="108">
        <v>0</v>
      </c>
      <c r="AN13" s="109">
        <v>48.95832824707031</v>
      </c>
      <c r="AO13" s="110"/>
      <c r="AP13" s="111"/>
      <c r="AQ13" s="111">
        <v>0</v>
      </c>
      <c r="AR13" s="112">
        <v>0</v>
      </c>
    </row>
    <row r="14" spans="2:47" ht="13.5" customHeight="1" x14ac:dyDescent="0.25">
      <c r="B14" s="14">
        <v>0.16666666666666666</v>
      </c>
      <c r="C14" s="104">
        <v>6.644241809844971</v>
      </c>
      <c r="D14" s="104">
        <v>17.453340530395508</v>
      </c>
      <c r="E14" s="104">
        <v>416.1321105957031</v>
      </c>
      <c r="F14" s="104">
        <v>0</v>
      </c>
      <c r="G14" s="104">
        <v>0</v>
      </c>
      <c r="H14" s="105">
        <v>413.8562927246094</v>
      </c>
      <c r="I14" s="106">
        <v>0</v>
      </c>
      <c r="J14" s="104">
        <v>0</v>
      </c>
      <c r="K14" s="104">
        <v>12.3191499710083</v>
      </c>
      <c r="L14" s="104">
        <v>0.16574439406394958</v>
      </c>
      <c r="M14" s="104">
        <v>10.536029815673828</v>
      </c>
      <c r="N14" s="104">
        <v>11.68257999420166</v>
      </c>
      <c r="O14" s="104">
        <v>0</v>
      </c>
      <c r="P14" s="104">
        <v>0</v>
      </c>
      <c r="Q14" s="104">
        <v>2.97744600175065E-06</v>
      </c>
      <c r="R14" s="104">
        <v>0.0009765625</v>
      </c>
      <c r="S14" s="104">
        <v>10.394969940185547</v>
      </c>
      <c r="T14" s="104">
        <v>0.298882395029068</v>
      </c>
      <c r="U14" s="104">
        <v>0</v>
      </c>
      <c r="V14" s="104">
        <v>0</v>
      </c>
      <c r="W14" s="104">
        <v>10.915800094604492</v>
      </c>
      <c r="X14" s="104">
        <v>1.2509210109710693</v>
      </c>
      <c r="Y14" s="104" t="s">
        <v>82</v>
      </c>
      <c r="Z14" s="104">
        <v>-0.010358800180256367</v>
      </c>
      <c r="AA14" s="104">
        <v>10.74219036102295</v>
      </c>
      <c r="AB14" s="104">
        <v>16.753469467163086</v>
      </c>
      <c r="AC14" s="104">
        <v>-0.006365741137415171</v>
      </c>
      <c r="AD14" s="104">
        <v>11.226849555969238</v>
      </c>
      <c r="AE14" s="107">
        <v>11</v>
      </c>
      <c r="AF14" s="107">
        <v>12</v>
      </c>
      <c r="AG14" s="107">
        <v>13</v>
      </c>
      <c r="AH14" s="107">
        <v>14</v>
      </c>
      <c r="AI14" s="107">
        <v>15</v>
      </c>
      <c r="AJ14" s="107">
        <v>16</v>
      </c>
      <c r="AK14" s="107">
        <v>17</v>
      </c>
      <c r="AL14" s="104">
        <v>0</v>
      </c>
      <c r="AM14" s="108">
        <v>0</v>
      </c>
      <c r="AN14" s="109">
        <v>48.95832824707031</v>
      </c>
      <c r="AO14" s="110"/>
      <c r="AP14" s="111"/>
      <c r="AQ14" s="111">
        <v>0</v>
      </c>
      <c r="AR14" s="112">
        <v>0</v>
      </c>
    </row>
    <row r="15" spans="2:47" ht="13.5" customHeight="1" x14ac:dyDescent="0.25">
      <c r="B15" s="14">
        <v>0.20833333333333334</v>
      </c>
      <c r="C15" s="104">
        <v>6.6731767654418945</v>
      </c>
      <c r="D15" s="104">
        <v>17.458770751953125</v>
      </c>
      <c r="E15" s="104">
        <v>416.1972961425781</v>
      </c>
      <c r="F15" s="104">
        <v>0</v>
      </c>
      <c r="G15" s="104">
        <v>0</v>
      </c>
      <c r="H15" s="105">
        <v>413.7786865234375</v>
      </c>
      <c r="I15" s="106">
        <v>0</v>
      </c>
      <c r="J15" s="104">
        <v>0</v>
      </c>
      <c r="K15" s="104">
        <v>12.073209762573242</v>
      </c>
      <c r="L15" s="104">
        <v>0.16511139273643494</v>
      </c>
      <c r="M15" s="104">
        <v>10.514320373535156</v>
      </c>
      <c r="N15" s="104">
        <v>11.37876033782959</v>
      </c>
      <c r="O15" s="104">
        <v>0</v>
      </c>
      <c r="P15" s="104">
        <v>0</v>
      </c>
      <c r="Q15" s="104">
        <v>2.4317370844073594E-05</v>
      </c>
      <c r="R15" s="104">
        <v>0</v>
      </c>
      <c r="S15" s="104">
        <v>10.243060111999512</v>
      </c>
      <c r="T15" s="104">
        <v>0.3481264114379883</v>
      </c>
      <c r="U15" s="104">
        <v>0</v>
      </c>
      <c r="V15" s="104">
        <v>0</v>
      </c>
      <c r="W15" s="104">
        <v>10.79281997680664</v>
      </c>
      <c r="X15" s="104">
        <v>1.2509210109710693</v>
      </c>
      <c r="Y15" s="104" t="s">
        <v>82</v>
      </c>
      <c r="Z15" s="104">
        <v>-0.010358800180256367</v>
      </c>
      <c r="AA15" s="104">
        <v>10.70602035522461</v>
      </c>
      <c r="AB15" s="104">
        <v>15.704569816589355</v>
      </c>
      <c r="AC15" s="104">
        <v>-0.006365741137415171</v>
      </c>
      <c r="AD15" s="104">
        <v>11.024310111999512</v>
      </c>
      <c r="AE15" s="107">
        <v>11</v>
      </c>
      <c r="AF15" s="107">
        <v>12</v>
      </c>
      <c r="AG15" s="107">
        <v>13</v>
      </c>
      <c r="AH15" s="107">
        <v>14</v>
      </c>
      <c r="AI15" s="107">
        <v>15</v>
      </c>
      <c r="AJ15" s="107">
        <v>16</v>
      </c>
      <c r="AK15" s="107">
        <v>17</v>
      </c>
      <c r="AL15" s="104">
        <v>0</v>
      </c>
      <c r="AM15" s="108">
        <v>0</v>
      </c>
      <c r="AN15" s="109">
        <v>48.95471954345703</v>
      </c>
      <c r="AO15" s="110"/>
      <c r="AP15" s="111"/>
      <c r="AQ15" s="111">
        <v>0</v>
      </c>
      <c r="AR15" s="112">
        <v>0</v>
      </c>
    </row>
    <row r="16" spans="2:47" ht="13.5" customHeight="1" x14ac:dyDescent="0.25">
      <c r="B16" s="14">
        <v>0.25</v>
      </c>
      <c r="C16" s="104">
        <v>6.680410861968994</v>
      </c>
      <c r="D16" s="104">
        <v>17.588979721069336</v>
      </c>
      <c r="E16" s="104">
        <v>416.1993103027344</v>
      </c>
      <c r="F16" s="104">
        <v>0</v>
      </c>
      <c r="G16" s="104">
        <v>0</v>
      </c>
      <c r="H16" s="105">
        <v>413.72210693359375</v>
      </c>
      <c r="I16" s="106">
        <v>0</v>
      </c>
      <c r="J16" s="104">
        <v>0</v>
      </c>
      <c r="K16" s="104">
        <v>11.848959922790527</v>
      </c>
      <c r="L16" s="104">
        <v>0.16447849571704865</v>
      </c>
      <c r="M16" s="104">
        <v>10.324440002441406</v>
      </c>
      <c r="N16" s="104">
        <v>11.190679550170898</v>
      </c>
      <c r="O16" s="104">
        <v>0</v>
      </c>
      <c r="P16" s="104">
        <v>0</v>
      </c>
      <c r="Q16" s="104">
        <v>0.0005465999129228294</v>
      </c>
      <c r="R16" s="104">
        <v>0</v>
      </c>
      <c r="S16" s="104">
        <v>10.149020195007324</v>
      </c>
      <c r="T16" s="104">
        <v>0.35951969027519226</v>
      </c>
      <c r="U16" s="104">
        <v>0</v>
      </c>
      <c r="V16" s="104">
        <v>0</v>
      </c>
      <c r="W16" s="104">
        <v>10.66985034942627</v>
      </c>
      <c r="X16" s="104">
        <v>1.2509210109710693</v>
      </c>
      <c r="Y16" s="104" t="s">
        <v>82</v>
      </c>
      <c r="Z16" s="104">
        <v>-0.010416669771075249</v>
      </c>
      <c r="AA16" s="104">
        <v>10.56134033203125</v>
      </c>
      <c r="AB16" s="104">
        <v>14.814809799194336</v>
      </c>
      <c r="AC16" s="104">
        <v>-0.006365741137415171</v>
      </c>
      <c r="AD16" s="104">
        <v>10.886859893798828</v>
      </c>
      <c r="AE16" s="107">
        <v>11</v>
      </c>
      <c r="AF16" s="107">
        <v>12</v>
      </c>
      <c r="AG16" s="107">
        <v>13</v>
      </c>
      <c r="AH16" s="107">
        <v>14</v>
      </c>
      <c r="AI16" s="107">
        <v>15</v>
      </c>
      <c r="AJ16" s="107">
        <v>16</v>
      </c>
      <c r="AK16" s="107">
        <v>17</v>
      </c>
      <c r="AL16" s="104">
        <v>0</v>
      </c>
      <c r="AM16" s="108">
        <v>0</v>
      </c>
      <c r="AN16" s="109">
        <v>48.95471954345703</v>
      </c>
      <c r="AO16" s="110"/>
      <c r="AP16" s="111"/>
      <c r="AQ16" s="111">
        <v>0</v>
      </c>
      <c r="AR16" s="112">
        <v>0</v>
      </c>
    </row>
    <row r="17" spans="2:44" ht="13.5" customHeight="1" x14ac:dyDescent="0.25">
      <c r="B17" s="14">
        <v>0.29166666666666669</v>
      </c>
      <c r="C17" s="104">
        <v>6.6333909034729</v>
      </c>
      <c r="D17" s="104">
        <v>17.762590408325195</v>
      </c>
      <c r="E17" s="104">
        <v>416.3468933105469</v>
      </c>
      <c r="F17" s="104">
        <v>0</v>
      </c>
      <c r="G17" s="104">
        <v>0</v>
      </c>
      <c r="H17" s="105">
        <v>413.59149169921875</v>
      </c>
      <c r="I17" s="106">
        <v>0</v>
      </c>
      <c r="J17" s="104">
        <v>0</v>
      </c>
      <c r="K17" s="104">
        <v>11.668109893798828</v>
      </c>
      <c r="L17" s="104">
        <v>0.16375510394573212</v>
      </c>
      <c r="M17" s="104">
        <v>10.080300331115723</v>
      </c>
      <c r="N17" s="104">
        <v>10.97367000579834</v>
      </c>
      <c r="O17" s="104">
        <v>0</v>
      </c>
      <c r="P17" s="104">
        <v>0</v>
      </c>
      <c r="Q17" s="104">
        <v>0.0005755109013989568</v>
      </c>
      <c r="R17" s="104">
        <v>0</v>
      </c>
      <c r="S17" s="104">
        <v>9.975404739379883</v>
      </c>
      <c r="T17" s="104">
        <v>0.3087565004825592</v>
      </c>
      <c r="U17" s="104">
        <v>0</v>
      </c>
      <c r="V17" s="104">
        <v>0</v>
      </c>
      <c r="W17" s="104">
        <v>10.481769561767578</v>
      </c>
      <c r="X17" s="104">
        <v>1.2509210109710693</v>
      </c>
      <c r="Y17" s="104" t="s">
        <v>82</v>
      </c>
      <c r="Z17" s="104">
        <v>-0.010358800180256367</v>
      </c>
      <c r="AA17" s="104">
        <v>10.30093002319336</v>
      </c>
      <c r="AB17" s="104">
        <v>14.084199905395508</v>
      </c>
      <c r="AC17" s="104">
        <v>-0.006365741137415171</v>
      </c>
      <c r="AD17" s="104">
        <v>10.70602035522461</v>
      </c>
      <c r="AE17" s="107">
        <v>11</v>
      </c>
      <c r="AF17" s="107">
        <v>12</v>
      </c>
      <c r="AG17" s="107">
        <v>13</v>
      </c>
      <c r="AH17" s="107">
        <v>14</v>
      </c>
      <c r="AI17" s="107">
        <v>15</v>
      </c>
      <c r="AJ17" s="107">
        <v>16</v>
      </c>
      <c r="AK17" s="107">
        <v>17</v>
      </c>
      <c r="AL17" s="104">
        <v>0</v>
      </c>
      <c r="AM17" s="108">
        <v>0</v>
      </c>
      <c r="AN17" s="109">
        <v>48.95471954345703</v>
      </c>
      <c r="AO17" s="110"/>
      <c r="AP17" s="111"/>
      <c r="AQ17" s="111">
        <v>0</v>
      </c>
      <c r="AR17" s="112">
        <v>0</v>
      </c>
    </row>
    <row r="18" spans="2:44" ht="13.5" customHeight="1" x14ac:dyDescent="0.25">
      <c r="B18" s="42">
        <v>0.33333333333333331</v>
      </c>
      <c r="C18" s="113"/>
      <c r="D18" s="113"/>
      <c r="E18" s="113"/>
      <c r="F18" s="113"/>
      <c r="G18" s="113"/>
      <c r="H18" s="114"/>
      <c r="I18" s="115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6"/>
      <c r="AF18" s="116"/>
      <c r="AG18" s="116"/>
      <c r="AH18" s="116"/>
      <c r="AI18" s="116"/>
      <c r="AJ18" s="116"/>
      <c r="AK18" s="116"/>
      <c r="AL18" s="113"/>
      <c r="AM18" s="117"/>
      <c r="AN18" s="118"/>
      <c r="AO18" s="110"/>
      <c r="AP18" s="111"/>
      <c r="AQ18" s="111"/>
      <c r="AR18" s="119"/>
    </row>
    <row r="19" spans="2:44" ht="18" customHeight="1" x14ac:dyDescent="0.25">
      <c r="B19" s="167" t="s">
        <v>181</v>
      </c>
      <c r="C19" s="36" t="s">
        <v>168</v>
      </c>
      <c r="D19" s="36" t="s">
        <v>171</v>
      </c>
      <c r="E19" s="182" t="s">
        <v>17</v>
      </c>
      <c r="F19" s="183"/>
      <c r="G19" s="184"/>
      <c r="H19" s="185" t="s">
        <v>108</v>
      </c>
      <c r="I19" s="183"/>
      <c r="J19" s="183"/>
      <c r="K19" s="183"/>
      <c r="L19" s="186"/>
      <c r="M19" s="187" t="s">
        <v>123</v>
      </c>
      <c r="N19" s="183"/>
      <c r="O19" s="183"/>
      <c r="P19" s="183"/>
      <c r="Q19" s="184"/>
      <c r="R19" s="185" t="s">
        <v>147</v>
      </c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4"/>
      <c r="AG19" s="188" t="s">
        <v>24</v>
      </c>
      <c r="AH19" s="184"/>
      <c r="AI19" s="164" t="s">
        <v>173</v>
      </c>
      <c r="AJ19" s="165"/>
      <c r="AK19" s="165"/>
      <c r="AL19" s="165"/>
      <c r="AM19" s="166"/>
      <c r="AN19" s="188" t="s">
        <v>47</v>
      </c>
      <c r="AO19" s="189"/>
      <c r="AP19" s="183" t="s">
        <v>180</v>
      </c>
      <c r="AQ19" s="190"/>
      <c r="AR19" s="191"/>
    </row>
    <row r="20" spans="2:44" ht="20.15" customHeight="1" x14ac:dyDescent="0.25">
      <c r="B20" s="168"/>
      <c r="C20" s="3" t="s">
        <v>169</v>
      </c>
      <c r="D20" s="3" t="s">
        <v>113</v>
      </c>
      <c r="E20" s="3" t="s">
        <v>15</v>
      </c>
      <c r="F20" s="162" t="s">
        <v>100</v>
      </c>
      <c r="G20" s="163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76" t="s">
        <v>148</v>
      </c>
      <c r="AE20" s="163"/>
      <c r="AF20" s="17" t="s">
        <v>151</v>
      </c>
      <c r="AG20" s="17" t="s">
        <v>153</v>
      </c>
      <c r="AH20" s="17" t="s">
        <v>155</v>
      </c>
      <c r="AI20" s="157" t="s">
        <v>89</v>
      </c>
      <c r="AJ20" s="158"/>
      <c r="AK20" s="157" t="s">
        <v>92</v>
      </c>
      <c r="AL20" s="158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8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104">
        <v>-0.2748871147632599</v>
      </c>
      <c r="D22" s="104">
        <v>-0.1953125</v>
      </c>
      <c r="E22" s="104">
        <v>28.454139709472656</v>
      </c>
      <c r="F22" s="104">
        <v>0</v>
      </c>
      <c r="G22" s="104"/>
      <c r="H22" s="104">
        <v>1</v>
      </c>
      <c r="I22" s="104">
        <v>2</v>
      </c>
      <c r="J22" s="104">
        <v>3</v>
      </c>
      <c r="K22" s="104">
        <v>4</v>
      </c>
      <c r="L22" s="105">
        <v>5</v>
      </c>
      <c r="M22" s="120">
        <v>0</v>
      </c>
      <c r="N22" s="104">
        <v>19.581890106201172</v>
      </c>
      <c r="O22" s="104">
        <v>0</v>
      </c>
      <c r="P22" s="104">
        <v>50</v>
      </c>
      <c r="Q22" s="104">
        <v>13.135419845581055</v>
      </c>
      <c r="R22" s="104">
        <v>37.6844596862793</v>
      </c>
      <c r="S22" s="121">
        <v>97.5079574584961</v>
      </c>
      <c r="T22" s="121">
        <v>50</v>
      </c>
      <c r="U22" s="121">
        <v>61.8306884765625</v>
      </c>
      <c r="V22" s="121">
        <v>30.506729125976562</v>
      </c>
      <c r="W22" s="121">
        <v>36.71332931518555</v>
      </c>
      <c r="X22" s="121">
        <v>50</v>
      </c>
      <c r="Y22" s="121">
        <v>116.60320281982422</v>
      </c>
      <c r="Z22" s="121">
        <v>31.14872932434082</v>
      </c>
      <c r="AA22" s="121">
        <v>36.132808685302734</v>
      </c>
      <c r="AB22" s="121"/>
      <c r="AC22" s="108"/>
      <c r="AD22" s="108">
        <v>0</v>
      </c>
      <c r="AE22" s="108"/>
      <c r="AF22" s="108"/>
      <c r="AG22" s="108">
        <v>94.50592803955078</v>
      </c>
      <c r="AH22" s="108">
        <v>26</v>
      </c>
      <c r="AI22" s="122">
        <v>41</v>
      </c>
      <c r="AJ22" s="122">
        <v>42</v>
      </c>
      <c r="AK22" s="122">
        <v>43</v>
      </c>
      <c r="AL22" s="122">
        <v>44</v>
      </c>
      <c r="AM22" s="122">
        <v>45</v>
      </c>
      <c r="AN22" s="108">
        <v>66.98494720458984</v>
      </c>
      <c r="AO22" s="109">
        <v>64.49652862548828</v>
      </c>
      <c r="AP22" s="110">
        <v>12.894240379333496</v>
      </c>
      <c r="AQ22" s="111">
        <v>2.452256917953491</v>
      </c>
      <c r="AR22" s="112">
        <v>-0.0325470007956028</v>
      </c>
    </row>
    <row r="23" spans="2:44" ht="13.5" customHeight="1" x14ac:dyDescent="0.25">
      <c r="B23" s="14">
        <v>0.875</v>
      </c>
      <c r="C23" s="104">
        <v>-0.25318148732185364</v>
      </c>
      <c r="D23" s="104">
        <v>-0.1808471977710724</v>
      </c>
      <c r="E23" s="104">
        <v>27.918840408325195</v>
      </c>
      <c r="F23" s="104">
        <v>0</v>
      </c>
      <c r="G23" s="104">
        <v>0</v>
      </c>
      <c r="H23" s="104">
        <v>1</v>
      </c>
      <c r="I23" s="104">
        <v>2</v>
      </c>
      <c r="J23" s="104">
        <v>3</v>
      </c>
      <c r="K23" s="104">
        <v>4</v>
      </c>
      <c r="L23" s="105">
        <v>5</v>
      </c>
      <c r="M23" s="120">
        <v>0</v>
      </c>
      <c r="N23" s="104">
        <v>19.06467056274414</v>
      </c>
      <c r="O23" s="104">
        <v>0</v>
      </c>
      <c r="P23" s="104">
        <v>50</v>
      </c>
      <c r="Q23" s="104">
        <v>13.136280059814453</v>
      </c>
      <c r="R23" s="104">
        <v>29.44154930114746</v>
      </c>
      <c r="S23" s="121">
        <v>95</v>
      </c>
      <c r="T23" s="121">
        <v>50</v>
      </c>
      <c r="U23" s="121">
        <v>62.682830810546875</v>
      </c>
      <c r="V23" s="121">
        <v>23.068580627441406</v>
      </c>
      <c r="W23" s="121">
        <v>28.705509185791016</v>
      </c>
      <c r="X23" s="121">
        <v>40</v>
      </c>
      <c r="Y23" s="121">
        <v>92.31716918945312</v>
      </c>
      <c r="Z23" s="121">
        <v>24.31097984313965</v>
      </c>
      <c r="AA23" s="121">
        <v>28.119579315185547</v>
      </c>
      <c r="AB23" s="121"/>
      <c r="AC23" s="108"/>
      <c r="AD23" s="108">
        <v>0</v>
      </c>
      <c r="AE23" s="108">
        <v>0</v>
      </c>
      <c r="AF23" s="108"/>
      <c r="AG23" s="108">
        <v>40.22351837158203</v>
      </c>
      <c r="AH23" s="108">
        <v>26</v>
      </c>
      <c r="AI23" s="122">
        <v>41</v>
      </c>
      <c r="AJ23" s="122">
        <v>42</v>
      </c>
      <c r="AK23" s="122">
        <v>43</v>
      </c>
      <c r="AL23" s="122">
        <v>44</v>
      </c>
      <c r="AM23" s="122">
        <v>45</v>
      </c>
      <c r="AN23" s="108">
        <v>65.1186294555664</v>
      </c>
      <c r="AO23" s="109">
        <v>64.37716674804688</v>
      </c>
      <c r="AP23" s="110">
        <v>12.568719863891602</v>
      </c>
      <c r="AQ23" s="111">
        <v>2.636718988418579</v>
      </c>
      <c r="AR23" s="112">
        <v>-0.0325470007956028</v>
      </c>
    </row>
    <row r="24" spans="2:44" ht="13.5" customHeight="1" x14ac:dyDescent="0.25">
      <c r="B24" s="41" t="s">
        <v>271</v>
      </c>
      <c r="C24" s="104">
        <v>-0.1880798041820526</v>
      </c>
      <c r="D24" s="104">
        <v>-0.173614501953125</v>
      </c>
      <c r="E24" s="104">
        <v>27.49566078186035</v>
      </c>
      <c r="F24" s="104">
        <v>0</v>
      </c>
      <c r="G24" s="104">
        <v>0</v>
      </c>
      <c r="H24" s="104">
        <v>1</v>
      </c>
      <c r="I24" s="104">
        <v>2</v>
      </c>
      <c r="J24" s="104">
        <v>3</v>
      </c>
      <c r="K24" s="104">
        <v>4</v>
      </c>
      <c r="L24" s="105">
        <v>5</v>
      </c>
      <c r="M24" s="120">
        <v>0</v>
      </c>
      <c r="N24" s="104">
        <v>18.713830947875977</v>
      </c>
      <c r="O24" s="104">
        <v>0</v>
      </c>
      <c r="P24" s="104">
        <v>50</v>
      </c>
      <c r="Q24" s="104">
        <v>13.136280059814453</v>
      </c>
      <c r="R24" s="104">
        <v>23.665359497070312</v>
      </c>
      <c r="S24" s="121">
        <v>98.68707275390625</v>
      </c>
      <c r="T24" s="121">
        <v>50</v>
      </c>
      <c r="U24" s="121">
        <v>63.18178939819336</v>
      </c>
      <c r="V24" s="121">
        <v>17.469619750976562</v>
      </c>
      <c r="W24" s="121">
        <v>23.144529342651367</v>
      </c>
      <c r="X24" s="121">
        <v>30</v>
      </c>
      <c r="Y24" s="121">
        <v>69.16358947753906</v>
      </c>
      <c r="Z24" s="121">
        <v>19.13882064819336</v>
      </c>
      <c r="AA24" s="121">
        <v>22.66710090637207</v>
      </c>
      <c r="AB24" s="121"/>
      <c r="AC24" s="108"/>
      <c r="AD24" s="108">
        <v>1.5478520393371582</v>
      </c>
      <c r="AE24" s="108">
        <v>2.0996094463043846E-05</v>
      </c>
      <c r="AF24" s="108"/>
      <c r="AG24" s="108">
        <v>28.139469146728516</v>
      </c>
      <c r="AH24" s="108">
        <v>26</v>
      </c>
      <c r="AI24" s="122">
        <v>41</v>
      </c>
      <c r="AJ24" s="122">
        <v>42</v>
      </c>
      <c r="AK24" s="122">
        <v>43</v>
      </c>
      <c r="AL24" s="122">
        <v>44</v>
      </c>
      <c r="AM24" s="122">
        <v>45</v>
      </c>
      <c r="AN24" s="108">
        <v>63.77315139770508</v>
      </c>
      <c r="AO24" s="109">
        <v>64.56163024902344</v>
      </c>
      <c r="AP24" s="110">
        <v>12.568719863891602</v>
      </c>
      <c r="AQ24" s="111">
        <v>2.6005499362945557</v>
      </c>
      <c r="AR24" s="112">
        <v>-0.0325470007956028</v>
      </c>
    </row>
    <row r="25" spans="2:44" ht="13.5" customHeight="1" x14ac:dyDescent="0.25">
      <c r="B25" s="14">
        <v>0.95833333333333337</v>
      </c>
      <c r="C25" s="104">
        <v>-0.15190890431404114</v>
      </c>
      <c r="D25" s="104">
        <v>-0.173614501953125</v>
      </c>
      <c r="E25" s="104">
        <v>26.927810668945312</v>
      </c>
      <c r="F25" s="104">
        <v>0</v>
      </c>
      <c r="G25" s="104">
        <v>0</v>
      </c>
      <c r="H25" s="104">
        <v>1</v>
      </c>
      <c r="I25" s="104">
        <v>2</v>
      </c>
      <c r="J25" s="104">
        <v>3</v>
      </c>
      <c r="K25" s="104">
        <v>4</v>
      </c>
      <c r="L25" s="105">
        <v>5</v>
      </c>
      <c r="M25" s="120">
        <v>0</v>
      </c>
      <c r="N25" s="104">
        <v>18.35576057434082</v>
      </c>
      <c r="O25" s="104">
        <v>0</v>
      </c>
      <c r="P25" s="104">
        <v>50</v>
      </c>
      <c r="Q25" s="104">
        <v>13.135849952697754</v>
      </c>
      <c r="R25" s="104">
        <v>23.91493034362793</v>
      </c>
      <c r="S25" s="121">
        <v>96</v>
      </c>
      <c r="T25" s="121">
        <v>50</v>
      </c>
      <c r="U25" s="121">
        <v>0</v>
      </c>
      <c r="V25" s="121">
        <v>6.228299140930176</v>
      </c>
      <c r="W25" s="121">
        <v>106.23370361328125</v>
      </c>
      <c r="X25" s="121">
        <v>0</v>
      </c>
      <c r="Y25" s="121">
        <v>31.377859115600586</v>
      </c>
      <c r="Z25" s="121">
        <v>15.171079635620117</v>
      </c>
      <c r="AA25" s="121">
        <v>107.72570037841797</v>
      </c>
      <c r="AB25" s="121"/>
      <c r="AC25" s="108"/>
      <c r="AD25" s="108">
        <v>1.5479600429534912</v>
      </c>
      <c r="AE25" s="108">
        <v>0.0008612060337327421</v>
      </c>
      <c r="AF25" s="108"/>
      <c r="AG25" s="108">
        <v>19.99782943725586</v>
      </c>
      <c r="AH25" s="108">
        <v>26</v>
      </c>
      <c r="AI25" s="122">
        <v>41</v>
      </c>
      <c r="AJ25" s="122">
        <v>42</v>
      </c>
      <c r="AK25" s="122">
        <v>43</v>
      </c>
      <c r="AL25" s="122">
        <v>44</v>
      </c>
      <c r="AM25" s="122">
        <v>45</v>
      </c>
      <c r="AN25" s="108">
        <v>61.132808685302734</v>
      </c>
      <c r="AO25" s="109">
        <v>88.53443145751953</v>
      </c>
      <c r="AP25" s="110">
        <v>12.559679985046387</v>
      </c>
      <c r="AQ25" s="111">
        <v>2.6584200859069824</v>
      </c>
      <c r="AR25" s="112">
        <v>-0.0325470007956028</v>
      </c>
    </row>
    <row r="26" spans="2:44" ht="13.5" customHeight="1" x14ac:dyDescent="0.25">
      <c r="B26" s="41" t="s">
        <v>272</v>
      </c>
      <c r="C26" s="104">
        <v>-0.11574549973011017</v>
      </c>
      <c r="D26" s="104">
        <v>-0.173614501953125</v>
      </c>
      <c r="E26" s="104">
        <v>26.414209365844727</v>
      </c>
      <c r="F26" s="104">
        <v>0</v>
      </c>
      <c r="G26" s="104">
        <v>0</v>
      </c>
      <c r="H26" s="104">
        <v>1</v>
      </c>
      <c r="I26" s="104">
        <v>2</v>
      </c>
      <c r="J26" s="104">
        <v>3</v>
      </c>
      <c r="K26" s="104">
        <v>4</v>
      </c>
      <c r="L26" s="105">
        <v>5</v>
      </c>
      <c r="M26" s="120">
        <v>0</v>
      </c>
      <c r="N26" s="104">
        <v>18.145980834960938</v>
      </c>
      <c r="O26" s="104">
        <v>0</v>
      </c>
      <c r="P26" s="104">
        <v>50</v>
      </c>
      <c r="Q26" s="104">
        <v>13.135849952697754</v>
      </c>
      <c r="R26" s="104">
        <v>41.31221008300781</v>
      </c>
      <c r="S26" s="121">
        <v>95</v>
      </c>
      <c r="T26" s="121">
        <v>0</v>
      </c>
      <c r="U26" s="121">
        <v>0</v>
      </c>
      <c r="V26" s="121">
        <v>7.307942867279053</v>
      </c>
      <c r="W26" s="121">
        <v>138.94859313964844</v>
      </c>
      <c r="X26" s="121">
        <v>0</v>
      </c>
      <c r="Y26" s="121">
        <v>0</v>
      </c>
      <c r="Z26" s="121">
        <v>19.122539520263672</v>
      </c>
      <c r="AA26" s="121">
        <v>138.66099548339844</v>
      </c>
      <c r="AB26" s="121"/>
      <c r="AC26" s="108"/>
      <c r="AD26" s="108">
        <v>1.5480140447616577</v>
      </c>
      <c r="AE26" s="108">
        <v>0.0012199707562103868</v>
      </c>
      <c r="AF26" s="108"/>
      <c r="AG26" s="108">
        <v>17.617910385131836</v>
      </c>
      <c r="AH26" s="108">
        <v>26</v>
      </c>
      <c r="AI26" s="122">
        <v>41</v>
      </c>
      <c r="AJ26" s="122">
        <v>42</v>
      </c>
      <c r="AK26" s="122">
        <v>43</v>
      </c>
      <c r="AL26" s="122">
        <v>44</v>
      </c>
      <c r="AM26" s="122">
        <v>45</v>
      </c>
      <c r="AN26" s="108">
        <v>55.425350189208984</v>
      </c>
      <c r="AO26" s="109">
        <v>92.49855041503906</v>
      </c>
      <c r="AP26" s="110">
        <v>12.442130088806152</v>
      </c>
      <c r="AQ26" s="111">
        <v>2.6692709922790527</v>
      </c>
      <c r="AR26" s="112">
        <v>-0.02169799990952015</v>
      </c>
    </row>
    <row r="27" spans="2:44" ht="13.5" customHeight="1" x14ac:dyDescent="0.25">
      <c r="B27" s="14">
        <v>4.1666666666666664E-2</v>
      </c>
      <c r="C27" s="104">
        <v>-0.15914149582386017</v>
      </c>
      <c r="D27" s="104">
        <v>-0.173614501953125</v>
      </c>
      <c r="E27" s="104">
        <v>26.96759033203125</v>
      </c>
      <c r="F27" s="104">
        <v>0</v>
      </c>
      <c r="G27" s="104">
        <v>0</v>
      </c>
      <c r="H27" s="104">
        <v>1</v>
      </c>
      <c r="I27" s="104">
        <v>2</v>
      </c>
      <c r="J27" s="104">
        <v>3</v>
      </c>
      <c r="K27" s="104">
        <v>4</v>
      </c>
      <c r="L27" s="105">
        <v>5</v>
      </c>
      <c r="M27" s="120">
        <v>0</v>
      </c>
      <c r="N27" s="104">
        <v>17.780670166015625</v>
      </c>
      <c r="O27" s="104">
        <v>0</v>
      </c>
      <c r="P27" s="104">
        <v>50</v>
      </c>
      <c r="Q27" s="104">
        <v>13.137149810791016</v>
      </c>
      <c r="R27" s="104">
        <v>54.904510498046875</v>
      </c>
      <c r="S27" s="121">
        <v>0</v>
      </c>
      <c r="T27" s="121">
        <v>0</v>
      </c>
      <c r="U27" s="121">
        <v>6.52000093460083</v>
      </c>
      <c r="V27" s="121">
        <v>9.450955390930176</v>
      </c>
      <c r="W27" s="121">
        <v>127.02909851074219</v>
      </c>
      <c r="X27" s="121">
        <v>0</v>
      </c>
      <c r="Y27" s="121">
        <v>6.278934955596924</v>
      </c>
      <c r="Z27" s="121">
        <v>49.54426956176758</v>
      </c>
      <c r="AA27" s="121">
        <v>127.21900177001953</v>
      </c>
      <c r="AB27" s="121"/>
      <c r="AC27" s="108"/>
      <c r="AD27" s="108">
        <v>0</v>
      </c>
      <c r="AE27" s="108">
        <v>0.000735412584617734</v>
      </c>
      <c r="AF27" s="108"/>
      <c r="AG27" s="108">
        <v>29.021989822387695</v>
      </c>
      <c r="AH27" s="108">
        <v>26</v>
      </c>
      <c r="AI27" s="122">
        <v>41</v>
      </c>
      <c r="AJ27" s="122">
        <v>42</v>
      </c>
      <c r="AK27" s="122">
        <v>43</v>
      </c>
      <c r="AL27" s="122">
        <v>44</v>
      </c>
      <c r="AM27" s="122">
        <v>45</v>
      </c>
      <c r="AN27" s="108">
        <v>65.07523345947266</v>
      </c>
      <c r="AO27" s="109">
        <v>65.36459350585938</v>
      </c>
      <c r="AP27" s="110">
        <v>12.396920204162598</v>
      </c>
      <c r="AQ27" s="111">
        <v>2.734375</v>
      </c>
      <c r="AR27" s="112">
        <v>0.0108566302806139</v>
      </c>
    </row>
    <row r="28" spans="2:44" ht="13.5" customHeight="1" x14ac:dyDescent="0.25">
      <c r="B28" s="41" t="s">
        <v>273</v>
      </c>
      <c r="C28" s="104">
        <v>-0.1808471977710724</v>
      </c>
      <c r="D28" s="104">
        <v>-0.173614501953125</v>
      </c>
      <c r="E28" s="104">
        <v>26.29846954345703</v>
      </c>
      <c r="F28" s="104">
        <v>0</v>
      </c>
      <c r="G28" s="104">
        <v>0</v>
      </c>
      <c r="H28" s="104">
        <v>1</v>
      </c>
      <c r="I28" s="104">
        <v>2</v>
      </c>
      <c r="J28" s="104">
        <v>3</v>
      </c>
      <c r="K28" s="104">
        <v>4</v>
      </c>
      <c r="L28" s="105">
        <v>5</v>
      </c>
      <c r="M28" s="120">
        <v>0</v>
      </c>
      <c r="N28" s="104">
        <v>17.498550415039062</v>
      </c>
      <c r="O28" s="104">
        <v>0</v>
      </c>
      <c r="P28" s="104">
        <v>50</v>
      </c>
      <c r="Q28" s="104">
        <v>13.138019561767578</v>
      </c>
      <c r="R28" s="104">
        <v>20.298030853271484</v>
      </c>
      <c r="S28" s="121">
        <v>95.98523712158203</v>
      </c>
      <c r="T28" s="121">
        <v>0</v>
      </c>
      <c r="U28" s="121">
        <v>0</v>
      </c>
      <c r="V28" s="121">
        <v>9.814453125</v>
      </c>
      <c r="W28" s="121">
        <v>127.71810150146484</v>
      </c>
      <c r="X28" s="121">
        <v>0</v>
      </c>
      <c r="Y28" s="121">
        <v>40.796260833740234</v>
      </c>
      <c r="Z28" s="121">
        <v>24.75766944885254</v>
      </c>
      <c r="AA28" s="121">
        <v>125.59140014648438</v>
      </c>
      <c r="AB28" s="121"/>
      <c r="AC28" s="108"/>
      <c r="AD28" s="108">
        <v>0</v>
      </c>
      <c r="AE28" s="108">
        <v>3.881835800711997E-05</v>
      </c>
      <c r="AF28" s="108"/>
      <c r="AG28" s="108">
        <v>48.66535949707031</v>
      </c>
      <c r="AH28" s="108">
        <v>26</v>
      </c>
      <c r="AI28" s="122">
        <v>41</v>
      </c>
      <c r="AJ28" s="122">
        <v>42</v>
      </c>
      <c r="AK28" s="122">
        <v>43</v>
      </c>
      <c r="AL28" s="122">
        <v>44</v>
      </c>
      <c r="AM28" s="122">
        <v>45</v>
      </c>
      <c r="AN28" s="108">
        <v>87.86168670654297</v>
      </c>
      <c r="AO28" s="109">
        <v>22.366899490356445</v>
      </c>
      <c r="AP28" s="110">
        <v>12.188949584960938</v>
      </c>
      <c r="AQ28" s="111">
        <v>2.8862850666046143</v>
      </c>
      <c r="AR28" s="112">
        <v>0.0108566302806139</v>
      </c>
    </row>
    <row r="29" spans="2:44" ht="13.5" customHeight="1" x14ac:dyDescent="0.25">
      <c r="B29" s="14">
        <v>0.125</v>
      </c>
      <c r="C29" s="104">
        <v>-0.24594880640506744</v>
      </c>
      <c r="D29" s="104">
        <v>-0.1808471977710724</v>
      </c>
      <c r="E29" s="104">
        <v>24.32002067565918</v>
      </c>
      <c r="F29" s="104">
        <v>0</v>
      </c>
      <c r="G29" s="104">
        <v>0</v>
      </c>
      <c r="H29" s="104">
        <v>1</v>
      </c>
      <c r="I29" s="104">
        <v>2</v>
      </c>
      <c r="J29" s="104">
        <v>3</v>
      </c>
      <c r="K29" s="104">
        <v>4</v>
      </c>
      <c r="L29" s="105">
        <v>5</v>
      </c>
      <c r="M29" s="120">
        <v>0</v>
      </c>
      <c r="N29" s="104">
        <v>17.107929229736328</v>
      </c>
      <c r="O29" s="104">
        <v>0</v>
      </c>
      <c r="P29" s="104">
        <v>50</v>
      </c>
      <c r="Q29" s="104">
        <v>13.138019561767578</v>
      </c>
      <c r="R29" s="104">
        <v>20.334199905395508</v>
      </c>
      <c r="S29" s="121">
        <v>96.07203674316406</v>
      </c>
      <c r="T29" s="121">
        <v>0</v>
      </c>
      <c r="U29" s="121">
        <v>0</v>
      </c>
      <c r="V29" s="121">
        <v>10.519749641418457</v>
      </c>
      <c r="W29" s="121">
        <v>140.7552032470703</v>
      </c>
      <c r="X29" s="121">
        <v>0</v>
      </c>
      <c r="Y29" s="121">
        <v>14.228520393371582</v>
      </c>
      <c r="Z29" s="121">
        <v>21.442779541015625</v>
      </c>
      <c r="AA29" s="121">
        <v>121.26190185546875</v>
      </c>
      <c r="AB29" s="121"/>
      <c r="AC29" s="108"/>
      <c r="AD29" s="108">
        <v>0</v>
      </c>
      <c r="AE29" s="108">
        <v>0</v>
      </c>
      <c r="AF29" s="108"/>
      <c r="AG29" s="108">
        <v>59.11096954345703</v>
      </c>
      <c r="AH29" s="108">
        <v>26</v>
      </c>
      <c r="AI29" s="122">
        <v>41</v>
      </c>
      <c r="AJ29" s="122">
        <v>42</v>
      </c>
      <c r="AK29" s="122">
        <v>43</v>
      </c>
      <c r="AL29" s="122">
        <v>44</v>
      </c>
      <c r="AM29" s="122">
        <v>45</v>
      </c>
      <c r="AN29" s="108">
        <v>84.78009033203125</v>
      </c>
      <c r="AO29" s="109">
        <v>22.840709686279297</v>
      </c>
      <c r="AP29" s="110">
        <v>12.026189804077148</v>
      </c>
      <c r="AQ29" s="111">
        <v>2.6294848918914795</v>
      </c>
      <c r="AR29" s="112">
        <v>0.0108566302806139</v>
      </c>
    </row>
    <row r="30" spans="2:44" ht="13.5" customHeight="1" x14ac:dyDescent="0.25">
      <c r="B30" s="14">
        <v>0.16666666666666666</v>
      </c>
      <c r="C30" s="104">
        <v>-0.2821198105812073</v>
      </c>
      <c r="D30" s="104">
        <v>-0.1808471977710724</v>
      </c>
      <c r="E30" s="104">
        <v>23.21324920654297</v>
      </c>
      <c r="F30" s="104">
        <v>0</v>
      </c>
      <c r="G30" s="104">
        <v>0</v>
      </c>
      <c r="H30" s="104">
        <v>1</v>
      </c>
      <c r="I30" s="104">
        <v>2</v>
      </c>
      <c r="J30" s="104">
        <v>3</v>
      </c>
      <c r="K30" s="104">
        <v>4</v>
      </c>
      <c r="L30" s="105">
        <v>5</v>
      </c>
      <c r="M30" s="120">
        <v>0</v>
      </c>
      <c r="N30" s="104">
        <v>16.514759063720703</v>
      </c>
      <c r="O30" s="104">
        <v>0</v>
      </c>
      <c r="P30" s="104">
        <v>50</v>
      </c>
      <c r="Q30" s="104">
        <v>13.138460159301758</v>
      </c>
      <c r="R30" s="104">
        <v>20.3414306640625</v>
      </c>
      <c r="S30" s="121">
        <v>96.05034637451172</v>
      </c>
      <c r="T30" s="121">
        <v>0</v>
      </c>
      <c r="U30" s="121">
        <v>0</v>
      </c>
      <c r="V30" s="121">
        <v>60.01519012451172</v>
      </c>
      <c r="W30" s="121">
        <v>139.39889526367188</v>
      </c>
      <c r="X30" s="121">
        <v>0</v>
      </c>
      <c r="Y30" s="121">
        <v>8.622323989868164</v>
      </c>
      <c r="Z30" s="121">
        <v>20.40472984313965</v>
      </c>
      <c r="AA30" s="121">
        <v>119.07009887695312</v>
      </c>
      <c r="AB30" s="121"/>
      <c r="AC30" s="108"/>
      <c r="AD30" s="108">
        <v>0</v>
      </c>
      <c r="AE30" s="108">
        <v>0</v>
      </c>
      <c r="AF30" s="108"/>
      <c r="AG30" s="108">
        <v>63.07508087158203</v>
      </c>
      <c r="AH30" s="108">
        <v>26</v>
      </c>
      <c r="AI30" s="122">
        <v>41</v>
      </c>
      <c r="AJ30" s="122">
        <v>42</v>
      </c>
      <c r="AK30" s="122">
        <v>43</v>
      </c>
      <c r="AL30" s="122">
        <v>44</v>
      </c>
      <c r="AM30" s="122">
        <v>45</v>
      </c>
      <c r="AN30" s="108">
        <v>74.09577178955078</v>
      </c>
      <c r="AO30" s="109">
        <v>23.958330154418945</v>
      </c>
      <c r="AP30" s="110">
        <v>11.80916976928711</v>
      </c>
      <c r="AQ30" s="111">
        <v>2.9550058841705322</v>
      </c>
      <c r="AR30" s="112">
        <v>0.0217056293040514</v>
      </c>
    </row>
    <row r="31" spans="2:44" ht="13.5" customHeight="1" x14ac:dyDescent="0.25">
      <c r="B31" s="14">
        <v>0.20833333333333334</v>
      </c>
      <c r="C31" s="104">
        <v>-0.35445401072502136</v>
      </c>
      <c r="D31" s="104">
        <v>-0.1808471977710724</v>
      </c>
      <c r="E31" s="104">
        <v>22.721349716186523</v>
      </c>
      <c r="F31" s="104">
        <v>0</v>
      </c>
      <c r="G31" s="104">
        <v>0</v>
      </c>
      <c r="H31" s="104">
        <v>1</v>
      </c>
      <c r="I31" s="104">
        <v>2</v>
      </c>
      <c r="J31" s="104">
        <v>3</v>
      </c>
      <c r="K31" s="104">
        <v>4</v>
      </c>
      <c r="L31" s="105">
        <v>5</v>
      </c>
      <c r="M31" s="120">
        <v>0</v>
      </c>
      <c r="N31" s="104">
        <v>16.040939331054688</v>
      </c>
      <c r="O31" s="104">
        <v>0</v>
      </c>
      <c r="P31" s="104">
        <v>50</v>
      </c>
      <c r="Q31" s="104">
        <v>13.138890266418457</v>
      </c>
      <c r="R31" s="104">
        <v>20.3414306640625</v>
      </c>
      <c r="S31" s="121">
        <v>96.03225708007812</v>
      </c>
      <c r="T31" s="121">
        <v>0</v>
      </c>
      <c r="U31" s="121">
        <v>0</v>
      </c>
      <c r="V31" s="121">
        <v>36.63737106323242</v>
      </c>
      <c r="W31" s="121">
        <v>137.2449951171875</v>
      </c>
      <c r="X31" s="121">
        <v>0</v>
      </c>
      <c r="Y31" s="121">
        <v>11.363750457763672</v>
      </c>
      <c r="Z31" s="121">
        <v>20.16781997680664</v>
      </c>
      <c r="AA31" s="121">
        <v>127.65299987792969</v>
      </c>
      <c r="AB31" s="121"/>
      <c r="AC31" s="108"/>
      <c r="AD31" s="108">
        <v>0</v>
      </c>
      <c r="AE31" s="108">
        <v>0</v>
      </c>
      <c r="AF31" s="108"/>
      <c r="AG31" s="108">
        <v>64.4422836303711</v>
      </c>
      <c r="AH31" s="108">
        <v>26</v>
      </c>
      <c r="AI31" s="122">
        <v>41</v>
      </c>
      <c r="AJ31" s="122">
        <v>42</v>
      </c>
      <c r="AK31" s="122">
        <v>43</v>
      </c>
      <c r="AL31" s="122">
        <v>44</v>
      </c>
      <c r="AM31" s="122">
        <v>45</v>
      </c>
      <c r="AN31" s="108">
        <v>79.19560241699219</v>
      </c>
      <c r="AO31" s="109">
        <v>29.93345069885254</v>
      </c>
      <c r="AP31" s="110">
        <v>11.637370109558105</v>
      </c>
      <c r="AQ31" s="111">
        <v>2.705440044403076</v>
      </c>
      <c r="AR31" s="112">
        <v>0.0217056293040514</v>
      </c>
    </row>
    <row r="32" spans="2:44" ht="13.5" customHeight="1" x14ac:dyDescent="0.25">
      <c r="B32" s="14">
        <v>0.25</v>
      </c>
      <c r="C32" s="104">
        <v>-0.35445401072502136</v>
      </c>
      <c r="D32" s="104">
        <v>-0.1808471977710724</v>
      </c>
      <c r="E32" s="104">
        <v>22.750289916992188</v>
      </c>
      <c r="F32" s="104">
        <v>0</v>
      </c>
      <c r="G32" s="104">
        <v>0</v>
      </c>
      <c r="H32" s="104">
        <v>1</v>
      </c>
      <c r="I32" s="104">
        <v>2</v>
      </c>
      <c r="J32" s="104">
        <v>3</v>
      </c>
      <c r="K32" s="104">
        <v>4</v>
      </c>
      <c r="L32" s="105">
        <v>5</v>
      </c>
      <c r="M32" s="120">
        <v>0</v>
      </c>
      <c r="N32" s="104">
        <v>15.780529975891113</v>
      </c>
      <c r="O32" s="104">
        <v>0</v>
      </c>
      <c r="P32" s="104">
        <v>50</v>
      </c>
      <c r="Q32" s="104">
        <v>13.138460159301758</v>
      </c>
      <c r="R32" s="104">
        <v>25.95124053955078</v>
      </c>
      <c r="S32" s="121">
        <v>97.00882720947266</v>
      </c>
      <c r="T32" s="121">
        <v>0</v>
      </c>
      <c r="U32" s="121">
        <v>0</v>
      </c>
      <c r="V32" s="121">
        <v>52.26237106323242</v>
      </c>
      <c r="W32" s="121">
        <v>130.86480712890625</v>
      </c>
      <c r="X32" s="121">
        <v>0</v>
      </c>
      <c r="Y32" s="121">
        <v>0</v>
      </c>
      <c r="Z32" s="121">
        <v>26.26409912109375</v>
      </c>
      <c r="AA32" s="121">
        <v>100.16819763183594</v>
      </c>
      <c r="AB32" s="121"/>
      <c r="AC32" s="108"/>
      <c r="AD32" s="108">
        <v>0</v>
      </c>
      <c r="AE32" s="108">
        <v>0</v>
      </c>
      <c r="AF32" s="108"/>
      <c r="AG32" s="108">
        <v>67.80599212646484</v>
      </c>
      <c r="AH32" s="108">
        <v>26</v>
      </c>
      <c r="AI32" s="122">
        <v>41</v>
      </c>
      <c r="AJ32" s="122">
        <v>42</v>
      </c>
      <c r="AK32" s="122">
        <v>43</v>
      </c>
      <c r="AL32" s="122">
        <v>44</v>
      </c>
      <c r="AM32" s="122">
        <v>45</v>
      </c>
      <c r="AN32" s="108">
        <v>83.05122375488281</v>
      </c>
      <c r="AO32" s="109">
        <v>34.28096008300781</v>
      </c>
      <c r="AP32" s="110">
        <v>11.64640998840332</v>
      </c>
      <c r="AQ32" s="111">
        <v>2.969472885131836</v>
      </c>
      <c r="AR32" s="112">
        <v>0.0217056293040514</v>
      </c>
    </row>
    <row r="33" spans="2:44" ht="13.5" customHeight="1" x14ac:dyDescent="0.25">
      <c r="B33" s="14">
        <v>0.29166666666666669</v>
      </c>
      <c r="C33" s="104">
        <v>-0.33998870849609375</v>
      </c>
      <c r="D33" s="104">
        <v>-0.1880798041820526</v>
      </c>
      <c r="E33" s="104">
        <v>22.6851806640625</v>
      </c>
      <c r="F33" s="104">
        <v>0</v>
      </c>
      <c r="G33" s="104">
        <v>0</v>
      </c>
      <c r="H33" s="104">
        <v>1</v>
      </c>
      <c r="I33" s="104">
        <v>2</v>
      </c>
      <c r="J33" s="104">
        <v>3</v>
      </c>
      <c r="K33" s="104">
        <v>4</v>
      </c>
      <c r="L33" s="105">
        <v>5</v>
      </c>
      <c r="M33" s="120">
        <v>0</v>
      </c>
      <c r="N33" s="104">
        <v>15.545430183410645</v>
      </c>
      <c r="O33" s="104">
        <v>0</v>
      </c>
      <c r="P33" s="104">
        <v>50</v>
      </c>
      <c r="Q33" s="104">
        <v>13.139320373535156</v>
      </c>
      <c r="R33" s="104">
        <v>49.435760498046875</v>
      </c>
      <c r="S33" s="121">
        <v>98.10836029052734</v>
      </c>
      <c r="T33" s="121">
        <v>0</v>
      </c>
      <c r="U33" s="121">
        <v>0</v>
      </c>
      <c r="V33" s="121">
        <v>34.3153190612793</v>
      </c>
      <c r="W33" s="121">
        <v>123.86609649658203</v>
      </c>
      <c r="X33" s="121">
        <v>50</v>
      </c>
      <c r="Y33" s="121">
        <v>26.623809814453125</v>
      </c>
      <c r="Z33" s="121">
        <v>24.878829956054688</v>
      </c>
      <c r="AA33" s="121">
        <v>47.86783981323242</v>
      </c>
      <c r="AB33" s="121"/>
      <c r="AC33" s="108"/>
      <c r="AD33" s="108">
        <v>0</v>
      </c>
      <c r="AE33" s="108">
        <v>0</v>
      </c>
      <c r="AF33" s="108"/>
      <c r="AG33" s="108">
        <v>66.86197662353516</v>
      </c>
      <c r="AH33" s="108">
        <v>26</v>
      </c>
      <c r="AI33" s="122">
        <v>41</v>
      </c>
      <c r="AJ33" s="122">
        <v>42</v>
      </c>
      <c r="AK33" s="122">
        <v>43</v>
      </c>
      <c r="AL33" s="122">
        <v>44</v>
      </c>
      <c r="AM33" s="122">
        <v>45</v>
      </c>
      <c r="AN33" s="108">
        <v>76.53356170654297</v>
      </c>
      <c r="AO33" s="109">
        <v>35.6336784362793</v>
      </c>
      <c r="AP33" s="110">
        <v>11.510780334472656</v>
      </c>
      <c r="AQ33" s="111">
        <v>2.7994790077209473</v>
      </c>
      <c r="AR33" s="112">
        <v>0.0108566302806139</v>
      </c>
    </row>
    <row r="34" spans="2:44" ht="13.5" customHeight="1" x14ac:dyDescent="0.25">
      <c r="B34" s="42">
        <v>0.33333333333333331</v>
      </c>
      <c r="C34" s="113"/>
      <c r="D34" s="113"/>
      <c r="E34" s="113"/>
      <c r="F34" s="113"/>
      <c r="G34" s="113"/>
      <c r="H34" s="113"/>
      <c r="I34" s="113"/>
      <c r="J34" s="113"/>
      <c r="K34" s="113"/>
      <c r="L34" s="114"/>
      <c r="M34" s="123"/>
      <c r="N34" s="113"/>
      <c r="O34" s="113"/>
      <c r="P34" s="113"/>
      <c r="Q34" s="113"/>
      <c r="R34" s="113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17"/>
      <c r="AD34" s="117"/>
      <c r="AE34" s="117"/>
      <c r="AF34" s="117"/>
      <c r="AG34" s="117"/>
      <c r="AH34" s="117"/>
      <c r="AI34" s="125"/>
      <c r="AJ34" s="125"/>
      <c r="AK34" s="125"/>
      <c r="AL34" s="125"/>
      <c r="AM34" s="125"/>
      <c r="AN34" s="117"/>
      <c r="AO34" s="118"/>
      <c r="AP34" s="126"/>
      <c r="AQ34" s="127"/>
      <c r="AR34" s="128"/>
    </row>
    <row r="35" spans="2:44" ht="15" customHeight="1" x14ac:dyDescent="0.25">
      <c r="B35" s="181" t="s">
        <v>181</v>
      </c>
      <c r="C35" s="182" t="s">
        <v>38</v>
      </c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2" t="s">
        <v>216</v>
      </c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4"/>
      <c r="AK35" s="188" t="s">
        <v>48</v>
      </c>
      <c r="AL35" s="186"/>
      <c r="AM35" s="215" t="s">
        <v>223</v>
      </c>
      <c r="AN35" s="216"/>
      <c r="AO35" s="43"/>
      <c r="AP35" s="43"/>
      <c r="AQ35" s="43"/>
      <c r="AR35" s="44"/>
    </row>
    <row r="36" spans="2:44" ht="20.15" customHeight="1" x14ac:dyDescent="0.25">
      <c r="B36" s="168"/>
      <c r="C36" s="162" t="s">
        <v>32</v>
      </c>
      <c r="D36" s="194"/>
      <c r="E36" s="162" t="s">
        <v>33</v>
      </c>
      <c r="F36" s="223"/>
      <c r="G36" s="194"/>
      <c r="H36" s="217" t="s">
        <v>276</v>
      </c>
      <c r="I36" s="218"/>
      <c r="J36" s="4" t="s">
        <v>27</v>
      </c>
      <c r="K36" s="4" t="s">
        <v>30</v>
      </c>
      <c r="L36" s="4" t="s">
        <v>191</v>
      </c>
      <c r="M36" s="219" t="s">
        <v>192</v>
      </c>
      <c r="N36" s="220"/>
      <c r="O36" s="4" t="s">
        <v>26</v>
      </c>
      <c r="P36" s="4" t="s">
        <v>197</v>
      </c>
      <c r="Q36" s="162" t="s">
        <v>199</v>
      </c>
      <c r="R36" s="224"/>
      <c r="S36" s="162" t="s">
        <v>202</v>
      </c>
      <c r="T36" s="224"/>
      <c r="U36" s="162" t="s">
        <v>201</v>
      </c>
      <c r="V36" s="221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76" t="s">
        <v>46</v>
      </c>
      <c r="AI36" s="222"/>
      <c r="AJ36" s="163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8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8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456</v>
      </c>
      <c r="N38" s="1" t="s">
        <v>457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98">
        <v>0</v>
      </c>
      <c r="D39" s="98"/>
      <c r="E39" s="98">
        <v>15.42969036102295</v>
      </c>
      <c r="F39" s="98"/>
      <c r="G39" s="98"/>
      <c r="H39" s="98">
        <v>15.76968002319336</v>
      </c>
      <c r="I39" s="98"/>
      <c r="J39" s="98">
        <v>21.285449981689453</v>
      </c>
      <c r="K39" s="98">
        <v>0</v>
      </c>
      <c r="L39" s="98">
        <v>268.7408142089844</v>
      </c>
      <c r="M39" s="98">
        <v>15.66117000579834</v>
      </c>
      <c r="N39" s="98"/>
      <c r="O39" s="98">
        <v>0</v>
      </c>
      <c r="P39" s="98">
        <v>0.019817190244793892</v>
      </c>
      <c r="Q39" s="98">
        <v>0</v>
      </c>
      <c r="R39" s="98"/>
      <c r="S39" s="98">
        <v>0</v>
      </c>
      <c r="T39" s="98"/>
      <c r="U39" s="99">
        <v>0</v>
      </c>
      <c r="V39" s="100"/>
      <c r="W39" s="101">
        <v>50</v>
      </c>
      <c r="X39" s="99">
        <v>0</v>
      </c>
      <c r="Y39" s="99">
        <v>30.506729125976562</v>
      </c>
      <c r="Z39" s="99">
        <v>36.71332931518555</v>
      </c>
      <c r="AA39" s="99">
        <v>50</v>
      </c>
      <c r="AB39" s="99">
        <v>0</v>
      </c>
      <c r="AC39" s="99">
        <v>31.14872932434082</v>
      </c>
      <c r="AD39" s="99">
        <v>36.132808685302734</v>
      </c>
      <c r="AE39" s="90"/>
      <c r="AF39" s="90">
        <v>0</v>
      </c>
      <c r="AG39" s="90">
        <v>36</v>
      </c>
      <c r="AH39" s="90">
        <v>73.78457641601562</v>
      </c>
      <c r="AI39" s="90">
        <v>33.58652114868164</v>
      </c>
      <c r="AJ39" s="90"/>
      <c r="AK39" s="90"/>
      <c r="AL39" s="92"/>
      <c r="AM39" s="94">
        <v>56</v>
      </c>
      <c r="AN39" s="91">
        <v>62</v>
      </c>
      <c r="AO39" s="90"/>
      <c r="AP39" s="90"/>
      <c r="AQ39" s="90"/>
      <c r="AR39" s="93"/>
    </row>
    <row r="40" spans="2:44" ht="13.5" customHeight="1" x14ac:dyDescent="0.25">
      <c r="B40" s="14">
        <v>0.875</v>
      </c>
      <c r="C40" s="104">
        <v>0</v>
      </c>
      <c r="D40" s="104">
        <v>4.272461069376732E-07</v>
      </c>
      <c r="E40" s="104">
        <v>15.364580154418945</v>
      </c>
      <c r="F40" s="104"/>
      <c r="G40" s="104"/>
      <c r="H40" s="104">
        <v>15.389900207519531</v>
      </c>
      <c r="I40" s="104">
        <v>0</v>
      </c>
      <c r="J40" s="104">
        <v>20.507810592651367</v>
      </c>
      <c r="K40" s="104">
        <v>0</v>
      </c>
      <c r="L40" s="104">
        <v>268.7408142089844</v>
      </c>
      <c r="M40" s="104">
        <v>15.344690322875977</v>
      </c>
      <c r="N40" s="104">
        <v>0</v>
      </c>
      <c r="O40" s="104">
        <v>0</v>
      </c>
      <c r="P40" s="104">
        <v>0.019817190244793892</v>
      </c>
      <c r="Q40" s="104">
        <v>0</v>
      </c>
      <c r="R40" s="104">
        <v>0</v>
      </c>
      <c r="S40" s="104">
        <v>0</v>
      </c>
      <c r="T40" s="104">
        <v>0</v>
      </c>
      <c r="U40" s="121">
        <v>0</v>
      </c>
      <c r="V40" s="129">
        <v>-0.003515621181577444</v>
      </c>
      <c r="W40" s="130">
        <v>50</v>
      </c>
      <c r="X40" s="121">
        <v>0</v>
      </c>
      <c r="Y40" s="121">
        <v>23.068580627441406</v>
      </c>
      <c r="Z40" s="121">
        <v>28.705509185791016</v>
      </c>
      <c r="AA40" s="121">
        <v>50</v>
      </c>
      <c r="AB40" s="121">
        <v>0</v>
      </c>
      <c r="AC40" s="121">
        <v>24.31097984313965</v>
      </c>
      <c r="AD40" s="121">
        <v>28.119579315185547</v>
      </c>
      <c r="AE40" s="108"/>
      <c r="AF40" s="108">
        <v>0</v>
      </c>
      <c r="AG40" s="108">
        <v>36</v>
      </c>
      <c r="AH40" s="108">
        <v>73.78457641601562</v>
      </c>
      <c r="AI40" s="108">
        <v>33.412899017333984</v>
      </c>
      <c r="AJ40" s="108">
        <v>-0.0024566040374338627</v>
      </c>
      <c r="AK40" s="108"/>
      <c r="AL40" s="109"/>
      <c r="AM40" s="131">
        <v>56</v>
      </c>
      <c r="AN40" s="122">
        <v>62</v>
      </c>
      <c r="AO40" s="108"/>
      <c r="AP40" s="108"/>
      <c r="AQ40" s="108"/>
      <c r="AR40" s="112"/>
    </row>
    <row r="41" spans="2:44" ht="13.5" customHeight="1" x14ac:dyDescent="0.25">
      <c r="B41" s="41" t="s">
        <v>271</v>
      </c>
      <c r="C41" s="104">
        <v>0</v>
      </c>
      <c r="D41" s="104">
        <v>0</v>
      </c>
      <c r="E41" s="104">
        <v>15.306710243225098</v>
      </c>
      <c r="F41" s="104"/>
      <c r="G41" s="104"/>
      <c r="H41" s="104">
        <v>15.163849830627441</v>
      </c>
      <c r="I41" s="104">
        <v>0</v>
      </c>
      <c r="J41" s="104">
        <v>20.896629333496094</v>
      </c>
      <c r="K41" s="104">
        <v>0</v>
      </c>
      <c r="L41" s="104">
        <v>268.74090576171875</v>
      </c>
      <c r="M41" s="104">
        <v>15.29043960571289</v>
      </c>
      <c r="N41" s="104">
        <v>0</v>
      </c>
      <c r="O41" s="104">
        <v>0</v>
      </c>
      <c r="P41" s="104">
        <v>0.019817190244793892</v>
      </c>
      <c r="Q41" s="104">
        <v>0</v>
      </c>
      <c r="R41" s="104">
        <v>0</v>
      </c>
      <c r="S41" s="104">
        <v>0</v>
      </c>
      <c r="T41" s="104">
        <v>0.006858940236270428</v>
      </c>
      <c r="U41" s="121">
        <v>0</v>
      </c>
      <c r="V41" s="129">
        <v>-0.002897140569984913</v>
      </c>
      <c r="W41" s="130">
        <v>50</v>
      </c>
      <c r="X41" s="121">
        <v>0</v>
      </c>
      <c r="Y41" s="121">
        <v>17.469619750976562</v>
      </c>
      <c r="Z41" s="121">
        <v>23.144529342651367</v>
      </c>
      <c r="AA41" s="121">
        <v>50</v>
      </c>
      <c r="AB41" s="121">
        <v>0</v>
      </c>
      <c r="AC41" s="121">
        <v>19.13882064819336</v>
      </c>
      <c r="AD41" s="121">
        <v>22.66710090637207</v>
      </c>
      <c r="AE41" s="108"/>
      <c r="AF41" s="108">
        <v>0</v>
      </c>
      <c r="AG41" s="108">
        <v>36</v>
      </c>
      <c r="AH41" s="108">
        <v>73.78457641601562</v>
      </c>
      <c r="AI41" s="108">
        <v>33.257381439208984</v>
      </c>
      <c r="AJ41" s="108">
        <v>-0.0019444504287093878</v>
      </c>
      <c r="AK41" s="108"/>
      <c r="AL41" s="109"/>
      <c r="AM41" s="131">
        <v>56</v>
      </c>
      <c r="AN41" s="122">
        <v>62</v>
      </c>
      <c r="AO41" s="108"/>
      <c r="AP41" s="108"/>
      <c r="AQ41" s="108"/>
      <c r="AR41" s="112"/>
    </row>
    <row r="42" spans="2:44" ht="13.5" customHeight="1" x14ac:dyDescent="0.25">
      <c r="B42" s="14">
        <v>0.95833333333333337</v>
      </c>
      <c r="C42" s="104">
        <v>2.238642930984497</v>
      </c>
      <c r="D42" s="104">
        <v>0.0017633972456678748</v>
      </c>
      <c r="E42" s="104">
        <v>15.24884033203125</v>
      </c>
      <c r="F42" s="104"/>
      <c r="G42" s="104"/>
      <c r="H42" s="104">
        <v>14.937789916992188</v>
      </c>
      <c r="I42" s="104">
        <v>0</v>
      </c>
      <c r="J42" s="104">
        <v>20.77907943725586</v>
      </c>
      <c r="K42" s="104">
        <v>0</v>
      </c>
      <c r="L42" s="104">
        <v>268.7412109375</v>
      </c>
      <c r="M42" s="104">
        <v>15.29043960571289</v>
      </c>
      <c r="N42" s="104">
        <v>0</v>
      </c>
      <c r="O42" s="104">
        <v>0</v>
      </c>
      <c r="P42" s="104">
        <v>0.019817190244793892</v>
      </c>
      <c r="Q42" s="104">
        <v>0</v>
      </c>
      <c r="R42" s="104">
        <v>0</v>
      </c>
      <c r="S42" s="104">
        <v>0</v>
      </c>
      <c r="T42" s="104">
        <v>0</v>
      </c>
      <c r="U42" s="121">
        <v>0</v>
      </c>
      <c r="V42" s="129">
        <v>-0.0024160805623978376</v>
      </c>
      <c r="W42" s="130">
        <v>50</v>
      </c>
      <c r="X42" s="121">
        <v>0</v>
      </c>
      <c r="Y42" s="121">
        <v>6.228299140930176</v>
      </c>
      <c r="Z42" s="121">
        <v>106.23370361328125</v>
      </c>
      <c r="AA42" s="121">
        <v>50</v>
      </c>
      <c r="AB42" s="121">
        <v>0</v>
      </c>
      <c r="AC42" s="121">
        <v>15.171079635620117</v>
      </c>
      <c r="AD42" s="121">
        <v>107.72570037841797</v>
      </c>
      <c r="AE42" s="108"/>
      <c r="AF42" s="108">
        <v>0</v>
      </c>
      <c r="AG42" s="108">
        <v>36</v>
      </c>
      <c r="AH42" s="108">
        <v>73.78457641601562</v>
      </c>
      <c r="AI42" s="108">
        <v>33.31163024902344</v>
      </c>
      <c r="AJ42" s="108">
        <v>0.010072342120110989</v>
      </c>
      <c r="AK42" s="108"/>
      <c r="AL42" s="109"/>
      <c r="AM42" s="131">
        <v>56</v>
      </c>
      <c r="AN42" s="122">
        <v>62</v>
      </c>
      <c r="AO42" s="108"/>
      <c r="AP42" s="108"/>
      <c r="AQ42" s="108"/>
      <c r="AR42" s="112"/>
    </row>
    <row r="43" spans="2:44" ht="13.5" customHeight="1" x14ac:dyDescent="0.25">
      <c r="B43" s="41" t="s">
        <v>272</v>
      </c>
      <c r="C43" s="104">
        <v>2.2391490936279297</v>
      </c>
      <c r="D43" s="104">
        <v>0.001631195074878633</v>
      </c>
      <c r="E43" s="104">
        <v>15.21990966796875</v>
      </c>
      <c r="F43" s="104"/>
      <c r="G43" s="104"/>
      <c r="H43" s="104">
        <v>14.775030136108398</v>
      </c>
      <c r="I43" s="104">
        <v>0</v>
      </c>
      <c r="J43" s="104">
        <v>20.326969146728516</v>
      </c>
      <c r="K43" s="104">
        <v>0</v>
      </c>
      <c r="L43" s="104">
        <v>268.7420959472656</v>
      </c>
      <c r="M43" s="104">
        <v>15.236180305480957</v>
      </c>
      <c r="N43" s="104">
        <v>0</v>
      </c>
      <c r="O43" s="104">
        <v>0</v>
      </c>
      <c r="P43" s="104">
        <v>0.019817190244793892</v>
      </c>
      <c r="Q43" s="104">
        <v>0</v>
      </c>
      <c r="R43" s="104">
        <v>0</v>
      </c>
      <c r="S43" s="104">
        <v>0</v>
      </c>
      <c r="T43" s="104">
        <v>0</v>
      </c>
      <c r="U43" s="121">
        <v>0</v>
      </c>
      <c r="V43" s="129">
        <v>-0.0020109997130930424</v>
      </c>
      <c r="W43" s="130">
        <v>50</v>
      </c>
      <c r="X43" s="121">
        <v>0</v>
      </c>
      <c r="Y43" s="121">
        <v>7.307942867279053</v>
      </c>
      <c r="Z43" s="121">
        <v>138.94859313964844</v>
      </c>
      <c r="AA43" s="121">
        <v>50</v>
      </c>
      <c r="AB43" s="121">
        <v>0</v>
      </c>
      <c r="AC43" s="121">
        <v>19.122539520263672</v>
      </c>
      <c r="AD43" s="121">
        <v>138.66099548339844</v>
      </c>
      <c r="AE43" s="108"/>
      <c r="AF43" s="108">
        <v>0</v>
      </c>
      <c r="AG43" s="108">
        <v>36</v>
      </c>
      <c r="AH43" s="108">
        <v>73.78457641601562</v>
      </c>
      <c r="AI43" s="108">
        <v>33.19950866699219</v>
      </c>
      <c r="AJ43" s="108">
        <v>-0.004736694507300854</v>
      </c>
      <c r="AK43" s="108"/>
      <c r="AL43" s="109"/>
      <c r="AM43" s="131">
        <v>56</v>
      </c>
      <c r="AN43" s="122">
        <v>62</v>
      </c>
      <c r="AO43" s="108"/>
      <c r="AP43" s="108"/>
      <c r="AQ43" s="108"/>
      <c r="AR43" s="112"/>
    </row>
    <row r="44" spans="2:44" ht="13.5" customHeight="1" x14ac:dyDescent="0.25">
      <c r="B44" s="14">
        <v>4.1666666666666664E-2</v>
      </c>
      <c r="C44" s="104">
        <v>2.239366054534912</v>
      </c>
      <c r="D44" s="104">
        <v>0.002061004750430584</v>
      </c>
      <c r="E44" s="104">
        <v>15.17650032043457</v>
      </c>
      <c r="F44" s="104"/>
      <c r="G44" s="104"/>
      <c r="H44" s="104">
        <v>14.729820251464844</v>
      </c>
      <c r="I44" s="104">
        <v>0</v>
      </c>
      <c r="J44" s="104">
        <v>19.901979446411133</v>
      </c>
      <c r="K44" s="104">
        <v>0</v>
      </c>
      <c r="L44" s="104">
        <v>268.7441101074219</v>
      </c>
      <c r="M44" s="104">
        <v>15.181929588317871</v>
      </c>
      <c r="N44" s="104">
        <v>0</v>
      </c>
      <c r="O44" s="104">
        <v>0</v>
      </c>
      <c r="P44" s="104">
        <v>0.019817190244793892</v>
      </c>
      <c r="Q44" s="104">
        <v>0</v>
      </c>
      <c r="R44" s="104">
        <v>0</v>
      </c>
      <c r="S44" s="104">
        <v>0</v>
      </c>
      <c r="T44" s="104">
        <v>0.006703998427838087</v>
      </c>
      <c r="U44" s="121">
        <v>0</v>
      </c>
      <c r="V44" s="129">
        <v>-0.0016673889476805925</v>
      </c>
      <c r="W44" s="130">
        <v>50</v>
      </c>
      <c r="X44" s="121">
        <v>0</v>
      </c>
      <c r="Y44" s="121">
        <v>9.450955390930176</v>
      </c>
      <c r="Z44" s="121">
        <v>127.02909851074219</v>
      </c>
      <c r="AA44" s="121">
        <v>50</v>
      </c>
      <c r="AB44" s="121">
        <v>0</v>
      </c>
      <c r="AC44" s="121">
        <v>49.54426956176758</v>
      </c>
      <c r="AD44" s="121">
        <v>127.21900177001953</v>
      </c>
      <c r="AE44" s="108"/>
      <c r="AF44" s="108">
        <v>0</v>
      </c>
      <c r="AG44" s="108">
        <v>36</v>
      </c>
      <c r="AH44" s="108">
        <v>73.78457641601562</v>
      </c>
      <c r="AI44" s="108">
        <v>32.92462158203125</v>
      </c>
      <c r="AJ44" s="108">
        <v>-0.002702545141801238</v>
      </c>
      <c r="AK44" s="108"/>
      <c r="AL44" s="109"/>
      <c r="AM44" s="131">
        <v>56</v>
      </c>
      <c r="AN44" s="122">
        <v>62</v>
      </c>
      <c r="AO44" s="108"/>
      <c r="AP44" s="108"/>
      <c r="AQ44" s="108"/>
      <c r="AR44" s="112"/>
    </row>
    <row r="45" spans="2:44" ht="13.5" customHeight="1" x14ac:dyDescent="0.25">
      <c r="B45" s="41" t="s">
        <v>273</v>
      </c>
      <c r="C45" s="104">
        <v>0</v>
      </c>
      <c r="D45" s="104">
        <v>0.0004841918998863548</v>
      </c>
      <c r="E45" s="104">
        <v>15.118630409240723</v>
      </c>
      <c r="F45" s="104"/>
      <c r="G45" s="104"/>
      <c r="H45" s="104">
        <v>14.585140228271484</v>
      </c>
      <c r="I45" s="104">
        <v>0</v>
      </c>
      <c r="J45" s="104">
        <v>19.639759063720703</v>
      </c>
      <c r="K45" s="104">
        <v>0</v>
      </c>
      <c r="L45" s="104">
        <v>268.7477111816406</v>
      </c>
      <c r="M45" s="104">
        <v>15.082469940185547</v>
      </c>
      <c r="N45" s="104">
        <v>0</v>
      </c>
      <c r="O45" s="104">
        <v>0</v>
      </c>
      <c r="P45" s="104">
        <v>0.019817190244793892</v>
      </c>
      <c r="Q45" s="104">
        <v>0</v>
      </c>
      <c r="R45" s="104">
        <v>0</v>
      </c>
      <c r="S45" s="104">
        <v>0</v>
      </c>
      <c r="T45" s="104">
        <v>0.006798587739467621</v>
      </c>
      <c r="U45" s="121">
        <v>0</v>
      </c>
      <c r="V45" s="129">
        <v>-0.001453990931622684</v>
      </c>
      <c r="W45" s="130">
        <v>50</v>
      </c>
      <c r="X45" s="121">
        <v>0</v>
      </c>
      <c r="Y45" s="121">
        <v>9.814453125</v>
      </c>
      <c r="Z45" s="121">
        <v>127.71810150146484</v>
      </c>
      <c r="AA45" s="121">
        <v>50</v>
      </c>
      <c r="AB45" s="121">
        <v>0</v>
      </c>
      <c r="AC45" s="121">
        <v>24.75766944885254</v>
      </c>
      <c r="AD45" s="121">
        <v>125.59140014648438</v>
      </c>
      <c r="AE45" s="108"/>
      <c r="AF45" s="108">
        <v>0</v>
      </c>
      <c r="AG45" s="108">
        <v>36</v>
      </c>
      <c r="AH45" s="108">
        <v>73.78457641601562</v>
      </c>
      <c r="AI45" s="108">
        <v>32.88483810424805</v>
      </c>
      <c r="AJ45" s="108">
        <v>-0.0021354141645133495</v>
      </c>
      <c r="AK45" s="108"/>
      <c r="AL45" s="109"/>
      <c r="AM45" s="131">
        <v>56</v>
      </c>
      <c r="AN45" s="122">
        <v>62</v>
      </c>
      <c r="AO45" s="108"/>
      <c r="AP45" s="108"/>
      <c r="AQ45" s="108"/>
      <c r="AR45" s="112"/>
    </row>
    <row r="46" spans="2:44" ht="13.5" customHeight="1" x14ac:dyDescent="0.25">
      <c r="B46" s="14">
        <v>0.125</v>
      </c>
      <c r="C46" s="104">
        <v>0</v>
      </c>
      <c r="D46" s="104">
        <v>0</v>
      </c>
      <c r="E46" s="104">
        <v>15.031829833984375</v>
      </c>
      <c r="F46" s="104"/>
      <c r="G46" s="104"/>
      <c r="H46" s="104">
        <v>14.40429973602295</v>
      </c>
      <c r="I46" s="104">
        <v>0</v>
      </c>
      <c r="J46" s="104">
        <v>19.178600311279297</v>
      </c>
      <c r="K46" s="104">
        <v>0.05022063106298447</v>
      </c>
      <c r="L46" s="104">
        <v>268.7497863769531</v>
      </c>
      <c r="M46" s="104">
        <v>14.865449905395508</v>
      </c>
      <c r="N46" s="104">
        <v>0</v>
      </c>
      <c r="O46" s="104">
        <v>0</v>
      </c>
      <c r="P46" s="104">
        <v>0.019817190244793892</v>
      </c>
      <c r="Q46" s="104">
        <v>0</v>
      </c>
      <c r="R46" s="104">
        <v>0</v>
      </c>
      <c r="S46" s="104">
        <v>0</v>
      </c>
      <c r="T46" s="104">
        <v>0</v>
      </c>
      <c r="U46" s="121">
        <v>0</v>
      </c>
      <c r="V46" s="129">
        <v>-0.0013346405467018485</v>
      </c>
      <c r="W46" s="130">
        <v>50</v>
      </c>
      <c r="X46" s="121">
        <v>0</v>
      </c>
      <c r="Y46" s="121">
        <v>10.519749641418457</v>
      </c>
      <c r="Z46" s="121">
        <v>140.7552032470703</v>
      </c>
      <c r="AA46" s="121">
        <v>50</v>
      </c>
      <c r="AB46" s="121">
        <v>0</v>
      </c>
      <c r="AC46" s="121">
        <v>21.442779541015625</v>
      </c>
      <c r="AD46" s="121">
        <v>121.26190185546875</v>
      </c>
      <c r="AE46" s="108"/>
      <c r="AF46" s="108">
        <v>0</v>
      </c>
      <c r="AG46" s="108">
        <v>36</v>
      </c>
      <c r="AH46" s="108">
        <v>73.78457641601562</v>
      </c>
      <c r="AI46" s="108">
        <v>32.848670959472656</v>
      </c>
      <c r="AJ46" s="108">
        <v>0.0021527863573282957</v>
      </c>
      <c r="AK46" s="108"/>
      <c r="AL46" s="109"/>
      <c r="AM46" s="131">
        <v>56</v>
      </c>
      <c r="AN46" s="122">
        <v>62</v>
      </c>
      <c r="AO46" s="108"/>
      <c r="AP46" s="108"/>
      <c r="AQ46" s="108"/>
      <c r="AR46" s="112"/>
    </row>
    <row r="47" spans="2:44" ht="13.5" customHeight="1" x14ac:dyDescent="0.25">
      <c r="B47" s="14">
        <v>0.16666666666666666</v>
      </c>
      <c r="C47" s="104">
        <v>0</v>
      </c>
      <c r="D47" s="104">
        <v>0</v>
      </c>
      <c r="E47" s="104">
        <v>14.901619911193848</v>
      </c>
      <c r="F47" s="104"/>
      <c r="G47" s="104"/>
      <c r="H47" s="104">
        <v>14.16919994354248</v>
      </c>
      <c r="I47" s="104">
        <v>0</v>
      </c>
      <c r="J47" s="104">
        <v>18.844039916992188</v>
      </c>
      <c r="K47" s="104">
        <v>0</v>
      </c>
      <c r="L47" s="104">
        <v>268.75469970703125</v>
      </c>
      <c r="M47" s="104">
        <v>14.585140228271484</v>
      </c>
      <c r="N47" s="104">
        <v>0</v>
      </c>
      <c r="O47" s="104">
        <v>0</v>
      </c>
      <c r="P47" s="104">
        <v>0.019817190244793892</v>
      </c>
      <c r="Q47" s="104">
        <v>0</v>
      </c>
      <c r="R47" s="104">
        <v>0</v>
      </c>
      <c r="S47" s="104">
        <v>0</v>
      </c>
      <c r="T47" s="104">
        <v>0</v>
      </c>
      <c r="U47" s="121">
        <v>0</v>
      </c>
      <c r="V47" s="129">
        <v>-0.001197189325466752</v>
      </c>
      <c r="W47" s="130">
        <v>50</v>
      </c>
      <c r="X47" s="121">
        <v>0</v>
      </c>
      <c r="Y47" s="121">
        <v>60.01519012451172</v>
      </c>
      <c r="Z47" s="121">
        <v>139.39889526367188</v>
      </c>
      <c r="AA47" s="121">
        <v>50</v>
      </c>
      <c r="AB47" s="121">
        <v>0</v>
      </c>
      <c r="AC47" s="121">
        <v>20.40472984313965</v>
      </c>
      <c r="AD47" s="121">
        <v>119.07009887695312</v>
      </c>
      <c r="AE47" s="108"/>
      <c r="AF47" s="108">
        <v>0</v>
      </c>
      <c r="AG47" s="108">
        <v>36</v>
      </c>
      <c r="AH47" s="108">
        <v>73.78457641601562</v>
      </c>
      <c r="AI47" s="108">
        <v>32.693138122558594</v>
      </c>
      <c r="AJ47" s="108">
        <v>0.0009606399689801037</v>
      </c>
      <c r="AK47" s="108"/>
      <c r="AL47" s="109"/>
      <c r="AM47" s="131">
        <v>56</v>
      </c>
      <c r="AN47" s="122">
        <v>62</v>
      </c>
      <c r="AO47" s="108"/>
      <c r="AP47" s="108"/>
      <c r="AQ47" s="108"/>
      <c r="AR47" s="112"/>
    </row>
    <row r="48" spans="2:44" ht="13.5" customHeight="1" x14ac:dyDescent="0.25">
      <c r="B48" s="14">
        <v>0.20833333333333334</v>
      </c>
      <c r="C48" s="104">
        <v>0</v>
      </c>
      <c r="D48" s="104">
        <v>0</v>
      </c>
      <c r="E48" s="104">
        <v>14.836520195007324</v>
      </c>
      <c r="F48" s="104"/>
      <c r="G48" s="104"/>
      <c r="H48" s="104">
        <v>14.015480041503906</v>
      </c>
      <c r="I48" s="104">
        <v>0</v>
      </c>
      <c r="J48" s="104">
        <v>18.726490020751953</v>
      </c>
      <c r="K48" s="104">
        <v>0</v>
      </c>
      <c r="L48" s="104">
        <v>268.75860595703125</v>
      </c>
      <c r="M48" s="104">
        <v>14.40429973602295</v>
      </c>
      <c r="N48" s="104">
        <v>0</v>
      </c>
      <c r="O48" s="104">
        <v>0</v>
      </c>
      <c r="P48" s="104">
        <v>0.019817190244793892</v>
      </c>
      <c r="Q48" s="104">
        <v>0</v>
      </c>
      <c r="R48" s="104">
        <v>0</v>
      </c>
      <c r="S48" s="104">
        <v>0</v>
      </c>
      <c r="T48" s="104">
        <v>0.006956520024687052</v>
      </c>
      <c r="U48" s="121">
        <v>0</v>
      </c>
      <c r="V48" s="129">
        <v>-0.0009982699993997812</v>
      </c>
      <c r="W48" s="130">
        <v>50</v>
      </c>
      <c r="X48" s="121">
        <v>0</v>
      </c>
      <c r="Y48" s="121">
        <v>36.63737106323242</v>
      </c>
      <c r="Z48" s="121">
        <v>137.2449951171875</v>
      </c>
      <c r="AA48" s="121">
        <v>50</v>
      </c>
      <c r="AB48" s="121">
        <v>0</v>
      </c>
      <c r="AC48" s="121">
        <v>20.16781997680664</v>
      </c>
      <c r="AD48" s="121">
        <v>127.65299987792969</v>
      </c>
      <c r="AE48" s="108"/>
      <c r="AF48" s="108">
        <v>0</v>
      </c>
      <c r="AG48" s="108">
        <v>36</v>
      </c>
      <c r="AH48" s="108">
        <v>73.78457641601562</v>
      </c>
      <c r="AI48" s="108">
        <v>32.58464050292969</v>
      </c>
      <c r="AJ48" s="108">
        <v>-0.0025549698621034622</v>
      </c>
      <c r="AK48" s="108"/>
      <c r="AL48" s="109"/>
      <c r="AM48" s="131">
        <v>56</v>
      </c>
      <c r="AN48" s="122">
        <v>62</v>
      </c>
      <c r="AO48" s="108"/>
      <c r="AP48" s="108"/>
      <c r="AQ48" s="108"/>
      <c r="AR48" s="112"/>
    </row>
    <row r="49" spans="2:44" ht="13.5" customHeight="1" x14ac:dyDescent="0.25">
      <c r="B49" s="14">
        <v>0.25</v>
      </c>
      <c r="C49" s="104">
        <v>0</v>
      </c>
      <c r="D49" s="104">
        <v>1.5869140952418093E-06</v>
      </c>
      <c r="E49" s="104">
        <v>14.756939888000488</v>
      </c>
      <c r="F49" s="104"/>
      <c r="G49" s="104"/>
      <c r="H49" s="104">
        <v>13.888890266418457</v>
      </c>
      <c r="I49" s="104">
        <v>0</v>
      </c>
      <c r="J49" s="104">
        <v>18.726490020751953</v>
      </c>
      <c r="K49" s="104">
        <v>0</v>
      </c>
      <c r="L49" s="104">
        <v>268.7607116699219</v>
      </c>
      <c r="M49" s="104">
        <v>14.250579833984375</v>
      </c>
      <c r="N49" s="104">
        <v>0</v>
      </c>
      <c r="O49" s="104">
        <v>0</v>
      </c>
      <c r="P49" s="104">
        <v>0.019817190244793892</v>
      </c>
      <c r="Q49" s="104">
        <v>0</v>
      </c>
      <c r="R49" s="104">
        <v>0</v>
      </c>
      <c r="S49" s="104">
        <v>0</v>
      </c>
      <c r="T49" s="104">
        <v>0</v>
      </c>
      <c r="U49" s="121">
        <v>0</v>
      </c>
      <c r="V49" s="129">
        <v>-0.0009367694729007781</v>
      </c>
      <c r="W49" s="130">
        <v>50</v>
      </c>
      <c r="X49" s="121">
        <v>0</v>
      </c>
      <c r="Y49" s="121">
        <v>52.26237106323242</v>
      </c>
      <c r="Z49" s="121">
        <v>130.86480712890625</v>
      </c>
      <c r="AA49" s="121">
        <v>50</v>
      </c>
      <c r="AB49" s="121">
        <v>0</v>
      </c>
      <c r="AC49" s="121">
        <v>26.26409912109375</v>
      </c>
      <c r="AD49" s="121">
        <v>100.16819763183594</v>
      </c>
      <c r="AE49" s="108"/>
      <c r="AF49" s="108">
        <v>0</v>
      </c>
      <c r="AG49" s="108">
        <v>36</v>
      </c>
      <c r="AH49" s="108">
        <v>73.78457641601562</v>
      </c>
      <c r="AI49" s="108">
        <v>32.476131439208984</v>
      </c>
      <c r="AJ49" s="108">
        <v>-0.002028366085141897</v>
      </c>
      <c r="AK49" s="108"/>
      <c r="AL49" s="109"/>
      <c r="AM49" s="131">
        <v>56</v>
      </c>
      <c r="AN49" s="122">
        <v>62</v>
      </c>
      <c r="AO49" s="108"/>
      <c r="AP49" s="108"/>
      <c r="AQ49" s="108"/>
      <c r="AR49" s="112"/>
    </row>
    <row r="50" spans="2:44" ht="13.5" customHeight="1" x14ac:dyDescent="0.25">
      <c r="B50" s="14">
        <v>0.29166666666666669</v>
      </c>
      <c r="C50" s="104">
        <v>0</v>
      </c>
      <c r="D50" s="104">
        <v>0</v>
      </c>
      <c r="E50" s="104">
        <v>14.626740455627441</v>
      </c>
      <c r="F50" s="104"/>
      <c r="G50" s="104"/>
      <c r="H50" s="104">
        <v>13.680919647216797</v>
      </c>
      <c r="I50" s="104">
        <v>0</v>
      </c>
      <c r="J50" s="104">
        <v>18.563730239868164</v>
      </c>
      <c r="K50" s="104">
        <v>0.050473809242248535</v>
      </c>
      <c r="L50" s="104">
        <v>268.76409912109375</v>
      </c>
      <c r="M50" s="104">
        <v>14.060689926147461</v>
      </c>
      <c r="N50" s="104">
        <v>0</v>
      </c>
      <c r="O50" s="104">
        <v>0</v>
      </c>
      <c r="P50" s="104">
        <v>0.019817190244793892</v>
      </c>
      <c r="Q50" s="104">
        <v>0</v>
      </c>
      <c r="R50" s="104">
        <v>0</v>
      </c>
      <c r="S50" s="104">
        <v>0</v>
      </c>
      <c r="T50" s="104">
        <v>0</v>
      </c>
      <c r="U50" s="121">
        <v>0</v>
      </c>
      <c r="V50" s="129">
        <v>-0.0007450809353031218</v>
      </c>
      <c r="W50" s="130">
        <v>50</v>
      </c>
      <c r="X50" s="121">
        <v>0</v>
      </c>
      <c r="Y50" s="121">
        <v>34.3153190612793</v>
      </c>
      <c r="Z50" s="121">
        <v>123.86609649658203</v>
      </c>
      <c r="AA50" s="121">
        <v>50</v>
      </c>
      <c r="AB50" s="121">
        <v>0</v>
      </c>
      <c r="AC50" s="121">
        <v>24.878829956054688</v>
      </c>
      <c r="AD50" s="121">
        <v>47.86783981323242</v>
      </c>
      <c r="AE50" s="108"/>
      <c r="AF50" s="108">
        <v>0</v>
      </c>
      <c r="AG50" s="108">
        <v>36</v>
      </c>
      <c r="AH50" s="108">
        <v>73.78457641601562</v>
      </c>
      <c r="AI50" s="108">
        <v>32.476131439208984</v>
      </c>
      <c r="AJ50" s="108">
        <v>0.008067131042480469</v>
      </c>
      <c r="AK50" s="108"/>
      <c r="AL50" s="109"/>
      <c r="AM50" s="131">
        <v>56</v>
      </c>
      <c r="AN50" s="122">
        <v>62</v>
      </c>
      <c r="AO50" s="108"/>
      <c r="AP50" s="108"/>
      <c r="AQ50" s="108"/>
      <c r="AR50" s="112"/>
    </row>
    <row r="51" spans="2:44" ht="13.5" customHeight="1" x14ac:dyDescent="0.25">
      <c r="B51" s="42">
        <v>0.33333333333333331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24"/>
      <c r="V51" s="132"/>
      <c r="W51" s="133"/>
      <c r="X51" s="124"/>
      <c r="Y51" s="124"/>
      <c r="Z51" s="124"/>
      <c r="AA51" s="124"/>
      <c r="AB51" s="124"/>
      <c r="AC51" s="124"/>
      <c r="AD51" s="124"/>
      <c r="AE51" s="117"/>
      <c r="AF51" s="117"/>
      <c r="AG51" s="117"/>
      <c r="AH51" s="117"/>
      <c r="AI51" s="117"/>
      <c r="AJ51" s="117"/>
      <c r="AK51" s="117"/>
      <c r="AL51" s="118"/>
      <c r="AM51" s="134"/>
      <c r="AN51" s="125"/>
      <c r="AO51" s="117"/>
      <c r="AP51" s="117"/>
      <c r="AQ51" s="117"/>
      <c r="AR51" s="128"/>
    </row>
    <row r="52" spans="2:44" ht="13.5" customHeight="1" x14ac:dyDescent="0.25">
      <c r="B52" s="192" t="s">
        <v>460</v>
      </c>
      <c r="C52" s="193"/>
      <c r="D52" s="9" t="s">
        <v>274</v>
      </c>
      <c r="E52" s="169" t="s">
        <v>20</v>
      </c>
      <c r="F52" s="172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4"/>
      <c r="AP52" s="174"/>
      <c r="AQ52" s="174"/>
      <c r="AR52" s="175"/>
    </row>
    <row r="53" spans="2:44" ht="13.5" customHeight="1" x14ac:dyDescent="0.25">
      <c r="B53" s="168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6"/>
      <c r="AP53" s="176"/>
      <c r="AQ53" s="176"/>
      <c r="AR53" s="177"/>
    </row>
    <row r="54" spans="2:44" ht="13.5" customHeight="1" thickBot="1" x14ac:dyDescent="0.3">
      <c r="B54" s="180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8"/>
      <c r="AP54" s="178"/>
      <c r="AQ54" s="178"/>
      <c r="AR54" s="179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95" t="s">
        <v>230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</row>
    <row r="2" spans="2:58" ht="13" customHeight="1" x14ac:dyDescent="0.25">
      <c r="B2" s="242" t="s">
        <v>232</v>
      </c>
      <c r="C2" s="205"/>
      <c r="D2" s="205"/>
      <c r="E2" s="205"/>
      <c r="F2" s="205"/>
      <c r="G2" s="205"/>
      <c r="H2" s="205"/>
      <c r="I2" s="205"/>
      <c r="J2" s="205"/>
      <c r="K2" s="205"/>
      <c r="L2" s="210"/>
      <c r="M2" s="243" t="s">
        <v>231</v>
      </c>
      <c r="N2" s="205"/>
      <c r="O2" s="205"/>
      <c r="P2" s="205"/>
      <c r="Q2" s="205"/>
      <c r="R2" s="205"/>
      <c r="S2" s="205"/>
      <c r="T2" s="205"/>
      <c r="U2" s="205"/>
      <c r="V2" s="205"/>
      <c r="W2" s="210"/>
      <c r="X2" s="155" t="s">
        <v>233</v>
      </c>
      <c r="Y2" s="205"/>
      <c r="Z2" s="205"/>
      <c r="AA2" s="205"/>
      <c r="AB2" s="205"/>
      <c r="AC2" s="205"/>
      <c r="AD2" s="205"/>
      <c r="AE2" s="205"/>
      <c r="AF2" s="205"/>
      <c r="AG2" s="205"/>
      <c r="AH2" s="210"/>
      <c r="AI2" s="243" t="s">
        <v>234</v>
      </c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10"/>
      <c r="AU2" s="155" t="s">
        <v>235</v>
      </c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44"/>
    </row>
    <row r="3" spans="2:58" ht="13" customHeight="1" x14ac:dyDescent="0.25">
      <c r="B3" s="246"/>
      <c r="C3" s="230"/>
      <c r="D3" s="230"/>
      <c r="E3" s="230"/>
      <c r="F3" s="230"/>
      <c r="G3" s="230"/>
      <c r="H3" s="230"/>
      <c r="I3" s="230"/>
      <c r="J3" s="230"/>
      <c r="K3" s="230"/>
      <c r="L3" s="231"/>
      <c r="M3" s="249"/>
      <c r="N3" s="230"/>
      <c r="O3" s="230"/>
      <c r="P3" s="230"/>
      <c r="Q3" s="230"/>
      <c r="R3" s="230"/>
      <c r="S3" s="230"/>
      <c r="T3" s="230"/>
      <c r="U3" s="230"/>
      <c r="V3" s="230"/>
      <c r="W3" s="231"/>
      <c r="X3" s="237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59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1"/>
      <c r="AU3" s="237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39"/>
    </row>
    <row r="4" spans="2:58" ht="13" customHeight="1" x14ac:dyDescent="0.25">
      <c r="B4" s="247"/>
      <c r="C4" s="233"/>
      <c r="D4" s="233"/>
      <c r="E4" s="233"/>
      <c r="F4" s="233"/>
      <c r="G4" s="233"/>
      <c r="H4" s="233"/>
      <c r="I4" s="233"/>
      <c r="J4" s="233"/>
      <c r="K4" s="233"/>
      <c r="L4" s="234"/>
      <c r="M4" s="232"/>
      <c r="N4" s="233"/>
      <c r="O4" s="233"/>
      <c r="P4" s="233"/>
      <c r="Q4" s="233"/>
      <c r="R4" s="233"/>
      <c r="S4" s="233"/>
      <c r="T4" s="233"/>
      <c r="U4" s="233"/>
      <c r="V4" s="233"/>
      <c r="W4" s="234"/>
      <c r="X4" s="232"/>
      <c r="Y4" s="233"/>
      <c r="Z4" s="233"/>
      <c r="AA4" s="233"/>
      <c r="AB4" s="233"/>
      <c r="AC4" s="233"/>
      <c r="AD4" s="233"/>
      <c r="AE4" s="233"/>
      <c r="AF4" s="233"/>
      <c r="AG4" s="233"/>
      <c r="AH4" s="234"/>
      <c r="AI4" s="232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4"/>
      <c r="AU4" s="232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40"/>
    </row>
    <row r="5" spans="2:58" ht="13" customHeight="1" x14ac:dyDescent="0.25">
      <c r="B5" s="247"/>
      <c r="C5" s="233"/>
      <c r="D5" s="233"/>
      <c r="E5" s="233"/>
      <c r="F5" s="233"/>
      <c r="G5" s="233"/>
      <c r="H5" s="233"/>
      <c r="I5" s="233"/>
      <c r="J5" s="233"/>
      <c r="K5" s="233"/>
      <c r="L5" s="234"/>
      <c r="M5" s="232"/>
      <c r="N5" s="233"/>
      <c r="O5" s="233"/>
      <c r="P5" s="233"/>
      <c r="Q5" s="233"/>
      <c r="R5" s="233"/>
      <c r="S5" s="233"/>
      <c r="T5" s="233"/>
      <c r="U5" s="233"/>
      <c r="V5" s="233"/>
      <c r="W5" s="234"/>
      <c r="X5" s="232"/>
      <c r="Y5" s="233"/>
      <c r="Z5" s="233"/>
      <c r="AA5" s="233"/>
      <c r="AB5" s="233"/>
      <c r="AC5" s="233"/>
      <c r="AD5" s="233"/>
      <c r="AE5" s="233"/>
      <c r="AF5" s="233"/>
      <c r="AG5" s="233"/>
      <c r="AH5" s="234"/>
      <c r="AI5" s="232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4"/>
      <c r="AU5" s="232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40"/>
    </row>
    <row r="6" spans="2:58" ht="13" customHeight="1" x14ac:dyDescent="0.25">
      <c r="B6" s="247"/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2"/>
      <c r="N6" s="233"/>
      <c r="O6" s="233"/>
      <c r="P6" s="233"/>
      <c r="Q6" s="233"/>
      <c r="R6" s="233"/>
      <c r="S6" s="233"/>
      <c r="T6" s="233"/>
      <c r="U6" s="233"/>
      <c r="V6" s="233"/>
      <c r="W6" s="234"/>
      <c r="X6" s="232"/>
      <c r="Y6" s="233"/>
      <c r="Z6" s="233"/>
      <c r="AA6" s="233"/>
      <c r="AB6" s="233"/>
      <c r="AC6" s="233"/>
      <c r="AD6" s="233"/>
      <c r="AE6" s="233"/>
      <c r="AF6" s="233"/>
      <c r="AG6" s="233"/>
      <c r="AH6" s="234"/>
      <c r="AI6" s="232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4"/>
      <c r="AU6" s="232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40"/>
    </row>
    <row r="7" spans="2:58" ht="13" customHeight="1" x14ac:dyDescent="0.25">
      <c r="B7" s="247"/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232"/>
      <c r="N7" s="233"/>
      <c r="O7" s="233"/>
      <c r="P7" s="233"/>
      <c r="Q7" s="233"/>
      <c r="R7" s="233"/>
      <c r="S7" s="233"/>
      <c r="T7" s="233"/>
      <c r="U7" s="233"/>
      <c r="V7" s="233"/>
      <c r="W7" s="234"/>
      <c r="X7" s="232"/>
      <c r="Y7" s="233"/>
      <c r="Z7" s="233"/>
      <c r="AA7" s="233"/>
      <c r="AB7" s="233"/>
      <c r="AC7" s="233"/>
      <c r="AD7" s="233"/>
      <c r="AE7" s="233"/>
      <c r="AF7" s="233"/>
      <c r="AG7" s="233"/>
      <c r="AH7" s="234"/>
      <c r="AI7" s="232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4"/>
      <c r="AU7" s="232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40"/>
    </row>
    <row r="8" spans="2:58" ht="13" customHeight="1" x14ac:dyDescent="0.25">
      <c r="B8" s="247"/>
      <c r="C8" s="233"/>
      <c r="D8" s="233"/>
      <c r="E8" s="233"/>
      <c r="F8" s="233"/>
      <c r="G8" s="233"/>
      <c r="H8" s="233"/>
      <c r="I8" s="233"/>
      <c r="J8" s="233"/>
      <c r="K8" s="233"/>
      <c r="L8" s="234"/>
      <c r="M8" s="232"/>
      <c r="N8" s="233"/>
      <c r="O8" s="233"/>
      <c r="P8" s="233"/>
      <c r="Q8" s="233"/>
      <c r="R8" s="233"/>
      <c r="S8" s="233"/>
      <c r="T8" s="233"/>
      <c r="U8" s="233"/>
      <c r="V8" s="233"/>
      <c r="W8" s="234"/>
      <c r="X8" s="232"/>
      <c r="Y8" s="233"/>
      <c r="Z8" s="233"/>
      <c r="AA8" s="233"/>
      <c r="AB8" s="233"/>
      <c r="AC8" s="233"/>
      <c r="AD8" s="233"/>
      <c r="AE8" s="233"/>
      <c r="AF8" s="233"/>
      <c r="AG8" s="233"/>
      <c r="AH8" s="234"/>
      <c r="AI8" s="232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4"/>
      <c r="AU8" s="232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40"/>
    </row>
    <row r="9" spans="2:58" ht="13" customHeight="1" x14ac:dyDescent="0.25">
      <c r="B9" s="248"/>
      <c r="C9" s="236"/>
      <c r="D9" s="236"/>
      <c r="E9" s="236"/>
      <c r="F9" s="236"/>
      <c r="G9" s="236"/>
      <c r="H9" s="236"/>
      <c r="I9" s="236"/>
      <c r="J9" s="236"/>
      <c r="K9" s="236"/>
      <c r="L9" s="193"/>
      <c r="M9" s="235"/>
      <c r="N9" s="236"/>
      <c r="O9" s="236"/>
      <c r="P9" s="236"/>
      <c r="Q9" s="236"/>
      <c r="R9" s="236"/>
      <c r="S9" s="236"/>
      <c r="T9" s="236"/>
      <c r="U9" s="236"/>
      <c r="V9" s="236"/>
      <c r="W9" s="193"/>
      <c r="X9" s="235"/>
      <c r="Y9" s="236"/>
      <c r="Z9" s="236"/>
      <c r="AA9" s="236"/>
      <c r="AB9" s="236"/>
      <c r="AC9" s="236"/>
      <c r="AD9" s="236"/>
      <c r="AE9" s="236"/>
      <c r="AF9" s="236"/>
      <c r="AG9" s="236"/>
      <c r="AH9" s="193"/>
      <c r="AI9" s="235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193"/>
      <c r="AU9" s="235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41"/>
    </row>
    <row r="10" spans="2:58" ht="13" customHeight="1" x14ac:dyDescent="0.25">
      <c r="B10" s="225" t="s">
        <v>236</v>
      </c>
      <c r="C10" s="223"/>
      <c r="D10" s="223"/>
      <c r="E10" s="223"/>
      <c r="F10" s="223"/>
      <c r="G10" s="223"/>
      <c r="H10" s="223"/>
      <c r="I10" s="223"/>
      <c r="J10" s="223"/>
      <c r="K10" s="223"/>
      <c r="L10" s="194"/>
      <c r="M10" s="245" t="s">
        <v>237</v>
      </c>
      <c r="N10" s="223"/>
      <c r="O10" s="223"/>
      <c r="P10" s="223"/>
      <c r="Q10" s="223"/>
      <c r="R10" s="223"/>
      <c r="S10" s="223"/>
      <c r="T10" s="223"/>
      <c r="U10" s="223"/>
      <c r="V10" s="223"/>
      <c r="W10" s="194"/>
      <c r="X10" s="200" t="s">
        <v>238</v>
      </c>
      <c r="Y10" s="223"/>
      <c r="Z10" s="223"/>
      <c r="AA10" s="223"/>
      <c r="AB10" s="223"/>
      <c r="AC10" s="223"/>
      <c r="AD10" s="223"/>
      <c r="AE10" s="223"/>
      <c r="AF10" s="223"/>
      <c r="AG10" s="223"/>
      <c r="AH10" s="194"/>
      <c r="AI10" s="200" t="s">
        <v>239</v>
      </c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194"/>
      <c r="AU10" s="176" t="s">
        <v>240</v>
      </c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7"/>
    </row>
    <row r="11" spans="2:58" ht="13" customHeight="1" x14ac:dyDescent="0.25">
      <c r="B11" s="246"/>
      <c r="C11" s="230"/>
      <c r="D11" s="230"/>
      <c r="E11" s="230"/>
      <c r="F11" s="230"/>
      <c r="G11" s="230"/>
      <c r="H11" s="230"/>
      <c r="I11" s="230"/>
      <c r="J11" s="230"/>
      <c r="K11" s="230"/>
      <c r="L11" s="231"/>
      <c r="M11" s="249"/>
      <c r="N11" s="230"/>
      <c r="O11" s="230"/>
      <c r="P11" s="230"/>
      <c r="Q11" s="230"/>
      <c r="R11" s="230"/>
      <c r="S11" s="230"/>
      <c r="T11" s="230"/>
      <c r="U11" s="230"/>
      <c r="V11" s="230"/>
      <c r="W11" s="231"/>
      <c r="X11" s="249"/>
      <c r="Y11" s="230"/>
      <c r="Z11" s="230"/>
      <c r="AA11" s="230"/>
      <c r="AB11" s="230"/>
      <c r="AC11" s="230"/>
      <c r="AD11" s="230"/>
      <c r="AE11" s="230"/>
      <c r="AF11" s="230"/>
      <c r="AG11" s="230"/>
      <c r="AH11" s="231"/>
      <c r="AI11" s="249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1"/>
      <c r="AU11" s="238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39"/>
    </row>
    <row r="12" spans="2:58" ht="13" customHeight="1" x14ac:dyDescent="0.25">
      <c r="B12" s="247"/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2"/>
      <c r="N12" s="233"/>
      <c r="O12" s="233"/>
      <c r="P12" s="233"/>
      <c r="Q12" s="233"/>
      <c r="R12" s="233"/>
      <c r="S12" s="233"/>
      <c r="T12" s="233"/>
      <c r="U12" s="233"/>
      <c r="V12" s="233"/>
      <c r="W12" s="234"/>
      <c r="X12" s="232"/>
      <c r="Y12" s="233"/>
      <c r="Z12" s="233"/>
      <c r="AA12" s="233"/>
      <c r="AB12" s="233"/>
      <c r="AC12" s="233"/>
      <c r="AD12" s="233"/>
      <c r="AE12" s="233"/>
      <c r="AF12" s="233"/>
      <c r="AG12" s="233"/>
      <c r="AH12" s="234"/>
      <c r="AI12" s="232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4"/>
      <c r="AU12" s="232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40"/>
    </row>
    <row r="13" spans="2:58" ht="13" customHeight="1" x14ac:dyDescent="0.25">
      <c r="B13" s="247"/>
      <c r="C13" s="233"/>
      <c r="D13" s="233"/>
      <c r="E13" s="233"/>
      <c r="F13" s="233"/>
      <c r="G13" s="233"/>
      <c r="H13" s="233"/>
      <c r="I13" s="233"/>
      <c r="J13" s="233"/>
      <c r="K13" s="233"/>
      <c r="L13" s="234"/>
      <c r="M13" s="232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32"/>
      <c r="Y13" s="233"/>
      <c r="Z13" s="233"/>
      <c r="AA13" s="233"/>
      <c r="AB13" s="233"/>
      <c r="AC13" s="233"/>
      <c r="AD13" s="233"/>
      <c r="AE13" s="233"/>
      <c r="AF13" s="233"/>
      <c r="AG13" s="233"/>
      <c r="AH13" s="234"/>
      <c r="AI13" s="232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4"/>
      <c r="AU13" s="232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40"/>
    </row>
    <row r="14" spans="2:58" ht="13" customHeight="1" x14ac:dyDescent="0.25">
      <c r="B14" s="247"/>
      <c r="C14" s="233"/>
      <c r="D14" s="233"/>
      <c r="E14" s="233"/>
      <c r="F14" s="233"/>
      <c r="G14" s="233"/>
      <c r="H14" s="233"/>
      <c r="I14" s="233"/>
      <c r="J14" s="233"/>
      <c r="K14" s="233"/>
      <c r="L14" s="234"/>
      <c r="M14" s="232"/>
      <c r="N14" s="233"/>
      <c r="O14" s="233"/>
      <c r="P14" s="233"/>
      <c r="Q14" s="233"/>
      <c r="R14" s="233"/>
      <c r="S14" s="233"/>
      <c r="T14" s="233"/>
      <c r="U14" s="233"/>
      <c r="V14" s="233"/>
      <c r="W14" s="234"/>
      <c r="X14" s="232"/>
      <c r="Y14" s="233"/>
      <c r="Z14" s="233"/>
      <c r="AA14" s="233"/>
      <c r="AB14" s="233"/>
      <c r="AC14" s="233"/>
      <c r="AD14" s="233"/>
      <c r="AE14" s="233"/>
      <c r="AF14" s="233"/>
      <c r="AG14" s="233"/>
      <c r="AH14" s="234"/>
      <c r="AI14" s="232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4"/>
      <c r="AU14" s="232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40"/>
    </row>
    <row r="15" spans="2:58" ht="13" customHeight="1" x14ac:dyDescent="0.25">
      <c r="B15" s="247"/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232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32"/>
      <c r="Y15" s="233"/>
      <c r="Z15" s="233"/>
      <c r="AA15" s="233"/>
      <c r="AB15" s="233"/>
      <c r="AC15" s="233"/>
      <c r="AD15" s="233"/>
      <c r="AE15" s="233"/>
      <c r="AF15" s="233"/>
      <c r="AG15" s="233"/>
      <c r="AH15" s="234"/>
      <c r="AI15" s="232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4"/>
      <c r="AU15" s="232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40"/>
    </row>
    <row r="16" spans="2:58" ht="13" customHeight="1" x14ac:dyDescent="0.25">
      <c r="B16" s="247"/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2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32"/>
      <c r="Y16" s="233"/>
      <c r="Z16" s="233"/>
      <c r="AA16" s="233"/>
      <c r="AB16" s="233"/>
      <c r="AC16" s="233"/>
      <c r="AD16" s="233"/>
      <c r="AE16" s="233"/>
      <c r="AF16" s="233"/>
      <c r="AG16" s="233"/>
      <c r="AH16" s="234"/>
      <c r="AI16" s="232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4"/>
      <c r="AU16" s="232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40"/>
    </row>
    <row r="17" spans="2:58" ht="13" customHeight="1" x14ac:dyDescent="0.25">
      <c r="B17" s="248"/>
      <c r="C17" s="236"/>
      <c r="D17" s="236"/>
      <c r="E17" s="236"/>
      <c r="F17" s="236"/>
      <c r="G17" s="236"/>
      <c r="H17" s="236"/>
      <c r="I17" s="236"/>
      <c r="J17" s="236"/>
      <c r="K17" s="236"/>
      <c r="L17" s="193"/>
      <c r="M17" s="235"/>
      <c r="N17" s="236"/>
      <c r="O17" s="236"/>
      <c r="P17" s="236"/>
      <c r="Q17" s="236"/>
      <c r="R17" s="236"/>
      <c r="S17" s="236"/>
      <c r="T17" s="236"/>
      <c r="U17" s="236"/>
      <c r="V17" s="236"/>
      <c r="W17" s="193"/>
      <c r="X17" s="235"/>
      <c r="Y17" s="236"/>
      <c r="Z17" s="236"/>
      <c r="AA17" s="236"/>
      <c r="AB17" s="236"/>
      <c r="AC17" s="236"/>
      <c r="AD17" s="236"/>
      <c r="AE17" s="236"/>
      <c r="AF17" s="236"/>
      <c r="AG17" s="236"/>
      <c r="AH17" s="193"/>
      <c r="AI17" s="235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193"/>
      <c r="AU17" s="235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41"/>
    </row>
    <row r="18" spans="2:58" ht="13" customHeight="1" x14ac:dyDescent="0.25">
      <c r="B18" s="225" t="s">
        <v>241</v>
      </c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58" t="s">
        <v>242</v>
      </c>
      <c r="N18" s="223"/>
      <c r="O18" s="223"/>
      <c r="P18" s="223"/>
      <c r="Q18" s="223"/>
      <c r="R18" s="223"/>
      <c r="S18" s="223"/>
      <c r="T18" s="223"/>
      <c r="U18" s="223"/>
      <c r="V18" s="223"/>
      <c r="W18" s="194"/>
      <c r="X18" s="257" t="s">
        <v>243</v>
      </c>
      <c r="Y18" s="223"/>
      <c r="Z18" s="223"/>
      <c r="AA18" s="223"/>
      <c r="AB18" s="223"/>
      <c r="AC18" s="223"/>
      <c r="AD18" s="223"/>
      <c r="AE18" s="223"/>
      <c r="AF18" s="223"/>
      <c r="AG18" s="223"/>
      <c r="AH18" s="194"/>
      <c r="AI18" s="162" t="s">
        <v>244</v>
      </c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194"/>
      <c r="AU18" s="176" t="s">
        <v>245</v>
      </c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7"/>
    </row>
    <row r="19" spans="2:58" ht="13" customHeight="1" x14ac:dyDescent="0.25">
      <c r="B19" s="246"/>
      <c r="C19" s="230"/>
      <c r="D19" s="230"/>
      <c r="E19" s="230"/>
      <c r="F19" s="230"/>
      <c r="G19" s="230"/>
      <c r="H19" s="230"/>
      <c r="I19" s="230"/>
      <c r="J19" s="230"/>
      <c r="K19" s="230"/>
      <c r="L19" s="231"/>
      <c r="M19" s="260"/>
      <c r="N19" s="230"/>
      <c r="O19" s="230"/>
      <c r="P19" s="230"/>
      <c r="Q19" s="230"/>
      <c r="R19" s="230"/>
      <c r="S19" s="230"/>
      <c r="T19" s="230"/>
      <c r="U19" s="230"/>
      <c r="V19" s="230"/>
      <c r="W19" s="231"/>
      <c r="X19" s="229"/>
      <c r="Y19" s="230"/>
      <c r="Z19" s="230"/>
      <c r="AA19" s="230"/>
      <c r="AB19" s="230"/>
      <c r="AC19" s="230"/>
      <c r="AD19" s="230"/>
      <c r="AE19" s="230"/>
      <c r="AF19" s="230"/>
      <c r="AG19" s="230"/>
      <c r="AH19" s="231"/>
      <c r="AI19" s="237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1"/>
      <c r="AU19" s="238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9"/>
    </row>
    <row r="20" spans="2:58" ht="13" customHeight="1" x14ac:dyDescent="0.25">
      <c r="B20" s="247"/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2"/>
      <c r="N20" s="233"/>
      <c r="O20" s="233"/>
      <c r="P20" s="233"/>
      <c r="Q20" s="233"/>
      <c r="R20" s="233"/>
      <c r="S20" s="233"/>
      <c r="T20" s="233"/>
      <c r="U20" s="233"/>
      <c r="V20" s="233"/>
      <c r="W20" s="234"/>
      <c r="X20" s="232"/>
      <c r="Y20" s="233"/>
      <c r="Z20" s="233"/>
      <c r="AA20" s="233"/>
      <c r="AB20" s="233"/>
      <c r="AC20" s="233"/>
      <c r="AD20" s="233"/>
      <c r="AE20" s="233"/>
      <c r="AF20" s="233"/>
      <c r="AG20" s="233"/>
      <c r="AH20" s="234"/>
      <c r="AI20" s="232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4"/>
      <c r="AU20" s="232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40"/>
    </row>
    <row r="21" spans="2:58" ht="13" customHeight="1" x14ac:dyDescent="0.25">
      <c r="B21" s="247"/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2"/>
      <c r="N21" s="233"/>
      <c r="O21" s="233"/>
      <c r="P21" s="233"/>
      <c r="Q21" s="233"/>
      <c r="R21" s="233"/>
      <c r="S21" s="233"/>
      <c r="T21" s="233"/>
      <c r="U21" s="233"/>
      <c r="V21" s="233"/>
      <c r="W21" s="234"/>
      <c r="X21" s="232"/>
      <c r="Y21" s="233"/>
      <c r="Z21" s="233"/>
      <c r="AA21" s="233"/>
      <c r="AB21" s="233"/>
      <c r="AC21" s="233"/>
      <c r="AD21" s="233"/>
      <c r="AE21" s="233"/>
      <c r="AF21" s="233"/>
      <c r="AG21" s="233"/>
      <c r="AH21" s="234"/>
      <c r="AI21" s="232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4"/>
      <c r="AU21" s="232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40"/>
    </row>
    <row r="22" spans="2:58" ht="13" customHeight="1" x14ac:dyDescent="0.25">
      <c r="B22" s="247"/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2"/>
      <c r="N22" s="233"/>
      <c r="O22" s="233"/>
      <c r="P22" s="233"/>
      <c r="Q22" s="233"/>
      <c r="R22" s="233"/>
      <c r="S22" s="233"/>
      <c r="T22" s="233"/>
      <c r="U22" s="233"/>
      <c r="V22" s="233"/>
      <c r="W22" s="234"/>
      <c r="X22" s="232"/>
      <c r="Y22" s="233"/>
      <c r="Z22" s="233"/>
      <c r="AA22" s="233"/>
      <c r="AB22" s="233"/>
      <c r="AC22" s="233"/>
      <c r="AD22" s="233"/>
      <c r="AE22" s="233"/>
      <c r="AF22" s="233"/>
      <c r="AG22" s="233"/>
      <c r="AH22" s="234"/>
      <c r="AI22" s="232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4"/>
      <c r="AU22" s="232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40"/>
    </row>
    <row r="23" spans="2:58" ht="13" customHeight="1" x14ac:dyDescent="0.25">
      <c r="B23" s="247"/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2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32"/>
      <c r="Y23" s="233"/>
      <c r="Z23" s="233"/>
      <c r="AA23" s="233"/>
      <c r="AB23" s="233"/>
      <c r="AC23" s="233"/>
      <c r="AD23" s="233"/>
      <c r="AE23" s="233"/>
      <c r="AF23" s="233"/>
      <c r="AG23" s="233"/>
      <c r="AH23" s="234"/>
      <c r="AI23" s="232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4"/>
      <c r="AU23" s="232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40"/>
    </row>
    <row r="24" spans="2:58" ht="13" customHeight="1" x14ac:dyDescent="0.25">
      <c r="B24" s="248"/>
      <c r="C24" s="236"/>
      <c r="D24" s="236"/>
      <c r="E24" s="236"/>
      <c r="F24" s="236"/>
      <c r="G24" s="236"/>
      <c r="H24" s="236"/>
      <c r="I24" s="236"/>
      <c r="J24" s="236"/>
      <c r="K24" s="236"/>
      <c r="L24" s="193"/>
      <c r="M24" s="235"/>
      <c r="N24" s="236"/>
      <c r="O24" s="236"/>
      <c r="P24" s="236"/>
      <c r="Q24" s="236"/>
      <c r="R24" s="236"/>
      <c r="S24" s="236"/>
      <c r="T24" s="236"/>
      <c r="U24" s="236"/>
      <c r="V24" s="236"/>
      <c r="W24" s="193"/>
      <c r="X24" s="235"/>
      <c r="Y24" s="236"/>
      <c r="Z24" s="236"/>
      <c r="AA24" s="236"/>
      <c r="AB24" s="236"/>
      <c r="AC24" s="236"/>
      <c r="AD24" s="236"/>
      <c r="AE24" s="236"/>
      <c r="AF24" s="236"/>
      <c r="AG24" s="236"/>
      <c r="AH24" s="193"/>
      <c r="AI24" s="235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193"/>
      <c r="AU24" s="235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41"/>
    </row>
    <row r="25" spans="2:58" ht="13" customHeight="1" x14ac:dyDescent="0.25">
      <c r="B25" s="225" t="s">
        <v>246</v>
      </c>
      <c r="C25" s="223"/>
      <c r="D25" s="223"/>
      <c r="E25" s="223"/>
      <c r="F25" s="223"/>
      <c r="G25" s="223"/>
      <c r="H25" s="223"/>
      <c r="I25" s="223"/>
      <c r="J25" s="223"/>
      <c r="K25" s="223"/>
      <c r="L25" s="194"/>
      <c r="M25" s="200" t="s">
        <v>247</v>
      </c>
      <c r="N25" s="223"/>
      <c r="O25" s="223"/>
      <c r="P25" s="223"/>
      <c r="Q25" s="223"/>
      <c r="R25" s="223"/>
      <c r="S25" s="223"/>
      <c r="T25" s="223"/>
      <c r="U25" s="223"/>
      <c r="V25" s="223"/>
      <c r="W25" s="194"/>
      <c r="X25" s="226" t="s">
        <v>248</v>
      </c>
      <c r="Y25" s="223"/>
      <c r="Z25" s="223"/>
      <c r="AA25" s="223"/>
      <c r="AB25" s="223"/>
      <c r="AC25" s="223"/>
      <c r="AD25" s="223"/>
      <c r="AE25" s="223"/>
      <c r="AF25" s="223"/>
      <c r="AG25" s="223"/>
      <c r="AH25" s="194"/>
      <c r="AI25" s="176" t="s">
        <v>249</v>
      </c>
      <c r="AJ25" s="223"/>
      <c r="AK25" s="223"/>
      <c r="AL25" s="223"/>
      <c r="AM25" s="223"/>
      <c r="AN25" s="223"/>
      <c r="AO25" s="223"/>
      <c r="AP25" s="223"/>
      <c r="AQ25" s="223"/>
      <c r="AR25" s="223"/>
      <c r="AS25" s="223"/>
      <c r="AT25" s="194"/>
      <c r="AU25" s="176" t="s">
        <v>250</v>
      </c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7"/>
    </row>
    <row r="26" spans="2:58" ht="13" customHeight="1" x14ac:dyDescent="0.25">
      <c r="B26" s="246"/>
      <c r="C26" s="230"/>
      <c r="D26" s="230"/>
      <c r="E26" s="230"/>
      <c r="F26" s="230"/>
      <c r="G26" s="230"/>
      <c r="H26" s="230"/>
      <c r="I26" s="230"/>
      <c r="J26" s="230"/>
      <c r="K26" s="230"/>
      <c r="L26" s="231"/>
      <c r="M26" s="254"/>
      <c r="N26" s="230"/>
      <c r="O26" s="230"/>
      <c r="P26" s="230"/>
      <c r="Q26" s="230"/>
      <c r="R26" s="230"/>
      <c r="S26" s="230"/>
      <c r="T26" s="230"/>
      <c r="U26" s="230"/>
      <c r="V26" s="230"/>
      <c r="W26" s="231"/>
      <c r="X26" s="250"/>
      <c r="Y26" s="230"/>
      <c r="Z26" s="230"/>
      <c r="AA26" s="230"/>
      <c r="AB26" s="230"/>
      <c r="AC26" s="230"/>
      <c r="AD26" s="230"/>
      <c r="AE26" s="230"/>
      <c r="AF26" s="230"/>
      <c r="AG26" s="230"/>
      <c r="AH26" s="231"/>
      <c r="AI26" s="238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1"/>
      <c r="AU26" s="238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39"/>
    </row>
    <row r="27" spans="2:58" ht="13" customHeight="1" x14ac:dyDescent="0.25">
      <c r="B27" s="247"/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2"/>
      <c r="N27" s="233"/>
      <c r="O27" s="233"/>
      <c r="P27" s="233"/>
      <c r="Q27" s="233"/>
      <c r="R27" s="233"/>
      <c r="S27" s="233"/>
      <c r="T27" s="233"/>
      <c r="U27" s="233"/>
      <c r="V27" s="233"/>
      <c r="W27" s="234"/>
      <c r="X27" s="232"/>
      <c r="Y27" s="233"/>
      <c r="Z27" s="233"/>
      <c r="AA27" s="233"/>
      <c r="AB27" s="233"/>
      <c r="AC27" s="233"/>
      <c r="AD27" s="233"/>
      <c r="AE27" s="233"/>
      <c r="AF27" s="233"/>
      <c r="AG27" s="233"/>
      <c r="AH27" s="234"/>
      <c r="AI27" s="232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4"/>
      <c r="AU27" s="232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40"/>
    </row>
    <row r="28" spans="2:58" ht="13" customHeight="1" x14ac:dyDescent="0.25">
      <c r="B28" s="247"/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2"/>
      <c r="N28" s="233"/>
      <c r="O28" s="233"/>
      <c r="P28" s="233"/>
      <c r="Q28" s="233"/>
      <c r="R28" s="233"/>
      <c r="S28" s="233"/>
      <c r="T28" s="233"/>
      <c r="U28" s="233"/>
      <c r="V28" s="233"/>
      <c r="W28" s="234"/>
      <c r="X28" s="232"/>
      <c r="Y28" s="233"/>
      <c r="Z28" s="233"/>
      <c r="AA28" s="233"/>
      <c r="AB28" s="233"/>
      <c r="AC28" s="233"/>
      <c r="AD28" s="233"/>
      <c r="AE28" s="233"/>
      <c r="AF28" s="233"/>
      <c r="AG28" s="233"/>
      <c r="AH28" s="234"/>
      <c r="AI28" s="232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4"/>
      <c r="AU28" s="232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40"/>
    </row>
    <row r="29" spans="2:58" ht="13" customHeight="1" x14ac:dyDescent="0.25">
      <c r="B29" s="247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2"/>
      <c r="N29" s="233"/>
      <c r="O29" s="233"/>
      <c r="P29" s="233"/>
      <c r="Q29" s="233"/>
      <c r="R29" s="233"/>
      <c r="S29" s="233"/>
      <c r="T29" s="233"/>
      <c r="U29" s="233"/>
      <c r="V29" s="233"/>
      <c r="W29" s="234"/>
      <c r="X29" s="232"/>
      <c r="Y29" s="233"/>
      <c r="Z29" s="233"/>
      <c r="AA29" s="233"/>
      <c r="AB29" s="233"/>
      <c r="AC29" s="233"/>
      <c r="AD29" s="233"/>
      <c r="AE29" s="233"/>
      <c r="AF29" s="233"/>
      <c r="AG29" s="233"/>
      <c r="AH29" s="234"/>
      <c r="AI29" s="232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4"/>
      <c r="AU29" s="232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40"/>
    </row>
    <row r="30" spans="2:58" ht="13" customHeight="1" x14ac:dyDescent="0.25">
      <c r="B30" s="247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2"/>
      <c r="N30" s="233"/>
      <c r="O30" s="233"/>
      <c r="P30" s="233"/>
      <c r="Q30" s="233"/>
      <c r="R30" s="233"/>
      <c r="S30" s="233"/>
      <c r="T30" s="233"/>
      <c r="U30" s="233"/>
      <c r="V30" s="233"/>
      <c r="W30" s="234"/>
      <c r="X30" s="232"/>
      <c r="Y30" s="233"/>
      <c r="Z30" s="233"/>
      <c r="AA30" s="233"/>
      <c r="AB30" s="233"/>
      <c r="AC30" s="233"/>
      <c r="AD30" s="233"/>
      <c r="AE30" s="233"/>
      <c r="AF30" s="233"/>
      <c r="AG30" s="233"/>
      <c r="AH30" s="234"/>
      <c r="AI30" s="232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4"/>
      <c r="AU30" s="232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40"/>
    </row>
    <row r="31" spans="2:58" ht="13" customHeight="1" x14ac:dyDescent="0.25">
      <c r="B31" s="248"/>
      <c r="C31" s="236"/>
      <c r="D31" s="236"/>
      <c r="E31" s="236"/>
      <c r="F31" s="236"/>
      <c r="G31" s="236"/>
      <c r="H31" s="236"/>
      <c r="I31" s="236"/>
      <c r="J31" s="236"/>
      <c r="K31" s="236"/>
      <c r="L31" s="193"/>
      <c r="M31" s="235"/>
      <c r="N31" s="236"/>
      <c r="O31" s="236"/>
      <c r="P31" s="236"/>
      <c r="Q31" s="236"/>
      <c r="R31" s="236"/>
      <c r="S31" s="236"/>
      <c r="T31" s="236"/>
      <c r="U31" s="236"/>
      <c r="V31" s="236"/>
      <c r="W31" s="193"/>
      <c r="X31" s="235"/>
      <c r="Y31" s="236"/>
      <c r="Z31" s="236"/>
      <c r="AA31" s="236"/>
      <c r="AB31" s="236"/>
      <c r="AC31" s="236"/>
      <c r="AD31" s="236"/>
      <c r="AE31" s="236"/>
      <c r="AF31" s="236"/>
      <c r="AG31" s="236"/>
      <c r="AH31" s="193"/>
      <c r="AI31" s="235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193"/>
      <c r="AU31" s="235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41"/>
    </row>
    <row r="32" spans="2:58" ht="13" customHeight="1" x14ac:dyDescent="0.25">
      <c r="B32" s="225" t="s">
        <v>251</v>
      </c>
      <c r="C32" s="223"/>
      <c r="D32" s="223"/>
      <c r="E32" s="223"/>
      <c r="F32" s="223"/>
      <c r="G32" s="223"/>
      <c r="H32" s="223"/>
      <c r="I32" s="223"/>
      <c r="J32" s="223"/>
      <c r="K32" s="223"/>
      <c r="L32" s="194"/>
      <c r="M32" s="228" t="s">
        <v>252</v>
      </c>
      <c r="N32" s="223"/>
      <c r="O32" s="223"/>
      <c r="P32" s="223"/>
      <c r="Q32" s="223"/>
      <c r="R32" s="223"/>
      <c r="S32" s="223"/>
      <c r="T32" s="223"/>
      <c r="U32" s="223"/>
      <c r="V32" s="223"/>
      <c r="W32" s="194"/>
      <c r="X32" s="226" t="s">
        <v>253</v>
      </c>
      <c r="Y32" s="223"/>
      <c r="Z32" s="223"/>
      <c r="AA32" s="223"/>
      <c r="AB32" s="223"/>
      <c r="AC32" s="223"/>
      <c r="AD32" s="223"/>
      <c r="AE32" s="223"/>
      <c r="AF32" s="223"/>
      <c r="AG32" s="223"/>
      <c r="AH32" s="194"/>
      <c r="AI32" s="176" t="s">
        <v>254</v>
      </c>
      <c r="AJ32" s="223"/>
      <c r="AK32" s="223"/>
      <c r="AL32" s="223"/>
      <c r="AM32" s="223"/>
      <c r="AN32" s="223"/>
      <c r="AO32" s="223"/>
      <c r="AP32" s="223"/>
      <c r="AQ32" s="223"/>
      <c r="AR32" s="223"/>
      <c r="AS32" s="223"/>
      <c r="AT32" s="194"/>
      <c r="AU32" s="176" t="s">
        <v>255</v>
      </c>
      <c r="AV32" s="223"/>
      <c r="AW32" s="223"/>
      <c r="AX32" s="223"/>
      <c r="AY32" s="223"/>
      <c r="AZ32" s="223"/>
      <c r="BA32" s="223"/>
      <c r="BB32" s="223"/>
      <c r="BC32" s="223"/>
      <c r="BD32" s="223"/>
      <c r="BE32" s="223"/>
      <c r="BF32" s="227"/>
    </row>
    <row r="33" spans="2:58" ht="13" customHeight="1" x14ac:dyDescent="0.25">
      <c r="B33" s="246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49"/>
      <c r="N33" s="230"/>
      <c r="O33" s="230"/>
      <c r="P33" s="230"/>
      <c r="Q33" s="230"/>
      <c r="R33" s="230"/>
      <c r="S33" s="230"/>
      <c r="T33" s="230"/>
      <c r="U33" s="230"/>
      <c r="V33" s="230"/>
      <c r="W33" s="231"/>
      <c r="X33" s="250"/>
      <c r="Y33" s="230"/>
      <c r="Z33" s="230"/>
      <c r="AA33" s="230"/>
      <c r="AB33" s="230"/>
      <c r="AC33" s="230"/>
      <c r="AD33" s="230"/>
      <c r="AE33" s="230"/>
      <c r="AF33" s="230"/>
      <c r="AG33" s="230"/>
      <c r="AH33" s="231"/>
      <c r="AI33" s="238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1"/>
      <c r="AU33" s="238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9"/>
    </row>
    <row r="34" spans="2:58" ht="13" customHeight="1" x14ac:dyDescent="0.25">
      <c r="B34" s="247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232"/>
      <c r="N34" s="233"/>
      <c r="O34" s="233"/>
      <c r="P34" s="233"/>
      <c r="Q34" s="233"/>
      <c r="R34" s="233"/>
      <c r="S34" s="233"/>
      <c r="T34" s="233"/>
      <c r="U34" s="233"/>
      <c r="V34" s="233"/>
      <c r="W34" s="234"/>
      <c r="X34" s="232"/>
      <c r="Y34" s="233"/>
      <c r="Z34" s="233"/>
      <c r="AA34" s="233"/>
      <c r="AB34" s="233"/>
      <c r="AC34" s="233"/>
      <c r="AD34" s="233"/>
      <c r="AE34" s="233"/>
      <c r="AF34" s="233"/>
      <c r="AG34" s="233"/>
      <c r="AH34" s="234"/>
      <c r="AI34" s="232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4"/>
      <c r="AU34" s="232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40"/>
    </row>
    <row r="35" spans="2:58" ht="13" customHeight="1" x14ac:dyDescent="0.25">
      <c r="B35" s="247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32"/>
      <c r="N35" s="233"/>
      <c r="O35" s="233"/>
      <c r="P35" s="233"/>
      <c r="Q35" s="233"/>
      <c r="R35" s="233"/>
      <c r="S35" s="233"/>
      <c r="T35" s="233"/>
      <c r="U35" s="233"/>
      <c r="V35" s="233"/>
      <c r="W35" s="234"/>
      <c r="X35" s="232"/>
      <c r="Y35" s="233"/>
      <c r="Z35" s="233"/>
      <c r="AA35" s="233"/>
      <c r="AB35" s="233"/>
      <c r="AC35" s="233"/>
      <c r="AD35" s="233"/>
      <c r="AE35" s="233"/>
      <c r="AF35" s="233"/>
      <c r="AG35" s="233"/>
      <c r="AH35" s="234"/>
      <c r="AI35" s="232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4"/>
      <c r="AU35" s="232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40"/>
    </row>
    <row r="36" spans="2:58" ht="13" customHeight="1" x14ac:dyDescent="0.25">
      <c r="B36" s="247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32"/>
      <c r="N36" s="233"/>
      <c r="O36" s="233"/>
      <c r="P36" s="233"/>
      <c r="Q36" s="233"/>
      <c r="R36" s="233"/>
      <c r="S36" s="233"/>
      <c r="T36" s="233"/>
      <c r="U36" s="233"/>
      <c r="V36" s="233"/>
      <c r="W36" s="234"/>
      <c r="X36" s="232"/>
      <c r="Y36" s="233"/>
      <c r="Z36" s="233"/>
      <c r="AA36" s="233"/>
      <c r="AB36" s="233"/>
      <c r="AC36" s="233"/>
      <c r="AD36" s="233"/>
      <c r="AE36" s="233"/>
      <c r="AF36" s="233"/>
      <c r="AG36" s="233"/>
      <c r="AH36" s="234"/>
      <c r="AI36" s="232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4"/>
      <c r="AU36" s="232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40"/>
    </row>
    <row r="37" spans="2:58" ht="13" customHeight="1" x14ac:dyDescent="0.25">
      <c r="B37" s="247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32"/>
      <c r="N37" s="233"/>
      <c r="O37" s="233"/>
      <c r="P37" s="233"/>
      <c r="Q37" s="233"/>
      <c r="R37" s="233"/>
      <c r="S37" s="233"/>
      <c r="T37" s="233"/>
      <c r="U37" s="233"/>
      <c r="V37" s="233"/>
      <c r="W37" s="234"/>
      <c r="X37" s="232"/>
      <c r="Y37" s="233"/>
      <c r="Z37" s="233"/>
      <c r="AA37" s="233"/>
      <c r="AB37" s="233"/>
      <c r="AC37" s="233"/>
      <c r="AD37" s="233"/>
      <c r="AE37" s="233"/>
      <c r="AF37" s="233"/>
      <c r="AG37" s="233"/>
      <c r="AH37" s="234"/>
      <c r="AI37" s="232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4"/>
      <c r="AU37" s="232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40"/>
    </row>
    <row r="38" spans="2:58" ht="13" customHeight="1" x14ac:dyDescent="0.25">
      <c r="B38" s="248"/>
      <c r="C38" s="236"/>
      <c r="D38" s="236"/>
      <c r="E38" s="236"/>
      <c r="F38" s="236"/>
      <c r="G38" s="236"/>
      <c r="H38" s="236"/>
      <c r="I38" s="236"/>
      <c r="J38" s="236"/>
      <c r="K38" s="236"/>
      <c r="L38" s="193"/>
      <c r="M38" s="235"/>
      <c r="N38" s="236"/>
      <c r="O38" s="236"/>
      <c r="P38" s="236"/>
      <c r="Q38" s="236"/>
      <c r="R38" s="236"/>
      <c r="S38" s="236"/>
      <c r="T38" s="236"/>
      <c r="U38" s="236"/>
      <c r="V38" s="236"/>
      <c r="W38" s="193"/>
      <c r="X38" s="235"/>
      <c r="Y38" s="236"/>
      <c r="Z38" s="236"/>
      <c r="AA38" s="236"/>
      <c r="AB38" s="236"/>
      <c r="AC38" s="236"/>
      <c r="AD38" s="236"/>
      <c r="AE38" s="236"/>
      <c r="AF38" s="236"/>
      <c r="AG38" s="236"/>
      <c r="AH38" s="193"/>
      <c r="AI38" s="235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193"/>
      <c r="AU38" s="235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41"/>
    </row>
    <row r="39" spans="2:58" ht="13" customHeight="1" x14ac:dyDescent="0.25">
      <c r="B39" s="225" t="s">
        <v>256</v>
      </c>
      <c r="C39" s="223"/>
      <c r="D39" s="223"/>
      <c r="E39" s="223"/>
      <c r="F39" s="223"/>
      <c r="G39" s="223"/>
      <c r="H39" s="223"/>
      <c r="I39" s="223"/>
      <c r="J39" s="223"/>
      <c r="K39" s="223"/>
      <c r="L39" s="194"/>
      <c r="M39" s="228" t="s">
        <v>257</v>
      </c>
      <c r="N39" s="223"/>
      <c r="O39" s="223"/>
      <c r="P39" s="223"/>
      <c r="Q39" s="223"/>
      <c r="R39" s="223"/>
      <c r="S39" s="223"/>
      <c r="T39" s="223"/>
      <c r="U39" s="223"/>
      <c r="V39" s="223"/>
      <c r="W39" s="194"/>
      <c r="X39" s="226" t="s">
        <v>258</v>
      </c>
      <c r="Y39" s="223"/>
      <c r="Z39" s="223"/>
      <c r="AA39" s="223"/>
      <c r="AB39" s="223"/>
      <c r="AC39" s="223"/>
      <c r="AD39" s="223"/>
      <c r="AE39" s="223"/>
      <c r="AF39" s="223"/>
      <c r="AG39" s="223"/>
      <c r="AH39" s="194"/>
      <c r="AI39" s="176" t="s">
        <v>259</v>
      </c>
      <c r="AJ39" s="223"/>
      <c r="AK39" s="223"/>
      <c r="AL39" s="223"/>
      <c r="AM39" s="223"/>
      <c r="AN39" s="223"/>
      <c r="AO39" s="223"/>
      <c r="AP39" s="223"/>
      <c r="AQ39" s="223"/>
      <c r="AR39" s="223"/>
      <c r="AS39" s="223"/>
      <c r="AT39" s="194"/>
      <c r="AU39" s="176" t="s">
        <v>260</v>
      </c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7"/>
    </row>
    <row r="40" spans="2:58" ht="13" customHeight="1" x14ac:dyDescent="0.25">
      <c r="B40" s="246"/>
      <c r="C40" s="230"/>
      <c r="D40" s="230"/>
      <c r="E40" s="230"/>
      <c r="F40" s="230"/>
      <c r="G40" s="230"/>
      <c r="H40" s="230"/>
      <c r="I40" s="230"/>
      <c r="J40" s="230"/>
      <c r="K40" s="230"/>
      <c r="L40" s="231"/>
      <c r="M40" s="249"/>
      <c r="N40" s="230"/>
      <c r="O40" s="230"/>
      <c r="P40" s="230"/>
      <c r="Q40" s="230"/>
      <c r="R40" s="230"/>
      <c r="S40" s="230"/>
      <c r="T40" s="230"/>
      <c r="U40" s="230"/>
      <c r="V40" s="230"/>
      <c r="W40" s="231"/>
      <c r="X40" s="250"/>
      <c r="Y40" s="230"/>
      <c r="Z40" s="230"/>
      <c r="AA40" s="230"/>
      <c r="AB40" s="230"/>
      <c r="AC40" s="230"/>
      <c r="AD40" s="230"/>
      <c r="AE40" s="230"/>
      <c r="AF40" s="230"/>
      <c r="AG40" s="230"/>
      <c r="AH40" s="231"/>
      <c r="AI40" s="238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1"/>
      <c r="AU40" s="238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39"/>
    </row>
    <row r="41" spans="2:58" ht="13" customHeight="1" x14ac:dyDescent="0.25">
      <c r="B41" s="247"/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232"/>
      <c r="N41" s="233"/>
      <c r="O41" s="233"/>
      <c r="P41" s="233"/>
      <c r="Q41" s="233"/>
      <c r="R41" s="233"/>
      <c r="S41" s="233"/>
      <c r="T41" s="233"/>
      <c r="U41" s="233"/>
      <c r="V41" s="233"/>
      <c r="W41" s="234"/>
      <c r="X41" s="232"/>
      <c r="Y41" s="233"/>
      <c r="Z41" s="233"/>
      <c r="AA41" s="233"/>
      <c r="AB41" s="233"/>
      <c r="AC41" s="233"/>
      <c r="AD41" s="233"/>
      <c r="AE41" s="233"/>
      <c r="AF41" s="233"/>
      <c r="AG41" s="233"/>
      <c r="AH41" s="234"/>
      <c r="AI41" s="232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4"/>
      <c r="AU41" s="232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40"/>
    </row>
    <row r="42" spans="2:58" ht="13" customHeight="1" x14ac:dyDescent="0.25">
      <c r="B42" s="247"/>
      <c r="C42" s="233"/>
      <c r="D42" s="233"/>
      <c r="E42" s="233"/>
      <c r="F42" s="233"/>
      <c r="G42" s="233"/>
      <c r="H42" s="233"/>
      <c r="I42" s="233"/>
      <c r="J42" s="233"/>
      <c r="K42" s="233"/>
      <c r="L42" s="234"/>
      <c r="M42" s="232"/>
      <c r="N42" s="233"/>
      <c r="O42" s="233"/>
      <c r="P42" s="233"/>
      <c r="Q42" s="233"/>
      <c r="R42" s="233"/>
      <c r="S42" s="233"/>
      <c r="T42" s="233"/>
      <c r="U42" s="233"/>
      <c r="V42" s="233"/>
      <c r="W42" s="234"/>
      <c r="X42" s="232"/>
      <c r="Y42" s="233"/>
      <c r="Z42" s="233"/>
      <c r="AA42" s="233"/>
      <c r="AB42" s="233"/>
      <c r="AC42" s="233"/>
      <c r="AD42" s="233"/>
      <c r="AE42" s="233"/>
      <c r="AF42" s="233"/>
      <c r="AG42" s="233"/>
      <c r="AH42" s="234"/>
      <c r="AI42" s="232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4"/>
      <c r="AU42" s="232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40"/>
    </row>
    <row r="43" spans="2:58" ht="13" customHeight="1" x14ac:dyDescent="0.25">
      <c r="B43" s="247"/>
      <c r="C43" s="233"/>
      <c r="D43" s="233"/>
      <c r="E43" s="233"/>
      <c r="F43" s="233"/>
      <c r="G43" s="233"/>
      <c r="H43" s="233"/>
      <c r="I43" s="233"/>
      <c r="J43" s="233"/>
      <c r="K43" s="233"/>
      <c r="L43" s="234"/>
      <c r="M43" s="232"/>
      <c r="N43" s="233"/>
      <c r="O43" s="233"/>
      <c r="P43" s="233"/>
      <c r="Q43" s="233"/>
      <c r="R43" s="233"/>
      <c r="S43" s="233"/>
      <c r="T43" s="233"/>
      <c r="U43" s="233"/>
      <c r="V43" s="233"/>
      <c r="W43" s="234"/>
      <c r="X43" s="232"/>
      <c r="Y43" s="233"/>
      <c r="Z43" s="233"/>
      <c r="AA43" s="233"/>
      <c r="AB43" s="233"/>
      <c r="AC43" s="233"/>
      <c r="AD43" s="233"/>
      <c r="AE43" s="233"/>
      <c r="AF43" s="233"/>
      <c r="AG43" s="233"/>
      <c r="AH43" s="234"/>
      <c r="AI43" s="232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4"/>
      <c r="AU43" s="232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40"/>
    </row>
    <row r="44" spans="2:58" ht="13" customHeight="1" x14ac:dyDescent="0.25">
      <c r="B44" s="247"/>
      <c r="C44" s="233"/>
      <c r="D44" s="233"/>
      <c r="E44" s="233"/>
      <c r="F44" s="233"/>
      <c r="G44" s="233"/>
      <c r="H44" s="233"/>
      <c r="I44" s="233"/>
      <c r="J44" s="233"/>
      <c r="K44" s="233"/>
      <c r="L44" s="234"/>
      <c r="M44" s="232"/>
      <c r="N44" s="233"/>
      <c r="O44" s="233"/>
      <c r="P44" s="233"/>
      <c r="Q44" s="233"/>
      <c r="R44" s="233"/>
      <c r="S44" s="233"/>
      <c r="T44" s="233"/>
      <c r="U44" s="233"/>
      <c r="V44" s="233"/>
      <c r="W44" s="234"/>
      <c r="X44" s="232"/>
      <c r="Y44" s="233"/>
      <c r="Z44" s="233"/>
      <c r="AA44" s="233"/>
      <c r="AB44" s="233"/>
      <c r="AC44" s="233"/>
      <c r="AD44" s="233"/>
      <c r="AE44" s="233"/>
      <c r="AF44" s="233"/>
      <c r="AG44" s="233"/>
      <c r="AH44" s="234"/>
      <c r="AI44" s="232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4"/>
      <c r="AU44" s="232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40"/>
    </row>
    <row r="45" spans="2:58" ht="13" customHeight="1" x14ac:dyDescent="0.25">
      <c r="B45" s="248"/>
      <c r="C45" s="236"/>
      <c r="D45" s="236"/>
      <c r="E45" s="236"/>
      <c r="F45" s="236"/>
      <c r="G45" s="236"/>
      <c r="H45" s="236"/>
      <c r="I45" s="236"/>
      <c r="J45" s="236"/>
      <c r="K45" s="236"/>
      <c r="L45" s="193"/>
      <c r="M45" s="235"/>
      <c r="N45" s="236"/>
      <c r="O45" s="236"/>
      <c r="P45" s="236"/>
      <c r="Q45" s="236"/>
      <c r="R45" s="236"/>
      <c r="S45" s="236"/>
      <c r="T45" s="236"/>
      <c r="U45" s="236"/>
      <c r="V45" s="236"/>
      <c r="W45" s="193"/>
      <c r="X45" s="235"/>
      <c r="Y45" s="236"/>
      <c r="Z45" s="236"/>
      <c r="AA45" s="236"/>
      <c r="AB45" s="236"/>
      <c r="AC45" s="236"/>
      <c r="AD45" s="236"/>
      <c r="AE45" s="236"/>
      <c r="AF45" s="236"/>
      <c r="AG45" s="236"/>
      <c r="AH45" s="193"/>
      <c r="AI45" s="235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193"/>
      <c r="AU45" s="235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41"/>
    </row>
    <row r="46" spans="2:58" ht="13" customHeight="1" x14ac:dyDescent="0.25">
      <c r="B46" s="225" t="s">
        <v>261</v>
      </c>
      <c r="C46" s="223"/>
      <c r="D46" s="223"/>
      <c r="E46" s="223"/>
      <c r="F46" s="223"/>
      <c r="G46" s="223"/>
      <c r="H46" s="223"/>
      <c r="I46" s="223"/>
      <c r="J46" s="223"/>
      <c r="K46" s="223"/>
      <c r="L46" s="194"/>
      <c r="M46" s="200" t="s">
        <v>262</v>
      </c>
      <c r="N46" s="223"/>
      <c r="O46" s="223"/>
      <c r="P46" s="223"/>
      <c r="Q46" s="223"/>
      <c r="R46" s="223"/>
      <c r="S46" s="223"/>
      <c r="T46" s="223"/>
      <c r="U46" s="223"/>
      <c r="V46" s="223"/>
      <c r="W46" s="194"/>
      <c r="X46" s="226" t="s">
        <v>263</v>
      </c>
      <c r="Y46" s="223"/>
      <c r="Z46" s="223"/>
      <c r="AA46" s="223"/>
      <c r="AB46" s="223"/>
      <c r="AC46" s="223"/>
      <c r="AD46" s="223"/>
      <c r="AE46" s="223"/>
      <c r="AF46" s="223"/>
      <c r="AG46" s="223"/>
      <c r="AH46" s="194"/>
      <c r="AI46" s="176" t="s">
        <v>264</v>
      </c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194"/>
      <c r="AU46" s="176" t="s">
        <v>265</v>
      </c>
      <c r="AV46" s="223"/>
      <c r="AW46" s="223"/>
      <c r="AX46" s="223"/>
      <c r="AY46" s="223"/>
      <c r="AZ46" s="223"/>
      <c r="BA46" s="223"/>
      <c r="BB46" s="223"/>
      <c r="BC46" s="223"/>
      <c r="BD46" s="223"/>
      <c r="BE46" s="223"/>
      <c r="BF46" s="227"/>
    </row>
    <row r="47" spans="2:58" ht="13" customHeight="1" x14ac:dyDescent="0.25">
      <c r="B47" s="246"/>
      <c r="C47" s="230"/>
      <c r="D47" s="230"/>
      <c r="E47" s="230"/>
      <c r="F47" s="230"/>
      <c r="G47" s="230"/>
      <c r="H47" s="230"/>
      <c r="I47" s="230"/>
      <c r="J47" s="230"/>
      <c r="K47" s="230"/>
      <c r="L47" s="231"/>
      <c r="M47" s="249"/>
      <c r="N47" s="230"/>
      <c r="O47" s="230"/>
      <c r="P47" s="230"/>
      <c r="Q47" s="230"/>
      <c r="R47" s="230"/>
      <c r="S47" s="230"/>
      <c r="T47" s="230"/>
      <c r="U47" s="230"/>
      <c r="V47" s="230"/>
      <c r="W47" s="231"/>
      <c r="X47" s="250"/>
      <c r="Y47" s="230"/>
      <c r="Z47" s="230"/>
      <c r="AA47" s="230"/>
      <c r="AB47" s="230"/>
      <c r="AC47" s="230"/>
      <c r="AD47" s="230"/>
      <c r="AE47" s="230"/>
      <c r="AF47" s="230"/>
      <c r="AG47" s="230"/>
      <c r="AH47" s="231"/>
      <c r="AI47" s="238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1"/>
      <c r="AU47" s="238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39"/>
    </row>
    <row r="48" spans="2:58" ht="13" customHeight="1" x14ac:dyDescent="0.25">
      <c r="B48" s="247"/>
      <c r="C48" s="233"/>
      <c r="D48" s="233"/>
      <c r="E48" s="233"/>
      <c r="F48" s="233"/>
      <c r="G48" s="233"/>
      <c r="H48" s="233"/>
      <c r="I48" s="233"/>
      <c r="J48" s="233"/>
      <c r="K48" s="233"/>
      <c r="L48" s="234"/>
      <c r="M48" s="232"/>
      <c r="N48" s="233"/>
      <c r="O48" s="233"/>
      <c r="P48" s="233"/>
      <c r="Q48" s="233"/>
      <c r="R48" s="233"/>
      <c r="S48" s="233"/>
      <c r="T48" s="233"/>
      <c r="U48" s="233"/>
      <c r="V48" s="233"/>
      <c r="W48" s="234"/>
      <c r="X48" s="232"/>
      <c r="Y48" s="233"/>
      <c r="Z48" s="233"/>
      <c r="AA48" s="233"/>
      <c r="AB48" s="233"/>
      <c r="AC48" s="233"/>
      <c r="AD48" s="233"/>
      <c r="AE48" s="233"/>
      <c r="AF48" s="233"/>
      <c r="AG48" s="233"/>
      <c r="AH48" s="234"/>
      <c r="AI48" s="232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4"/>
      <c r="AU48" s="232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40"/>
    </row>
    <row r="49" spans="2:58" ht="13" customHeight="1" x14ac:dyDescent="0.25">
      <c r="B49" s="247"/>
      <c r="C49" s="233"/>
      <c r="D49" s="233"/>
      <c r="E49" s="233"/>
      <c r="F49" s="233"/>
      <c r="G49" s="233"/>
      <c r="H49" s="233"/>
      <c r="I49" s="233"/>
      <c r="J49" s="233"/>
      <c r="K49" s="233"/>
      <c r="L49" s="234"/>
      <c r="M49" s="232"/>
      <c r="N49" s="233"/>
      <c r="O49" s="233"/>
      <c r="P49" s="233"/>
      <c r="Q49" s="233"/>
      <c r="R49" s="233"/>
      <c r="S49" s="233"/>
      <c r="T49" s="233"/>
      <c r="U49" s="233"/>
      <c r="V49" s="233"/>
      <c r="W49" s="234"/>
      <c r="X49" s="232"/>
      <c r="Y49" s="233"/>
      <c r="Z49" s="233"/>
      <c r="AA49" s="233"/>
      <c r="AB49" s="233"/>
      <c r="AC49" s="233"/>
      <c r="AD49" s="233"/>
      <c r="AE49" s="233"/>
      <c r="AF49" s="233"/>
      <c r="AG49" s="233"/>
      <c r="AH49" s="234"/>
      <c r="AI49" s="232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4"/>
      <c r="AU49" s="232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40"/>
    </row>
    <row r="50" spans="2:58" ht="13" customHeight="1" x14ac:dyDescent="0.25">
      <c r="B50" s="247"/>
      <c r="C50" s="233"/>
      <c r="D50" s="233"/>
      <c r="E50" s="233"/>
      <c r="F50" s="233"/>
      <c r="G50" s="233"/>
      <c r="H50" s="233"/>
      <c r="I50" s="233"/>
      <c r="J50" s="233"/>
      <c r="K50" s="233"/>
      <c r="L50" s="234"/>
      <c r="M50" s="232"/>
      <c r="N50" s="233"/>
      <c r="O50" s="233"/>
      <c r="P50" s="233"/>
      <c r="Q50" s="233"/>
      <c r="R50" s="233"/>
      <c r="S50" s="233"/>
      <c r="T50" s="233"/>
      <c r="U50" s="233"/>
      <c r="V50" s="233"/>
      <c r="W50" s="234"/>
      <c r="X50" s="232"/>
      <c r="Y50" s="233"/>
      <c r="Z50" s="233"/>
      <c r="AA50" s="233"/>
      <c r="AB50" s="233"/>
      <c r="AC50" s="233"/>
      <c r="AD50" s="233"/>
      <c r="AE50" s="233"/>
      <c r="AF50" s="233"/>
      <c r="AG50" s="233"/>
      <c r="AH50" s="234"/>
      <c r="AI50" s="232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4"/>
      <c r="AU50" s="232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40"/>
    </row>
    <row r="51" spans="2:58" ht="13" customHeight="1" x14ac:dyDescent="0.25">
      <c r="B51" s="247"/>
      <c r="C51" s="233"/>
      <c r="D51" s="233"/>
      <c r="E51" s="233"/>
      <c r="F51" s="233"/>
      <c r="G51" s="233"/>
      <c r="H51" s="233"/>
      <c r="I51" s="233"/>
      <c r="J51" s="233"/>
      <c r="K51" s="233"/>
      <c r="L51" s="234"/>
      <c r="M51" s="232"/>
      <c r="N51" s="233"/>
      <c r="O51" s="233"/>
      <c r="P51" s="233"/>
      <c r="Q51" s="233"/>
      <c r="R51" s="233"/>
      <c r="S51" s="233"/>
      <c r="T51" s="233"/>
      <c r="U51" s="233"/>
      <c r="V51" s="233"/>
      <c r="W51" s="234"/>
      <c r="X51" s="232"/>
      <c r="Y51" s="233"/>
      <c r="Z51" s="233"/>
      <c r="AA51" s="233"/>
      <c r="AB51" s="233"/>
      <c r="AC51" s="233"/>
      <c r="AD51" s="233"/>
      <c r="AE51" s="233"/>
      <c r="AF51" s="233"/>
      <c r="AG51" s="233"/>
      <c r="AH51" s="234"/>
      <c r="AI51" s="232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4"/>
      <c r="AU51" s="232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40"/>
    </row>
    <row r="52" spans="2:58" ht="13" customHeight="1" x14ac:dyDescent="0.25">
      <c r="B52" s="248"/>
      <c r="C52" s="236"/>
      <c r="D52" s="236"/>
      <c r="E52" s="236"/>
      <c r="F52" s="236"/>
      <c r="G52" s="236"/>
      <c r="H52" s="236"/>
      <c r="I52" s="236"/>
      <c r="J52" s="236"/>
      <c r="K52" s="236"/>
      <c r="L52" s="193"/>
      <c r="M52" s="235"/>
      <c r="N52" s="236"/>
      <c r="O52" s="236"/>
      <c r="P52" s="236"/>
      <c r="Q52" s="236"/>
      <c r="R52" s="236"/>
      <c r="S52" s="236"/>
      <c r="T52" s="236"/>
      <c r="U52" s="236"/>
      <c r="V52" s="236"/>
      <c r="W52" s="193"/>
      <c r="X52" s="235"/>
      <c r="Y52" s="236"/>
      <c r="Z52" s="236"/>
      <c r="AA52" s="236"/>
      <c r="AB52" s="236"/>
      <c r="AC52" s="236"/>
      <c r="AD52" s="236"/>
      <c r="AE52" s="236"/>
      <c r="AF52" s="236"/>
      <c r="AG52" s="236"/>
      <c r="AH52" s="193"/>
      <c r="AI52" s="235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193"/>
      <c r="AU52" s="235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41"/>
    </row>
    <row r="53" spans="2:58" ht="13" customHeight="1" x14ac:dyDescent="0.25">
      <c r="B53" s="225" t="s">
        <v>266</v>
      </c>
      <c r="C53" s="223"/>
      <c r="D53" s="223"/>
      <c r="E53" s="223"/>
      <c r="F53" s="223"/>
      <c r="G53" s="223"/>
      <c r="H53" s="223"/>
      <c r="I53" s="223"/>
      <c r="J53" s="223"/>
      <c r="K53" s="223"/>
      <c r="L53" s="194"/>
      <c r="M53" s="228" t="s">
        <v>267</v>
      </c>
      <c r="N53" s="223"/>
      <c r="O53" s="223"/>
      <c r="P53" s="223"/>
      <c r="Q53" s="223"/>
      <c r="R53" s="223"/>
      <c r="S53" s="223"/>
      <c r="T53" s="223"/>
      <c r="U53" s="223"/>
      <c r="V53" s="223"/>
      <c r="W53" s="194"/>
      <c r="X53" s="226" t="s">
        <v>268</v>
      </c>
      <c r="Y53" s="223"/>
      <c r="Z53" s="223"/>
      <c r="AA53" s="223"/>
      <c r="AB53" s="223"/>
      <c r="AC53" s="223"/>
      <c r="AD53" s="223"/>
      <c r="AE53" s="223"/>
      <c r="AF53" s="223"/>
      <c r="AG53" s="223"/>
      <c r="AH53" s="194"/>
      <c r="AI53" s="176" t="s">
        <v>269</v>
      </c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194"/>
      <c r="AU53" s="176" t="s">
        <v>270</v>
      </c>
      <c r="AV53" s="223"/>
      <c r="AW53" s="223"/>
      <c r="AX53" s="223"/>
      <c r="AY53" s="223"/>
      <c r="AZ53" s="223"/>
      <c r="BA53" s="223"/>
      <c r="BB53" s="223"/>
      <c r="BC53" s="223"/>
      <c r="BD53" s="223"/>
      <c r="BE53" s="223"/>
      <c r="BF53" s="227"/>
    </row>
    <row r="54" spans="2:58" ht="13" customHeight="1" x14ac:dyDescent="0.25">
      <c r="B54" s="246"/>
      <c r="C54" s="230"/>
      <c r="D54" s="230"/>
      <c r="E54" s="230"/>
      <c r="F54" s="230"/>
      <c r="G54" s="230"/>
      <c r="H54" s="230"/>
      <c r="I54" s="230"/>
      <c r="J54" s="230"/>
      <c r="K54" s="230"/>
      <c r="L54" s="231"/>
      <c r="M54" s="254"/>
      <c r="N54" s="230"/>
      <c r="O54" s="230"/>
      <c r="P54" s="230"/>
      <c r="Q54" s="230"/>
      <c r="R54" s="230"/>
      <c r="S54" s="230"/>
      <c r="T54" s="230"/>
      <c r="U54" s="230"/>
      <c r="V54" s="230"/>
      <c r="W54" s="231"/>
      <c r="X54" s="250"/>
      <c r="Y54" s="230"/>
      <c r="Z54" s="230"/>
      <c r="AA54" s="230"/>
      <c r="AB54" s="230"/>
      <c r="AC54" s="230"/>
      <c r="AD54" s="230"/>
      <c r="AE54" s="230"/>
      <c r="AF54" s="230"/>
      <c r="AG54" s="230"/>
      <c r="AH54" s="231"/>
      <c r="AI54" s="238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1"/>
      <c r="AU54" s="238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39"/>
    </row>
    <row r="55" spans="2:58" ht="13" customHeight="1" x14ac:dyDescent="0.25">
      <c r="B55" s="247"/>
      <c r="C55" s="233"/>
      <c r="D55" s="233"/>
      <c r="E55" s="233"/>
      <c r="F55" s="233"/>
      <c r="G55" s="233"/>
      <c r="H55" s="233"/>
      <c r="I55" s="233"/>
      <c r="J55" s="233"/>
      <c r="K55" s="233"/>
      <c r="L55" s="234"/>
      <c r="M55" s="232"/>
      <c r="N55" s="233"/>
      <c r="O55" s="233"/>
      <c r="P55" s="233"/>
      <c r="Q55" s="233"/>
      <c r="R55" s="233"/>
      <c r="S55" s="233"/>
      <c r="T55" s="233"/>
      <c r="U55" s="233"/>
      <c r="V55" s="233"/>
      <c r="W55" s="234"/>
      <c r="X55" s="232"/>
      <c r="Y55" s="233"/>
      <c r="Z55" s="233"/>
      <c r="AA55" s="233"/>
      <c r="AB55" s="233"/>
      <c r="AC55" s="233"/>
      <c r="AD55" s="233"/>
      <c r="AE55" s="233"/>
      <c r="AF55" s="233"/>
      <c r="AG55" s="233"/>
      <c r="AH55" s="234"/>
      <c r="AI55" s="232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4"/>
      <c r="AU55" s="232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40"/>
    </row>
    <row r="56" spans="2:58" ht="13" customHeight="1" x14ac:dyDescent="0.25">
      <c r="B56" s="247"/>
      <c r="C56" s="233"/>
      <c r="D56" s="233"/>
      <c r="E56" s="233"/>
      <c r="F56" s="233"/>
      <c r="G56" s="233"/>
      <c r="H56" s="233"/>
      <c r="I56" s="233"/>
      <c r="J56" s="233"/>
      <c r="K56" s="233"/>
      <c r="L56" s="234"/>
      <c r="M56" s="232"/>
      <c r="N56" s="233"/>
      <c r="O56" s="233"/>
      <c r="P56" s="233"/>
      <c r="Q56" s="233"/>
      <c r="R56" s="233"/>
      <c r="S56" s="233"/>
      <c r="T56" s="233"/>
      <c r="U56" s="233"/>
      <c r="V56" s="233"/>
      <c r="W56" s="234"/>
      <c r="X56" s="232"/>
      <c r="Y56" s="233"/>
      <c r="Z56" s="233"/>
      <c r="AA56" s="233"/>
      <c r="AB56" s="233"/>
      <c r="AC56" s="233"/>
      <c r="AD56" s="233"/>
      <c r="AE56" s="233"/>
      <c r="AF56" s="233"/>
      <c r="AG56" s="233"/>
      <c r="AH56" s="234"/>
      <c r="AI56" s="232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4"/>
      <c r="AU56" s="232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40"/>
    </row>
    <row r="57" spans="2:58" ht="13" customHeight="1" x14ac:dyDescent="0.25">
      <c r="B57" s="247"/>
      <c r="C57" s="233"/>
      <c r="D57" s="233"/>
      <c r="E57" s="233"/>
      <c r="F57" s="233"/>
      <c r="G57" s="233"/>
      <c r="H57" s="233"/>
      <c r="I57" s="233"/>
      <c r="J57" s="233"/>
      <c r="K57" s="233"/>
      <c r="L57" s="234"/>
      <c r="M57" s="232"/>
      <c r="N57" s="233"/>
      <c r="O57" s="233"/>
      <c r="P57" s="233"/>
      <c r="Q57" s="233"/>
      <c r="R57" s="233"/>
      <c r="S57" s="233"/>
      <c r="T57" s="233"/>
      <c r="U57" s="233"/>
      <c r="V57" s="233"/>
      <c r="W57" s="234"/>
      <c r="X57" s="232"/>
      <c r="Y57" s="233"/>
      <c r="Z57" s="233"/>
      <c r="AA57" s="233"/>
      <c r="AB57" s="233"/>
      <c r="AC57" s="233"/>
      <c r="AD57" s="233"/>
      <c r="AE57" s="233"/>
      <c r="AF57" s="233"/>
      <c r="AG57" s="233"/>
      <c r="AH57" s="234"/>
      <c r="AI57" s="232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4"/>
      <c r="AU57" s="232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40"/>
    </row>
    <row r="58" spans="2:58" ht="13" customHeight="1" x14ac:dyDescent="0.25">
      <c r="B58" s="247"/>
      <c r="C58" s="233"/>
      <c r="D58" s="233"/>
      <c r="E58" s="233"/>
      <c r="F58" s="233"/>
      <c r="G58" s="233"/>
      <c r="H58" s="233"/>
      <c r="I58" s="233"/>
      <c r="J58" s="233"/>
      <c r="K58" s="233"/>
      <c r="L58" s="234"/>
      <c r="M58" s="232"/>
      <c r="N58" s="233"/>
      <c r="O58" s="233"/>
      <c r="P58" s="233"/>
      <c r="Q58" s="233"/>
      <c r="R58" s="233"/>
      <c r="S58" s="233"/>
      <c r="T58" s="233"/>
      <c r="U58" s="233"/>
      <c r="V58" s="233"/>
      <c r="W58" s="234"/>
      <c r="X58" s="232"/>
      <c r="Y58" s="233"/>
      <c r="Z58" s="233"/>
      <c r="AA58" s="233"/>
      <c r="AB58" s="233"/>
      <c r="AC58" s="233"/>
      <c r="AD58" s="233"/>
      <c r="AE58" s="233"/>
      <c r="AF58" s="233"/>
      <c r="AG58" s="233"/>
      <c r="AH58" s="234"/>
      <c r="AI58" s="232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4"/>
      <c r="AU58" s="232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40"/>
    </row>
    <row r="59" spans="2:58" ht="13" customHeight="1" x14ac:dyDescent="0.25">
      <c r="B59" s="251"/>
      <c r="C59" s="252"/>
      <c r="D59" s="252"/>
      <c r="E59" s="252"/>
      <c r="F59" s="252"/>
      <c r="G59" s="252"/>
      <c r="H59" s="252"/>
      <c r="I59" s="252"/>
      <c r="J59" s="252"/>
      <c r="K59" s="252"/>
      <c r="L59" s="253"/>
      <c r="M59" s="255"/>
      <c r="N59" s="252"/>
      <c r="O59" s="252"/>
      <c r="P59" s="252"/>
      <c r="Q59" s="252"/>
      <c r="R59" s="252"/>
      <c r="S59" s="252"/>
      <c r="T59" s="252"/>
      <c r="U59" s="252"/>
      <c r="V59" s="252"/>
      <c r="W59" s="253"/>
      <c r="X59" s="255"/>
      <c r="Y59" s="252"/>
      <c r="Z59" s="252"/>
      <c r="AA59" s="252"/>
      <c r="AB59" s="252"/>
      <c r="AC59" s="252"/>
      <c r="AD59" s="252"/>
      <c r="AE59" s="252"/>
      <c r="AF59" s="252"/>
      <c r="AG59" s="252"/>
      <c r="AH59" s="253"/>
      <c r="AI59" s="255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3"/>
      <c r="AU59" s="255"/>
      <c r="AV59" s="252"/>
      <c r="AW59" s="252"/>
      <c r="AX59" s="252"/>
      <c r="AY59" s="252"/>
      <c r="AZ59" s="252"/>
      <c r="BA59" s="252"/>
      <c r="BB59" s="252"/>
      <c r="BC59" s="252"/>
      <c r="BD59" s="252"/>
      <c r="BE59" s="252"/>
      <c r="BF59" s="256"/>
    </row>
    <row r="60" spans="2:58" ht="13" customHeight="1" x14ac:dyDescent="0.25">
      <c r="B60" s="192" t="s">
        <v>460</v>
      </c>
      <c r="C60" s="193"/>
      <c r="D60" s="9" t="s">
        <v>274</v>
      </c>
      <c r="E60" s="169" t="s">
        <v>20</v>
      </c>
      <c r="F60" s="172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 s="174"/>
      <c r="BA60" s="174"/>
      <c r="BB60" s="174"/>
      <c r="BC60" s="174"/>
      <c r="BD60" s="174"/>
      <c r="BE60" s="174"/>
      <c r="BF60" s="175"/>
    </row>
    <row r="61" spans="2:58" ht="13" customHeight="1" x14ac:dyDescent="0.25">
      <c r="B61" s="168" t="s">
        <v>275</v>
      </c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7"/>
    </row>
    <row r="62" spans="2:58" ht="13" customHeight="1" thickBot="1" x14ac:dyDescent="0.3">
      <c r="B62" s="180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9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V22" sqref="V2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61" t="s">
        <v>458</v>
      </c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  <c r="AD2" s="414"/>
      <c r="AE2" s="414"/>
      <c r="AF2" s="414"/>
      <c r="AG2" s="414"/>
      <c r="AH2" s="414"/>
      <c r="AI2" s="414"/>
      <c r="AJ2" s="415"/>
    </row>
    <row r="3" spans="2:36" s="46" customFormat="1" ht="17.5" customHeight="1" x14ac:dyDescent="0.25">
      <c r="B3" s="262" t="s">
        <v>407</v>
      </c>
      <c r="C3" s="265" t="s">
        <v>406</v>
      </c>
      <c r="D3" s="416" t="s">
        <v>405</v>
      </c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268" t="s">
        <v>404</v>
      </c>
      <c r="AB3" s="269"/>
      <c r="AC3" s="269"/>
      <c r="AD3" s="269"/>
      <c r="AE3" s="269"/>
      <c r="AF3" s="269"/>
      <c r="AG3" s="269"/>
      <c r="AH3" s="269"/>
      <c r="AI3" s="269"/>
      <c r="AJ3" s="270"/>
    </row>
    <row r="4" spans="2:36" s="46" customFormat="1" ht="17.5" customHeight="1" x14ac:dyDescent="0.25">
      <c r="B4" s="263"/>
      <c r="C4" s="266"/>
      <c r="D4" s="271" t="s">
        <v>403</v>
      </c>
      <c r="E4" s="272"/>
      <c r="F4" s="272"/>
      <c r="G4" s="272"/>
      <c r="H4" s="272"/>
      <c r="I4" s="272"/>
      <c r="J4" s="423" t="s">
        <v>402</v>
      </c>
      <c r="K4" s="424"/>
      <c r="L4" s="424"/>
      <c r="M4" s="424"/>
      <c r="N4" s="424"/>
      <c r="O4" s="424"/>
      <c r="P4" s="424"/>
      <c r="Q4" s="424"/>
      <c r="R4" s="424"/>
      <c r="S4" s="424"/>
      <c r="T4" s="425"/>
      <c r="U4" s="275" t="s">
        <v>401</v>
      </c>
      <c r="V4" s="273"/>
      <c r="W4" s="273"/>
      <c r="X4" s="273"/>
      <c r="Y4" s="273"/>
      <c r="Z4" s="274"/>
      <c r="AA4" s="275" t="s">
        <v>400</v>
      </c>
      <c r="AB4" s="277" t="s">
        <v>399</v>
      </c>
      <c r="AC4" s="279" t="s">
        <v>398</v>
      </c>
      <c r="AD4" s="279" t="s">
        <v>306</v>
      </c>
      <c r="AE4" s="279" t="s">
        <v>397</v>
      </c>
      <c r="AF4" s="281" t="s">
        <v>396</v>
      </c>
      <c r="AG4" s="279" t="s">
        <v>395</v>
      </c>
      <c r="AH4" s="281" t="s">
        <v>394</v>
      </c>
      <c r="AI4" s="279" t="s">
        <v>393</v>
      </c>
      <c r="AJ4" s="282" t="s">
        <v>392</v>
      </c>
    </row>
    <row r="5" spans="2:36" s="46" customFormat="1" ht="37.5" customHeight="1" x14ac:dyDescent="0.25">
      <c r="B5" s="264"/>
      <c r="C5" s="267"/>
      <c r="D5" s="88" t="s">
        <v>391</v>
      </c>
      <c r="E5" s="85" t="s">
        <v>390</v>
      </c>
      <c r="F5" s="85" t="s">
        <v>389</v>
      </c>
      <c r="G5" s="85" t="s">
        <v>388</v>
      </c>
      <c r="H5" s="85" t="s">
        <v>379</v>
      </c>
      <c r="I5" s="66" t="s">
        <v>378</v>
      </c>
      <c r="J5" s="88" t="s">
        <v>382</v>
      </c>
      <c r="K5" s="85" t="s">
        <v>381</v>
      </c>
      <c r="L5" s="85" t="s">
        <v>380</v>
      </c>
      <c r="M5" s="85" t="s">
        <v>387</v>
      </c>
      <c r="N5" s="85" t="s">
        <v>387</v>
      </c>
      <c r="O5" s="85" t="s">
        <v>379</v>
      </c>
      <c r="P5" s="85" t="s">
        <v>386</v>
      </c>
      <c r="Q5" s="85" t="s">
        <v>385</v>
      </c>
      <c r="R5" s="85" t="s">
        <v>378</v>
      </c>
      <c r="S5" s="85" t="s">
        <v>384</v>
      </c>
      <c r="T5" s="87" t="s">
        <v>383</v>
      </c>
      <c r="U5" s="88" t="s">
        <v>382</v>
      </c>
      <c r="V5" s="65" t="s">
        <v>381</v>
      </c>
      <c r="W5" s="85" t="s">
        <v>380</v>
      </c>
      <c r="X5" s="85" t="s">
        <v>379</v>
      </c>
      <c r="Y5" s="85" t="s">
        <v>378</v>
      </c>
      <c r="Z5" s="87" t="s">
        <v>377</v>
      </c>
      <c r="AA5" s="276"/>
      <c r="AB5" s="278"/>
      <c r="AC5" s="280"/>
      <c r="AD5" s="280"/>
      <c r="AE5" s="280"/>
      <c r="AF5" s="280"/>
      <c r="AG5" s="280"/>
      <c r="AH5" s="280"/>
      <c r="AI5" s="280"/>
      <c r="AJ5" s="283"/>
    </row>
    <row r="6" spans="2:36" s="46" customFormat="1" ht="17.5" customHeight="1" x14ac:dyDescent="0.25">
      <c r="B6" s="284" t="s">
        <v>460</v>
      </c>
      <c r="C6" s="285" t="s">
        <v>408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373</v>
      </c>
      <c r="AD6" s="49" t="s">
        <v>297</v>
      </c>
      <c r="AE6" s="48" t="s">
        <v>373</v>
      </c>
      <c r="AF6" s="47" t="s">
        <v>375</v>
      </c>
      <c r="AG6" s="49" t="s">
        <v>297</v>
      </c>
      <c r="AH6" s="47" t="s">
        <v>374</v>
      </c>
      <c r="AI6" s="48" t="s">
        <v>373</v>
      </c>
      <c r="AJ6" s="61" t="s">
        <v>373</v>
      </c>
    </row>
    <row r="7" spans="2:36" s="146" customFormat="1" ht="24" customHeight="1" x14ac:dyDescent="0.25">
      <c r="B7" s="263"/>
      <c r="C7" s="266"/>
      <c r="D7" s="135">
        <v>310</v>
      </c>
      <c r="E7" s="136">
        <f>K7+V7</f>
        <v>83.09999084472656</v>
      </c>
      <c r="F7" s="154" t="str">
        <f>IF(D7="","",IF(D28="","",IF(D7=(D7+D28)/2,"--",IF(D7&gt;=(D7+D28)/2,"↑","↓"))))</f>
        <v/>
      </c>
      <c r="G7" s="136">
        <v>0</v>
      </c>
      <c r="H7" s="136">
        <v>28.80645179748535</v>
      </c>
      <c r="I7" s="137">
        <v>0</v>
      </c>
      <c r="J7" s="138">
        <v>130</v>
      </c>
      <c r="K7" s="139">
        <v>27.299999237060547</v>
      </c>
      <c r="L7" s="139">
        <v>21</v>
      </c>
      <c r="M7" s="139"/>
      <c r="N7" s="139"/>
      <c r="O7" s="139">
        <v>23</v>
      </c>
      <c r="P7" s="139"/>
      <c r="Q7" s="139"/>
      <c r="R7" s="139">
        <v>25</v>
      </c>
      <c r="S7" s="139"/>
      <c r="T7" s="140"/>
      <c r="U7" s="138">
        <v>180</v>
      </c>
      <c r="V7" s="141">
        <v>55.79999923706055</v>
      </c>
      <c r="W7" s="136">
        <v>31</v>
      </c>
      <c r="X7" s="136">
        <v>33</v>
      </c>
      <c r="Y7" s="136">
        <v>35</v>
      </c>
      <c r="Z7" s="142">
        <f>U7/D7</f>
        <v>0.29032257199287415</v>
      </c>
      <c r="AA7" s="143"/>
      <c r="AB7" s="136"/>
      <c r="AC7" s="136"/>
      <c r="AD7" s="136"/>
      <c r="AE7" s="144"/>
      <c r="AF7" s="144"/>
      <c r="AG7" s="144"/>
      <c r="AH7" s="144"/>
      <c r="AI7" s="144"/>
      <c r="AJ7" s="145"/>
    </row>
    <row r="8" spans="2:36" s="46" customFormat="1" ht="17.5" customHeight="1" x14ac:dyDescent="0.25">
      <c r="B8" s="263"/>
      <c r="C8" s="266"/>
      <c r="D8" s="275" t="s">
        <v>372</v>
      </c>
      <c r="E8" s="273"/>
      <c r="F8" s="274"/>
      <c r="G8" s="275" t="s">
        <v>371</v>
      </c>
      <c r="H8" s="273"/>
      <c r="I8" s="273"/>
      <c r="J8" s="273"/>
      <c r="K8" s="273"/>
      <c r="L8" s="273"/>
      <c r="M8" s="273"/>
      <c r="N8" s="273"/>
      <c r="O8" s="274"/>
      <c r="P8" s="275" t="s">
        <v>370</v>
      </c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4"/>
      <c r="AE8" s="286" t="s">
        <v>336</v>
      </c>
      <c r="AF8" s="273"/>
      <c r="AG8" s="273"/>
      <c r="AH8" s="273"/>
      <c r="AI8" s="273"/>
      <c r="AJ8" s="274"/>
    </row>
    <row r="9" spans="2:36" s="46" customFormat="1" ht="15" customHeight="1" x14ac:dyDescent="0.25">
      <c r="B9" s="263"/>
      <c r="C9" s="266"/>
      <c r="D9" s="287" t="s">
        <v>369</v>
      </c>
      <c r="E9" s="288" t="s">
        <v>368</v>
      </c>
      <c r="F9" s="289" t="s">
        <v>367</v>
      </c>
      <c r="G9" s="287" t="s">
        <v>366</v>
      </c>
      <c r="H9" s="280"/>
      <c r="I9" s="290" t="s">
        <v>365</v>
      </c>
      <c r="J9" s="290" t="s">
        <v>364</v>
      </c>
      <c r="K9" s="290" t="s">
        <v>363</v>
      </c>
      <c r="L9" s="290" t="s">
        <v>362</v>
      </c>
      <c r="M9" s="290" t="s">
        <v>361</v>
      </c>
      <c r="N9" s="290" t="s">
        <v>360</v>
      </c>
      <c r="O9" s="292" t="s">
        <v>359</v>
      </c>
      <c r="P9" s="287" t="s">
        <v>358</v>
      </c>
      <c r="Q9" s="280"/>
      <c r="R9" s="288" t="s">
        <v>357</v>
      </c>
      <c r="S9" s="280"/>
      <c r="T9" s="280"/>
      <c r="U9" s="288" t="s">
        <v>356</v>
      </c>
      <c r="V9" s="294" t="s">
        <v>355</v>
      </c>
      <c r="W9" s="280"/>
      <c r="X9" s="294" t="s">
        <v>354</v>
      </c>
      <c r="Y9" s="280"/>
      <c r="Z9" s="280"/>
      <c r="AA9" s="294" t="s">
        <v>353</v>
      </c>
      <c r="AB9" s="288" t="s">
        <v>352</v>
      </c>
      <c r="AC9" s="291" t="s">
        <v>351</v>
      </c>
      <c r="AD9" s="289" t="s">
        <v>350</v>
      </c>
      <c r="AE9" s="293" t="s">
        <v>349</v>
      </c>
      <c r="AF9" s="280"/>
      <c r="AG9" s="280"/>
      <c r="AH9" s="290" t="s">
        <v>332</v>
      </c>
      <c r="AI9" s="280"/>
      <c r="AJ9" s="283"/>
    </row>
    <row r="10" spans="2:36" s="46" customFormat="1" ht="15" customHeight="1" x14ac:dyDescent="0.25">
      <c r="B10" s="263"/>
      <c r="C10" s="266"/>
      <c r="D10" s="276"/>
      <c r="E10" s="280"/>
      <c r="F10" s="283"/>
      <c r="G10" s="86" t="s">
        <v>348</v>
      </c>
      <c r="H10" s="83" t="s">
        <v>347</v>
      </c>
      <c r="I10" s="280"/>
      <c r="J10" s="280"/>
      <c r="K10" s="280"/>
      <c r="L10" s="280"/>
      <c r="M10" s="280"/>
      <c r="N10" s="280"/>
      <c r="O10" s="283"/>
      <c r="P10" s="86" t="s">
        <v>346</v>
      </c>
      <c r="Q10" s="83" t="s">
        <v>345</v>
      </c>
      <c r="R10" s="83" t="s">
        <v>345</v>
      </c>
      <c r="S10" s="83" t="s">
        <v>344</v>
      </c>
      <c r="T10" s="82" t="s">
        <v>343</v>
      </c>
      <c r="U10" s="280"/>
      <c r="V10" s="82" t="s">
        <v>346</v>
      </c>
      <c r="W10" s="83" t="s">
        <v>345</v>
      </c>
      <c r="X10" s="82" t="s">
        <v>345</v>
      </c>
      <c r="Y10" s="83" t="s">
        <v>344</v>
      </c>
      <c r="Z10" s="82" t="s">
        <v>343</v>
      </c>
      <c r="AA10" s="280"/>
      <c r="AB10" s="280"/>
      <c r="AC10" s="280"/>
      <c r="AD10" s="283"/>
      <c r="AE10" s="88" t="s">
        <v>1</v>
      </c>
      <c r="AF10" s="85" t="s">
        <v>12</v>
      </c>
      <c r="AG10" s="85" t="s">
        <v>15</v>
      </c>
      <c r="AH10" s="52" t="s">
        <v>103</v>
      </c>
      <c r="AI10" s="85" t="s">
        <v>342</v>
      </c>
      <c r="AJ10" s="84" t="s">
        <v>341</v>
      </c>
    </row>
    <row r="11" spans="2:36" s="46" customFormat="1" ht="17.5" customHeight="1" x14ac:dyDescent="0.25">
      <c r="B11" s="263"/>
      <c r="C11" s="266"/>
      <c r="D11" s="86" t="s">
        <v>4</v>
      </c>
      <c r="E11" s="83" t="s">
        <v>4</v>
      </c>
      <c r="F11" s="84" t="s">
        <v>4</v>
      </c>
      <c r="G11" s="50" t="s">
        <v>299</v>
      </c>
      <c r="H11" s="49" t="s">
        <v>283</v>
      </c>
      <c r="I11" s="49" t="s">
        <v>340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340</v>
      </c>
      <c r="AB11" s="58" t="s">
        <v>339</v>
      </c>
      <c r="AC11" s="58" t="s">
        <v>339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46" customFormat="1" ht="24" customHeight="1" x14ac:dyDescent="0.25">
      <c r="B12" s="263"/>
      <c r="C12" s="266"/>
      <c r="D12" s="418" t="s">
        <v>338</v>
      </c>
      <c r="E12" s="147"/>
      <c r="F12" s="148"/>
      <c r="G12" s="135">
        <v>0</v>
      </c>
      <c r="H12" s="136">
        <v>413.2380065917969</v>
      </c>
      <c r="I12" s="136">
        <v>0.0093994140625</v>
      </c>
      <c r="J12" s="136">
        <v>0.00408935546875</v>
      </c>
      <c r="K12" s="136">
        <v>13.69538402557373</v>
      </c>
      <c r="L12" s="136">
        <v>-0.0054735722951591015</v>
      </c>
      <c r="M12" s="136">
        <v>21.295089721679688</v>
      </c>
      <c r="N12" s="136">
        <v>15.657551765441895</v>
      </c>
      <c r="O12" s="142">
        <v>-0.006471233908087015</v>
      </c>
      <c r="P12" s="419">
        <v>29.1</v>
      </c>
      <c r="Q12" s="420" t="s">
        <v>337</v>
      </c>
      <c r="R12" s="136">
        <v>11</v>
      </c>
      <c r="S12" s="136">
        <f>R12-Q12</f>
        <v>-33.1</v>
      </c>
      <c r="T12" s="154" t="str">
        <f>IF(S12&gt;=0,"↑","↓")</f>
        <v>↓</v>
      </c>
      <c r="U12" s="144">
        <v>18</v>
      </c>
      <c r="V12" s="420">
        <v>1.6</v>
      </c>
      <c r="W12" s="420">
        <v>17.600000000000001</v>
      </c>
      <c r="X12" s="136">
        <v>13</v>
      </c>
      <c r="Y12" s="136">
        <f>X12-W12</f>
        <v>-17.600000000000001</v>
      </c>
      <c r="Z12" s="154" t="str">
        <f>IF(Y12&gt;=0,"↑","↓")</f>
        <v>↓</v>
      </c>
      <c r="AA12" s="420">
        <v>6.28</v>
      </c>
      <c r="AB12" s="136">
        <v>0</v>
      </c>
      <c r="AC12" s="136">
        <f>AB12-AA12</f>
        <v>-6.28</v>
      </c>
      <c r="AD12" s="154" t="str">
        <f>IF(AC12&gt;=0,"↑","↓")</f>
        <v>↓</v>
      </c>
      <c r="AE12" s="149"/>
      <c r="AF12" s="136"/>
      <c r="AG12" s="144"/>
      <c r="AH12" s="144">
        <v>1</v>
      </c>
      <c r="AI12" s="144">
        <v>2</v>
      </c>
      <c r="AJ12" s="145">
        <v>3</v>
      </c>
    </row>
    <row r="13" spans="2:36" s="46" customFormat="1" ht="15" customHeight="1" x14ac:dyDescent="0.25">
      <c r="B13" s="263"/>
      <c r="C13" s="266"/>
      <c r="D13" s="275" t="s">
        <v>336</v>
      </c>
      <c r="E13" s="274"/>
      <c r="F13" s="275" t="s">
        <v>335</v>
      </c>
      <c r="G13" s="273"/>
      <c r="H13" s="273"/>
      <c r="I13" s="273"/>
      <c r="J13" s="273"/>
      <c r="K13" s="273"/>
      <c r="L13" s="273"/>
      <c r="M13" s="274"/>
      <c r="N13" s="275" t="s">
        <v>334</v>
      </c>
      <c r="O13" s="273"/>
      <c r="P13" s="273"/>
      <c r="Q13" s="273"/>
      <c r="R13" s="273"/>
      <c r="S13" s="273"/>
      <c r="T13" s="273"/>
      <c r="U13" s="274"/>
      <c r="V13" s="286" t="s">
        <v>333</v>
      </c>
      <c r="W13" s="273"/>
      <c r="X13" s="273"/>
      <c r="Y13" s="273"/>
      <c r="Z13" s="273"/>
      <c r="AA13" s="273"/>
      <c r="AB13" s="273"/>
      <c r="AC13" s="273"/>
      <c r="AD13" s="273"/>
      <c r="AE13" s="273"/>
      <c r="AF13" s="273"/>
      <c r="AG13" s="273"/>
      <c r="AH13" s="273"/>
      <c r="AI13" s="273"/>
      <c r="AJ13" s="274"/>
    </row>
    <row r="14" spans="2:36" s="46" customFormat="1" ht="15" customHeight="1" x14ac:dyDescent="0.25">
      <c r="B14" s="263"/>
      <c r="C14" s="266"/>
      <c r="D14" s="287" t="s">
        <v>332</v>
      </c>
      <c r="E14" s="283"/>
      <c r="F14" s="287" t="s">
        <v>331</v>
      </c>
      <c r="G14" s="280"/>
      <c r="H14" s="280"/>
      <c r="I14" s="280"/>
      <c r="J14" s="280"/>
      <c r="K14" s="290" t="s">
        <v>330</v>
      </c>
      <c r="L14" s="280"/>
      <c r="M14" s="283"/>
      <c r="N14" s="287" t="s">
        <v>329</v>
      </c>
      <c r="O14" s="280"/>
      <c r="P14" s="280"/>
      <c r="Q14" s="280"/>
      <c r="R14" s="280"/>
      <c r="S14" s="288" t="s">
        <v>328</v>
      </c>
      <c r="T14" s="280"/>
      <c r="U14" s="283"/>
      <c r="V14" s="293" t="s">
        <v>327</v>
      </c>
      <c r="W14" s="280"/>
      <c r="X14" s="280"/>
      <c r="Y14" s="280"/>
      <c r="Z14" s="290" t="s">
        <v>326</v>
      </c>
      <c r="AA14" s="280"/>
      <c r="AB14" s="280"/>
      <c r="AC14" s="280"/>
      <c r="AD14" s="280"/>
      <c r="AE14" s="280"/>
      <c r="AF14" s="280"/>
      <c r="AG14" s="280"/>
      <c r="AH14" s="280"/>
      <c r="AI14" s="280"/>
      <c r="AJ14" s="283"/>
    </row>
    <row r="15" spans="2:36" s="46" customFormat="1" ht="25" customHeight="1" x14ac:dyDescent="0.25">
      <c r="B15" s="263"/>
      <c r="C15" s="266"/>
      <c r="D15" s="86" t="s">
        <v>325</v>
      </c>
      <c r="E15" s="84" t="s">
        <v>322</v>
      </c>
      <c r="F15" s="86" t="s">
        <v>324</v>
      </c>
      <c r="G15" s="83" t="s">
        <v>317</v>
      </c>
      <c r="H15" s="83" t="s">
        <v>323</v>
      </c>
      <c r="I15" s="85" t="s">
        <v>15</v>
      </c>
      <c r="J15" s="52" t="s">
        <v>322</v>
      </c>
      <c r="K15" s="85" t="s">
        <v>321</v>
      </c>
      <c r="L15" s="85" t="s">
        <v>320</v>
      </c>
      <c r="M15" s="84" t="s">
        <v>319</v>
      </c>
      <c r="N15" s="86" t="s">
        <v>324</v>
      </c>
      <c r="O15" s="83" t="s">
        <v>317</v>
      </c>
      <c r="P15" s="83" t="s">
        <v>323</v>
      </c>
      <c r="Q15" s="83" t="s">
        <v>15</v>
      </c>
      <c r="R15" s="82" t="s">
        <v>322</v>
      </c>
      <c r="S15" s="85" t="s">
        <v>321</v>
      </c>
      <c r="T15" s="85" t="s">
        <v>320</v>
      </c>
      <c r="U15" s="84" t="s">
        <v>319</v>
      </c>
      <c r="V15" s="88" t="s">
        <v>318</v>
      </c>
      <c r="W15" s="85" t="s">
        <v>317</v>
      </c>
      <c r="X15" s="85" t="s">
        <v>316</v>
      </c>
      <c r="Y15" s="85" t="s">
        <v>315</v>
      </c>
      <c r="Z15" s="85" t="s">
        <v>314</v>
      </c>
      <c r="AA15" s="85" t="s">
        <v>313</v>
      </c>
      <c r="AB15" s="85" t="s">
        <v>312</v>
      </c>
      <c r="AC15" s="85" t="s">
        <v>311</v>
      </c>
      <c r="AD15" s="85" t="s">
        <v>310</v>
      </c>
      <c r="AE15" s="85" t="s">
        <v>309</v>
      </c>
      <c r="AF15" s="85" t="s">
        <v>308</v>
      </c>
      <c r="AG15" s="85" t="s">
        <v>307</v>
      </c>
      <c r="AH15" s="85" t="s">
        <v>306</v>
      </c>
      <c r="AI15" s="85" t="s">
        <v>305</v>
      </c>
      <c r="AJ15" s="87" t="s">
        <v>304</v>
      </c>
    </row>
    <row r="16" spans="2:36" s="46" customFormat="1" ht="15" customHeight="1" x14ac:dyDescent="0.25">
      <c r="B16" s="263"/>
      <c r="C16" s="266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83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46" customFormat="1" ht="24" customHeight="1" x14ac:dyDescent="0.25">
      <c r="B17" s="263"/>
      <c r="C17" s="266"/>
      <c r="D17" s="149">
        <v>4</v>
      </c>
      <c r="E17" s="142">
        <v>5</v>
      </c>
      <c r="F17" s="149">
        <v>17.092103958129883</v>
      </c>
      <c r="G17" s="144">
        <v>27.743715286254883</v>
      </c>
      <c r="H17" s="144">
        <v>10.651611328125</v>
      </c>
      <c r="I17" s="136">
        <v>95.06806182861328</v>
      </c>
      <c r="J17" s="136">
        <v>13.135706901550293</v>
      </c>
      <c r="K17" s="136">
        <v>27.299999237060547</v>
      </c>
      <c r="L17" s="136">
        <v>0</v>
      </c>
      <c r="M17" s="142">
        <v>25</v>
      </c>
      <c r="N17" s="135">
        <v>45.08333206176758</v>
      </c>
      <c r="O17" s="136">
        <v>29.26830291748047</v>
      </c>
      <c r="P17" s="136">
        <v>-15.81502914428711</v>
      </c>
      <c r="Q17" s="136">
        <v>45.08333206176758</v>
      </c>
      <c r="R17" s="136"/>
      <c r="S17" s="136">
        <v>55.79999923706055</v>
      </c>
      <c r="T17" s="136">
        <v>0</v>
      </c>
      <c r="U17" s="142">
        <v>35</v>
      </c>
      <c r="V17" s="135">
        <v>268.7275695800781</v>
      </c>
      <c r="W17" s="136">
        <v>23.54676055908203</v>
      </c>
      <c r="X17" s="136">
        <v>-0.0207926444709301</v>
      </c>
      <c r="Y17" s="136"/>
      <c r="Z17" s="136">
        <v>-16.872831344604492</v>
      </c>
      <c r="AA17" s="136">
        <v>0</v>
      </c>
      <c r="AB17" s="136">
        <v>0</v>
      </c>
      <c r="AC17" s="136">
        <v>0</v>
      </c>
      <c r="AD17" s="136">
        <v>0.019817190244793892</v>
      </c>
      <c r="AE17" s="136" t="e">
        <f>Z17/AB17</f>
        <v>#DIV/0!</v>
      </c>
      <c r="AF17" s="136">
        <v>0</v>
      </c>
      <c r="AG17" s="136">
        <v>0.05000000819563866</v>
      </c>
      <c r="AH17" s="136" t="e">
        <f>AF17/(Z17-AB17)</f>
        <v>#DIV/0!</v>
      </c>
      <c r="AI17" s="417" t="s">
        <v>296</v>
      </c>
      <c r="AJ17" s="154" t="e">
        <f>IF((AH17-AI17)&gt;=0,"↑","↓")</f>
        <v>#DIV/0!</v>
      </c>
    </row>
    <row r="18" spans="2:36" s="46" customFormat="1" ht="15" customHeight="1" x14ac:dyDescent="0.25">
      <c r="B18" s="263"/>
      <c r="C18" s="266"/>
      <c r="D18" s="286" t="s">
        <v>295</v>
      </c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4"/>
      <c r="R18" s="89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95" t="s">
        <v>82</v>
      </c>
    </row>
    <row r="19" spans="2:36" s="46" customFormat="1" ht="15" customHeight="1" x14ac:dyDescent="0.25">
      <c r="B19" s="263"/>
      <c r="C19" s="266"/>
      <c r="D19" s="293" t="s">
        <v>294</v>
      </c>
      <c r="E19" s="280"/>
      <c r="F19" s="280"/>
      <c r="G19" s="290" t="s">
        <v>293</v>
      </c>
      <c r="H19" s="280"/>
      <c r="I19" s="280"/>
      <c r="J19" s="290" t="s">
        <v>292</v>
      </c>
      <c r="K19" s="280"/>
      <c r="L19" s="280"/>
      <c r="M19" s="290" t="s">
        <v>291</v>
      </c>
      <c r="N19" s="290" t="s">
        <v>290</v>
      </c>
      <c r="O19" s="290" t="s">
        <v>289</v>
      </c>
      <c r="P19" s="290" t="s">
        <v>225</v>
      </c>
      <c r="Q19" s="292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459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63"/>
      <c r="C20" s="266"/>
      <c r="D20" s="88" t="s">
        <v>287</v>
      </c>
      <c r="E20" s="85" t="s">
        <v>286</v>
      </c>
      <c r="F20" s="85" t="s">
        <v>285</v>
      </c>
      <c r="G20" s="85" t="s">
        <v>287</v>
      </c>
      <c r="H20" s="85" t="s">
        <v>286</v>
      </c>
      <c r="I20" s="85" t="s">
        <v>285</v>
      </c>
      <c r="J20" s="85" t="s">
        <v>287</v>
      </c>
      <c r="K20" s="85" t="s">
        <v>286</v>
      </c>
      <c r="L20" s="85" t="s">
        <v>285</v>
      </c>
      <c r="M20" s="280"/>
      <c r="N20" s="280"/>
      <c r="O20" s="280"/>
      <c r="P20" s="280"/>
      <c r="Q20" s="283"/>
      <c r="R20" s="86" t="s">
        <v>4</v>
      </c>
      <c r="S20" s="83" t="s">
        <v>4</v>
      </c>
      <c r="T20" s="83" t="s">
        <v>4</v>
      </c>
      <c r="U20" s="83" t="s">
        <v>82</v>
      </c>
      <c r="V20" s="83" t="s">
        <v>82</v>
      </c>
      <c r="W20" s="85" t="s">
        <v>82</v>
      </c>
      <c r="X20" s="83" t="s">
        <v>82</v>
      </c>
      <c r="Y20" s="83" t="s">
        <v>82</v>
      </c>
      <c r="Z20" s="85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63"/>
      <c r="C21" s="266" t="s">
        <v>461</v>
      </c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46" customFormat="1" ht="24" customHeight="1" x14ac:dyDescent="0.25">
      <c r="B22" s="263"/>
      <c r="C22" s="266"/>
      <c r="D22" s="150">
        <v>51</v>
      </c>
      <c r="E22" s="151">
        <v>57</v>
      </c>
      <c r="F22" s="151">
        <f>D22-E22</f>
        <v>0</v>
      </c>
      <c r="G22" s="151">
        <v>53</v>
      </c>
      <c r="H22" s="151">
        <v>59</v>
      </c>
      <c r="I22" s="151">
        <f>G22-H22</f>
        <v>0</v>
      </c>
      <c r="J22" s="151">
        <v>55</v>
      </c>
      <c r="K22" s="151">
        <v>61</v>
      </c>
      <c r="L22" s="151">
        <f>J22-K22</f>
        <v>0</v>
      </c>
      <c r="M22" s="151">
        <v>0</v>
      </c>
      <c r="N22" s="151">
        <v>64</v>
      </c>
      <c r="O22" s="151" t="e">
        <f>N22/M22</f>
        <v>#DIV/0!</v>
      </c>
      <c r="P22" s="151">
        <v>62</v>
      </c>
      <c r="Q22" s="421">
        <v>301</v>
      </c>
      <c r="R22" s="150" t="s">
        <v>4</v>
      </c>
      <c r="S22" s="151" t="s">
        <v>4</v>
      </c>
      <c r="T22" s="151" t="s">
        <v>4</v>
      </c>
      <c r="U22" s="151" t="s">
        <v>82</v>
      </c>
      <c r="V22" s="151" t="s">
        <v>82</v>
      </c>
      <c r="W22" s="151" t="s">
        <v>82</v>
      </c>
      <c r="X22" s="151" t="s">
        <v>82</v>
      </c>
      <c r="Y22" s="151" t="s">
        <v>82</v>
      </c>
      <c r="Z22" s="151" t="s">
        <v>82</v>
      </c>
      <c r="AA22" s="151" t="s">
        <v>82</v>
      </c>
      <c r="AB22" s="151" t="s">
        <v>82</v>
      </c>
      <c r="AC22" s="151" t="s">
        <v>82</v>
      </c>
      <c r="AD22" s="151" t="s">
        <v>82</v>
      </c>
      <c r="AE22" s="152" t="s">
        <v>82</v>
      </c>
      <c r="AF22" s="152" t="s">
        <v>82</v>
      </c>
      <c r="AG22" s="152" t="s">
        <v>82</v>
      </c>
      <c r="AH22" s="152" t="s">
        <v>82</v>
      </c>
      <c r="AI22" s="152" t="s">
        <v>82</v>
      </c>
      <c r="AJ22" s="153" t="s">
        <v>82</v>
      </c>
    </row>
    <row r="23" spans="2:36" s="46" customFormat="1" ht="7.5" customHeight="1" x14ac:dyDescent="0.25">
      <c r="B23" s="96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97"/>
    </row>
    <row r="24" spans="2:36" s="46" customFormat="1" ht="17.5" customHeight="1" x14ac:dyDescent="0.25">
      <c r="B24" s="295" t="s">
        <v>407</v>
      </c>
      <c r="C24" s="296" t="s">
        <v>406</v>
      </c>
      <c r="D24" s="297" t="s">
        <v>405</v>
      </c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9"/>
      <c r="AA24" s="300" t="s">
        <v>404</v>
      </c>
      <c r="AB24" s="301"/>
      <c r="AC24" s="301"/>
      <c r="AD24" s="301"/>
      <c r="AE24" s="301"/>
      <c r="AF24" s="301"/>
      <c r="AG24" s="301"/>
      <c r="AH24" s="301"/>
      <c r="AI24" s="301"/>
      <c r="AJ24" s="302"/>
    </row>
    <row r="25" spans="2:36" s="46" customFormat="1" ht="17.5" customHeight="1" x14ac:dyDescent="0.25">
      <c r="B25" s="263"/>
      <c r="C25" s="266"/>
      <c r="D25" s="271" t="s">
        <v>403</v>
      </c>
      <c r="E25" s="272"/>
      <c r="F25" s="272"/>
      <c r="G25" s="272"/>
      <c r="H25" s="272"/>
      <c r="I25" s="272"/>
      <c r="J25" s="423" t="s">
        <v>402</v>
      </c>
      <c r="K25" s="424"/>
      <c r="L25" s="424"/>
      <c r="M25" s="424"/>
      <c r="N25" s="424"/>
      <c r="O25" s="424"/>
      <c r="P25" s="424"/>
      <c r="Q25" s="424"/>
      <c r="R25" s="424"/>
      <c r="S25" s="424"/>
      <c r="T25" s="425"/>
      <c r="U25" s="275" t="s">
        <v>401</v>
      </c>
      <c r="V25" s="273"/>
      <c r="W25" s="273"/>
      <c r="X25" s="273"/>
      <c r="Y25" s="273"/>
      <c r="Z25" s="274"/>
      <c r="AA25" s="275" t="s">
        <v>400</v>
      </c>
      <c r="AB25" s="277" t="s">
        <v>399</v>
      </c>
      <c r="AC25" s="279" t="s">
        <v>398</v>
      </c>
      <c r="AD25" s="279" t="s">
        <v>306</v>
      </c>
      <c r="AE25" s="279" t="s">
        <v>397</v>
      </c>
      <c r="AF25" s="281" t="s">
        <v>396</v>
      </c>
      <c r="AG25" s="279" t="s">
        <v>395</v>
      </c>
      <c r="AH25" s="281" t="s">
        <v>394</v>
      </c>
      <c r="AI25" s="279" t="s">
        <v>393</v>
      </c>
      <c r="AJ25" s="282" t="s">
        <v>392</v>
      </c>
    </row>
    <row r="26" spans="2:36" s="46" customFormat="1" ht="37.5" customHeight="1" x14ac:dyDescent="0.25">
      <c r="B26" s="264"/>
      <c r="C26" s="267"/>
      <c r="D26" s="88" t="s">
        <v>391</v>
      </c>
      <c r="E26" s="85" t="s">
        <v>390</v>
      </c>
      <c r="F26" s="85" t="s">
        <v>389</v>
      </c>
      <c r="G26" s="85" t="s">
        <v>388</v>
      </c>
      <c r="H26" s="85" t="s">
        <v>379</v>
      </c>
      <c r="I26" s="66" t="s">
        <v>378</v>
      </c>
      <c r="J26" s="88" t="s">
        <v>382</v>
      </c>
      <c r="K26" s="85" t="s">
        <v>381</v>
      </c>
      <c r="L26" s="85" t="s">
        <v>380</v>
      </c>
      <c r="M26" s="85" t="s">
        <v>387</v>
      </c>
      <c r="N26" s="85" t="s">
        <v>387</v>
      </c>
      <c r="O26" s="85" t="s">
        <v>379</v>
      </c>
      <c r="P26" s="85" t="s">
        <v>386</v>
      </c>
      <c r="Q26" s="85" t="s">
        <v>385</v>
      </c>
      <c r="R26" s="85" t="s">
        <v>378</v>
      </c>
      <c r="S26" s="85" t="s">
        <v>384</v>
      </c>
      <c r="T26" s="87" t="s">
        <v>383</v>
      </c>
      <c r="U26" s="88" t="s">
        <v>382</v>
      </c>
      <c r="V26" s="65" t="s">
        <v>381</v>
      </c>
      <c r="W26" s="85" t="s">
        <v>380</v>
      </c>
      <c r="X26" s="85" t="s">
        <v>379</v>
      </c>
      <c r="Y26" s="85" t="s">
        <v>378</v>
      </c>
      <c r="Z26" s="87" t="s">
        <v>377</v>
      </c>
      <c r="AA26" s="276"/>
      <c r="AB26" s="278"/>
      <c r="AC26" s="280"/>
      <c r="AD26" s="280"/>
      <c r="AE26" s="280"/>
      <c r="AF26" s="280"/>
      <c r="AG26" s="280"/>
      <c r="AH26" s="280"/>
      <c r="AI26" s="280"/>
      <c r="AJ26" s="283"/>
    </row>
    <row r="27" spans="2:36" s="46" customFormat="1" ht="17.5" customHeight="1" x14ac:dyDescent="0.25">
      <c r="B27" s="284" t="s">
        <v>460</v>
      </c>
      <c r="C27" s="285" t="s">
        <v>376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373</v>
      </c>
      <c r="AD27" s="49" t="s">
        <v>297</v>
      </c>
      <c r="AE27" s="48" t="s">
        <v>373</v>
      </c>
      <c r="AF27" s="47" t="s">
        <v>375</v>
      </c>
      <c r="AG27" s="49" t="s">
        <v>297</v>
      </c>
      <c r="AH27" s="47" t="s">
        <v>374</v>
      </c>
      <c r="AI27" s="48" t="s">
        <v>373</v>
      </c>
      <c r="AJ27" s="61" t="s">
        <v>373</v>
      </c>
    </row>
    <row r="28" spans="2:36" s="146" customFormat="1" ht="24" customHeight="1" x14ac:dyDescent="0.25">
      <c r="B28" s="263"/>
      <c r="C28" s="266"/>
      <c r="D28" s="135">
        <v>310</v>
      </c>
      <c r="E28" s="136">
        <f>K28+V28</f>
        <v>83.09999084472656</v>
      </c>
      <c r="F28" s="154" t="str">
        <f>IF(D28="","",IF(D7="","",IF(D28=(D7+D28)/2,"--",IF(D28&gt;=(D7+D28)/2,"↑","↓"))))</f>
        <v/>
      </c>
      <c r="G28" s="136">
        <v>0</v>
      </c>
      <c r="H28" s="136">
        <v>28.80645179748535</v>
      </c>
      <c r="I28" s="137">
        <v>0</v>
      </c>
      <c r="J28" s="138">
        <v>130</v>
      </c>
      <c r="K28" s="139">
        <v>27.299999237060547</v>
      </c>
      <c r="L28" s="139">
        <v>21</v>
      </c>
      <c r="M28" s="139"/>
      <c r="N28" s="139"/>
      <c r="O28" s="139">
        <v>23</v>
      </c>
      <c r="P28" s="139"/>
      <c r="Q28" s="139"/>
      <c r="R28" s="139">
        <v>25</v>
      </c>
      <c r="S28" s="139"/>
      <c r="T28" s="140"/>
      <c r="U28" s="138">
        <v>180</v>
      </c>
      <c r="V28" s="141">
        <v>55.79999923706055</v>
      </c>
      <c r="W28" s="136">
        <v>31</v>
      </c>
      <c r="X28" s="136">
        <v>33</v>
      </c>
      <c r="Y28" s="136">
        <v>35</v>
      </c>
      <c r="Z28" s="142">
        <f>U28/D28</f>
        <v>0.29032257199287415</v>
      </c>
      <c r="AA28" s="143"/>
      <c r="AB28" s="136"/>
      <c r="AC28" s="136"/>
      <c r="AD28" s="136"/>
      <c r="AE28" s="144"/>
      <c r="AF28" s="144"/>
      <c r="AG28" s="144"/>
      <c r="AH28" s="144"/>
      <c r="AI28" s="144"/>
      <c r="AJ28" s="145"/>
    </row>
    <row r="29" spans="2:36" s="46" customFormat="1" ht="17.5" customHeight="1" x14ac:dyDescent="0.25">
      <c r="B29" s="263"/>
      <c r="C29" s="266"/>
      <c r="D29" s="275" t="s">
        <v>372</v>
      </c>
      <c r="E29" s="273"/>
      <c r="F29" s="274"/>
      <c r="G29" s="275" t="s">
        <v>371</v>
      </c>
      <c r="H29" s="273"/>
      <c r="I29" s="273"/>
      <c r="J29" s="273"/>
      <c r="K29" s="273"/>
      <c r="L29" s="273"/>
      <c r="M29" s="273"/>
      <c r="N29" s="273"/>
      <c r="O29" s="274"/>
      <c r="P29" s="275" t="s">
        <v>370</v>
      </c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4"/>
      <c r="AE29" s="286" t="s">
        <v>336</v>
      </c>
      <c r="AF29" s="273"/>
      <c r="AG29" s="273"/>
      <c r="AH29" s="273"/>
      <c r="AI29" s="273"/>
      <c r="AJ29" s="274"/>
    </row>
    <row r="30" spans="2:36" s="46" customFormat="1" ht="15" customHeight="1" x14ac:dyDescent="0.25">
      <c r="B30" s="263"/>
      <c r="C30" s="266"/>
      <c r="D30" s="287" t="s">
        <v>369</v>
      </c>
      <c r="E30" s="288" t="s">
        <v>368</v>
      </c>
      <c r="F30" s="289" t="s">
        <v>367</v>
      </c>
      <c r="G30" s="287" t="s">
        <v>366</v>
      </c>
      <c r="H30" s="280"/>
      <c r="I30" s="290" t="s">
        <v>365</v>
      </c>
      <c r="J30" s="290" t="s">
        <v>364</v>
      </c>
      <c r="K30" s="290" t="s">
        <v>363</v>
      </c>
      <c r="L30" s="290" t="s">
        <v>362</v>
      </c>
      <c r="M30" s="290" t="s">
        <v>361</v>
      </c>
      <c r="N30" s="290" t="s">
        <v>360</v>
      </c>
      <c r="O30" s="292" t="s">
        <v>359</v>
      </c>
      <c r="P30" s="287" t="s">
        <v>358</v>
      </c>
      <c r="Q30" s="280"/>
      <c r="R30" s="288" t="s">
        <v>357</v>
      </c>
      <c r="S30" s="280"/>
      <c r="T30" s="280"/>
      <c r="U30" s="288" t="s">
        <v>356</v>
      </c>
      <c r="V30" s="294" t="s">
        <v>355</v>
      </c>
      <c r="W30" s="280"/>
      <c r="X30" s="294" t="s">
        <v>354</v>
      </c>
      <c r="Y30" s="280"/>
      <c r="Z30" s="280"/>
      <c r="AA30" s="294" t="s">
        <v>353</v>
      </c>
      <c r="AB30" s="288" t="s">
        <v>352</v>
      </c>
      <c r="AC30" s="291" t="s">
        <v>351</v>
      </c>
      <c r="AD30" s="289" t="s">
        <v>350</v>
      </c>
      <c r="AE30" s="293" t="s">
        <v>349</v>
      </c>
      <c r="AF30" s="280"/>
      <c r="AG30" s="280"/>
      <c r="AH30" s="290" t="s">
        <v>332</v>
      </c>
      <c r="AI30" s="280"/>
      <c r="AJ30" s="283"/>
    </row>
    <row r="31" spans="2:36" s="46" customFormat="1" ht="15" customHeight="1" x14ac:dyDescent="0.25">
      <c r="B31" s="263"/>
      <c r="C31" s="266"/>
      <c r="D31" s="276"/>
      <c r="E31" s="280"/>
      <c r="F31" s="283"/>
      <c r="G31" s="86" t="s">
        <v>348</v>
      </c>
      <c r="H31" s="83" t="s">
        <v>347</v>
      </c>
      <c r="I31" s="280"/>
      <c r="J31" s="280"/>
      <c r="K31" s="280"/>
      <c r="L31" s="280"/>
      <c r="M31" s="280"/>
      <c r="N31" s="280"/>
      <c r="O31" s="283"/>
      <c r="P31" s="86" t="s">
        <v>346</v>
      </c>
      <c r="Q31" s="83" t="s">
        <v>345</v>
      </c>
      <c r="R31" s="83" t="s">
        <v>345</v>
      </c>
      <c r="S31" s="83" t="s">
        <v>344</v>
      </c>
      <c r="T31" s="82" t="s">
        <v>343</v>
      </c>
      <c r="U31" s="280"/>
      <c r="V31" s="82" t="s">
        <v>346</v>
      </c>
      <c r="W31" s="83" t="s">
        <v>345</v>
      </c>
      <c r="X31" s="82" t="s">
        <v>345</v>
      </c>
      <c r="Y31" s="83" t="s">
        <v>344</v>
      </c>
      <c r="Z31" s="82" t="s">
        <v>343</v>
      </c>
      <c r="AA31" s="280"/>
      <c r="AB31" s="280"/>
      <c r="AC31" s="280"/>
      <c r="AD31" s="283"/>
      <c r="AE31" s="88" t="s">
        <v>1</v>
      </c>
      <c r="AF31" s="85" t="s">
        <v>12</v>
      </c>
      <c r="AG31" s="85" t="s">
        <v>15</v>
      </c>
      <c r="AH31" s="52" t="s">
        <v>103</v>
      </c>
      <c r="AI31" s="85" t="s">
        <v>342</v>
      </c>
      <c r="AJ31" s="84" t="s">
        <v>341</v>
      </c>
    </row>
    <row r="32" spans="2:36" s="46" customFormat="1" ht="17.5" customHeight="1" x14ac:dyDescent="0.25">
      <c r="B32" s="263"/>
      <c r="C32" s="266"/>
      <c r="D32" s="86" t="s">
        <v>4</v>
      </c>
      <c r="E32" s="83" t="s">
        <v>4</v>
      </c>
      <c r="F32" s="84" t="s">
        <v>4</v>
      </c>
      <c r="G32" s="50" t="s">
        <v>299</v>
      </c>
      <c r="H32" s="49" t="s">
        <v>283</v>
      </c>
      <c r="I32" s="49" t="s">
        <v>340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340</v>
      </c>
      <c r="AB32" s="58" t="s">
        <v>339</v>
      </c>
      <c r="AC32" s="58" t="s">
        <v>339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46" customFormat="1" ht="24" customHeight="1" x14ac:dyDescent="0.25">
      <c r="B33" s="263"/>
      <c r="C33" s="266"/>
      <c r="D33" s="143" t="s">
        <v>338</v>
      </c>
      <c r="E33" s="147"/>
      <c r="F33" s="148"/>
      <c r="G33" s="135">
        <v>0</v>
      </c>
      <c r="H33" s="136">
        <v>413.7193298339844</v>
      </c>
      <c r="I33" s="136">
        <v>0</v>
      </c>
      <c r="J33" s="136">
        <v>8.138021075865254E-05</v>
      </c>
      <c r="K33" s="136">
        <v>11.40649127960205</v>
      </c>
      <c r="L33" s="136">
        <v>-0.01030092965811491</v>
      </c>
      <c r="M33" s="136">
        <v>22.267431259155273</v>
      </c>
      <c r="N33" s="136">
        <v>12.504220008850098</v>
      </c>
      <c r="O33" s="142">
        <v>-0.006410952191799879</v>
      </c>
      <c r="P33" s="419">
        <v>29.1</v>
      </c>
      <c r="Q33" s="420" t="s">
        <v>337</v>
      </c>
      <c r="R33" s="136">
        <v>11</v>
      </c>
      <c r="S33" s="136">
        <f>R33-33.1</f>
        <v>-33.1</v>
      </c>
      <c r="T33" s="154" t="str">
        <f>IF(S33&gt;=0,"↑","↓")</f>
        <v>↓</v>
      </c>
      <c r="U33" s="144">
        <v>18</v>
      </c>
      <c r="V33" s="420">
        <v>1.6</v>
      </c>
      <c r="W33" s="420">
        <v>17.600000000000001</v>
      </c>
      <c r="X33" s="136">
        <v>13</v>
      </c>
      <c r="Y33" s="136">
        <f>X33-W33</f>
        <v>-17.600000000000001</v>
      </c>
      <c r="Z33" s="154" t="str">
        <f>IF(Y33&gt;=0,"↑","↓")</f>
        <v>↓</v>
      </c>
      <c r="AA33" s="420">
        <v>6.28</v>
      </c>
      <c r="AB33" s="136">
        <v>0</v>
      </c>
      <c r="AC33" s="136">
        <f>AB33-AA33</f>
        <v>-6.28</v>
      </c>
      <c r="AD33" s="154" t="str">
        <f>IF(AC33&gt;=0,"↑","↓")</f>
        <v>↓</v>
      </c>
      <c r="AE33" s="149"/>
      <c r="AF33" s="136"/>
      <c r="AG33" s="144"/>
      <c r="AH33" s="144">
        <v>1</v>
      </c>
      <c r="AI33" s="144">
        <v>2</v>
      </c>
      <c r="AJ33" s="145">
        <v>3</v>
      </c>
    </row>
    <row r="34" spans="2:36" s="46" customFormat="1" ht="15" customHeight="1" x14ac:dyDescent="0.25">
      <c r="B34" s="263"/>
      <c r="C34" s="266"/>
      <c r="D34" s="275" t="s">
        <v>336</v>
      </c>
      <c r="E34" s="274"/>
      <c r="F34" s="275" t="s">
        <v>335</v>
      </c>
      <c r="G34" s="273"/>
      <c r="H34" s="273"/>
      <c r="I34" s="273"/>
      <c r="J34" s="273"/>
      <c r="K34" s="273"/>
      <c r="L34" s="273"/>
      <c r="M34" s="274"/>
      <c r="N34" s="275" t="s">
        <v>334</v>
      </c>
      <c r="O34" s="273"/>
      <c r="P34" s="273"/>
      <c r="Q34" s="273"/>
      <c r="R34" s="273"/>
      <c r="S34" s="273"/>
      <c r="T34" s="273"/>
      <c r="U34" s="274"/>
      <c r="V34" s="286" t="s">
        <v>333</v>
      </c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4"/>
    </row>
    <row r="35" spans="2:36" s="46" customFormat="1" ht="15" customHeight="1" x14ac:dyDescent="0.25">
      <c r="B35" s="263"/>
      <c r="C35" s="266"/>
      <c r="D35" s="287" t="s">
        <v>332</v>
      </c>
      <c r="E35" s="283"/>
      <c r="F35" s="287" t="s">
        <v>331</v>
      </c>
      <c r="G35" s="280"/>
      <c r="H35" s="280"/>
      <c r="I35" s="280"/>
      <c r="J35" s="280"/>
      <c r="K35" s="290" t="s">
        <v>330</v>
      </c>
      <c r="L35" s="280"/>
      <c r="M35" s="283"/>
      <c r="N35" s="287" t="s">
        <v>329</v>
      </c>
      <c r="O35" s="280"/>
      <c r="P35" s="280"/>
      <c r="Q35" s="280"/>
      <c r="R35" s="280"/>
      <c r="S35" s="288" t="s">
        <v>328</v>
      </c>
      <c r="T35" s="280"/>
      <c r="U35" s="283"/>
      <c r="V35" s="293" t="s">
        <v>327</v>
      </c>
      <c r="W35" s="280"/>
      <c r="X35" s="280"/>
      <c r="Y35" s="280"/>
      <c r="Z35" s="290" t="s">
        <v>326</v>
      </c>
      <c r="AA35" s="280"/>
      <c r="AB35" s="280"/>
      <c r="AC35" s="280"/>
      <c r="AD35" s="280"/>
      <c r="AE35" s="280"/>
      <c r="AF35" s="280"/>
      <c r="AG35" s="280"/>
      <c r="AH35" s="280"/>
      <c r="AI35" s="280"/>
      <c r="AJ35" s="283"/>
    </row>
    <row r="36" spans="2:36" s="46" customFormat="1" ht="25" customHeight="1" x14ac:dyDescent="0.25">
      <c r="B36" s="263"/>
      <c r="C36" s="266"/>
      <c r="D36" s="86" t="s">
        <v>325</v>
      </c>
      <c r="E36" s="84" t="s">
        <v>322</v>
      </c>
      <c r="F36" s="86" t="s">
        <v>324</v>
      </c>
      <c r="G36" s="83" t="s">
        <v>317</v>
      </c>
      <c r="H36" s="83" t="s">
        <v>323</v>
      </c>
      <c r="I36" s="85" t="s">
        <v>15</v>
      </c>
      <c r="J36" s="52" t="s">
        <v>322</v>
      </c>
      <c r="K36" s="85" t="s">
        <v>321</v>
      </c>
      <c r="L36" s="85" t="s">
        <v>320</v>
      </c>
      <c r="M36" s="84" t="s">
        <v>319</v>
      </c>
      <c r="N36" s="86" t="s">
        <v>324</v>
      </c>
      <c r="O36" s="83" t="s">
        <v>317</v>
      </c>
      <c r="P36" s="83" t="s">
        <v>323</v>
      </c>
      <c r="Q36" s="83" t="s">
        <v>15</v>
      </c>
      <c r="R36" s="82" t="s">
        <v>322</v>
      </c>
      <c r="S36" s="85" t="s">
        <v>321</v>
      </c>
      <c r="T36" s="85" t="s">
        <v>320</v>
      </c>
      <c r="U36" s="84" t="s">
        <v>319</v>
      </c>
      <c r="V36" s="88" t="s">
        <v>318</v>
      </c>
      <c r="W36" s="85" t="s">
        <v>317</v>
      </c>
      <c r="X36" s="85" t="s">
        <v>316</v>
      </c>
      <c r="Y36" s="85" t="s">
        <v>315</v>
      </c>
      <c r="Z36" s="85" t="s">
        <v>314</v>
      </c>
      <c r="AA36" s="85" t="s">
        <v>313</v>
      </c>
      <c r="AB36" s="85" t="s">
        <v>312</v>
      </c>
      <c r="AC36" s="85" t="s">
        <v>311</v>
      </c>
      <c r="AD36" s="85" t="s">
        <v>310</v>
      </c>
      <c r="AE36" s="85" t="s">
        <v>309</v>
      </c>
      <c r="AF36" s="85" t="s">
        <v>308</v>
      </c>
      <c r="AG36" s="85" t="s">
        <v>307</v>
      </c>
      <c r="AH36" s="85" t="s">
        <v>306</v>
      </c>
      <c r="AI36" s="85" t="s">
        <v>305</v>
      </c>
      <c r="AJ36" s="87" t="s">
        <v>304</v>
      </c>
    </row>
    <row r="37" spans="2:36" s="46" customFormat="1" ht="15" customHeight="1" x14ac:dyDescent="0.25">
      <c r="B37" s="263"/>
      <c r="C37" s="266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83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46" customFormat="1" ht="24" customHeight="1" x14ac:dyDescent="0.25">
      <c r="B38" s="263"/>
      <c r="C38" s="266"/>
      <c r="D38" s="149">
        <v>4</v>
      </c>
      <c r="E38" s="142">
        <v>5</v>
      </c>
      <c r="F38" s="149">
        <v>24.799715042114258</v>
      </c>
      <c r="G38" s="144">
        <v>30.63542366027832</v>
      </c>
      <c r="H38" s="144">
        <v>5.8357086181640625</v>
      </c>
      <c r="I38" s="136">
        <v>88.454345703125</v>
      </c>
      <c r="J38" s="136">
        <v>13.13733196258545</v>
      </c>
      <c r="K38" s="136">
        <v>27.299999237060547</v>
      </c>
      <c r="L38" s="136">
        <v>0</v>
      </c>
      <c r="M38" s="142">
        <v>25</v>
      </c>
      <c r="N38" s="135">
        <v>50</v>
      </c>
      <c r="O38" s="136">
        <v>0</v>
      </c>
      <c r="P38" s="136">
        <v>-50</v>
      </c>
      <c r="Q38" s="136">
        <v>50</v>
      </c>
      <c r="R38" s="136"/>
      <c r="S38" s="136">
        <v>55.79999923706055</v>
      </c>
      <c r="T38" s="136">
        <v>0</v>
      </c>
      <c r="U38" s="142">
        <v>35</v>
      </c>
      <c r="V38" s="135">
        <v>268.7488098144531</v>
      </c>
      <c r="W38" s="136">
        <v>19.781417846679688</v>
      </c>
      <c r="X38" s="136">
        <v>-0.003611883847042918</v>
      </c>
      <c r="Y38" s="136"/>
      <c r="Z38" s="136">
        <v>-2.0887603759765625</v>
      </c>
      <c r="AA38" s="136">
        <v>0</v>
      </c>
      <c r="AB38" s="136">
        <v>0</v>
      </c>
      <c r="AC38" s="136">
        <v>0</v>
      </c>
      <c r="AD38" s="136">
        <v>0.019817190244793892</v>
      </c>
      <c r="AE38" s="136" t="e">
        <f>Z38/AB38</f>
        <v>#DIV/0!</v>
      </c>
      <c r="AF38" s="136">
        <v>0</v>
      </c>
      <c r="AG38" s="136">
        <v>0.05000000819563866</v>
      </c>
      <c r="AH38" s="136" t="e">
        <f>AF38/(Z38-AB38)</f>
        <v>#DIV/0!</v>
      </c>
      <c r="AI38" s="420" t="s">
        <v>296</v>
      </c>
      <c r="AJ38" s="154" t="e">
        <f>IF((AH38-AI38)&gt;=0,"↑","↓")</f>
        <v>#DIV/0!</v>
      </c>
    </row>
    <row r="39" spans="2:36" s="46" customFormat="1" ht="15" customHeight="1" x14ac:dyDescent="0.25">
      <c r="B39" s="263"/>
      <c r="C39" s="266"/>
      <c r="D39" s="286" t="s">
        <v>295</v>
      </c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4"/>
      <c r="R39" s="89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95" t="s">
        <v>82</v>
      </c>
    </row>
    <row r="40" spans="2:36" s="46" customFormat="1" ht="15" customHeight="1" x14ac:dyDescent="0.25">
      <c r="B40" s="263"/>
      <c r="C40" s="266"/>
      <c r="D40" s="293" t="s">
        <v>294</v>
      </c>
      <c r="E40" s="280"/>
      <c r="F40" s="280"/>
      <c r="G40" s="290" t="s">
        <v>293</v>
      </c>
      <c r="H40" s="280"/>
      <c r="I40" s="280"/>
      <c r="J40" s="290" t="s">
        <v>292</v>
      </c>
      <c r="K40" s="280"/>
      <c r="L40" s="280"/>
      <c r="M40" s="290" t="s">
        <v>291</v>
      </c>
      <c r="N40" s="290" t="s">
        <v>290</v>
      </c>
      <c r="O40" s="290" t="s">
        <v>289</v>
      </c>
      <c r="P40" s="290" t="s">
        <v>225</v>
      </c>
      <c r="Q40" s="292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63"/>
      <c r="C41" s="266"/>
      <c r="D41" s="88" t="s">
        <v>287</v>
      </c>
      <c r="E41" s="85" t="s">
        <v>286</v>
      </c>
      <c r="F41" s="85" t="s">
        <v>285</v>
      </c>
      <c r="G41" s="85" t="s">
        <v>287</v>
      </c>
      <c r="H41" s="85" t="s">
        <v>286</v>
      </c>
      <c r="I41" s="85" t="s">
        <v>285</v>
      </c>
      <c r="J41" s="85" t="s">
        <v>287</v>
      </c>
      <c r="K41" s="85" t="s">
        <v>286</v>
      </c>
      <c r="L41" s="85" t="s">
        <v>285</v>
      </c>
      <c r="M41" s="280"/>
      <c r="N41" s="280"/>
      <c r="O41" s="280"/>
      <c r="P41" s="280"/>
      <c r="Q41" s="283"/>
      <c r="R41" s="86" t="s">
        <v>4</v>
      </c>
      <c r="S41" s="83" t="s">
        <v>4</v>
      </c>
      <c r="T41" s="83" t="s">
        <v>4</v>
      </c>
      <c r="U41" s="83" t="s">
        <v>82</v>
      </c>
      <c r="V41" s="83" t="s">
        <v>82</v>
      </c>
      <c r="W41" s="85" t="s">
        <v>82</v>
      </c>
      <c r="X41" s="83" t="s">
        <v>82</v>
      </c>
      <c r="Y41" s="83" t="s">
        <v>82</v>
      </c>
      <c r="Z41" s="85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63"/>
      <c r="C42" s="266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46" customFormat="1" ht="24" customHeight="1" x14ac:dyDescent="0.25">
      <c r="B43" s="303"/>
      <c r="C43" s="304"/>
      <c r="D43" s="135">
        <v>51</v>
      </c>
      <c r="E43" s="136">
        <v>57</v>
      </c>
      <c r="F43" s="136">
        <f>D43-E43</f>
        <v>0</v>
      </c>
      <c r="G43" s="136">
        <v>53</v>
      </c>
      <c r="H43" s="136">
        <v>59</v>
      </c>
      <c r="I43" s="136">
        <f>G43-H43</f>
        <v>0</v>
      </c>
      <c r="J43" s="136">
        <v>55</v>
      </c>
      <c r="K43" s="136">
        <v>61</v>
      </c>
      <c r="L43" s="136">
        <f>J43-K43</f>
        <v>0</v>
      </c>
      <c r="M43" s="136">
        <v>-5.941802978515625</v>
      </c>
      <c r="N43" s="136">
        <v>64</v>
      </c>
      <c r="O43" s="136" t="e">
        <f>N43/M43</f>
        <v>#DIV/0!</v>
      </c>
      <c r="P43" s="136">
        <v>62</v>
      </c>
      <c r="Q43" s="422">
        <v>301</v>
      </c>
      <c r="R43" s="135" t="s">
        <v>4</v>
      </c>
      <c r="S43" s="136" t="s">
        <v>4</v>
      </c>
      <c r="T43" s="136" t="s">
        <v>4</v>
      </c>
      <c r="U43" s="136" t="s">
        <v>82</v>
      </c>
      <c r="V43" s="136" t="s">
        <v>82</v>
      </c>
      <c r="W43" s="136" t="s">
        <v>82</v>
      </c>
      <c r="X43" s="136" t="s">
        <v>82</v>
      </c>
      <c r="Y43" s="136" t="s">
        <v>82</v>
      </c>
      <c r="Z43" s="136" t="s">
        <v>82</v>
      </c>
      <c r="AA43" s="136" t="s">
        <v>82</v>
      </c>
      <c r="AB43" s="136" t="s">
        <v>82</v>
      </c>
      <c r="AC43" s="136" t="s">
        <v>82</v>
      </c>
      <c r="AD43" s="136" t="s">
        <v>82</v>
      </c>
      <c r="AE43" s="144" t="s">
        <v>82</v>
      </c>
      <c r="AF43" s="144" t="s">
        <v>82</v>
      </c>
      <c r="AG43" s="144" t="s">
        <v>82</v>
      </c>
      <c r="AH43" s="144" t="s">
        <v>82</v>
      </c>
      <c r="AI43" s="144" t="s">
        <v>82</v>
      </c>
      <c r="AJ43" s="145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25" priority="19" aboveAverage="1" operator="equal">
      <formula>"↓"</formula>
    </cfRule>
    <cfRule type="cellIs" dxfId="24" priority="20" aboveAverage="1" operator="equal">
      <formula>"↑"</formula>
    </cfRule>
  </conditionalFormatting>
  <conditionalFormatting sqref="F28">
    <cfRule type="cellIs" dxfId="23" priority="17" aboveAverage="1" operator="equal">
      <formula>"↓"</formula>
    </cfRule>
    <cfRule type="cellIs" dxfId="22" priority="18" aboveAverage="1" operator="equal">
      <formula>"↑"</formula>
    </cfRule>
  </conditionalFormatting>
  <conditionalFormatting sqref="T12">
    <cfRule type="cellIs" dxfId="21" priority="15" aboveAverage="1" operator="equal">
      <formula>"↓"</formula>
    </cfRule>
    <cfRule type="cellIs" dxfId="20" priority="16" aboveAverage="1" operator="equal">
      <formula>"↑"</formula>
    </cfRule>
  </conditionalFormatting>
  <conditionalFormatting sqref="T33">
    <cfRule type="cellIs" dxfId="19" priority="13" aboveAverage="1" operator="equal">
      <formula>"↓"</formula>
    </cfRule>
    <cfRule type="cellIs" dxfId="18" priority="14" aboveAverage="1" operator="equal">
      <formula>"↑"</formula>
    </cfRule>
  </conditionalFormatting>
  <conditionalFormatting sqref="Z12">
    <cfRule type="cellIs" dxfId="17" priority="11" aboveAverage="1" operator="equal">
      <formula>"↓"</formula>
    </cfRule>
    <cfRule type="cellIs" dxfId="16" priority="12" aboveAverage="1" operator="equal">
      <formula>"↑"</formula>
    </cfRule>
  </conditionalFormatting>
  <conditionalFormatting sqref="Z33">
    <cfRule type="cellIs" dxfId="15" priority="9" aboveAverage="1" operator="equal">
      <formula>"↓"</formula>
    </cfRule>
    <cfRule type="cellIs" dxfId="14" priority="10" aboveAverage="1" operator="equal">
      <formula>"↑"</formula>
    </cfRule>
  </conditionalFormatting>
  <conditionalFormatting sqref="AD12">
    <cfRule type="cellIs" dxfId="13" priority="7" aboveAverage="1" operator="equal">
      <formula>"↓"</formula>
    </cfRule>
    <cfRule type="cellIs" dxfId="12" priority="8" aboveAverage="1" operator="equal">
      <formula>"↑"</formula>
    </cfRule>
  </conditionalFormatting>
  <conditionalFormatting sqref="AD33">
    <cfRule type="cellIs" dxfId="11" priority="5" aboveAverage="1" operator="equal">
      <formula>"↓"</formula>
    </cfRule>
    <cfRule type="cellIs" dxfId="10" priority="6" aboveAverage="1" operator="equal">
      <formula>"↑"</formula>
    </cfRule>
  </conditionalFormatting>
  <conditionalFormatting sqref="AJ17">
    <cfRule type="cellIs" dxfId="9" priority="3" aboveAverage="1" operator="equal">
      <formula>"↓"</formula>
    </cfRule>
    <cfRule type="cellIs" dxfId="8" priority="4" aboveAverage="1" operator="equal">
      <formula>"↑"</formula>
    </cfRule>
  </conditionalFormatting>
  <conditionalFormatting sqref="AJ38">
    <cfRule type="cellIs" dxfId="7" priority="1" aboveAverage="1" operator="equal">
      <formula>"↓"</formula>
    </cfRule>
    <cfRule type="cellIs" dxfId="6" priority="2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V24"/>
  <sheetViews>
    <sheetView tabSelected="1" topLeftCell="A3" zoomScale="85" zoomScaleNormal="85" workbookViewId="0">
      <selection activeCell="S9" sqref="S9:T9"/>
    </sheetView>
  </sheetViews>
  <sheetFormatPr defaultColWidth="9" defaultRowHeight="13" x14ac:dyDescent="0.3"/>
  <cols>
    <col min="1" max="1" width="2.08984375" style="72" customWidth="1"/>
    <col min="2" max="2" width="5.90625" style="72" customWidth="1"/>
    <col min="3" max="3" width="13" style="72" customWidth="1"/>
    <col min="4" max="5" width="7.08984375" style="72" customWidth="1"/>
    <col min="6" max="7" width="6.08984375" style="72" customWidth="1"/>
    <col min="8" max="9" width="5.08984375" style="103" customWidth="1"/>
    <col min="10" max="11" width="6.08984375" style="72" customWidth="1"/>
    <col min="12" max="13" width="7.54296875" style="72" customWidth="1"/>
    <col min="14" max="18" width="6.08984375" style="72" customWidth="1"/>
    <col min="19" max="19" width="5.08984375" style="72" hidden="1" customWidth="1"/>
    <col min="20" max="20" width="25.26953125" style="72" customWidth="1"/>
    <col min="21" max="21" width="16.7265625" style="72" customWidth="1"/>
  </cols>
  <sheetData>
    <row r="1" spans="2:21" ht="25" customHeight="1" thickBot="1" x14ac:dyDescent="0.35">
      <c r="B1" s="71"/>
      <c r="C1" s="71"/>
      <c r="D1" s="71"/>
      <c r="E1" s="71"/>
      <c r="F1" s="71"/>
      <c r="G1" s="71"/>
      <c r="H1" s="102"/>
      <c r="I1" s="102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2:21" ht="35.15" customHeight="1" x14ac:dyDescent="0.3">
      <c r="B2" s="305" t="s">
        <v>409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7"/>
    </row>
    <row r="3" spans="2:21" ht="35.15" customHeight="1" x14ac:dyDescent="0.3">
      <c r="B3" s="308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10"/>
    </row>
    <row r="4" spans="2:21" s="73" customFormat="1" ht="35.15" customHeight="1" x14ac:dyDescent="0.35">
      <c r="B4" s="80" t="s">
        <v>454</v>
      </c>
      <c r="C4" s="319" t="s">
        <v>460</v>
      </c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1"/>
      <c r="T4" s="81" t="s">
        <v>453</v>
      </c>
      <c r="U4" s="79"/>
    </row>
    <row r="5" spans="2:21" s="75" customFormat="1" ht="40" customHeight="1" x14ac:dyDescent="0.25">
      <c r="B5" s="311" t="s">
        <v>410</v>
      </c>
      <c r="C5" s="312"/>
      <c r="D5" s="313"/>
      <c r="E5" s="74" t="s">
        <v>411</v>
      </c>
      <c r="F5" s="314" t="s">
        <v>412</v>
      </c>
      <c r="G5" s="315"/>
      <c r="H5" s="314" t="s">
        <v>413</v>
      </c>
      <c r="I5" s="315"/>
      <c r="J5" s="316" t="s">
        <v>414</v>
      </c>
      <c r="K5" s="317"/>
      <c r="L5" s="317"/>
      <c r="M5" s="317"/>
      <c r="N5" s="317"/>
      <c r="O5" s="317"/>
      <c r="P5" s="317"/>
      <c r="Q5" s="317"/>
      <c r="R5" s="315"/>
      <c r="S5" s="314" t="s">
        <v>415</v>
      </c>
      <c r="T5" s="318"/>
    </row>
    <row r="6" spans="2:21" s="73" customFormat="1" ht="35.15" customHeight="1" x14ac:dyDescent="0.35">
      <c r="B6" s="322" t="s">
        <v>416</v>
      </c>
      <c r="C6" s="323"/>
      <c r="D6" s="323"/>
      <c r="E6" s="76" t="s">
        <v>417</v>
      </c>
      <c r="F6" s="324" t="s">
        <v>418</v>
      </c>
      <c r="G6" s="325"/>
      <c r="H6" s="326">
        <v>1</v>
      </c>
      <c r="I6" s="327"/>
      <c r="J6" s="328"/>
      <c r="K6" s="329"/>
      <c r="L6" s="329"/>
      <c r="M6" s="329"/>
      <c r="N6" s="329"/>
      <c r="O6" s="329"/>
      <c r="P6" s="329"/>
      <c r="Q6" s="329"/>
      <c r="R6" s="329"/>
      <c r="S6" s="328"/>
      <c r="T6" s="330"/>
    </row>
    <row r="7" spans="2:21" s="73" customFormat="1" ht="35.15" customHeight="1" x14ac:dyDescent="0.35">
      <c r="B7" s="322" t="s">
        <v>419</v>
      </c>
      <c r="C7" s="323"/>
      <c r="D7" s="323"/>
      <c r="E7" s="76" t="s">
        <v>417</v>
      </c>
      <c r="F7" s="324" t="s">
        <v>418</v>
      </c>
      <c r="G7" s="325"/>
      <c r="H7" s="326">
        <v>0</v>
      </c>
      <c r="I7" s="327"/>
      <c r="J7" s="328"/>
      <c r="K7" s="329"/>
      <c r="L7" s="329"/>
      <c r="M7" s="329"/>
      <c r="N7" s="329"/>
      <c r="O7" s="329"/>
      <c r="P7" s="329"/>
      <c r="Q7" s="329"/>
      <c r="R7" s="329"/>
      <c r="S7" s="328"/>
      <c r="T7" s="330"/>
    </row>
    <row r="8" spans="2:21" s="73" customFormat="1" ht="35.15" customHeight="1" x14ac:dyDescent="0.35">
      <c r="B8" s="331" t="s">
        <v>420</v>
      </c>
      <c r="C8" s="332"/>
      <c r="D8" s="332"/>
      <c r="E8" s="77" t="s">
        <v>417</v>
      </c>
      <c r="F8" s="333" t="s">
        <v>418</v>
      </c>
      <c r="G8" s="334"/>
      <c r="H8" s="326">
        <v>0</v>
      </c>
      <c r="I8" s="327"/>
      <c r="J8" s="335"/>
      <c r="K8" s="336"/>
      <c r="L8" s="336"/>
      <c r="M8" s="336"/>
      <c r="N8" s="336"/>
      <c r="O8" s="336"/>
      <c r="P8" s="336"/>
      <c r="Q8" s="336"/>
      <c r="R8" s="336"/>
      <c r="S8" s="335"/>
      <c r="T8" s="337"/>
    </row>
    <row r="9" spans="2:21" s="75" customFormat="1" ht="40" customHeight="1" x14ac:dyDescent="0.25">
      <c r="B9" s="311" t="s">
        <v>421</v>
      </c>
      <c r="C9" s="312"/>
      <c r="D9" s="313"/>
      <c r="E9" s="78" t="s">
        <v>411</v>
      </c>
      <c r="F9" s="314" t="s">
        <v>412</v>
      </c>
      <c r="G9" s="315"/>
      <c r="H9" s="314" t="s">
        <v>413</v>
      </c>
      <c r="I9" s="315"/>
      <c r="J9" s="316" t="s">
        <v>414</v>
      </c>
      <c r="K9" s="317"/>
      <c r="L9" s="317"/>
      <c r="M9" s="317"/>
      <c r="N9" s="317"/>
      <c r="O9" s="317"/>
      <c r="P9" s="317"/>
      <c r="Q9" s="317"/>
      <c r="R9" s="315"/>
      <c r="S9" s="314" t="s">
        <v>415</v>
      </c>
      <c r="T9" s="318"/>
    </row>
    <row r="10" spans="2:21" s="73" customFormat="1" ht="35.15" customHeight="1" x14ac:dyDescent="0.35">
      <c r="B10" s="347" t="s">
        <v>422</v>
      </c>
      <c r="C10" s="348"/>
      <c r="D10" s="349"/>
      <c r="E10" s="76" t="s">
        <v>417</v>
      </c>
      <c r="F10" s="350">
        <v>1</v>
      </c>
      <c r="G10" s="351"/>
      <c r="H10" s="326">
        <v>1</v>
      </c>
      <c r="I10" s="327"/>
      <c r="J10" s="352"/>
      <c r="K10" s="353"/>
      <c r="L10" s="353"/>
      <c r="M10" s="353"/>
      <c r="N10" s="353"/>
      <c r="O10" s="353"/>
      <c r="P10" s="353"/>
      <c r="Q10" s="353"/>
      <c r="R10" s="354"/>
      <c r="S10" s="352"/>
      <c r="T10" s="355"/>
    </row>
    <row r="11" spans="2:21" s="73" customFormat="1" ht="35.15" customHeight="1" x14ac:dyDescent="0.35">
      <c r="B11" s="338" t="s">
        <v>423</v>
      </c>
      <c r="C11" s="339"/>
      <c r="D11" s="340"/>
      <c r="E11" s="77" t="s">
        <v>417</v>
      </c>
      <c r="F11" s="341">
        <v>1</v>
      </c>
      <c r="G11" s="342"/>
      <c r="H11" s="326">
        <v>0</v>
      </c>
      <c r="I11" s="327"/>
      <c r="J11" s="343"/>
      <c r="K11" s="344"/>
      <c r="L11" s="344"/>
      <c r="M11" s="344"/>
      <c r="N11" s="344"/>
      <c r="O11" s="344"/>
      <c r="P11" s="344"/>
      <c r="Q11" s="344"/>
      <c r="R11" s="345"/>
      <c r="S11" s="343"/>
      <c r="T11" s="346"/>
    </row>
    <row r="12" spans="2:21" s="75" customFormat="1" ht="50.15" customHeight="1" x14ac:dyDescent="0.25">
      <c r="B12" s="311" t="s">
        <v>424</v>
      </c>
      <c r="C12" s="312"/>
      <c r="D12" s="313"/>
      <c r="E12" s="316" t="s">
        <v>425</v>
      </c>
      <c r="F12" s="359"/>
      <c r="G12" s="360"/>
      <c r="H12" s="314" t="s">
        <v>426</v>
      </c>
      <c r="I12" s="315"/>
      <c r="J12" s="316" t="s">
        <v>414</v>
      </c>
      <c r="K12" s="317"/>
      <c r="L12" s="317"/>
      <c r="M12" s="317"/>
      <c r="N12" s="317"/>
      <c r="O12" s="317"/>
      <c r="P12" s="317"/>
      <c r="Q12" s="317"/>
      <c r="R12" s="315"/>
      <c r="S12" s="314" t="s">
        <v>415</v>
      </c>
      <c r="T12" s="318"/>
    </row>
    <row r="13" spans="2:21" s="73" customFormat="1" ht="50.15" customHeight="1" x14ac:dyDescent="0.35">
      <c r="B13" s="338" t="s">
        <v>427</v>
      </c>
      <c r="C13" s="339"/>
      <c r="D13" s="340"/>
      <c r="E13" s="356" t="s">
        <v>428</v>
      </c>
      <c r="F13" s="357"/>
      <c r="G13" s="358"/>
      <c r="H13" s="326">
        <v>0.5</v>
      </c>
      <c r="I13" s="327"/>
      <c r="J13" s="343"/>
      <c r="K13" s="344"/>
      <c r="L13" s="344"/>
      <c r="M13" s="344"/>
      <c r="N13" s="344"/>
      <c r="O13" s="344"/>
      <c r="P13" s="344"/>
      <c r="Q13" s="344"/>
      <c r="R13" s="345"/>
      <c r="S13" s="343"/>
      <c r="T13" s="346"/>
    </row>
    <row r="14" spans="2:21" s="75" customFormat="1" ht="50.15" customHeight="1" x14ac:dyDescent="0.25">
      <c r="B14" s="311" t="s">
        <v>429</v>
      </c>
      <c r="C14" s="312"/>
      <c r="D14" s="313"/>
      <c r="E14" s="316" t="s">
        <v>430</v>
      </c>
      <c r="F14" s="359"/>
      <c r="G14" s="359"/>
      <c r="H14" s="359"/>
      <c r="I14" s="360"/>
      <c r="J14" s="316" t="s">
        <v>414</v>
      </c>
      <c r="K14" s="317"/>
      <c r="L14" s="317"/>
      <c r="M14" s="317"/>
      <c r="N14" s="317"/>
      <c r="O14" s="317"/>
      <c r="P14" s="317"/>
      <c r="Q14" s="317"/>
      <c r="R14" s="315"/>
      <c r="S14" s="314" t="s">
        <v>415</v>
      </c>
      <c r="T14" s="318"/>
    </row>
    <row r="15" spans="2:21" s="73" customFormat="1" ht="35.15" customHeight="1" x14ac:dyDescent="0.35">
      <c r="B15" s="361" t="s">
        <v>431</v>
      </c>
      <c r="C15" s="362"/>
      <c r="D15" s="363"/>
      <c r="E15" s="367"/>
      <c r="F15" s="368"/>
      <c r="G15" s="368"/>
      <c r="H15" s="368"/>
      <c r="I15" s="369"/>
      <c r="J15" s="367"/>
      <c r="K15" s="368"/>
      <c r="L15" s="368"/>
      <c r="M15" s="368"/>
      <c r="N15" s="368"/>
      <c r="O15" s="368"/>
      <c r="P15" s="368"/>
      <c r="Q15" s="368"/>
      <c r="R15" s="369"/>
      <c r="S15" s="367"/>
      <c r="T15" s="373"/>
    </row>
    <row r="16" spans="2:21" s="73" customFormat="1" ht="35.15" customHeight="1" x14ac:dyDescent="0.35">
      <c r="B16" s="364"/>
      <c r="C16" s="365"/>
      <c r="D16" s="366"/>
      <c r="E16" s="370"/>
      <c r="F16" s="371"/>
      <c r="G16" s="371"/>
      <c r="H16" s="371"/>
      <c r="I16" s="372"/>
      <c r="J16" s="370"/>
      <c r="K16" s="371"/>
      <c r="L16" s="371"/>
      <c r="M16" s="371"/>
      <c r="N16" s="371"/>
      <c r="O16" s="371"/>
      <c r="P16" s="371"/>
      <c r="Q16" s="371"/>
      <c r="R16" s="372"/>
      <c r="S16" s="370"/>
      <c r="T16" s="374"/>
    </row>
    <row r="17" spans="2:20" s="73" customFormat="1" ht="45" customHeight="1" x14ac:dyDescent="0.35">
      <c r="B17" s="375" t="s">
        <v>432</v>
      </c>
      <c r="C17" s="376"/>
      <c r="D17" s="377"/>
      <c r="E17" s="381" t="s">
        <v>433</v>
      </c>
      <c r="F17" s="382"/>
      <c r="G17" s="382"/>
      <c r="H17" s="382"/>
      <c r="I17" s="383"/>
      <c r="J17" s="381" t="s">
        <v>414</v>
      </c>
      <c r="K17" s="382"/>
      <c r="L17" s="382"/>
      <c r="M17" s="382"/>
      <c r="N17" s="382"/>
      <c r="O17" s="382"/>
      <c r="P17" s="382"/>
      <c r="Q17" s="382"/>
      <c r="R17" s="383"/>
      <c r="S17" s="384" t="s">
        <v>434</v>
      </c>
      <c r="T17" s="385"/>
    </row>
    <row r="18" spans="2:20" s="73" customFormat="1" ht="45" customHeight="1" thickBot="1" x14ac:dyDescent="0.4">
      <c r="B18" s="378"/>
      <c r="C18" s="379"/>
      <c r="D18" s="380"/>
      <c r="E18" s="386" t="s">
        <v>435</v>
      </c>
      <c r="F18" s="387"/>
      <c r="G18" s="387"/>
      <c r="H18" s="387"/>
      <c r="I18" s="388"/>
      <c r="J18" s="389" t="s">
        <v>4</v>
      </c>
      <c r="K18" s="387"/>
      <c r="L18" s="387"/>
      <c r="M18" s="387"/>
      <c r="N18" s="387"/>
      <c r="O18" s="387"/>
      <c r="P18" s="387"/>
      <c r="Q18" s="387"/>
      <c r="R18" s="388"/>
      <c r="S18" s="390"/>
      <c r="T18" s="391"/>
    </row>
    <row r="19" spans="2:20" s="73" customFormat="1" ht="50.15" customHeight="1" x14ac:dyDescent="0.35">
      <c r="B19" s="392" t="s">
        <v>436</v>
      </c>
      <c r="C19" s="393"/>
      <c r="D19" s="393"/>
      <c r="E19" s="393"/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4"/>
    </row>
    <row r="20" spans="2:20" s="73" customFormat="1" ht="50.15" customHeight="1" x14ac:dyDescent="0.35">
      <c r="B20" s="395" t="s">
        <v>437</v>
      </c>
      <c r="C20" s="360"/>
      <c r="D20" s="396" t="s">
        <v>438</v>
      </c>
      <c r="E20" s="360"/>
      <c r="F20" s="396" t="s">
        <v>439</v>
      </c>
      <c r="G20" s="360"/>
      <c r="H20" s="396" t="s">
        <v>440</v>
      </c>
      <c r="I20" s="360"/>
      <c r="J20" s="396" t="s">
        <v>441</v>
      </c>
      <c r="K20" s="360"/>
      <c r="L20" s="396" t="s">
        <v>442</v>
      </c>
      <c r="M20" s="360"/>
      <c r="N20" s="396" t="s">
        <v>443</v>
      </c>
      <c r="O20" s="397"/>
      <c r="P20" s="398" t="s">
        <v>444</v>
      </c>
      <c r="Q20" s="359"/>
      <c r="R20" s="359"/>
      <c r="S20" s="359"/>
      <c r="T20" s="399"/>
    </row>
    <row r="21" spans="2:20" s="73" customFormat="1" ht="50.15" customHeight="1" x14ac:dyDescent="0.35">
      <c r="B21" s="411" t="s">
        <v>445</v>
      </c>
      <c r="C21" s="351"/>
      <c r="D21" s="400" t="s">
        <v>445</v>
      </c>
      <c r="E21" s="351"/>
      <c r="F21" s="400" t="s">
        <v>445</v>
      </c>
      <c r="G21" s="351"/>
      <c r="H21" s="400" t="s">
        <v>446</v>
      </c>
      <c r="I21" s="351"/>
      <c r="J21" s="400" t="s">
        <v>284</v>
      </c>
      <c r="K21" s="351"/>
      <c r="L21" s="400" t="s">
        <v>284</v>
      </c>
      <c r="M21" s="351"/>
      <c r="N21" s="400" t="s">
        <v>284</v>
      </c>
      <c r="O21" s="401"/>
      <c r="P21" s="402"/>
      <c r="Q21" s="401"/>
      <c r="R21" s="401"/>
      <c r="S21" s="401"/>
      <c r="T21" s="403"/>
    </row>
    <row r="22" spans="2:20" s="73" customFormat="1" ht="50.15" customHeight="1" x14ac:dyDescent="0.35">
      <c r="B22" s="407">
        <v>620</v>
      </c>
      <c r="C22" s="408"/>
      <c r="D22" s="409">
        <v>166.19998168945312</v>
      </c>
      <c r="E22" s="408"/>
      <c r="F22" s="409">
        <v>0</v>
      </c>
      <c r="G22" s="408"/>
      <c r="H22" s="409">
        <v>0</v>
      </c>
      <c r="I22" s="408"/>
      <c r="J22" s="409">
        <v>28.80645179748535</v>
      </c>
      <c r="K22" s="408"/>
      <c r="L22" s="409">
        <v>29.80645179748535</v>
      </c>
      <c r="M22" s="408"/>
      <c r="N22" s="409">
        <v>0</v>
      </c>
      <c r="O22" s="410"/>
      <c r="P22" s="404"/>
      <c r="Q22" s="353"/>
      <c r="R22" s="353"/>
      <c r="S22" s="353"/>
      <c r="T22" s="355"/>
    </row>
    <row r="23" spans="2:20" s="73" customFormat="1" ht="50.15" customHeight="1" x14ac:dyDescent="0.35">
      <c r="B23" s="395" t="s">
        <v>447</v>
      </c>
      <c r="C23" s="359"/>
      <c r="D23" s="360"/>
      <c r="E23" s="413"/>
      <c r="F23" s="360"/>
      <c r="G23" s="396" t="s">
        <v>448</v>
      </c>
      <c r="H23" s="359"/>
      <c r="I23" s="360"/>
      <c r="J23" s="413"/>
      <c r="K23" s="360"/>
      <c r="L23" s="396" t="s">
        <v>449</v>
      </c>
      <c r="M23" s="360"/>
      <c r="N23" s="413"/>
      <c r="O23" s="359"/>
      <c r="P23" s="404"/>
      <c r="Q23" s="353"/>
      <c r="R23" s="353"/>
      <c r="S23" s="353"/>
      <c r="T23" s="355"/>
    </row>
    <row r="24" spans="2:20" s="73" customFormat="1" ht="50.15" customHeight="1" thickBot="1" x14ac:dyDescent="0.4">
      <c r="B24" s="412" t="s">
        <v>450</v>
      </c>
      <c r="C24" s="387"/>
      <c r="D24" s="388"/>
      <c r="E24" s="389"/>
      <c r="F24" s="388"/>
      <c r="G24" s="386" t="s">
        <v>451</v>
      </c>
      <c r="H24" s="387"/>
      <c r="I24" s="388"/>
      <c r="J24" s="389"/>
      <c r="K24" s="388"/>
      <c r="L24" s="386" t="s">
        <v>452</v>
      </c>
      <c r="M24" s="388"/>
      <c r="N24" s="389"/>
      <c r="O24" s="387"/>
      <c r="P24" s="405"/>
      <c r="Q24" s="406"/>
      <c r="R24" s="406"/>
      <c r="S24" s="406"/>
      <c r="T24" s="391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5:D5"/>
    <mergeCell ref="F5:G5"/>
    <mergeCell ref="H5:I5"/>
    <mergeCell ref="J5:R5"/>
    <mergeCell ref="S5:T5"/>
    <mergeCell ref="C4:S4"/>
  </mergeCells>
  <phoneticPr fontId="1" type="noConversion"/>
  <conditionalFormatting sqref="H6:I6">
    <cfRule type="cellIs" dxfId="5" priority="6" aboveAverage="1" operator="greaterThanOrEqual">
      <formula>0.98</formula>
    </cfRule>
  </conditionalFormatting>
  <conditionalFormatting sqref="H7:I7">
    <cfRule type="cellIs" dxfId="4" priority="5" aboveAverage="1" operator="greaterThanOrEqual">
      <formula>0.98</formula>
    </cfRule>
  </conditionalFormatting>
  <conditionalFormatting sqref="H8:I8">
    <cfRule type="cellIs" dxfId="3" priority="4" aboveAverage="1" operator="greaterThanOrEqual">
      <formula>0.98</formula>
    </cfRule>
  </conditionalFormatting>
  <conditionalFormatting sqref="H10:I10">
    <cfRule type="cellIs" dxfId="2" priority="3" aboveAverage="1" operator="greaterThanOrEqual">
      <formula>0.98</formula>
    </cfRule>
  </conditionalFormatting>
  <conditionalFormatting sqref="H11:I11">
    <cfRule type="cellIs" dxfId="1" priority="2" aboveAverage="1" operator="greaterThanOrEqual">
      <formula>0.98</formula>
    </cfRule>
  </conditionalFormatting>
  <conditionalFormatting sqref="H13:I13">
    <cfRule type="cellIs" dxfId="0" priority="1" aboveAverage="1" operator="greaterThanOrEqual">
      <formula>0.98</formula>
    </cfRule>
  </conditionalFormatting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2026-05-12T07:45:42Z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