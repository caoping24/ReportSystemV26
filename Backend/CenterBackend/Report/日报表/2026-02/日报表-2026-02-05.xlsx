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57360" yWindow="-240" windowWidth="29280" windowHeight="16080" activeTab="4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1" l="1"/>
  <c r="E7" i="11"/>
  <c r="Z7" i="11"/>
  <c r="S12" i="11"/>
  <c r="Y12" i="11"/>
  <c r="AC12" i="11"/>
  <c r="H17" i="11"/>
  <c r="M17" i="11"/>
  <c r="P17" i="11"/>
  <c r="U17" i="11"/>
  <c r="AE17" i="11"/>
  <c r="AH17" i="11"/>
  <c r="F22" i="11"/>
  <c r="I22" i="11"/>
  <c r="L22" i="11"/>
  <c r="O22" i="11"/>
  <c r="D28" i="11"/>
  <c r="E28" i="11"/>
  <c r="Z28" i="11"/>
  <c r="S33" i="11"/>
  <c r="Y33" i="11"/>
  <c r="AC33" i="11"/>
  <c r="H38" i="11"/>
  <c r="M38" i="11"/>
  <c r="P38" i="11"/>
  <c r="U38" i="1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A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=日常手写记录表6，白班羟基乙腈单耗，直接读取</t>
        </r>
      </text>
    </comment>
    <comment ref="AB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=日常手写记录表6，白班液氨单耗，直接读取</t>
        </r>
      </text>
    </comment>
    <comment ref="AC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=日常手写记录表6，白班稀硫酸单耗，直接读取</t>
        </r>
      </text>
    </comment>
    <comment ref="AD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=日常手写记录表6，白班蒸汽单耗，直接读取</t>
        </r>
      </text>
    </comment>
    <comment ref="AE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=日常手写记录表6，白班反应蒸汽单耗，直接读取</t>
        </r>
      </text>
    </comment>
    <comment ref="AF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=日常手写记录表6，白班低蒸蒸汽单耗，直接读取</t>
        </r>
      </text>
    </comment>
    <comment ref="AG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=日常手写记录表6，白班脱盐水单耗，直接读取</t>
        </r>
      </text>
    </comment>
    <comment ref="AH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=日常手写记录表6，白班电单耗，直接读取</t>
        </r>
      </text>
    </comment>
    <comment ref="AI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=日常手写记录表6，白班废水单位排放，直接读取</t>
        </r>
      </text>
    </comment>
    <comment ref="AJ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=日常手写记录表6，白班废液单位排放，直接读取</t>
        </r>
      </text>
    </comment>
    <comment ref="D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一次产品产量+二次产品产量</t>
        </r>
      </text>
    </comment>
    <comment ref="E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一次产品折百产量+二次产品折百产量</t>
        </r>
      </text>
    </comment>
    <comment ref="F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以当天两班的平均产量为基准，高则上箭头，低则下箭头，上箭头为红色，下箭头为绿色</t>
        </r>
      </text>
    </comment>
    <comment ref="G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=日常手写记录表表3，白班班产与日平均产量的差额数值，直接读取</t>
        </r>
      </text>
    </comment>
    <comment ref="H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=日常手写记录表3中，白班合计中水分含量的平均值，直接读取</t>
        </r>
      </text>
    </comment>
    <comment ref="I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=日常手写记录表3中，白班合计中未知物含量的平均值，直接读取</t>
        </r>
      </text>
    </comment>
    <comment ref="J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=日常手写记录表3中，白班一次结晶物中产量班汇总数据，直接读取</t>
        </r>
      </text>
    </comment>
    <comment ref="K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=日常手写记录表3中，白班一次结晶物中折百产量班汇总数据，直接读取</t>
        </r>
      </text>
    </comment>
    <comment ref="L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=日常手写记录表3中，白班一次结晶物中二乙腈班平均数据，直接读取</t>
        </r>
      </text>
    </comment>
    <comment ref="M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=日常手写记录表3，白班一次结晶物中第一袋二乙腈含量，直接读取</t>
        </r>
      </text>
    </comment>
    <comment ref="N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=日常手写记录表3，白班一次结晶物中第二袋二乙腈含量，直接读取</t>
        </r>
      </text>
    </comment>
    <comment ref="O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=日常手写记录表3，白班一次结晶物中平均水分含量，直接读取</t>
        </r>
      </text>
    </comment>
    <comment ref="P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=日常手写记录表3，白班一次结晶物中第一袋含水率，直接读取</t>
        </r>
      </text>
    </comment>
    <comment ref="Q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=日常手写记录表3，白班一次结晶物中第一袋含水率，直接读取</t>
        </r>
      </text>
    </comment>
    <comment ref="R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=日常手写记录表3，白班一次结晶物中未知物平均含量，直接读取</t>
        </r>
      </text>
    </comment>
    <comment ref="S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=日常手写记录表3，白班一次结晶物中第一袋未知物含量，直接读取</t>
        </r>
      </text>
    </comment>
    <comment ref="T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=日常手写记录表3，白班一次结晶物中第二袋未知物含量，直接读取</t>
        </r>
      </text>
    </comment>
    <comment ref="U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=日常手写记录表3中，白班二次结晶物中产量班汇总数据，直接读取</t>
        </r>
      </text>
    </comment>
    <comment ref="V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=日常手写记录表3，白班二次结晶物中折百产量班汇总数据，直接读取</t>
        </r>
      </text>
    </comment>
    <comment ref="W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=日常手写记录表3中，白班二次结晶物中二乙腈班平均数据，直接读取
</t>
        </r>
      </text>
    </comment>
    <comment ref="X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=日常手写记录表3，白班二次结晶物中平均水分含量，直接读取</t>
        </r>
      </text>
    </comment>
    <comment ref="Y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=日常手写记录表3，白班二次结晶物中未知物平均含量，直接读取</t>
        </r>
      </text>
    </comment>
    <comment ref="Z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白班二次产品总量/白班总产量×100%</t>
        </r>
      </text>
    </comment>
    <comment ref="D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手工填写，设计的摩尔比理论值</t>
        </r>
      </text>
    </comment>
    <comment ref="E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3.3498×白班气氨质量用量（kg）/白班羟基乙腈有效成分质量消耗</t>
        </r>
      </text>
    </comment>
    <comment ref="F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以理论摩尔比为基准，正负波动2%内为持平，超则上箭头，低则下箭头</t>
        </r>
      </text>
    </comment>
    <comment ref="I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=FT-05141,班累计值除以当班时间</t>
        </r>
      </text>
    </comment>
    <comment ref="J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=FT-05142,班累计值除以当班时间</t>
        </r>
      </text>
    </comment>
    <comment ref="K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=TT-05312,班记录平均值</t>
        </r>
      </text>
    </comment>
    <comment ref="L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=PT-05311,班记录平均值</t>
        </r>
      </text>
    </comment>
    <comment ref="M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=TT-05300，班记录平均值</t>
        </r>
      </text>
    </comment>
    <comment ref="N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=PT-05317,班记录平均值</t>
        </r>
      </text>
    </comment>
    <comment ref="P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</t>
        </r>
      </text>
    </comment>
    <comment ref="U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=日常手写记录表2，白班反应液比重的平均值，直接读取</t>
        </r>
      </text>
    </comment>
    <comment ref="V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工艺设计值，固定不变</t>
        </r>
      </text>
    </comment>
    <comment ref="AA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工艺设计理论值，固定不变</t>
        </r>
      </text>
    </comment>
    <comment ref="AB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=稀硫酸实际耗量-稀硫酸设计耗量</t>
        </r>
      </text>
    </comment>
    <comment ref="A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=FT-05213,班累计值除以当班时间</t>
        </r>
      </text>
    </comment>
    <comment ref="H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=AT-04212,班记录数据的平均值</t>
        </r>
      </text>
    </comment>
    <comment ref="R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=日常手写记录表2，白班二乙腈含量化分的平均值，直接读取</t>
        </r>
      </text>
    </comment>
    <comment ref="S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=日常手写记录表2，白班羟基乙腈残余化分的平均值，直接读取</t>
        </r>
      </text>
    </comment>
    <comment ref="Y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以设计的值为基准，高则上箭头，低则下箭头，相等则横线</t>
        </r>
      </text>
    </comment>
    <comment ref="AE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=日常手写记录表1，白班COD平均值，直接读取</t>
        </r>
      </text>
    </comment>
    <comment ref="AI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=日常手写记录表1，白班总腈平均值，直接读取</t>
        </r>
      </text>
    </comment>
    <comment ref="AJ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=日常手写记录表1，白班氨氮平均值，直接读取</t>
        </r>
      </text>
    </comment>
    <comment ref="D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=日常手写记录表1，白班甲醛平均值，直接读取</t>
        </r>
      </text>
    </comment>
    <comment ref="E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=日常手写记录表1，白班pH平均值，直接读取</t>
        </r>
      </text>
    </comment>
    <comment ref="F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=TT-06125或TT-06135班记录的平均值</t>
        </r>
      </text>
    </comment>
    <comment ref="G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=TT-06171，班记录平均值</t>
        </r>
      </text>
    </comment>
    <comment ref="H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J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K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=日常手写记录表3，白班一次结晶物中二乙腈化分含量的平均值，直接读取</t>
        </r>
      </text>
    </comment>
    <comment ref="L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=日常手写记录表3，白班一次结晶物中水分含量的平均值，直接读取</t>
        </r>
      </text>
    </comment>
    <comment ref="M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=日常手写记录表3，白班一次结晶物中二乙腈+水含量的平均值，直接读取</t>
        </r>
      </text>
    </comment>
    <comment ref="N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=TT-08171，班记录取平均值</t>
        </r>
      </text>
    </comment>
    <comment ref="P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=物料温度-冷却水温度</t>
        </r>
      </text>
    </comment>
    <comment ref="Q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=LT-08181，班记录取平均值</t>
        </r>
      </text>
    </comment>
    <comment ref="R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=班记录数据取平均值</t>
        </r>
      </text>
    </comment>
    <comment ref="S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=日常手写记录表3，白班二次结晶物种二乙腈化分含量的平均值，直接读取</t>
        </r>
      </text>
    </comment>
    <comment ref="T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=日常手写记录表3，白班二次结晶物中水分含量的平均值，直接读取</t>
        </r>
      </text>
    </comment>
    <comment ref="U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=日常手写记录表3，白班二次结晶物中二乙腈+水含量的平均值，直接读取</t>
        </r>
      </text>
    </comment>
    <comment ref="V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=PT-07145,班记录取平均值</t>
        </r>
      </text>
    </comment>
    <comment ref="Y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=LT-07171，班记录取平均值</t>
        </r>
      </text>
    </comment>
    <comment ref="Z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=FT-07111,班累计值/当班时间</t>
        </r>
      </text>
    </comment>
    <comment ref="AB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</t>
        </r>
      </text>
    </comment>
    <comment ref="AC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=FT-07122,班累计值/当班时间</t>
        </r>
      </text>
    </comment>
    <comment ref="AD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=FT-07137，班每次出料记录比重取平均值，注意单位转化成g/L</t>
        </r>
      </text>
    </comment>
    <comment ref="AE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=班FT-07111进料总量/班FT-07122出料总量，取小数点后2位</t>
        </r>
      </text>
    </comment>
    <comment ref="AF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工艺设计的理论值，固定不变，人工填写</t>
        </r>
      </text>
    </comment>
    <comment ref="AJ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与设计的理论值比，低则下箭头，高则上箭头，相等则横线</t>
        </r>
      </text>
    </comment>
    <comment ref="M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AA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=日常手写记录表6，夜班羟基乙腈单耗，直接读取</t>
        </r>
      </text>
    </comment>
    <comment ref="AB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=日常手写记录表6，夜班液氨单耗，直接读取</t>
        </r>
      </text>
    </comment>
    <comment ref="AC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=日常手写记录表6，夜班稀硫酸单耗，直接读取</t>
        </r>
      </text>
    </comment>
    <comment ref="AD2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=日常手写记录表6，夜班蒸汽单耗，直接读取</t>
        </r>
      </text>
    </comment>
    <comment ref="AE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=日常手写记录表6，夜班反应蒸汽单耗，直接读取</t>
        </r>
      </text>
    </comment>
    <comment ref="AF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=日常手写记录表6，夜班低蒸蒸汽单耗，直接读取</t>
        </r>
      </text>
    </comment>
    <comment ref="AG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=日常手写记录表6，夜班脱盐水单耗，直接读取</t>
        </r>
      </text>
    </comment>
    <comment ref="AH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=日常手写记录表6，夜班电单耗，直接读取</t>
        </r>
      </text>
    </comment>
    <comment ref="AI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=日常手写记录表6，夜班废水单位排放，直接读取</t>
        </r>
      </text>
    </comment>
    <comment ref="AJ2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=日常手写记录表6，夜班废液单位排放，直接读取</t>
        </r>
      </text>
    </comment>
    <comment ref="D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一次产品产量+二次产品产量</t>
        </r>
      </text>
    </comment>
    <comment ref="E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一次产品折百产量+二次产品折百产量</t>
        </r>
      </text>
    </comment>
    <comment ref="F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以当天两班的平均产量为基准，高则上箭头，低则下箭头，上箭头为红色，下箭头为绿色</t>
        </r>
      </text>
    </comment>
    <comment ref="G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=日常手写记录表表3，夜班班产与日平均产量的差额数值，直接读取</t>
        </r>
      </text>
    </comment>
    <comment ref="H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=日常手写记录表3中，夜班合计中水分含量的平均值，直接读取</t>
        </r>
      </text>
    </comment>
    <comment ref="I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=日常手写记录表3中，夜班合计中未知物含量的平均值，直接读取</t>
        </r>
      </text>
    </comment>
    <comment ref="J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=日常手写记录表3中，夜班一次结晶物中产量班汇总数据，直接读取</t>
        </r>
      </text>
    </comment>
    <comment ref="K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=日常手写记录表3中，夜班一次结晶物中折百产量班汇总数据，直接读取</t>
        </r>
      </text>
    </comment>
    <comment ref="L2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=日常手写记录表3中，夜班一次结晶物中二乙腈班平均数据，直接读取</t>
        </r>
      </text>
    </comment>
    <comment ref="M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=日常手写记录表3，夜班一次结晶物中第一袋二乙腈含量，直接读取</t>
        </r>
      </text>
    </comment>
    <comment ref="N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=日常手写记录表3，夜班一次结晶物中第二袋二乙腈含量，直接读取</t>
        </r>
      </text>
    </comment>
    <comment ref="O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=日常手写记录表3，夜班一次结晶物中平均水分含量，直接读取</t>
        </r>
      </text>
    </comment>
    <comment ref="P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=日常手写记录表3，夜班一次结晶物中第一袋含水率，直接读取</t>
        </r>
      </text>
    </comment>
    <comment ref="Q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=日常手写记录表3，夜班一次结晶物中第一袋含水率，直接读取</t>
        </r>
      </text>
    </comment>
    <comment ref="R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=日常手写记录表3，夜班一次结晶物中未知物平均含量，直接读取</t>
        </r>
      </text>
    </comment>
    <comment ref="S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=日常手写记录表3，夜班一次结晶物中第一袋未知物含量，直接读取</t>
        </r>
      </text>
    </comment>
    <comment ref="T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=日常手写记录表3，夜班一次结晶物中第二袋未知物含量，直接读取</t>
        </r>
      </text>
    </comment>
    <comment ref="U2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=日常手写记录表3中，夜班二次结晶物中产量班汇总数据，直接读取</t>
        </r>
      </text>
    </comment>
    <comment ref="V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=日常手写记录表3，夜班二次结晶物中折百产量班汇总数据，直接读取</t>
        </r>
      </text>
    </comment>
    <comment ref="W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=日常手写记录表3中，夜班二次结晶物中二乙腈班平均数据，直接读取
</t>
        </r>
      </text>
    </comment>
    <comment ref="X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=日常手写记录表3，夜班二次结晶物中平均水分含量，直接读取</t>
        </r>
      </text>
    </comment>
    <comment ref="Y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=日常手写记录表3，夜班二次结晶物中未知物平均含量，直接读取</t>
        </r>
      </text>
    </comment>
    <comment ref="Z2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白班二次产品总量/夜班总产量×100%</t>
        </r>
      </text>
    </comment>
    <comment ref="D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手工填写，设计的摩尔比理论值</t>
        </r>
      </text>
    </comment>
    <comment ref="E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3.3498×夜班气氨质量用量（kg）/夜班羟基乙腈有效成分质量消耗</t>
        </r>
      </text>
    </comment>
    <comment ref="F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以理论摩尔比为基准，正负波动2%内为持平，超则上箭头，低则下箭头</t>
        </r>
      </text>
    </comment>
    <comment ref="I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=FT-05141,班累计值除以当班时间</t>
        </r>
      </text>
    </comment>
    <comment ref="J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=FT-05142,班累计值除以当班时间</t>
        </r>
      </text>
    </comment>
    <comment ref="K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=TT-05312,班记录平均值</t>
        </r>
      </text>
    </comment>
    <comment ref="L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=PT-05311,班记录平均值</t>
        </r>
      </text>
    </comment>
    <comment ref="M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=TT-05300，班记录平均值</t>
        </r>
      </text>
    </comment>
    <comment ref="N3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=PT-05317,班记录平均值</t>
        </r>
      </text>
    </comment>
    <comment ref="P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</t>
        </r>
      </text>
    </comment>
    <comment ref="U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=日常手写记录表2，夜班反应液比重的平均值，直接读取</t>
        </r>
      </text>
    </comment>
    <comment ref="V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工艺设计值，固定不变</t>
        </r>
      </text>
    </comment>
    <comment ref="AA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工艺设计理论值，固定不变</t>
        </r>
      </text>
    </comment>
    <comment ref="AB3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=稀硫酸实际耗量-稀硫酸设计耗量</t>
        </r>
      </text>
    </comment>
    <comment ref="AD3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=FT-05213,班累计值除以当班时间</t>
        </r>
      </text>
    </comment>
    <comment ref="H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=AT-04212,班记录数据的平均值</t>
        </r>
      </text>
    </comment>
    <comment ref="R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=日常手写记录表2，夜班二乙腈含量化分的平均值，直接读取</t>
        </r>
      </text>
    </comment>
    <comment ref="S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=日常手写记录表2，夜班羟基乙腈残余化分的平均值，直接读取</t>
        </r>
      </text>
    </comment>
    <comment ref="Y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以设计的值为基准，高则上箭头，低则下箭头，相等则横线</t>
        </r>
      </text>
    </comment>
    <comment ref="AE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=日常手写记录表1，夜班COD平均值，直接读取</t>
        </r>
      </text>
    </comment>
    <comment ref="AI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=日常手写记录表1，夜班总腈平均值，直接读取</t>
        </r>
      </text>
    </comment>
    <comment ref="AJ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=日常手写记录表1，夜班氨氮平均值，直接读取</t>
        </r>
      </text>
    </comment>
    <comment ref="D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=日常手写记录表1，夜班甲醛平均值，直接读取</t>
        </r>
      </text>
    </comment>
    <comment ref="E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=日常手写记录表1，夜班pH平均值，直接读取</t>
        </r>
      </text>
    </comment>
    <comment ref="F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=TT-06125或TT-06135班记录的平均值</t>
        </r>
      </text>
    </comment>
    <comment ref="G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=TT-06171，班记录平均值</t>
        </r>
      </text>
    </comment>
    <comment ref="H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J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K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=日常手写记录表3，夜班一次结晶物中二乙腈化分含量的平均值，直接读取</t>
        </r>
      </text>
    </comment>
    <comment ref="L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=日常手写记录表3，夜班一次结晶物中水分含量的平均值，直接读取</t>
        </r>
      </text>
    </comment>
    <comment ref="M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=日常手写记录表3，夜班一次结晶物中二乙腈+水含量的平均值，直接读取</t>
        </r>
      </text>
    </comment>
    <comment ref="N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=TT-08171，班记录取平均值</t>
        </r>
      </text>
    </comment>
    <comment ref="P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=物料温度-冷却水温度</t>
        </r>
      </text>
    </comment>
    <comment ref="Q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=LT-08181，班记录取平均值</t>
        </r>
      </text>
    </comment>
    <comment ref="R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=班记录数据取平均值</t>
        </r>
      </text>
    </comment>
    <comment ref="S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=日常手写记录表3，夜班二次结晶物种二乙腈化分含量的平均值，直接读取</t>
        </r>
      </text>
    </comment>
    <comment ref="T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=日常手写记录表3，夜班二次结晶物中水分含量的平均值，直接读取</t>
        </r>
      </text>
    </comment>
    <comment ref="U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=日常手写记录表3，夜班二次结晶物中二乙腈+水含量的平均值，直接读取</t>
        </r>
      </text>
    </comment>
    <comment ref="V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=PT-07145,班记录取平均值</t>
        </r>
      </text>
    </comment>
    <comment ref="Y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=LT-07171，班记录取平均值</t>
        </r>
      </text>
    </comment>
    <comment ref="Z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=FT-07111,班累计值/当班时间</t>
        </r>
      </text>
    </comment>
    <comment ref="AB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</t>
        </r>
      </text>
    </comment>
    <comment ref="AC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=FT-07122,班累计值/当班时间</t>
        </r>
      </text>
    </comment>
    <comment ref="AD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=FT-07137，班每次出料记录比重取平均值，注意单位转化成g/L</t>
        </r>
      </text>
    </comment>
    <comment ref="AE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=班FT-07111进料总量/班FT-07122出料总量，取小数点后2位</t>
        </r>
      </text>
    </comment>
    <comment ref="AF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工艺设计的理论值，固定不变，人工填写</t>
        </r>
      </text>
    </comment>
    <comment ref="AJ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与设计的理论值比，低则下箭头，高则上箭头，相等则横线</t>
        </r>
      </text>
    </comment>
    <comment ref="M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</commentList>
</comments>
</file>

<file path=xl/sharedStrings.xml><?xml version="1.0" encoding="utf-8"?>
<sst xmlns="http://schemas.openxmlformats.org/spreadsheetml/2006/main" count="1441" uniqueCount="418">
  <si>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</si>
  <si>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</si>
  <si>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</si>
  <si>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</si>
  <si>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</si>
  <si>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</si>
  <si>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</si>
  <si>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</si>
  <si>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</si>
  <si>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</si>
  <si>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</si>
  <si>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</si>
  <si>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</si>
  <si>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</si>
  <si>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</si>
  <si>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</si>
  <si>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</si>
  <si>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</si>
  <si>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</si>
  <si>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</si>
  <si>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</si>
  <si>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</si>
  <si>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</si>
  <si>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</si>
  <si>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</si>
  <si>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</si>
  <si>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</si>
  <si>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</si>
  <si>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</si>
  <si>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</si>
  <si>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</si>
  <si>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</si>
  <si>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</si>
  <si>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</si>
  <si>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</si>
  <si>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</si>
  <si>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</si>
  <si>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</si>
  <si>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</si>
  <si>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</si>
  <si>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</si>
  <si>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</si>
  <si>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</si>
  <si>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</si>
  <si>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</si>
  <si>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</si>
  <si>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</si>
  <si>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</si>
  <si>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</si>
  <si>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</si>
  <si>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</si>
  <si>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</si>
  <si>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</si>
  <si>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</si>
  <si>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</si>
  <si>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</si>
  <si>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</si>
  <si>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</si>
  <si>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</si>
  <si>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</si>
  <si>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</si>
  <si>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</si>
  <si>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</si>
  <si>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</si>
  <si>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</si>
  <si>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</si>
  <si>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</si>
  <si>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</si>
  <si>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</si>
  <si>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</si>
  <si>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</si>
  <si>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</si>
  <si>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</si>
  <si>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</si>
  <si>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</si>
  <si>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</si>
  <si>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</si>
  <si>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</si>
  <si>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</si>
  <si>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</si>
  <si>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</si>
  <si>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</si>
  <si>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</si>
  <si>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</si>
  <si>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</si>
  <si>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</si>
  <si>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</si>
  <si>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</si>
  <si>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</si>
  <si>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</si>
  <si>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</si>
  <si>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</si>
  <si>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</si>
  <si>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</si>
  <si>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</si>
  <si>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</si>
  <si>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</si>
  <si>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</si>
  <si>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</si>
  <si>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</si>
  <si>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</si>
  <si>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</si>
  <si>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</si>
  <si>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</si>
  <si>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</si>
  <si>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</si>
  <si>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</si>
  <si>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</si>
  <si>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</si>
  <si>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</si>
  <si>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</si>
  <si>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</si>
  <si>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</si>
  <si>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</si>
  <si>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</si>
  <si>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</si>
  <si>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</si>
  <si>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</si>
  <si>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</si>
  <si>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</si>
  <si>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</si>
  <si>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</si>
  <si>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</si>
  <si>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</si>
  <si>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</si>
  <si>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</si>
  <si>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</si>
  <si>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</si>
  <si>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</si>
  <si>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</si>
  <si>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</si>
  <si>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</si>
  <si>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</si>
  <si>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</si>
  <si>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</si>
  <si>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</si>
  <si>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</si>
  <si>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</si>
  <si>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</si>
  <si>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</si>
  <si>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</si>
  <si>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</si>
  <si>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</si>
  <si>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</si>
  <si>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</si>
  <si>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</si>
  <si>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</si>
  <si>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</si>
  <si>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</si>
  <si>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</si>
  <si>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</si>
  <si>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</si>
  <si>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</si>
  <si>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</si>
  <si>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</si>
  <si>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</si>
  <si>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</si>
  <si>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</si>
  <si>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</si>
  <si>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</si>
  <si>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</si>
  <si>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</si>
  <si>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</si>
  <si>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</si>
  <si>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</si>
  <si>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</si>
  <si>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</si>
  <si>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</si>
  <si>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</si>
  <si>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</si>
  <si>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</si>
  <si>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</si>
  <si>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</si>
  <si>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</si>
  <si>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</si>
  <si>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</si>
  <si>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</si>
  <si>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</si>
  <si>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</si>
  <si>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</si>
  <si>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</si>
  <si>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</si>
  <si>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</si>
  <si>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</si>
  <si>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</si>
  <si>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</si>
  <si>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</si>
  <si>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</si>
  <si>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</si>
  <si>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</si>
  <si>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</si>
  <si>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</si>
  <si>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</si>
  <si>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</si>
  <si>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</si>
  <si>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</si>
  <si>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</si>
  <si>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</si>
  <si>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</si>
  <si>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</si>
  <si>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</si>
  <si>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</si>
  <si>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</si>
  <si>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</si>
  <si>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</si>
  <si>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</si>
  <si>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</si>
  <si>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</si>
  <si>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</si>
  <si>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</si>
  <si>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</si>
  <si>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</si>
  <si>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</si>
  <si>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</si>
  <si>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</si>
  <si>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</si>
  <si>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</si>
  <si>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</si>
  <si>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</si>
  <si>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</si>
  <si>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</si>
  <si>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</si>
  <si>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</si>
  <si>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</si>
  <si>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</si>
  <si>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</si>
  <si>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</si>
  <si>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</si>
  <si>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</si>
  <si>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</si>
  <si>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</si>
  <si>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</si>
  <si>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</si>
  <si>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</si>
  <si>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</si>
  <si>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</si>
  <si>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</si>
  <si>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</si>
  <si>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</si>
  <si>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</si>
  <si>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</si>
  <si>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</si>
  <si>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</si>
  <si>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</si>
  <si>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</si>
  <si>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</si>
  <si>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</si>
  <si>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</si>
  <si>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</si>
  <si>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</si>
  <si>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</si>
  <si>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</si>
  <si>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</si>
  <si>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</si>
  <si>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</si>
  <si>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</si>
  <si>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</si>
  <si>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</si>
  <si>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</si>
  <si>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</si>
  <si>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</si>
  <si>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</si>
  <si>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</si>
  <si>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</si>
  <si>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</si>
  <si>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</si>
  <si>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</si>
  <si>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</si>
  <si>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</si>
  <si>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</si>
  <si>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</si>
  <si>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</si>
  <si>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</si>
  <si>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</si>
  <si>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</si>
  <si>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</si>
  <si>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</si>
  <si>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</si>
  <si>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</si>
  <si>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</si>
  <si>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</si>
  <si>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</si>
  <si>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</si>
  <si>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</si>
  <si>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</si>
  <si>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</si>
  <si>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</si>
  <si>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</si>
  <si>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</si>
  <si>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</si>
  <si>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</si>
  <si>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</si>
  <si>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</si>
  <si>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</si>
  <si>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</si>
  <si>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</si>
  <si>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</si>
  <si>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</si>
  <si>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</si>
  <si>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9.65</t>
    <phoneticPr fontId="1" type="noConversion"/>
  </si>
  <si>
    <t xml:space="preserve">87.8</t>
    <phoneticPr fontId="1" type="noConversion"/>
  </si>
  <si>
    <t xml:space="preserve">17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</si>
  <si>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</si>
  <si>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</si>
  <si>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</si>
  <si>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</si>
  <si>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</si>
  <si>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</si>
  <si>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</si>
  <si>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</si>
  <si>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</si>
  <si>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</si>
  <si>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</si>
  <si>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</si>
  <si>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</si>
  <si>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</si>
  <si>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</si>
  <si>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</si>
  <si>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</si>
  <si>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</si>
  <si>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</si>
  <si>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</si>
  <si>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</si>
  <si>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</si>
  <si>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</si>
  <si>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</si>
  <si>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</si>
  <si>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</si>
  <si>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</si>
  <si>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</si>
  <si>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</si>
  <si>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</si>
  <si>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</si>
  <si>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</si>
  <si>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</si>
  <si>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</si>
  <si>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</si>
  <si>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</si>
  <si>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</si>
  <si>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</si>
  <si>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</si>
  <si>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</si>
  <si>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1.035</t>
    <phoneticPr fontId="1" type="noConversion"/>
  </si>
  <si>
    <t xml:space="preserve">33.1</t>
    <phoneticPr fontId="1" type="noConversion"/>
  </si>
  <si>
    <t xml:space="preserve">0.515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</si>
  <si>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</si>
  <si>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</si>
  <si>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</si>
  <si>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</si>
  <si>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</si>
  <si>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</si>
  <si>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</si>
  <si>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</si>
  <si>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</si>
  <si>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</si>
  <si>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</si>
  <si>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</si>
  <si>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</si>
  <si>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</si>
  <si>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</si>
  <si>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</si>
  <si>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</si>
  <si>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</si>
  <si>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</si>
  <si>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</si>
  <si>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</si>
  <si>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</si>
  <si>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</si>
  <si>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</si>
  <si>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</si>
  <si>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</si>
  <si>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</si>
  <si>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</si>
  <si>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</si>
  <si>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</si>
  <si>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</si>
  <si>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</si>
  <si>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</si>
  <si>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</si>
  <si>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</si>
  <si>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</si>
  <si>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</si>
  <si>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</si>
  <si>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2025
1201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</si>
  <si>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</si>
  <si>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</si>
  <si>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</si>
  <si>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</si>
  <si>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</si>
  <si>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</si>
  <si>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</si>
  <si>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</si>
  <si>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</si>
  <si>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</si>
  <si>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</si>
  <si>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</si>
  <si>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</si>
  <si>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</si>
  <si>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</si>
  <si>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</si>
  <si>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</si>
  <si>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</si>
  <si>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</si>
  <si>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</si>
  <si>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</si>
  <si>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</si>
  <si>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</si>
  <si>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</si>
  <si>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</si>
  <si>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</si>
  <si>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</si>
  <si>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</si>
  <si>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</si>
  <si>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</si>
  <si>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</si>
  <si>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</si>
  <si>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文件编号：                                                                                                班组＆日---生产过程运行质量考评表</t>
    <phoneticPr fontId="1" type="noConversion"/>
  </si>
  <si>
    <t xml:space="preserve">2026-02-05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</si>
</sst>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;[Red]0.00"/>
    <numFmt numFmtId="178" formatCode="0.00_ ;[Red]\-0.00\ "/>
    <numFmt numFmtId="179" formatCode="0.00_ "/>
    <numFmt numFmtId="180" formatCode="0.0000_ ;[Red]\-0.0000\ "/>
  </numFmts>
  <fonts count="2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color rgb="FFFF0000"/>
      <name val="Times New Roman"/>
      <family val="1"/>
      <charset val="134"/>
    </font>
    <font>
      <sz val="8"/>
      <color rgb="FFFF0000"/>
      <name val="Times New Roman"/>
      <family val="1"/>
    </font>
    <font>
      <sz val="8"/>
      <name val="Segoe UI Symbol"/>
      <family val="1"/>
    </font>
    <font>
      <sz val="8"/>
      <name val="宋体"/>
      <family val="1"/>
      <charset val="134"/>
    </font>
    <font>
      <sz val="8"/>
      <color rgb="FFFF0000"/>
      <name val="宋体"/>
      <family val="1"/>
      <charset val="134"/>
    </font>
    <font>
      <sz val="8"/>
      <name val="Segoe UI Symbol"/>
      <family val="1"/>
      <charset val="134"/>
    </font>
    <font>
      <sz val="11"/>
      <color rgb="FFFF0000"/>
      <name val="宋体"/>
      <family val="3"/>
      <charset val="134"/>
      <scheme val="minor"/>
    </font>
    <font>
      <sz val="8"/>
      <color rgb="FFFF0000"/>
      <name val="宋体"/>
      <family val="3"/>
      <charset val="134"/>
    </font>
    <font>
      <sz val="9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9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vertical="center" wrapText="1"/>
    </xf>
    <xf numFmtId="0" fontId="3" fillId="0" borderId="43" xfId="0" applyFont="1" applyFill="1" applyBorder="1" applyAlignment="1">
      <alignment vertical="center" wrapText="1"/>
    </xf>
    <xf numFmtId="0" fontId="4" fillId="0" borderId="31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49" fontId="3" fillId="0" borderId="37" xfId="0" applyNumberFormat="1" applyFont="1" applyFill="1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2" fontId="3" fillId="0" borderId="54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2" fontId="3" fillId="0" borderId="12" xfId="0" applyNumberFormat="1" applyFont="1" applyFill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 wrapText="1"/>
    </xf>
    <xf numFmtId="177" fontId="19" fillId="0" borderId="7" xfId="0" applyNumberFormat="1" applyFont="1" applyBorder="1" applyAlignment="1">
      <alignment horizontal="center" vertical="center" wrapText="1"/>
    </xf>
    <xf numFmtId="177" fontId="20" fillId="0" borderId="7" xfId="0" applyNumberFormat="1" applyFont="1" applyBorder="1" applyAlignment="1">
      <alignment horizontal="center" vertical="center" wrapText="1"/>
    </xf>
    <xf numFmtId="177" fontId="18" fillId="0" borderId="7" xfId="0" applyNumberFormat="1" applyFont="1" applyBorder="1" applyAlignment="1">
      <alignment horizontal="center" vertical="center" wrapText="1"/>
    </xf>
    <xf numFmtId="177" fontId="18" fillId="0" borderId="68" xfId="0" applyNumberFormat="1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178" fontId="18" fillId="0" borderId="7" xfId="0" applyNumberFormat="1" applyFont="1" applyBorder="1" applyAlignment="1">
      <alignment horizontal="center" vertical="center" wrapText="1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2" fontId="22" fillId="0" borderId="51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23" fillId="0" borderId="4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49" fontId="19" fillId="0" borderId="72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2" fontId="23" fillId="0" borderId="73" xfId="0" applyNumberFormat="1" applyFont="1" applyBorder="1" applyAlignment="1">
      <alignment horizontal="center" vertical="center" wrapText="1"/>
    </xf>
    <xf numFmtId="49" fontId="18" fillId="0" borderId="31" xfId="0" applyNumberFormat="1" applyFont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49" fontId="18" fillId="0" borderId="30" xfId="0" applyNumberFormat="1" applyFont="1" applyBorder="1" applyAlignment="1">
      <alignment horizontal="center" vertical="center" wrapText="1"/>
    </xf>
    <xf numFmtId="49" fontId="18" fillId="0" borderId="52" xfId="0" applyNumberFormat="1" applyFont="1" applyBorder="1" applyAlignment="1">
      <alignment horizontal="center" vertical="center" wrapText="1"/>
    </xf>
    <xf numFmtId="179" fontId="18" fillId="0" borderId="48" xfId="0" applyNumberFormat="1" applyFont="1" applyBorder="1" applyAlignment="1">
      <alignment horizontal="center" vertical="center" wrapText="1"/>
    </xf>
    <xf numFmtId="178" fontId="18" fillId="0" borderId="30" xfId="0" applyNumberFormat="1" applyFont="1" applyBorder="1" applyAlignment="1">
      <alignment horizontal="center" vertical="center" wrapText="1"/>
    </xf>
    <xf numFmtId="2" fontId="18" fillId="0" borderId="30" xfId="0" applyNumberFormat="1" applyFont="1" applyBorder="1" applyAlignment="1">
      <alignment horizontal="center" vertical="center" wrapText="1"/>
    </xf>
    <xf numFmtId="2" fontId="18" fillId="0" borderId="52" xfId="0" applyNumberFormat="1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2" fontId="21" fillId="0" borderId="3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49" fontId="19" fillId="0" borderId="52" xfId="0" applyNumberFormat="1" applyFont="1" applyBorder="1" applyAlignment="1">
      <alignment horizontal="center" vertical="center" wrapText="1"/>
    </xf>
    <xf numFmtId="177" fontId="21" fillId="0" borderId="48" xfId="0" applyNumberFormat="1" applyFont="1" applyBorder="1" applyAlignment="1">
      <alignment horizontal="center" vertical="center" wrapText="1"/>
    </xf>
    <xf numFmtId="177" fontId="20" fillId="0" borderId="52" xfId="0" applyNumberFormat="1" applyFont="1" applyBorder="1" applyAlignment="1">
      <alignment horizontal="center" vertical="center" wrapText="1"/>
    </xf>
    <xf numFmtId="2" fontId="18" fillId="0" borderId="5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49" fontId="22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2" fontId="23" fillId="0" borderId="5" xfId="0" applyNumberFormat="1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49" fontId="23" fillId="0" borderId="73" xfId="0" applyNumberFormat="1" applyFont="1" applyBorder="1" applyAlignment="1">
      <alignment horizontal="center" vertical="center" wrapText="1"/>
    </xf>
    <xf numFmtId="49" fontId="20" fillId="0" borderId="31" xfId="0" applyNumberFormat="1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49" fontId="20" fillId="0" borderId="52" xfId="0" applyNumberFormat="1" applyFont="1" applyBorder="1" applyAlignment="1">
      <alignment horizontal="center" vertical="center" wrapText="1"/>
    </xf>
    <xf numFmtId="2" fontId="18" fillId="0" borderId="48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>
      <alignment horizontal="center" vertical="center" wrapText="1"/>
    </xf>
    <xf numFmtId="2" fontId="21" fillId="0" borderId="52" xfId="0" applyNumberFormat="1" applyFont="1" applyBorder="1" applyAlignment="1">
      <alignment horizontal="center" vertical="center" wrapText="1"/>
    </xf>
    <xf numFmtId="180" fontId="21" fillId="0" borderId="30" xfId="0" applyNumberFormat="1" applyFont="1" applyBorder="1" applyAlignment="1">
      <alignment horizontal="center" vertical="center" wrapText="1"/>
    </xf>
    <xf numFmtId="180" fontId="18" fillId="0" borderId="30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49" fontId="23" fillId="0" borderId="48" xfId="0" applyNumberFormat="1" applyFont="1" applyBorder="1" applyAlignment="1">
      <alignment horizontal="center" vertical="center" wrapText="1"/>
    </xf>
    <xf numFmtId="49" fontId="23" fillId="0" borderId="30" xfId="0" applyNumberFormat="1" applyFont="1" applyBorder="1" applyAlignment="1">
      <alignment horizontal="center" vertical="center" wrapText="1"/>
    </xf>
    <xf numFmtId="49" fontId="24" fillId="0" borderId="52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49" fontId="19" fillId="0" borderId="31" xfId="0" applyNumberFormat="1" applyFont="1" applyBorder="1" applyAlignment="1">
      <alignment horizontal="center" vertical="center" wrapText="1"/>
    </xf>
    <xf numFmtId="180" fontId="23" fillId="0" borderId="52" xfId="0" applyNumberFormat="1" applyFont="1" applyBorder="1" applyAlignment="1">
      <alignment horizontal="center" vertical="center" wrapText="1"/>
    </xf>
    <xf numFmtId="10" fontId="18" fillId="0" borderId="48" xfId="0" applyNumberFormat="1" applyFont="1" applyBorder="1" applyAlignment="1">
      <alignment horizontal="center" vertical="center" wrapText="1"/>
    </xf>
    <xf numFmtId="2" fontId="18" fillId="0" borderId="45" xfId="0" applyNumberFormat="1" applyFont="1" applyBorder="1" applyAlignment="1">
      <alignment horizontal="center" vertical="center" wrapText="1"/>
    </xf>
    <xf numFmtId="49" fontId="18" fillId="3" borderId="52" xfId="0" applyNumberFormat="1" applyFont="1" applyFill="1" applyBorder="1" applyAlignment="1">
      <alignment horizontal="center" vertical="center" wrapText="1"/>
    </xf>
    <xf numFmtId="49" fontId="18" fillId="3" borderId="48" xfId="0" applyNumberFormat="1" applyFont="1" applyFill="1" applyBorder="1" applyAlignment="1">
      <alignment horizontal="center" vertical="center" wrapText="1"/>
    </xf>
    <xf numFmtId="49" fontId="18" fillId="3" borderId="30" xfId="0" applyNumberFormat="1" applyFont="1" applyFill="1" applyBorder="1" applyAlignment="1">
      <alignment horizontal="center" vertical="center" wrapText="1"/>
    </xf>
    <xf numFmtId="2" fontId="18" fillId="3" borderId="30" xfId="0" applyNumberFormat="1" applyFont="1" applyFill="1" applyBorder="1" applyAlignment="1">
      <alignment horizontal="center" vertical="center" wrapText="1"/>
    </xf>
    <xf numFmtId="2" fontId="18" fillId="3" borderId="52" xfId="0" applyNumberFormat="1" applyFont="1" applyFill="1" applyBorder="1" applyAlignment="1">
      <alignment horizontal="center" vertical="center" wrapText="1"/>
    </xf>
    <xf numFmtId="2" fontId="18" fillId="0" borderId="39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12" xfId="0" applyNumberFormat="1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9" fontId="23" fillId="0" borderId="72" xfId="0" applyNumberFormat="1" applyFont="1" applyBorder="1" applyAlignment="1">
      <alignment horizontal="center" vertical="center" wrapText="1"/>
    </xf>
    <xf numFmtId="49" fontId="23" fillId="0" borderId="28" xfId="0" applyNumberFormat="1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49" fontId="23" fillId="0" borderId="75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3" fillId="0" borderId="0" xfId="0" applyNumberFormat="1" applyFont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49" fontId="27" fillId="0" borderId="77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49" fontId="19" fillId="4" borderId="78" xfId="0" applyNumberFormat="1" applyFont="1" applyFill="1" applyBorder="1" applyAlignment="1">
      <alignment horizontal="center" vertical="center" wrapText="1"/>
    </xf>
    <xf numFmtId="0" fontId="19" fillId="4" borderId="79" xfId="0" applyFont="1" applyFill="1" applyBorder="1" applyAlignment="1">
      <alignment horizontal="center" vertical="center" wrapText="1"/>
    </xf>
    <xf numFmtId="49" fontId="19" fillId="4" borderId="79" xfId="0" applyNumberFormat="1" applyFont="1" applyFill="1" applyBorder="1" applyAlignment="1">
      <alignment horizontal="center" vertical="center" wrapText="1"/>
    </xf>
    <xf numFmtId="49" fontId="18" fillId="4" borderId="79" xfId="0" applyNumberFormat="1" applyFont="1" applyFill="1" applyBorder="1" applyAlignment="1">
      <alignment horizontal="center" vertical="center" wrapText="1"/>
    </xf>
    <xf numFmtId="0" fontId="18" fillId="4" borderId="79" xfId="0" applyFont="1" applyFill="1" applyBorder="1" applyAlignment="1">
      <alignment horizontal="center" vertical="center"/>
    </xf>
    <xf numFmtId="0" fontId="18" fillId="4" borderId="80" xfId="0" applyFont="1" applyFill="1" applyBorder="1" applyAlignment="1">
      <alignment horizontal="center" vertical="center"/>
    </xf>
    <xf numFmtId="177" fontId="19" fillId="0" borderId="35" xfId="0" applyNumberFormat="1" applyFont="1" applyBorder="1" applyAlignment="1">
      <alignment horizontal="center" vertical="center" wrapText="1"/>
    </xf>
    <xf numFmtId="177" fontId="19" fillId="0" borderId="81" xfId="0" applyNumberFormat="1" applyFont="1" applyBorder="1" applyAlignment="1">
      <alignment horizontal="center" vertical="center" wrapText="1"/>
    </xf>
    <xf numFmtId="177" fontId="20" fillId="0" borderId="81" xfId="0" applyNumberFormat="1" applyFont="1" applyBorder="1" applyAlignment="1">
      <alignment horizontal="center" vertical="center" wrapText="1"/>
    </xf>
    <xf numFmtId="177" fontId="18" fillId="0" borderId="81" xfId="0" applyNumberFormat="1" applyFont="1" applyBorder="1" applyAlignment="1">
      <alignment horizontal="center" vertical="center" wrapText="1"/>
    </xf>
    <xf numFmtId="177" fontId="18" fillId="0" borderId="82" xfId="0" applyNumberFormat="1" applyFont="1" applyBorder="1" applyAlignment="1">
      <alignment horizontal="center" vertical="center" wrapText="1"/>
    </xf>
    <xf numFmtId="49" fontId="21" fillId="0" borderId="83" xfId="0" applyNumberFormat="1" applyFont="1" applyBorder="1" applyAlignment="1">
      <alignment horizontal="center" vertical="center" wrapText="1"/>
    </xf>
    <xf numFmtId="178" fontId="18" fillId="0" borderId="81" xfId="0" applyNumberFormat="1" applyFont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2" fontId="23" fillId="0" borderId="85" xfId="0" applyNumberFormat="1" applyFont="1" applyBorder="1" applyAlignment="1">
      <alignment horizontal="center" vertical="center" wrapText="1"/>
    </xf>
    <xf numFmtId="0" fontId="26" fillId="0" borderId="86" xfId="0" applyFont="1" applyBorder="1" applyAlignment="1">
      <alignment horizontal="center" vertical="center" wrapText="1"/>
    </xf>
    <xf numFmtId="0" fontId="26" fillId="0" borderId="87" xfId="0" applyFont="1" applyBorder="1" applyAlignment="1">
      <alignment horizontal="center" vertical="center" wrapText="1"/>
    </xf>
    <xf numFmtId="49" fontId="27" fillId="0" borderId="88" xfId="0" applyNumberFormat="1" applyFont="1" applyBorder="1" applyAlignment="1">
      <alignment horizontal="center" vertical="center" wrapText="1"/>
    </xf>
    <xf numFmtId="0" fontId="23" fillId="0" borderId="89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microsoft.com/office/2017/10/relationships/person" Target="persons/perso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9" Type="http://schemas.openxmlformats.org/officeDocument/2006/relationships/calcChain" Target="calcChain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6</xdr:row>
      <xdr:rowOff>47625</xdr:rowOff>
    </xdr:from>
    <xdr:to>
      <xdr:col>5</xdr:col>
      <xdr:colOff>219075</xdr:colOff>
      <xdr:row>6</xdr:row>
      <xdr:rowOff>190500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46DA33AE-C396-439B-AE2B-AD2435C7B99E}"/>
            </a:ext>
          </a:extLst>
        </xdr:cNvPr>
        <xdr:cNvCxnSpPr/>
      </xdr:nvCxnSpPr>
      <xdr:spPr>
        <a:xfrm flipV="1">
          <a:off x="3562350" y="112204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484FA45-1589-43F8-9EBE-652EDB42666F}"/>
            </a:ext>
          </a:extLst>
        </xdr:cNvPr>
        <xdr:cNvCxnSpPr/>
      </xdr:nvCxnSpPr>
      <xdr:spPr>
        <a:xfrm>
          <a:off x="3467100" y="209677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11</xdr:row>
      <xdr:rowOff>31750</xdr:rowOff>
    </xdr:from>
    <xdr:to>
      <xdr:col>19</xdr:col>
      <xdr:colOff>304800</xdr:colOff>
      <xdr:row>11</xdr:row>
      <xdr:rowOff>190500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DB0CEAB-530B-4862-94C2-52AE955093E2}"/>
            </a:ext>
          </a:extLst>
        </xdr:cNvPr>
        <xdr:cNvCxnSpPr/>
      </xdr:nvCxnSpPr>
      <xdr:spPr>
        <a:xfrm flipV="1">
          <a:off x="13045440" y="200152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11</xdr:row>
      <xdr:rowOff>50800</xdr:rowOff>
    </xdr:from>
    <xdr:to>
      <xdr:col>25</xdr:col>
      <xdr:colOff>228600</xdr:colOff>
      <xdr:row>11</xdr:row>
      <xdr:rowOff>190500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F25C2C87-29A0-40DE-852F-EDCBA102DF86}"/>
            </a:ext>
          </a:extLst>
        </xdr:cNvPr>
        <xdr:cNvCxnSpPr/>
      </xdr:nvCxnSpPr>
      <xdr:spPr>
        <a:xfrm>
          <a:off x="16992600" y="202057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11</xdr:row>
      <xdr:rowOff>50800</xdr:rowOff>
    </xdr:from>
    <xdr:to>
      <xdr:col>29</xdr:col>
      <xdr:colOff>209550</xdr:colOff>
      <xdr:row>11</xdr:row>
      <xdr:rowOff>203200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BF8E659F-945C-4615-A3C2-15683422FEFD}"/>
            </a:ext>
          </a:extLst>
        </xdr:cNvPr>
        <xdr:cNvCxnSpPr/>
      </xdr:nvCxnSpPr>
      <xdr:spPr>
        <a:xfrm>
          <a:off x="19649440" y="202057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16</xdr:row>
      <xdr:rowOff>31750</xdr:rowOff>
    </xdr:from>
    <xdr:to>
      <xdr:col>35</xdr:col>
      <xdr:colOff>247650</xdr:colOff>
      <xdr:row>16</xdr:row>
      <xdr:rowOff>158750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BD730751-9D8F-4709-B84A-F99DFB16F420}"/>
            </a:ext>
          </a:extLst>
        </xdr:cNvPr>
        <xdr:cNvCxnSpPr/>
      </xdr:nvCxnSpPr>
      <xdr:spPr>
        <a:xfrm>
          <a:off x="23710900" y="289687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27</xdr:row>
      <xdr:rowOff>47625</xdr:rowOff>
    </xdr:from>
    <xdr:to>
      <xdr:col>5</xdr:col>
      <xdr:colOff>219075</xdr:colOff>
      <xdr:row>27</xdr:row>
      <xdr:rowOff>190500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278FAAB0-B057-42C2-A196-BE8B5D852E65}"/>
            </a:ext>
          </a:extLst>
        </xdr:cNvPr>
        <xdr:cNvCxnSpPr/>
      </xdr:nvCxnSpPr>
      <xdr:spPr>
        <a:xfrm flipV="1">
          <a:off x="3562350" y="488251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641D9EF8-6F40-4B1A-9311-6176926BAA93}"/>
            </a:ext>
          </a:extLst>
        </xdr:cNvPr>
        <xdr:cNvCxnSpPr/>
      </xdr:nvCxnSpPr>
      <xdr:spPr>
        <a:xfrm>
          <a:off x="3467100" y="585724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32</xdr:row>
      <xdr:rowOff>31750</xdr:rowOff>
    </xdr:from>
    <xdr:to>
      <xdr:col>19</xdr:col>
      <xdr:colOff>304800</xdr:colOff>
      <xdr:row>32</xdr:row>
      <xdr:rowOff>190500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7017858B-2923-48FC-BF72-5D0B26CD394B}"/>
            </a:ext>
          </a:extLst>
        </xdr:cNvPr>
        <xdr:cNvCxnSpPr/>
      </xdr:nvCxnSpPr>
      <xdr:spPr>
        <a:xfrm flipV="1">
          <a:off x="13045440" y="576199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32</xdr:row>
      <xdr:rowOff>50800</xdr:rowOff>
    </xdr:from>
    <xdr:to>
      <xdr:col>25</xdr:col>
      <xdr:colOff>228600</xdr:colOff>
      <xdr:row>32</xdr:row>
      <xdr:rowOff>190500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9C0DF705-7FA1-4BDF-8A91-1DF5ACB9DA8C}"/>
            </a:ext>
          </a:extLst>
        </xdr:cNvPr>
        <xdr:cNvCxnSpPr/>
      </xdr:nvCxnSpPr>
      <xdr:spPr>
        <a:xfrm>
          <a:off x="16992600" y="578104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32</xdr:row>
      <xdr:rowOff>50800</xdr:rowOff>
    </xdr:from>
    <xdr:to>
      <xdr:col>29</xdr:col>
      <xdr:colOff>209550</xdr:colOff>
      <xdr:row>32</xdr:row>
      <xdr:rowOff>203200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50503713-4494-4CB3-8240-468F97AB2754}"/>
            </a:ext>
          </a:extLst>
        </xdr:cNvPr>
        <xdr:cNvCxnSpPr/>
      </xdr:nvCxnSpPr>
      <xdr:spPr>
        <a:xfrm>
          <a:off x="19649440" y="578104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37</xdr:row>
      <xdr:rowOff>31750</xdr:rowOff>
    </xdr:from>
    <xdr:to>
      <xdr:col>35</xdr:col>
      <xdr:colOff>247650</xdr:colOff>
      <xdr:row>37</xdr:row>
      <xdr:rowOff>158750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93E90ED-48F3-47CB-9DDC-1C85DF250155}"/>
            </a:ext>
          </a:extLst>
        </xdr:cNvPr>
        <xdr:cNvCxnSpPr/>
      </xdr:nvCxnSpPr>
      <xdr:spPr>
        <a:xfrm>
          <a:off x="23710900" y="665734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5.vml" /><Relationship Id="rId4" Type="http://schemas.openxmlformats.org/officeDocument/2006/relationships/comments" Target="../comments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4" customHeight="1" thickBot="1" x14ac:dyDescent="0.45">
      <c r="B2" s="107" t="s">
        <v>229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</row>
    <row r="3" spans="2:47" ht="20.1" customHeight="1" x14ac:dyDescent="0.4">
      <c r="B3" s="111" t="s">
        <v>183</v>
      </c>
      <c r="C3" s="109" t="s">
        <v>165</v>
      </c>
      <c r="D3" s="123"/>
      <c r="E3" s="123"/>
      <c r="F3" s="123"/>
      <c r="G3" s="123"/>
      <c r="H3" s="124"/>
      <c r="I3" s="152" t="s">
        <v>8</v>
      </c>
      <c r="J3" s="123"/>
      <c r="K3" s="123"/>
      <c r="L3" s="123"/>
      <c r="M3" s="123"/>
      <c r="N3" s="123"/>
      <c r="O3" s="123"/>
      <c r="P3" s="153"/>
      <c r="Q3" s="109" t="s">
        <v>77</v>
      </c>
      <c r="R3" s="123"/>
      <c r="S3" s="153"/>
      <c r="T3" s="109" t="s">
        <v>10</v>
      </c>
      <c r="U3" s="123"/>
      <c r="V3" s="123"/>
      <c r="W3" s="153"/>
      <c r="X3" s="109" t="s">
        <v>82</v>
      </c>
      <c r="Y3" s="110"/>
      <c r="Z3" s="109" t="s">
        <v>11</v>
      </c>
      <c r="AA3" s="110"/>
      <c r="AB3" s="18" t="s">
        <v>13</v>
      </c>
      <c r="AC3" s="154" t="s">
        <v>14</v>
      </c>
      <c r="AD3" s="155"/>
      <c r="AE3" s="156" t="s">
        <v>90</v>
      </c>
      <c r="AF3" s="157"/>
      <c r="AG3" s="157"/>
      <c r="AH3" s="157"/>
      <c r="AI3" s="157"/>
      <c r="AJ3" s="157"/>
      <c r="AK3" s="158"/>
      <c r="AL3" s="109" t="s">
        <v>18</v>
      </c>
      <c r="AM3" s="117"/>
      <c r="AN3" s="118"/>
      <c r="AO3" s="121" t="s">
        <v>16</v>
      </c>
      <c r="AP3" s="121"/>
      <c r="AQ3" s="121"/>
      <c r="AR3" s="122"/>
    </row>
    <row r="4" spans="2:47" ht="30" customHeight="1" x14ac:dyDescent="0.4">
      <c r="B4" s="112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50" t="s">
        <v>62</v>
      </c>
      <c r="J4" s="151"/>
      <c r="K4" s="30" t="s">
        <v>6</v>
      </c>
      <c r="L4" s="30" t="s">
        <v>66</v>
      </c>
      <c r="M4" s="30" t="s">
        <v>166</v>
      </c>
      <c r="N4" s="30" t="s">
        <v>167</v>
      </c>
      <c r="O4" s="102" t="s">
        <v>7</v>
      </c>
      <c r="P4" s="106"/>
      <c r="Q4" s="114" t="s">
        <v>71</v>
      </c>
      <c r="R4" s="106"/>
      <c r="S4" s="30" t="s">
        <v>51</v>
      </c>
      <c r="T4" s="30" t="s">
        <v>75</v>
      </c>
      <c r="U4" s="114" t="s">
        <v>78</v>
      </c>
      <c r="V4" s="106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115" t="s">
        <v>91</v>
      </c>
      <c r="AF4" s="116"/>
      <c r="AG4" s="115" t="s">
        <v>94</v>
      </c>
      <c r="AH4" s="116"/>
      <c r="AI4" s="14" t="s">
        <v>168</v>
      </c>
      <c r="AJ4" s="14" t="s">
        <v>169</v>
      </c>
      <c r="AK4" s="15" t="s">
        <v>117</v>
      </c>
      <c r="AL4" s="114" t="s">
        <v>112</v>
      </c>
      <c r="AM4" s="106"/>
      <c r="AN4" s="63" t="s">
        <v>113</v>
      </c>
      <c r="AO4" s="53" t="s">
        <v>12</v>
      </c>
      <c r="AP4" s="3" t="s">
        <v>1</v>
      </c>
      <c r="AQ4" s="119" t="s">
        <v>163</v>
      </c>
      <c r="AR4" s="120"/>
      <c r="AU4" s="43"/>
    </row>
    <row r="5" spans="2:47" ht="20.1" customHeight="1" x14ac:dyDescent="0.4">
      <c r="B5" s="113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</v>
      </c>
      <c r="C6" s="36">
        <v>1</v>
      </c>
      <c r="D6" s="36">
        <v>2</v>
      </c>
      <c r="E6" s="36">
        <v>3</v>
      </c>
      <c r="F6" s="36">
        <v>4</v>
      </c>
      <c r="G6" s="36">
        <v>5</v>
      </c>
      <c r="H6" s="78">
        <v>6</v>
      </c>
      <c r="I6" s="56">
        <v>7</v>
      </c>
      <c r="J6" s="36">
        <v>8</v>
      </c>
      <c r="K6" s="36">
        <v>9</v>
      </c>
      <c r="L6" s="36">
        <v>10</v>
      </c>
      <c r="M6" s="36">
        <v>11</v>
      </c>
      <c r="N6" s="36">
        <v>12</v>
      </c>
      <c r="O6" s="36">
        <v>13</v>
      </c>
      <c r="P6" s="36">
        <v>14</v>
      </c>
      <c r="Q6" s="36">
        <v>15</v>
      </c>
      <c r="R6" s="36">
        <v>16</v>
      </c>
      <c r="S6" s="36">
        <v>17</v>
      </c>
      <c r="T6" s="36">
        <v>18</v>
      </c>
      <c r="U6" s="36">
        <v>19</v>
      </c>
      <c r="V6" s="36">
        <v>20</v>
      </c>
      <c r="W6" s="36">
        <v>21</v>
      </c>
      <c r="X6" s="89">
        <v>-1</v>
      </c>
      <c r="Y6" s="89">
        <v>23</v>
      </c>
      <c r="Z6" s="36">
        <v>24</v>
      </c>
      <c r="AA6" s="36">
        <v>25</v>
      </c>
      <c r="AB6" s="1">
        <v>26</v>
      </c>
      <c r="AC6" s="1">
        <v>27</v>
      </c>
      <c r="AD6" s="1">
        <v>28</v>
      </c>
      <c r="AE6" s="15">
        <v>11</v>
      </c>
      <c r="AF6" s="15">
        <v>12</v>
      </c>
      <c r="AG6" s="15">
        <v>13</v>
      </c>
      <c r="AH6" s="15">
        <v>14</v>
      </c>
      <c r="AI6" s="15">
        <v>15</v>
      </c>
      <c r="AJ6" s="15">
        <v>16</v>
      </c>
      <c r="AK6" s="15">
        <v>17</v>
      </c>
      <c r="AL6" s="36">
        <v>36</v>
      </c>
      <c r="AM6" s="27">
        <v>37</v>
      </c>
      <c r="AN6" s="63">
        <v>38</v>
      </c>
      <c r="AO6" s="54">
        <v>39</v>
      </c>
      <c r="AP6" s="25">
        <v>40</v>
      </c>
      <c r="AQ6" s="25">
        <v>41</v>
      </c>
      <c r="AR6" s="23">
        <v>42</v>
      </c>
    </row>
    <row r="7" spans="2:47" ht="13.5" customHeight="1" x14ac:dyDescent="0.4">
      <c r="B7" s="38">
        <v>0.375</v>
      </c>
      <c r="C7" s="36">
        <v>1</v>
      </c>
      <c r="D7" s="36">
        <v>2</v>
      </c>
      <c r="E7" s="36">
        <v>3</v>
      </c>
      <c r="F7" s="36">
        <v>0</v>
      </c>
      <c r="G7" s="36">
        <v>0</v>
      </c>
      <c r="H7" s="78">
        <v>6</v>
      </c>
      <c r="I7" s="56">
        <v>7</v>
      </c>
      <c r="J7" s="36">
        <v>0</v>
      </c>
      <c r="K7" s="36">
        <v>9</v>
      </c>
      <c r="L7" s="36">
        <v>10</v>
      </c>
      <c r="M7" s="36">
        <v>11</v>
      </c>
      <c r="N7" s="36">
        <v>12</v>
      </c>
      <c r="O7" s="36">
        <v>13</v>
      </c>
      <c r="P7" s="36">
        <v>0</v>
      </c>
      <c r="Q7" s="36">
        <v>15</v>
      </c>
      <c r="R7" s="36">
        <v>0</v>
      </c>
      <c r="S7" s="36">
        <v>17</v>
      </c>
      <c r="T7" s="36">
        <v>18</v>
      </c>
      <c r="U7" s="36">
        <v>19</v>
      </c>
      <c r="V7" s="36">
        <v>0</v>
      </c>
      <c r="W7" s="36">
        <v>21</v>
      </c>
      <c r="X7" s="89">
        <v>-1</v>
      </c>
      <c r="Y7" s="89" t="s">
        <v>84</v>
      </c>
      <c r="Z7" s="36">
        <v>24</v>
      </c>
      <c r="AA7" s="36">
        <v>25</v>
      </c>
      <c r="AB7" s="1">
        <v>26</v>
      </c>
      <c r="AC7" s="1">
        <v>27</v>
      </c>
      <c r="AD7" s="1">
        <v>28</v>
      </c>
      <c r="AE7" s="15">
        <v>11</v>
      </c>
      <c r="AF7" s="15">
        <v>12</v>
      </c>
      <c r="AG7" s="15">
        <v>13</v>
      </c>
      <c r="AH7" s="15">
        <v>14</v>
      </c>
      <c r="AI7" s="15">
        <v>15</v>
      </c>
      <c r="AJ7" s="15">
        <v>16</v>
      </c>
      <c r="AK7" s="15">
        <v>17</v>
      </c>
      <c r="AL7" s="36">
        <v>36</v>
      </c>
      <c r="AM7" s="27">
        <v>0</v>
      </c>
      <c r="AN7" s="63">
        <v>38</v>
      </c>
      <c r="AO7" s="54">
        <v>39</v>
      </c>
      <c r="AP7" s="25">
        <v>40</v>
      </c>
      <c r="AQ7" s="25">
        <v>41</v>
      </c>
      <c r="AR7" s="23">
        <v>0</v>
      </c>
    </row>
    <row r="8" spans="2:47" ht="13.5" customHeight="1" x14ac:dyDescent="0.4">
      <c r="B8" s="38">
        <v>0.41666666666666669</v>
      </c>
      <c r="C8" s="36">
        <v>1</v>
      </c>
      <c r="D8" s="36">
        <v>2</v>
      </c>
      <c r="E8" s="36">
        <v>3</v>
      </c>
      <c r="F8" s="36">
        <v>0</v>
      </c>
      <c r="G8" s="36">
        <v>0</v>
      </c>
      <c r="H8" s="78">
        <v>6</v>
      </c>
      <c r="I8" s="56">
        <v>7</v>
      </c>
      <c r="J8" s="36">
        <v>0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0</v>
      </c>
      <c r="Q8" s="36">
        <v>15</v>
      </c>
      <c r="R8" s="36">
        <v>0</v>
      </c>
      <c r="S8" s="36">
        <v>17</v>
      </c>
      <c r="T8" s="36">
        <v>18</v>
      </c>
      <c r="U8" s="36">
        <v>19</v>
      </c>
      <c r="V8" s="36">
        <v>0</v>
      </c>
      <c r="W8" s="36">
        <v>21</v>
      </c>
      <c r="X8" s="89">
        <v>-1</v>
      </c>
      <c r="Y8" s="89" t="s">
        <v>84</v>
      </c>
      <c r="Z8" s="36">
        <v>24</v>
      </c>
      <c r="AA8" s="36">
        <v>25</v>
      </c>
      <c r="AB8" s="1">
        <v>26</v>
      </c>
      <c r="AC8" s="1">
        <v>27</v>
      </c>
      <c r="AD8" s="1">
        <v>28</v>
      </c>
      <c r="AE8" s="15">
        <v>11</v>
      </c>
      <c r="AF8" s="15">
        <v>12</v>
      </c>
      <c r="AG8" s="15">
        <v>13</v>
      </c>
      <c r="AH8" s="15">
        <v>14</v>
      </c>
      <c r="AI8" s="15">
        <v>15</v>
      </c>
      <c r="AJ8" s="15">
        <v>16</v>
      </c>
      <c r="AK8" s="15">
        <v>17</v>
      </c>
      <c r="AL8" s="36">
        <v>36</v>
      </c>
      <c r="AM8" s="27">
        <v>0</v>
      </c>
      <c r="AN8" s="63">
        <v>38</v>
      </c>
      <c r="AO8" s="54">
        <v>39</v>
      </c>
      <c r="AP8" s="25">
        <v>40</v>
      </c>
      <c r="AQ8" s="25">
        <v>41</v>
      </c>
      <c r="AR8" s="23">
        <v>0</v>
      </c>
    </row>
    <row r="9" spans="2:47" ht="13.5" customHeight="1" x14ac:dyDescent="0.4">
      <c r="B9" s="38">
        <v>0.45833333333333298</v>
      </c>
      <c r="C9" s="36">
        <v>1</v>
      </c>
      <c r="D9" s="36">
        <v>2</v>
      </c>
      <c r="E9" s="36">
        <v>3</v>
      </c>
      <c r="F9" s="36">
        <v>0</v>
      </c>
      <c r="G9" s="36">
        <v>0</v>
      </c>
      <c r="H9" s="78">
        <v>6</v>
      </c>
      <c r="I9" s="56">
        <v>7</v>
      </c>
      <c r="J9" s="36">
        <v>0</v>
      </c>
      <c r="K9" s="36">
        <v>9</v>
      </c>
      <c r="L9" s="36">
        <v>10</v>
      </c>
      <c r="M9" s="36">
        <v>11</v>
      </c>
      <c r="N9" s="36">
        <v>12</v>
      </c>
      <c r="O9" s="36">
        <v>13</v>
      </c>
      <c r="P9" s="36">
        <v>0</v>
      </c>
      <c r="Q9" s="36">
        <v>15</v>
      </c>
      <c r="R9" s="36">
        <v>0</v>
      </c>
      <c r="S9" s="36">
        <v>17</v>
      </c>
      <c r="T9" s="36">
        <v>18</v>
      </c>
      <c r="U9" s="36">
        <v>19</v>
      </c>
      <c r="V9" s="36">
        <v>0</v>
      </c>
      <c r="W9" s="36">
        <v>21</v>
      </c>
      <c r="X9" s="89">
        <v>-1</v>
      </c>
      <c r="Y9" s="89" t="s">
        <v>84</v>
      </c>
      <c r="Z9" s="36">
        <v>24</v>
      </c>
      <c r="AA9" s="36">
        <v>25</v>
      </c>
      <c r="AB9" s="1">
        <v>26</v>
      </c>
      <c r="AC9" s="1">
        <v>27</v>
      </c>
      <c r="AD9" s="1">
        <v>28</v>
      </c>
      <c r="AE9" s="15">
        <v>11</v>
      </c>
      <c r="AF9" s="15">
        <v>12</v>
      </c>
      <c r="AG9" s="15">
        <v>13</v>
      </c>
      <c r="AH9" s="15">
        <v>14</v>
      </c>
      <c r="AI9" s="15">
        <v>15</v>
      </c>
      <c r="AJ9" s="15">
        <v>16</v>
      </c>
      <c r="AK9" s="15">
        <v>17</v>
      </c>
      <c r="AL9" s="36">
        <v>36</v>
      </c>
      <c r="AM9" s="27">
        <v>0</v>
      </c>
      <c r="AN9" s="63">
        <v>38</v>
      </c>
      <c r="AO9" s="54">
        <v>39</v>
      </c>
      <c r="AP9" s="25">
        <v>40</v>
      </c>
      <c r="AQ9" s="25">
        <v>41</v>
      </c>
      <c r="AR9" s="23">
        <v>0</v>
      </c>
    </row>
    <row r="10" spans="2:47" ht="13.5" customHeight="1" x14ac:dyDescent="0.4">
      <c r="B10" s="38">
        <v>0.5</v>
      </c>
      <c r="C10" s="36">
        <v>1</v>
      </c>
      <c r="D10" s="36">
        <v>2</v>
      </c>
      <c r="E10" s="36">
        <v>3</v>
      </c>
      <c r="F10" s="36">
        <v>0</v>
      </c>
      <c r="G10" s="36">
        <v>0</v>
      </c>
      <c r="H10" s="78">
        <v>6</v>
      </c>
      <c r="I10" s="56">
        <v>7</v>
      </c>
      <c r="J10" s="36">
        <v>0</v>
      </c>
      <c r="K10" s="36">
        <v>9</v>
      </c>
      <c r="L10" s="36">
        <v>10</v>
      </c>
      <c r="M10" s="36">
        <v>11</v>
      </c>
      <c r="N10" s="36">
        <v>12</v>
      </c>
      <c r="O10" s="36">
        <v>13</v>
      </c>
      <c r="P10" s="36">
        <v>0</v>
      </c>
      <c r="Q10" s="36">
        <v>15</v>
      </c>
      <c r="R10" s="36">
        <v>0</v>
      </c>
      <c r="S10" s="36">
        <v>17</v>
      </c>
      <c r="T10" s="36">
        <v>18</v>
      </c>
      <c r="U10" s="36">
        <v>19</v>
      </c>
      <c r="V10" s="36">
        <v>0</v>
      </c>
      <c r="W10" s="36">
        <v>21</v>
      </c>
      <c r="X10" s="89">
        <v>-1</v>
      </c>
      <c r="Y10" s="89" t="s">
        <v>84</v>
      </c>
      <c r="Z10" s="36">
        <v>24</v>
      </c>
      <c r="AA10" s="36">
        <v>25</v>
      </c>
      <c r="AB10" s="1">
        <v>26</v>
      </c>
      <c r="AC10" s="1">
        <v>27</v>
      </c>
      <c r="AD10" s="1">
        <v>28</v>
      </c>
      <c r="AE10" s="15">
        <v>11</v>
      </c>
      <c r="AF10" s="15">
        <v>12</v>
      </c>
      <c r="AG10" s="15">
        <v>13</v>
      </c>
      <c r="AH10" s="15">
        <v>14</v>
      </c>
      <c r="AI10" s="15">
        <v>15</v>
      </c>
      <c r="AJ10" s="15">
        <v>16</v>
      </c>
      <c r="AK10" s="15">
        <v>17</v>
      </c>
      <c r="AL10" s="36">
        <v>36</v>
      </c>
      <c r="AM10" s="27">
        <v>0</v>
      </c>
      <c r="AN10" s="63">
        <v>38</v>
      </c>
      <c r="AO10" s="54">
        <v>39</v>
      </c>
      <c r="AP10" s="25">
        <v>40</v>
      </c>
      <c r="AQ10" s="25">
        <v>41</v>
      </c>
      <c r="AR10" s="23">
        <v>0</v>
      </c>
    </row>
    <row r="11" spans="2:47" ht="13.5" customHeight="1" x14ac:dyDescent="0.4">
      <c r="B11" s="38">
        <v>0.54166666666666696</v>
      </c>
      <c r="C11" s="36">
        <v>1</v>
      </c>
      <c r="D11" s="36">
        <v>2</v>
      </c>
      <c r="E11" s="36">
        <v>3</v>
      </c>
      <c r="F11" s="36">
        <v>0</v>
      </c>
      <c r="G11" s="36">
        <v>0</v>
      </c>
      <c r="H11" s="78">
        <v>6</v>
      </c>
      <c r="I11" s="56">
        <v>7</v>
      </c>
      <c r="J11" s="36">
        <v>0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0</v>
      </c>
      <c r="Q11" s="36">
        <v>15</v>
      </c>
      <c r="R11" s="36">
        <v>0</v>
      </c>
      <c r="S11" s="36">
        <v>17</v>
      </c>
      <c r="T11" s="36">
        <v>18</v>
      </c>
      <c r="U11" s="36">
        <v>19</v>
      </c>
      <c r="V11" s="36">
        <v>0</v>
      </c>
      <c r="W11" s="36">
        <v>21</v>
      </c>
      <c r="X11" s="89">
        <v>-1</v>
      </c>
      <c r="Y11" s="89" t="s">
        <v>84</v>
      </c>
      <c r="Z11" s="36">
        <v>24</v>
      </c>
      <c r="AA11" s="36">
        <v>25</v>
      </c>
      <c r="AB11" s="1">
        <v>26</v>
      </c>
      <c r="AC11" s="1">
        <v>27</v>
      </c>
      <c r="AD11" s="1">
        <v>28</v>
      </c>
      <c r="AE11" s="15">
        <v>11</v>
      </c>
      <c r="AF11" s="15">
        <v>12</v>
      </c>
      <c r="AG11" s="15">
        <v>13</v>
      </c>
      <c r="AH11" s="15">
        <v>14</v>
      </c>
      <c r="AI11" s="15">
        <v>15</v>
      </c>
      <c r="AJ11" s="15">
        <v>16</v>
      </c>
      <c r="AK11" s="15">
        <v>17</v>
      </c>
      <c r="AL11" s="36">
        <v>36</v>
      </c>
      <c r="AM11" s="27">
        <v>0</v>
      </c>
      <c r="AN11" s="63">
        <v>38</v>
      </c>
      <c r="AO11" s="54">
        <v>39</v>
      </c>
      <c r="AP11" s="25">
        <v>40</v>
      </c>
      <c r="AQ11" s="25">
        <v>41</v>
      </c>
      <c r="AR11" s="23">
        <v>0</v>
      </c>
    </row>
    <row r="12" spans="2:47" ht="13.5" customHeight="1" x14ac:dyDescent="0.4">
      <c r="B12" s="38">
        <v>0.58333333333333304</v>
      </c>
      <c r="C12" s="36">
        <v>1</v>
      </c>
      <c r="D12" s="36">
        <v>2</v>
      </c>
      <c r="E12" s="36">
        <v>3</v>
      </c>
      <c r="F12" s="36">
        <v>0</v>
      </c>
      <c r="G12" s="36">
        <v>0</v>
      </c>
      <c r="H12" s="78">
        <v>6</v>
      </c>
      <c r="I12" s="56">
        <v>7</v>
      </c>
      <c r="J12" s="36">
        <v>0</v>
      </c>
      <c r="K12" s="36">
        <v>9</v>
      </c>
      <c r="L12" s="36">
        <v>10</v>
      </c>
      <c r="M12" s="36">
        <v>11</v>
      </c>
      <c r="N12" s="36">
        <v>12</v>
      </c>
      <c r="O12" s="36">
        <v>13</v>
      </c>
      <c r="P12" s="36">
        <v>0</v>
      </c>
      <c r="Q12" s="36">
        <v>15</v>
      </c>
      <c r="R12" s="36">
        <v>0</v>
      </c>
      <c r="S12" s="36">
        <v>17</v>
      </c>
      <c r="T12" s="36">
        <v>18</v>
      </c>
      <c r="U12" s="36">
        <v>19</v>
      </c>
      <c r="V12" s="36">
        <v>0</v>
      </c>
      <c r="W12" s="36">
        <v>21</v>
      </c>
      <c r="X12" s="89">
        <v>-1</v>
      </c>
      <c r="Y12" s="89" t="s">
        <v>84</v>
      </c>
      <c r="Z12" s="36">
        <v>24</v>
      </c>
      <c r="AA12" s="36">
        <v>25</v>
      </c>
      <c r="AB12" s="1">
        <v>26</v>
      </c>
      <c r="AC12" s="1">
        <v>27</v>
      </c>
      <c r="AD12" s="1">
        <v>28</v>
      </c>
      <c r="AE12" s="15">
        <v>11</v>
      </c>
      <c r="AF12" s="15">
        <v>12</v>
      </c>
      <c r="AG12" s="15">
        <v>13</v>
      </c>
      <c r="AH12" s="15">
        <v>14</v>
      </c>
      <c r="AI12" s="15">
        <v>15</v>
      </c>
      <c r="AJ12" s="15">
        <v>16</v>
      </c>
      <c r="AK12" s="15">
        <v>17</v>
      </c>
      <c r="AL12" s="36">
        <v>36</v>
      </c>
      <c r="AM12" s="27">
        <v>0</v>
      </c>
      <c r="AN12" s="63">
        <v>38</v>
      </c>
      <c r="AO12" s="54">
        <v>39</v>
      </c>
      <c r="AP12" s="25">
        <v>40</v>
      </c>
      <c r="AQ12" s="25">
        <v>41</v>
      </c>
      <c r="AR12" s="23">
        <v>0</v>
      </c>
    </row>
    <row r="13" spans="2:47" ht="13.5" customHeight="1" x14ac:dyDescent="0.4">
      <c r="B13" s="38">
        <v>0.625</v>
      </c>
      <c r="C13" s="36">
        <v>1</v>
      </c>
      <c r="D13" s="36">
        <v>2</v>
      </c>
      <c r="E13" s="36">
        <v>3</v>
      </c>
      <c r="F13" s="36">
        <v>0</v>
      </c>
      <c r="G13" s="36">
        <v>0</v>
      </c>
      <c r="H13" s="78">
        <v>6</v>
      </c>
      <c r="I13" s="56">
        <v>7</v>
      </c>
      <c r="J13" s="36">
        <v>0</v>
      </c>
      <c r="K13" s="36">
        <v>9</v>
      </c>
      <c r="L13" s="36">
        <v>10</v>
      </c>
      <c r="M13" s="36">
        <v>11</v>
      </c>
      <c r="N13" s="36">
        <v>12</v>
      </c>
      <c r="O13" s="36">
        <v>13</v>
      </c>
      <c r="P13" s="36">
        <v>0</v>
      </c>
      <c r="Q13" s="36">
        <v>15</v>
      </c>
      <c r="R13" s="36">
        <v>0</v>
      </c>
      <c r="S13" s="36">
        <v>17</v>
      </c>
      <c r="T13" s="36">
        <v>18</v>
      </c>
      <c r="U13" s="36">
        <v>19</v>
      </c>
      <c r="V13" s="36">
        <v>0</v>
      </c>
      <c r="W13" s="36">
        <v>21</v>
      </c>
      <c r="X13" s="89">
        <v>-1</v>
      </c>
      <c r="Y13" s="89" t="s">
        <v>84</v>
      </c>
      <c r="Z13" s="36">
        <v>24</v>
      </c>
      <c r="AA13" s="36">
        <v>25</v>
      </c>
      <c r="AB13" s="1">
        <v>26</v>
      </c>
      <c r="AC13" s="1">
        <v>27</v>
      </c>
      <c r="AD13" s="1">
        <v>28</v>
      </c>
      <c r="AE13" s="15">
        <v>11</v>
      </c>
      <c r="AF13" s="15">
        <v>12</v>
      </c>
      <c r="AG13" s="15">
        <v>13</v>
      </c>
      <c r="AH13" s="15">
        <v>14</v>
      </c>
      <c r="AI13" s="15">
        <v>15</v>
      </c>
      <c r="AJ13" s="15">
        <v>16</v>
      </c>
      <c r="AK13" s="15">
        <v>17</v>
      </c>
      <c r="AL13" s="36">
        <v>36</v>
      </c>
      <c r="AM13" s="27">
        <v>0</v>
      </c>
      <c r="AN13" s="63">
        <v>38</v>
      </c>
      <c r="AO13" s="54">
        <v>39</v>
      </c>
      <c r="AP13" s="25">
        <v>40</v>
      </c>
      <c r="AQ13" s="25">
        <v>41</v>
      </c>
      <c r="AR13" s="23">
        <v>0</v>
      </c>
    </row>
    <row r="14" spans="2:47" ht="13.5" customHeight="1" x14ac:dyDescent="0.4">
      <c r="B14" s="38">
        <v>0.66666666666666696</v>
      </c>
      <c r="C14" s="36">
        <v>1</v>
      </c>
      <c r="D14" s="36">
        <v>2</v>
      </c>
      <c r="E14" s="36">
        <v>3</v>
      </c>
      <c r="F14" s="36">
        <v>0</v>
      </c>
      <c r="G14" s="36">
        <v>0</v>
      </c>
      <c r="H14" s="78">
        <v>6</v>
      </c>
      <c r="I14" s="56">
        <v>7</v>
      </c>
      <c r="J14" s="36">
        <v>0</v>
      </c>
      <c r="K14" s="36">
        <v>9</v>
      </c>
      <c r="L14" s="36">
        <v>10</v>
      </c>
      <c r="M14" s="36">
        <v>11</v>
      </c>
      <c r="N14" s="36">
        <v>12</v>
      </c>
      <c r="O14" s="36">
        <v>13</v>
      </c>
      <c r="P14" s="36">
        <v>0</v>
      </c>
      <c r="Q14" s="36">
        <v>15</v>
      </c>
      <c r="R14" s="36">
        <v>0</v>
      </c>
      <c r="S14" s="36">
        <v>17</v>
      </c>
      <c r="T14" s="36">
        <v>18</v>
      </c>
      <c r="U14" s="36">
        <v>19</v>
      </c>
      <c r="V14" s="36">
        <v>0</v>
      </c>
      <c r="W14" s="36">
        <v>21</v>
      </c>
      <c r="X14" s="89">
        <v>-1</v>
      </c>
      <c r="Y14" s="89" t="s">
        <v>84</v>
      </c>
      <c r="Z14" s="36">
        <v>24</v>
      </c>
      <c r="AA14" s="36">
        <v>25</v>
      </c>
      <c r="AB14" s="1">
        <v>26</v>
      </c>
      <c r="AC14" s="1">
        <v>27</v>
      </c>
      <c r="AD14" s="1">
        <v>28</v>
      </c>
      <c r="AE14" s="15">
        <v>11</v>
      </c>
      <c r="AF14" s="15">
        <v>12</v>
      </c>
      <c r="AG14" s="15">
        <v>13</v>
      </c>
      <c r="AH14" s="15">
        <v>14</v>
      </c>
      <c r="AI14" s="15">
        <v>15</v>
      </c>
      <c r="AJ14" s="15">
        <v>16</v>
      </c>
      <c r="AK14" s="15">
        <v>17</v>
      </c>
      <c r="AL14" s="36">
        <v>36</v>
      </c>
      <c r="AM14" s="27">
        <v>0</v>
      </c>
      <c r="AN14" s="63">
        <v>38</v>
      </c>
      <c r="AO14" s="54">
        <v>39</v>
      </c>
      <c r="AP14" s="25">
        <v>40</v>
      </c>
      <c r="AQ14" s="25">
        <v>41</v>
      </c>
      <c r="AR14" s="23">
        <v>0</v>
      </c>
    </row>
    <row r="15" spans="2:47" ht="13.5" customHeight="1" x14ac:dyDescent="0.4">
      <c r="B15" s="38">
        <v>0.70833333333333304</v>
      </c>
      <c r="C15" s="36">
        <v>1</v>
      </c>
      <c r="D15" s="36">
        <v>2</v>
      </c>
      <c r="E15" s="36">
        <v>3</v>
      </c>
      <c r="F15" s="36">
        <v>0</v>
      </c>
      <c r="G15" s="36">
        <v>0</v>
      </c>
      <c r="H15" s="78">
        <v>6</v>
      </c>
      <c r="I15" s="56">
        <v>7</v>
      </c>
      <c r="J15" s="36">
        <v>0</v>
      </c>
      <c r="K15" s="36">
        <v>9</v>
      </c>
      <c r="L15" s="36">
        <v>10</v>
      </c>
      <c r="M15" s="36">
        <v>11</v>
      </c>
      <c r="N15" s="36">
        <v>12</v>
      </c>
      <c r="O15" s="36">
        <v>13</v>
      </c>
      <c r="P15" s="36">
        <v>0</v>
      </c>
      <c r="Q15" s="36">
        <v>15</v>
      </c>
      <c r="R15" s="36">
        <v>0</v>
      </c>
      <c r="S15" s="36">
        <v>17</v>
      </c>
      <c r="T15" s="36">
        <v>18</v>
      </c>
      <c r="U15" s="36">
        <v>19</v>
      </c>
      <c r="V15" s="36">
        <v>0</v>
      </c>
      <c r="W15" s="36">
        <v>21</v>
      </c>
      <c r="X15" s="89">
        <v>-1</v>
      </c>
      <c r="Y15" s="89" t="s">
        <v>84</v>
      </c>
      <c r="Z15" s="36">
        <v>24</v>
      </c>
      <c r="AA15" s="36">
        <v>25</v>
      </c>
      <c r="AB15" s="1">
        <v>26</v>
      </c>
      <c r="AC15" s="1">
        <v>27</v>
      </c>
      <c r="AD15" s="1">
        <v>28</v>
      </c>
      <c r="AE15" s="15">
        <v>11</v>
      </c>
      <c r="AF15" s="15">
        <v>12</v>
      </c>
      <c r="AG15" s="15">
        <v>13</v>
      </c>
      <c r="AH15" s="15">
        <v>14</v>
      </c>
      <c r="AI15" s="15">
        <v>15</v>
      </c>
      <c r="AJ15" s="15">
        <v>16</v>
      </c>
      <c r="AK15" s="15">
        <v>17</v>
      </c>
      <c r="AL15" s="36">
        <v>36</v>
      </c>
      <c r="AM15" s="27">
        <v>0</v>
      </c>
      <c r="AN15" s="63">
        <v>38</v>
      </c>
      <c r="AO15" s="54">
        <v>39</v>
      </c>
      <c r="AP15" s="25">
        <v>40</v>
      </c>
      <c r="AQ15" s="25">
        <v>41</v>
      </c>
      <c r="AR15" s="23">
        <v>0</v>
      </c>
    </row>
    <row r="16" spans="2:47" ht="13.5" customHeight="1" x14ac:dyDescent="0.4">
      <c r="B16" s="38">
        <v>0.75</v>
      </c>
      <c r="C16" s="36">
        <v>1</v>
      </c>
      <c r="D16" s="36">
        <v>2</v>
      </c>
      <c r="E16" s="36">
        <v>3</v>
      </c>
      <c r="F16" s="36">
        <v>0</v>
      </c>
      <c r="G16" s="36">
        <v>0</v>
      </c>
      <c r="H16" s="78">
        <v>6</v>
      </c>
      <c r="I16" s="56">
        <v>7</v>
      </c>
      <c r="J16" s="36">
        <v>0</v>
      </c>
      <c r="K16" s="36">
        <v>9</v>
      </c>
      <c r="L16" s="36">
        <v>10</v>
      </c>
      <c r="M16" s="36">
        <v>11</v>
      </c>
      <c r="N16" s="36">
        <v>12</v>
      </c>
      <c r="O16" s="36">
        <v>13</v>
      </c>
      <c r="P16" s="36">
        <v>0</v>
      </c>
      <c r="Q16" s="36">
        <v>15</v>
      </c>
      <c r="R16" s="36">
        <v>0</v>
      </c>
      <c r="S16" s="36">
        <v>17</v>
      </c>
      <c r="T16" s="36">
        <v>18</v>
      </c>
      <c r="U16" s="36">
        <v>19</v>
      </c>
      <c r="V16" s="36">
        <v>0</v>
      </c>
      <c r="W16" s="36">
        <v>21</v>
      </c>
      <c r="X16" s="89">
        <v>-1</v>
      </c>
      <c r="Y16" s="89" t="s">
        <v>84</v>
      </c>
      <c r="Z16" s="36">
        <v>24</v>
      </c>
      <c r="AA16" s="36">
        <v>25</v>
      </c>
      <c r="AB16" s="1">
        <v>26</v>
      </c>
      <c r="AC16" s="1">
        <v>27</v>
      </c>
      <c r="AD16" s="1">
        <v>28</v>
      </c>
      <c r="AE16" s="15">
        <v>11</v>
      </c>
      <c r="AF16" s="15">
        <v>12</v>
      </c>
      <c r="AG16" s="15">
        <v>13</v>
      </c>
      <c r="AH16" s="15">
        <v>14</v>
      </c>
      <c r="AI16" s="15">
        <v>15</v>
      </c>
      <c r="AJ16" s="15">
        <v>16</v>
      </c>
      <c r="AK16" s="15">
        <v>17</v>
      </c>
      <c r="AL16" s="36">
        <v>36</v>
      </c>
      <c r="AM16" s="27">
        <v>0</v>
      </c>
      <c r="AN16" s="63">
        <v>38</v>
      </c>
      <c r="AO16" s="54">
        <v>39</v>
      </c>
      <c r="AP16" s="25">
        <v>40</v>
      </c>
      <c r="AQ16" s="25">
        <v>41</v>
      </c>
      <c r="AR16" s="23">
        <v>0</v>
      </c>
    </row>
    <row r="17" spans="2:44" ht="13.5" customHeight="1" x14ac:dyDescent="0.4">
      <c r="B17" s="38">
        <v>0.79166666666666696</v>
      </c>
      <c r="C17" s="36">
        <v>1</v>
      </c>
      <c r="D17" s="36">
        <v>2</v>
      </c>
      <c r="E17" s="36">
        <v>3</v>
      </c>
      <c r="F17" s="36">
        <v>0</v>
      </c>
      <c r="G17" s="36">
        <v>0</v>
      </c>
      <c r="H17" s="78">
        <v>6</v>
      </c>
      <c r="I17" s="56">
        <v>7</v>
      </c>
      <c r="J17" s="36">
        <v>0</v>
      </c>
      <c r="K17" s="36">
        <v>9</v>
      </c>
      <c r="L17" s="36">
        <v>10</v>
      </c>
      <c r="M17" s="36">
        <v>11</v>
      </c>
      <c r="N17" s="36">
        <v>12</v>
      </c>
      <c r="O17" s="36">
        <v>13</v>
      </c>
      <c r="P17" s="36">
        <v>0</v>
      </c>
      <c r="Q17" s="36">
        <v>15</v>
      </c>
      <c r="R17" s="36">
        <v>0</v>
      </c>
      <c r="S17" s="36">
        <v>17</v>
      </c>
      <c r="T17" s="36">
        <v>18</v>
      </c>
      <c r="U17" s="36">
        <v>19</v>
      </c>
      <c r="V17" s="36">
        <v>0</v>
      </c>
      <c r="W17" s="36">
        <v>21</v>
      </c>
      <c r="X17" s="89">
        <v>-1</v>
      </c>
      <c r="Y17" s="89" t="s">
        <v>84</v>
      </c>
      <c r="Z17" s="36">
        <v>24</v>
      </c>
      <c r="AA17" s="36">
        <v>25</v>
      </c>
      <c r="AB17" s="1">
        <v>26</v>
      </c>
      <c r="AC17" s="1">
        <v>27</v>
      </c>
      <c r="AD17" s="1">
        <v>28</v>
      </c>
      <c r="AE17" s="15">
        <v>11</v>
      </c>
      <c r="AF17" s="15">
        <v>12</v>
      </c>
      <c r="AG17" s="15">
        <v>13</v>
      </c>
      <c r="AH17" s="15">
        <v>14</v>
      </c>
      <c r="AI17" s="15">
        <v>15</v>
      </c>
      <c r="AJ17" s="15">
        <v>16</v>
      </c>
      <c r="AK17" s="15">
        <v>17</v>
      </c>
      <c r="AL17" s="36">
        <v>36</v>
      </c>
      <c r="AM17" s="27">
        <v>0</v>
      </c>
      <c r="AN17" s="63">
        <v>38</v>
      </c>
      <c r="AO17" s="54">
        <v>39</v>
      </c>
      <c r="AP17" s="25">
        <v>40</v>
      </c>
      <c r="AQ17" s="25">
        <v>41</v>
      </c>
      <c r="AR17" s="23">
        <v>0</v>
      </c>
    </row>
    <row r="18" spans="2:44" ht="13.5" customHeight="1" x14ac:dyDescent="0.4">
      <c r="B18" s="84">
        <v>0.83333333333333404</v>
      </c>
      <c r="C18" s="46">
        <v>1</v>
      </c>
      <c r="D18" s="46">
        <v>2</v>
      </c>
      <c r="E18" s="46">
        <v>3</v>
      </c>
      <c r="F18" s="46">
        <v>0</v>
      </c>
      <c r="G18" s="46">
        <v>0</v>
      </c>
      <c r="H18" s="81">
        <v>6</v>
      </c>
      <c r="I18" s="57">
        <v>7</v>
      </c>
      <c r="J18" s="46">
        <v>0</v>
      </c>
      <c r="K18" s="46">
        <v>9</v>
      </c>
      <c r="L18" s="46">
        <v>10</v>
      </c>
      <c r="M18" s="46">
        <v>11</v>
      </c>
      <c r="N18" s="46">
        <v>12</v>
      </c>
      <c r="O18" s="46">
        <v>13</v>
      </c>
      <c r="P18" s="46">
        <v>0</v>
      </c>
      <c r="Q18" s="46">
        <v>15</v>
      </c>
      <c r="R18" s="46">
        <v>0</v>
      </c>
      <c r="S18" s="46">
        <v>17</v>
      </c>
      <c r="T18" s="46">
        <v>18</v>
      </c>
      <c r="U18" s="46">
        <v>19</v>
      </c>
      <c r="V18" s="46">
        <v>0</v>
      </c>
      <c r="W18" s="46">
        <v>21</v>
      </c>
      <c r="X18" s="90">
        <v>-1</v>
      </c>
      <c r="Y18" s="90">
        <v>23</v>
      </c>
      <c r="Z18" s="46">
        <v>24</v>
      </c>
      <c r="AA18" s="46">
        <v>25</v>
      </c>
      <c r="AB18" s="6">
        <v>26</v>
      </c>
      <c r="AC18" s="6">
        <v>27</v>
      </c>
      <c r="AD18" s="6">
        <v>28</v>
      </c>
      <c r="AE18" s="16">
        <v>11</v>
      </c>
      <c r="AF18" s="16">
        <v>12</v>
      </c>
      <c r="AG18" s="16">
        <v>13</v>
      </c>
      <c r="AH18" s="16">
        <v>14</v>
      </c>
      <c r="AI18" s="16">
        <v>15</v>
      </c>
      <c r="AJ18" s="16">
        <v>16</v>
      </c>
      <c r="AK18" s="16">
        <v>17</v>
      </c>
      <c r="AL18" s="46">
        <v>36</v>
      </c>
      <c r="AM18" s="42">
        <v>0</v>
      </c>
      <c r="AN18" s="68">
        <v>38</v>
      </c>
      <c r="AO18" s="54">
        <v>39</v>
      </c>
      <c r="AP18" s="25">
        <v>40</v>
      </c>
      <c r="AQ18" s="25">
        <v>41</v>
      </c>
      <c r="AR18" s="48">
        <v>0</v>
      </c>
    </row>
    <row r="19" spans="2:44" ht="18" customHeight="1" x14ac:dyDescent="0.4">
      <c r="B19" s="125" t="s">
        <v>183</v>
      </c>
      <c r="C19" s="75" t="s">
        <v>170</v>
      </c>
      <c r="D19" s="75" t="s">
        <v>173</v>
      </c>
      <c r="E19" s="91" t="s">
        <v>17</v>
      </c>
      <c r="F19" s="140"/>
      <c r="G19" s="141"/>
      <c r="H19" s="142" t="s">
        <v>110</v>
      </c>
      <c r="I19" s="140"/>
      <c r="J19" s="140"/>
      <c r="K19" s="140"/>
      <c r="L19" s="143"/>
      <c r="M19" s="144" t="s">
        <v>125</v>
      </c>
      <c r="N19" s="140"/>
      <c r="O19" s="140"/>
      <c r="P19" s="140"/>
      <c r="Q19" s="141"/>
      <c r="R19" s="146" t="s">
        <v>149</v>
      </c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8"/>
      <c r="AG19" s="149" t="s">
        <v>24</v>
      </c>
      <c r="AH19" s="148"/>
      <c r="AI19" s="159" t="s">
        <v>175</v>
      </c>
      <c r="AJ19" s="160"/>
      <c r="AK19" s="160"/>
      <c r="AL19" s="160"/>
      <c r="AM19" s="161"/>
      <c r="AN19" s="149" t="s">
        <v>47</v>
      </c>
      <c r="AO19" s="162"/>
      <c r="AP19" s="147" t="s">
        <v>182</v>
      </c>
      <c r="AQ19" s="163"/>
      <c r="AR19" s="164"/>
    </row>
    <row r="20" spans="2:44" ht="20.1" customHeight="1" x14ac:dyDescent="0.4">
      <c r="B20" s="126"/>
      <c r="C20" s="30" t="s">
        <v>171</v>
      </c>
      <c r="D20" s="30" t="s">
        <v>115</v>
      </c>
      <c r="E20" s="30" t="s">
        <v>15</v>
      </c>
      <c r="F20" s="102" t="s">
        <v>102</v>
      </c>
      <c r="G20" s="106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19" t="s">
        <v>150</v>
      </c>
      <c r="AE20" s="145"/>
      <c r="AF20" s="24" t="s">
        <v>153</v>
      </c>
      <c r="AG20" s="24" t="s">
        <v>155</v>
      </c>
      <c r="AH20" s="24" t="s">
        <v>157</v>
      </c>
      <c r="AI20" s="115" t="s">
        <v>91</v>
      </c>
      <c r="AJ20" s="116"/>
      <c r="AK20" s="115" t="s">
        <v>94</v>
      </c>
      <c r="AL20" s="116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6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19">
        <v>0.33333333333333331</v>
      </c>
      <c r="C22" s="36">
        <v>51</v>
      </c>
      <c r="D22" s="36">
        <v>52</v>
      </c>
      <c r="E22" s="36">
        <v>53</v>
      </c>
      <c r="F22" s="36">
        <v>54</v>
      </c>
      <c r="G22" s="36">
        <v>55</v>
      </c>
      <c r="H22" s="36">
        <v>1</v>
      </c>
      <c r="I22" s="36">
        <v>2</v>
      </c>
      <c r="J22" s="36">
        <v>3</v>
      </c>
      <c r="K22" s="36">
        <v>4</v>
      </c>
      <c r="L22" s="78">
        <v>5</v>
      </c>
      <c r="M22" s="51">
        <v>61</v>
      </c>
      <c r="N22" s="36">
        <v>62</v>
      </c>
      <c r="O22" s="36">
        <v>63</v>
      </c>
      <c r="P22" s="36">
        <v>64</v>
      </c>
      <c r="Q22" s="36">
        <v>65</v>
      </c>
      <c r="R22" s="1">
        <v>66</v>
      </c>
      <c r="S22" s="8">
        <v>67</v>
      </c>
      <c r="T22" s="9">
        <v>68</v>
      </c>
      <c r="U22" s="8">
        <v>69</v>
      </c>
      <c r="V22" s="9">
        <v>70</v>
      </c>
      <c r="W22" s="8">
        <v>71</v>
      </c>
      <c r="X22" s="9">
        <v>72</v>
      </c>
      <c r="Y22" s="9">
        <v>73</v>
      </c>
      <c r="Z22" s="8">
        <v>74</v>
      </c>
      <c r="AA22" s="9">
        <v>75</v>
      </c>
      <c r="AB22" s="9">
        <v>76</v>
      </c>
      <c r="AC22" s="24">
        <v>77</v>
      </c>
      <c r="AD22" s="24">
        <v>78</v>
      </c>
      <c r="AE22" s="24">
        <v>79</v>
      </c>
      <c r="AF22" s="24">
        <v>80</v>
      </c>
      <c r="AG22" s="24">
        <v>81</v>
      </c>
      <c r="AH22" s="24">
        <v>26</v>
      </c>
      <c r="AI22" s="49">
        <v>41</v>
      </c>
      <c r="AJ22" s="49">
        <v>42</v>
      </c>
      <c r="AK22" s="49">
        <v>43</v>
      </c>
      <c r="AL22" s="49">
        <v>44</v>
      </c>
      <c r="AM22" s="49">
        <v>45</v>
      </c>
      <c r="AN22" s="24">
        <v>88</v>
      </c>
      <c r="AO22" s="59">
        <v>89</v>
      </c>
      <c r="AP22" s="54">
        <v>90</v>
      </c>
      <c r="AQ22" s="25">
        <v>91</v>
      </c>
      <c r="AR22" s="23">
        <v>92</v>
      </c>
    </row>
    <row r="23" spans="2:44" ht="13.5" customHeight="1" x14ac:dyDescent="0.4">
      <c r="B23" s="19">
        <v>0.375</v>
      </c>
      <c r="C23" s="36">
        <v>51</v>
      </c>
      <c r="D23" s="36">
        <v>52</v>
      </c>
      <c r="E23" s="36">
        <v>53</v>
      </c>
      <c r="F23" s="36">
        <v>54</v>
      </c>
      <c r="G23" s="36">
        <v>0</v>
      </c>
      <c r="H23" s="36">
        <v>1</v>
      </c>
      <c r="I23" s="31">
        <v>2</v>
      </c>
      <c r="J23" s="31">
        <v>3</v>
      </c>
      <c r="K23" s="31">
        <v>4</v>
      </c>
      <c r="L23" s="79">
        <v>5</v>
      </c>
      <c r="M23" s="51">
        <v>61</v>
      </c>
      <c r="N23" s="36">
        <v>62</v>
      </c>
      <c r="O23" s="36">
        <v>63</v>
      </c>
      <c r="P23" s="36">
        <v>64</v>
      </c>
      <c r="Q23" s="36">
        <v>65</v>
      </c>
      <c r="R23" s="1">
        <v>66</v>
      </c>
      <c r="S23" s="8">
        <v>67</v>
      </c>
      <c r="T23" s="9">
        <v>68</v>
      </c>
      <c r="U23" s="8">
        <v>69</v>
      </c>
      <c r="V23" s="9">
        <v>70</v>
      </c>
      <c r="W23" s="8">
        <v>71</v>
      </c>
      <c r="X23" s="9">
        <v>72</v>
      </c>
      <c r="Y23" s="9">
        <v>73</v>
      </c>
      <c r="Z23" s="8">
        <v>74</v>
      </c>
      <c r="AA23" s="9">
        <v>75</v>
      </c>
      <c r="AB23" s="9">
        <v>76</v>
      </c>
      <c r="AC23" s="24">
        <v>77</v>
      </c>
      <c r="AD23" s="24">
        <v>78</v>
      </c>
      <c r="AE23" s="24">
        <v>0</v>
      </c>
      <c r="AF23" s="24">
        <v>80</v>
      </c>
      <c r="AG23" s="24">
        <v>81</v>
      </c>
      <c r="AH23" s="24">
        <v>26</v>
      </c>
      <c r="AI23" s="49">
        <v>41</v>
      </c>
      <c r="AJ23" s="49">
        <v>42</v>
      </c>
      <c r="AK23" s="49">
        <v>43</v>
      </c>
      <c r="AL23" s="49">
        <v>44</v>
      </c>
      <c r="AM23" s="49">
        <v>45</v>
      </c>
      <c r="AN23" s="24">
        <v>88</v>
      </c>
      <c r="AO23" s="59">
        <v>89</v>
      </c>
      <c r="AP23" s="54">
        <v>90</v>
      </c>
      <c r="AQ23" s="25">
        <v>91</v>
      </c>
      <c r="AR23" s="23">
        <v>92</v>
      </c>
    </row>
    <row r="24" spans="2:44" ht="13.5" customHeight="1" x14ac:dyDescent="0.4">
      <c r="B24" s="19">
        <v>0.41666666666666702</v>
      </c>
      <c r="C24" s="36">
        <v>51</v>
      </c>
      <c r="D24" s="31">
        <v>52</v>
      </c>
      <c r="E24" s="31">
        <v>53</v>
      </c>
      <c r="F24" s="31">
        <v>54</v>
      </c>
      <c r="G24" s="31">
        <v>0</v>
      </c>
      <c r="H24" s="31">
        <v>1</v>
      </c>
      <c r="I24" s="31">
        <v>2</v>
      </c>
      <c r="J24" s="31">
        <v>3</v>
      </c>
      <c r="K24" s="31">
        <v>4</v>
      </c>
      <c r="L24" s="79">
        <v>5</v>
      </c>
      <c r="M24" s="80">
        <v>61</v>
      </c>
      <c r="N24" s="31">
        <v>62</v>
      </c>
      <c r="O24" s="31">
        <v>63</v>
      </c>
      <c r="P24" s="31">
        <v>64</v>
      </c>
      <c r="Q24" s="31">
        <v>65</v>
      </c>
      <c r="R24" s="2">
        <v>66</v>
      </c>
      <c r="S24" s="8">
        <v>67</v>
      </c>
      <c r="T24" s="9">
        <v>68</v>
      </c>
      <c r="U24" s="8">
        <v>69</v>
      </c>
      <c r="V24" s="9">
        <v>70</v>
      </c>
      <c r="W24" s="8">
        <v>71</v>
      </c>
      <c r="X24" s="9">
        <v>72</v>
      </c>
      <c r="Y24" s="9">
        <v>73</v>
      </c>
      <c r="Z24" s="8">
        <v>74</v>
      </c>
      <c r="AA24" s="9">
        <v>75</v>
      </c>
      <c r="AB24" s="9">
        <v>76</v>
      </c>
      <c r="AC24" s="24">
        <v>77</v>
      </c>
      <c r="AD24" s="24">
        <v>78</v>
      </c>
      <c r="AE24" s="24">
        <v>0</v>
      </c>
      <c r="AF24" s="24">
        <v>80</v>
      </c>
      <c r="AG24" s="24">
        <v>81</v>
      </c>
      <c r="AH24" s="24">
        <v>26</v>
      </c>
      <c r="AI24" s="49">
        <v>41</v>
      </c>
      <c r="AJ24" s="49">
        <v>42</v>
      </c>
      <c r="AK24" s="49">
        <v>43</v>
      </c>
      <c r="AL24" s="49">
        <v>44</v>
      </c>
      <c r="AM24" s="49">
        <v>45</v>
      </c>
      <c r="AN24" s="24">
        <v>88</v>
      </c>
      <c r="AO24" s="59">
        <v>89</v>
      </c>
      <c r="AP24" s="54">
        <v>90</v>
      </c>
      <c r="AQ24" s="25">
        <v>91</v>
      </c>
      <c r="AR24" s="23">
        <v>92</v>
      </c>
    </row>
    <row r="25" spans="2:44" ht="13.5" customHeight="1" x14ac:dyDescent="0.4">
      <c r="B25" s="19">
        <v>0.45833333333333298</v>
      </c>
      <c r="C25" s="36">
        <v>51</v>
      </c>
      <c r="D25" s="36">
        <v>52</v>
      </c>
      <c r="E25" s="36">
        <v>53</v>
      </c>
      <c r="F25" s="36">
        <v>54</v>
      </c>
      <c r="G25" s="36">
        <v>0</v>
      </c>
      <c r="H25" s="36">
        <v>1</v>
      </c>
      <c r="I25" s="36">
        <v>2</v>
      </c>
      <c r="J25" s="36">
        <v>3</v>
      </c>
      <c r="K25" s="36">
        <v>4</v>
      </c>
      <c r="L25" s="78">
        <v>5</v>
      </c>
      <c r="M25" s="51">
        <v>61</v>
      </c>
      <c r="N25" s="36">
        <v>62</v>
      </c>
      <c r="O25" s="36">
        <v>63</v>
      </c>
      <c r="P25" s="36">
        <v>64</v>
      </c>
      <c r="Q25" s="36">
        <v>65</v>
      </c>
      <c r="R25" s="1">
        <v>66</v>
      </c>
      <c r="S25" s="8">
        <v>67</v>
      </c>
      <c r="T25" s="9">
        <v>68</v>
      </c>
      <c r="U25" s="8">
        <v>69</v>
      </c>
      <c r="V25" s="9">
        <v>70</v>
      </c>
      <c r="W25" s="8">
        <v>71</v>
      </c>
      <c r="X25" s="9">
        <v>72</v>
      </c>
      <c r="Y25" s="9">
        <v>73</v>
      </c>
      <c r="Z25" s="8">
        <v>74</v>
      </c>
      <c r="AA25" s="9">
        <v>75</v>
      </c>
      <c r="AB25" s="9">
        <v>76</v>
      </c>
      <c r="AC25" s="24">
        <v>77</v>
      </c>
      <c r="AD25" s="24">
        <v>78</v>
      </c>
      <c r="AE25" s="24">
        <v>0</v>
      </c>
      <c r="AF25" s="24">
        <v>80</v>
      </c>
      <c r="AG25" s="24">
        <v>81</v>
      </c>
      <c r="AH25" s="24">
        <v>26</v>
      </c>
      <c r="AI25" s="49">
        <v>41</v>
      </c>
      <c r="AJ25" s="49">
        <v>42</v>
      </c>
      <c r="AK25" s="49">
        <v>43</v>
      </c>
      <c r="AL25" s="49">
        <v>44</v>
      </c>
      <c r="AM25" s="49">
        <v>45</v>
      </c>
      <c r="AN25" s="24">
        <v>88</v>
      </c>
      <c r="AO25" s="59">
        <v>89</v>
      </c>
      <c r="AP25" s="54">
        <v>90</v>
      </c>
      <c r="AQ25" s="25">
        <v>91</v>
      </c>
      <c r="AR25" s="23">
        <v>92</v>
      </c>
    </row>
    <row r="26" spans="2:44" ht="13.5" customHeight="1" x14ac:dyDescent="0.4">
      <c r="B26" s="19">
        <v>0.5</v>
      </c>
      <c r="C26" s="36">
        <v>51</v>
      </c>
      <c r="D26" s="36">
        <v>52</v>
      </c>
      <c r="E26" s="36">
        <v>53</v>
      </c>
      <c r="F26" s="36">
        <v>54</v>
      </c>
      <c r="G26" s="36">
        <v>0</v>
      </c>
      <c r="H26" s="36">
        <v>1</v>
      </c>
      <c r="I26" s="31">
        <v>2</v>
      </c>
      <c r="J26" s="31">
        <v>3</v>
      </c>
      <c r="K26" s="31">
        <v>4</v>
      </c>
      <c r="L26" s="79">
        <v>5</v>
      </c>
      <c r="M26" s="51">
        <v>61</v>
      </c>
      <c r="N26" s="36">
        <v>62</v>
      </c>
      <c r="O26" s="36">
        <v>63</v>
      </c>
      <c r="P26" s="36">
        <v>64</v>
      </c>
      <c r="Q26" s="36">
        <v>65</v>
      </c>
      <c r="R26" s="1">
        <v>66</v>
      </c>
      <c r="S26" s="8">
        <v>67</v>
      </c>
      <c r="T26" s="9">
        <v>68</v>
      </c>
      <c r="U26" s="8">
        <v>69</v>
      </c>
      <c r="V26" s="9">
        <v>70</v>
      </c>
      <c r="W26" s="8">
        <v>71</v>
      </c>
      <c r="X26" s="9">
        <v>72</v>
      </c>
      <c r="Y26" s="9">
        <v>73</v>
      </c>
      <c r="Z26" s="8">
        <v>74</v>
      </c>
      <c r="AA26" s="9">
        <v>75</v>
      </c>
      <c r="AB26" s="9">
        <v>76</v>
      </c>
      <c r="AC26" s="24">
        <v>77</v>
      </c>
      <c r="AD26" s="24">
        <v>78</v>
      </c>
      <c r="AE26" s="24">
        <v>0</v>
      </c>
      <c r="AF26" s="24">
        <v>80</v>
      </c>
      <c r="AG26" s="24">
        <v>81</v>
      </c>
      <c r="AH26" s="24">
        <v>26</v>
      </c>
      <c r="AI26" s="49">
        <v>41</v>
      </c>
      <c r="AJ26" s="49">
        <v>42</v>
      </c>
      <c r="AK26" s="49">
        <v>43</v>
      </c>
      <c r="AL26" s="49">
        <v>44</v>
      </c>
      <c r="AM26" s="49">
        <v>45</v>
      </c>
      <c r="AN26" s="24">
        <v>88</v>
      </c>
      <c r="AO26" s="59">
        <v>89</v>
      </c>
      <c r="AP26" s="54">
        <v>90</v>
      </c>
      <c r="AQ26" s="25">
        <v>91</v>
      </c>
      <c r="AR26" s="23">
        <v>92</v>
      </c>
    </row>
    <row r="27" spans="2:44" ht="13.5" customHeight="1" x14ac:dyDescent="0.4">
      <c r="B27" s="19">
        <v>0.54166666666666596</v>
      </c>
      <c r="C27" s="36">
        <v>51</v>
      </c>
      <c r="D27" s="31">
        <v>52</v>
      </c>
      <c r="E27" s="31">
        <v>53</v>
      </c>
      <c r="F27" s="31">
        <v>54</v>
      </c>
      <c r="G27" s="31">
        <v>0</v>
      </c>
      <c r="H27" s="31">
        <v>1</v>
      </c>
      <c r="I27" s="31">
        <v>2</v>
      </c>
      <c r="J27" s="31">
        <v>3</v>
      </c>
      <c r="K27" s="31">
        <v>4</v>
      </c>
      <c r="L27" s="79">
        <v>5</v>
      </c>
      <c r="M27" s="80">
        <v>61</v>
      </c>
      <c r="N27" s="31">
        <v>62</v>
      </c>
      <c r="O27" s="31">
        <v>63</v>
      </c>
      <c r="P27" s="31">
        <v>64</v>
      </c>
      <c r="Q27" s="31">
        <v>65</v>
      </c>
      <c r="R27" s="2">
        <v>66</v>
      </c>
      <c r="S27" s="8">
        <v>67</v>
      </c>
      <c r="T27" s="9">
        <v>68</v>
      </c>
      <c r="U27" s="8">
        <v>69</v>
      </c>
      <c r="V27" s="9">
        <v>70</v>
      </c>
      <c r="W27" s="8">
        <v>71</v>
      </c>
      <c r="X27" s="9">
        <v>72</v>
      </c>
      <c r="Y27" s="9">
        <v>73</v>
      </c>
      <c r="Z27" s="8">
        <v>74</v>
      </c>
      <c r="AA27" s="9">
        <v>75</v>
      </c>
      <c r="AB27" s="9">
        <v>76</v>
      </c>
      <c r="AC27" s="24">
        <v>77</v>
      </c>
      <c r="AD27" s="24">
        <v>78</v>
      </c>
      <c r="AE27" s="24">
        <v>0</v>
      </c>
      <c r="AF27" s="24">
        <v>80</v>
      </c>
      <c r="AG27" s="24">
        <v>81</v>
      </c>
      <c r="AH27" s="24">
        <v>26</v>
      </c>
      <c r="AI27" s="49">
        <v>41</v>
      </c>
      <c r="AJ27" s="49">
        <v>42</v>
      </c>
      <c r="AK27" s="49">
        <v>43</v>
      </c>
      <c r="AL27" s="49">
        <v>44</v>
      </c>
      <c r="AM27" s="49">
        <v>45</v>
      </c>
      <c r="AN27" s="24">
        <v>88</v>
      </c>
      <c r="AO27" s="59">
        <v>89</v>
      </c>
      <c r="AP27" s="54">
        <v>90</v>
      </c>
      <c r="AQ27" s="25">
        <v>91</v>
      </c>
      <c r="AR27" s="23">
        <v>92</v>
      </c>
    </row>
    <row r="28" spans="2:44" ht="13.5" customHeight="1" x14ac:dyDescent="0.4">
      <c r="B28" s="19">
        <v>0.58333333333333304</v>
      </c>
      <c r="C28" s="36">
        <v>51</v>
      </c>
      <c r="D28" s="36">
        <v>52</v>
      </c>
      <c r="E28" s="36">
        <v>53</v>
      </c>
      <c r="F28" s="36">
        <v>54</v>
      </c>
      <c r="G28" s="36">
        <v>0</v>
      </c>
      <c r="H28" s="36">
        <v>1</v>
      </c>
      <c r="I28" s="36">
        <v>2</v>
      </c>
      <c r="J28" s="36">
        <v>3</v>
      </c>
      <c r="K28" s="36">
        <v>4</v>
      </c>
      <c r="L28" s="78">
        <v>5</v>
      </c>
      <c r="M28" s="51">
        <v>61</v>
      </c>
      <c r="N28" s="36">
        <v>62</v>
      </c>
      <c r="O28" s="36">
        <v>63</v>
      </c>
      <c r="P28" s="36">
        <v>64</v>
      </c>
      <c r="Q28" s="36">
        <v>65</v>
      </c>
      <c r="R28" s="1">
        <v>66</v>
      </c>
      <c r="S28" s="8">
        <v>67</v>
      </c>
      <c r="T28" s="9">
        <v>68</v>
      </c>
      <c r="U28" s="8">
        <v>69</v>
      </c>
      <c r="V28" s="9">
        <v>70</v>
      </c>
      <c r="W28" s="8">
        <v>71</v>
      </c>
      <c r="X28" s="9">
        <v>72</v>
      </c>
      <c r="Y28" s="9">
        <v>73</v>
      </c>
      <c r="Z28" s="8">
        <v>74</v>
      </c>
      <c r="AA28" s="9">
        <v>75</v>
      </c>
      <c r="AB28" s="9">
        <v>76</v>
      </c>
      <c r="AC28" s="24">
        <v>77</v>
      </c>
      <c r="AD28" s="24">
        <v>78</v>
      </c>
      <c r="AE28" s="24">
        <v>0</v>
      </c>
      <c r="AF28" s="24">
        <v>80</v>
      </c>
      <c r="AG28" s="24">
        <v>81</v>
      </c>
      <c r="AH28" s="24">
        <v>26</v>
      </c>
      <c r="AI28" s="49">
        <v>41</v>
      </c>
      <c r="AJ28" s="49">
        <v>42</v>
      </c>
      <c r="AK28" s="49">
        <v>43</v>
      </c>
      <c r="AL28" s="49">
        <v>44</v>
      </c>
      <c r="AM28" s="49">
        <v>45</v>
      </c>
      <c r="AN28" s="24">
        <v>88</v>
      </c>
      <c r="AO28" s="59">
        <v>89</v>
      </c>
      <c r="AP28" s="54">
        <v>90</v>
      </c>
      <c r="AQ28" s="25">
        <v>91</v>
      </c>
      <c r="AR28" s="23">
        <v>92</v>
      </c>
    </row>
    <row r="29" spans="2:44" ht="13.5" customHeight="1" x14ac:dyDescent="0.4">
      <c r="B29" s="19">
        <v>0.625</v>
      </c>
      <c r="C29" s="36">
        <v>51</v>
      </c>
      <c r="D29" s="36">
        <v>52</v>
      </c>
      <c r="E29" s="36">
        <v>53</v>
      </c>
      <c r="F29" s="36">
        <v>54</v>
      </c>
      <c r="G29" s="36">
        <v>0</v>
      </c>
      <c r="H29" s="36">
        <v>1</v>
      </c>
      <c r="I29" s="31">
        <v>2</v>
      </c>
      <c r="J29" s="31">
        <v>3</v>
      </c>
      <c r="K29" s="31">
        <v>4</v>
      </c>
      <c r="L29" s="79">
        <v>5</v>
      </c>
      <c r="M29" s="51">
        <v>61</v>
      </c>
      <c r="N29" s="36">
        <v>62</v>
      </c>
      <c r="O29" s="36">
        <v>63</v>
      </c>
      <c r="P29" s="36">
        <v>64</v>
      </c>
      <c r="Q29" s="36">
        <v>65</v>
      </c>
      <c r="R29" s="1">
        <v>66</v>
      </c>
      <c r="S29" s="8">
        <v>67</v>
      </c>
      <c r="T29" s="9">
        <v>68</v>
      </c>
      <c r="U29" s="8">
        <v>69</v>
      </c>
      <c r="V29" s="9">
        <v>70</v>
      </c>
      <c r="W29" s="8">
        <v>71</v>
      </c>
      <c r="X29" s="9">
        <v>72</v>
      </c>
      <c r="Y29" s="9">
        <v>73</v>
      </c>
      <c r="Z29" s="8">
        <v>74</v>
      </c>
      <c r="AA29" s="9">
        <v>75</v>
      </c>
      <c r="AB29" s="9">
        <v>76</v>
      </c>
      <c r="AC29" s="24">
        <v>77</v>
      </c>
      <c r="AD29" s="24">
        <v>78</v>
      </c>
      <c r="AE29" s="24">
        <v>0</v>
      </c>
      <c r="AF29" s="24">
        <v>80</v>
      </c>
      <c r="AG29" s="24">
        <v>81</v>
      </c>
      <c r="AH29" s="24">
        <v>26</v>
      </c>
      <c r="AI29" s="49">
        <v>41</v>
      </c>
      <c r="AJ29" s="49">
        <v>42</v>
      </c>
      <c r="AK29" s="49">
        <v>43</v>
      </c>
      <c r="AL29" s="49">
        <v>44</v>
      </c>
      <c r="AM29" s="49">
        <v>45</v>
      </c>
      <c r="AN29" s="24">
        <v>88</v>
      </c>
      <c r="AO29" s="59">
        <v>89</v>
      </c>
      <c r="AP29" s="54">
        <v>90</v>
      </c>
      <c r="AQ29" s="25">
        <v>91</v>
      </c>
      <c r="AR29" s="23">
        <v>92</v>
      </c>
    </row>
    <row r="30" spans="2:44" ht="13.5" customHeight="1" x14ac:dyDescent="0.4">
      <c r="B30" s="19">
        <v>0.66666666666666596</v>
      </c>
      <c r="C30" s="36">
        <v>51</v>
      </c>
      <c r="D30" s="31">
        <v>52</v>
      </c>
      <c r="E30" s="31">
        <v>53</v>
      </c>
      <c r="F30" s="31">
        <v>54</v>
      </c>
      <c r="G30" s="31">
        <v>0</v>
      </c>
      <c r="H30" s="31">
        <v>1</v>
      </c>
      <c r="I30" s="31">
        <v>2</v>
      </c>
      <c r="J30" s="31">
        <v>3</v>
      </c>
      <c r="K30" s="31">
        <v>4</v>
      </c>
      <c r="L30" s="79">
        <v>5</v>
      </c>
      <c r="M30" s="80">
        <v>61</v>
      </c>
      <c r="N30" s="31">
        <v>62</v>
      </c>
      <c r="O30" s="31">
        <v>63</v>
      </c>
      <c r="P30" s="31">
        <v>64</v>
      </c>
      <c r="Q30" s="31">
        <v>65</v>
      </c>
      <c r="R30" s="2">
        <v>66</v>
      </c>
      <c r="S30" s="8">
        <v>67</v>
      </c>
      <c r="T30" s="9">
        <v>68</v>
      </c>
      <c r="U30" s="8">
        <v>69</v>
      </c>
      <c r="V30" s="9">
        <v>70</v>
      </c>
      <c r="W30" s="8">
        <v>71</v>
      </c>
      <c r="X30" s="9">
        <v>72</v>
      </c>
      <c r="Y30" s="9">
        <v>73</v>
      </c>
      <c r="Z30" s="8">
        <v>74</v>
      </c>
      <c r="AA30" s="9">
        <v>75</v>
      </c>
      <c r="AB30" s="9">
        <v>76</v>
      </c>
      <c r="AC30" s="24">
        <v>77</v>
      </c>
      <c r="AD30" s="24">
        <v>78</v>
      </c>
      <c r="AE30" s="24">
        <v>0</v>
      </c>
      <c r="AF30" s="24">
        <v>80</v>
      </c>
      <c r="AG30" s="24">
        <v>81</v>
      </c>
      <c r="AH30" s="24">
        <v>26</v>
      </c>
      <c r="AI30" s="49">
        <v>41</v>
      </c>
      <c r="AJ30" s="49">
        <v>42</v>
      </c>
      <c r="AK30" s="49">
        <v>43</v>
      </c>
      <c r="AL30" s="49">
        <v>44</v>
      </c>
      <c r="AM30" s="49">
        <v>45</v>
      </c>
      <c r="AN30" s="24">
        <v>88</v>
      </c>
      <c r="AO30" s="59">
        <v>89</v>
      </c>
      <c r="AP30" s="54">
        <v>90</v>
      </c>
      <c r="AQ30" s="25">
        <v>91</v>
      </c>
      <c r="AR30" s="23">
        <v>92</v>
      </c>
    </row>
    <row r="31" spans="2:44" ht="13.5" customHeight="1" x14ac:dyDescent="0.4">
      <c r="B31" s="19">
        <v>0.70833333333333304</v>
      </c>
      <c r="C31" s="36">
        <v>51</v>
      </c>
      <c r="D31" s="36">
        <v>52</v>
      </c>
      <c r="E31" s="36">
        <v>53</v>
      </c>
      <c r="F31" s="36">
        <v>54</v>
      </c>
      <c r="G31" s="36">
        <v>0</v>
      </c>
      <c r="H31" s="36">
        <v>1</v>
      </c>
      <c r="I31" s="36">
        <v>2</v>
      </c>
      <c r="J31" s="36">
        <v>3</v>
      </c>
      <c r="K31" s="36">
        <v>4</v>
      </c>
      <c r="L31" s="78">
        <v>5</v>
      </c>
      <c r="M31" s="51">
        <v>61</v>
      </c>
      <c r="N31" s="36">
        <v>62</v>
      </c>
      <c r="O31" s="36">
        <v>63</v>
      </c>
      <c r="P31" s="36">
        <v>64</v>
      </c>
      <c r="Q31" s="36">
        <v>65</v>
      </c>
      <c r="R31" s="1">
        <v>66</v>
      </c>
      <c r="S31" s="8">
        <v>67</v>
      </c>
      <c r="T31" s="9">
        <v>68</v>
      </c>
      <c r="U31" s="8">
        <v>69</v>
      </c>
      <c r="V31" s="9">
        <v>70</v>
      </c>
      <c r="W31" s="8">
        <v>71</v>
      </c>
      <c r="X31" s="9">
        <v>72</v>
      </c>
      <c r="Y31" s="9">
        <v>73</v>
      </c>
      <c r="Z31" s="8">
        <v>74</v>
      </c>
      <c r="AA31" s="9">
        <v>75</v>
      </c>
      <c r="AB31" s="9">
        <v>76</v>
      </c>
      <c r="AC31" s="24">
        <v>77</v>
      </c>
      <c r="AD31" s="24">
        <v>78</v>
      </c>
      <c r="AE31" s="24">
        <v>0</v>
      </c>
      <c r="AF31" s="24">
        <v>80</v>
      </c>
      <c r="AG31" s="24">
        <v>81</v>
      </c>
      <c r="AH31" s="24">
        <v>26</v>
      </c>
      <c r="AI31" s="49">
        <v>41</v>
      </c>
      <c r="AJ31" s="49">
        <v>42</v>
      </c>
      <c r="AK31" s="49">
        <v>43</v>
      </c>
      <c r="AL31" s="49">
        <v>44</v>
      </c>
      <c r="AM31" s="49">
        <v>45</v>
      </c>
      <c r="AN31" s="24">
        <v>88</v>
      </c>
      <c r="AO31" s="59">
        <v>89</v>
      </c>
      <c r="AP31" s="54">
        <v>90</v>
      </c>
      <c r="AQ31" s="25">
        <v>91</v>
      </c>
      <c r="AR31" s="23">
        <v>92</v>
      </c>
    </row>
    <row r="32" spans="2:44" ht="13.5" customHeight="1" x14ac:dyDescent="0.4">
      <c r="B32" s="19">
        <v>0.75</v>
      </c>
      <c r="C32" s="36">
        <v>51</v>
      </c>
      <c r="D32" s="36">
        <v>52</v>
      </c>
      <c r="E32" s="36">
        <v>53</v>
      </c>
      <c r="F32" s="36">
        <v>54</v>
      </c>
      <c r="G32" s="36">
        <v>0</v>
      </c>
      <c r="H32" s="36">
        <v>1</v>
      </c>
      <c r="I32" s="31">
        <v>2</v>
      </c>
      <c r="J32" s="31">
        <v>3</v>
      </c>
      <c r="K32" s="31">
        <v>4</v>
      </c>
      <c r="L32" s="79">
        <v>5</v>
      </c>
      <c r="M32" s="51">
        <v>61</v>
      </c>
      <c r="N32" s="36">
        <v>62</v>
      </c>
      <c r="O32" s="36">
        <v>63</v>
      </c>
      <c r="P32" s="36">
        <v>64</v>
      </c>
      <c r="Q32" s="36">
        <v>65</v>
      </c>
      <c r="R32" s="1">
        <v>66</v>
      </c>
      <c r="S32" s="8">
        <v>67</v>
      </c>
      <c r="T32" s="9">
        <v>68</v>
      </c>
      <c r="U32" s="8">
        <v>69</v>
      </c>
      <c r="V32" s="9">
        <v>70</v>
      </c>
      <c r="W32" s="8">
        <v>71</v>
      </c>
      <c r="X32" s="9">
        <v>72</v>
      </c>
      <c r="Y32" s="9">
        <v>73</v>
      </c>
      <c r="Z32" s="8">
        <v>74</v>
      </c>
      <c r="AA32" s="9">
        <v>75</v>
      </c>
      <c r="AB32" s="9">
        <v>76</v>
      </c>
      <c r="AC32" s="24">
        <v>77</v>
      </c>
      <c r="AD32" s="24">
        <v>78</v>
      </c>
      <c r="AE32" s="24">
        <v>0</v>
      </c>
      <c r="AF32" s="24">
        <v>80</v>
      </c>
      <c r="AG32" s="24">
        <v>81</v>
      </c>
      <c r="AH32" s="24">
        <v>26</v>
      </c>
      <c r="AI32" s="49">
        <v>41</v>
      </c>
      <c r="AJ32" s="49">
        <v>42</v>
      </c>
      <c r="AK32" s="49">
        <v>43</v>
      </c>
      <c r="AL32" s="49">
        <v>44</v>
      </c>
      <c r="AM32" s="49">
        <v>45</v>
      </c>
      <c r="AN32" s="24">
        <v>88</v>
      </c>
      <c r="AO32" s="59">
        <v>89</v>
      </c>
      <c r="AP32" s="54">
        <v>90</v>
      </c>
      <c r="AQ32" s="25">
        <v>91</v>
      </c>
      <c r="AR32" s="23">
        <v>92</v>
      </c>
    </row>
    <row r="33" spans="2:44" ht="13.5" customHeight="1" x14ac:dyDescent="0.4">
      <c r="B33" s="19">
        <v>0.79166666666666696</v>
      </c>
      <c r="C33" s="36">
        <v>51</v>
      </c>
      <c r="D33" s="31">
        <v>52</v>
      </c>
      <c r="E33" s="31">
        <v>53</v>
      </c>
      <c r="F33" s="31">
        <v>54</v>
      </c>
      <c r="G33" s="31">
        <v>0</v>
      </c>
      <c r="H33" s="31">
        <v>1</v>
      </c>
      <c r="I33" s="31">
        <v>2</v>
      </c>
      <c r="J33" s="31">
        <v>3</v>
      </c>
      <c r="K33" s="31">
        <v>4</v>
      </c>
      <c r="L33" s="79">
        <v>5</v>
      </c>
      <c r="M33" s="80">
        <v>61</v>
      </c>
      <c r="N33" s="31">
        <v>62</v>
      </c>
      <c r="O33" s="31">
        <v>63</v>
      </c>
      <c r="P33" s="31">
        <v>64</v>
      </c>
      <c r="Q33" s="31">
        <v>65</v>
      </c>
      <c r="R33" s="2">
        <v>66</v>
      </c>
      <c r="S33" s="8">
        <v>67</v>
      </c>
      <c r="T33" s="9">
        <v>68</v>
      </c>
      <c r="U33" s="8">
        <v>69</v>
      </c>
      <c r="V33" s="9">
        <v>70</v>
      </c>
      <c r="W33" s="8">
        <v>71</v>
      </c>
      <c r="X33" s="9">
        <v>72</v>
      </c>
      <c r="Y33" s="9">
        <v>73</v>
      </c>
      <c r="Z33" s="8">
        <v>74</v>
      </c>
      <c r="AA33" s="9">
        <v>75</v>
      </c>
      <c r="AB33" s="9">
        <v>76</v>
      </c>
      <c r="AC33" s="24">
        <v>77</v>
      </c>
      <c r="AD33" s="24">
        <v>78</v>
      </c>
      <c r="AE33" s="24">
        <v>0</v>
      </c>
      <c r="AF33" s="24">
        <v>80</v>
      </c>
      <c r="AG33" s="24">
        <v>81</v>
      </c>
      <c r="AH33" s="24">
        <v>26</v>
      </c>
      <c r="AI33" s="49">
        <v>41</v>
      </c>
      <c r="AJ33" s="49">
        <v>42</v>
      </c>
      <c r="AK33" s="49">
        <v>43</v>
      </c>
      <c r="AL33" s="49">
        <v>44</v>
      </c>
      <c r="AM33" s="49">
        <v>45</v>
      </c>
      <c r="AN33" s="24">
        <v>88</v>
      </c>
      <c r="AO33" s="59">
        <v>89</v>
      </c>
      <c r="AP33" s="54">
        <v>90</v>
      </c>
      <c r="AQ33" s="25">
        <v>91</v>
      </c>
      <c r="AR33" s="23">
        <v>92</v>
      </c>
    </row>
    <row r="34" spans="2:44" ht="13.5" customHeight="1" x14ac:dyDescent="0.4">
      <c r="B34" s="20">
        <v>0.83333333333333304</v>
      </c>
      <c r="C34" s="46">
        <v>51</v>
      </c>
      <c r="D34" s="46">
        <v>52</v>
      </c>
      <c r="E34" s="46">
        <v>53</v>
      </c>
      <c r="F34" s="46">
        <v>54</v>
      </c>
      <c r="G34" s="46">
        <v>0</v>
      </c>
      <c r="H34" s="46">
        <v>1</v>
      </c>
      <c r="I34" s="46">
        <v>2</v>
      </c>
      <c r="J34" s="46">
        <v>3</v>
      </c>
      <c r="K34" s="46">
        <v>4</v>
      </c>
      <c r="L34" s="81">
        <v>5</v>
      </c>
      <c r="M34" s="52">
        <v>61</v>
      </c>
      <c r="N34" s="46">
        <v>62</v>
      </c>
      <c r="O34" s="46">
        <v>63</v>
      </c>
      <c r="P34" s="46">
        <v>64</v>
      </c>
      <c r="Q34" s="46">
        <v>65</v>
      </c>
      <c r="R34" s="6">
        <v>66</v>
      </c>
      <c r="S34" s="10">
        <v>67</v>
      </c>
      <c r="T34" s="11">
        <v>68</v>
      </c>
      <c r="U34" s="10">
        <v>69</v>
      </c>
      <c r="V34" s="11">
        <v>70</v>
      </c>
      <c r="W34" s="10">
        <v>71</v>
      </c>
      <c r="X34" s="11">
        <v>72</v>
      </c>
      <c r="Y34" s="11">
        <v>73</v>
      </c>
      <c r="Z34" s="10">
        <v>74</v>
      </c>
      <c r="AA34" s="11">
        <v>75</v>
      </c>
      <c r="AB34" s="11">
        <v>76</v>
      </c>
      <c r="AC34" s="13">
        <v>77</v>
      </c>
      <c r="AD34" s="13">
        <v>78</v>
      </c>
      <c r="AE34" s="13">
        <v>0</v>
      </c>
      <c r="AF34" s="13">
        <v>80</v>
      </c>
      <c r="AG34" s="13">
        <v>81</v>
      </c>
      <c r="AH34" s="13">
        <v>26</v>
      </c>
      <c r="AI34" s="58">
        <v>41</v>
      </c>
      <c r="AJ34" s="58">
        <v>42</v>
      </c>
      <c r="AK34" s="58">
        <v>43</v>
      </c>
      <c r="AL34" s="58">
        <v>44</v>
      </c>
      <c r="AM34" s="58">
        <v>45</v>
      </c>
      <c r="AN34" s="13">
        <v>88</v>
      </c>
      <c r="AO34" s="60">
        <v>89</v>
      </c>
      <c r="AP34" s="61">
        <v>90</v>
      </c>
      <c r="AQ34" s="22">
        <v>91</v>
      </c>
      <c r="AR34" s="21">
        <v>92</v>
      </c>
    </row>
    <row r="35" spans="2:44" s="29" customFormat="1" ht="15" customHeight="1" x14ac:dyDescent="0.4">
      <c r="B35" s="138" t="s">
        <v>183</v>
      </c>
      <c r="C35" s="91" t="s">
        <v>38</v>
      </c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3" t="s">
        <v>218</v>
      </c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5"/>
      <c r="AK35" s="149" t="s">
        <v>48</v>
      </c>
      <c r="AL35" s="170"/>
      <c r="AM35" s="96" t="s">
        <v>225</v>
      </c>
      <c r="AN35" s="97"/>
      <c r="AO35" s="86"/>
      <c r="AP35" s="86"/>
      <c r="AQ35" s="86"/>
      <c r="AR35" s="87"/>
    </row>
    <row r="36" spans="2:44" s="29" customFormat="1" ht="20.1" customHeight="1" x14ac:dyDescent="0.4">
      <c r="B36" s="139"/>
      <c r="C36" s="102" t="s">
        <v>32</v>
      </c>
      <c r="D36" s="167"/>
      <c r="E36" s="102" t="s">
        <v>33</v>
      </c>
      <c r="F36" s="168"/>
      <c r="G36" s="167"/>
      <c r="H36" s="98" t="s">
        <v>278</v>
      </c>
      <c r="I36" s="99"/>
      <c r="J36" s="32" t="s">
        <v>27</v>
      </c>
      <c r="K36" s="32" t="s">
        <v>30</v>
      </c>
      <c r="L36" s="32" t="s">
        <v>193</v>
      </c>
      <c r="M36" s="100" t="s">
        <v>194</v>
      </c>
      <c r="N36" s="101"/>
      <c r="O36" s="32" t="s">
        <v>26</v>
      </c>
      <c r="P36" s="32" t="s">
        <v>199</v>
      </c>
      <c r="Q36" s="102" t="s">
        <v>201</v>
      </c>
      <c r="R36" s="169"/>
      <c r="S36" s="102" t="s">
        <v>204</v>
      </c>
      <c r="T36" s="169"/>
      <c r="U36" s="102" t="s">
        <v>203</v>
      </c>
      <c r="V36" s="103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04" t="s">
        <v>46</v>
      </c>
      <c r="AI36" s="105"/>
      <c r="AJ36" s="106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9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9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38">
        <v>0.33333333333333331</v>
      </c>
      <c r="C39" s="36">
        <v>101</v>
      </c>
      <c r="D39" s="36">
        <v>102</v>
      </c>
      <c r="E39" s="36">
        <v>103</v>
      </c>
      <c r="F39" s="36">
        <v>104</v>
      </c>
      <c r="G39" s="36">
        <v>105</v>
      </c>
      <c r="H39" s="36">
        <v>106</v>
      </c>
      <c r="I39" s="36">
        <v>107</v>
      </c>
      <c r="J39" s="36">
        <v>108</v>
      </c>
      <c r="K39" s="31">
        <v>109</v>
      </c>
      <c r="L39" s="31">
        <v>110</v>
      </c>
      <c r="M39" s="31">
        <v>111</v>
      </c>
      <c r="N39" s="31">
        <v>112</v>
      </c>
      <c r="O39" s="36">
        <v>113</v>
      </c>
      <c r="P39" s="36">
        <v>114</v>
      </c>
      <c r="Q39" s="36">
        <v>115</v>
      </c>
      <c r="R39" s="36">
        <v>116</v>
      </c>
      <c r="S39" s="36">
        <v>117</v>
      </c>
      <c r="T39" s="36">
        <v>118</v>
      </c>
      <c r="U39" s="34">
        <v>119</v>
      </c>
      <c r="V39" s="73">
        <v>120</v>
      </c>
      <c r="W39" s="66">
        <v>121</v>
      </c>
      <c r="X39" s="33">
        <v>122</v>
      </c>
      <c r="Y39" s="34">
        <v>123</v>
      </c>
      <c r="Z39" s="33">
        <v>124</v>
      </c>
      <c r="AA39" s="33">
        <v>125</v>
      </c>
      <c r="AB39" s="34">
        <v>126</v>
      </c>
      <c r="AC39" s="33">
        <v>127</v>
      </c>
      <c r="AD39" s="33">
        <v>128</v>
      </c>
      <c r="AE39" s="27">
        <v>129</v>
      </c>
      <c r="AF39" s="27">
        <v>130</v>
      </c>
      <c r="AG39" s="27">
        <v>36</v>
      </c>
      <c r="AH39" s="27">
        <v>132</v>
      </c>
      <c r="AI39" s="27">
        <v>133</v>
      </c>
      <c r="AJ39" s="27">
        <v>134</v>
      </c>
      <c r="AK39" s="27">
        <v>135</v>
      </c>
      <c r="AL39" s="63">
        <v>136</v>
      </c>
      <c r="AM39" s="47">
        <v>56</v>
      </c>
      <c r="AN39" s="49">
        <v>62</v>
      </c>
      <c r="AO39" s="27">
        <v>139</v>
      </c>
      <c r="AP39" s="27">
        <v>140</v>
      </c>
      <c r="AQ39" s="27">
        <v>141</v>
      </c>
      <c r="AR39" s="28">
        <v>142</v>
      </c>
    </row>
    <row r="40" spans="2:44" s="29" customFormat="1" ht="13.5" customHeight="1" x14ac:dyDescent="0.4">
      <c r="B40" s="38">
        <v>0.375</v>
      </c>
      <c r="C40" s="31">
        <v>101</v>
      </c>
      <c r="D40" s="31">
        <v>0</v>
      </c>
      <c r="E40" s="31">
        <v>103</v>
      </c>
      <c r="F40" s="31">
        <v>104</v>
      </c>
      <c r="G40" s="31">
        <v>0</v>
      </c>
      <c r="H40" s="31">
        <v>106</v>
      </c>
      <c r="I40" s="31">
        <v>0</v>
      </c>
      <c r="J40" s="31">
        <v>108</v>
      </c>
      <c r="K40" s="31">
        <v>109</v>
      </c>
      <c r="L40" s="31">
        <v>110</v>
      </c>
      <c r="M40" s="31">
        <v>111</v>
      </c>
      <c r="N40" s="31">
        <v>0</v>
      </c>
      <c r="O40" s="31">
        <v>113</v>
      </c>
      <c r="P40" s="31">
        <v>114</v>
      </c>
      <c r="Q40" s="31">
        <v>115</v>
      </c>
      <c r="R40" s="31">
        <v>0</v>
      </c>
      <c r="S40" s="31">
        <v>117</v>
      </c>
      <c r="T40" s="31">
        <v>0</v>
      </c>
      <c r="U40" s="34">
        <v>119</v>
      </c>
      <c r="V40" s="73">
        <v>0</v>
      </c>
      <c r="W40" s="66">
        <v>121</v>
      </c>
      <c r="X40" s="33">
        <v>122</v>
      </c>
      <c r="Y40" s="34">
        <v>123</v>
      </c>
      <c r="Z40" s="33">
        <v>124</v>
      </c>
      <c r="AA40" s="33">
        <v>125</v>
      </c>
      <c r="AB40" s="34">
        <v>126</v>
      </c>
      <c r="AC40" s="33">
        <v>127</v>
      </c>
      <c r="AD40" s="33">
        <v>128</v>
      </c>
      <c r="AE40" s="27">
        <v>129</v>
      </c>
      <c r="AF40" s="27">
        <v>130</v>
      </c>
      <c r="AG40" s="27">
        <v>36</v>
      </c>
      <c r="AH40" s="27">
        <v>132</v>
      </c>
      <c r="AI40" s="27">
        <v>133</v>
      </c>
      <c r="AJ40" s="27">
        <v>0</v>
      </c>
      <c r="AK40" s="27">
        <v>135</v>
      </c>
      <c r="AL40" s="63">
        <v>136</v>
      </c>
      <c r="AM40" s="47">
        <v>56</v>
      </c>
      <c r="AN40" s="49">
        <v>62</v>
      </c>
      <c r="AO40" s="27"/>
      <c r="AP40" s="27"/>
      <c r="AQ40" s="27"/>
      <c r="AR40" s="28"/>
    </row>
    <row r="41" spans="2:44" s="29" customFormat="1" ht="13.5" customHeight="1" x14ac:dyDescent="0.4">
      <c r="B41" s="38">
        <v>0.41666666666666702</v>
      </c>
      <c r="C41" s="36">
        <v>101</v>
      </c>
      <c r="D41" s="36">
        <v>0</v>
      </c>
      <c r="E41" s="36">
        <v>103</v>
      </c>
      <c r="F41" s="36">
        <v>104</v>
      </c>
      <c r="G41" s="36">
        <v>0</v>
      </c>
      <c r="H41" s="36">
        <v>106</v>
      </c>
      <c r="I41" s="36">
        <v>0</v>
      </c>
      <c r="J41" s="36">
        <v>108</v>
      </c>
      <c r="K41" s="36">
        <v>109</v>
      </c>
      <c r="L41" s="36">
        <v>110</v>
      </c>
      <c r="M41" s="36">
        <v>111</v>
      </c>
      <c r="N41" s="36">
        <v>0</v>
      </c>
      <c r="O41" s="36">
        <v>113</v>
      </c>
      <c r="P41" s="36">
        <v>114</v>
      </c>
      <c r="Q41" s="36">
        <v>115</v>
      </c>
      <c r="R41" s="36">
        <v>0</v>
      </c>
      <c r="S41" s="36">
        <v>117</v>
      </c>
      <c r="T41" s="36">
        <v>0</v>
      </c>
      <c r="U41" s="34">
        <v>119</v>
      </c>
      <c r="V41" s="73">
        <v>0</v>
      </c>
      <c r="W41" s="66">
        <v>121</v>
      </c>
      <c r="X41" s="33">
        <v>122</v>
      </c>
      <c r="Y41" s="34">
        <v>123</v>
      </c>
      <c r="Z41" s="33">
        <v>124</v>
      </c>
      <c r="AA41" s="33">
        <v>125</v>
      </c>
      <c r="AB41" s="34">
        <v>126</v>
      </c>
      <c r="AC41" s="33">
        <v>127</v>
      </c>
      <c r="AD41" s="33">
        <v>128</v>
      </c>
      <c r="AE41" s="27">
        <v>129</v>
      </c>
      <c r="AF41" s="27">
        <v>130</v>
      </c>
      <c r="AG41" s="27">
        <v>36</v>
      </c>
      <c r="AH41" s="27">
        <v>132</v>
      </c>
      <c r="AI41" s="27">
        <v>133</v>
      </c>
      <c r="AJ41" s="27">
        <v>0</v>
      </c>
      <c r="AK41" s="27">
        <v>135</v>
      </c>
      <c r="AL41" s="63">
        <v>136</v>
      </c>
      <c r="AM41" s="47">
        <v>56</v>
      </c>
      <c r="AN41" s="49">
        <v>62</v>
      </c>
      <c r="AO41" s="27"/>
      <c r="AP41" s="27"/>
      <c r="AQ41" s="27"/>
      <c r="AR41" s="28"/>
    </row>
    <row r="42" spans="2:44" s="29" customFormat="1" ht="13.5" customHeight="1" x14ac:dyDescent="0.4">
      <c r="B42" s="38">
        <v>0.45833333333333298</v>
      </c>
      <c r="C42" s="36">
        <v>101</v>
      </c>
      <c r="D42" s="36">
        <v>0</v>
      </c>
      <c r="E42" s="36">
        <v>103</v>
      </c>
      <c r="F42" s="36">
        <v>104</v>
      </c>
      <c r="G42" s="36">
        <v>0</v>
      </c>
      <c r="H42" s="36">
        <v>106</v>
      </c>
      <c r="I42" s="36">
        <v>0</v>
      </c>
      <c r="J42" s="36">
        <v>108</v>
      </c>
      <c r="K42" s="36">
        <v>109</v>
      </c>
      <c r="L42" s="36">
        <v>110</v>
      </c>
      <c r="M42" s="36">
        <v>111</v>
      </c>
      <c r="N42" s="36">
        <v>0</v>
      </c>
      <c r="O42" s="36">
        <v>113</v>
      </c>
      <c r="P42" s="36">
        <v>114</v>
      </c>
      <c r="Q42" s="36">
        <v>115</v>
      </c>
      <c r="R42" s="36">
        <v>0</v>
      </c>
      <c r="S42" s="36">
        <v>117</v>
      </c>
      <c r="T42" s="36">
        <v>0</v>
      </c>
      <c r="U42" s="34">
        <v>119</v>
      </c>
      <c r="V42" s="73">
        <v>0</v>
      </c>
      <c r="W42" s="66">
        <v>121</v>
      </c>
      <c r="X42" s="33">
        <v>122</v>
      </c>
      <c r="Y42" s="34">
        <v>123</v>
      </c>
      <c r="Z42" s="33">
        <v>124</v>
      </c>
      <c r="AA42" s="33">
        <v>125</v>
      </c>
      <c r="AB42" s="34">
        <v>126</v>
      </c>
      <c r="AC42" s="33">
        <v>127</v>
      </c>
      <c r="AD42" s="33">
        <v>128</v>
      </c>
      <c r="AE42" s="27">
        <v>129</v>
      </c>
      <c r="AF42" s="27">
        <v>130</v>
      </c>
      <c r="AG42" s="27">
        <v>36</v>
      </c>
      <c r="AH42" s="27">
        <v>132</v>
      </c>
      <c r="AI42" s="27">
        <v>133</v>
      </c>
      <c r="AJ42" s="27">
        <v>0</v>
      </c>
      <c r="AK42" s="27">
        <v>135</v>
      </c>
      <c r="AL42" s="63">
        <v>136</v>
      </c>
      <c r="AM42" s="47">
        <v>56</v>
      </c>
      <c r="AN42" s="49">
        <v>62</v>
      </c>
      <c r="AO42" s="27"/>
      <c r="AP42" s="27"/>
      <c r="AQ42" s="27"/>
      <c r="AR42" s="28"/>
    </row>
    <row r="43" spans="2:44" s="29" customFormat="1" ht="13.5" customHeight="1" x14ac:dyDescent="0.4">
      <c r="B43" s="38">
        <v>0.5</v>
      </c>
      <c r="C43" s="36">
        <v>101</v>
      </c>
      <c r="D43" s="36">
        <v>0</v>
      </c>
      <c r="E43" s="36">
        <v>103</v>
      </c>
      <c r="F43" s="36">
        <v>104</v>
      </c>
      <c r="G43" s="36">
        <v>0</v>
      </c>
      <c r="H43" s="36">
        <v>106</v>
      </c>
      <c r="I43" s="36">
        <v>0</v>
      </c>
      <c r="J43" s="36">
        <v>108</v>
      </c>
      <c r="K43" s="36">
        <v>109</v>
      </c>
      <c r="L43" s="36">
        <v>110</v>
      </c>
      <c r="M43" s="36">
        <v>111</v>
      </c>
      <c r="N43" s="36">
        <v>0</v>
      </c>
      <c r="O43" s="36">
        <v>113</v>
      </c>
      <c r="P43" s="36">
        <v>114</v>
      </c>
      <c r="Q43" s="36">
        <v>115</v>
      </c>
      <c r="R43" s="36">
        <v>0</v>
      </c>
      <c r="S43" s="36">
        <v>117</v>
      </c>
      <c r="T43" s="36">
        <v>0</v>
      </c>
      <c r="U43" s="34">
        <v>119</v>
      </c>
      <c r="V43" s="73">
        <v>0</v>
      </c>
      <c r="W43" s="66">
        <v>121</v>
      </c>
      <c r="X43" s="33">
        <v>122</v>
      </c>
      <c r="Y43" s="34">
        <v>123</v>
      </c>
      <c r="Z43" s="33">
        <v>124</v>
      </c>
      <c r="AA43" s="33">
        <v>125</v>
      </c>
      <c r="AB43" s="34">
        <v>126</v>
      </c>
      <c r="AC43" s="33">
        <v>127</v>
      </c>
      <c r="AD43" s="33">
        <v>128</v>
      </c>
      <c r="AE43" s="27">
        <v>129</v>
      </c>
      <c r="AF43" s="27">
        <v>130</v>
      </c>
      <c r="AG43" s="27">
        <v>36</v>
      </c>
      <c r="AH43" s="27">
        <v>132</v>
      </c>
      <c r="AI43" s="27">
        <v>133</v>
      </c>
      <c r="AJ43" s="27">
        <v>0</v>
      </c>
      <c r="AK43" s="27">
        <v>135</v>
      </c>
      <c r="AL43" s="63">
        <v>136</v>
      </c>
      <c r="AM43" s="47">
        <v>56</v>
      </c>
      <c r="AN43" s="49">
        <v>62</v>
      </c>
      <c r="AO43" s="27"/>
      <c r="AP43" s="27"/>
      <c r="AQ43" s="27"/>
      <c r="AR43" s="28"/>
    </row>
    <row r="44" spans="2:44" s="29" customFormat="1" ht="13.5" customHeight="1" x14ac:dyDescent="0.4">
      <c r="B44" s="38">
        <v>0.54166666666666596</v>
      </c>
      <c r="C44" s="36">
        <v>101</v>
      </c>
      <c r="D44" s="36">
        <v>0</v>
      </c>
      <c r="E44" s="36">
        <v>103</v>
      </c>
      <c r="F44" s="36">
        <v>104</v>
      </c>
      <c r="G44" s="36">
        <v>0</v>
      </c>
      <c r="H44" s="36">
        <v>106</v>
      </c>
      <c r="I44" s="36">
        <v>0</v>
      </c>
      <c r="J44" s="36">
        <v>108</v>
      </c>
      <c r="K44" s="36">
        <v>109</v>
      </c>
      <c r="L44" s="36">
        <v>110</v>
      </c>
      <c r="M44" s="36">
        <v>111</v>
      </c>
      <c r="N44" s="36">
        <v>0</v>
      </c>
      <c r="O44" s="36">
        <v>113</v>
      </c>
      <c r="P44" s="36">
        <v>114</v>
      </c>
      <c r="Q44" s="36">
        <v>115</v>
      </c>
      <c r="R44" s="36">
        <v>0</v>
      </c>
      <c r="S44" s="36">
        <v>117</v>
      </c>
      <c r="T44" s="36">
        <v>0</v>
      </c>
      <c r="U44" s="34">
        <v>119</v>
      </c>
      <c r="V44" s="73">
        <v>0</v>
      </c>
      <c r="W44" s="66">
        <v>121</v>
      </c>
      <c r="X44" s="33">
        <v>122</v>
      </c>
      <c r="Y44" s="34">
        <v>123</v>
      </c>
      <c r="Z44" s="33">
        <v>124</v>
      </c>
      <c r="AA44" s="33">
        <v>125</v>
      </c>
      <c r="AB44" s="34">
        <v>126</v>
      </c>
      <c r="AC44" s="33">
        <v>127</v>
      </c>
      <c r="AD44" s="33">
        <v>128</v>
      </c>
      <c r="AE44" s="27">
        <v>129</v>
      </c>
      <c r="AF44" s="27">
        <v>130</v>
      </c>
      <c r="AG44" s="27">
        <v>36</v>
      </c>
      <c r="AH44" s="27">
        <v>132</v>
      </c>
      <c r="AI44" s="27">
        <v>133</v>
      </c>
      <c r="AJ44" s="27">
        <v>0</v>
      </c>
      <c r="AK44" s="27">
        <v>135</v>
      </c>
      <c r="AL44" s="63">
        <v>136</v>
      </c>
      <c r="AM44" s="47">
        <v>56</v>
      </c>
      <c r="AN44" s="49">
        <v>62</v>
      </c>
      <c r="AO44" s="27"/>
      <c r="AP44" s="27"/>
      <c r="AQ44" s="27"/>
      <c r="AR44" s="28"/>
    </row>
    <row r="45" spans="2:44" s="29" customFormat="1" ht="13.5" customHeight="1" x14ac:dyDescent="0.4">
      <c r="B45" s="38">
        <v>0.58333333333333304</v>
      </c>
      <c r="C45" s="36">
        <v>101</v>
      </c>
      <c r="D45" s="36">
        <v>0</v>
      </c>
      <c r="E45" s="36">
        <v>103</v>
      </c>
      <c r="F45" s="36">
        <v>104</v>
      </c>
      <c r="G45" s="36">
        <v>0</v>
      </c>
      <c r="H45" s="36">
        <v>106</v>
      </c>
      <c r="I45" s="36">
        <v>0</v>
      </c>
      <c r="J45" s="36">
        <v>108</v>
      </c>
      <c r="K45" s="36">
        <v>109</v>
      </c>
      <c r="L45" s="36">
        <v>110</v>
      </c>
      <c r="M45" s="36">
        <v>111</v>
      </c>
      <c r="N45" s="36">
        <v>0</v>
      </c>
      <c r="O45" s="36">
        <v>113</v>
      </c>
      <c r="P45" s="36">
        <v>114</v>
      </c>
      <c r="Q45" s="36">
        <v>115</v>
      </c>
      <c r="R45" s="36">
        <v>0</v>
      </c>
      <c r="S45" s="36">
        <v>117</v>
      </c>
      <c r="T45" s="36">
        <v>0</v>
      </c>
      <c r="U45" s="34">
        <v>119</v>
      </c>
      <c r="V45" s="73">
        <v>0</v>
      </c>
      <c r="W45" s="66">
        <v>121</v>
      </c>
      <c r="X45" s="33">
        <v>122</v>
      </c>
      <c r="Y45" s="34">
        <v>123</v>
      </c>
      <c r="Z45" s="33">
        <v>124</v>
      </c>
      <c r="AA45" s="33">
        <v>125</v>
      </c>
      <c r="AB45" s="34">
        <v>126</v>
      </c>
      <c r="AC45" s="33">
        <v>127</v>
      </c>
      <c r="AD45" s="33">
        <v>128</v>
      </c>
      <c r="AE45" s="27">
        <v>129</v>
      </c>
      <c r="AF45" s="27">
        <v>130</v>
      </c>
      <c r="AG45" s="27">
        <v>36</v>
      </c>
      <c r="AH45" s="27">
        <v>132</v>
      </c>
      <c r="AI45" s="27">
        <v>133</v>
      </c>
      <c r="AJ45" s="27">
        <v>0</v>
      </c>
      <c r="AK45" s="27">
        <v>135</v>
      </c>
      <c r="AL45" s="63">
        <v>136</v>
      </c>
      <c r="AM45" s="47">
        <v>56</v>
      </c>
      <c r="AN45" s="49">
        <v>62</v>
      </c>
      <c r="AO45" s="27"/>
      <c r="AP45" s="27"/>
      <c r="AQ45" s="27"/>
      <c r="AR45" s="28"/>
    </row>
    <row r="46" spans="2:44" s="29" customFormat="1" ht="13.5" customHeight="1" x14ac:dyDescent="0.4">
      <c r="B46" s="38">
        <v>0.625</v>
      </c>
      <c r="C46" s="36">
        <v>101</v>
      </c>
      <c r="D46" s="36">
        <v>0</v>
      </c>
      <c r="E46" s="36">
        <v>103</v>
      </c>
      <c r="F46" s="36">
        <v>104</v>
      </c>
      <c r="G46" s="36">
        <v>0</v>
      </c>
      <c r="H46" s="36">
        <v>106</v>
      </c>
      <c r="I46" s="36">
        <v>0</v>
      </c>
      <c r="J46" s="36">
        <v>108</v>
      </c>
      <c r="K46" s="36">
        <v>109</v>
      </c>
      <c r="L46" s="36">
        <v>110</v>
      </c>
      <c r="M46" s="36">
        <v>111</v>
      </c>
      <c r="N46" s="36">
        <v>0</v>
      </c>
      <c r="O46" s="36">
        <v>113</v>
      </c>
      <c r="P46" s="36">
        <v>114</v>
      </c>
      <c r="Q46" s="36">
        <v>115</v>
      </c>
      <c r="R46" s="36">
        <v>0</v>
      </c>
      <c r="S46" s="36">
        <v>117</v>
      </c>
      <c r="T46" s="36">
        <v>0</v>
      </c>
      <c r="U46" s="34">
        <v>119</v>
      </c>
      <c r="V46" s="73">
        <v>0</v>
      </c>
      <c r="W46" s="66">
        <v>121</v>
      </c>
      <c r="X46" s="33">
        <v>122</v>
      </c>
      <c r="Y46" s="34">
        <v>123</v>
      </c>
      <c r="Z46" s="33">
        <v>124</v>
      </c>
      <c r="AA46" s="33">
        <v>125</v>
      </c>
      <c r="AB46" s="34">
        <v>126</v>
      </c>
      <c r="AC46" s="33">
        <v>127</v>
      </c>
      <c r="AD46" s="33">
        <v>128</v>
      </c>
      <c r="AE46" s="27">
        <v>129</v>
      </c>
      <c r="AF46" s="27">
        <v>130</v>
      </c>
      <c r="AG46" s="27">
        <v>36</v>
      </c>
      <c r="AH46" s="27">
        <v>132</v>
      </c>
      <c r="AI46" s="27">
        <v>133</v>
      </c>
      <c r="AJ46" s="27">
        <v>0</v>
      </c>
      <c r="AK46" s="27">
        <v>135</v>
      </c>
      <c r="AL46" s="63">
        <v>136</v>
      </c>
      <c r="AM46" s="47">
        <v>56</v>
      </c>
      <c r="AN46" s="49">
        <v>62</v>
      </c>
      <c r="AO46" s="27"/>
      <c r="AP46" s="27"/>
      <c r="AQ46" s="27"/>
      <c r="AR46" s="28"/>
    </row>
    <row r="47" spans="2:44" s="29" customFormat="1" ht="13.5" customHeight="1" x14ac:dyDescent="0.4">
      <c r="B47" s="38">
        <v>0.66666666666666596</v>
      </c>
      <c r="C47" s="36">
        <v>101</v>
      </c>
      <c r="D47" s="36">
        <v>0</v>
      </c>
      <c r="E47" s="36">
        <v>103</v>
      </c>
      <c r="F47" s="36">
        <v>104</v>
      </c>
      <c r="G47" s="36">
        <v>0</v>
      </c>
      <c r="H47" s="36">
        <v>106</v>
      </c>
      <c r="I47" s="36">
        <v>0</v>
      </c>
      <c r="J47" s="36">
        <v>108</v>
      </c>
      <c r="K47" s="36">
        <v>109</v>
      </c>
      <c r="L47" s="36">
        <v>110</v>
      </c>
      <c r="M47" s="36">
        <v>111</v>
      </c>
      <c r="N47" s="36">
        <v>0</v>
      </c>
      <c r="O47" s="36">
        <v>113</v>
      </c>
      <c r="P47" s="36">
        <v>114</v>
      </c>
      <c r="Q47" s="36">
        <v>115</v>
      </c>
      <c r="R47" s="36">
        <v>0</v>
      </c>
      <c r="S47" s="36">
        <v>117</v>
      </c>
      <c r="T47" s="36">
        <v>0</v>
      </c>
      <c r="U47" s="34">
        <v>119</v>
      </c>
      <c r="V47" s="73">
        <v>0</v>
      </c>
      <c r="W47" s="66">
        <v>121</v>
      </c>
      <c r="X47" s="33">
        <v>122</v>
      </c>
      <c r="Y47" s="34">
        <v>123</v>
      </c>
      <c r="Z47" s="33">
        <v>124</v>
      </c>
      <c r="AA47" s="33">
        <v>125</v>
      </c>
      <c r="AB47" s="34">
        <v>126</v>
      </c>
      <c r="AC47" s="33">
        <v>127</v>
      </c>
      <c r="AD47" s="33">
        <v>128</v>
      </c>
      <c r="AE47" s="27">
        <v>129</v>
      </c>
      <c r="AF47" s="27">
        <v>130</v>
      </c>
      <c r="AG47" s="27">
        <v>36</v>
      </c>
      <c r="AH47" s="27">
        <v>132</v>
      </c>
      <c r="AI47" s="27">
        <v>133</v>
      </c>
      <c r="AJ47" s="27">
        <v>0</v>
      </c>
      <c r="AK47" s="27">
        <v>135</v>
      </c>
      <c r="AL47" s="63">
        <v>136</v>
      </c>
      <c r="AM47" s="47">
        <v>56</v>
      </c>
      <c r="AN47" s="49">
        <v>62</v>
      </c>
      <c r="AO47" s="27"/>
      <c r="AP47" s="27"/>
      <c r="AQ47" s="27"/>
      <c r="AR47" s="28"/>
    </row>
    <row r="48" spans="2:44" s="29" customFormat="1" ht="13.5" customHeight="1" x14ac:dyDescent="0.4">
      <c r="B48" s="38">
        <v>0.70833333333333304</v>
      </c>
      <c r="C48" s="36">
        <v>101</v>
      </c>
      <c r="D48" s="36">
        <v>0</v>
      </c>
      <c r="E48" s="36">
        <v>103</v>
      </c>
      <c r="F48" s="36">
        <v>104</v>
      </c>
      <c r="G48" s="36">
        <v>0</v>
      </c>
      <c r="H48" s="36">
        <v>106</v>
      </c>
      <c r="I48" s="36">
        <v>0</v>
      </c>
      <c r="J48" s="36">
        <v>108</v>
      </c>
      <c r="K48" s="36">
        <v>109</v>
      </c>
      <c r="L48" s="36">
        <v>110</v>
      </c>
      <c r="M48" s="36">
        <v>111</v>
      </c>
      <c r="N48" s="36">
        <v>0</v>
      </c>
      <c r="O48" s="36">
        <v>113</v>
      </c>
      <c r="P48" s="36">
        <v>114</v>
      </c>
      <c r="Q48" s="36">
        <v>115</v>
      </c>
      <c r="R48" s="36">
        <v>0</v>
      </c>
      <c r="S48" s="36">
        <v>117</v>
      </c>
      <c r="T48" s="36">
        <v>0</v>
      </c>
      <c r="U48" s="34">
        <v>119</v>
      </c>
      <c r="V48" s="73">
        <v>0</v>
      </c>
      <c r="W48" s="66">
        <v>121</v>
      </c>
      <c r="X48" s="33">
        <v>122</v>
      </c>
      <c r="Y48" s="34">
        <v>123</v>
      </c>
      <c r="Z48" s="33">
        <v>124</v>
      </c>
      <c r="AA48" s="33">
        <v>125</v>
      </c>
      <c r="AB48" s="34">
        <v>126</v>
      </c>
      <c r="AC48" s="33">
        <v>127</v>
      </c>
      <c r="AD48" s="33">
        <v>128</v>
      </c>
      <c r="AE48" s="27">
        <v>129</v>
      </c>
      <c r="AF48" s="27">
        <v>130</v>
      </c>
      <c r="AG48" s="27">
        <v>36</v>
      </c>
      <c r="AH48" s="27">
        <v>132</v>
      </c>
      <c r="AI48" s="27">
        <v>133</v>
      </c>
      <c r="AJ48" s="27">
        <v>0</v>
      </c>
      <c r="AK48" s="27">
        <v>135</v>
      </c>
      <c r="AL48" s="63">
        <v>136</v>
      </c>
      <c r="AM48" s="47">
        <v>56</v>
      </c>
      <c r="AN48" s="49">
        <v>62</v>
      </c>
      <c r="AO48" s="27"/>
      <c r="AP48" s="27"/>
      <c r="AQ48" s="27"/>
      <c r="AR48" s="28"/>
    </row>
    <row r="49" spans="2:44" s="29" customFormat="1" ht="13.5" customHeight="1" x14ac:dyDescent="0.4">
      <c r="B49" s="38">
        <v>0.75</v>
      </c>
      <c r="C49" s="36">
        <v>101</v>
      </c>
      <c r="D49" s="36">
        <v>0</v>
      </c>
      <c r="E49" s="36">
        <v>103</v>
      </c>
      <c r="F49" s="36">
        <v>104</v>
      </c>
      <c r="G49" s="36">
        <v>0</v>
      </c>
      <c r="H49" s="36">
        <v>106</v>
      </c>
      <c r="I49" s="36">
        <v>0</v>
      </c>
      <c r="J49" s="36">
        <v>108</v>
      </c>
      <c r="K49" s="36">
        <v>109</v>
      </c>
      <c r="L49" s="36">
        <v>110</v>
      </c>
      <c r="M49" s="36">
        <v>111</v>
      </c>
      <c r="N49" s="36">
        <v>0</v>
      </c>
      <c r="O49" s="36">
        <v>113</v>
      </c>
      <c r="P49" s="36">
        <v>114</v>
      </c>
      <c r="Q49" s="36">
        <v>115</v>
      </c>
      <c r="R49" s="36">
        <v>0</v>
      </c>
      <c r="S49" s="36">
        <v>117</v>
      </c>
      <c r="T49" s="36">
        <v>0</v>
      </c>
      <c r="U49" s="34">
        <v>119</v>
      </c>
      <c r="V49" s="73">
        <v>0</v>
      </c>
      <c r="W49" s="66">
        <v>121</v>
      </c>
      <c r="X49" s="33">
        <v>122</v>
      </c>
      <c r="Y49" s="34">
        <v>123</v>
      </c>
      <c r="Z49" s="33">
        <v>124</v>
      </c>
      <c r="AA49" s="33">
        <v>125</v>
      </c>
      <c r="AB49" s="34">
        <v>126</v>
      </c>
      <c r="AC49" s="33">
        <v>127</v>
      </c>
      <c r="AD49" s="33">
        <v>128</v>
      </c>
      <c r="AE49" s="27">
        <v>129</v>
      </c>
      <c r="AF49" s="27">
        <v>130</v>
      </c>
      <c r="AG49" s="27">
        <v>36</v>
      </c>
      <c r="AH49" s="27">
        <v>132</v>
      </c>
      <c r="AI49" s="27">
        <v>133</v>
      </c>
      <c r="AJ49" s="27">
        <v>0</v>
      </c>
      <c r="AK49" s="27">
        <v>135</v>
      </c>
      <c r="AL49" s="63">
        <v>136</v>
      </c>
      <c r="AM49" s="47">
        <v>56</v>
      </c>
      <c r="AN49" s="49">
        <v>62</v>
      </c>
      <c r="AO49" s="27"/>
      <c r="AP49" s="27"/>
      <c r="AQ49" s="27"/>
      <c r="AR49" s="28"/>
    </row>
    <row r="50" spans="2:44" s="29" customFormat="1" ht="13.5" customHeight="1" x14ac:dyDescent="0.4">
      <c r="B50" s="38">
        <v>0.79166666666666696</v>
      </c>
      <c r="C50" s="36">
        <v>101</v>
      </c>
      <c r="D50" s="36">
        <v>0</v>
      </c>
      <c r="E50" s="36">
        <v>103</v>
      </c>
      <c r="F50" s="36">
        <v>104</v>
      </c>
      <c r="G50" s="36">
        <v>0</v>
      </c>
      <c r="H50" s="36">
        <v>106</v>
      </c>
      <c r="I50" s="36">
        <v>0</v>
      </c>
      <c r="J50" s="36">
        <v>108</v>
      </c>
      <c r="K50" s="31">
        <v>109</v>
      </c>
      <c r="L50" s="31">
        <v>110</v>
      </c>
      <c r="M50" s="31">
        <v>111</v>
      </c>
      <c r="N50" s="31">
        <v>0</v>
      </c>
      <c r="O50" s="36">
        <v>113</v>
      </c>
      <c r="P50" s="36">
        <v>114</v>
      </c>
      <c r="Q50" s="36">
        <v>115</v>
      </c>
      <c r="R50" s="36">
        <v>0</v>
      </c>
      <c r="S50" s="36">
        <v>117</v>
      </c>
      <c r="T50" s="36">
        <v>0</v>
      </c>
      <c r="U50" s="34">
        <v>119</v>
      </c>
      <c r="V50" s="73">
        <v>0</v>
      </c>
      <c r="W50" s="66">
        <v>121</v>
      </c>
      <c r="X50" s="33">
        <v>122</v>
      </c>
      <c r="Y50" s="34">
        <v>123</v>
      </c>
      <c r="Z50" s="33">
        <v>124</v>
      </c>
      <c r="AA50" s="33">
        <v>125</v>
      </c>
      <c r="AB50" s="34">
        <v>126</v>
      </c>
      <c r="AC50" s="33">
        <v>127</v>
      </c>
      <c r="AD50" s="33">
        <v>128</v>
      </c>
      <c r="AE50" s="27">
        <v>129</v>
      </c>
      <c r="AF50" s="27">
        <v>130</v>
      </c>
      <c r="AG50" s="27">
        <v>36</v>
      </c>
      <c r="AH50" s="27">
        <v>132</v>
      </c>
      <c r="AI50" s="27">
        <v>133</v>
      </c>
      <c r="AJ50" s="27">
        <v>0</v>
      </c>
      <c r="AK50" s="27">
        <v>135</v>
      </c>
      <c r="AL50" s="63">
        <v>136</v>
      </c>
      <c r="AM50" s="47">
        <v>56</v>
      </c>
      <c r="AN50" s="49">
        <v>62</v>
      </c>
      <c r="AO50" s="27"/>
      <c r="AP50" s="27"/>
      <c r="AQ50" s="27"/>
      <c r="AR50" s="28"/>
    </row>
    <row r="51" spans="2:44" s="29" customFormat="1" ht="13.5" customHeight="1" x14ac:dyDescent="0.4">
      <c r="B51" s="38">
        <v>0.83333333333333304</v>
      </c>
      <c r="C51" s="39">
        <v>101</v>
      </c>
      <c r="D51" s="39">
        <v>0</v>
      </c>
      <c r="E51" s="39">
        <v>103</v>
      </c>
      <c r="F51" s="39">
        <v>104</v>
      </c>
      <c r="G51" s="39">
        <v>0</v>
      </c>
      <c r="H51" s="39">
        <v>106</v>
      </c>
      <c r="I51" s="39">
        <v>0</v>
      </c>
      <c r="J51" s="39">
        <v>108</v>
      </c>
      <c r="K51" s="39">
        <v>109</v>
      </c>
      <c r="L51" s="39">
        <v>110</v>
      </c>
      <c r="M51" s="39">
        <v>111</v>
      </c>
      <c r="N51" s="39">
        <v>0</v>
      </c>
      <c r="O51" s="39">
        <v>113</v>
      </c>
      <c r="P51" s="39">
        <v>114</v>
      </c>
      <c r="Q51" s="39">
        <v>115</v>
      </c>
      <c r="R51" s="39">
        <v>0</v>
      </c>
      <c r="S51" s="39">
        <v>117</v>
      </c>
      <c r="T51" s="39">
        <v>0</v>
      </c>
      <c r="U51" s="40">
        <v>119</v>
      </c>
      <c r="V51" s="74">
        <v>0</v>
      </c>
      <c r="W51" s="67">
        <v>121</v>
      </c>
      <c r="X51" s="41">
        <v>122</v>
      </c>
      <c r="Y51" s="40">
        <v>123</v>
      </c>
      <c r="Z51" s="41">
        <v>124</v>
      </c>
      <c r="AA51" s="41">
        <v>125</v>
      </c>
      <c r="AB51" s="40">
        <v>126</v>
      </c>
      <c r="AC51" s="41">
        <v>127</v>
      </c>
      <c r="AD51" s="41">
        <v>128</v>
      </c>
      <c r="AE51" s="42">
        <v>129</v>
      </c>
      <c r="AF51" s="42">
        <v>130</v>
      </c>
      <c r="AG51" s="42">
        <v>36</v>
      </c>
      <c r="AH51" s="42">
        <v>132</v>
      </c>
      <c r="AI51" s="42">
        <v>133</v>
      </c>
      <c r="AJ51" s="42">
        <v>0</v>
      </c>
      <c r="AK51" s="42">
        <v>135</v>
      </c>
      <c r="AL51" s="68">
        <v>136</v>
      </c>
      <c r="AM51" s="70">
        <v>56</v>
      </c>
      <c r="AN51" s="58">
        <v>62</v>
      </c>
      <c r="AO51" s="42"/>
      <c r="AP51" s="42"/>
      <c r="AQ51" s="42"/>
      <c r="AR51" s="88"/>
    </row>
    <row r="52" spans="2:44" ht="13.5" customHeight="1" x14ac:dyDescent="0.4">
      <c r="B52" s="165" t="s">
        <v>417</v>
      </c>
      <c r="C52" s="166"/>
      <c r="D52" s="26" t="s">
        <v>19</v>
      </c>
      <c r="E52" s="127" t="s">
        <v>20</v>
      </c>
      <c r="F52" s="130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2"/>
      <c r="AP52" s="132"/>
      <c r="AQ52" s="132"/>
      <c r="AR52" s="133"/>
    </row>
    <row r="53" spans="2:44" ht="13.5" customHeight="1" x14ac:dyDescent="0.4">
      <c r="B53" s="126" t="s">
        <v>228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19"/>
      <c r="AP53" s="119"/>
      <c r="AQ53" s="119"/>
      <c r="AR53" s="134"/>
    </row>
    <row r="54" spans="2:44" ht="13.5" customHeight="1" thickBot="1" x14ac:dyDescent="0.45">
      <c r="B54" s="137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35"/>
      <c r="AP54" s="135"/>
      <c r="AQ54" s="135"/>
      <c r="AR54" s="13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B19" sqref="B19:L24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171" t="s">
        <v>232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</row>
    <row r="2" spans="2:58" ht="13" customHeight="1" x14ac:dyDescent="0.4">
      <c r="B2" s="219" t="s">
        <v>234</v>
      </c>
      <c r="C2" s="220"/>
      <c r="D2" s="220"/>
      <c r="E2" s="220"/>
      <c r="F2" s="220"/>
      <c r="G2" s="220"/>
      <c r="H2" s="220"/>
      <c r="I2" s="220"/>
      <c r="J2" s="220"/>
      <c r="K2" s="220"/>
      <c r="L2" s="221"/>
      <c r="M2" s="222" t="s">
        <v>233</v>
      </c>
      <c r="N2" s="220"/>
      <c r="O2" s="220"/>
      <c r="P2" s="220"/>
      <c r="Q2" s="220"/>
      <c r="R2" s="220"/>
      <c r="S2" s="220"/>
      <c r="T2" s="220"/>
      <c r="U2" s="220"/>
      <c r="V2" s="220"/>
      <c r="W2" s="221"/>
      <c r="X2" s="109" t="s">
        <v>235</v>
      </c>
      <c r="Y2" s="220"/>
      <c r="Z2" s="220"/>
      <c r="AA2" s="220"/>
      <c r="AB2" s="220"/>
      <c r="AC2" s="220"/>
      <c r="AD2" s="220"/>
      <c r="AE2" s="220"/>
      <c r="AF2" s="220"/>
      <c r="AG2" s="220"/>
      <c r="AH2" s="221"/>
      <c r="AI2" s="222" t="s">
        <v>236</v>
      </c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1"/>
      <c r="AU2" s="109" t="s">
        <v>237</v>
      </c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3"/>
    </row>
    <row r="3" spans="2:58" ht="13" customHeight="1" x14ac:dyDescent="0.4"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8"/>
      <c r="M3" s="194"/>
      <c r="N3" s="187"/>
      <c r="O3" s="187"/>
      <c r="P3" s="187"/>
      <c r="Q3" s="187"/>
      <c r="R3" s="187"/>
      <c r="S3" s="187"/>
      <c r="T3" s="187"/>
      <c r="U3" s="187"/>
      <c r="V3" s="187"/>
      <c r="W3" s="188"/>
      <c r="X3" s="198"/>
      <c r="Y3" s="187"/>
      <c r="Z3" s="187"/>
      <c r="AA3" s="187"/>
      <c r="AB3" s="187"/>
      <c r="AC3" s="187"/>
      <c r="AD3" s="187"/>
      <c r="AE3" s="187"/>
      <c r="AF3" s="187"/>
      <c r="AG3" s="187"/>
      <c r="AH3" s="188"/>
      <c r="AI3" s="199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8"/>
      <c r="AU3" s="198"/>
      <c r="AV3" s="187"/>
      <c r="AW3" s="187"/>
      <c r="AX3" s="187"/>
      <c r="AY3" s="187"/>
      <c r="AZ3" s="187"/>
      <c r="BA3" s="187"/>
      <c r="BB3" s="187"/>
      <c r="BC3" s="187"/>
      <c r="BD3" s="187"/>
      <c r="BE3" s="187"/>
      <c r="BF3" s="200"/>
    </row>
    <row r="4" spans="2:58" ht="13" customHeight="1" x14ac:dyDescent="0.4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1"/>
      <c r="M4" s="195"/>
      <c r="N4" s="190"/>
      <c r="O4" s="190"/>
      <c r="P4" s="190"/>
      <c r="Q4" s="190"/>
      <c r="R4" s="190"/>
      <c r="S4" s="190"/>
      <c r="T4" s="190"/>
      <c r="U4" s="190"/>
      <c r="V4" s="190"/>
      <c r="W4" s="191"/>
      <c r="X4" s="195"/>
      <c r="Y4" s="190"/>
      <c r="Z4" s="190"/>
      <c r="AA4" s="190"/>
      <c r="AB4" s="190"/>
      <c r="AC4" s="190"/>
      <c r="AD4" s="190"/>
      <c r="AE4" s="190"/>
      <c r="AF4" s="190"/>
      <c r="AG4" s="190"/>
      <c r="AH4" s="191"/>
      <c r="AI4" s="195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1"/>
      <c r="AU4" s="195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201"/>
    </row>
    <row r="5" spans="2:58" ht="13" customHeight="1" x14ac:dyDescent="0.4"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1"/>
      <c r="M5" s="195"/>
      <c r="N5" s="190"/>
      <c r="O5" s="190"/>
      <c r="P5" s="190"/>
      <c r="Q5" s="190"/>
      <c r="R5" s="190"/>
      <c r="S5" s="190"/>
      <c r="T5" s="190"/>
      <c r="U5" s="190"/>
      <c r="V5" s="190"/>
      <c r="W5" s="191"/>
      <c r="X5" s="195"/>
      <c r="Y5" s="190"/>
      <c r="Z5" s="190"/>
      <c r="AA5" s="190"/>
      <c r="AB5" s="190"/>
      <c r="AC5" s="190"/>
      <c r="AD5" s="190"/>
      <c r="AE5" s="190"/>
      <c r="AF5" s="190"/>
      <c r="AG5" s="190"/>
      <c r="AH5" s="191"/>
      <c r="AI5" s="195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1"/>
      <c r="AU5" s="195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201"/>
    </row>
    <row r="6" spans="2:58" ht="13" customHeight="1" x14ac:dyDescent="0.4">
      <c r="B6" s="189"/>
      <c r="C6" s="190"/>
      <c r="D6" s="190"/>
      <c r="E6" s="190"/>
      <c r="F6" s="190"/>
      <c r="G6" s="190"/>
      <c r="H6" s="190"/>
      <c r="I6" s="190"/>
      <c r="J6" s="190"/>
      <c r="K6" s="190"/>
      <c r="L6" s="191"/>
      <c r="M6" s="195"/>
      <c r="N6" s="190"/>
      <c r="O6" s="190"/>
      <c r="P6" s="190"/>
      <c r="Q6" s="190"/>
      <c r="R6" s="190"/>
      <c r="S6" s="190"/>
      <c r="T6" s="190"/>
      <c r="U6" s="190"/>
      <c r="V6" s="190"/>
      <c r="W6" s="191"/>
      <c r="X6" s="195"/>
      <c r="Y6" s="190"/>
      <c r="Z6" s="190"/>
      <c r="AA6" s="190"/>
      <c r="AB6" s="190"/>
      <c r="AC6" s="190"/>
      <c r="AD6" s="190"/>
      <c r="AE6" s="190"/>
      <c r="AF6" s="190"/>
      <c r="AG6" s="190"/>
      <c r="AH6" s="191"/>
      <c r="AI6" s="195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1"/>
      <c r="AU6" s="195"/>
      <c r="AV6" s="190"/>
      <c r="AW6" s="190"/>
      <c r="AX6" s="190"/>
      <c r="AY6" s="190"/>
      <c r="AZ6" s="190"/>
      <c r="BA6" s="190"/>
      <c r="BB6" s="190"/>
      <c r="BC6" s="190"/>
      <c r="BD6" s="190"/>
      <c r="BE6" s="190"/>
      <c r="BF6" s="201"/>
    </row>
    <row r="7" spans="2:58" ht="13" customHeight="1" x14ac:dyDescent="0.4">
      <c r="B7" s="189"/>
      <c r="C7" s="190"/>
      <c r="D7" s="190"/>
      <c r="E7" s="190"/>
      <c r="F7" s="190"/>
      <c r="G7" s="190"/>
      <c r="H7" s="190"/>
      <c r="I7" s="190"/>
      <c r="J7" s="190"/>
      <c r="K7" s="190"/>
      <c r="L7" s="191"/>
      <c r="M7" s="195"/>
      <c r="N7" s="190"/>
      <c r="O7" s="190"/>
      <c r="P7" s="190"/>
      <c r="Q7" s="190"/>
      <c r="R7" s="190"/>
      <c r="S7" s="190"/>
      <c r="T7" s="190"/>
      <c r="U7" s="190"/>
      <c r="V7" s="190"/>
      <c r="W7" s="191"/>
      <c r="X7" s="195"/>
      <c r="Y7" s="190"/>
      <c r="Z7" s="190"/>
      <c r="AA7" s="190"/>
      <c r="AB7" s="190"/>
      <c r="AC7" s="190"/>
      <c r="AD7" s="190"/>
      <c r="AE7" s="190"/>
      <c r="AF7" s="190"/>
      <c r="AG7" s="190"/>
      <c r="AH7" s="191"/>
      <c r="AI7" s="195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1"/>
      <c r="AU7" s="195"/>
      <c r="AV7" s="190"/>
      <c r="AW7" s="190"/>
      <c r="AX7" s="190"/>
      <c r="AY7" s="190"/>
      <c r="AZ7" s="190"/>
      <c r="BA7" s="190"/>
      <c r="BB7" s="190"/>
      <c r="BC7" s="190"/>
      <c r="BD7" s="190"/>
      <c r="BE7" s="190"/>
      <c r="BF7" s="201"/>
    </row>
    <row r="8" spans="2:58" ht="13" customHeight="1" x14ac:dyDescent="0.4"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5"/>
      <c r="N8" s="190"/>
      <c r="O8" s="190"/>
      <c r="P8" s="190"/>
      <c r="Q8" s="190"/>
      <c r="R8" s="190"/>
      <c r="S8" s="190"/>
      <c r="T8" s="190"/>
      <c r="U8" s="190"/>
      <c r="V8" s="190"/>
      <c r="W8" s="191"/>
      <c r="X8" s="195"/>
      <c r="Y8" s="190"/>
      <c r="Z8" s="190"/>
      <c r="AA8" s="190"/>
      <c r="AB8" s="190"/>
      <c r="AC8" s="190"/>
      <c r="AD8" s="190"/>
      <c r="AE8" s="190"/>
      <c r="AF8" s="190"/>
      <c r="AG8" s="190"/>
      <c r="AH8" s="191"/>
      <c r="AI8" s="195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1"/>
      <c r="AU8" s="195"/>
      <c r="AV8" s="190"/>
      <c r="AW8" s="190"/>
      <c r="AX8" s="190"/>
      <c r="AY8" s="190"/>
      <c r="AZ8" s="190"/>
      <c r="BA8" s="190"/>
      <c r="BB8" s="190"/>
      <c r="BC8" s="190"/>
      <c r="BD8" s="190"/>
      <c r="BE8" s="190"/>
      <c r="BF8" s="201"/>
    </row>
    <row r="9" spans="2:58" ht="13" customHeight="1" x14ac:dyDescent="0.4">
      <c r="B9" s="192"/>
      <c r="C9" s="193"/>
      <c r="D9" s="193"/>
      <c r="E9" s="193"/>
      <c r="F9" s="193"/>
      <c r="G9" s="193"/>
      <c r="H9" s="193"/>
      <c r="I9" s="193"/>
      <c r="J9" s="193"/>
      <c r="K9" s="193"/>
      <c r="L9" s="166"/>
      <c r="M9" s="196"/>
      <c r="N9" s="193"/>
      <c r="O9" s="193"/>
      <c r="P9" s="193"/>
      <c r="Q9" s="193"/>
      <c r="R9" s="193"/>
      <c r="S9" s="193"/>
      <c r="T9" s="193"/>
      <c r="U9" s="193"/>
      <c r="V9" s="193"/>
      <c r="W9" s="166"/>
      <c r="X9" s="196"/>
      <c r="Y9" s="193"/>
      <c r="Z9" s="193"/>
      <c r="AA9" s="193"/>
      <c r="AB9" s="193"/>
      <c r="AC9" s="193"/>
      <c r="AD9" s="193"/>
      <c r="AE9" s="193"/>
      <c r="AF9" s="193"/>
      <c r="AG9" s="193"/>
      <c r="AH9" s="166"/>
      <c r="AI9" s="196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66"/>
      <c r="AU9" s="196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202"/>
    </row>
    <row r="10" spans="2:58" ht="13" customHeight="1" x14ac:dyDescent="0.4">
      <c r="B10" s="206" t="s">
        <v>238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09"/>
      <c r="M10" s="217" t="s">
        <v>239</v>
      </c>
      <c r="N10" s="207"/>
      <c r="O10" s="207"/>
      <c r="P10" s="207"/>
      <c r="Q10" s="207"/>
      <c r="R10" s="207"/>
      <c r="S10" s="207"/>
      <c r="T10" s="207"/>
      <c r="U10" s="207"/>
      <c r="V10" s="207"/>
      <c r="W10" s="209"/>
      <c r="X10" s="114" t="s">
        <v>240</v>
      </c>
      <c r="Y10" s="207"/>
      <c r="Z10" s="207"/>
      <c r="AA10" s="207"/>
      <c r="AB10" s="207"/>
      <c r="AC10" s="207"/>
      <c r="AD10" s="207"/>
      <c r="AE10" s="207"/>
      <c r="AF10" s="207"/>
      <c r="AG10" s="207"/>
      <c r="AH10" s="209"/>
      <c r="AI10" s="114" t="s">
        <v>241</v>
      </c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9"/>
      <c r="AU10" s="104" t="s">
        <v>242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18"/>
    </row>
    <row r="11" spans="2:58" ht="13" customHeight="1" x14ac:dyDescent="0.4"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8"/>
      <c r="M11" s="194"/>
      <c r="N11" s="187"/>
      <c r="O11" s="187"/>
      <c r="P11" s="187"/>
      <c r="Q11" s="187"/>
      <c r="R11" s="187"/>
      <c r="S11" s="187"/>
      <c r="T11" s="187"/>
      <c r="U11" s="187"/>
      <c r="V11" s="187"/>
      <c r="W11" s="188"/>
      <c r="X11" s="194"/>
      <c r="Y11" s="187"/>
      <c r="Z11" s="187"/>
      <c r="AA11" s="187"/>
      <c r="AB11" s="187"/>
      <c r="AC11" s="187"/>
      <c r="AD11" s="187"/>
      <c r="AE11" s="187"/>
      <c r="AF11" s="187"/>
      <c r="AG11" s="187"/>
      <c r="AH11" s="188"/>
      <c r="AI11" s="194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8"/>
      <c r="AU11" s="203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200"/>
    </row>
    <row r="12" spans="2:58" ht="13" customHeight="1" x14ac:dyDescent="0.4"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5"/>
      <c r="N12" s="190"/>
      <c r="O12" s="190"/>
      <c r="P12" s="190"/>
      <c r="Q12" s="190"/>
      <c r="R12" s="190"/>
      <c r="S12" s="190"/>
      <c r="T12" s="190"/>
      <c r="U12" s="190"/>
      <c r="V12" s="190"/>
      <c r="W12" s="191"/>
      <c r="X12" s="195"/>
      <c r="Y12" s="190"/>
      <c r="Z12" s="190"/>
      <c r="AA12" s="190"/>
      <c r="AB12" s="190"/>
      <c r="AC12" s="190"/>
      <c r="AD12" s="190"/>
      <c r="AE12" s="190"/>
      <c r="AF12" s="190"/>
      <c r="AG12" s="190"/>
      <c r="AH12" s="191"/>
      <c r="AI12" s="195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1"/>
      <c r="AU12" s="195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201"/>
    </row>
    <row r="13" spans="2:58" ht="13" customHeight="1" x14ac:dyDescent="0.4"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1"/>
      <c r="M13" s="195"/>
      <c r="N13" s="190"/>
      <c r="O13" s="190"/>
      <c r="P13" s="190"/>
      <c r="Q13" s="190"/>
      <c r="R13" s="190"/>
      <c r="S13" s="190"/>
      <c r="T13" s="190"/>
      <c r="U13" s="190"/>
      <c r="V13" s="190"/>
      <c r="W13" s="191"/>
      <c r="X13" s="195"/>
      <c r="Y13" s="190"/>
      <c r="Z13" s="190"/>
      <c r="AA13" s="190"/>
      <c r="AB13" s="190"/>
      <c r="AC13" s="190"/>
      <c r="AD13" s="190"/>
      <c r="AE13" s="190"/>
      <c r="AF13" s="190"/>
      <c r="AG13" s="190"/>
      <c r="AH13" s="191"/>
      <c r="AI13" s="195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1"/>
      <c r="AU13" s="195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201"/>
    </row>
    <row r="14" spans="2:58" ht="13" customHeight="1" x14ac:dyDescent="0.4">
      <c r="B14" s="189"/>
      <c r="C14" s="190"/>
      <c r="D14" s="190"/>
      <c r="E14" s="190"/>
      <c r="F14" s="190"/>
      <c r="G14" s="190"/>
      <c r="H14" s="190"/>
      <c r="I14" s="190"/>
      <c r="J14" s="190"/>
      <c r="K14" s="190"/>
      <c r="L14" s="191"/>
      <c r="M14" s="195"/>
      <c r="N14" s="190"/>
      <c r="O14" s="190"/>
      <c r="P14" s="190"/>
      <c r="Q14" s="190"/>
      <c r="R14" s="190"/>
      <c r="S14" s="190"/>
      <c r="T14" s="190"/>
      <c r="U14" s="190"/>
      <c r="V14" s="190"/>
      <c r="W14" s="191"/>
      <c r="X14" s="195"/>
      <c r="Y14" s="190"/>
      <c r="Z14" s="190"/>
      <c r="AA14" s="190"/>
      <c r="AB14" s="190"/>
      <c r="AC14" s="190"/>
      <c r="AD14" s="190"/>
      <c r="AE14" s="190"/>
      <c r="AF14" s="190"/>
      <c r="AG14" s="190"/>
      <c r="AH14" s="191"/>
      <c r="AI14" s="195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1"/>
      <c r="AU14" s="195"/>
      <c r="AV14" s="190"/>
      <c r="AW14" s="190"/>
      <c r="AX14" s="190"/>
      <c r="AY14" s="190"/>
      <c r="AZ14" s="190"/>
      <c r="BA14" s="190"/>
      <c r="BB14" s="190"/>
      <c r="BC14" s="190"/>
      <c r="BD14" s="190"/>
      <c r="BE14" s="190"/>
      <c r="BF14" s="201"/>
    </row>
    <row r="15" spans="2:58" ht="13" customHeight="1" x14ac:dyDescent="0.4">
      <c r="B15" s="189"/>
      <c r="C15" s="190"/>
      <c r="D15" s="190"/>
      <c r="E15" s="190"/>
      <c r="F15" s="190"/>
      <c r="G15" s="190"/>
      <c r="H15" s="190"/>
      <c r="I15" s="190"/>
      <c r="J15" s="190"/>
      <c r="K15" s="190"/>
      <c r="L15" s="191"/>
      <c r="M15" s="195"/>
      <c r="N15" s="190"/>
      <c r="O15" s="190"/>
      <c r="P15" s="190"/>
      <c r="Q15" s="190"/>
      <c r="R15" s="190"/>
      <c r="S15" s="190"/>
      <c r="T15" s="190"/>
      <c r="U15" s="190"/>
      <c r="V15" s="190"/>
      <c r="W15" s="191"/>
      <c r="X15" s="195"/>
      <c r="Y15" s="190"/>
      <c r="Z15" s="190"/>
      <c r="AA15" s="190"/>
      <c r="AB15" s="190"/>
      <c r="AC15" s="190"/>
      <c r="AD15" s="190"/>
      <c r="AE15" s="190"/>
      <c r="AF15" s="190"/>
      <c r="AG15" s="190"/>
      <c r="AH15" s="191"/>
      <c r="AI15" s="195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1"/>
      <c r="AU15" s="195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201"/>
    </row>
    <row r="16" spans="2:58" ht="13" customHeight="1" x14ac:dyDescent="0.4">
      <c r="B16" s="189"/>
      <c r="C16" s="190"/>
      <c r="D16" s="190"/>
      <c r="E16" s="190"/>
      <c r="F16" s="190"/>
      <c r="G16" s="190"/>
      <c r="H16" s="190"/>
      <c r="I16" s="190"/>
      <c r="J16" s="190"/>
      <c r="K16" s="190"/>
      <c r="L16" s="191"/>
      <c r="M16" s="195"/>
      <c r="N16" s="190"/>
      <c r="O16" s="190"/>
      <c r="P16" s="190"/>
      <c r="Q16" s="190"/>
      <c r="R16" s="190"/>
      <c r="S16" s="190"/>
      <c r="T16" s="190"/>
      <c r="U16" s="190"/>
      <c r="V16" s="190"/>
      <c r="W16" s="191"/>
      <c r="X16" s="195"/>
      <c r="Y16" s="190"/>
      <c r="Z16" s="190"/>
      <c r="AA16" s="190"/>
      <c r="AB16" s="190"/>
      <c r="AC16" s="190"/>
      <c r="AD16" s="190"/>
      <c r="AE16" s="190"/>
      <c r="AF16" s="190"/>
      <c r="AG16" s="190"/>
      <c r="AH16" s="191"/>
      <c r="AI16" s="195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1"/>
      <c r="AU16" s="195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201"/>
    </row>
    <row r="17" spans="2:58" ht="13" customHeight="1" x14ac:dyDescent="0.4">
      <c r="B17" s="192"/>
      <c r="C17" s="193"/>
      <c r="D17" s="193"/>
      <c r="E17" s="193"/>
      <c r="F17" s="193"/>
      <c r="G17" s="193"/>
      <c r="H17" s="193"/>
      <c r="I17" s="193"/>
      <c r="J17" s="193"/>
      <c r="K17" s="193"/>
      <c r="L17" s="166"/>
      <c r="M17" s="196"/>
      <c r="N17" s="193"/>
      <c r="O17" s="193"/>
      <c r="P17" s="193"/>
      <c r="Q17" s="193"/>
      <c r="R17" s="193"/>
      <c r="S17" s="193"/>
      <c r="T17" s="193"/>
      <c r="U17" s="193"/>
      <c r="V17" s="193"/>
      <c r="W17" s="166"/>
      <c r="X17" s="196"/>
      <c r="Y17" s="193"/>
      <c r="Z17" s="193"/>
      <c r="AA17" s="193"/>
      <c r="AB17" s="193"/>
      <c r="AC17" s="193"/>
      <c r="AD17" s="193"/>
      <c r="AE17" s="193"/>
      <c r="AF17" s="193"/>
      <c r="AG17" s="193"/>
      <c r="AH17" s="166"/>
      <c r="AI17" s="196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66"/>
      <c r="AU17" s="196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202"/>
    </row>
    <row r="18" spans="2:58" ht="13" customHeight="1" x14ac:dyDescent="0.4">
      <c r="B18" s="206" t="s">
        <v>243</v>
      </c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8" t="s">
        <v>244</v>
      </c>
      <c r="N18" s="207"/>
      <c r="O18" s="207"/>
      <c r="P18" s="207"/>
      <c r="Q18" s="207"/>
      <c r="R18" s="207"/>
      <c r="S18" s="207"/>
      <c r="T18" s="207"/>
      <c r="U18" s="207"/>
      <c r="V18" s="207"/>
      <c r="W18" s="209"/>
      <c r="X18" s="210" t="s">
        <v>245</v>
      </c>
      <c r="Y18" s="207"/>
      <c r="Z18" s="207"/>
      <c r="AA18" s="207"/>
      <c r="AB18" s="207"/>
      <c r="AC18" s="207"/>
      <c r="AD18" s="207"/>
      <c r="AE18" s="207"/>
      <c r="AF18" s="207"/>
      <c r="AG18" s="207"/>
      <c r="AH18" s="209"/>
      <c r="AI18" s="102" t="s">
        <v>246</v>
      </c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9"/>
      <c r="AU18" s="104" t="s">
        <v>247</v>
      </c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18"/>
    </row>
    <row r="19" spans="2:58" ht="13" customHeight="1" x14ac:dyDescent="0.4">
      <c r="B19" s="186"/>
      <c r="C19" s="187"/>
      <c r="D19" s="187"/>
      <c r="E19" s="187"/>
      <c r="F19" s="187"/>
      <c r="G19" s="187"/>
      <c r="H19" s="187"/>
      <c r="I19" s="187"/>
      <c r="J19" s="187"/>
      <c r="K19" s="187"/>
      <c r="L19" s="188"/>
      <c r="M19" s="204"/>
      <c r="N19" s="187"/>
      <c r="O19" s="187"/>
      <c r="P19" s="187"/>
      <c r="Q19" s="187"/>
      <c r="R19" s="187"/>
      <c r="S19" s="187"/>
      <c r="T19" s="187"/>
      <c r="U19" s="187"/>
      <c r="V19" s="187"/>
      <c r="W19" s="188"/>
      <c r="X19" s="205"/>
      <c r="Y19" s="187"/>
      <c r="Z19" s="187"/>
      <c r="AA19" s="187"/>
      <c r="AB19" s="187"/>
      <c r="AC19" s="187"/>
      <c r="AD19" s="187"/>
      <c r="AE19" s="187"/>
      <c r="AF19" s="187"/>
      <c r="AG19" s="187"/>
      <c r="AH19" s="188"/>
      <c r="AI19" s="198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8"/>
      <c r="AU19" s="203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200"/>
    </row>
    <row r="20" spans="2:58" ht="13" customHeight="1" x14ac:dyDescent="0.4">
      <c r="B20" s="189"/>
      <c r="C20" s="190"/>
      <c r="D20" s="190"/>
      <c r="E20" s="190"/>
      <c r="F20" s="190"/>
      <c r="G20" s="190"/>
      <c r="H20" s="190"/>
      <c r="I20" s="190"/>
      <c r="J20" s="190"/>
      <c r="K20" s="190"/>
      <c r="L20" s="191"/>
      <c r="M20" s="195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195"/>
      <c r="Y20" s="190"/>
      <c r="Z20" s="190"/>
      <c r="AA20" s="190"/>
      <c r="AB20" s="190"/>
      <c r="AC20" s="190"/>
      <c r="AD20" s="190"/>
      <c r="AE20" s="190"/>
      <c r="AF20" s="190"/>
      <c r="AG20" s="190"/>
      <c r="AH20" s="191"/>
      <c r="AI20" s="195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1"/>
      <c r="AU20" s="195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201"/>
    </row>
    <row r="21" spans="2:58" ht="13" customHeight="1" x14ac:dyDescent="0.4"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1"/>
      <c r="M21" s="195"/>
      <c r="N21" s="190"/>
      <c r="O21" s="190"/>
      <c r="P21" s="190"/>
      <c r="Q21" s="190"/>
      <c r="R21" s="190"/>
      <c r="S21" s="190"/>
      <c r="T21" s="190"/>
      <c r="U21" s="190"/>
      <c r="V21" s="190"/>
      <c r="W21" s="191"/>
      <c r="X21" s="195"/>
      <c r="Y21" s="190"/>
      <c r="Z21" s="190"/>
      <c r="AA21" s="190"/>
      <c r="AB21" s="190"/>
      <c r="AC21" s="190"/>
      <c r="AD21" s="190"/>
      <c r="AE21" s="190"/>
      <c r="AF21" s="190"/>
      <c r="AG21" s="190"/>
      <c r="AH21" s="191"/>
      <c r="AI21" s="195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1"/>
      <c r="AU21" s="195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201"/>
    </row>
    <row r="22" spans="2:58" ht="13" customHeight="1" x14ac:dyDescent="0.4">
      <c r="B22" s="189"/>
      <c r="C22" s="190"/>
      <c r="D22" s="190"/>
      <c r="E22" s="190"/>
      <c r="F22" s="190"/>
      <c r="G22" s="190"/>
      <c r="H22" s="190"/>
      <c r="I22" s="190"/>
      <c r="J22" s="190"/>
      <c r="K22" s="190"/>
      <c r="L22" s="191"/>
      <c r="M22" s="195"/>
      <c r="N22" s="190"/>
      <c r="O22" s="190"/>
      <c r="P22" s="190"/>
      <c r="Q22" s="190"/>
      <c r="R22" s="190"/>
      <c r="S22" s="190"/>
      <c r="T22" s="190"/>
      <c r="U22" s="190"/>
      <c r="V22" s="190"/>
      <c r="W22" s="191"/>
      <c r="X22" s="195"/>
      <c r="Y22" s="190"/>
      <c r="Z22" s="190"/>
      <c r="AA22" s="190"/>
      <c r="AB22" s="190"/>
      <c r="AC22" s="190"/>
      <c r="AD22" s="190"/>
      <c r="AE22" s="190"/>
      <c r="AF22" s="190"/>
      <c r="AG22" s="190"/>
      <c r="AH22" s="191"/>
      <c r="AI22" s="195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1"/>
      <c r="AU22" s="195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201"/>
    </row>
    <row r="23" spans="2:58" ht="13" customHeight="1" x14ac:dyDescent="0.4">
      <c r="B23" s="189"/>
      <c r="C23" s="190"/>
      <c r="D23" s="190"/>
      <c r="E23" s="190"/>
      <c r="F23" s="190"/>
      <c r="G23" s="190"/>
      <c r="H23" s="190"/>
      <c r="I23" s="190"/>
      <c r="J23" s="190"/>
      <c r="K23" s="190"/>
      <c r="L23" s="191"/>
      <c r="M23" s="195"/>
      <c r="N23" s="190"/>
      <c r="O23" s="190"/>
      <c r="P23" s="190"/>
      <c r="Q23" s="190"/>
      <c r="R23" s="190"/>
      <c r="S23" s="190"/>
      <c r="T23" s="190"/>
      <c r="U23" s="190"/>
      <c r="V23" s="190"/>
      <c r="W23" s="191"/>
      <c r="X23" s="195"/>
      <c r="Y23" s="190"/>
      <c r="Z23" s="190"/>
      <c r="AA23" s="190"/>
      <c r="AB23" s="190"/>
      <c r="AC23" s="190"/>
      <c r="AD23" s="190"/>
      <c r="AE23" s="190"/>
      <c r="AF23" s="190"/>
      <c r="AG23" s="190"/>
      <c r="AH23" s="191"/>
      <c r="AI23" s="195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1"/>
      <c r="AU23" s="195"/>
      <c r="AV23" s="190"/>
      <c r="AW23" s="190"/>
      <c r="AX23" s="190"/>
      <c r="AY23" s="190"/>
      <c r="AZ23" s="190"/>
      <c r="BA23" s="190"/>
      <c r="BB23" s="190"/>
      <c r="BC23" s="190"/>
      <c r="BD23" s="190"/>
      <c r="BE23" s="190"/>
      <c r="BF23" s="201"/>
    </row>
    <row r="24" spans="2:58" ht="13" customHeight="1" x14ac:dyDescent="0.4">
      <c r="B24" s="192"/>
      <c r="C24" s="193"/>
      <c r="D24" s="193"/>
      <c r="E24" s="193"/>
      <c r="F24" s="193"/>
      <c r="G24" s="193"/>
      <c r="H24" s="193"/>
      <c r="I24" s="193"/>
      <c r="J24" s="193"/>
      <c r="K24" s="193"/>
      <c r="L24" s="166"/>
      <c r="M24" s="196"/>
      <c r="N24" s="193"/>
      <c r="O24" s="193"/>
      <c r="P24" s="193"/>
      <c r="Q24" s="193"/>
      <c r="R24" s="193"/>
      <c r="S24" s="193"/>
      <c r="T24" s="193"/>
      <c r="U24" s="193"/>
      <c r="V24" s="193"/>
      <c r="W24" s="166"/>
      <c r="X24" s="196"/>
      <c r="Y24" s="193"/>
      <c r="Z24" s="193"/>
      <c r="AA24" s="193"/>
      <c r="AB24" s="193"/>
      <c r="AC24" s="193"/>
      <c r="AD24" s="193"/>
      <c r="AE24" s="193"/>
      <c r="AF24" s="193"/>
      <c r="AG24" s="193"/>
      <c r="AH24" s="166"/>
      <c r="AI24" s="196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66"/>
      <c r="AU24" s="196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202"/>
    </row>
    <row r="25" spans="2:58" ht="13" customHeight="1" x14ac:dyDescent="0.4">
      <c r="B25" s="206" t="s">
        <v>248</v>
      </c>
      <c r="C25" s="207"/>
      <c r="D25" s="207"/>
      <c r="E25" s="207"/>
      <c r="F25" s="207"/>
      <c r="G25" s="207"/>
      <c r="H25" s="207"/>
      <c r="I25" s="207"/>
      <c r="J25" s="207"/>
      <c r="K25" s="207"/>
      <c r="L25" s="209"/>
      <c r="M25" s="114" t="s">
        <v>249</v>
      </c>
      <c r="N25" s="207"/>
      <c r="O25" s="207"/>
      <c r="P25" s="207"/>
      <c r="Q25" s="207"/>
      <c r="R25" s="207"/>
      <c r="S25" s="207"/>
      <c r="T25" s="207"/>
      <c r="U25" s="207"/>
      <c r="V25" s="207"/>
      <c r="W25" s="209"/>
      <c r="X25" s="224" t="s">
        <v>250</v>
      </c>
      <c r="Y25" s="207"/>
      <c r="Z25" s="207"/>
      <c r="AA25" s="207"/>
      <c r="AB25" s="207"/>
      <c r="AC25" s="207"/>
      <c r="AD25" s="207"/>
      <c r="AE25" s="207"/>
      <c r="AF25" s="207"/>
      <c r="AG25" s="207"/>
      <c r="AH25" s="209"/>
      <c r="AI25" s="104" t="s">
        <v>251</v>
      </c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9"/>
      <c r="AU25" s="104" t="s">
        <v>252</v>
      </c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18"/>
    </row>
    <row r="26" spans="2:58" ht="13" customHeight="1" x14ac:dyDescent="0.4">
      <c r="B26" s="186"/>
      <c r="C26" s="187"/>
      <c r="D26" s="187"/>
      <c r="E26" s="187"/>
      <c r="F26" s="187"/>
      <c r="G26" s="187"/>
      <c r="H26" s="187"/>
      <c r="I26" s="187"/>
      <c r="J26" s="187"/>
      <c r="K26" s="187"/>
      <c r="L26" s="188"/>
      <c r="M26" s="211"/>
      <c r="N26" s="187"/>
      <c r="O26" s="187"/>
      <c r="P26" s="187"/>
      <c r="Q26" s="187"/>
      <c r="R26" s="187"/>
      <c r="S26" s="187"/>
      <c r="T26" s="187"/>
      <c r="U26" s="187"/>
      <c r="V26" s="187"/>
      <c r="W26" s="188"/>
      <c r="X26" s="197"/>
      <c r="Y26" s="187"/>
      <c r="Z26" s="187"/>
      <c r="AA26" s="187"/>
      <c r="AB26" s="187"/>
      <c r="AC26" s="187"/>
      <c r="AD26" s="187"/>
      <c r="AE26" s="187"/>
      <c r="AF26" s="187"/>
      <c r="AG26" s="187"/>
      <c r="AH26" s="188"/>
      <c r="AI26" s="203"/>
      <c r="AJ26" s="187"/>
      <c r="AK26" s="187"/>
      <c r="AL26" s="187"/>
      <c r="AM26" s="187"/>
      <c r="AN26" s="187"/>
      <c r="AO26" s="187"/>
      <c r="AP26" s="187"/>
      <c r="AQ26" s="187"/>
      <c r="AR26" s="187"/>
      <c r="AS26" s="187"/>
      <c r="AT26" s="188"/>
      <c r="AU26" s="203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200"/>
    </row>
    <row r="27" spans="2:58" ht="13" customHeight="1" x14ac:dyDescent="0.4">
      <c r="B27" s="189"/>
      <c r="C27" s="190"/>
      <c r="D27" s="190"/>
      <c r="E27" s="190"/>
      <c r="F27" s="190"/>
      <c r="G27" s="190"/>
      <c r="H27" s="190"/>
      <c r="I27" s="190"/>
      <c r="J27" s="190"/>
      <c r="K27" s="190"/>
      <c r="L27" s="191"/>
      <c r="M27" s="195"/>
      <c r="N27" s="190"/>
      <c r="O27" s="190"/>
      <c r="P27" s="190"/>
      <c r="Q27" s="190"/>
      <c r="R27" s="190"/>
      <c r="S27" s="190"/>
      <c r="T27" s="190"/>
      <c r="U27" s="190"/>
      <c r="V27" s="190"/>
      <c r="W27" s="191"/>
      <c r="X27" s="195"/>
      <c r="Y27" s="190"/>
      <c r="Z27" s="190"/>
      <c r="AA27" s="190"/>
      <c r="AB27" s="190"/>
      <c r="AC27" s="190"/>
      <c r="AD27" s="190"/>
      <c r="AE27" s="190"/>
      <c r="AF27" s="190"/>
      <c r="AG27" s="190"/>
      <c r="AH27" s="191"/>
      <c r="AI27" s="195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1"/>
      <c r="AU27" s="195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201"/>
    </row>
    <row r="28" spans="2:58" ht="13" customHeight="1" x14ac:dyDescent="0.4"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1"/>
      <c r="M28" s="195"/>
      <c r="N28" s="190"/>
      <c r="O28" s="190"/>
      <c r="P28" s="190"/>
      <c r="Q28" s="190"/>
      <c r="R28" s="190"/>
      <c r="S28" s="190"/>
      <c r="T28" s="190"/>
      <c r="U28" s="190"/>
      <c r="V28" s="190"/>
      <c r="W28" s="191"/>
      <c r="X28" s="195"/>
      <c r="Y28" s="190"/>
      <c r="Z28" s="190"/>
      <c r="AA28" s="190"/>
      <c r="AB28" s="190"/>
      <c r="AC28" s="190"/>
      <c r="AD28" s="190"/>
      <c r="AE28" s="190"/>
      <c r="AF28" s="190"/>
      <c r="AG28" s="190"/>
      <c r="AH28" s="191"/>
      <c r="AI28" s="195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1"/>
      <c r="AU28" s="195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201"/>
    </row>
    <row r="29" spans="2:58" ht="13" customHeight="1" x14ac:dyDescent="0.4"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1"/>
      <c r="M29" s="195"/>
      <c r="N29" s="190"/>
      <c r="O29" s="190"/>
      <c r="P29" s="190"/>
      <c r="Q29" s="190"/>
      <c r="R29" s="190"/>
      <c r="S29" s="190"/>
      <c r="T29" s="190"/>
      <c r="U29" s="190"/>
      <c r="V29" s="190"/>
      <c r="W29" s="191"/>
      <c r="X29" s="195"/>
      <c r="Y29" s="190"/>
      <c r="Z29" s="190"/>
      <c r="AA29" s="190"/>
      <c r="AB29" s="190"/>
      <c r="AC29" s="190"/>
      <c r="AD29" s="190"/>
      <c r="AE29" s="190"/>
      <c r="AF29" s="190"/>
      <c r="AG29" s="190"/>
      <c r="AH29" s="191"/>
      <c r="AI29" s="195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1"/>
      <c r="AU29" s="195"/>
      <c r="AV29" s="190"/>
      <c r="AW29" s="190"/>
      <c r="AX29" s="190"/>
      <c r="AY29" s="190"/>
      <c r="AZ29" s="190"/>
      <c r="BA29" s="190"/>
      <c r="BB29" s="190"/>
      <c r="BC29" s="190"/>
      <c r="BD29" s="190"/>
      <c r="BE29" s="190"/>
      <c r="BF29" s="201"/>
    </row>
    <row r="30" spans="2:58" ht="13" customHeight="1" x14ac:dyDescent="0.4">
      <c r="B30" s="189"/>
      <c r="C30" s="190"/>
      <c r="D30" s="190"/>
      <c r="E30" s="190"/>
      <c r="F30" s="190"/>
      <c r="G30" s="190"/>
      <c r="H30" s="190"/>
      <c r="I30" s="190"/>
      <c r="J30" s="190"/>
      <c r="K30" s="190"/>
      <c r="L30" s="191"/>
      <c r="M30" s="195"/>
      <c r="N30" s="190"/>
      <c r="O30" s="190"/>
      <c r="P30" s="190"/>
      <c r="Q30" s="190"/>
      <c r="R30" s="190"/>
      <c r="S30" s="190"/>
      <c r="T30" s="190"/>
      <c r="U30" s="190"/>
      <c r="V30" s="190"/>
      <c r="W30" s="191"/>
      <c r="X30" s="195"/>
      <c r="Y30" s="190"/>
      <c r="Z30" s="190"/>
      <c r="AA30" s="190"/>
      <c r="AB30" s="190"/>
      <c r="AC30" s="190"/>
      <c r="AD30" s="190"/>
      <c r="AE30" s="190"/>
      <c r="AF30" s="190"/>
      <c r="AG30" s="190"/>
      <c r="AH30" s="191"/>
      <c r="AI30" s="195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1"/>
      <c r="AU30" s="195"/>
      <c r="AV30" s="190"/>
      <c r="AW30" s="190"/>
      <c r="AX30" s="190"/>
      <c r="AY30" s="190"/>
      <c r="AZ30" s="190"/>
      <c r="BA30" s="190"/>
      <c r="BB30" s="190"/>
      <c r="BC30" s="190"/>
      <c r="BD30" s="190"/>
      <c r="BE30" s="190"/>
      <c r="BF30" s="201"/>
    </row>
    <row r="31" spans="2:58" ht="13" customHeight="1" x14ac:dyDescent="0.4">
      <c r="B31" s="192"/>
      <c r="C31" s="193"/>
      <c r="D31" s="193"/>
      <c r="E31" s="193"/>
      <c r="F31" s="193"/>
      <c r="G31" s="193"/>
      <c r="H31" s="193"/>
      <c r="I31" s="193"/>
      <c r="J31" s="193"/>
      <c r="K31" s="193"/>
      <c r="L31" s="166"/>
      <c r="M31" s="196"/>
      <c r="N31" s="193"/>
      <c r="O31" s="193"/>
      <c r="P31" s="193"/>
      <c r="Q31" s="193"/>
      <c r="R31" s="193"/>
      <c r="S31" s="193"/>
      <c r="T31" s="193"/>
      <c r="U31" s="193"/>
      <c r="V31" s="193"/>
      <c r="W31" s="166"/>
      <c r="X31" s="196"/>
      <c r="Y31" s="193"/>
      <c r="Z31" s="193"/>
      <c r="AA31" s="193"/>
      <c r="AB31" s="193"/>
      <c r="AC31" s="193"/>
      <c r="AD31" s="193"/>
      <c r="AE31" s="193"/>
      <c r="AF31" s="193"/>
      <c r="AG31" s="193"/>
      <c r="AH31" s="166"/>
      <c r="AI31" s="196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66"/>
      <c r="AU31" s="196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202"/>
    </row>
    <row r="32" spans="2:58" ht="13" customHeight="1" x14ac:dyDescent="0.4">
      <c r="B32" s="206" t="s">
        <v>253</v>
      </c>
      <c r="C32" s="207"/>
      <c r="D32" s="207"/>
      <c r="E32" s="207"/>
      <c r="F32" s="207"/>
      <c r="G32" s="207"/>
      <c r="H32" s="207"/>
      <c r="I32" s="207"/>
      <c r="J32" s="207"/>
      <c r="K32" s="207"/>
      <c r="L32" s="209"/>
      <c r="M32" s="225" t="s">
        <v>254</v>
      </c>
      <c r="N32" s="207"/>
      <c r="O32" s="207"/>
      <c r="P32" s="207"/>
      <c r="Q32" s="207"/>
      <c r="R32" s="207"/>
      <c r="S32" s="207"/>
      <c r="T32" s="207"/>
      <c r="U32" s="207"/>
      <c r="V32" s="207"/>
      <c r="W32" s="209"/>
      <c r="X32" s="224" t="s">
        <v>255</v>
      </c>
      <c r="Y32" s="207"/>
      <c r="Z32" s="207"/>
      <c r="AA32" s="207"/>
      <c r="AB32" s="207"/>
      <c r="AC32" s="207"/>
      <c r="AD32" s="207"/>
      <c r="AE32" s="207"/>
      <c r="AF32" s="207"/>
      <c r="AG32" s="207"/>
      <c r="AH32" s="209"/>
      <c r="AI32" s="104" t="s">
        <v>256</v>
      </c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9"/>
      <c r="AU32" s="104" t="s">
        <v>257</v>
      </c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18"/>
    </row>
    <row r="33" spans="2:58" ht="13" customHeight="1" x14ac:dyDescent="0.4">
      <c r="B33" s="186"/>
      <c r="C33" s="187"/>
      <c r="D33" s="187"/>
      <c r="E33" s="187"/>
      <c r="F33" s="187"/>
      <c r="G33" s="187"/>
      <c r="H33" s="187"/>
      <c r="I33" s="187"/>
      <c r="J33" s="187"/>
      <c r="K33" s="187"/>
      <c r="L33" s="188"/>
      <c r="M33" s="194"/>
      <c r="N33" s="187"/>
      <c r="O33" s="187"/>
      <c r="P33" s="187"/>
      <c r="Q33" s="187"/>
      <c r="R33" s="187"/>
      <c r="S33" s="187"/>
      <c r="T33" s="187"/>
      <c r="U33" s="187"/>
      <c r="V33" s="187"/>
      <c r="W33" s="188"/>
      <c r="X33" s="19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  <c r="AI33" s="203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8"/>
      <c r="AU33" s="203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200"/>
    </row>
    <row r="34" spans="2:58" ht="13" customHeight="1" x14ac:dyDescent="0.4">
      <c r="B34" s="189"/>
      <c r="C34" s="190"/>
      <c r="D34" s="190"/>
      <c r="E34" s="190"/>
      <c r="F34" s="190"/>
      <c r="G34" s="190"/>
      <c r="H34" s="190"/>
      <c r="I34" s="190"/>
      <c r="J34" s="190"/>
      <c r="K34" s="190"/>
      <c r="L34" s="191"/>
      <c r="M34" s="195"/>
      <c r="N34" s="190"/>
      <c r="O34" s="190"/>
      <c r="P34" s="190"/>
      <c r="Q34" s="190"/>
      <c r="R34" s="190"/>
      <c r="S34" s="190"/>
      <c r="T34" s="190"/>
      <c r="U34" s="190"/>
      <c r="V34" s="190"/>
      <c r="W34" s="191"/>
      <c r="X34" s="195"/>
      <c r="Y34" s="190"/>
      <c r="Z34" s="190"/>
      <c r="AA34" s="190"/>
      <c r="AB34" s="190"/>
      <c r="AC34" s="190"/>
      <c r="AD34" s="190"/>
      <c r="AE34" s="190"/>
      <c r="AF34" s="190"/>
      <c r="AG34" s="190"/>
      <c r="AH34" s="191"/>
      <c r="AI34" s="195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1"/>
      <c r="AU34" s="195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201"/>
    </row>
    <row r="35" spans="2:58" ht="13" customHeight="1" x14ac:dyDescent="0.4">
      <c r="B35" s="189"/>
      <c r="C35" s="190"/>
      <c r="D35" s="190"/>
      <c r="E35" s="190"/>
      <c r="F35" s="190"/>
      <c r="G35" s="190"/>
      <c r="H35" s="190"/>
      <c r="I35" s="190"/>
      <c r="J35" s="190"/>
      <c r="K35" s="190"/>
      <c r="L35" s="191"/>
      <c r="M35" s="195"/>
      <c r="N35" s="190"/>
      <c r="O35" s="190"/>
      <c r="P35" s="190"/>
      <c r="Q35" s="190"/>
      <c r="R35" s="190"/>
      <c r="S35" s="190"/>
      <c r="T35" s="190"/>
      <c r="U35" s="190"/>
      <c r="V35" s="190"/>
      <c r="W35" s="191"/>
      <c r="X35" s="195"/>
      <c r="Y35" s="190"/>
      <c r="Z35" s="190"/>
      <c r="AA35" s="190"/>
      <c r="AB35" s="190"/>
      <c r="AC35" s="190"/>
      <c r="AD35" s="190"/>
      <c r="AE35" s="190"/>
      <c r="AF35" s="190"/>
      <c r="AG35" s="190"/>
      <c r="AH35" s="191"/>
      <c r="AI35" s="195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1"/>
      <c r="AU35" s="195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201"/>
    </row>
    <row r="36" spans="2:58" ht="13" customHeight="1" x14ac:dyDescent="0.4">
      <c r="B36" s="189"/>
      <c r="C36" s="190"/>
      <c r="D36" s="190"/>
      <c r="E36" s="190"/>
      <c r="F36" s="190"/>
      <c r="G36" s="190"/>
      <c r="H36" s="190"/>
      <c r="I36" s="190"/>
      <c r="J36" s="190"/>
      <c r="K36" s="190"/>
      <c r="L36" s="191"/>
      <c r="M36" s="195"/>
      <c r="N36" s="190"/>
      <c r="O36" s="190"/>
      <c r="P36" s="190"/>
      <c r="Q36" s="190"/>
      <c r="R36" s="190"/>
      <c r="S36" s="190"/>
      <c r="T36" s="190"/>
      <c r="U36" s="190"/>
      <c r="V36" s="190"/>
      <c r="W36" s="191"/>
      <c r="X36" s="195"/>
      <c r="Y36" s="190"/>
      <c r="Z36" s="190"/>
      <c r="AA36" s="190"/>
      <c r="AB36" s="190"/>
      <c r="AC36" s="190"/>
      <c r="AD36" s="190"/>
      <c r="AE36" s="190"/>
      <c r="AF36" s="190"/>
      <c r="AG36" s="190"/>
      <c r="AH36" s="191"/>
      <c r="AI36" s="195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1"/>
      <c r="AU36" s="195"/>
      <c r="AV36" s="190"/>
      <c r="AW36" s="190"/>
      <c r="AX36" s="190"/>
      <c r="AY36" s="190"/>
      <c r="AZ36" s="190"/>
      <c r="BA36" s="190"/>
      <c r="BB36" s="190"/>
      <c r="BC36" s="190"/>
      <c r="BD36" s="190"/>
      <c r="BE36" s="190"/>
      <c r="BF36" s="201"/>
    </row>
    <row r="37" spans="2:58" ht="13" customHeight="1" x14ac:dyDescent="0.4">
      <c r="B37" s="189"/>
      <c r="C37" s="190"/>
      <c r="D37" s="190"/>
      <c r="E37" s="190"/>
      <c r="F37" s="190"/>
      <c r="G37" s="190"/>
      <c r="H37" s="190"/>
      <c r="I37" s="190"/>
      <c r="J37" s="190"/>
      <c r="K37" s="190"/>
      <c r="L37" s="191"/>
      <c r="M37" s="195"/>
      <c r="N37" s="190"/>
      <c r="O37" s="190"/>
      <c r="P37" s="190"/>
      <c r="Q37" s="190"/>
      <c r="R37" s="190"/>
      <c r="S37" s="190"/>
      <c r="T37" s="190"/>
      <c r="U37" s="190"/>
      <c r="V37" s="190"/>
      <c r="W37" s="191"/>
      <c r="X37" s="195"/>
      <c r="Y37" s="190"/>
      <c r="Z37" s="190"/>
      <c r="AA37" s="190"/>
      <c r="AB37" s="190"/>
      <c r="AC37" s="190"/>
      <c r="AD37" s="190"/>
      <c r="AE37" s="190"/>
      <c r="AF37" s="190"/>
      <c r="AG37" s="190"/>
      <c r="AH37" s="191"/>
      <c r="AI37" s="195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1"/>
      <c r="AU37" s="195"/>
      <c r="AV37" s="190"/>
      <c r="AW37" s="190"/>
      <c r="AX37" s="190"/>
      <c r="AY37" s="190"/>
      <c r="AZ37" s="190"/>
      <c r="BA37" s="190"/>
      <c r="BB37" s="190"/>
      <c r="BC37" s="190"/>
      <c r="BD37" s="190"/>
      <c r="BE37" s="190"/>
      <c r="BF37" s="201"/>
    </row>
    <row r="38" spans="2:58" ht="13" customHeight="1" x14ac:dyDescent="0.4">
      <c r="B38" s="192"/>
      <c r="C38" s="193"/>
      <c r="D38" s="193"/>
      <c r="E38" s="193"/>
      <c r="F38" s="193"/>
      <c r="G38" s="193"/>
      <c r="H38" s="193"/>
      <c r="I38" s="193"/>
      <c r="J38" s="193"/>
      <c r="K38" s="193"/>
      <c r="L38" s="166"/>
      <c r="M38" s="196"/>
      <c r="N38" s="193"/>
      <c r="O38" s="193"/>
      <c r="P38" s="193"/>
      <c r="Q38" s="193"/>
      <c r="R38" s="193"/>
      <c r="S38" s="193"/>
      <c r="T38" s="193"/>
      <c r="U38" s="193"/>
      <c r="V38" s="193"/>
      <c r="W38" s="166"/>
      <c r="X38" s="196"/>
      <c r="Y38" s="193"/>
      <c r="Z38" s="193"/>
      <c r="AA38" s="193"/>
      <c r="AB38" s="193"/>
      <c r="AC38" s="193"/>
      <c r="AD38" s="193"/>
      <c r="AE38" s="193"/>
      <c r="AF38" s="193"/>
      <c r="AG38" s="193"/>
      <c r="AH38" s="166"/>
      <c r="AI38" s="196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66"/>
      <c r="AU38" s="196"/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202"/>
    </row>
    <row r="39" spans="2:58" ht="13" customHeight="1" x14ac:dyDescent="0.4">
      <c r="B39" s="206" t="s">
        <v>258</v>
      </c>
      <c r="C39" s="207"/>
      <c r="D39" s="207"/>
      <c r="E39" s="207"/>
      <c r="F39" s="207"/>
      <c r="G39" s="207"/>
      <c r="H39" s="207"/>
      <c r="I39" s="207"/>
      <c r="J39" s="207"/>
      <c r="K39" s="207"/>
      <c r="L39" s="209"/>
      <c r="M39" s="225" t="s">
        <v>259</v>
      </c>
      <c r="N39" s="207"/>
      <c r="O39" s="207"/>
      <c r="P39" s="207"/>
      <c r="Q39" s="207"/>
      <c r="R39" s="207"/>
      <c r="S39" s="207"/>
      <c r="T39" s="207"/>
      <c r="U39" s="207"/>
      <c r="V39" s="207"/>
      <c r="W39" s="209"/>
      <c r="X39" s="224" t="s">
        <v>260</v>
      </c>
      <c r="Y39" s="207"/>
      <c r="Z39" s="207"/>
      <c r="AA39" s="207"/>
      <c r="AB39" s="207"/>
      <c r="AC39" s="207"/>
      <c r="AD39" s="207"/>
      <c r="AE39" s="207"/>
      <c r="AF39" s="207"/>
      <c r="AG39" s="207"/>
      <c r="AH39" s="209"/>
      <c r="AI39" s="104" t="s">
        <v>261</v>
      </c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9"/>
      <c r="AU39" s="104" t="s">
        <v>262</v>
      </c>
      <c r="AV39" s="207"/>
      <c r="AW39" s="207"/>
      <c r="AX39" s="207"/>
      <c r="AY39" s="207"/>
      <c r="AZ39" s="207"/>
      <c r="BA39" s="207"/>
      <c r="BB39" s="207"/>
      <c r="BC39" s="207"/>
      <c r="BD39" s="207"/>
      <c r="BE39" s="207"/>
      <c r="BF39" s="218"/>
    </row>
    <row r="40" spans="2:58" ht="13" customHeight="1" x14ac:dyDescent="0.4">
      <c r="B40" s="186"/>
      <c r="C40" s="187"/>
      <c r="D40" s="187"/>
      <c r="E40" s="187"/>
      <c r="F40" s="187"/>
      <c r="G40" s="187"/>
      <c r="H40" s="187"/>
      <c r="I40" s="187"/>
      <c r="J40" s="187"/>
      <c r="K40" s="187"/>
      <c r="L40" s="188"/>
      <c r="M40" s="194"/>
      <c r="N40" s="187"/>
      <c r="O40" s="187"/>
      <c r="P40" s="187"/>
      <c r="Q40" s="187"/>
      <c r="R40" s="187"/>
      <c r="S40" s="187"/>
      <c r="T40" s="187"/>
      <c r="U40" s="187"/>
      <c r="V40" s="187"/>
      <c r="W40" s="188"/>
      <c r="X40" s="197"/>
      <c r="Y40" s="187"/>
      <c r="Z40" s="187"/>
      <c r="AA40" s="187"/>
      <c r="AB40" s="187"/>
      <c r="AC40" s="187"/>
      <c r="AD40" s="187"/>
      <c r="AE40" s="187"/>
      <c r="AF40" s="187"/>
      <c r="AG40" s="187"/>
      <c r="AH40" s="188"/>
      <c r="AI40" s="203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8"/>
      <c r="AU40" s="203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200"/>
    </row>
    <row r="41" spans="2:58" ht="13" customHeight="1" x14ac:dyDescent="0.4">
      <c r="B41" s="189"/>
      <c r="C41" s="190"/>
      <c r="D41" s="190"/>
      <c r="E41" s="190"/>
      <c r="F41" s="190"/>
      <c r="G41" s="190"/>
      <c r="H41" s="190"/>
      <c r="I41" s="190"/>
      <c r="J41" s="190"/>
      <c r="K41" s="190"/>
      <c r="L41" s="191"/>
      <c r="M41" s="195"/>
      <c r="N41" s="190"/>
      <c r="O41" s="190"/>
      <c r="P41" s="190"/>
      <c r="Q41" s="190"/>
      <c r="R41" s="190"/>
      <c r="S41" s="190"/>
      <c r="T41" s="190"/>
      <c r="U41" s="190"/>
      <c r="V41" s="190"/>
      <c r="W41" s="191"/>
      <c r="X41" s="195"/>
      <c r="Y41" s="190"/>
      <c r="Z41" s="190"/>
      <c r="AA41" s="190"/>
      <c r="AB41" s="190"/>
      <c r="AC41" s="190"/>
      <c r="AD41" s="190"/>
      <c r="AE41" s="190"/>
      <c r="AF41" s="190"/>
      <c r="AG41" s="190"/>
      <c r="AH41" s="191"/>
      <c r="AI41" s="195"/>
      <c r="AJ41" s="190"/>
      <c r="AK41" s="190"/>
      <c r="AL41" s="190"/>
      <c r="AM41" s="190"/>
      <c r="AN41" s="190"/>
      <c r="AO41" s="190"/>
      <c r="AP41" s="190"/>
      <c r="AQ41" s="190"/>
      <c r="AR41" s="190"/>
      <c r="AS41" s="190"/>
      <c r="AT41" s="191"/>
      <c r="AU41" s="195"/>
      <c r="AV41" s="190"/>
      <c r="AW41" s="190"/>
      <c r="AX41" s="190"/>
      <c r="AY41" s="190"/>
      <c r="AZ41" s="190"/>
      <c r="BA41" s="190"/>
      <c r="BB41" s="190"/>
      <c r="BC41" s="190"/>
      <c r="BD41" s="190"/>
      <c r="BE41" s="190"/>
      <c r="BF41" s="201"/>
    </row>
    <row r="42" spans="2:58" ht="13" customHeight="1" x14ac:dyDescent="0.4">
      <c r="B42" s="189"/>
      <c r="C42" s="190"/>
      <c r="D42" s="190"/>
      <c r="E42" s="190"/>
      <c r="F42" s="190"/>
      <c r="G42" s="190"/>
      <c r="H42" s="190"/>
      <c r="I42" s="190"/>
      <c r="J42" s="190"/>
      <c r="K42" s="190"/>
      <c r="L42" s="191"/>
      <c r="M42" s="195"/>
      <c r="N42" s="190"/>
      <c r="O42" s="190"/>
      <c r="P42" s="190"/>
      <c r="Q42" s="190"/>
      <c r="R42" s="190"/>
      <c r="S42" s="190"/>
      <c r="T42" s="190"/>
      <c r="U42" s="190"/>
      <c r="V42" s="190"/>
      <c r="W42" s="191"/>
      <c r="X42" s="195"/>
      <c r="Y42" s="190"/>
      <c r="Z42" s="190"/>
      <c r="AA42" s="190"/>
      <c r="AB42" s="190"/>
      <c r="AC42" s="190"/>
      <c r="AD42" s="190"/>
      <c r="AE42" s="190"/>
      <c r="AF42" s="190"/>
      <c r="AG42" s="190"/>
      <c r="AH42" s="191"/>
      <c r="AI42" s="195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1"/>
      <c r="AU42" s="195"/>
      <c r="AV42" s="190"/>
      <c r="AW42" s="190"/>
      <c r="AX42" s="190"/>
      <c r="AY42" s="190"/>
      <c r="AZ42" s="190"/>
      <c r="BA42" s="190"/>
      <c r="BB42" s="190"/>
      <c r="BC42" s="190"/>
      <c r="BD42" s="190"/>
      <c r="BE42" s="190"/>
      <c r="BF42" s="201"/>
    </row>
    <row r="43" spans="2:58" ht="13" customHeight="1" x14ac:dyDescent="0.4">
      <c r="B43" s="189"/>
      <c r="C43" s="190"/>
      <c r="D43" s="190"/>
      <c r="E43" s="190"/>
      <c r="F43" s="190"/>
      <c r="G43" s="190"/>
      <c r="H43" s="190"/>
      <c r="I43" s="190"/>
      <c r="J43" s="190"/>
      <c r="K43" s="190"/>
      <c r="L43" s="191"/>
      <c r="M43" s="195"/>
      <c r="N43" s="190"/>
      <c r="O43" s="190"/>
      <c r="P43" s="190"/>
      <c r="Q43" s="190"/>
      <c r="R43" s="190"/>
      <c r="S43" s="190"/>
      <c r="T43" s="190"/>
      <c r="U43" s="190"/>
      <c r="V43" s="190"/>
      <c r="W43" s="191"/>
      <c r="X43" s="195"/>
      <c r="Y43" s="190"/>
      <c r="Z43" s="190"/>
      <c r="AA43" s="190"/>
      <c r="AB43" s="190"/>
      <c r="AC43" s="190"/>
      <c r="AD43" s="190"/>
      <c r="AE43" s="190"/>
      <c r="AF43" s="190"/>
      <c r="AG43" s="190"/>
      <c r="AH43" s="191"/>
      <c r="AI43" s="195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1"/>
      <c r="AU43" s="195"/>
      <c r="AV43" s="190"/>
      <c r="AW43" s="190"/>
      <c r="AX43" s="190"/>
      <c r="AY43" s="190"/>
      <c r="AZ43" s="190"/>
      <c r="BA43" s="190"/>
      <c r="BB43" s="190"/>
      <c r="BC43" s="190"/>
      <c r="BD43" s="190"/>
      <c r="BE43" s="190"/>
      <c r="BF43" s="201"/>
    </row>
    <row r="44" spans="2:58" ht="13" customHeight="1" x14ac:dyDescent="0.4"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1"/>
      <c r="M44" s="195"/>
      <c r="N44" s="190"/>
      <c r="O44" s="190"/>
      <c r="P44" s="190"/>
      <c r="Q44" s="190"/>
      <c r="R44" s="190"/>
      <c r="S44" s="190"/>
      <c r="T44" s="190"/>
      <c r="U44" s="190"/>
      <c r="V44" s="190"/>
      <c r="W44" s="191"/>
      <c r="X44" s="195"/>
      <c r="Y44" s="190"/>
      <c r="Z44" s="190"/>
      <c r="AA44" s="190"/>
      <c r="AB44" s="190"/>
      <c r="AC44" s="190"/>
      <c r="AD44" s="190"/>
      <c r="AE44" s="190"/>
      <c r="AF44" s="190"/>
      <c r="AG44" s="190"/>
      <c r="AH44" s="191"/>
      <c r="AI44" s="195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1"/>
      <c r="AU44" s="195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201"/>
    </row>
    <row r="45" spans="2:58" ht="13" customHeight="1" x14ac:dyDescent="0.4">
      <c r="B45" s="192"/>
      <c r="C45" s="193"/>
      <c r="D45" s="193"/>
      <c r="E45" s="193"/>
      <c r="F45" s="193"/>
      <c r="G45" s="193"/>
      <c r="H45" s="193"/>
      <c r="I45" s="193"/>
      <c r="J45" s="193"/>
      <c r="K45" s="193"/>
      <c r="L45" s="166"/>
      <c r="M45" s="196"/>
      <c r="N45" s="193"/>
      <c r="O45" s="193"/>
      <c r="P45" s="193"/>
      <c r="Q45" s="193"/>
      <c r="R45" s="193"/>
      <c r="S45" s="193"/>
      <c r="T45" s="193"/>
      <c r="U45" s="193"/>
      <c r="V45" s="193"/>
      <c r="W45" s="166"/>
      <c r="X45" s="196"/>
      <c r="Y45" s="193"/>
      <c r="Z45" s="193"/>
      <c r="AA45" s="193"/>
      <c r="AB45" s="193"/>
      <c r="AC45" s="193"/>
      <c r="AD45" s="193"/>
      <c r="AE45" s="193"/>
      <c r="AF45" s="193"/>
      <c r="AG45" s="193"/>
      <c r="AH45" s="166"/>
      <c r="AI45" s="196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66"/>
      <c r="AU45" s="196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202"/>
    </row>
    <row r="46" spans="2:58" ht="13" customHeight="1" x14ac:dyDescent="0.4">
      <c r="B46" s="206" t="s">
        <v>263</v>
      </c>
      <c r="C46" s="207"/>
      <c r="D46" s="207"/>
      <c r="E46" s="207"/>
      <c r="F46" s="207"/>
      <c r="G46" s="207"/>
      <c r="H46" s="207"/>
      <c r="I46" s="207"/>
      <c r="J46" s="207"/>
      <c r="K46" s="207"/>
      <c r="L46" s="209"/>
      <c r="M46" s="114" t="s">
        <v>264</v>
      </c>
      <c r="N46" s="207"/>
      <c r="O46" s="207"/>
      <c r="P46" s="207"/>
      <c r="Q46" s="207"/>
      <c r="R46" s="207"/>
      <c r="S46" s="207"/>
      <c r="T46" s="207"/>
      <c r="U46" s="207"/>
      <c r="V46" s="207"/>
      <c r="W46" s="209"/>
      <c r="X46" s="224" t="s">
        <v>265</v>
      </c>
      <c r="Y46" s="207"/>
      <c r="Z46" s="207"/>
      <c r="AA46" s="207"/>
      <c r="AB46" s="207"/>
      <c r="AC46" s="207"/>
      <c r="AD46" s="207"/>
      <c r="AE46" s="207"/>
      <c r="AF46" s="207"/>
      <c r="AG46" s="207"/>
      <c r="AH46" s="209"/>
      <c r="AI46" s="104" t="s">
        <v>266</v>
      </c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9"/>
      <c r="AU46" s="104" t="s">
        <v>267</v>
      </c>
      <c r="AV46" s="207"/>
      <c r="AW46" s="207"/>
      <c r="AX46" s="207"/>
      <c r="AY46" s="207"/>
      <c r="AZ46" s="207"/>
      <c r="BA46" s="207"/>
      <c r="BB46" s="207"/>
      <c r="BC46" s="207"/>
      <c r="BD46" s="207"/>
      <c r="BE46" s="207"/>
      <c r="BF46" s="218"/>
    </row>
    <row r="47" spans="2:58" ht="13" customHeight="1" x14ac:dyDescent="0.4">
      <c r="B47" s="186"/>
      <c r="C47" s="187"/>
      <c r="D47" s="187"/>
      <c r="E47" s="187"/>
      <c r="F47" s="187"/>
      <c r="G47" s="187"/>
      <c r="H47" s="187"/>
      <c r="I47" s="187"/>
      <c r="J47" s="187"/>
      <c r="K47" s="187"/>
      <c r="L47" s="188"/>
      <c r="M47" s="194"/>
      <c r="N47" s="187"/>
      <c r="O47" s="187"/>
      <c r="P47" s="187"/>
      <c r="Q47" s="187"/>
      <c r="R47" s="187"/>
      <c r="S47" s="187"/>
      <c r="T47" s="187"/>
      <c r="U47" s="187"/>
      <c r="V47" s="187"/>
      <c r="W47" s="188"/>
      <c r="X47" s="197"/>
      <c r="Y47" s="187"/>
      <c r="Z47" s="187"/>
      <c r="AA47" s="187"/>
      <c r="AB47" s="187"/>
      <c r="AC47" s="187"/>
      <c r="AD47" s="187"/>
      <c r="AE47" s="187"/>
      <c r="AF47" s="187"/>
      <c r="AG47" s="187"/>
      <c r="AH47" s="188"/>
      <c r="AI47" s="203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8"/>
      <c r="AU47" s="203"/>
      <c r="AV47" s="187"/>
      <c r="AW47" s="187"/>
      <c r="AX47" s="187"/>
      <c r="AY47" s="187"/>
      <c r="AZ47" s="187"/>
      <c r="BA47" s="187"/>
      <c r="BB47" s="187"/>
      <c r="BC47" s="187"/>
      <c r="BD47" s="187"/>
      <c r="BE47" s="187"/>
      <c r="BF47" s="200"/>
    </row>
    <row r="48" spans="2:58" ht="13" customHeight="1" x14ac:dyDescent="0.4">
      <c r="B48" s="189"/>
      <c r="C48" s="190"/>
      <c r="D48" s="190"/>
      <c r="E48" s="190"/>
      <c r="F48" s="190"/>
      <c r="G48" s="190"/>
      <c r="H48" s="190"/>
      <c r="I48" s="190"/>
      <c r="J48" s="190"/>
      <c r="K48" s="190"/>
      <c r="L48" s="191"/>
      <c r="M48" s="195"/>
      <c r="N48" s="190"/>
      <c r="O48" s="190"/>
      <c r="P48" s="190"/>
      <c r="Q48" s="190"/>
      <c r="R48" s="190"/>
      <c r="S48" s="190"/>
      <c r="T48" s="190"/>
      <c r="U48" s="190"/>
      <c r="V48" s="190"/>
      <c r="W48" s="191"/>
      <c r="X48" s="195"/>
      <c r="Y48" s="190"/>
      <c r="Z48" s="190"/>
      <c r="AA48" s="190"/>
      <c r="AB48" s="190"/>
      <c r="AC48" s="190"/>
      <c r="AD48" s="190"/>
      <c r="AE48" s="190"/>
      <c r="AF48" s="190"/>
      <c r="AG48" s="190"/>
      <c r="AH48" s="191"/>
      <c r="AI48" s="195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1"/>
      <c r="AU48" s="195"/>
      <c r="AV48" s="190"/>
      <c r="AW48" s="190"/>
      <c r="AX48" s="190"/>
      <c r="AY48" s="190"/>
      <c r="AZ48" s="190"/>
      <c r="BA48" s="190"/>
      <c r="BB48" s="190"/>
      <c r="BC48" s="190"/>
      <c r="BD48" s="190"/>
      <c r="BE48" s="190"/>
      <c r="BF48" s="201"/>
    </row>
    <row r="49" spans="2:58" ht="13" customHeight="1" x14ac:dyDescent="0.4">
      <c r="B49" s="189"/>
      <c r="C49" s="190"/>
      <c r="D49" s="190"/>
      <c r="E49" s="190"/>
      <c r="F49" s="190"/>
      <c r="G49" s="190"/>
      <c r="H49" s="190"/>
      <c r="I49" s="190"/>
      <c r="J49" s="190"/>
      <c r="K49" s="190"/>
      <c r="L49" s="191"/>
      <c r="M49" s="195"/>
      <c r="N49" s="190"/>
      <c r="O49" s="190"/>
      <c r="P49" s="190"/>
      <c r="Q49" s="190"/>
      <c r="R49" s="190"/>
      <c r="S49" s="190"/>
      <c r="T49" s="190"/>
      <c r="U49" s="190"/>
      <c r="V49" s="190"/>
      <c r="W49" s="191"/>
      <c r="X49" s="195"/>
      <c r="Y49" s="190"/>
      <c r="Z49" s="190"/>
      <c r="AA49" s="190"/>
      <c r="AB49" s="190"/>
      <c r="AC49" s="190"/>
      <c r="AD49" s="190"/>
      <c r="AE49" s="190"/>
      <c r="AF49" s="190"/>
      <c r="AG49" s="190"/>
      <c r="AH49" s="191"/>
      <c r="AI49" s="195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1"/>
      <c r="AU49" s="195"/>
      <c r="AV49" s="190"/>
      <c r="AW49" s="190"/>
      <c r="AX49" s="190"/>
      <c r="AY49" s="190"/>
      <c r="AZ49" s="190"/>
      <c r="BA49" s="190"/>
      <c r="BB49" s="190"/>
      <c r="BC49" s="190"/>
      <c r="BD49" s="190"/>
      <c r="BE49" s="190"/>
      <c r="BF49" s="201"/>
    </row>
    <row r="50" spans="2:58" ht="13" customHeight="1" x14ac:dyDescent="0.4">
      <c r="B50" s="189"/>
      <c r="C50" s="190"/>
      <c r="D50" s="190"/>
      <c r="E50" s="190"/>
      <c r="F50" s="190"/>
      <c r="G50" s="190"/>
      <c r="H50" s="190"/>
      <c r="I50" s="190"/>
      <c r="J50" s="190"/>
      <c r="K50" s="190"/>
      <c r="L50" s="191"/>
      <c r="M50" s="195"/>
      <c r="N50" s="190"/>
      <c r="O50" s="190"/>
      <c r="P50" s="190"/>
      <c r="Q50" s="190"/>
      <c r="R50" s="190"/>
      <c r="S50" s="190"/>
      <c r="T50" s="190"/>
      <c r="U50" s="190"/>
      <c r="V50" s="190"/>
      <c r="W50" s="191"/>
      <c r="X50" s="195"/>
      <c r="Y50" s="190"/>
      <c r="Z50" s="190"/>
      <c r="AA50" s="190"/>
      <c r="AB50" s="190"/>
      <c r="AC50" s="190"/>
      <c r="AD50" s="190"/>
      <c r="AE50" s="190"/>
      <c r="AF50" s="190"/>
      <c r="AG50" s="190"/>
      <c r="AH50" s="191"/>
      <c r="AI50" s="195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1"/>
      <c r="AU50" s="195"/>
      <c r="AV50" s="190"/>
      <c r="AW50" s="190"/>
      <c r="AX50" s="190"/>
      <c r="AY50" s="190"/>
      <c r="AZ50" s="190"/>
      <c r="BA50" s="190"/>
      <c r="BB50" s="190"/>
      <c r="BC50" s="190"/>
      <c r="BD50" s="190"/>
      <c r="BE50" s="190"/>
      <c r="BF50" s="201"/>
    </row>
    <row r="51" spans="2:58" ht="13" customHeight="1" x14ac:dyDescent="0.4">
      <c r="B51" s="189"/>
      <c r="C51" s="190"/>
      <c r="D51" s="190"/>
      <c r="E51" s="190"/>
      <c r="F51" s="190"/>
      <c r="G51" s="190"/>
      <c r="H51" s="190"/>
      <c r="I51" s="190"/>
      <c r="J51" s="190"/>
      <c r="K51" s="190"/>
      <c r="L51" s="191"/>
      <c r="M51" s="195"/>
      <c r="N51" s="190"/>
      <c r="O51" s="190"/>
      <c r="P51" s="190"/>
      <c r="Q51" s="190"/>
      <c r="R51" s="190"/>
      <c r="S51" s="190"/>
      <c r="T51" s="190"/>
      <c r="U51" s="190"/>
      <c r="V51" s="190"/>
      <c r="W51" s="191"/>
      <c r="X51" s="195"/>
      <c r="Y51" s="190"/>
      <c r="Z51" s="190"/>
      <c r="AA51" s="190"/>
      <c r="AB51" s="190"/>
      <c r="AC51" s="190"/>
      <c r="AD51" s="190"/>
      <c r="AE51" s="190"/>
      <c r="AF51" s="190"/>
      <c r="AG51" s="190"/>
      <c r="AH51" s="191"/>
      <c r="AI51" s="195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1"/>
      <c r="AU51" s="195"/>
      <c r="AV51" s="190"/>
      <c r="AW51" s="190"/>
      <c r="AX51" s="190"/>
      <c r="AY51" s="190"/>
      <c r="AZ51" s="190"/>
      <c r="BA51" s="190"/>
      <c r="BB51" s="190"/>
      <c r="BC51" s="190"/>
      <c r="BD51" s="190"/>
      <c r="BE51" s="190"/>
      <c r="BF51" s="201"/>
    </row>
    <row r="52" spans="2:58" ht="13" customHeight="1" x14ac:dyDescent="0.4">
      <c r="B52" s="192"/>
      <c r="C52" s="193"/>
      <c r="D52" s="193"/>
      <c r="E52" s="193"/>
      <c r="F52" s="193"/>
      <c r="G52" s="193"/>
      <c r="H52" s="193"/>
      <c r="I52" s="193"/>
      <c r="J52" s="193"/>
      <c r="K52" s="193"/>
      <c r="L52" s="166"/>
      <c r="M52" s="196"/>
      <c r="N52" s="193"/>
      <c r="O52" s="193"/>
      <c r="P52" s="193"/>
      <c r="Q52" s="193"/>
      <c r="R52" s="193"/>
      <c r="S52" s="193"/>
      <c r="T52" s="193"/>
      <c r="U52" s="193"/>
      <c r="V52" s="193"/>
      <c r="W52" s="166"/>
      <c r="X52" s="196"/>
      <c r="Y52" s="193"/>
      <c r="Z52" s="193"/>
      <c r="AA52" s="193"/>
      <c r="AB52" s="193"/>
      <c r="AC52" s="193"/>
      <c r="AD52" s="193"/>
      <c r="AE52" s="193"/>
      <c r="AF52" s="193"/>
      <c r="AG52" s="193"/>
      <c r="AH52" s="166"/>
      <c r="AI52" s="196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66"/>
      <c r="AU52" s="196"/>
      <c r="AV52" s="193"/>
      <c r="AW52" s="193"/>
      <c r="AX52" s="193"/>
      <c r="AY52" s="193"/>
      <c r="AZ52" s="193"/>
      <c r="BA52" s="193"/>
      <c r="BB52" s="193"/>
      <c r="BC52" s="193"/>
      <c r="BD52" s="193"/>
      <c r="BE52" s="193"/>
      <c r="BF52" s="202"/>
    </row>
    <row r="53" spans="2:58" ht="13" customHeight="1" x14ac:dyDescent="0.4">
      <c r="B53" s="206" t="s">
        <v>268</v>
      </c>
      <c r="C53" s="207"/>
      <c r="D53" s="207"/>
      <c r="E53" s="207"/>
      <c r="F53" s="207"/>
      <c r="G53" s="207"/>
      <c r="H53" s="207"/>
      <c r="I53" s="207"/>
      <c r="J53" s="207"/>
      <c r="K53" s="207"/>
      <c r="L53" s="209"/>
      <c r="M53" s="225" t="s">
        <v>269</v>
      </c>
      <c r="N53" s="207"/>
      <c r="O53" s="207"/>
      <c r="P53" s="207"/>
      <c r="Q53" s="207"/>
      <c r="R53" s="207"/>
      <c r="S53" s="207"/>
      <c r="T53" s="207"/>
      <c r="U53" s="207"/>
      <c r="V53" s="207"/>
      <c r="W53" s="209"/>
      <c r="X53" s="224" t="s">
        <v>270</v>
      </c>
      <c r="Y53" s="207"/>
      <c r="Z53" s="207"/>
      <c r="AA53" s="207"/>
      <c r="AB53" s="207"/>
      <c r="AC53" s="207"/>
      <c r="AD53" s="207"/>
      <c r="AE53" s="207"/>
      <c r="AF53" s="207"/>
      <c r="AG53" s="207"/>
      <c r="AH53" s="209"/>
      <c r="AI53" s="104" t="s">
        <v>271</v>
      </c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  <c r="AT53" s="209"/>
      <c r="AU53" s="104" t="s">
        <v>272</v>
      </c>
      <c r="AV53" s="207"/>
      <c r="AW53" s="207"/>
      <c r="AX53" s="207"/>
      <c r="AY53" s="207"/>
      <c r="AZ53" s="207"/>
      <c r="BA53" s="207"/>
      <c r="BB53" s="207"/>
      <c r="BC53" s="207"/>
      <c r="BD53" s="207"/>
      <c r="BE53" s="207"/>
      <c r="BF53" s="218"/>
    </row>
    <row r="54" spans="2:58" ht="13" customHeight="1" x14ac:dyDescent="0.4">
      <c r="B54" s="186"/>
      <c r="C54" s="187"/>
      <c r="D54" s="187"/>
      <c r="E54" s="187"/>
      <c r="F54" s="187"/>
      <c r="G54" s="187"/>
      <c r="H54" s="187"/>
      <c r="I54" s="187"/>
      <c r="J54" s="187"/>
      <c r="K54" s="187"/>
      <c r="L54" s="188"/>
      <c r="M54" s="211"/>
      <c r="N54" s="187"/>
      <c r="O54" s="187"/>
      <c r="P54" s="187"/>
      <c r="Q54" s="187"/>
      <c r="R54" s="187"/>
      <c r="S54" s="187"/>
      <c r="T54" s="187"/>
      <c r="U54" s="187"/>
      <c r="V54" s="187"/>
      <c r="W54" s="188"/>
      <c r="X54" s="197"/>
      <c r="Y54" s="187"/>
      <c r="Z54" s="187"/>
      <c r="AA54" s="187"/>
      <c r="AB54" s="187"/>
      <c r="AC54" s="187"/>
      <c r="AD54" s="187"/>
      <c r="AE54" s="187"/>
      <c r="AF54" s="187"/>
      <c r="AG54" s="187"/>
      <c r="AH54" s="188"/>
      <c r="AI54" s="203"/>
      <c r="AJ54" s="187"/>
      <c r="AK54" s="187"/>
      <c r="AL54" s="187"/>
      <c r="AM54" s="187"/>
      <c r="AN54" s="187"/>
      <c r="AO54" s="187"/>
      <c r="AP54" s="187"/>
      <c r="AQ54" s="187"/>
      <c r="AR54" s="187"/>
      <c r="AS54" s="187"/>
      <c r="AT54" s="188"/>
      <c r="AU54" s="203"/>
      <c r="AV54" s="187"/>
      <c r="AW54" s="187"/>
      <c r="AX54" s="187"/>
      <c r="AY54" s="187"/>
      <c r="AZ54" s="187"/>
      <c r="BA54" s="187"/>
      <c r="BB54" s="187"/>
      <c r="BC54" s="187"/>
      <c r="BD54" s="187"/>
      <c r="BE54" s="187"/>
      <c r="BF54" s="200"/>
    </row>
    <row r="55" spans="2:58" ht="13" customHeight="1" x14ac:dyDescent="0.4">
      <c r="B55" s="189"/>
      <c r="C55" s="190"/>
      <c r="D55" s="190"/>
      <c r="E55" s="190"/>
      <c r="F55" s="190"/>
      <c r="G55" s="190"/>
      <c r="H55" s="190"/>
      <c r="I55" s="190"/>
      <c r="J55" s="190"/>
      <c r="K55" s="190"/>
      <c r="L55" s="191"/>
      <c r="M55" s="195"/>
      <c r="N55" s="190"/>
      <c r="O55" s="190"/>
      <c r="P55" s="190"/>
      <c r="Q55" s="190"/>
      <c r="R55" s="190"/>
      <c r="S55" s="190"/>
      <c r="T55" s="190"/>
      <c r="U55" s="190"/>
      <c r="V55" s="190"/>
      <c r="W55" s="191"/>
      <c r="X55" s="195"/>
      <c r="Y55" s="190"/>
      <c r="Z55" s="190"/>
      <c r="AA55" s="190"/>
      <c r="AB55" s="190"/>
      <c r="AC55" s="190"/>
      <c r="AD55" s="190"/>
      <c r="AE55" s="190"/>
      <c r="AF55" s="190"/>
      <c r="AG55" s="190"/>
      <c r="AH55" s="191"/>
      <c r="AI55" s="195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1"/>
      <c r="AU55" s="195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201"/>
    </row>
    <row r="56" spans="2:58" ht="13" customHeight="1" x14ac:dyDescent="0.4">
      <c r="B56" s="189"/>
      <c r="C56" s="190"/>
      <c r="D56" s="190"/>
      <c r="E56" s="190"/>
      <c r="F56" s="190"/>
      <c r="G56" s="190"/>
      <c r="H56" s="190"/>
      <c r="I56" s="190"/>
      <c r="J56" s="190"/>
      <c r="K56" s="190"/>
      <c r="L56" s="191"/>
      <c r="M56" s="195"/>
      <c r="N56" s="190"/>
      <c r="O56" s="190"/>
      <c r="P56" s="190"/>
      <c r="Q56" s="190"/>
      <c r="R56" s="190"/>
      <c r="S56" s="190"/>
      <c r="T56" s="190"/>
      <c r="U56" s="190"/>
      <c r="V56" s="190"/>
      <c r="W56" s="191"/>
      <c r="X56" s="195"/>
      <c r="Y56" s="190"/>
      <c r="Z56" s="190"/>
      <c r="AA56" s="190"/>
      <c r="AB56" s="190"/>
      <c r="AC56" s="190"/>
      <c r="AD56" s="190"/>
      <c r="AE56" s="190"/>
      <c r="AF56" s="190"/>
      <c r="AG56" s="190"/>
      <c r="AH56" s="191"/>
      <c r="AI56" s="195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1"/>
      <c r="AU56" s="195"/>
      <c r="AV56" s="190"/>
      <c r="AW56" s="190"/>
      <c r="AX56" s="190"/>
      <c r="AY56" s="190"/>
      <c r="AZ56" s="190"/>
      <c r="BA56" s="190"/>
      <c r="BB56" s="190"/>
      <c r="BC56" s="190"/>
      <c r="BD56" s="190"/>
      <c r="BE56" s="190"/>
      <c r="BF56" s="201"/>
    </row>
    <row r="57" spans="2:58" ht="13" customHeight="1" x14ac:dyDescent="0.4">
      <c r="B57" s="189"/>
      <c r="C57" s="190"/>
      <c r="D57" s="190"/>
      <c r="E57" s="190"/>
      <c r="F57" s="190"/>
      <c r="G57" s="190"/>
      <c r="H57" s="190"/>
      <c r="I57" s="190"/>
      <c r="J57" s="190"/>
      <c r="K57" s="190"/>
      <c r="L57" s="191"/>
      <c r="M57" s="195"/>
      <c r="N57" s="190"/>
      <c r="O57" s="190"/>
      <c r="P57" s="190"/>
      <c r="Q57" s="190"/>
      <c r="R57" s="190"/>
      <c r="S57" s="190"/>
      <c r="T57" s="190"/>
      <c r="U57" s="190"/>
      <c r="V57" s="190"/>
      <c r="W57" s="191"/>
      <c r="X57" s="195"/>
      <c r="Y57" s="190"/>
      <c r="Z57" s="190"/>
      <c r="AA57" s="190"/>
      <c r="AB57" s="190"/>
      <c r="AC57" s="190"/>
      <c r="AD57" s="190"/>
      <c r="AE57" s="190"/>
      <c r="AF57" s="190"/>
      <c r="AG57" s="190"/>
      <c r="AH57" s="191"/>
      <c r="AI57" s="195"/>
      <c r="AJ57" s="190"/>
      <c r="AK57" s="190"/>
      <c r="AL57" s="190"/>
      <c r="AM57" s="190"/>
      <c r="AN57" s="190"/>
      <c r="AO57" s="190"/>
      <c r="AP57" s="190"/>
      <c r="AQ57" s="190"/>
      <c r="AR57" s="190"/>
      <c r="AS57" s="190"/>
      <c r="AT57" s="191"/>
      <c r="AU57" s="195"/>
      <c r="AV57" s="190"/>
      <c r="AW57" s="190"/>
      <c r="AX57" s="190"/>
      <c r="AY57" s="190"/>
      <c r="AZ57" s="190"/>
      <c r="BA57" s="190"/>
      <c r="BB57" s="190"/>
      <c r="BC57" s="190"/>
      <c r="BD57" s="190"/>
      <c r="BE57" s="190"/>
      <c r="BF57" s="201"/>
    </row>
    <row r="58" spans="2:58" ht="13" customHeight="1" x14ac:dyDescent="0.4">
      <c r="B58" s="189"/>
      <c r="C58" s="190"/>
      <c r="D58" s="190"/>
      <c r="E58" s="190"/>
      <c r="F58" s="190"/>
      <c r="G58" s="190"/>
      <c r="H58" s="190"/>
      <c r="I58" s="190"/>
      <c r="J58" s="190"/>
      <c r="K58" s="190"/>
      <c r="L58" s="191"/>
      <c r="M58" s="195"/>
      <c r="N58" s="190"/>
      <c r="O58" s="190"/>
      <c r="P58" s="190"/>
      <c r="Q58" s="190"/>
      <c r="R58" s="190"/>
      <c r="S58" s="190"/>
      <c r="T58" s="190"/>
      <c r="U58" s="190"/>
      <c r="V58" s="190"/>
      <c r="W58" s="191"/>
      <c r="X58" s="195"/>
      <c r="Y58" s="190"/>
      <c r="Z58" s="190"/>
      <c r="AA58" s="190"/>
      <c r="AB58" s="190"/>
      <c r="AC58" s="190"/>
      <c r="AD58" s="190"/>
      <c r="AE58" s="190"/>
      <c r="AF58" s="190"/>
      <c r="AG58" s="190"/>
      <c r="AH58" s="191"/>
      <c r="AI58" s="195"/>
      <c r="AJ58" s="190"/>
      <c r="AK58" s="190"/>
      <c r="AL58" s="190"/>
      <c r="AM58" s="190"/>
      <c r="AN58" s="190"/>
      <c r="AO58" s="190"/>
      <c r="AP58" s="190"/>
      <c r="AQ58" s="190"/>
      <c r="AR58" s="190"/>
      <c r="AS58" s="190"/>
      <c r="AT58" s="191"/>
      <c r="AU58" s="195"/>
      <c r="AV58" s="190"/>
      <c r="AW58" s="190"/>
      <c r="AX58" s="190"/>
      <c r="AY58" s="190"/>
      <c r="AZ58" s="190"/>
      <c r="BA58" s="190"/>
      <c r="BB58" s="190"/>
      <c r="BC58" s="190"/>
      <c r="BD58" s="190"/>
      <c r="BE58" s="190"/>
      <c r="BF58" s="201"/>
    </row>
    <row r="59" spans="2:58" ht="13" customHeight="1" x14ac:dyDescent="0.4">
      <c r="B59" s="212"/>
      <c r="C59" s="213"/>
      <c r="D59" s="213"/>
      <c r="E59" s="213"/>
      <c r="F59" s="213"/>
      <c r="G59" s="213"/>
      <c r="H59" s="213"/>
      <c r="I59" s="213"/>
      <c r="J59" s="213"/>
      <c r="K59" s="213"/>
      <c r="L59" s="214"/>
      <c r="M59" s="215"/>
      <c r="N59" s="213"/>
      <c r="O59" s="213"/>
      <c r="P59" s="213"/>
      <c r="Q59" s="213"/>
      <c r="R59" s="213"/>
      <c r="S59" s="213"/>
      <c r="T59" s="213"/>
      <c r="U59" s="213"/>
      <c r="V59" s="213"/>
      <c r="W59" s="214"/>
      <c r="X59" s="215"/>
      <c r="Y59" s="213"/>
      <c r="Z59" s="213"/>
      <c r="AA59" s="213"/>
      <c r="AB59" s="213"/>
      <c r="AC59" s="213"/>
      <c r="AD59" s="213"/>
      <c r="AE59" s="213"/>
      <c r="AF59" s="213"/>
      <c r="AG59" s="213"/>
      <c r="AH59" s="214"/>
      <c r="AI59" s="215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4"/>
      <c r="AU59" s="215"/>
      <c r="AV59" s="213"/>
      <c r="AW59" s="213"/>
      <c r="AX59" s="213"/>
      <c r="AY59" s="213"/>
      <c r="AZ59" s="213"/>
      <c r="BA59" s="213"/>
      <c r="BB59" s="213"/>
      <c r="BC59" s="213"/>
      <c r="BD59" s="213"/>
      <c r="BE59" s="213"/>
      <c r="BF59" s="216"/>
    </row>
    <row r="60" spans="2:58" ht="13" customHeight="1" x14ac:dyDescent="0.4">
      <c r="B60" s="173" t="s">
        <v>49</v>
      </c>
      <c r="C60" s="174"/>
      <c r="D60" s="85" t="s">
        <v>19</v>
      </c>
      <c r="E60" s="175" t="s">
        <v>20</v>
      </c>
      <c r="F60" s="178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  <c r="AM60" s="179"/>
      <c r="AN60" s="179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  <c r="BE60" s="180"/>
      <c r="BF60" s="181"/>
    </row>
    <row r="61" spans="2:58" ht="13" customHeight="1" x14ac:dyDescent="0.4">
      <c r="B61" s="139" t="s">
        <v>228</v>
      </c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82"/>
    </row>
    <row r="62" spans="2:58" ht="13" customHeight="1" thickBot="1" x14ac:dyDescent="0.45">
      <c r="B62" s="185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M25:W25"/>
    <mergeCell ref="AI18:AT18"/>
    <mergeCell ref="AU18:BF18"/>
    <mergeCell ref="B25:L25"/>
    <mergeCell ref="X25:AH25"/>
    <mergeCell ref="AI25:AT25"/>
    <mergeCell ref="AU25:BF25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11:L17"/>
    <mergeCell ref="M11:W17"/>
    <mergeCell ref="X11:AH17"/>
    <mergeCell ref="AI11:AT17"/>
    <mergeCell ref="X18:AH18"/>
    <mergeCell ref="X19:AH24"/>
    <mergeCell ref="AI19:AT24"/>
    <mergeCell ref="AU19:BF24"/>
    <mergeCell ref="B18:L18"/>
    <mergeCell ref="M18:W18"/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07" t="s">
        <v>229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</row>
    <row r="3" spans="2:47" ht="20.1" customHeight="1" x14ac:dyDescent="0.4">
      <c r="B3" s="111" t="s">
        <v>183</v>
      </c>
      <c r="C3" s="109" t="s">
        <v>165</v>
      </c>
      <c r="D3" s="123"/>
      <c r="E3" s="123"/>
      <c r="F3" s="123"/>
      <c r="G3" s="123"/>
      <c r="H3" s="124"/>
      <c r="I3" s="152" t="s">
        <v>8</v>
      </c>
      <c r="J3" s="123"/>
      <c r="K3" s="123"/>
      <c r="L3" s="123"/>
      <c r="M3" s="123"/>
      <c r="N3" s="123"/>
      <c r="O3" s="123"/>
      <c r="P3" s="153"/>
      <c r="Q3" s="109" t="s">
        <v>77</v>
      </c>
      <c r="R3" s="123"/>
      <c r="S3" s="153"/>
      <c r="T3" s="109" t="s">
        <v>10</v>
      </c>
      <c r="U3" s="123"/>
      <c r="V3" s="123"/>
      <c r="W3" s="153"/>
      <c r="X3" s="109" t="s">
        <v>82</v>
      </c>
      <c r="Y3" s="110"/>
      <c r="Z3" s="109" t="s">
        <v>11</v>
      </c>
      <c r="AA3" s="110"/>
      <c r="AB3" s="18" t="s">
        <v>13</v>
      </c>
      <c r="AC3" s="154" t="s">
        <v>14</v>
      </c>
      <c r="AD3" s="155"/>
      <c r="AE3" s="156" t="s">
        <v>90</v>
      </c>
      <c r="AF3" s="157"/>
      <c r="AG3" s="157"/>
      <c r="AH3" s="157"/>
      <c r="AI3" s="157"/>
      <c r="AJ3" s="157"/>
      <c r="AK3" s="158"/>
      <c r="AL3" s="109" t="s">
        <v>18</v>
      </c>
      <c r="AM3" s="117"/>
      <c r="AN3" s="118"/>
      <c r="AO3" s="121" t="s">
        <v>16</v>
      </c>
      <c r="AP3" s="121"/>
      <c r="AQ3" s="121"/>
      <c r="AR3" s="122"/>
    </row>
    <row r="4" spans="2:47" ht="30" customHeight="1" x14ac:dyDescent="0.4">
      <c r="B4" s="112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50" t="s">
        <v>62</v>
      </c>
      <c r="J4" s="151"/>
      <c r="K4" s="30" t="s">
        <v>6</v>
      </c>
      <c r="L4" s="30" t="s">
        <v>66</v>
      </c>
      <c r="M4" s="30" t="s">
        <v>166</v>
      </c>
      <c r="N4" s="30" t="s">
        <v>167</v>
      </c>
      <c r="O4" s="102" t="s">
        <v>7</v>
      </c>
      <c r="P4" s="106"/>
      <c r="Q4" s="114" t="s">
        <v>71</v>
      </c>
      <c r="R4" s="106"/>
      <c r="S4" s="30" t="s">
        <v>51</v>
      </c>
      <c r="T4" s="30" t="s">
        <v>75</v>
      </c>
      <c r="U4" s="114" t="s">
        <v>78</v>
      </c>
      <c r="V4" s="106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115" t="s">
        <v>91</v>
      </c>
      <c r="AF4" s="116"/>
      <c r="AG4" s="115" t="s">
        <v>94</v>
      </c>
      <c r="AH4" s="116"/>
      <c r="AI4" s="14" t="s">
        <v>168</v>
      </c>
      <c r="AJ4" s="14" t="s">
        <v>169</v>
      </c>
      <c r="AK4" s="15" t="s">
        <v>117</v>
      </c>
      <c r="AL4" s="114" t="s">
        <v>112</v>
      </c>
      <c r="AM4" s="106"/>
      <c r="AN4" s="63" t="s">
        <v>113</v>
      </c>
      <c r="AO4" s="53" t="s">
        <v>12</v>
      </c>
      <c r="AP4" s="3" t="s">
        <v>1</v>
      </c>
      <c r="AQ4" s="119" t="s">
        <v>163</v>
      </c>
      <c r="AR4" s="120"/>
      <c r="AU4" s="43"/>
    </row>
    <row r="5" spans="2:47" ht="20.1" customHeight="1" x14ac:dyDescent="0.4">
      <c r="B5" s="113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50</v>
      </c>
      <c r="C6" s="36">
        <v>1</v>
      </c>
      <c r="D6" s="36">
        <v>2</v>
      </c>
      <c r="E6" s="36">
        <v>3</v>
      </c>
      <c r="F6" s="36"/>
      <c r="G6" s="36"/>
      <c r="H6" s="78">
        <v>6</v>
      </c>
      <c r="I6" s="56">
        <v>7</v>
      </c>
      <c r="J6" s="36"/>
      <c r="K6" s="36">
        <v>9</v>
      </c>
      <c r="L6" s="36">
        <v>10</v>
      </c>
      <c r="M6" s="36">
        <v>11</v>
      </c>
      <c r="N6" s="36">
        <v>12</v>
      </c>
      <c r="O6" s="36">
        <v>13</v>
      </c>
      <c r="P6" s="36"/>
      <c r="Q6" s="36">
        <v>15</v>
      </c>
      <c r="R6" s="36"/>
      <c r="S6" s="36">
        <v>17</v>
      </c>
      <c r="T6" s="36">
        <v>18</v>
      </c>
      <c r="U6" s="36">
        <v>19</v>
      </c>
      <c r="V6" s="36"/>
      <c r="W6" s="36">
        <v>21</v>
      </c>
      <c r="X6" s="89">
        <v>-1</v>
      </c>
      <c r="Y6" s="89" t="s">
        <v>4</v>
      </c>
      <c r="Z6" s="36">
        <v>24</v>
      </c>
      <c r="AA6" s="36">
        <v>25</v>
      </c>
      <c r="AB6" s="1">
        <v>26</v>
      </c>
      <c r="AC6" s="1">
        <v>27</v>
      </c>
      <c r="AD6" s="1">
        <v>28</v>
      </c>
      <c r="AE6" s="15">
        <v>11</v>
      </c>
      <c r="AF6" s="15">
        <v>12</v>
      </c>
      <c r="AG6" s="15">
        <v>13</v>
      </c>
      <c r="AH6" s="15">
        <v>14</v>
      </c>
      <c r="AI6" s="15">
        <v>15</v>
      </c>
      <c r="AJ6" s="15">
        <v>16</v>
      </c>
      <c r="AK6" s="15">
        <v>17</v>
      </c>
      <c r="AL6" s="36">
        <v>36</v>
      </c>
      <c r="AM6" s="27"/>
      <c r="AN6" s="63">
        <v>38</v>
      </c>
      <c r="AO6" s="54">
        <v>39</v>
      </c>
      <c r="AP6" s="25">
        <v>40</v>
      </c>
      <c r="AQ6" s="25">
        <v>41</v>
      </c>
      <c r="AR6" s="23"/>
    </row>
    <row r="7" spans="2:47" ht="13.5" customHeight="1" x14ac:dyDescent="0.4">
      <c r="B7" s="38">
        <v>0.875</v>
      </c>
      <c r="C7" s="36">
        <v>1</v>
      </c>
      <c r="D7" s="36">
        <v>2</v>
      </c>
      <c r="E7" s="36">
        <v>3</v>
      </c>
      <c r="F7" s="36">
        <v>0</v>
      </c>
      <c r="G7" s="36">
        <v>0</v>
      </c>
      <c r="H7" s="78">
        <v>6</v>
      </c>
      <c r="I7" s="56">
        <v>7</v>
      </c>
      <c r="J7" s="36">
        <v>0</v>
      </c>
      <c r="K7" s="36">
        <v>9</v>
      </c>
      <c r="L7" s="36">
        <v>10</v>
      </c>
      <c r="M7" s="36">
        <v>11</v>
      </c>
      <c r="N7" s="36">
        <v>12</v>
      </c>
      <c r="O7" s="36">
        <v>13</v>
      </c>
      <c r="P7" s="36">
        <v>0</v>
      </c>
      <c r="Q7" s="36">
        <v>15</v>
      </c>
      <c r="R7" s="36">
        <v>0</v>
      </c>
      <c r="S7" s="36">
        <v>17</v>
      </c>
      <c r="T7" s="36">
        <v>18</v>
      </c>
      <c r="U7" s="36">
        <v>19</v>
      </c>
      <c r="V7" s="36">
        <v>0</v>
      </c>
      <c r="W7" s="36">
        <v>21</v>
      </c>
      <c r="X7" s="89">
        <v>-1</v>
      </c>
      <c r="Y7" s="89" t="s">
        <v>84</v>
      </c>
      <c r="Z7" s="36">
        <v>24</v>
      </c>
      <c r="AA7" s="36">
        <v>25</v>
      </c>
      <c r="AB7" s="1">
        <v>26</v>
      </c>
      <c r="AC7" s="1">
        <v>27</v>
      </c>
      <c r="AD7" s="1">
        <v>28</v>
      </c>
      <c r="AE7" s="15">
        <v>11</v>
      </c>
      <c r="AF7" s="15">
        <v>12</v>
      </c>
      <c r="AG7" s="15">
        <v>13</v>
      </c>
      <c r="AH7" s="15">
        <v>14</v>
      </c>
      <c r="AI7" s="15">
        <v>15</v>
      </c>
      <c r="AJ7" s="15">
        <v>16</v>
      </c>
      <c r="AK7" s="15">
        <v>17</v>
      </c>
      <c r="AL7" s="36">
        <v>36</v>
      </c>
      <c r="AM7" s="27">
        <v>0</v>
      </c>
      <c r="AN7" s="63">
        <v>38</v>
      </c>
      <c r="AO7" s="54">
        <v>39</v>
      </c>
      <c r="AP7" s="25">
        <v>40</v>
      </c>
      <c r="AQ7" s="25">
        <v>41</v>
      </c>
      <c r="AR7" s="23">
        <v>0</v>
      </c>
    </row>
    <row r="8" spans="2:47" ht="13.5" customHeight="1" x14ac:dyDescent="0.4">
      <c r="B8" s="83" t="s">
        <v>273</v>
      </c>
      <c r="C8" s="36">
        <v>1</v>
      </c>
      <c r="D8" s="36">
        <v>2</v>
      </c>
      <c r="E8" s="36">
        <v>3</v>
      </c>
      <c r="F8" s="36">
        <v>0</v>
      </c>
      <c r="G8" s="36">
        <v>0</v>
      </c>
      <c r="H8" s="78">
        <v>6</v>
      </c>
      <c r="I8" s="56">
        <v>7</v>
      </c>
      <c r="J8" s="36">
        <v>0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0</v>
      </c>
      <c r="Q8" s="36">
        <v>15</v>
      </c>
      <c r="R8" s="36">
        <v>0</v>
      </c>
      <c r="S8" s="36">
        <v>17</v>
      </c>
      <c r="T8" s="36">
        <v>18</v>
      </c>
      <c r="U8" s="36">
        <v>19</v>
      </c>
      <c r="V8" s="36">
        <v>0</v>
      </c>
      <c r="W8" s="36">
        <v>21</v>
      </c>
      <c r="X8" s="89">
        <v>-1</v>
      </c>
      <c r="Y8" s="89" t="s">
        <v>84</v>
      </c>
      <c r="Z8" s="36">
        <v>24</v>
      </c>
      <c r="AA8" s="36">
        <v>25</v>
      </c>
      <c r="AB8" s="1">
        <v>26</v>
      </c>
      <c r="AC8" s="1">
        <v>27</v>
      </c>
      <c r="AD8" s="1">
        <v>28</v>
      </c>
      <c r="AE8" s="15">
        <v>11</v>
      </c>
      <c r="AF8" s="15">
        <v>12</v>
      </c>
      <c r="AG8" s="15">
        <v>13</v>
      </c>
      <c r="AH8" s="15">
        <v>14</v>
      </c>
      <c r="AI8" s="15">
        <v>15</v>
      </c>
      <c r="AJ8" s="15">
        <v>16</v>
      </c>
      <c r="AK8" s="15">
        <v>17</v>
      </c>
      <c r="AL8" s="36">
        <v>36</v>
      </c>
      <c r="AM8" s="27">
        <v>0</v>
      </c>
      <c r="AN8" s="63">
        <v>38</v>
      </c>
      <c r="AO8" s="54">
        <v>39</v>
      </c>
      <c r="AP8" s="25">
        <v>40</v>
      </c>
      <c r="AQ8" s="25">
        <v>41</v>
      </c>
      <c r="AR8" s="23">
        <v>0</v>
      </c>
    </row>
    <row r="9" spans="2:47" ht="13.5" customHeight="1" x14ac:dyDescent="0.4">
      <c r="B9" s="38">
        <v>0.95833333333333337</v>
      </c>
      <c r="C9" s="36">
        <v>1</v>
      </c>
      <c r="D9" s="36">
        <v>2</v>
      </c>
      <c r="E9" s="36">
        <v>3</v>
      </c>
      <c r="F9" s="36">
        <v>0</v>
      </c>
      <c r="G9" s="36">
        <v>0</v>
      </c>
      <c r="H9" s="78">
        <v>6</v>
      </c>
      <c r="I9" s="56">
        <v>7</v>
      </c>
      <c r="J9" s="36">
        <v>0</v>
      </c>
      <c r="K9" s="36">
        <v>9</v>
      </c>
      <c r="L9" s="36">
        <v>10</v>
      </c>
      <c r="M9" s="36">
        <v>11</v>
      </c>
      <c r="N9" s="36">
        <v>12</v>
      </c>
      <c r="O9" s="36">
        <v>13</v>
      </c>
      <c r="P9" s="36">
        <v>0</v>
      </c>
      <c r="Q9" s="36">
        <v>15</v>
      </c>
      <c r="R9" s="36">
        <v>0</v>
      </c>
      <c r="S9" s="36">
        <v>17</v>
      </c>
      <c r="T9" s="36">
        <v>18</v>
      </c>
      <c r="U9" s="36">
        <v>19</v>
      </c>
      <c r="V9" s="36">
        <v>0</v>
      </c>
      <c r="W9" s="36">
        <v>21</v>
      </c>
      <c r="X9" s="89">
        <v>-1</v>
      </c>
      <c r="Y9" s="89" t="s">
        <v>84</v>
      </c>
      <c r="Z9" s="36">
        <v>24</v>
      </c>
      <c r="AA9" s="36">
        <v>25</v>
      </c>
      <c r="AB9" s="1">
        <v>26</v>
      </c>
      <c r="AC9" s="1">
        <v>27</v>
      </c>
      <c r="AD9" s="1">
        <v>28</v>
      </c>
      <c r="AE9" s="15">
        <v>11</v>
      </c>
      <c r="AF9" s="15">
        <v>12</v>
      </c>
      <c r="AG9" s="15">
        <v>13</v>
      </c>
      <c r="AH9" s="15">
        <v>14</v>
      </c>
      <c r="AI9" s="15">
        <v>15</v>
      </c>
      <c r="AJ9" s="15">
        <v>16</v>
      </c>
      <c r="AK9" s="15">
        <v>17</v>
      </c>
      <c r="AL9" s="36">
        <v>36</v>
      </c>
      <c r="AM9" s="27">
        <v>0</v>
      </c>
      <c r="AN9" s="63">
        <v>38</v>
      </c>
      <c r="AO9" s="54">
        <v>39</v>
      </c>
      <c r="AP9" s="25">
        <v>40</v>
      </c>
      <c r="AQ9" s="25">
        <v>41</v>
      </c>
      <c r="AR9" s="23">
        <v>0</v>
      </c>
    </row>
    <row r="10" spans="2:47" ht="13.5" customHeight="1" x14ac:dyDescent="0.4">
      <c r="B10" s="83" t="s">
        <v>274</v>
      </c>
      <c r="C10" s="36">
        <v>1</v>
      </c>
      <c r="D10" s="36">
        <v>2</v>
      </c>
      <c r="E10" s="36">
        <v>3</v>
      </c>
      <c r="F10" s="36">
        <v>0</v>
      </c>
      <c r="G10" s="36">
        <v>0</v>
      </c>
      <c r="H10" s="78">
        <v>6</v>
      </c>
      <c r="I10" s="56">
        <v>7</v>
      </c>
      <c r="J10" s="36">
        <v>0</v>
      </c>
      <c r="K10" s="36">
        <v>9</v>
      </c>
      <c r="L10" s="36">
        <v>10</v>
      </c>
      <c r="M10" s="36">
        <v>11</v>
      </c>
      <c r="N10" s="36">
        <v>12</v>
      </c>
      <c r="O10" s="36">
        <v>13</v>
      </c>
      <c r="P10" s="36">
        <v>0</v>
      </c>
      <c r="Q10" s="36">
        <v>15</v>
      </c>
      <c r="R10" s="36">
        <v>0</v>
      </c>
      <c r="S10" s="36">
        <v>17</v>
      </c>
      <c r="T10" s="36">
        <v>18</v>
      </c>
      <c r="U10" s="36">
        <v>19</v>
      </c>
      <c r="V10" s="36">
        <v>0</v>
      </c>
      <c r="W10" s="36">
        <v>21</v>
      </c>
      <c r="X10" s="89">
        <v>-1</v>
      </c>
      <c r="Y10" s="89" t="s">
        <v>84</v>
      </c>
      <c r="Z10" s="36">
        <v>24</v>
      </c>
      <c r="AA10" s="36">
        <v>25</v>
      </c>
      <c r="AB10" s="1">
        <v>26</v>
      </c>
      <c r="AC10" s="1">
        <v>27</v>
      </c>
      <c r="AD10" s="1">
        <v>28</v>
      </c>
      <c r="AE10" s="15">
        <v>11</v>
      </c>
      <c r="AF10" s="15">
        <v>12</v>
      </c>
      <c r="AG10" s="15">
        <v>13</v>
      </c>
      <c r="AH10" s="15">
        <v>14</v>
      </c>
      <c r="AI10" s="15">
        <v>15</v>
      </c>
      <c r="AJ10" s="15">
        <v>16</v>
      </c>
      <c r="AK10" s="15">
        <v>17</v>
      </c>
      <c r="AL10" s="36">
        <v>36</v>
      </c>
      <c r="AM10" s="27">
        <v>0</v>
      </c>
      <c r="AN10" s="63">
        <v>38</v>
      </c>
      <c r="AO10" s="54">
        <v>39</v>
      </c>
      <c r="AP10" s="25">
        <v>40</v>
      </c>
      <c r="AQ10" s="25">
        <v>41</v>
      </c>
      <c r="AR10" s="23">
        <v>0</v>
      </c>
    </row>
    <row r="11" spans="2:47" ht="13.5" customHeight="1" x14ac:dyDescent="0.4">
      <c r="B11" s="38">
        <v>4.1666666666666664E-2</v>
      </c>
      <c r="C11" s="36">
        <v>1</v>
      </c>
      <c r="D11" s="36">
        <v>2</v>
      </c>
      <c r="E11" s="36">
        <v>3</v>
      </c>
      <c r="F11" s="36">
        <v>0</v>
      </c>
      <c r="G11" s="36">
        <v>0</v>
      </c>
      <c r="H11" s="78">
        <v>6</v>
      </c>
      <c r="I11" s="56">
        <v>7</v>
      </c>
      <c r="J11" s="36">
        <v>0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0</v>
      </c>
      <c r="Q11" s="36">
        <v>15</v>
      </c>
      <c r="R11" s="36">
        <v>0</v>
      </c>
      <c r="S11" s="36">
        <v>17</v>
      </c>
      <c r="T11" s="36">
        <v>18</v>
      </c>
      <c r="U11" s="36">
        <v>19</v>
      </c>
      <c r="V11" s="36">
        <v>0</v>
      </c>
      <c r="W11" s="36">
        <v>21</v>
      </c>
      <c r="X11" s="89">
        <v>-1</v>
      </c>
      <c r="Y11" s="89" t="s">
        <v>84</v>
      </c>
      <c r="Z11" s="36">
        <v>24</v>
      </c>
      <c r="AA11" s="36">
        <v>25</v>
      </c>
      <c r="AB11" s="1">
        <v>26</v>
      </c>
      <c r="AC11" s="1">
        <v>27</v>
      </c>
      <c r="AD11" s="1">
        <v>28</v>
      </c>
      <c r="AE11" s="15">
        <v>11</v>
      </c>
      <c r="AF11" s="15">
        <v>12</v>
      </c>
      <c r="AG11" s="15">
        <v>13</v>
      </c>
      <c r="AH11" s="15">
        <v>14</v>
      </c>
      <c r="AI11" s="15">
        <v>15</v>
      </c>
      <c r="AJ11" s="15">
        <v>16</v>
      </c>
      <c r="AK11" s="15">
        <v>17</v>
      </c>
      <c r="AL11" s="36">
        <v>36</v>
      </c>
      <c r="AM11" s="27">
        <v>0</v>
      </c>
      <c r="AN11" s="63">
        <v>38</v>
      </c>
      <c r="AO11" s="54">
        <v>39</v>
      </c>
      <c r="AP11" s="25">
        <v>40</v>
      </c>
      <c r="AQ11" s="25">
        <v>41</v>
      </c>
      <c r="AR11" s="23">
        <v>0</v>
      </c>
    </row>
    <row r="12" spans="2:47" ht="13.5" customHeight="1" x14ac:dyDescent="0.4">
      <c r="B12" s="83" t="s">
        <v>275</v>
      </c>
      <c r="C12" s="36">
        <v>1</v>
      </c>
      <c r="D12" s="36">
        <v>2</v>
      </c>
      <c r="E12" s="36">
        <v>3</v>
      </c>
      <c r="F12" s="36">
        <v>0</v>
      </c>
      <c r="G12" s="36">
        <v>0</v>
      </c>
      <c r="H12" s="78">
        <v>6</v>
      </c>
      <c r="I12" s="56">
        <v>7</v>
      </c>
      <c r="J12" s="36">
        <v>0</v>
      </c>
      <c r="K12" s="36">
        <v>9</v>
      </c>
      <c r="L12" s="36">
        <v>10</v>
      </c>
      <c r="M12" s="36">
        <v>11</v>
      </c>
      <c r="N12" s="36">
        <v>12</v>
      </c>
      <c r="O12" s="36">
        <v>13</v>
      </c>
      <c r="P12" s="36">
        <v>0</v>
      </c>
      <c r="Q12" s="36">
        <v>15</v>
      </c>
      <c r="R12" s="36">
        <v>0</v>
      </c>
      <c r="S12" s="36">
        <v>17</v>
      </c>
      <c r="T12" s="36">
        <v>18</v>
      </c>
      <c r="U12" s="36">
        <v>19</v>
      </c>
      <c r="V12" s="36">
        <v>0</v>
      </c>
      <c r="W12" s="36">
        <v>21</v>
      </c>
      <c r="X12" s="89">
        <v>-1</v>
      </c>
      <c r="Y12" s="89" t="s">
        <v>84</v>
      </c>
      <c r="Z12" s="36">
        <v>24</v>
      </c>
      <c r="AA12" s="36">
        <v>25</v>
      </c>
      <c r="AB12" s="1">
        <v>26</v>
      </c>
      <c r="AC12" s="1">
        <v>27</v>
      </c>
      <c r="AD12" s="1">
        <v>28</v>
      </c>
      <c r="AE12" s="15">
        <v>11</v>
      </c>
      <c r="AF12" s="15">
        <v>12</v>
      </c>
      <c r="AG12" s="15">
        <v>13</v>
      </c>
      <c r="AH12" s="15">
        <v>14</v>
      </c>
      <c r="AI12" s="15">
        <v>15</v>
      </c>
      <c r="AJ12" s="15">
        <v>16</v>
      </c>
      <c r="AK12" s="15">
        <v>17</v>
      </c>
      <c r="AL12" s="36">
        <v>36</v>
      </c>
      <c r="AM12" s="27">
        <v>0</v>
      </c>
      <c r="AN12" s="63">
        <v>38</v>
      </c>
      <c r="AO12" s="54">
        <v>39</v>
      </c>
      <c r="AP12" s="25">
        <v>40</v>
      </c>
      <c r="AQ12" s="25">
        <v>41</v>
      </c>
      <c r="AR12" s="23">
        <v>0</v>
      </c>
    </row>
    <row r="13" spans="2:47" ht="13.5" customHeight="1" x14ac:dyDescent="0.4">
      <c r="B13" s="38">
        <v>0.125</v>
      </c>
      <c r="C13" s="36">
        <v>1</v>
      </c>
      <c r="D13" s="36">
        <v>2</v>
      </c>
      <c r="E13" s="36">
        <v>3</v>
      </c>
      <c r="F13" s="36">
        <v>0</v>
      </c>
      <c r="G13" s="36">
        <v>0</v>
      </c>
      <c r="H13" s="78">
        <v>6</v>
      </c>
      <c r="I13" s="56">
        <v>7</v>
      </c>
      <c r="J13" s="36">
        <v>0</v>
      </c>
      <c r="K13" s="36">
        <v>9</v>
      </c>
      <c r="L13" s="36">
        <v>10</v>
      </c>
      <c r="M13" s="36">
        <v>11</v>
      </c>
      <c r="N13" s="36">
        <v>12</v>
      </c>
      <c r="O13" s="36">
        <v>13</v>
      </c>
      <c r="P13" s="36">
        <v>0</v>
      </c>
      <c r="Q13" s="36">
        <v>15</v>
      </c>
      <c r="R13" s="36">
        <v>0</v>
      </c>
      <c r="S13" s="36">
        <v>17</v>
      </c>
      <c r="T13" s="36">
        <v>18</v>
      </c>
      <c r="U13" s="36">
        <v>19</v>
      </c>
      <c r="V13" s="36">
        <v>0</v>
      </c>
      <c r="W13" s="36">
        <v>21</v>
      </c>
      <c r="X13" s="89">
        <v>-1</v>
      </c>
      <c r="Y13" s="89" t="s">
        <v>84</v>
      </c>
      <c r="Z13" s="36">
        <v>24</v>
      </c>
      <c r="AA13" s="36">
        <v>25</v>
      </c>
      <c r="AB13" s="1">
        <v>26</v>
      </c>
      <c r="AC13" s="1">
        <v>27</v>
      </c>
      <c r="AD13" s="1">
        <v>28</v>
      </c>
      <c r="AE13" s="15">
        <v>11</v>
      </c>
      <c r="AF13" s="15">
        <v>12</v>
      </c>
      <c r="AG13" s="15">
        <v>13</v>
      </c>
      <c r="AH13" s="15">
        <v>14</v>
      </c>
      <c r="AI13" s="15">
        <v>15</v>
      </c>
      <c r="AJ13" s="15">
        <v>16</v>
      </c>
      <c r="AK13" s="15">
        <v>17</v>
      </c>
      <c r="AL13" s="36">
        <v>36</v>
      </c>
      <c r="AM13" s="27">
        <v>0</v>
      </c>
      <c r="AN13" s="63">
        <v>38</v>
      </c>
      <c r="AO13" s="54">
        <v>39</v>
      </c>
      <c r="AP13" s="25">
        <v>40</v>
      </c>
      <c r="AQ13" s="25">
        <v>41</v>
      </c>
      <c r="AR13" s="23">
        <v>0</v>
      </c>
    </row>
    <row r="14" spans="2:47" ht="13.5" customHeight="1" x14ac:dyDescent="0.4">
      <c r="B14" s="38">
        <v>0.16666666666666666</v>
      </c>
      <c r="C14" s="36">
        <v>1</v>
      </c>
      <c r="D14" s="36">
        <v>2</v>
      </c>
      <c r="E14" s="36">
        <v>3</v>
      </c>
      <c r="F14" s="36">
        <v>0</v>
      </c>
      <c r="G14" s="36">
        <v>0</v>
      </c>
      <c r="H14" s="78">
        <v>6</v>
      </c>
      <c r="I14" s="56">
        <v>7</v>
      </c>
      <c r="J14" s="36">
        <v>0</v>
      </c>
      <c r="K14" s="36">
        <v>9</v>
      </c>
      <c r="L14" s="36">
        <v>10</v>
      </c>
      <c r="M14" s="36">
        <v>11</v>
      </c>
      <c r="N14" s="36">
        <v>12</v>
      </c>
      <c r="O14" s="36">
        <v>13</v>
      </c>
      <c r="P14" s="36">
        <v>0</v>
      </c>
      <c r="Q14" s="36">
        <v>15</v>
      </c>
      <c r="R14" s="36">
        <v>0</v>
      </c>
      <c r="S14" s="36">
        <v>17</v>
      </c>
      <c r="T14" s="36">
        <v>18</v>
      </c>
      <c r="U14" s="36">
        <v>19</v>
      </c>
      <c r="V14" s="36">
        <v>0</v>
      </c>
      <c r="W14" s="36">
        <v>21</v>
      </c>
      <c r="X14" s="89">
        <v>-1</v>
      </c>
      <c r="Y14" s="89" t="s">
        <v>84</v>
      </c>
      <c r="Z14" s="36">
        <v>24</v>
      </c>
      <c r="AA14" s="36">
        <v>25</v>
      </c>
      <c r="AB14" s="1">
        <v>26</v>
      </c>
      <c r="AC14" s="1">
        <v>27</v>
      </c>
      <c r="AD14" s="1">
        <v>28</v>
      </c>
      <c r="AE14" s="15">
        <v>11</v>
      </c>
      <c r="AF14" s="15">
        <v>12</v>
      </c>
      <c r="AG14" s="15">
        <v>13</v>
      </c>
      <c r="AH14" s="15">
        <v>14</v>
      </c>
      <c r="AI14" s="15">
        <v>15</v>
      </c>
      <c r="AJ14" s="15">
        <v>16</v>
      </c>
      <c r="AK14" s="15">
        <v>17</v>
      </c>
      <c r="AL14" s="36">
        <v>36</v>
      </c>
      <c r="AM14" s="27">
        <v>0</v>
      </c>
      <c r="AN14" s="63">
        <v>38</v>
      </c>
      <c r="AO14" s="54">
        <v>39</v>
      </c>
      <c r="AP14" s="25">
        <v>40</v>
      </c>
      <c r="AQ14" s="25">
        <v>41</v>
      </c>
      <c r="AR14" s="23">
        <v>0</v>
      </c>
    </row>
    <row r="15" spans="2:47" ht="13.5" customHeight="1" x14ac:dyDescent="0.4">
      <c r="B15" s="38">
        <v>0.20833333333333334</v>
      </c>
      <c r="C15" s="36">
        <v>1</v>
      </c>
      <c r="D15" s="36">
        <v>2</v>
      </c>
      <c r="E15" s="36">
        <v>3</v>
      </c>
      <c r="F15" s="36">
        <v>0</v>
      </c>
      <c r="G15" s="36">
        <v>0</v>
      </c>
      <c r="H15" s="78">
        <v>6</v>
      </c>
      <c r="I15" s="56">
        <v>7</v>
      </c>
      <c r="J15" s="36">
        <v>0</v>
      </c>
      <c r="K15" s="36">
        <v>9</v>
      </c>
      <c r="L15" s="36">
        <v>10</v>
      </c>
      <c r="M15" s="36">
        <v>11</v>
      </c>
      <c r="N15" s="36">
        <v>12</v>
      </c>
      <c r="O15" s="36">
        <v>13</v>
      </c>
      <c r="P15" s="36">
        <v>0</v>
      </c>
      <c r="Q15" s="36">
        <v>15</v>
      </c>
      <c r="R15" s="36">
        <v>0</v>
      </c>
      <c r="S15" s="36">
        <v>17</v>
      </c>
      <c r="T15" s="36">
        <v>18</v>
      </c>
      <c r="U15" s="36">
        <v>19</v>
      </c>
      <c r="V15" s="36">
        <v>0</v>
      </c>
      <c r="W15" s="36">
        <v>21</v>
      </c>
      <c r="X15" s="89">
        <v>-1</v>
      </c>
      <c r="Y15" s="89" t="s">
        <v>84</v>
      </c>
      <c r="Z15" s="36">
        <v>24</v>
      </c>
      <c r="AA15" s="36">
        <v>25</v>
      </c>
      <c r="AB15" s="1">
        <v>26</v>
      </c>
      <c r="AC15" s="1">
        <v>27</v>
      </c>
      <c r="AD15" s="1">
        <v>28</v>
      </c>
      <c r="AE15" s="15">
        <v>11</v>
      </c>
      <c r="AF15" s="15">
        <v>12</v>
      </c>
      <c r="AG15" s="15">
        <v>13</v>
      </c>
      <c r="AH15" s="15">
        <v>14</v>
      </c>
      <c r="AI15" s="15">
        <v>15</v>
      </c>
      <c r="AJ15" s="15">
        <v>16</v>
      </c>
      <c r="AK15" s="15">
        <v>17</v>
      </c>
      <c r="AL15" s="36">
        <v>36</v>
      </c>
      <c r="AM15" s="27">
        <v>0</v>
      </c>
      <c r="AN15" s="63">
        <v>38</v>
      </c>
      <c r="AO15" s="54">
        <v>39</v>
      </c>
      <c r="AP15" s="25">
        <v>40</v>
      </c>
      <c r="AQ15" s="25">
        <v>41</v>
      </c>
      <c r="AR15" s="23">
        <v>0</v>
      </c>
    </row>
    <row r="16" spans="2:47" ht="13.5" customHeight="1" x14ac:dyDescent="0.4">
      <c r="B16" s="38">
        <v>0.25</v>
      </c>
      <c r="C16" s="36">
        <v>1</v>
      </c>
      <c r="D16" s="36">
        <v>2</v>
      </c>
      <c r="E16" s="36">
        <v>3</v>
      </c>
      <c r="F16" s="36">
        <v>0</v>
      </c>
      <c r="G16" s="36">
        <v>0</v>
      </c>
      <c r="H16" s="78">
        <v>6</v>
      </c>
      <c r="I16" s="56">
        <v>7</v>
      </c>
      <c r="J16" s="36">
        <v>0</v>
      </c>
      <c r="K16" s="36">
        <v>9</v>
      </c>
      <c r="L16" s="36">
        <v>10</v>
      </c>
      <c r="M16" s="36">
        <v>11</v>
      </c>
      <c r="N16" s="36">
        <v>12</v>
      </c>
      <c r="O16" s="36">
        <v>13</v>
      </c>
      <c r="P16" s="36">
        <v>0</v>
      </c>
      <c r="Q16" s="36">
        <v>15</v>
      </c>
      <c r="R16" s="36">
        <v>0</v>
      </c>
      <c r="S16" s="36">
        <v>17</v>
      </c>
      <c r="T16" s="36">
        <v>18</v>
      </c>
      <c r="U16" s="36">
        <v>19</v>
      </c>
      <c r="V16" s="36">
        <v>0</v>
      </c>
      <c r="W16" s="36">
        <v>21</v>
      </c>
      <c r="X16" s="89">
        <v>-1</v>
      </c>
      <c r="Y16" s="89" t="s">
        <v>84</v>
      </c>
      <c r="Z16" s="36">
        <v>24</v>
      </c>
      <c r="AA16" s="36">
        <v>25</v>
      </c>
      <c r="AB16" s="1">
        <v>26</v>
      </c>
      <c r="AC16" s="1">
        <v>27</v>
      </c>
      <c r="AD16" s="1">
        <v>28</v>
      </c>
      <c r="AE16" s="15">
        <v>11</v>
      </c>
      <c r="AF16" s="15">
        <v>12</v>
      </c>
      <c r="AG16" s="15">
        <v>13</v>
      </c>
      <c r="AH16" s="15">
        <v>14</v>
      </c>
      <c r="AI16" s="15">
        <v>15</v>
      </c>
      <c r="AJ16" s="15">
        <v>16</v>
      </c>
      <c r="AK16" s="15">
        <v>17</v>
      </c>
      <c r="AL16" s="36">
        <v>36</v>
      </c>
      <c r="AM16" s="27">
        <v>0</v>
      </c>
      <c r="AN16" s="63">
        <v>38</v>
      </c>
      <c r="AO16" s="54">
        <v>39</v>
      </c>
      <c r="AP16" s="25">
        <v>40</v>
      </c>
      <c r="AQ16" s="25">
        <v>41</v>
      </c>
      <c r="AR16" s="23">
        <v>0</v>
      </c>
    </row>
    <row r="17" spans="2:44" ht="13.5" customHeight="1" x14ac:dyDescent="0.4">
      <c r="B17" s="38">
        <v>0.29166666666666669</v>
      </c>
      <c r="C17" s="36">
        <v>1</v>
      </c>
      <c r="D17" s="36">
        <v>2</v>
      </c>
      <c r="E17" s="36">
        <v>3</v>
      </c>
      <c r="F17" s="36">
        <v>0</v>
      </c>
      <c r="G17" s="36">
        <v>0</v>
      </c>
      <c r="H17" s="78">
        <v>6</v>
      </c>
      <c r="I17" s="56">
        <v>7</v>
      </c>
      <c r="J17" s="36">
        <v>0</v>
      </c>
      <c r="K17" s="36">
        <v>9</v>
      </c>
      <c r="L17" s="36">
        <v>10</v>
      </c>
      <c r="M17" s="36">
        <v>11</v>
      </c>
      <c r="N17" s="36">
        <v>12</v>
      </c>
      <c r="O17" s="36">
        <v>13</v>
      </c>
      <c r="P17" s="36">
        <v>0</v>
      </c>
      <c r="Q17" s="36">
        <v>15</v>
      </c>
      <c r="R17" s="36">
        <v>0</v>
      </c>
      <c r="S17" s="36">
        <v>17</v>
      </c>
      <c r="T17" s="36">
        <v>18</v>
      </c>
      <c r="U17" s="36">
        <v>19</v>
      </c>
      <c r="V17" s="36">
        <v>0</v>
      </c>
      <c r="W17" s="36">
        <v>21</v>
      </c>
      <c r="X17" s="89">
        <v>-1</v>
      </c>
      <c r="Y17" s="89" t="s">
        <v>84</v>
      </c>
      <c r="Z17" s="36">
        <v>24</v>
      </c>
      <c r="AA17" s="36">
        <v>25</v>
      </c>
      <c r="AB17" s="1">
        <v>26</v>
      </c>
      <c r="AC17" s="1">
        <v>27</v>
      </c>
      <c r="AD17" s="1">
        <v>28</v>
      </c>
      <c r="AE17" s="15">
        <v>11</v>
      </c>
      <c r="AF17" s="15">
        <v>12</v>
      </c>
      <c r="AG17" s="15">
        <v>13</v>
      </c>
      <c r="AH17" s="15">
        <v>14</v>
      </c>
      <c r="AI17" s="15">
        <v>15</v>
      </c>
      <c r="AJ17" s="15">
        <v>16</v>
      </c>
      <c r="AK17" s="15">
        <v>17</v>
      </c>
      <c r="AL17" s="36">
        <v>36</v>
      </c>
      <c r="AM17" s="27">
        <v>0</v>
      </c>
      <c r="AN17" s="63">
        <v>38</v>
      </c>
      <c r="AO17" s="54">
        <v>39</v>
      </c>
      <c r="AP17" s="25">
        <v>40</v>
      </c>
      <c r="AQ17" s="25">
        <v>41</v>
      </c>
      <c r="AR17" s="23">
        <v>0</v>
      </c>
    </row>
    <row r="18" spans="2:44" ht="13.5" customHeight="1" x14ac:dyDescent="0.4">
      <c r="B18" s="84">
        <v>0.33333333333333331</v>
      </c>
      <c r="C18" s="46">
        <v>1</v>
      </c>
      <c r="D18" s="46">
        <v>2</v>
      </c>
      <c r="E18" s="46">
        <v>3</v>
      </c>
      <c r="F18" s="46">
        <v>0</v>
      </c>
      <c r="G18" s="46">
        <v>0</v>
      </c>
      <c r="H18" s="81">
        <v>6</v>
      </c>
      <c r="I18" s="57">
        <v>7</v>
      </c>
      <c r="J18" s="46">
        <v>0</v>
      </c>
      <c r="K18" s="46">
        <v>9</v>
      </c>
      <c r="L18" s="46">
        <v>10</v>
      </c>
      <c r="M18" s="46">
        <v>11</v>
      </c>
      <c r="N18" s="46">
        <v>12</v>
      </c>
      <c r="O18" s="46">
        <v>13</v>
      </c>
      <c r="P18" s="46">
        <v>0</v>
      </c>
      <c r="Q18" s="46">
        <v>15</v>
      </c>
      <c r="R18" s="46">
        <v>0</v>
      </c>
      <c r="S18" s="46">
        <v>17</v>
      </c>
      <c r="T18" s="46">
        <v>18</v>
      </c>
      <c r="U18" s="46">
        <v>19</v>
      </c>
      <c r="V18" s="46">
        <v>0</v>
      </c>
      <c r="W18" s="46">
        <v>21</v>
      </c>
      <c r="X18" s="90">
        <v>-1</v>
      </c>
      <c r="Y18" s="90">
        <v>23</v>
      </c>
      <c r="Z18" s="46">
        <v>24</v>
      </c>
      <c r="AA18" s="46">
        <v>25</v>
      </c>
      <c r="AB18" s="6">
        <v>26</v>
      </c>
      <c r="AC18" s="6">
        <v>27</v>
      </c>
      <c r="AD18" s="6">
        <v>28</v>
      </c>
      <c r="AE18" s="16">
        <v>11</v>
      </c>
      <c r="AF18" s="16">
        <v>12</v>
      </c>
      <c r="AG18" s="16">
        <v>13</v>
      </c>
      <c r="AH18" s="16">
        <v>14</v>
      </c>
      <c r="AI18" s="16">
        <v>15</v>
      </c>
      <c r="AJ18" s="16">
        <v>16</v>
      </c>
      <c r="AK18" s="16">
        <v>17</v>
      </c>
      <c r="AL18" s="46">
        <v>36</v>
      </c>
      <c r="AM18" s="42">
        <v>0</v>
      </c>
      <c r="AN18" s="68">
        <v>38</v>
      </c>
      <c r="AO18" s="54">
        <v>39</v>
      </c>
      <c r="AP18" s="25">
        <v>40</v>
      </c>
      <c r="AQ18" s="25">
        <v>41</v>
      </c>
      <c r="AR18" s="48">
        <v>0</v>
      </c>
    </row>
    <row r="19" spans="2:44" ht="18" customHeight="1" x14ac:dyDescent="0.4">
      <c r="B19" s="125" t="s">
        <v>183</v>
      </c>
      <c r="C19" s="75" t="s">
        <v>170</v>
      </c>
      <c r="D19" s="75" t="s">
        <v>173</v>
      </c>
      <c r="E19" s="91" t="s">
        <v>17</v>
      </c>
      <c r="F19" s="140"/>
      <c r="G19" s="141"/>
      <c r="H19" s="142" t="s">
        <v>110</v>
      </c>
      <c r="I19" s="140"/>
      <c r="J19" s="140"/>
      <c r="K19" s="140"/>
      <c r="L19" s="143"/>
      <c r="M19" s="144" t="s">
        <v>125</v>
      </c>
      <c r="N19" s="140"/>
      <c r="O19" s="140"/>
      <c r="P19" s="140"/>
      <c r="Q19" s="141"/>
      <c r="R19" s="146" t="s">
        <v>149</v>
      </c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8"/>
      <c r="AG19" s="149" t="s">
        <v>24</v>
      </c>
      <c r="AH19" s="148"/>
      <c r="AI19" s="159" t="s">
        <v>175</v>
      </c>
      <c r="AJ19" s="160"/>
      <c r="AK19" s="160"/>
      <c r="AL19" s="160"/>
      <c r="AM19" s="161"/>
      <c r="AN19" s="149" t="s">
        <v>47</v>
      </c>
      <c r="AO19" s="162"/>
      <c r="AP19" s="147" t="s">
        <v>182</v>
      </c>
      <c r="AQ19" s="163"/>
      <c r="AR19" s="164"/>
    </row>
    <row r="20" spans="2:44" ht="20.1" customHeight="1" x14ac:dyDescent="0.4">
      <c r="B20" s="126"/>
      <c r="C20" s="30" t="s">
        <v>171</v>
      </c>
      <c r="D20" s="30" t="s">
        <v>115</v>
      </c>
      <c r="E20" s="30" t="s">
        <v>15</v>
      </c>
      <c r="F20" s="102" t="s">
        <v>102</v>
      </c>
      <c r="G20" s="106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19" t="s">
        <v>150</v>
      </c>
      <c r="AE20" s="145"/>
      <c r="AF20" s="24" t="s">
        <v>153</v>
      </c>
      <c r="AG20" s="24" t="s">
        <v>155</v>
      </c>
      <c r="AH20" s="24" t="s">
        <v>157</v>
      </c>
      <c r="AI20" s="115" t="s">
        <v>91</v>
      </c>
      <c r="AJ20" s="116"/>
      <c r="AK20" s="115" t="s">
        <v>94</v>
      </c>
      <c r="AL20" s="116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6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83" t="s">
        <v>50</v>
      </c>
      <c r="C22" s="36">
        <v>51</v>
      </c>
      <c r="D22" s="36">
        <v>52</v>
      </c>
      <c r="E22" s="36">
        <v>53</v>
      </c>
      <c r="F22" s="36">
        <v>54</v>
      </c>
      <c r="G22" s="36"/>
      <c r="H22" s="36">
        <v>1</v>
      </c>
      <c r="I22" s="36">
        <v>2</v>
      </c>
      <c r="J22" s="36">
        <v>3</v>
      </c>
      <c r="K22" s="36">
        <v>4</v>
      </c>
      <c r="L22" s="78">
        <v>5</v>
      </c>
      <c r="M22" s="51">
        <v>61</v>
      </c>
      <c r="N22" s="36">
        <v>62</v>
      </c>
      <c r="O22" s="36">
        <v>63</v>
      </c>
      <c r="P22" s="36">
        <v>64</v>
      </c>
      <c r="Q22" s="36">
        <v>65</v>
      </c>
      <c r="R22" s="1">
        <v>66</v>
      </c>
      <c r="S22" s="8">
        <v>67</v>
      </c>
      <c r="T22" s="9">
        <v>68</v>
      </c>
      <c r="U22" s="8">
        <v>69</v>
      </c>
      <c r="V22" s="9">
        <v>70</v>
      </c>
      <c r="W22" s="8">
        <v>71</v>
      </c>
      <c r="X22" s="9">
        <v>72</v>
      </c>
      <c r="Y22" s="9">
        <v>73</v>
      </c>
      <c r="Z22" s="8">
        <v>74</v>
      </c>
      <c r="AA22" s="9">
        <v>75</v>
      </c>
      <c r="AB22" s="9">
        <v>76</v>
      </c>
      <c r="AC22" s="24">
        <v>77</v>
      </c>
      <c r="AD22" s="24">
        <v>78</v>
      </c>
      <c r="AE22" s="24"/>
      <c r="AF22" s="24">
        <v>80</v>
      </c>
      <c r="AG22" s="24">
        <v>81</v>
      </c>
      <c r="AH22" s="24">
        <v>26</v>
      </c>
      <c r="AI22" s="49">
        <v>41</v>
      </c>
      <c r="AJ22" s="49">
        <v>42</v>
      </c>
      <c r="AK22" s="49">
        <v>43</v>
      </c>
      <c r="AL22" s="49">
        <v>44</v>
      </c>
      <c r="AM22" s="49">
        <v>45</v>
      </c>
      <c r="AN22" s="24">
        <v>88</v>
      </c>
      <c r="AO22" s="59">
        <v>89</v>
      </c>
      <c r="AP22" s="54">
        <v>90</v>
      </c>
      <c r="AQ22" s="25">
        <v>91</v>
      </c>
      <c r="AR22" s="23">
        <v>92</v>
      </c>
    </row>
    <row r="23" spans="2:44" ht="13.5" customHeight="1" x14ac:dyDescent="0.4">
      <c r="B23" s="38">
        <v>0.875</v>
      </c>
      <c r="C23" s="36">
        <v>51</v>
      </c>
      <c r="D23" s="36">
        <v>52</v>
      </c>
      <c r="E23" s="36">
        <v>53</v>
      </c>
      <c r="F23" s="36">
        <v>54</v>
      </c>
      <c r="G23" s="36">
        <v>0</v>
      </c>
      <c r="H23" s="36">
        <v>1</v>
      </c>
      <c r="I23" s="31">
        <v>2</v>
      </c>
      <c r="J23" s="31">
        <v>3</v>
      </c>
      <c r="K23" s="31">
        <v>4</v>
      </c>
      <c r="L23" s="79">
        <v>5</v>
      </c>
      <c r="M23" s="51">
        <v>61</v>
      </c>
      <c r="N23" s="36">
        <v>62</v>
      </c>
      <c r="O23" s="36">
        <v>63</v>
      </c>
      <c r="P23" s="36">
        <v>64</v>
      </c>
      <c r="Q23" s="36">
        <v>65</v>
      </c>
      <c r="R23" s="1">
        <v>66</v>
      </c>
      <c r="S23" s="8">
        <v>67</v>
      </c>
      <c r="T23" s="9">
        <v>68</v>
      </c>
      <c r="U23" s="8">
        <v>69</v>
      </c>
      <c r="V23" s="9">
        <v>70</v>
      </c>
      <c r="W23" s="8">
        <v>71</v>
      </c>
      <c r="X23" s="9">
        <v>72</v>
      </c>
      <c r="Y23" s="9">
        <v>73</v>
      </c>
      <c r="Z23" s="8">
        <v>74</v>
      </c>
      <c r="AA23" s="9">
        <v>75</v>
      </c>
      <c r="AB23" s="9">
        <v>76</v>
      </c>
      <c r="AC23" s="24">
        <v>77</v>
      </c>
      <c r="AD23" s="24">
        <v>78</v>
      </c>
      <c r="AE23" s="24">
        <v>0</v>
      </c>
      <c r="AF23" s="24">
        <v>80</v>
      </c>
      <c r="AG23" s="24">
        <v>81</v>
      </c>
      <c r="AH23" s="24">
        <v>26</v>
      </c>
      <c r="AI23" s="49">
        <v>41</v>
      </c>
      <c r="AJ23" s="49">
        <v>42</v>
      </c>
      <c r="AK23" s="49">
        <v>43</v>
      </c>
      <c r="AL23" s="49">
        <v>44</v>
      </c>
      <c r="AM23" s="49">
        <v>45</v>
      </c>
      <c r="AN23" s="24">
        <v>88</v>
      </c>
      <c r="AO23" s="59">
        <v>89</v>
      </c>
      <c r="AP23" s="54">
        <v>90</v>
      </c>
      <c r="AQ23" s="25">
        <v>91</v>
      </c>
      <c r="AR23" s="23">
        <v>92</v>
      </c>
    </row>
    <row r="24" spans="2:44" ht="13.5" customHeight="1" x14ac:dyDescent="0.4">
      <c r="B24" s="83" t="s">
        <v>273</v>
      </c>
      <c r="C24" s="36">
        <v>51</v>
      </c>
      <c r="D24" s="31">
        <v>52</v>
      </c>
      <c r="E24" s="31">
        <v>53</v>
      </c>
      <c r="F24" s="31">
        <v>54</v>
      </c>
      <c r="G24" s="31">
        <v>0</v>
      </c>
      <c r="H24" s="31">
        <v>1</v>
      </c>
      <c r="I24" s="31">
        <v>2</v>
      </c>
      <c r="J24" s="31">
        <v>3</v>
      </c>
      <c r="K24" s="31">
        <v>4</v>
      </c>
      <c r="L24" s="79">
        <v>5</v>
      </c>
      <c r="M24" s="80">
        <v>61</v>
      </c>
      <c r="N24" s="31">
        <v>62</v>
      </c>
      <c r="O24" s="31">
        <v>63</v>
      </c>
      <c r="P24" s="31">
        <v>64</v>
      </c>
      <c r="Q24" s="31">
        <v>65</v>
      </c>
      <c r="R24" s="2">
        <v>66</v>
      </c>
      <c r="S24" s="8">
        <v>67</v>
      </c>
      <c r="T24" s="9">
        <v>68</v>
      </c>
      <c r="U24" s="8">
        <v>69</v>
      </c>
      <c r="V24" s="9">
        <v>70</v>
      </c>
      <c r="W24" s="8">
        <v>71</v>
      </c>
      <c r="X24" s="9">
        <v>72</v>
      </c>
      <c r="Y24" s="9">
        <v>73</v>
      </c>
      <c r="Z24" s="8">
        <v>74</v>
      </c>
      <c r="AA24" s="9">
        <v>75</v>
      </c>
      <c r="AB24" s="9">
        <v>76</v>
      </c>
      <c r="AC24" s="24">
        <v>77</v>
      </c>
      <c r="AD24" s="24">
        <v>78</v>
      </c>
      <c r="AE24" s="24">
        <v>0</v>
      </c>
      <c r="AF24" s="24">
        <v>80</v>
      </c>
      <c r="AG24" s="24">
        <v>81</v>
      </c>
      <c r="AH24" s="24">
        <v>26</v>
      </c>
      <c r="AI24" s="49">
        <v>41</v>
      </c>
      <c r="AJ24" s="49">
        <v>42</v>
      </c>
      <c r="AK24" s="49">
        <v>43</v>
      </c>
      <c r="AL24" s="49">
        <v>44</v>
      </c>
      <c r="AM24" s="49">
        <v>45</v>
      </c>
      <c r="AN24" s="24">
        <v>88</v>
      </c>
      <c r="AO24" s="59">
        <v>89</v>
      </c>
      <c r="AP24" s="54">
        <v>90</v>
      </c>
      <c r="AQ24" s="25">
        <v>91</v>
      </c>
      <c r="AR24" s="23">
        <v>92</v>
      </c>
    </row>
    <row r="25" spans="2:44" ht="13.5" customHeight="1" x14ac:dyDescent="0.4">
      <c r="B25" s="38">
        <v>0.95833333333333337</v>
      </c>
      <c r="C25" s="36">
        <v>51</v>
      </c>
      <c r="D25" s="36">
        <v>52</v>
      </c>
      <c r="E25" s="36">
        <v>53</v>
      </c>
      <c r="F25" s="36">
        <v>54</v>
      </c>
      <c r="G25" s="36">
        <v>0</v>
      </c>
      <c r="H25" s="36">
        <v>1</v>
      </c>
      <c r="I25" s="36">
        <v>2</v>
      </c>
      <c r="J25" s="36">
        <v>3</v>
      </c>
      <c r="K25" s="36">
        <v>4</v>
      </c>
      <c r="L25" s="78">
        <v>5</v>
      </c>
      <c r="M25" s="51">
        <v>61</v>
      </c>
      <c r="N25" s="36">
        <v>62</v>
      </c>
      <c r="O25" s="36">
        <v>63</v>
      </c>
      <c r="P25" s="36">
        <v>64</v>
      </c>
      <c r="Q25" s="36">
        <v>65</v>
      </c>
      <c r="R25" s="1">
        <v>66</v>
      </c>
      <c r="S25" s="8">
        <v>67</v>
      </c>
      <c r="T25" s="9">
        <v>68</v>
      </c>
      <c r="U25" s="8">
        <v>69</v>
      </c>
      <c r="V25" s="9">
        <v>70</v>
      </c>
      <c r="W25" s="8">
        <v>71</v>
      </c>
      <c r="X25" s="9">
        <v>72</v>
      </c>
      <c r="Y25" s="9">
        <v>73</v>
      </c>
      <c r="Z25" s="8">
        <v>74</v>
      </c>
      <c r="AA25" s="9">
        <v>75</v>
      </c>
      <c r="AB25" s="9">
        <v>76</v>
      </c>
      <c r="AC25" s="24">
        <v>77</v>
      </c>
      <c r="AD25" s="24">
        <v>78</v>
      </c>
      <c r="AE25" s="24">
        <v>0</v>
      </c>
      <c r="AF25" s="24">
        <v>80</v>
      </c>
      <c r="AG25" s="24">
        <v>81</v>
      </c>
      <c r="AH25" s="24">
        <v>26</v>
      </c>
      <c r="AI25" s="49">
        <v>41</v>
      </c>
      <c r="AJ25" s="49">
        <v>42</v>
      </c>
      <c r="AK25" s="49">
        <v>43</v>
      </c>
      <c r="AL25" s="49">
        <v>44</v>
      </c>
      <c r="AM25" s="49">
        <v>45</v>
      </c>
      <c r="AN25" s="24">
        <v>88</v>
      </c>
      <c r="AO25" s="59">
        <v>89</v>
      </c>
      <c r="AP25" s="54">
        <v>90</v>
      </c>
      <c r="AQ25" s="25">
        <v>91</v>
      </c>
      <c r="AR25" s="23">
        <v>92</v>
      </c>
    </row>
    <row r="26" spans="2:44" ht="13.5" customHeight="1" x14ac:dyDescent="0.4">
      <c r="B26" s="83" t="s">
        <v>274</v>
      </c>
      <c r="C26" s="36">
        <v>51</v>
      </c>
      <c r="D26" s="36">
        <v>52</v>
      </c>
      <c r="E26" s="36">
        <v>53</v>
      </c>
      <c r="F26" s="36">
        <v>54</v>
      </c>
      <c r="G26" s="36">
        <v>0</v>
      </c>
      <c r="H26" s="36">
        <v>1</v>
      </c>
      <c r="I26" s="31">
        <v>2</v>
      </c>
      <c r="J26" s="31">
        <v>3</v>
      </c>
      <c r="K26" s="31">
        <v>4</v>
      </c>
      <c r="L26" s="79">
        <v>5</v>
      </c>
      <c r="M26" s="51">
        <v>61</v>
      </c>
      <c r="N26" s="36">
        <v>62</v>
      </c>
      <c r="O26" s="36">
        <v>63</v>
      </c>
      <c r="P26" s="36">
        <v>64</v>
      </c>
      <c r="Q26" s="36">
        <v>65</v>
      </c>
      <c r="R26" s="1">
        <v>66</v>
      </c>
      <c r="S26" s="8">
        <v>67</v>
      </c>
      <c r="T26" s="9">
        <v>68</v>
      </c>
      <c r="U26" s="8">
        <v>69</v>
      </c>
      <c r="V26" s="9">
        <v>70</v>
      </c>
      <c r="W26" s="8">
        <v>71</v>
      </c>
      <c r="X26" s="9">
        <v>72</v>
      </c>
      <c r="Y26" s="9">
        <v>73</v>
      </c>
      <c r="Z26" s="8">
        <v>74</v>
      </c>
      <c r="AA26" s="9">
        <v>75</v>
      </c>
      <c r="AB26" s="9">
        <v>76</v>
      </c>
      <c r="AC26" s="24">
        <v>77</v>
      </c>
      <c r="AD26" s="24">
        <v>78</v>
      </c>
      <c r="AE26" s="24">
        <v>0</v>
      </c>
      <c r="AF26" s="24">
        <v>80</v>
      </c>
      <c r="AG26" s="24">
        <v>81</v>
      </c>
      <c r="AH26" s="24">
        <v>26</v>
      </c>
      <c r="AI26" s="49">
        <v>41</v>
      </c>
      <c r="AJ26" s="49">
        <v>42</v>
      </c>
      <c r="AK26" s="49">
        <v>43</v>
      </c>
      <c r="AL26" s="49">
        <v>44</v>
      </c>
      <c r="AM26" s="49">
        <v>45</v>
      </c>
      <c r="AN26" s="24">
        <v>88</v>
      </c>
      <c r="AO26" s="59">
        <v>89</v>
      </c>
      <c r="AP26" s="54">
        <v>90</v>
      </c>
      <c r="AQ26" s="25">
        <v>91</v>
      </c>
      <c r="AR26" s="23">
        <v>92</v>
      </c>
    </row>
    <row r="27" spans="2:44" ht="13.5" customHeight="1" x14ac:dyDescent="0.4">
      <c r="B27" s="38">
        <v>4.1666666666666664E-2</v>
      </c>
      <c r="C27" s="36">
        <v>51</v>
      </c>
      <c r="D27" s="31">
        <v>52</v>
      </c>
      <c r="E27" s="31">
        <v>53</v>
      </c>
      <c r="F27" s="31">
        <v>54</v>
      </c>
      <c r="G27" s="31">
        <v>0</v>
      </c>
      <c r="H27" s="31">
        <v>1</v>
      </c>
      <c r="I27" s="31">
        <v>2</v>
      </c>
      <c r="J27" s="31">
        <v>3</v>
      </c>
      <c r="K27" s="31">
        <v>4</v>
      </c>
      <c r="L27" s="79">
        <v>5</v>
      </c>
      <c r="M27" s="80">
        <v>61</v>
      </c>
      <c r="N27" s="31">
        <v>62</v>
      </c>
      <c r="O27" s="31">
        <v>63</v>
      </c>
      <c r="P27" s="31">
        <v>64</v>
      </c>
      <c r="Q27" s="31">
        <v>65</v>
      </c>
      <c r="R27" s="2">
        <v>66</v>
      </c>
      <c r="S27" s="8">
        <v>67</v>
      </c>
      <c r="T27" s="9">
        <v>68</v>
      </c>
      <c r="U27" s="8">
        <v>69</v>
      </c>
      <c r="V27" s="9">
        <v>70</v>
      </c>
      <c r="W27" s="8">
        <v>71</v>
      </c>
      <c r="X27" s="9">
        <v>72</v>
      </c>
      <c r="Y27" s="9">
        <v>73</v>
      </c>
      <c r="Z27" s="8">
        <v>74</v>
      </c>
      <c r="AA27" s="9">
        <v>75</v>
      </c>
      <c r="AB27" s="9">
        <v>76</v>
      </c>
      <c r="AC27" s="24">
        <v>77</v>
      </c>
      <c r="AD27" s="24">
        <v>78</v>
      </c>
      <c r="AE27" s="24">
        <v>0</v>
      </c>
      <c r="AF27" s="24">
        <v>80</v>
      </c>
      <c r="AG27" s="24">
        <v>81</v>
      </c>
      <c r="AH27" s="24">
        <v>26</v>
      </c>
      <c r="AI27" s="49">
        <v>41</v>
      </c>
      <c r="AJ27" s="49">
        <v>42</v>
      </c>
      <c r="AK27" s="49">
        <v>43</v>
      </c>
      <c r="AL27" s="49">
        <v>44</v>
      </c>
      <c r="AM27" s="49">
        <v>45</v>
      </c>
      <c r="AN27" s="24">
        <v>88</v>
      </c>
      <c r="AO27" s="59">
        <v>89</v>
      </c>
      <c r="AP27" s="54">
        <v>90</v>
      </c>
      <c r="AQ27" s="25">
        <v>91</v>
      </c>
      <c r="AR27" s="23">
        <v>92</v>
      </c>
    </row>
    <row r="28" spans="2:44" ht="13.5" customHeight="1" x14ac:dyDescent="0.4">
      <c r="B28" s="83" t="s">
        <v>275</v>
      </c>
      <c r="C28" s="36">
        <v>51</v>
      </c>
      <c r="D28" s="36">
        <v>52</v>
      </c>
      <c r="E28" s="36">
        <v>53</v>
      </c>
      <c r="F28" s="36">
        <v>54</v>
      </c>
      <c r="G28" s="36">
        <v>0</v>
      </c>
      <c r="H28" s="36">
        <v>1</v>
      </c>
      <c r="I28" s="36">
        <v>2</v>
      </c>
      <c r="J28" s="36">
        <v>3</v>
      </c>
      <c r="K28" s="36">
        <v>4</v>
      </c>
      <c r="L28" s="78">
        <v>5</v>
      </c>
      <c r="M28" s="51">
        <v>61</v>
      </c>
      <c r="N28" s="36">
        <v>62</v>
      </c>
      <c r="O28" s="36">
        <v>63</v>
      </c>
      <c r="P28" s="36">
        <v>64</v>
      </c>
      <c r="Q28" s="36">
        <v>65</v>
      </c>
      <c r="R28" s="1">
        <v>66</v>
      </c>
      <c r="S28" s="8">
        <v>67</v>
      </c>
      <c r="T28" s="9">
        <v>68</v>
      </c>
      <c r="U28" s="8">
        <v>69</v>
      </c>
      <c r="V28" s="9">
        <v>70</v>
      </c>
      <c r="W28" s="8">
        <v>71</v>
      </c>
      <c r="X28" s="9">
        <v>72</v>
      </c>
      <c r="Y28" s="9">
        <v>73</v>
      </c>
      <c r="Z28" s="8">
        <v>74</v>
      </c>
      <c r="AA28" s="9">
        <v>75</v>
      </c>
      <c r="AB28" s="9">
        <v>76</v>
      </c>
      <c r="AC28" s="24">
        <v>77</v>
      </c>
      <c r="AD28" s="24">
        <v>78</v>
      </c>
      <c r="AE28" s="24">
        <v>0</v>
      </c>
      <c r="AF28" s="24">
        <v>80</v>
      </c>
      <c r="AG28" s="24">
        <v>81</v>
      </c>
      <c r="AH28" s="24">
        <v>26</v>
      </c>
      <c r="AI28" s="49">
        <v>41</v>
      </c>
      <c r="AJ28" s="49">
        <v>42</v>
      </c>
      <c r="AK28" s="49">
        <v>43</v>
      </c>
      <c r="AL28" s="49">
        <v>44</v>
      </c>
      <c r="AM28" s="49">
        <v>45</v>
      </c>
      <c r="AN28" s="24">
        <v>88</v>
      </c>
      <c r="AO28" s="59">
        <v>89</v>
      </c>
      <c r="AP28" s="54">
        <v>90</v>
      </c>
      <c r="AQ28" s="25">
        <v>91</v>
      </c>
      <c r="AR28" s="23">
        <v>92</v>
      </c>
    </row>
    <row r="29" spans="2:44" ht="13.5" customHeight="1" x14ac:dyDescent="0.4">
      <c r="B29" s="38">
        <v>0.125</v>
      </c>
      <c r="C29" s="36">
        <v>51</v>
      </c>
      <c r="D29" s="36">
        <v>52</v>
      </c>
      <c r="E29" s="36">
        <v>53</v>
      </c>
      <c r="F29" s="36">
        <v>54</v>
      </c>
      <c r="G29" s="36">
        <v>0</v>
      </c>
      <c r="H29" s="36">
        <v>1</v>
      </c>
      <c r="I29" s="31">
        <v>2</v>
      </c>
      <c r="J29" s="31">
        <v>3</v>
      </c>
      <c r="K29" s="31">
        <v>4</v>
      </c>
      <c r="L29" s="79">
        <v>5</v>
      </c>
      <c r="M29" s="51">
        <v>61</v>
      </c>
      <c r="N29" s="36">
        <v>62</v>
      </c>
      <c r="O29" s="36">
        <v>63</v>
      </c>
      <c r="P29" s="36">
        <v>64</v>
      </c>
      <c r="Q29" s="36">
        <v>65</v>
      </c>
      <c r="R29" s="1">
        <v>66</v>
      </c>
      <c r="S29" s="8">
        <v>67</v>
      </c>
      <c r="T29" s="9">
        <v>68</v>
      </c>
      <c r="U29" s="8">
        <v>69</v>
      </c>
      <c r="V29" s="9">
        <v>70</v>
      </c>
      <c r="W29" s="8">
        <v>71</v>
      </c>
      <c r="X29" s="9">
        <v>72</v>
      </c>
      <c r="Y29" s="9">
        <v>73</v>
      </c>
      <c r="Z29" s="8">
        <v>74</v>
      </c>
      <c r="AA29" s="9">
        <v>75</v>
      </c>
      <c r="AB29" s="9">
        <v>76</v>
      </c>
      <c r="AC29" s="24">
        <v>77</v>
      </c>
      <c r="AD29" s="24">
        <v>78</v>
      </c>
      <c r="AE29" s="24">
        <v>0</v>
      </c>
      <c r="AF29" s="24">
        <v>80</v>
      </c>
      <c r="AG29" s="24">
        <v>81</v>
      </c>
      <c r="AH29" s="24">
        <v>26</v>
      </c>
      <c r="AI29" s="49">
        <v>41</v>
      </c>
      <c r="AJ29" s="49">
        <v>42</v>
      </c>
      <c r="AK29" s="49">
        <v>43</v>
      </c>
      <c r="AL29" s="49">
        <v>44</v>
      </c>
      <c r="AM29" s="49">
        <v>45</v>
      </c>
      <c r="AN29" s="24">
        <v>88</v>
      </c>
      <c r="AO29" s="59">
        <v>89</v>
      </c>
      <c r="AP29" s="54">
        <v>90</v>
      </c>
      <c r="AQ29" s="25">
        <v>91</v>
      </c>
      <c r="AR29" s="23">
        <v>92</v>
      </c>
    </row>
    <row r="30" spans="2:44" ht="13.5" customHeight="1" x14ac:dyDescent="0.4">
      <c r="B30" s="38">
        <v>0.16666666666666666</v>
      </c>
      <c r="C30" s="36">
        <v>51</v>
      </c>
      <c r="D30" s="31">
        <v>52</v>
      </c>
      <c r="E30" s="31">
        <v>53</v>
      </c>
      <c r="F30" s="31">
        <v>54</v>
      </c>
      <c r="G30" s="31">
        <v>0</v>
      </c>
      <c r="H30" s="31">
        <v>1</v>
      </c>
      <c r="I30" s="31">
        <v>2</v>
      </c>
      <c r="J30" s="31">
        <v>3</v>
      </c>
      <c r="K30" s="31">
        <v>4</v>
      </c>
      <c r="L30" s="79">
        <v>5</v>
      </c>
      <c r="M30" s="80">
        <v>61</v>
      </c>
      <c r="N30" s="31">
        <v>62</v>
      </c>
      <c r="O30" s="31">
        <v>63</v>
      </c>
      <c r="P30" s="31">
        <v>64</v>
      </c>
      <c r="Q30" s="31">
        <v>65</v>
      </c>
      <c r="R30" s="2">
        <v>66</v>
      </c>
      <c r="S30" s="8">
        <v>67</v>
      </c>
      <c r="T30" s="9">
        <v>68</v>
      </c>
      <c r="U30" s="8">
        <v>69</v>
      </c>
      <c r="V30" s="9">
        <v>70</v>
      </c>
      <c r="W30" s="8">
        <v>71</v>
      </c>
      <c r="X30" s="9">
        <v>72</v>
      </c>
      <c r="Y30" s="9">
        <v>73</v>
      </c>
      <c r="Z30" s="8">
        <v>74</v>
      </c>
      <c r="AA30" s="9">
        <v>75</v>
      </c>
      <c r="AB30" s="9">
        <v>76</v>
      </c>
      <c r="AC30" s="24">
        <v>77</v>
      </c>
      <c r="AD30" s="24">
        <v>78</v>
      </c>
      <c r="AE30" s="24">
        <v>0</v>
      </c>
      <c r="AF30" s="24">
        <v>80</v>
      </c>
      <c r="AG30" s="24">
        <v>81</v>
      </c>
      <c r="AH30" s="24">
        <v>26</v>
      </c>
      <c r="AI30" s="49">
        <v>41</v>
      </c>
      <c r="AJ30" s="49">
        <v>42</v>
      </c>
      <c r="AK30" s="49">
        <v>43</v>
      </c>
      <c r="AL30" s="49">
        <v>44</v>
      </c>
      <c r="AM30" s="49">
        <v>45</v>
      </c>
      <c r="AN30" s="24">
        <v>88</v>
      </c>
      <c r="AO30" s="59">
        <v>89</v>
      </c>
      <c r="AP30" s="54">
        <v>90</v>
      </c>
      <c r="AQ30" s="25">
        <v>91</v>
      </c>
      <c r="AR30" s="23">
        <v>92</v>
      </c>
    </row>
    <row r="31" spans="2:44" ht="13.5" customHeight="1" x14ac:dyDescent="0.4">
      <c r="B31" s="38">
        <v>0.20833333333333334</v>
      </c>
      <c r="C31" s="36">
        <v>51</v>
      </c>
      <c r="D31" s="36">
        <v>52</v>
      </c>
      <c r="E31" s="36">
        <v>53</v>
      </c>
      <c r="F31" s="36">
        <v>54</v>
      </c>
      <c r="G31" s="36">
        <v>0</v>
      </c>
      <c r="H31" s="36">
        <v>1</v>
      </c>
      <c r="I31" s="36">
        <v>2</v>
      </c>
      <c r="J31" s="36">
        <v>3</v>
      </c>
      <c r="K31" s="36">
        <v>4</v>
      </c>
      <c r="L31" s="78">
        <v>5</v>
      </c>
      <c r="M31" s="51">
        <v>61</v>
      </c>
      <c r="N31" s="36">
        <v>62</v>
      </c>
      <c r="O31" s="36">
        <v>63</v>
      </c>
      <c r="P31" s="36">
        <v>64</v>
      </c>
      <c r="Q31" s="36">
        <v>65</v>
      </c>
      <c r="R31" s="1">
        <v>66</v>
      </c>
      <c r="S31" s="8">
        <v>67</v>
      </c>
      <c r="T31" s="9">
        <v>68</v>
      </c>
      <c r="U31" s="8">
        <v>69</v>
      </c>
      <c r="V31" s="9">
        <v>70</v>
      </c>
      <c r="W31" s="8">
        <v>71</v>
      </c>
      <c r="X31" s="9">
        <v>72</v>
      </c>
      <c r="Y31" s="9">
        <v>73</v>
      </c>
      <c r="Z31" s="8">
        <v>74</v>
      </c>
      <c r="AA31" s="9">
        <v>75</v>
      </c>
      <c r="AB31" s="9">
        <v>76</v>
      </c>
      <c r="AC31" s="24">
        <v>77</v>
      </c>
      <c r="AD31" s="24">
        <v>78</v>
      </c>
      <c r="AE31" s="24">
        <v>0</v>
      </c>
      <c r="AF31" s="24">
        <v>80</v>
      </c>
      <c r="AG31" s="24">
        <v>81</v>
      </c>
      <c r="AH31" s="24">
        <v>26</v>
      </c>
      <c r="AI31" s="49">
        <v>41</v>
      </c>
      <c r="AJ31" s="49">
        <v>42</v>
      </c>
      <c r="AK31" s="49">
        <v>43</v>
      </c>
      <c r="AL31" s="49">
        <v>44</v>
      </c>
      <c r="AM31" s="49">
        <v>45</v>
      </c>
      <c r="AN31" s="24">
        <v>88</v>
      </c>
      <c r="AO31" s="59">
        <v>89</v>
      </c>
      <c r="AP31" s="54">
        <v>90</v>
      </c>
      <c r="AQ31" s="25">
        <v>91</v>
      </c>
      <c r="AR31" s="23">
        <v>92</v>
      </c>
    </row>
    <row r="32" spans="2:44" ht="13.5" customHeight="1" x14ac:dyDescent="0.4">
      <c r="B32" s="38">
        <v>0.25</v>
      </c>
      <c r="C32" s="36">
        <v>51</v>
      </c>
      <c r="D32" s="36">
        <v>52</v>
      </c>
      <c r="E32" s="36">
        <v>53</v>
      </c>
      <c r="F32" s="36">
        <v>54</v>
      </c>
      <c r="G32" s="36">
        <v>0</v>
      </c>
      <c r="H32" s="36">
        <v>1</v>
      </c>
      <c r="I32" s="31">
        <v>2</v>
      </c>
      <c r="J32" s="31">
        <v>3</v>
      </c>
      <c r="K32" s="31">
        <v>4</v>
      </c>
      <c r="L32" s="79">
        <v>5</v>
      </c>
      <c r="M32" s="51">
        <v>61</v>
      </c>
      <c r="N32" s="36">
        <v>62</v>
      </c>
      <c r="O32" s="36">
        <v>63</v>
      </c>
      <c r="P32" s="36">
        <v>64</v>
      </c>
      <c r="Q32" s="36">
        <v>65</v>
      </c>
      <c r="R32" s="1">
        <v>66</v>
      </c>
      <c r="S32" s="8">
        <v>67</v>
      </c>
      <c r="T32" s="9">
        <v>68</v>
      </c>
      <c r="U32" s="8">
        <v>69</v>
      </c>
      <c r="V32" s="9">
        <v>70</v>
      </c>
      <c r="W32" s="8">
        <v>71</v>
      </c>
      <c r="X32" s="9">
        <v>72</v>
      </c>
      <c r="Y32" s="9">
        <v>73</v>
      </c>
      <c r="Z32" s="8">
        <v>74</v>
      </c>
      <c r="AA32" s="9">
        <v>75</v>
      </c>
      <c r="AB32" s="9">
        <v>76</v>
      </c>
      <c r="AC32" s="24">
        <v>77</v>
      </c>
      <c r="AD32" s="24">
        <v>78</v>
      </c>
      <c r="AE32" s="24">
        <v>0</v>
      </c>
      <c r="AF32" s="24">
        <v>80</v>
      </c>
      <c r="AG32" s="24">
        <v>81</v>
      </c>
      <c r="AH32" s="24">
        <v>26</v>
      </c>
      <c r="AI32" s="49">
        <v>41</v>
      </c>
      <c r="AJ32" s="49">
        <v>42</v>
      </c>
      <c r="AK32" s="49">
        <v>43</v>
      </c>
      <c r="AL32" s="49">
        <v>44</v>
      </c>
      <c r="AM32" s="49">
        <v>45</v>
      </c>
      <c r="AN32" s="24">
        <v>88</v>
      </c>
      <c r="AO32" s="59">
        <v>89</v>
      </c>
      <c r="AP32" s="54">
        <v>90</v>
      </c>
      <c r="AQ32" s="25">
        <v>91</v>
      </c>
      <c r="AR32" s="23">
        <v>92</v>
      </c>
    </row>
    <row r="33" spans="2:44" ht="13.5" customHeight="1" x14ac:dyDescent="0.4">
      <c r="B33" s="38">
        <v>0.29166666666666669</v>
      </c>
      <c r="C33" s="36">
        <v>51</v>
      </c>
      <c r="D33" s="31">
        <v>52</v>
      </c>
      <c r="E33" s="31">
        <v>53</v>
      </c>
      <c r="F33" s="31">
        <v>54</v>
      </c>
      <c r="G33" s="31">
        <v>0</v>
      </c>
      <c r="H33" s="31">
        <v>1</v>
      </c>
      <c r="I33" s="31">
        <v>2</v>
      </c>
      <c r="J33" s="31">
        <v>3</v>
      </c>
      <c r="K33" s="31">
        <v>4</v>
      </c>
      <c r="L33" s="79">
        <v>5</v>
      </c>
      <c r="M33" s="80">
        <v>61</v>
      </c>
      <c r="N33" s="31">
        <v>62</v>
      </c>
      <c r="O33" s="31">
        <v>63</v>
      </c>
      <c r="P33" s="31">
        <v>64</v>
      </c>
      <c r="Q33" s="31">
        <v>65</v>
      </c>
      <c r="R33" s="2">
        <v>66</v>
      </c>
      <c r="S33" s="8">
        <v>67</v>
      </c>
      <c r="T33" s="9">
        <v>68</v>
      </c>
      <c r="U33" s="8">
        <v>69</v>
      </c>
      <c r="V33" s="9">
        <v>70</v>
      </c>
      <c r="W33" s="8">
        <v>71</v>
      </c>
      <c r="X33" s="9">
        <v>72</v>
      </c>
      <c r="Y33" s="9">
        <v>73</v>
      </c>
      <c r="Z33" s="8">
        <v>74</v>
      </c>
      <c r="AA33" s="9">
        <v>75</v>
      </c>
      <c r="AB33" s="9">
        <v>76</v>
      </c>
      <c r="AC33" s="24">
        <v>77</v>
      </c>
      <c r="AD33" s="24">
        <v>78</v>
      </c>
      <c r="AE33" s="24">
        <v>0</v>
      </c>
      <c r="AF33" s="24">
        <v>80</v>
      </c>
      <c r="AG33" s="24">
        <v>81</v>
      </c>
      <c r="AH33" s="24">
        <v>26</v>
      </c>
      <c r="AI33" s="49">
        <v>41</v>
      </c>
      <c r="AJ33" s="49">
        <v>42</v>
      </c>
      <c r="AK33" s="49">
        <v>43</v>
      </c>
      <c r="AL33" s="49">
        <v>44</v>
      </c>
      <c r="AM33" s="49">
        <v>45</v>
      </c>
      <c r="AN33" s="24">
        <v>88</v>
      </c>
      <c r="AO33" s="59">
        <v>89</v>
      </c>
      <c r="AP33" s="54">
        <v>90</v>
      </c>
      <c r="AQ33" s="25">
        <v>91</v>
      </c>
      <c r="AR33" s="23">
        <v>92</v>
      </c>
    </row>
    <row r="34" spans="2:44" ht="13.5" customHeight="1" x14ac:dyDescent="0.4">
      <c r="B34" s="84">
        <v>0.33333333333333331</v>
      </c>
      <c r="C34" s="46">
        <v>51</v>
      </c>
      <c r="D34" s="46">
        <v>52</v>
      </c>
      <c r="E34" s="46">
        <v>53</v>
      </c>
      <c r="F34" s="46">
        <v>54</v>
      </c>
      <c r="G34" s="46">
        <v>0</v>
      </c>
      <c r="H34" s="46">
        <v>1</v>
      </c>
      <c r="I34" s="46">
        <v>2</v>
      </c>
      <c r="J34" s="46">
        <v>3</v>
      </c>
      <c r="K34" s="46">
        <v>4</v>
      </c>
      <c r="L34" s="81">
        <v>5</v>
      </c>
      <c r="M34" s="52">
        <v>61</v>
      </c>
      <c r="N34" s="46">
        <v>62</v>
      </c>
      <c r="O34" s="46">
        <v>63</v>
      </c>
      <c r="P34" s="46">
        <v>64</v>
      </c>
      <c r="Q34" s="46">
        <v>65</v>
      </c>
      <c r="R34" s="6">
        <v>66</v>
      </c>
      <c r="S34" s="10">
        <v>67</v>
      </c>
      <c r="T34" s="11">
        <v>68</v>
      </c>
      <c r="U34" s="10">
        <v>69</v>
      </c>
      <c r="V34" s="11">
        <v>70</v>
      </c>
      <c r="W34" s="10">
        <v>71</v>
      </c>
      <c r="X34" s="11">
        <v>72</v>
      </c>
      <c r="Y34" s="11">
        <v>73</v>
      </c>
      <c r="Z34" s="10">
        <v>74</v>
      </c>
      <c r="AA34" s="11">
        <v>75</v>
      </c>
      <c r="AB34" s="11">
        <v>76</v>
      </c>
      <c r="AC34" s="13">
        <v>77</v>
      </c>
      <c r="AD34" s="13">
        <v>78</v>
      </c>
      <c r="AE34" s="13">
        <v>0</v>
      </c>
      <c r="AF34" s="13">
        <v>80</v>
      </c>
      <c r="AG34" s="13">
        <v>81</v>
      </c>
      <c r="AH34" s="13">
        <v>26</v>
      </c>
      <c r="AI34" s="58">
        <v>41</v>
      </c>
      <c r="AJ34" s="58">
        <v>42</v>
      </c>
      <c r="AK34" s="58">
        <v>43</v>
      </c>
      <c r="AL34" s="58">
        <v>44</v>
      </c>
      <c r="AM34" s="58">
        <v>45</v>
      </c>
      <c r="AN34" s="13">
        <v>88</v>
      </c>
      <c r="AO34" s="60">
        <v>89</v>
      </c>
      <c r="AP34" s="61">
        <v>90</v>
      </c>
      <c r="AQ34" s="22">
        <v>91</v>
      </c>
      <c r="AR34" s="21">
        <v>92</v>
      </c>
    </row>
    <row r="35" spans="2:44" s="29" customFormat="1" ht="15" customHeight="1" x14ac:dyDescent="0.4">
      <c r="B35" s="138" t="s">
        <v>183</v>
      </c>
      <c r="C35" s="91" t="s">
        <v>38</v>
      </c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3" t="s">
        <v>218</v>
      </c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5"/>
      <c r="AK35" s="149" t="s">
        <v>48</v>
      </c>
      <c r="AL35" s="170"/>
      <c r="AM35" s="96" t="s">
        <v>225</v>
      </c>
      <c r="AN35" s="97"/>
      <c r="AO35" s="86"/>
      <c r="AP35" s="86"/>
      <c r="AQ35" s="86"/>
      <c r="AR35" s="87"/>
    </row>
    <row r="36" spans="2:44" s="29" customFormat="1" ht="20.1" customHeight="1" x14ac:dyDescent="0.4">
      <c r="B36" s="139"/>
      <c r="C36" s="102" t="s">
        <v>32</v>
      </c>
      <c r="D36" s="167"/>
      <c r="E36" s="102" t="s">
        <v>33</v>
      </c>
      <c r="F36" s="168"/>
      <c r="G36" s="167"/>
      <c r="H36" s="98" t="s">
        <v>278</v>
      </c>
      <c r="I36" s="99"/>
      <c r="J36" s="32" t="s">
        <v>27</v>
      </c>
      <c r="K36" s="32" t="s">
        <v>30</v>
      </c>
      <c r="L36" s="32" t="s">
        <v>193</v>
      </c>
      <c r="M36" s="100" t="s">
        <v>194</v>
      </c>
      <c r="N36" s="101"/>
      <c r="O36" s="32" t="s">
        <v>26</v>
      </c>
      <c r="P36" s="32" t="s">
        <v>199</v>
      </c>
      <c r="Q36" s="102" t="s">
        <v>201</v>
      </c>
      <c r="R36" s="169"/>
      <c r="S36" s="102" t="s">
        <v>204</v>
      </c>
      <c r="T36" s="169"/>
      <c r="U36" s="102" t="s">
        <v>203</v>
      </c>
      <c r="V36" s="103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04" t="s">
        <v>46</v>
      </c>
      <c r="AI36" s="105"/>
      <c r="AJ36" s="106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9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9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83" t="s">
        <v>50</v>
      </c>
      <c r="C39" s="36">
        <v>101</v>
      </c>
      <c r="D39" s="36"/>
      <c r="E39" s="36">
        <v>103</v>
      </c>
      <c r="F39" s="36">
        <v>104</v>
      </c>
      <c r="G39" s="36"/>
      <c r="H39" s="36">
        <v>106</v>
      </c>
      <c r="I39" s="36"/>
      <c r="J39" s="36">
        <v>108</v>
      </c>
      <c r="K39" s="31">
        <v>109</v>
      </c>
      <c r="L39" s="31">
        <v>110</v>
      </c>
      <c r="M39" s="31">
        <v>111</v>
      </c>
      <c r="N39" s="31"/>
      <c r="O39" s="36">
        <v>113</v>
      </c>
      <c r="P39" s="36">
        <v>114</v>
      </c>
      <c r="Q39" s="36">
        <v>115</v>
      </c>
      <c r="R39" s="36"/>
      <c r="S39" s="36">
        <v>117</v>
      </c>
      <c r="T39" s="36"/>
      <c r="U39" s="34">
        <v>119</v>
      </c>
      <c r="V39" s="73"/>
      <c r="W39" s="66">
        <v>121</v>
      </c>
      <c r="X39" s="33">
        <v>122</v>
      </c>
      <c r="Y39" s="34">
        <v>123</v>
      </c>
      <c r="Z39" s="33">
        <v>124</v>
      </c>
      <c r="AA39" s="33">
        <v>125</v>
      </c>
      <c r="AB39" s="34">
        <v>126</v>
      </c>
      <c r="AC39" s="33">
        <v>127</v>
      </c>
      <c r="AD39" s="33">
        <v>128</v>
      </c>
      <c r="AE39" s="27">
        <v>129</v>
      </c>
      <c r="AF39" s="27">
        <v>130</v>
      </c>
      <c r="AG39" s="27">
        <v>36</v>
      </c>
      <c r="AH39" s="27">
        <v>132</v>
      </c>
      <c r="AI39" s="27">
        <v>133</v>
      </c>
      <c r="AJ39" s="27"/>
      <c r="AK39" s="27">
        <v>135</v>
      </c>
      <c r="AL39" s="63">
        <v>136</v>
      </c>
      <c r="AM39" s="47">
        <v>56</v>
      </c>
      <c r="AN39" s="49">
        <v>62</v>
      </c>
      <c r="AO39" s="27"/>
      <c r="AP39" s="27"/>
      <c r="AQ39" s="27"/>
      <c r="AR39" s="28"/>
    </row>
    <row r="40" spans="2:44" s="29" customFormat="1" ht="13.5" customHeight="1" x14ac:dyDescent="0.4">
      <c r="B40" s="38">
        <v>0.875</v>
      </c>
      <c r="C40" s="31">
        <v>101</v>
      </c>
      <c r="D40" s="31">
        <v>0</v>
      </c>
      <c r="E40" s="31">
        <v>103</v>
      </c>
      <c r="F40" s="31">
        <v>104</v>
      </c>
      <c r="G40" s="31">
        <v>0</v>
      </c>
      <c r="H40" s="31">
        <v>106</v>
      </c>
      <c r="I40" s="31">
        <v>0</v>
      </c>
      <c r="J40" s="31">
        <v>108</v>
      </c>
      <c r="K40" s="31">
        <v>109</v>
      </c>
      <c r="L40" s="31">
        <v>110</v>
      </c>
      <c r="M40" s="31">
        <v>111</v>
      </c>
      <c r="N40" s="31">
        <v>0</v>
      </c>
      <c r="O40" s="31">
        <v>113</v>
      </c>
      <c r="P40" s="31">
        <v>114</v>
      </c>
      <c r="Q40" s="31">
        <v>115</v>
      </c>
      <c r="R40" s="31">
        <v>0</v>
      </c>
      <c r="S40" s="31">
        <v>117</v>
      </c>
      <c r="T40" s="31">
        <v>0</v>
      </c>
      <c r="U40" s="34">
        <v>119</v>
      </c>
      <c r="V40" s="73">
        <v>0</v>
      </c>
      <c r="W40" s="66">
        <v>121</v>
      </c>
      <c r="X40" s="33">
        <v>122</v>
      </c>
      <c r="Y40" s="34">
        <v>123</v>
      </c>
      <c r="Z40" s="33">
        <v>124</v>
      </c>
      <c r="AA40" s="33">
        <v>125</v>
      </c>
      <c r="AB40" s="34">
        <v>126</v>
      </c>
      <c r="AC40" s="33">
        <v>127</v>
      </c>
      <c r="AD40" s="33">
        <v>128</v>
      </c>
      <c r="AE40" s="27">
        <v>129</v>
      </c>
      <c r="AF40" s="27">
        <v>130</v>
      </c>
      <c r="AG40" s="27">
        <v>36</v>
      </c>
      <c r="AH40" s="27">
        <v>132</v>
      </c>
      <c r="AI40" s="27">
        <v>133</v>
      </c>
      <c r="AJ40" s="27">
        <v>0</v>
      </c>
      <c r="AK40" s="27">
        <v>135</v>
      </c>
      <c r="AL40" s="63">
        <v>136</v>
      </c>
      <c r="AM40" s="47">
        <v>56</v>
      </c>
      <c r="AN40" s="49">
        <v>62</v>
      </c>
      <c r="AO40" s="27"/>
      <c r="AP40" s="27"/>
      <c r="AQ40" s="27"/>
      <c r="AR40" s="28"/>
    </row>
    <row r="41" spans="2:44" s="29" customFormat="1" ht="13.5" customHeight="1" x14ac:dyDescent="0.4">
      <c r="B41" s="83" t="s">
        <v>273</v>
      </c>
      <c r="C41" s="36">
        <v>101</v>
      </c>
      <c r="D41" s="36">
        <v>0</v>
      </c>
      <c r="E41" s="36">
        <v>103</v>
      </c>
      <c r="F41" s="36">
        <v>104</v>
      </c>
      <c r="G41" s="36">
        <v>0</v>
      </c>
      <c r="H41" s="36">
        <v>106</v>
      </c>
      <c r="I41" s="36">
        <v>0</v>
      </c>
      <c r="J41" s="36">
        <v>108</v>
      </c>
      <c r="K41" s="36">
        <v>109</v>
      </c>
      <c r="L41" s="36">
        <v>110</v>
      </c>
      <c r="M41" s="36">
        <v>111</v>
      </c>
      <c r="N41" s="36">
        <v>0</v>
      </c>
      <c r="O41" s="36">
        <v>113</v>
      </c>
      <c r="P41" s="36">
        <v>114</v>
      </c>
      <c r="Q41" s="36">
        <v>115</v>
      </c>
      <c r="R41" s="36">
        <v>0</v>
      </c>
      <c r="S41" s="36">
        <v>117</v>
      </c>
      <c r="T41" s="36">
        <v>0</v>
      </c>
      <c r="U41" s="34">
        <v>119</v>
      </c>
      <c r="V41" s="73">
        <v>0</v>
      </c>
      <c r="W41" s="66">
        <v>121</v>
      </c>
      <c r="X41" s="33">
        <v>122</v>
      </c>
      <c r="Y41" s="34">
        <v>123</v>
      </c>
      <c r="Z41" s="33">
        <v>124</v>
      </c>
      <c r="AA41" s="33">
        <v>125</v>
      </c>
      <c r="AB41" s="34">
        <v>126</v>
      </c>
      <c r="AC41" s="33">
        <v>127</v>
      </c>
      <c r="AD41" s="33">
        <v>128</v>
      </c>
      <c r="AE41" s="27">
        <v>129</v>
      </c>
      <c r="AF41" s="27">
        <v>130</v>
      </c>
      <c r="AG41" s="27">
        <v>36</v>
      </c>
      <c r="AH41" s="27">
        <v>132</v>
      </c>
      <c r="AI41" s="27">
        <v>133</v>
      </c>
      <c r="AJ41" s="27">
        <v>0</v>
      </c>
      <c r="AK41" s="27">
        <v>135</v>
      </c>
      <c r="AL41" s="63">
        <v>136</v>
      </c>
      <c r="AM41" s="47">
        <v>56</v>
      </c>
      <c r="AN41" s="49">
        <v>62</v>
      </c>
      <c r="AO41" s="27"/>
      <c r="AP41" s="27"/>
      <c r="AQ41" s="27"/>
      <c r="AR41" s="28"/>
    </row>
    <row r="42" spans="2:44" s="29" customFormat="1" ht="13.5" customHeight="1" x14ac:dyDescent="0.4">
      <c r="B42" s="38">
        <v>0.95833333333333337</v>
      </c>
      <c r="C42" s="36">
        <v>101</v>
      </c>
      <c r="D42" s="36">
        <v>0</v>
      </c>
      <c r="E42" s="36">
        <v>103</v>
      </c>
      <c r="F42" s="36">
        <v>104</v>
      </c>
      <c r="G42" s="36">
        <v>0</v>
      </c>
      <c r="H42" s="36">
        <v>106</v>
      </c>
      <c r="I42" s="36">
        <v>0</v>
      </c>
      <c r="J42" s="36">
        <v>108</v>
      </c>
      <c r="K42" s="36">
        <v>109</v>
      </c>
      <c r="L42" s="36">
        <v>110</v>
      </c>
      <c r="M42" s="36">
        <v>111</v>
      </c>
      <c r="N42" s="36">
        <v>0</v>
      </c>
      <c r="O42" s="36">
        <v>113</v>
      </c>
      <c r="P42" s="36">
        <v>114</v>
      </c>
      <c r="Q42" s="36">
        <v>115</v>
      </c>
      <c r="R42" s="36">
        <v>0</v>
      </c>
      <c r="S42" s="36">
        <v>117</v>
      </c>
      <c r="T42" s="36">
        <v>0</v>
      </c>
      <c r="U42" s="34">
        <v>119</v>
      </c>
      <c r="V42" s="73">
        <v>0</v>
      </c>
      <c r="W42" s="66">
        <v>121</v>
      </c>
      <c r="X42" s="33">
        <v>122</v>
      </c>
      <c r="Y42" s="34">
        <v>123</v>
      </c>
      <c r="Z42" s="33">
        <v>124</v>
      </c>
      <c r="AA42" s="33">
        <v>125</v>
      </c>
      <c r="AB42" s="34">
        <v>126</v>
      </c>
      <c r="AC42" s="33">
        <v>127</v>
      </c>
      <c r="AD42" s="33">
        <v>128</v>
      </c>
      <c r="AE42" s="27">
        <v>129</v>
      </c>
      <c r="AF42" s="27">
        <v>130</v>
      </c>
      <c r="AG42" s="27">
        <v>36</v>
      </c>
      <c r="AH42" s="27">
        <v>132</v>
      </c>
      <c r="AI42" s="27">
        <v>133</v>
      </c>
      <c r="AJ42" s="27">
        <v>0</v>
      </c>
      <c r="AK42" s="27">
        <v>135</v>
      </c>
      <c r="AL42" s="63">
        <v>136</v>
      </c>
      <c r="AM42" s="47">
        <v>56</v>
      </c>
      <c r="AN42" s="49">
        <v>62</v>
      </c>
      <c r="AO42" s="27"/>
      <c r="AP42" s="27"/>
      <c r="AQ42" s="27"/>
      <c r="AR42" s="28"/>
    </row>
    <row r="43" spans="2:44" s="29" customFormat="1" ht="13.5" customHeight="1" x14ac:dyDescent="0.4">
      <c r="B43" s="83" t="s">
        <v>274</v>
      </c>
      <c r="C43" s="36">
        <v>101</v>
      </c>
      <c r="D43" s="36">
        <v>0</v>
      </c>
      <c r="E43" s="36">
        <v>103</v>
      </c>
      <c r="F43" s="36">
        <v>104</v>
      </c>
      <c r="G43" s="36">
        <v>0</v>
      </c>
      <c r="H43" s="36">
        <v>106</v>
      </c>
      <c r="I43" s="36">
        <v>0</v>
      </c>
      <c r="J43" s="36">
        <v>108</v>
      </c>
      <c r="K43" s="36">
        <v>109</v>
      </c>
      <c r="L43" s="36">
        <v>110</v>
      </c>
      <c r="M43" s="36">
        <v>111</v>
      </c>
      <c r="N43" s="36">
        <v>0</v>
      </c>
      <c r="O43" s="36">
        <v>113</v>
      </c>
      <c r="P43" s="36">
        <v>114</v>
      </c>
      <c r="Q43" s="36">
        <v>115</v>
      </c>
      <c r="R43" s="36">
        <v>0</v>
      </c>
      <c r="S43" s="36">
        <v>117</v>
      </c>
      <c r="T43" s="36">
        <v>0</v>
      </c>
      <c r="U43" s="34">
        <v>119</v>
      </c>
      <c r="V43" s="73">
        <v>0</v>
      </c>
      <c r="W43" s="66">
        <v>121</v>
      </c>
      <c r="X43" s="33">
        <v>122</v>
      </c>
      <c r="Y43" s="34">
        <v>123</v>
      </c>
      <c r="Z43" s="33">
        <v>124</v>
      </c>
      <c r="AA43" s="33">
        <v>125</v>
      </c>
      <c r="AB43" s="34">
        <v>126</v>
      </c>
      <c r="AC43" s="33">
        <v>127</v>
      </c>
      <c r="AD43" s="33">
        <v>128</v>
      </c>
      <c r="AE43" s="27">
        <v>129</v>
      </c>
      <c r="AF43" s="27">
        <v>130</v>
      </c>
      <c r="AG43" s="27">
        <v>36</v>
      </c>
      <c r="AH43" s="27">
        <v>132</v>
      </c>
      <c r="AI43" s="27">
        <v>133</v>
      </c>
      <c r="AJ43" s="27">
        <v>0</v>
      </c>
      <c r="AK43" s="27">
        <v>135</v>
      </c>
      <c r="AL43" s="63">
        <v>136</v>
      </c>
      <c r="AM43" s="47">
        <v>56</v>
      </c>
      <c r="AN43" s="49">
        <v>62</v>
      </c>
      <c r="AO43" s="27"/>
      <c r="AP43" s="27"/>
      <c r="AQ43" s="27"/>
      <c r="AR43" s="28"/>
    </row>
    <row r="44" spans="2:44" s="29" customFormat="1" ht="13.5" customHeight="1" x14ac:dyDescent="0.4">
      <c r="B44" s="38">
        <v>4.1666666666666664E-2</v>
      </c>
      <c r="C44" s="36">
        <v>101</v>
      </c>
      <c r="D44" s="36">
        <v>0</v>
      </c>
      <c r="E44" s="36">
        <v>103</v>
      </c>
      <c r="F44" s="36">
        <v>104</v>
      </c>
      <c r="G44" s="36">
        <v>0</v>
      </c>
      <c r="H44" s="36">
        <v>106</v>
      </c>
      <c r="I44" s="36">
        <v>0</v>
      </c>
      <c r="J44" s="36">
        <v>108</v>
      </c>
      <c r="K44" s="36">
        <v>109</v>
      </c>
      <c r="L44" s="36">
        <v>110</v>
      </c>
      <c r="M44" s="36">
        <v>111</v>
      </c>
      <c r="N44" s="36">
        <v>0</v>
      </c>
      <c r="O44" s="36">
        <v>113</v>
      </c>
      <c r="P44" s="36">
        <v>114</v>
      </c>
      <c r="Q44" s="36">
        <v>115</v>
      </c>
      <c r="R44" s="36">
        <v>0</v>
      </c>
      <c r="S44" s="36">
        <v>117</v>
      </c>
      <c r="T44" s="36">
        <v>0</v>
      </c>
      <c r="U44" s="34">
        <v>119</v>
      </c>
      <c r="V44" s="73">
        <v>0</v>
      </c>
      <c r="W44" s="66">
        <v>121</v>
      </c>
      <c r="X44" s="33">
        <v>122</v>
      </c>
      <c r="Y44" s="34">
        <v>123</v>
      </c>
      <c r="Z44" s="33">
        <v>124</v>
      </c>
      <c r="AA44" s="33">
        <v>125</v>
      </c>
      <c r="AB44" s="34">
        <v>126</v>
      </c>
      <c r="AC44" s="33">
        <v>127</v>
      </c>
      <c r="AD44" s="33">
        <v>128</v>
      </c>
      <c r="AE44" s="27">
        <v>129</v>
      </c>
      <c r="AF44" s="27">
        <v>130</v>
      </c>
      <c r="AG44" s="27">
        <v>36</v>
      </c>
      <c r="AH44" s="27">
        <v>132</v>
      </c>
      <c r="AI44" s="27">
        <v>133</v>
      </c>
      <c r="AJ44" s="27">
        <v>0</v>
      </c>
      <c r="AK44" s="27">
        <v>135</v>
      </c>
      <c r="AL44" s="63">
        <v>136</v>
      </c>
      <c r="AM44" s="47">
        <v>56</v>
      </c>
      <c r="AN44" s="49">
        <v>62</v>
      </c>
      <c r="AO44" s="27"/>
      <c r="AP44" s="27"/>
      <c r="AQ44" s="27"/>
      <c r="AR44" s="28"/>
    </row>
    <row r="45" spans="2:44" s="29" customFormat="1" ht="13.5" customHeight="1" x14ac:dyDescent="0.4">
      <c r="B45" s="83" t="s">
        <v>275</v>
      </c>
      <c r="C45" s="36">
        <v>101</v>
      </c>
      <c r="D45" s="36">
        <v>0</v>
      </c>
      <c r="E45" s="36">
        <v>103</v>
      </c>
      <c r="F45" s="36">
        <v>104</v>
      </c>
      <c r="G45" s="36">
        <v>0</v>
      </c>
      <c r="H45" s="36">
        <v>106</v>
      </c>
      <c r="I45" s="36">
        <v>0</v>
      </c>
      <c r="J45" s="36">
        <v>108</v>
      </c>
      <c r="K45" s="36">
        <v>109</v>
      </c>
      <c r="L45" s="36">
        <v>110</v>
      </c>
      <c r="M45" s="36">
        <v>111</v>
      </c>
      <c r="N45" s="36">
        <v>0</v>
      </c>
      <c r="O45" s="36">
        <v>113</v>
      </c>
      <c r="P45" s="36">
        <v>114</v>
      </c>
      <c r="Q45" s="36">
        <v>115</v>
      </c>
      <c r="R45" s="36">
        <v>0</v>
      </c>
      <c r="S45" s="36">
        <v>117</v>
      </c>
      <c r="T45" s="36">
        <v>0</v>
      </c>
      <c r="U45" s="34">
        <v>119</v>
      </c>
      <c r="V45" s="73">
        <v>0</v>
      </c>
      <c r="W45" s="66">
        <v>121</v>
      </c>
      <c r="X45" s="33">
        <v>122</v>
      </c>
      <c r="Y45" s="34">
        <v>123</v>
      </c>
      <c r="Z45" s="33">
        <v>124</v>
      </c>
      <c r="AA45" s="33">
        <v>125</v>
      </c>
      <c r="AB45" s="34">
        <v>126</v>
      </c>
      <c r="AC45" s="33">
        <v>127</v>
      </c>
      <c r="AD45" s="33">
        <v>128</v>
      </c>
      <c r="AE45" s="27">
        <v>129</v>
      </c>
      <c r="AF45" s="27">
        <v>130</v>
      </c>
      <c r="AG45" s="27">
        <v>36</v>
      </c>
      <c r="AH45" s="27">
        <v>132</v>
      </c>
      <c r="AI45" s="27">
        <v>133</v>
      </c>
      <c r="AJ45" s="27">
        <v>0</v>
      </c>
      <c r="AK45" s="27">
        <v>135</v>
      </c>
      <c r="AL45" s="63">
        <v>136</v>
      </c>
      <c r="AM45" s="47">
        <v>56</v>
      </c>
      <c r="AN45" s="49">
        <v>62</v>
      </c>
      <c r="AO45" s="27"/>
      <c r="AP45" s="27"/>
      <c r="AQ45" s="27"/>
      <c r="AR45" s="28"/>
    </row>
    <row r="46" spans="2:44" s="29" customFormat="1" ht="13.5" customHeight="1" x14ac:dyDescent="0.4">
      <c r="B46" s="38">
        <v>0.125</v>
      </c>
      <c r="C46" s="36">
        <v>101</v>
      </c>
      <c r="D46" s="36">
        <v>0</v>
      </c>
      <c r="E46" s="36">
        <v>103</v>
      </c>
      <c r="F46" s="36">
        <v>104</v>
      </c>
      <c r="G46" s="36">
        <v>0</v>
      </c>
      <c r="H46" s="36">
        <v>106</v>
      </c>
      <c r="I46" s="36">
        <v>0</v>
      </c>
      <c r="J46" s="36">
        <v>108</v>
      </c>
      <c r="K46" s="36">
        <v>109</v>
      </c>
      <c r="L46" s="36">
        <v>110</v>
      </c>
      <c r="M46" s="36">
        <v>111</v>
      </c>
      <c r="N46" s="36">
        <v>0</v>
      </c>
      <c r="O46" s="36">
        <v>113</v>
      </c>
      <c r="P46" s="36">
        <v>114</v>
      </c>
      <c r="Q46" s="36">
        <v>115</v>
      </c>
      <c r="R46" s="36">
        <v>0</v>
      </c>
      <c r="S46" s="36">
        <v>117</v>
      </c>
      <c r="T46" s="36">
        <v>0</v>
      </c>
      <c r="U46" s="34">
        <v>119</v>
      </c>
      <c r="V46" s="73">
        <v>0</v>
      </c>
      <c r="W46" s="66">
        <v>121</v>
      </c>
      <c r="X46" s="33">
        <v>122</v>
      </c>
      <c r="Y46" s="34">
        <v>123</v>
      </c>
      <c r="Z46" s="33">
        <v>124</v>
      </c>
      <c r="AA46" s="33">
        <v>125</v>
      </c>
      <c r="AB46" s="34">
        <v>126</v>
      </c>
      <c r="AC46" s="33">
        <v>127</v>
      </c>
      <c r="AD46" s="33">
        <v>128</v>
      </c>
      <c r="AE46" s="27">
        <v>129</v>
      </c>
      <c r="AF46" s="27">
        <v>130</v>
      </c>
      <c r="AG46" s="27">
        <v>36</v>
      </c>
      <c r="AH46" s="27">
        <v>132</v>
      </c>
      <c r="AI46" s="27">
        <v>133</v>
      </c>
      <c r="AJ46" s="27">
        <v>0</v>
      </c>
      <c r="AK46" s="27">
        <v>135</v>
      </c>
      <c r="AL46" s="63">
        <v>136</v>
      </c>
      <c r="AM46" s="47">
        <v>56</v>
      </c>
      <c r="AN46" s="49">
        <v>62</v>
      </c>
      <c r="AO46" s="27"/>
      <c r="AP46" s="27"/>
      <c r="AQ46" s="27"/>
      <c r="AR46" s="28"/>
    </row>
    <row r="47" spans="2:44" s="29" customFormat="1" ht="13.5" customHeight="1" x14ac:dyDescent="0.4">
      <c r="B47" s="38">
        <v>0.16666666666666666</v>
      </c>
      <c r="C47" s="36">
        <v>101</v>
      </c>
      <c r="D47" s="36">
        <v>0</v>
      </c>
      <c r="E47" s="36">
        <v>103</v>
      </c>
      <c r="F47" s="36">
        <v>104</v>
      </c>
      <c r="G47" s="36">
        <v>0</v>
      </c>
      <c r="H47" s="36">
        <v>106</v>
      </c>
      <c r="I47" s="36">
        <v>0</v>
      </c>
      <c r="J47" s="36">
        <v>108</v>
      </c>
      <c r="K47" s="36">
        <v>109</v>
      </c>
      <c r="L47" s="36">
        <v>110</v>
      </c>
      <c r="M47" s="36">
        <v>111</v>
      </c>
      <c r="N47" s="36">
        <v>0</v>
      </c>
      <c r="O47" s="36">
        <v>113</v>
      </c>
      <c r="P47" s="36">
        <v>114</v>
      </c>
      <c r="Q47" s="36">
        <v>115</v>
      </c>
      <c r="R47" s="36">
        <v>0</v>
      </c>
      <c r="S47" s="36">
        <v>117</v>
      </c>
      <c r="T47" s="36">
        <v>0</v>
      </c>
      <c r="U47" s="34">
        <v>119</v>
      </c>
      <c r="V47" s="73">
        <v>0</v>
      </c>
      <c r="W47" s="66">
        <v>121</v>
      </c>
      <c r="X47" s="33">
        <v>122</v>
      </c>
      <c r="Y47" s="34">
        <v>123</v>
      </c>
      <c r="Z47" s="33">
        <v>124</v>
      </c>
      <c r="AA47" s="33">
        <v>125</v>
      </c>
      <c r="AB47" s="34">
        <v>126</v>
      </c>
      <c r="AC47" s="33">
        <v>127</v>
      </c>
      <c r="AD47" s="33">
        <v>128</v>
      </c>
      <c r="AE47" s="27">
        <v>129</v>
      </c>
      <c r="AF47" s="27">
        <v>130</v>
      </c>
      <c r="AG47" s="27">
        <v>36</v>
      </c>
      <c r="AH47" s="27">
        <v>132</v>
      </c>
      <c r="AI47" s="27">
        <v>133</v>
      </c>
      <c r="AJ47" s="27">
        <v>0</v>
      </c>
      <c r="AK47" s="27">
        <v>135</v>
      </c>
      <c r="AL47" s="63">
        <v>136</v>
      </c>
      <c r="AM47" s="47">
        <v>56</v>
      </c>
      <c r="AN47" s="49">
        <v>62</v>
      </c>
      <c r="AO47" s="27"/>
      <c r="AP47" s="27"/>
      <c r="AQ47" s="27"/>
      <c r="AR47" s="28"/>
    </row>
    <row r="48" spans="2:44" s="29" customFormat="1" ht="13.5" customHeight="1" x14ac:dyDescent="0.4">
      <c r="B48" s="38">
        <v>0.20833333333333334</v>
      </c>
      <c r="C48" s="36">
        <v>101</v>
      </c>
      <c r="D48" s="36">
        <v>0</v>
      </c>
      <c r="E48" s="36">
        <v>103</v>
      </c>
      <c r="F48" s="36">
        <v>104</v>
      </c>
      <c r="G48" s="36">
        <v>0</v>
      </c>
      <c r="H48" s="36">
        <v>106</v>
      </c>
      <c r="I48" s="36">
        <v>0</v>
      </c>
      <c r="J48" s="36">
        <v>108</v>
      </c>
      <c r="K48" s="36">
        <v>109</v>
      </c>
      <c r="L48" s="36">
        <v>110</v>
      </c>
      <c r="M48" s="36">
        <v>111</v>
      </c>
      <c r="N48" s="36">
        <v>0</v>
      </c>
      <c r="O48" s="36">
        <v>113</v>
      </c>
      <c r="P48" s="36">
        <v>114</v>
      </c>
      <c r="Q48" s="36">
        <v>115</v>
      </c>
      <c r="R48" s="36">
        <v>0</v>
      </c>
      <c r="S48" s="36">
        <v>117</v>
      </c>
      <c r="T48" s="36">
        <v>0</v>
      </c>
      <c r="U48" s="34">
        <v>119</v>
      </c>
      <c r="V48" s="73">
        <v>0</v>
      </c>
      <c r="W48" s="66">
        <v>121</v>
      </c>
      <c r="X48" s="33">
        <v>122</v>
      </c>
      <c r="Y48" s="34">
        <v>123</v>
      </c>
      <c r="Z48" s="33">
        <v>124</v>
      </c>
      <c r="AA48" s="33">
        <v>125</v>
      </c>
      <c r="AB48" s="34">
        <v>126</v>
      </c>
      <c r="AC48" s="33">
        <v>127</v>
      </c>
      <c r="AD48" s="33">
        <v>128</v>
      </c>
      <c r="AE48" s="27">
        <v>129</v>
      </c>
      <c r="AF48" s="27">
        <v>130</v>
      </c>
      <c r="AG48" s="27">
        <v>36</v>
      </c>
      <c r="AH48" s="27">
        <v>132</v>
      </c>
      <c r="AI48" s="27">
        <v>133</v>
      </c>
      <c r="AJ48" s="27">
        <v>0</v>
      </c>
      <c r="AK48" s="27">
        <v>135</v>
      </c>
      <c r="AL48" s="63">
        <v>136</v>
      </c>
      <c r="AM48" s="47">
        <v>56</v>
      </c>
      <c r="AN48" s="49">
        <v>62</v>
      </c>
      <c r="AO48" s="27"/>
      <c r="AP48" s="27"/>
      <c r="AQ48" s="27"/>
      <c r="AR48" s="28"/>
    </row>
    <row r="49" spans="2:44" s="29" customFormat="1" ht="13.5" customHeight="1" x14ac:dyDescent="0.4">
      <c r="B49" s="38">
        <v>0.25</v>
      </c>
      <c r="C49" s="36">
        <v>101</v>
      </c>
      <c r="D49" s="36">
        <v>0</v>
      </c>
      <c r="E49" s="36">
        <v>103</v>
      </c>
      <c r="F49" s="36">
        <v>104</v>
      </c>
      <c r="G49" s="36">
        <v>0</v>
      </c>
      <c r="H49" s="36">
        <v>106</v>
      </c>
      <c r="I49" s="36">
        <v>0</v>
      </c>
      <c r="J49" s="36">
        <v>108</v>
      </c>
      <c r="K49" s="36">
        <v>109</v>
      </c>
      <c r="L49" s="36">
        <v>110</v>
      </c>
      <c r="M49" s="36">
        <v>111</v>
      </c>
      <c r="N49" s="36">
        <v>0</v>
      </c>
      <c r="O49" s="36">
        <v>113</v>
      </c>
      <c r="P49" s="36">
        <v>114</v>
      </c>
      <c r="Q49" s="36">
        <v>115</v>
      </c>
      <c r="R49" s="36">
        <v>0</v>
      </c>
      <c r="S49" s="36">
        <v>117</v>
      </c>
      <c r="T49" s="36">
        <v>0</v>
      </c>
      <c r="U49" s="34">
        <v>119</v>
      </c>
      <c r="V49" s="73">
        <v>0</v>
      </c>
      <c r="W49" s="66">
        <v>121</v>
      </c>
      <c r="X49" s="33">
        <v>122</v>
      </c>
      <c r="Y49" s="34">
        <v>123</v>
      </c>
      <c r="Z49" s="33">
        <v>124</v>
      </c>
      <c r="AA49" s="33">
        <v>125</v>
      </c>
      <c r="AB49" s="34">
        <v>126</v>
      </c>
      <c r="AC49" s="33">
        <v>127</v>
      </c>
      <c r="AD49" s="33">
        <v>128</v>
      </c>
      <c r="AE49" s="27">
        <v>129</v>
      </c>
      <c r="AF49" s="27">
        <v>130</v>
      </c>
      <c r="AG49" s="27">
        <v>36</v>
      </c>
      <c r="AH49" s="27">
        <v>132</v>
      </c>
      <c r="AI49" s="27">
        <v>133</v>
      </c>
      <c r="AJ49" s="27">
        <v>0</v>
      </c>
      <c r="AK49" s="27">
        <v>135</v>
      </c>
      <c r="AL49" s="63">
        <v>136</v>
      </c>
      <c r="AM49" s="47">
        <v>56</v>
      </c>
      <c r="AN49" s="49">
        <v>62</v>
      </c>
      <c r="AO49" s="27"/>
      <c r="AP49" s="27"/>
      <c r="AQ49" s="27"/>
      <c r="AR49" s="28"/>
    </row>
    <row r="50" spans="2:44" s="29" customFormat="1" ht="13.5" customHeight="1" x14ac:dyDescent="0.4">
      <c r="B50" s="38">
        <v>0.29166666666666669</v>
      </c>
      <c r="C50" s="36">
        <v>101</v>
      </c>
      <c r="D50" s="36">
        <v>0</v>
      </c>
      <c r="E50" s="36">
        <v>103</v>
      </c>
      <c r="F50" s="36">
        <v>104</v>
      </c>
      <c r="G50" s="36">
        <v>0</v>
      </c>
      <c r="H50" s="36">
        <v>106</v>
      </c>
      <c r="I50" s="36">
        <v>0</v>
      </c>
      <c r="J50" s="36">
        <v>108</v>
      </c>
      <c r="K50" s="31">
        <v>109</v>
      </c>
      <c r="L50" s="31">
        <v>110</v>
      </c>
      <c r="M50" s="31">
        <v>111</v>
      </c>
      <c r="N50" s="31">
        <v>0</v>
      </c>
      <c r="O50" s="36">
        <v>113</v>
      </c>
      <c r="P50" s="36">
        <v>114</v>
      </c>
      <c r="Q50" s="36">
        <v>115</v>
      </c>
      <c r="R50" s="36">
        <v>0</v>
      </c>
      <c r="S50" s="36">
        <v>117</v>
      </c>
      <c r="T50" s="36">
        <v>0</v>
      </c>
      <c r="U50" s="34">
        <v>119</v>
      </c>
      <c r="V50" s="73">
        <v>0</v>
      </c>
      <c r="W50" s="66">
        <v>121</v>
      </c>
      <c r="X50" s="33">
        <v>122</v>
      </c>
      <c r="Y50" s="34">
        <v>123</v>
      </c>
      <c r="Z50" s="33">
        <v>124</v>
      </c>
      <c r="AA50" s="33">
        <v>125</v>
      </c>
      <c r="AB50" s="34">
        <v>126</v>
      </c>
      <c r="AC50" s="33">
        <v>127</v>
      </c>
      <c r="AD50" s="33">
        <v>128</v>
      </c>
      <c r="AE50" s="27">
        <v>129</v>
      </c>
      <c r="AF50" s="27">
        <v>130</v>
      </c>
      <c r="AG50" s="27">
        <v>36</v>
      </c>
      <c r="AH50" s="27">
        <v>132</v>
      </c>
      <c r="AI50" s="27">
        <v>133</v>
      </c>
      <c r="AJ50" s="27">
        <v>0</v>
      </c>
      <c r="AK50" s="27">
        <v>135</v>
      </c>
      <c r="AL50" s="63">
        <v>136</v>
      </c>
      <c r="AM50" s="47">
        <v>56</v>
      </c>
      <c r="AN50" s="49">
        <v>62</v>
      </c>
      <c r="AO50" s="27"/>
      <c r="AP50" s="27"/>
      <c r="AQ50" s="27"/>
      <c r="AR50" s="28"/>
    </row>
    <row r="51" spans="2:44" s="29" customFormat="1" ht="13.5" customHeight="1" x14ac:dyDescent="0.4">
      <c r="B51" s="84">
        <v>0.33333333333333331</v>
      </c>
      <c r="C51" s="39">
        <v>101</v>
      </c>
      <c r="D51" s="39">
        <v>0</v>
      </c>
      <c r="E51" s="39">
        <v>103</v>
      </c>
      <c r="F51" s="39">
        <v>104</v>
      </c>
      <c r="G51" s="39">
        <v>0</v>
      </c>
      <c r="H51" s="39">
        <v>106</v>
      </c>
      <c r="I51" s="39">
        <v>0</v>
      </c>
      <c r="J51" s="39">
        <v>108</v>
      </c>
      <c r="K51" s="39">
        <v>109</v>
      </c>
      <c r="L51" s="39">
        <v>110</v>
      </c>
      <c r="M51" s="39">
        <v>111</v>
      </c>
      <c r="N51" s="39">
        <v>0</v>
      </c>
      <c r="O51" s="39">
        <v>113</v>
      </c>
      <c r="P51" s="39">
        <v>114</v>
      </c>
      <c r="Q51" s="39">
        <v>115</v>
      </c>
      <c r="R51" s="39">
        <v>0</v>
      </c>
      <c r="S51" s="39">
        <v>117</v>
      </c>
      <c r="T51" s="39">
        <v>0</v>
      </c>
      <c r="U51" s="40">
        <v>119</v>
      </c>
      <c r="V51" s="74">
        <v>0</v>
      </c>
      <c r="W51" s="67">
        <v>121</v>
      </c>
      <c r="X51" s="41">
        <v>122</v>
      </c>
      <c r="Y51" s="40">
        <v>123</v>
      </c>
      <c r="Z51" s="41">
        <v>124</v>
      </c>
      <c r="AA51" s="41">
        <v>125</v>
      </c>
      <c r="AB51" s="40">
        <v>126</v>
      </c>
      <c r="AC51" s="41">
        <v>127</v>
      </c>
      <c r="AD51" s="41">
        <v>128</v>
      </c>
      <c r="AE51" s="42">
        <v>129</v>
      </c>
      <c r="AF51" s="42">
        <v>130</v>
      </c>
      <c r="AG51" s="42">
        <v>36</v>
      </c>
      <c r="AH51" s="42">
        <v>132</v>
      </c>
      <c r="AI51" s="42">
        <v>133</v>
      </c>
      <c r="AJ51" s="42">
        <v>0</v>
      </c>
      <c r="AK51" s="42">
        <v>135</v>
      </c>
      <c r="AL51" s="68">
        <v>136</v>
      </c>
      <c r="AM51" s="70">
        <v>56</v>
      </c>
      <c r="AN51" s="58">
        <v>62</v>
      </c>
      <c r="AO51" s="42"/>
      <c r="AP51" s="42"/>
      <c r="AQ51" s="42"/>
      <c r="AR51" s="88"/>
    </row>
    <row r="52" spans="2:44" ht="13.5" customHeight="1" x14ac:dyDescent="0.4">
      <c r="B52" s="165" t="s">
        <v>417</v>
      </c>
      <c r="C52" s="166"/>
      <c r="D52" s="12" t="s">
        <v>276</v>
      </c>
      <c r="E52" s="127" t="s">
        <v>20</v>
      </c>
      <c r="F52" s="130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2"/>
      <c r="AP52" s="132"/>
      <c r="AQ52" s="132"/>
      <c r="AR52" s="133"/>
    </row>
    <row r="53" spans="2:44" ht="13.5" customHeight="1" x14ac:dyDescent="0.4">
      <c r="B53" s="126" t="s">
        <v>277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19"/>
      <c r="AP53" s="119"/>
      <c r="AQ53" s="119"/>
      <c r="AR53" s="134"/>
    </row>
    <row r="54" spans="2:44" ht="13.5" customHeight="1" thickBot="1" x14ac:dyDescent="0.45">
      <c r="B54" s="137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35"/>
      <c r="AP54" s="135"/>
      <c r="AQ54" s="135"/>
      <c r="AR54" s="13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171" t="s">
        <v>232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</row>
    <row r="2" spans="2:58" ht="13" customHeight="1" x14ac:dyDescent="0.4">
      <c r="B2" s="219" t="s">
        <v>234</v>
      </c>
      <c r="C2" s="220"/>
      <c r="D2" s="220"/>
      <c r="E2" s="220"/>
      <c r="F2" s="220"/>
      <c r="G2" s="220"/>
      <c r="H2" s="220"/>
      <c r="I2" s="220"/>
      <c r="J2" s="220"/>
      <c r="K2" s="220"/>
      <c r="L2" s="221"/>
      <c r="M2" s="222" t="s">
        <v>233</v>
      </c>
      <c r="N2" s="220"/>
      <c r="O2" s="220"/>
      <c r="P2" s="220"/>
      <c r="Q2" s="220"/>
      <c r="R2" s="220"/>
      <c r="S2" s="220"/>
      <c r="T2" s="220"/>
      <c r="U2" s="220"/>
      <c r="V2" s="220"/>
      <c r="W2" s="221"/>
      <c r="X2" s="109" t="s">
        <v>235</v>
      </c>
      <c r="Y2" s="220"/>
      <c r="Z2" s="220"/>
      <c r="AA2" s="220"/>
      <c r="AB2" s="220"/>
      <c r="AC2" s="220"/>
      <c r="AD2" s="220"/>
      <c r="AE2" s="220"/>
      <c r="AF2" s="220"/>
      <c r="AG2" s="220"/>
      <c r="AH2" s="221"/>
      <c r="AI2" s="222" t="s">
        <v>236</v>
      </c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1"/>
      <c r="AU2" s="109" t="s">
        <v>237</v>
      </c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3"/>
    </row>
    <row r="3" spans="2:58" ht="13" customHeight="1" x14ac:dyDescent="0.4"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8"/>
      <c r="M3" s="194"/>
      <c r="N3" s="187"/>
      <c r="O3" s="187"/>
      <c r="P3" s="187"/>
      <c r="Q3" s="187"/>
      <c r="R3" s="187"/>
      <c r="S3" s="187"/>
      <c r="T3" s="187"/>
      <c r="U3" s="187"/>
      <c r="V3" s="187"/>
      <c r="W3" s="188"/>
      <c r="X3" s="198"/>
      <c r="Y3" s="187"/>
      <c r="Z3" s="187"/>
      <c r="AA3" s="187"/>
      <c r="AB3" s="187"/>
      <c r="AC3" s="187"/>
      <c r="AD3" s="187"/>
      <c r="AE3" s="187"/>
      <c r="AF3" s="187"/>
      <c r="AG3" s="187"/>
      <c r="AH3" s="188"/>
      <c r="AI3" s="199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8"/>
      <c r="AU3" s="198"/>
      <c r="AV3" s="187"/>
      <c r="AW3" s="187"/>
      <c r="AX3" s="187"/>
      <c r="AY3" s="187"/>
      <c r="AZ3" s="187"/>
      <c r="BA3" s="187"/>
      <c r="BB3" s="187"/>
      <c r="BC3" s="187"/>
      <c r="BD3" s="187"/>
      <c r="BE3" s="187"/>
      <c r="BF3" s="200"/>
    </row>
    <row r="4" spans="2:58" ht="13" customHeight="1" x14ac:dyDescent="0.4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1"/>
      <c r="M4" s="195"/>
      <c r="N4" s="190"/>
      <c r="O4" s="190"/>
      <c r="P4" s="190"/>
      <c r="Q4" s="190"/>
      <c r="R4" s="190"/>
      <c r="S4" s="190"/>
      <c r="T4" s="190"/>
      <c r="U4" s="190"/>
      <c r="V4" s="190"/>
      <c r="W4" s="191"/>
      <c r="X4" s="195"/>
      <c r="Y4" s="190"/>
      <c r="Z4" s="190"/>
      <c r="AA4" s="190"/>
      <c r="AB4" s="190"/>
      <c r="AC4" s="190"/>
      <c r="AD4" s="190"/>
      <c r="AE4" s="190"/>
      <c r="AF4" s="190"/>
      <c r="AG4" s="190"/>
      <c r="AH4" s="191"/>
      <c r="AI4" s="195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1"/>
      <c r="AU4" s="195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201"/>
    </row>
    <row r="5" spans="2:58" ht="13" customHeight="1" x14ac:dyDescent="0.4"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1"/>
      <c r="M5" s="195"/>
      <c r="N5" s="190"/>
      <c r="O5" s="190"/>
      <c r="P5" s="190"/>
      <c r="Q5" s="190"/>
      <c r="R5" s="190"/>
      <c r="S5" s="190"/>
      <c r="T5" s="190"/>
      <c r="U5" s="190"/>
      <c r="V5" s="190"/>
      <c r="W5" s="191"/>
      <c r="X5" s="195"/>
      <c r="Y5" s="190"/>
      <c r="Z5" s="190"/>
      <c r="AA5" s="190"/>
      <c r="AB5" s="190"/>
      <c r="AC5" s="190"/>
      <c r="AD5" s="190"/>
      <c r="AE5" s="190"/>
      <c r="AF5" s="190"/>
      <c r="AG5" s="190"/>
      <c r="AH5" s="191"/>
      <c r="AI5" s="195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1"/>
      <c r="AU5" s="195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201"/>
    </row>
    <row r="6" spans="2:58" ht="13" customHeight="1" x14ac:dyDescent="0.4">
      <c r="B6" s="189"/>
      <c r="C6" s="190"/>
      <c r="D6" s="190"/>
      <c r="E6" s="190"/>
      <c r="F6" s="190"/>
      <c r="G6" s="190"/>
      <c r="H6" s="190"/>
      <c r="I6" s="190"/>
      <c r="J6" s="190"/>
      <c r="K6" s="190"/>
      <c r="L6" s="191"/>
      <c r="M6" s="195"/>
      <c r="N6" s="190"/>
      <c r="O6" s="190"/>
      <c r="P6" s="190"/>
      <c r="Q6" s="190"/>
      <c r="R6" s="190"/>
      <c r="S6" s="190"/>
      <c r="T6" s="190"/>
      <c r="U6" s="190"/>
      <c r="V6" s="190"/>
      <c r="W6" s="191"/>
      <c r="X6" s="195"/>
      <c r="Y6" s="190"/>
      <c r="Z6" s="190"/>
      <c r="AA6" s="190"/>
      <c r="AB6" s="190"/>
      <c r="AC6" s="190"/>
      <c r="AD6" s="190"/>
      <c r="AE6" s="190"/>
      <c r="AF6" s="190"/>
      <c r="AG6" s="190"/>
      <c r="AH6" s="191"/>
      <c r="AI6" s="195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1"/>
      <c r="AU6" s="195"/>
      <c r="AV6" s="190"/>
      <c r="AW6" s="190"/>
      <c r="AX6" s="190"/>
      <c r="AY6" s="190"/>
      <c r="AZ6" s="190"/>
      <c r="BA6" s="190"/>
      <c r="BB6" s="190"/>
      <c r="BC6" s="190"/>
      <c r="BD6" s="190"/>
      <c r="BE6" s="190"/>
      <c r="BF6" s="201"/>
    </row>
    <row r="7" spans="2:58" ht="13" customHeight="1" x14ac:dyDescent="0.4">
      <c r="B7" s="189"/>
      <c r="C7" s="190"/>
      <c r="D7" s="190"/>
      <c r="E7" s="190"/>
      <c r="F7" s="190"/>
      <c r="G7" s="190"/>
      <c r="H7" s="190"/>
      <c r="I7" s="190"/>
      <c r="J7" s="190"/>
      <c r="K7" s="190"/>
      <c r="L7" s="191"/>
      <c r="M7" s="195"/>
      <c r="N7" s="190"/>
      <c r="O7" s="190"/>
      <c r="P7" s="190"/>
      <c r="Q7" s="190"/>
      <c r="R7" s="190"/>
      <c r="S7" s="190"/>
      <c r="T7" s="190"/>
      <c r="U7" s="190"/>
      <c r="V7" s="190"/>
      <c r="W7" s="191"/>
      <c r="X7" s="195"/>
      <c r="Y7" s="190"/>
      <c r="Z7" s="190"/>
      <c r="AA7" s="190"/>
      <c r="AB7" s="190"/>
      <c r="AC7" s="190"/>
      <c r="AD7" s="190"/>
      <c r="AE7" s="190"/>
      <c r="AF7" s="190"/>
      <c r="AG7" s="190"/>
      <c r="AH7" s="191"/>
      <c r="AI7" s="195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1"/>
      <c r="AU7" s="195"/>
      <c r="AV7" s="190"/>
      <c r="AW7" s="190"/>
      <c r="AX7" s="190"/>
      <c r="AY7" s="190"/>
      <c r="AZ7" s="190"/>
      <c r="BA7" s="190"/>
      <c r="BB7" s="190"/>
      <c r="BC7" s="190"/>
      <c r="BD7" s="190"/>
      <c r="BE7" s="190"/>
      <c r="BF7" s="201"/>
    </row>
    <row r="8" spans="2:58" ht="13" customHeight="1" x14ac:dyDescent="0.4"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5"/>
      <c r="N8" s="190"/>
      <c r="O8" s="190"/>
      <c r="P8" s="190"/>
      <c r="Q8" s="190"/>
      <c r="R8" s="190"/>
      <c r="S8" s="190"/>
      <c r="T8" s="190"/>
      <c r="U8" s="190"/>
      <c r="V8" s="190"/>
      <c r="W8" s="191"/>
      <c r="X8" s="195"/>
      <c r="Y8" s="190"/>
      <c r="Z8" s="190"/>
      <c r="AA8" s="190"/>
      <c r="AB8" s="190"/>
      <c r="AC8" s="190"/>
      <c r="AD8" s="190"/>
      <c r="AE8" s="190"/>
      <c r="AF8" s="190"/>
      <c r="AG8" s="190"/>
      <c r="AH8" s="191"/>
      <c r="AI8" s="195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1"/>
      <c r="AU8" s="195"/>
      <c r="AV8" s="190"/>
      <c r="AW8" s="190"/>
      <c r="AX8" s="190"/>
      <c r="AY8" s="190"/>
      <c r="AZ8" s="190"/>
      <c r="BA8" s="190"/>
      <c r="BB8" s="190"/>
      <c r="BC8" s="190"/>
      <c r="BD8" s="190"/>
      <c r="BE8" s="190"/>
      <c r="BF8" s="201"/>
    </row>
    <row r="9" spans="2:58" ht="13" customHeight="1" x14ac:dyDescent="0.4">
      <c r="B9" s="192"/>
      <c r="C9" s="193"/>
      <c r="D9" s="193"/>
      <c r="E9" s="193"/>
      <c r="F9" s="193"/>
      <c r="G9" s="193"/>
      <c r="H9" s="193"/>
      <c r="I9" s="193"/>
      <c r="J9" s="193"/>
      <c r="K9" s="193"/>
      <c r="L9" s="166"/>
      <c r="M9" s="196"/>
      <c r="N9" s="193"/>
      <c r="O9" s="193"/>
      <c r="P9" s="193"/>
      <c r="Q9" s="193"/>
      <c r="R9" s="193"/>
      <c r="S9" s="193"/>
      <c r="T9" s="193"/>
      <c r="U9" s="193"/>
      <c r="V9" s="193"/>
      <c r="W9" s="166"/>
      <c r="X9" s="196"/>
      <c r="Y9" s="193"/>
      <c r="Z9" s="193"/>
      <c r="AA9" s="193"/>
      <c r="AB9" s="193"/>
      <c r="AC9" s="193"/>
      <c r="AD9" s="193"/>
      <c r="AE9" s="193"/>
      <c r="AF9" s="193"/>
      <c r="AG9" s="193"/>
      <c r="AH9" s="166"/>
      <c r="AI9" s="196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66"/>
      <c r="AU9" s="196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202"/>
    </row>
    <row r="10" spans="2:58" ht="13" customHeight="1" x14ac:dyDescent="0.4">
      <c r="B10" s="206" t="s">
        <v>238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09"/>
      <c r="M10" s="217" t="s">
        <v>239</v>
      </c>
      <c r="N10" s="207"/>
      <c r="O10" s="207"/>
      <c r="P10" s="207"/>
      <c r="Q10" s="207"/>
      <c r="R10" s="207"/>
      <c r="S10" s="207"/>
      <c r="T10" s="207"/>
      <c r="U10" s="207"/>
      <c r="V10" s="207"/>
      <c r="W10" s="209"/>
      <c r="X10" s="114" t="s">
        <v>240</v>
      </c>
      <c r="Y10" s="207"/>
      <c r="Z10" s="207"/>
      <c r="AA10" s="207"/>
      <c r="AB10" s="207"/>
      <c r="AC10" s="207"/>
      <c r="AD10" s="207"/>
      <c r="AE10" s="207"/>
      <c r="AF10" s="207"/>
      <c r="AG10" s="207"/>
      <c r="AH10" s="209"/>
      <c r="AI10" s="114" t="s">
        <v>241</v>
      </c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9"/>
      <c r="AU10" s="104" t="s">
        <v>242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18"/>
    </row>
    <row r="11" spans="2:58" ht="13" customHeight="1" x14ac:dyDescent="0.4"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8"/>
      <c r="M11" s="194"/>
      <c r="N11" s="187"/>
      <c r="O11" s="187"/>
      <c r="P11" s="187"/>
      <c r="Q11" s="187"/>
      <c r="R11" s="187"/>
      <c r="S11" s="187"/>
      <c r="T11" s="187"/>
      <c r="U11" s="187"/>
      <c r="V11" s="187"/>
      <c r="W11" s="188"/>
      <c r="X11" s="194"/>
      <c r="Y11" s="187"/>
      <c r="Z11" s="187"/>
      <c r="AA11" s="187"/>
      <c r="AB11" s="187"/>
      <c r="AC11" s="187"/>
      <c r="AD11" s="187"/>
      <c r="AE11" s="187"/>
      <c r="AF11" s="187"/>
      <c r="AG11" s="187"/>
      <c r="AH11" s="188"/>
      <c r="AI11" s="194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8"/>
      <c r="AU11" s="203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200"/>
    </row>
    <row r="12" spans="2:58" ht="13" customHeight="1" x14ac:dyDescent="0.4"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5"/>
      <c r="N12" s="190"/>
      <c r="O12" s="190"/>
      <c r="P12" s="190"/>
      <c r="Q12" s="190"/>
      <c r="R12" s="190"/>
      <c r="S12" s="190"/>
      <c r="T12" s="190"/>
      <c r="U12" s="190"/>
      <c r="V12" s="190"/>
      <c r="W12" s="191"/>
      <c r="X12" s="195"/>
      <c r="Y12" s="190"/>
      <c r="Z12" s="190"/>
      <c r="AA12" s="190"/>
      <c r="AB12" s="190"/>
      <c r="AC12" s="190"/>
      <c r="AD12" s="190"/>
      <c r="AE12" s="190"/>
      <c r="AF12" s="190"/>
      <c r="AG12" s="190"/>
      <c r="AH12" s="191"/>
      <c r="AI12" s="195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1"/>
      <c r="AU12" s="195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201"/>
    </row>
    <row r="13" spans="2:58" ht="13" customHeight="1" x14ac:dyDescent="0.4"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1"/>
      <c r="M13" s="195"/>
      <c r="N13" s="190"/>
      <c r="O13" s="190"/>
      <c r="P13" s="190"/>
      <c r="Q13" s="190"/>
      <c r="R13" s="190"/>
      <c r="S13" s="190"/>
      <c r="T13" s="190"/>
      <c r="U13" s="190"/>
      <c r="V13" s="190"/>
      <c r="W13" s="191"/>
      <c r="X13" s="195"/>
      <c r="Y13" s="190"/>
      <c r="Z13" s="190"/>
      <c r="AA13" s="190"/>
      <c r="AB13" s="190"/>
      <c r="AC13" s="190"/>
      <c r="AD13" s="190"/>
      <c r="AE13" s="190"/>
      <c r="AF13" s="190"/>
      <c r="AG13" s="190"/>
      <c r="AH13" s="191"/>
      <c r="AI13" s="195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1"/>
      <c r="AU13" s="195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201"/>
    </row>
    <row r="14" spans="2:58" ht="13" customHeight="1" x14ac:dyDescent="0.4">
      <c r="B14" s="189"/>
      <c r="C14" s="190"/>
      <c r="D14" s="190"/>
      <c r="E14" s="190"/>
      <c r="F14" s="190"/>
      <c r="G14" s="190"/>
      <c r="H14" s="190"/>
      <c r="I14" s="190"/>
      <c r="J14" s="190"/>
      <c r="K14" s="190"/>
      <c r="L14" s="191"/>
      <c r="M14" s="195"/>
      <c r="N14" s="190"/>
      <c r="O14" s="190"/>
      <c r="P14" s="190"/>
      <c r="Q14" s="190"/>
      <c r="R14" s="190"/>
      <c r="S14" s="190"/>
      <c r="T14" s="190"/>
      <c r="U14" s="190"/>
      <c r="V14" s="190"/>
      <c r="W14" s="191"/>
      <c r="X14" s="195"/>
      <c r="Y14" s="190"/>
      <c r="Z14" s="190"/>
      <c r="AA14" s="190"/>
      <c r="AB14" s="190"/>
      <c r="AC14" s="190"/>
      <c r="AD14" s="190"/>
      <c r="AE14" s="190"/>
      <c r="AF14" s="190"/>
      <c r="AG14" s="190"/>
      <c r="AH14" s="191"/>
      <c r="AI14" s="195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1"/>
      <c r="AU14" s="195"/>
      <c r="AV14" s="190"/>
      <c r="AW14" s="190"/>
      <c r="AX14" s="190"/>
      <c r="AY14" s="190"/>
      <c r="AZ14" s="190"/>
      <c r="BA14" s="190"/>
      <c r="BB14" s="190"/>
      <c r="BC14" s="190"/>
      <c r="BD14" s="190"/>
      <c r="BE14" s="190"/>
      <c r="BF14" s="201"/>
    </row>
    <row r="15" spans="2:58" ht="13" customHeight="1" x14ac:dyDescent="0.4">
      <c r="B15" s="189"/>
      <c r="C15" s="190"/>
      <c r="D15" s="190"/>
      <c r="E15" s="190"/>
      <c r="F15" s="190"/>
      <c r="G15" s="190"/>
      <c r="H15" s="190"/>
      <c r="I15" s="190"/>
      <c r="J15" s="190"/>
      <c r="K15" s="190"/>
      <c r="L15" s="191"/>
      <c r="M15" s="195"/>
      <c r="N15" s="190"/>
      <c r="O15" s="190"/>
      <c r="P15" s="190"/>
      <c r="Q15" s="190"/>
      <c r="R15" s="190"/>
      <c r="S15" s="190"/>
      <c r="T15" s="190"/>
      <c r="U15" s="190"/>
      <c r="V15" s="190"/>
      <c r="W15" s="191"/>
      <c r="X15" s="195"/>
      <c r="Y15" s="190"/>
      <c r="Z15" s="190"/>
      <c r="AA15" s="190"/>
      <c r="AB15" s="190"/>
      <c r="AC15" s="190"/>
      <c r="AD15" s="190"/>
      <c r="AE15" s="190"/>
      <c r="AF15" s="190"/>
      <c r="AG15" s="190"/>
      <c r="AH15" s="191"/>
      <c r="AI15" s="195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1"/>
      <c r="AU15" s="195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201"/>
    </row>
    <row r="16" spans="2:58" ht="13" customHeight="1" x14ac:dyDescent="0.4">
      <c r="B16" s="189"/>
      <c r="C16" s="190"/>
      <c r="D16" s="190"/>
      <c r="E16" s="190"/>
      <c r="F16" s="190"/>
      <c r="G16" s="190"/>
      <c r="H16" s="190"/>
      <c r="I16" s="190"/>
      <c r="J16" s="190"/>
      <c r="K16" s="190"/>
      <c r="L16" s="191"/>
      <c r="M16" s="195"/>
      <c r="N16" s="190"/>
      <c r="O16" s="190"/>
      <c r="P16" s="190"/>
      <c r="Q16" s="190"/>
      <c r="R16" s="190"/>
      <c r="S16" s="190"/>
      <c r="T16" s="190"/>
      <c r="U16" s="190"/>
      <c r="V16" s="190"/>
      <c r="W16" s="191"/>
      <c r="X16" s="195"/>
      <c r="Y16" s="190"/>
      <c r="Z16" s="190"/>
      <c r="AA16" s="190"/>
      <c r="AB16" s="190"/>
      <c r="AC16" s="190"/>
      <c r="AD16" s="190"/>
      <c r="AE16" s="190"/>
      <c r="AF16" s="190"/>
      <c r="AG16" s="190"/>
      <c r="AH16" s="191"/>
      <c r="AI16" s="195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1"/>
      <c r="AU16" s="195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201"/>
    </row>
    <row r="17" spans="2:58" ht="13" customHeight="1" x14ac:dyDescent="0.4">
      <c r="B17" s="192"/>
      <c r="C17" s="193"/>
      <c r="D17" s="193"/>
      <c r="E17" s="193"/>
      <c r="F17" s="193"/>
      <c r="G17" s="193"/>
      <c r="H17" s="193"/>
      <c r="I17" s="193"/>
      <c r="J17" s="193"/>
      <c r="K17" s="193"/>
      <c r="L17" s="166"/>
      <c r="M17" s="196"/>
      <c r="N17" s="193"/>
      <c r="O17" s="193"/>
      <c r="P17" s="193"/>
      <c r="Q17" s="193"/>
      <c r="R17" s="193"/>
      <c r="S17" s="193"/>
      <c r="T17" s="193"/>
      <c r="U17" s="193"/>
      <c r="V17" s="193"/>
      <c r="W17" s="166"/>
      <c r="X17" s="196"/>
      <c r="Y17" s="193"/>
      <c r="Z17" s="193"/>
      <c r="AA17" s="193"/>
      <c r="AB17" s="193"/>
      <c r="AC17" s="193"/>
      <c r="AD17" s="193"/>
      <c r="AE17" s="193"/>
      <c r="AF17" s="193"/>
      <c r="AG17" s="193"/>
      <c r="AH17" s="166"/>
      <c r="AI17" s="196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66"/>
      <c r="AU17" s="196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202"/>
    </row>
    <row r="18" spans="2:58" ht="13" customHeight="1" x14ac:dyDescent="0.4">
      <c r="B18" s="206" t="s">
        <v>243</v>
      </c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8" t="s">
        <v>244</v>
      </c>
      <c r="N18" s="207"/>
      <c r="O18" s="207"/>
      <c r="P18" s="207"/>
      <c r="Q18" s="207"/>
      <c r="R18" s="207"/>
      <c r="S18" s="207"/>
      <c r="T18" s="207"/>
      <c r="U18" s="207"/>
      <c r="V18" s="207"/>
      <c r="W18" s="209"/>
      <c r="X18" s="210" t="s">
        <v>245</v>
      </c>
      <c r="Y18" s="207"/>
      <c r="Z18" s="207"/>
      <c r="AA18" s="207"/>
      <c r="AB18" s="207"/>
      <c r="AC18" s="207"/>
      <c r="AD18" s="207"/>
      <c r="AE18" s="207"/>
      <c r="AF18" s="207"/>
      <c r="AG18" s="207"/>
      <c r="AH18" s="209"/>
      <c r="AI18" s="102" t="s">
        <v>246</v>
      </c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9"/>
      <c r="AU18" s="104" t="s">
        <v>247</v>
      </c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18"/>
    </row>
    <row r="19" spans="2:58" ht="13" customHeight="1" x14ac:dyDescent="0.4">
      <c r="B19" s="186"/>
      <c r="C19" s="187"/>
      <c r="D19" s="187"/>
      <c r="E19" s="187"/>
      <c r="F19" s="187"/>
      <c r="G19" s="187"/>
      <c r="H19" s="187"/>
      <c r="I19" s="187"/>
      <c r="J19" s="187"/>
      <c r="K19" s="187"/>
      <c r="L19" s="188"/>
      <c r="M19" s="204"/>
      <c r="N19" s="187"/>
      <c r="O19" s="187"/>
      <c r="P19" s="187"/>
      <c r="Q19" s="187"/>
      <c r="R19" s="187"/>
      <c r="S19" s="187"/>
      <c r="T19" s="187"/>
      <c r="U19" s="187"/>
      <c r="V19" s="187"/>
      <c r="W19" s="188"/>
      <c r="X19" s="205"/>
      <c r="Y19" s="187"/>
      <c r="Z19" s="187"/>
      <c r="AA19" s="187"/>
      <c r="AB19" s="187"/>
      <c r="AC19" s="187"/>
      <c r="AD19" s="187"/>
      <c r="AE19" s="187"/>
      <c r="AF19" s="187"/>
      <c r="AG19" s="187"/>
      <c r="AH19" s="188"/>
      <c r="AI19" s="198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8"/>
      <c r="AU19" s="203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200"/>
    </row>
    <row r="20" spans="2:58" ht="13" customHeight="1" x14ac:dyDescent="0.4">
      <c r="B20" s="189"/>
      <c r="C20" s="190"/>
      <c r="D20" s="190"/>
      <c r="E20" s="190"/>
      <c r="F20" s="190"/>
      <c r="G20" s="190"/>
      <c r="H20" s="190"/>
      <c r="I20" s="190"/>
      <c r="J20" s="190"/>
      <c r="K20" s="190"/>
      <c r="L20" s="191"/>
      <c r="M20" s="195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195"/>
      <c r="Y20" s="190"/>
      <c r="Z20" s="190"/>
      <c r="AA20" s="190"/>
      <c r="AB20" s="190"/>
      <c r="AC20" s="190"/>
      <c r="AD20" s="190"/>
      <c r="AE20" s="190"/>
      <c r="AF20" s="190"/>
      <c r="AG20" s="190"/>
      <c r="AH20" s="191"/>
      <c r="AI20" s="195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1"/>
      <c r="AU20" s="195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201"/>
    </row>
    <row r="21" spans="2:58" ht="13" customHeight="1" x14ac:dyDescent="0.4"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1"/>
      <c r="M21" s="195"/>
      <c r="N21" s="190"/>
      <c r="O21" s="190"/>
      <c r="P21" s="190"/>
      <c r="Q21" s="190"/>
      <c r="R21" s="190"/>
      <c r="S21" s="190"/>
      <c r="T21" s="190"/>
      <c r="U21" s="190"/>
      <c r="V21" s="190"/>
      <c r="W21" s="191"/>
      <c r="X21" s="195"/>
      <c r="Y21" s="190"/>
      <c r="Z21" s="190"/>
      <c r="AA21" s="190"/>
      <c r="AB21" s="190"/>
      <c r="AC21" s="190"/>
      <c r="AD21" s="190"/>
      <c r="AE21" s="190"/>
      <c r="AF21" s="190"/>
      <c r="AG21" s="190"/>
      <c r="AH21" s="191"/>
      <c r="AI21" s="195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1"/>
      <c r="AU21" s="195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201"/>
    </row>
    <row r="22" spans="2:58" ht="13" customHeight="1" x14ac:dyDescent="0.4">
      <c r="B22" s="189"/>
      <c r="C22" s="190"/>
      <c r="D22" s="190"/>
      <c r="E22" s="190"/>
      <c r="F22" s="190"/>
      <c r="G22" s="190"/>
      <c r="H22" s="190"/>
      <c r="I22" s="190"/>
      <c r="J22" s="190"/>
      <c r="K22" s="190"/>
      <c r="L22" s="191"/>
      <c r="M22" s="195"/>
      <c r="N22" s="190"/>
      <c r="O22" s="190"/>
      <c r="P22" s="190"/>
      <c r="Q22" s="190"/>
      <c r="R22" s="190"/>
      <c r="S22" s="190"/>
      <c r="T22" s="190"/>
      <c r="U22" s="190"/>
      <c r="V22" s="190"/>
      <c r="W22" s="191"/>
      <c r="X22" s="195"/>
      <c r="Y22" s="190"/>
      <c r="Z22" s="190"/>
      <c r="AA22" s="190"/>
      <c r="AB22" s="190"/>
      <c r="AC22" s="190"/>
      <c r="AD22" s="190"/>
      <c r="AE22" s="190"/>
      <c r="AF22" s="190"/>
      <c r="AG22" s="190"/>
      <c r="AH22" s="191"/>
      <c r="AI22" s="195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1"/>
      <c r="AU22" s="195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201"/>
    </row>
    <row r="23" spans="2:58" ht="13" customHeight="1" x14ac:dyDescent="0.4">
      <c r="B23" s="189"/>
      <c r="C23" s="190"/>
      <c r="D23" s="190"/>
      <c r="E23" s="190"/>
      <c r="F23" s="190"/>
      <c r="G23" s="190"/>
      <c r="H23" s="190"/>
      <c r="I23" s="190"/>
      <c r="J23" s="190"/>
      <c r="K23" s="190"/>
      <c r="L23" s="191"/>
      <c r="M23" s="195"/>
      <c r="N23" s="190"/>
      <c r="O23" s="190"/>
      <c r="P23" s="190"/>
      <c r="Q23" s="190"/>
      <c r="R23" s="190"/>
      <c r="S23" s="190"/>
      <c r="T23" s="190"/>
      <c r="U23" s="190"/>
      <c r="V23" s="190"/>
      <c r="W23" s="191"/>
      <c r="X23" s="195"/>
      <c r="Y23" s="190"/>
      <c r="Z23" s="190"/>
      <c r="AA23" s="190"/>
      <c r="AB23" s="190"/>
      <c r="AC23" s="190"/>
      <c r="AD23" s="190"/>
      <c r="AE23" s="190"/>
      <c r="AF23" s="190"/>
      <c r="AG23" s="190"/>
      <c r="AH23" s="191"/>
      <c r="AI23" s="195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1"/>
      <c r="AU23" s="195"/>
      <c r="AV23" s="190"/>
      <c r="AW23" s="190"/>
      <c r="AX23" s="190"/>
      <c r="AY23" s="190"/>
      <c r="AZ23" s="190"/>
      <c r="BA23" s="190"/>
      <c r="BB23" s="190"/>
      <c r="BC23" s="190"/>
      <c r="BD23" s="190"/>
      <c r="BE23" s="190"/>
      <c r="BF23" s="201"/>
    </row>
    <row r="24" spans="2:58" ht="13" customHeight="1" x14ac:dyDescent="0.4">
      <c r="B24" s="192"/>
      <c r="C24" s="193"/>
      <c r="D24" s="193"/>
      <c r="E24" s="193"/>
      <c r="F24" s="193"/>
      <c r="G24" s="193"/>
      <c r="H24" s="193"/>
      <c r="I24" s="193"/>
      <c r="J24" s="193"/>
      <c r="K24" s="193"/>
      <c r="L24" s="166"/>
      <c r="M24" s="196"/>
      <c r="N24" s="193"/>
      <c r="O24" s="193"/>
      <c r="P24" s="193"/>
      <c r="Q24" s="193"/>
      <c r="R24" s="193"/>
      <c r="S24" s="193"/>
      <c r="T24" s="193"/>
      <c r="U24" s="193"/>
      <c r="V24" s="193"/>
      <c r="W24" s="166"/>
      <c r="X24" s="196"/>
      <c r="Y24" s="193"/>
      <c r="Z24" s="193"/>
      <c r="AA24" s="193"/>
      <c r="AB24" s="193"/>
      <c r="AC24" s="193"/>
      <c r="AD24" s="193"/>
      <c r="AE24" s="193"/>
      <c r="AF24" s="193"/>
      <c r="AG24" s="193"/>
      <c r="AH24" s="166"/>
      <c r="AI24" s="196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66"/>
      <c r="AU24" s="196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202"/>
    </row>
    <row r="25" spans="2:58" ht="13" customHeight="1" x14ac:dyDescent="0.4">
      <c r="B25" s="206" t="s">
        <v>248</v>
      </c>
      <c r="C25" s="207"/>
      <c r="D25" s="207"/>
      <c r="E25" s="207"/>
      <c r="F25" s="207"/>
      <c r="G25" s="207"/>
      <c r="H25" s="207"/>
      <c r="I25" s="207"/>
      <c r="J25" s="207"/>
      <c r="K25" s="207"/>
      <c r="L25" s="209"/>
      <c r="M25" s="114" t="s">
        <v>249</v>
      </c>
      <c r="N25" s="207"/>
      <c r="O25" s="207"/>
      <c r="P25" s="207"/>
      <c r="Q25" s="207"/>
      <c r="R25" s="207"/>
      <c r="S25" s="207"/>
      <c r="T25" s="207"/>
      <c r="U25" s="207"/>
      <c r="V25" s="207"/>
      <c r="W25" s="209"/>
      <c r="X25" s="224" t="s">
        <v>250</v>
      </c>
      <c r="Y25" s="207"/>
      <c r="Z25" s="207"/>
      <c r="AA25" s="207"/>
      <c r="AB25" s="207"/>
      <c r="AC25" s="207"/>
      <c r="AD25" s="207"/>
      <c r="AE25" s="207"/>
      <c r="AF25" s="207"/>
      <c r="AG25" s="207"/>
      <c r="AH25" s="209"/>
      <c r="AI25" s="104" t="s">
        <v>251</v>
      </c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9"/>
      <c r="AU25" s="104" t="s">
        <v>252</v>
      </c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18"/>
    </row>
    <row r="26" spans="2:58" ht="13" customHeight="1" x14ac:dyDescent="0.4">
      <c r="B26" s="186"/>
      <c r="C26" s="187"/>
      <c r="D26" s="187"/>
      <c r="E26" s="187"/>
      <c r="F26" s="187"/>
      <c r="G26" s="187"/>
      <c r="H26" s="187"/>
      <c r="I26" s="187"/>
      <c r="J26" s="187"/>
      <c r="K26" s="187"/>
      <c r="L26" s="188"/>
      <c r="M26" s="211"/>
      <c r="N26" s="187"/>
      <c r="O26" s="187"/>
      <c r="P26" s="187"/>
      <c r="Q26" s="187"/>
      <c r="R26" s="187"/>
      <c r="S26" s="187"/>
      <c r="T26" s="187"/>
      <c r="U26" s="187"/>
      <c r="V26" s="187"/>
      <c r="W26" s="188"/>
      <c r="X26" s="197"/>
      <c r="Y26" s="187"/>
      <c r="Z26" s="187"/>
      <c r="AA26" s="187"/>
      <c r="AB26" s="187"/>
      <c r="AC26" s="187"/>
      <c r="AD26" s="187"/>
      <c r="AE26" s="187"/>
      <c r="AF26" s="187"/>
      <c r="AG26" s="187"/>
      <c r="AH26" s="188"/>
      <c r="AI26" s="203"/>
      <c r="AJ26" s="187"/>
      <c r="AK26" s="187"/>
      <c r="AL26" s="187"/>
      <c r="AM26" s="187"/>
      <c r="AN26" s="187"/>
      <c r="AO26" s="187"/>
      <c r="AP26" s="187"/>
      <c r="AQ26" s="187"/>
      <c r="AR26" s="187"/>
      <c r="AS26" s="187"/>
      <c r="AT26" s="188"/>
      <c r="AU26" s="203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200"/>
    </row>
    <row r="27" spans="2:58" ht="13" customHeight="1" x14ac:dyDescent="0.4">
      <c r="B27" s="189"/>
      <c r="C27" s="190"/>
      <c r="D27" s="190"/>
      <c r="E27" s="190"/>
      <c r="F27" s="190"/>
      <c r="G27" s="190"/>
      <c r="H27" s="190"/>
      <c r="I27" s="190"/>
      <c r="J27" s="190"/>
      <c r="K27" s="190"/>
      <c r="L27" s="191"/>
      <c r="M27" s="195"/>
      <c r="N27" s="190"/>
      <c r="O27" s="190"/>
      <c r="P27" s="190"/>
      <c r="Q27" s="190"/>
      <c r="R27" s="190"/>
      <c r="S27" s="190"/>
      <c r="T27" s="190"/>
      <c r="U27" s="190"/>
      <c r="V27" s="190"/>
      <c r="W27" s="191"/>
      <c r="X27" s="195"/>
      <c r="Y27" s="190"/>
      <c r="Z27" s="190"/>
      <c r="AA27" s="190"/>
      <c r="AB27" s="190"/>
      <c r="AC27" s="190"/>
      <c r="AD27" s="190"/>
      <c r="AE27" s="190"/>
      <c r="AF27" s="190"/>
      <c r="AG27" s="190"/>
      <c r="AH27" s="191"/>
      <c r="AI27" s="195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1"/>
      <c r="AU27" s="195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201"/>
    </row>
    <row r="28" spans="2:58" ht="13" customHeight="1" x14ac:dyDescent="0.4"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1"/>
      <c r="M28" s="195"/>
      <c r="N28" s="190"/>
      <c r="O28" s="190"/>
      <c r="P28" s="190"/>
      <c r="Q28" s="190"/>
      <c r="R28" s="190"/>
      <c r="S28" s="190"/>
      <c r="T28" s="190"/>
      <c r="U28" s="190"/>
      <c r="V28" s="190"/>
      <c r="W28" s="191"/>
      <c r="X28" s="195"/>
      <c r="Y28" s="190"/>
      <c r="Z28" s="190"/>
      <c r="AA28" s="190"/>
      <c r="AB28" s="190"/>
      <c r="AC28" s="190"/>
      <c r="AD28" s="190"/>
      <c r="AE28" s="190"/>
      <c r="AF28" s="190"/>
      <c r="AG28" s="190"/>
      <c r="AH28" s="191"/>
      <c r="AI28" s="195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1"/>
      <c r="AU28" s="195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201"/>
    </row>
    <row r="29" spans="2:58" ht="13" customHeight="1" x14ac:dyDescent="0.4"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1"/>
      <c r="M29" s="195"/>
      <c r="N29" s="190"/>
      <c r="O29" s="190"/>
      <c r="P29" s="190"/>
      <c r="Q29" s="190"/>
      <c r="R29" s="190"/>
      <c r="S29" s="190"/>
      <c r="T29" s="190"/>
      <c r="U29" s="190"/>
      <c r="V29" s="190"/>
      <c r="W29" s="191"/>
      <c r="X29" s="195"/>
      <c r="Y29" s="190"/>
      <c r="Z29" s="190"/>
      <c r="AA29" s="190"/>
      <c r="AB29" s="190"/>
      <c r="AC29" s="190"/>
      <c r="AD29" s="190"/>
      <c r="AE29" s="190"/>
      <c r="AF29" s="190"/>
      <c r="AG29" s="190"/>
      <c r="AH29" s="191"/>
      <c r="AI29" s="195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1"/>
      <c r="AU29" s="195"/>
      <c r="AV29" s="190"/>
      <c r="AW29" s="190"/>
      <c r="AX29" s="190"/>
      <c r="AY29" s="190"/>
      <c r="AZ29" s="190"/>
      <c r="BA29" s="190"/>
      <c r="BB29" s="190"/>
      <c r="BC29" s="190"/>
      <c r="BD29" s="190"/>
      <c r="BE29" s="190"/>
      <c r="BF29" s="201"/>
    </row>
    <row r="30" spans="2:58" ht="13" customHeight="1" x14ac:dyDescent="0.4">
      <c r="B30" s="189"/>
      <c r="C30" s="190"/>
      <c r="D30" s="190"/>
      <c r="E30" s="190"/>
      <c r="F30" s="190"/>
      <c r="G30" s="190"/>
      <c r="H30" s="190"/>
      <c r="I30" s="190"/>
      <c r="J30" s="190"/>
      <c r="K30" s="190"/>
      <c r="L30" s="191"/>
      <c r="M30" s="195"/>
      <c r="N30" s="190"/>
      <c r="O30" s="190"/>
      <c r="P30" s="190"/>
      <c r="Q30" s="190"/>
      <c r="R30" s="190"/>
      <c r="S30" s="190"/>
      <c r="T30" s="190"/>
      <c r="U30" s="190"/>
      <c r="V30" s="190"/>
      <c r="W30" s="191"/>
      <c r="X30" s="195"/>
      <c r="Y30" s="190"/>
      <c r="Z30" s="190"/>
      <c r="AA30" s="190"/>
      <c r="AB30" s="190"/>
      <c r="AC30" s="190"/>
      <c r="AD30" s="190"/>
      <c r="AE30" s="190"/>
      <c r="AF30" s="190"/>
      <c r="AG30" s="190"/>
      <c r="AH30" s="191"/>
      <c r="AI30" s="195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1"/>
      <c r="AU30" s="195"/>
      <c r="AV30" s="190"/>
      <c r="AW30" s="190"/>
      <c r="AX30" s="190"/>
      <c r="AY30" s="190"/>
      <c r="AZ30" s="190"/>
      <c r="BA30" s="190"/>
      <c r="BB30" s="190"/>
      <c r="BC30" s="190"/>
      <c r="BD30" s="190"/>
      <c r="BE30" s="190"/>
      <c r="BF30" s="201"/>
    </row>
    <row r="31" spans="2:58" ht="13" customHeight="1" x14ac:dyDescent="0.4">
      <c r="B31" s="192"/>
      <c r="C31" s="193"/>
      <c r="D31" s="193"/>
      <c r="E31" s="193"/>
      <c r="F31" s="193"/>
      <c r="G31" s="193"/>
      <c r="H31" s="193"/>
      <c r="I31" s="193"/>
      <c r="J31" s="193"/>
      <c r="K31" s="193"/>
      <c r="L31" s="166"/>
      <c r="M31" s="196"/>
      <c r="N31" s="193"/>
      <c r="O31" s="193"/>
      <c r="P31" s="193"/>
      <c r="Q31" s="193"/>
      <c r="R31" s="193"/>
      <c r="S31" s="193"/>
      <c r="T31" s="193"/>
      <c r="U31" s="193"/>
      <c r="V31" s="193"/>
      <c r="W31" s="166"/>
      <c r="X31" s="196"/>
      <c r="Y31" s="193"/>
      <c r="Z31" s="193"/>
      <c r="AA31" s="193"/>
      <c r="AB31" s="193"/>
      <c r="AC31" s="193"/>
      <c r="AD31" s="193"/>
      <c r="AE31" s="193"/>
      <c r="AF31" s="193"/>
      <c r="AG31" s="193"/>
      <c r="AH31" s="166"/>
      <c r="AI31" s="196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66"/>
      <c r="AU31" s="196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202"/>
    </row>
    <row r="32" spans="2:58" ht="13" customHeight="1" x14ac:dyDescent="0.4">
      <c r="B32" s="206" t="s">
        <v>253</v>
      </c>
      <c r="C32" s="207"/>
      <c r="D32" s="207"/>
      <c r="E32" s="207"/>
      <c r="F32" s="207"/>
      <c r="G32" s="207"/>
      <c r="H32" s="207"/>
      <c r="I32" s="207"/>
      <c r="J32" s="207"/>
      <c r="K32" s="207"/>
      <c r="L32" s="209"/>
      <c r="M32" s="225" t="s">
        <v>254</v>
      </c>
      <c r="N32" s="207"/>
      <c r="O32" s="207"/>
      <c r="P32" s="207"/>
      <c r="Q32" s="207"/>
      <c r="R32" s="207"/>
      <c r="S32" s="207"/>
      <c r="T32" s="207"/>
      <c r="U32" s="207"/>
      <c r="V32" s="207"/>
      <c r="W32" s="209"/>
      <c r="X32" s="224" t="s">
        <v>255</v>
      </c>
      <c r="Y32" s="207"/>
      <c r="Z32" s="207"/>
      <c r="AA32" s="207"/>
      <c r="AB32" s="207"/>
      <c r="AC32" s="207"/>
      <c r="AD32" s="207"/>
      <c r="AE32" s="207"/>
      <c r="AF32" s="207"/>
      <c r="AG32" s="207"/>
      <c r="AH32" s="209"/>
      <c r="AI32" s="104" t="s">
        <v>256</v>
      </c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9"/>
      <c r="AU32" s="104" t="s">
        <v>257</v>
      </c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18"/>
    </row>
    <row r="33" spans="2:58" ht="13" customHeight="1" x14ac:dyDescent="0.4">
      <c r="B33" s="186"/>
      <c r="C33" s="187"/>
      <c r="D33" s="187"/>
      <c r="E33" s="187"/>
      <c r="F33" s="187"/>
      <c r="G33" s="187"/>
      <c r="H33" s="187"/>
      <c r="I33" s="187"/>
      <c r="J33" s="187"/>
      <c r="K33" s="187"/>
      <c r="L33" s="188"/>
      <c r="M33" s="194"/>
      <c r="N33" s="187"/>
      <c r="O33" s="187"/>
      <c r="P33" s="187"/>
      <c r="Q33" s="187"/>
      <c r="R33" s="187"/>
      <c r="S33" s="187"/>
      <c r="T33" s="187"/>
      <c r="U33" s="187"/>
      <c r="V33" s="187"/>
      <c r="W33" s="188"/>
      <c r="X33" s="197"/>
      <c r="Y33" s="187"/>
      <c r="Z33" s="187"/>
      <c r="AA33" s="187"/>
      <c r="AB33" s="187"/>
      <c r="AC33" s="187"/>
      <c r="AD33" s="187"/>
      <c r="AE33" s="187"/>
      <c r="AF33" s="187"/>
      <c r="AG33" s="187"/>
      <c r="AH33" s="188"/>
      <c r="AI33" s="203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8"/>
      <c r="AU33" s="203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200"/>
    </row>
    <row r="34" spans="2:58" ht="13" customHeight="1" x14ac:dyDescent="0.4">
      <c r="B34" s="189"/>
      <c r="C34" s="190"/>
      <c r="D34" s="190"/>
      <c r="E34" s="190"/>
      <c r="F34" s="190"/>
      <c r="G34" s="190"/>
      <c r="H34" s="190"/>
      <c r="I34" s="190"/>
      <c r="J34" s="190"/>
      <c r="K34" s="190"/>
      <c r="L34" s="191"/>
      <c r="M34" s="195"/>
      <c r="N34" s="190"/>
      <c r="O34" s="190"/>
      <c r="P34" s="190"/>
      <c r="Q34" s="190"/>
      <c r="R34" s="190"/>
      <c r="S34" s="190"/>
      <c r="T34" s="190"/>
      <c r="U34" s="190"/>
      <c r="V34" s="190"/>
      <c r="W34" s="191"/>
      <c r="X34" s="195"/>
      <c r="Y34" s="190"/>
      <c r="Z34" s="190"/>
      <c r="AA34" s="190"/>
      <c r="AB34" s="190"/>
      <c r="AC34" s="190"/>
      <c r="AD34" s="190"/>
      <c r="AE34" s="190"/>
      <c r="AF34" s="190"/>
      <c r="AG34" s="190"/>
      <c r="AH34" s="191"/>
      <c r="AI34" s="195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1"/>
      <c r="AU34" s="195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201"/>
    </row>
    <row r="35" spans="2:58" ht="13" customHeight="1" x14ac:dyDescent="0.4">
      <c r="B35" s="189"/>
      <c r="C35" s="190"/>
      <c r="D35" s="190"/>
      <c r="E35" s="190"/>
      <c r="F35" s="190"/>
      <c r="G35" s="190"/>
      <c r="H35" s="190"/>
      <c r="I35" s="190"/>
      <c r="J35" s="190"/>
      <c r="K35" s="190"/>
      <c r="L35" s="191"/>
      <c r="M35" s="195"/>
      <c r="N35" s="190"/>
      <c r="O35" s="190"/>
      <c r="P35" s="190"/>
      <c r="Q35" s="190"/>
      <c r="R35" s="190"/>
      <c r="S35" s="190"/>
      <c r="T35" s="190"/>
      <c r="U35" s="190"/>
      <c r="V35" s="190"/>
      <c r="W35" s="191"/>
      <c r="X35" s="195"/>
      <c r="Y35" s="190"/>
      <c r="Z35" s="190"/>
      <c r="AA35" s="190"/>
      <c r="AB35" s="190"/>
      <c r="AC35" s="190"/>
      <c r="AD35" s="190"/>
      <c r="AE35" s="190"/>
      <c r="AF35" s="190"/>
      <c r="AG35" s="190"/>
      <c r="AH35" s="191"/>
      <c r="AI35" s="195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1"/>
      <c r="AU35" s="195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201"/>
    </row>
    <row r="36" spans="2:58" ht="13" customHeight="1" x14ac:dyDescent="0.4">
      <c r="B36" s="189"/>
      <c r="C36" s="190"/>
      <c r="D36" s="190"/>
      <c r="E36" s="190"/>
      <c r="F36" s="190"/>
      <c r="G36" s="190"/>
      <c r="H36" s="190"/>
      <c r="I36" s="190"/>
      <c r="J36" s="190"/>
      <c r="K36" s="190"/>
      <c r="L36" s="191"/>
      <c r="M36" s="195"/>
      <c r="N36" s="190"/>
      <c r="O36" s="190"/>
      <c r="P36" s="190"/>
      <c r="Q36" s="190"/>
      <c r="R36" s="190"/>
      <c r="S36" s="190"/>
      <c r="T36" s="190"/>
      <c r="U36" s="190"/>
      <c r="V36" s="190"/>
      <c r="W36" s="191"/>
      <c r="X36" s="195"/>
      <c r="Y36" s="190"/>
      <c r="Z36" s="190"/>
      <c r="AA36" s="190"/>
      <c r="AB36" s="190"/>
      <c r="AC36" s="190"/>
      <c r="AD36" s="190"/>
      <c r="AE36" s="190"/>
      <c r="AF36" s="190"/>
      <c r="AG36" s="190"/>
      <c r="AH36" s="191"/>
      <c r="AI36" s="195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1"/>
      <c r="AU36" s="195"/>
      <c r="AV36" s="190"/>
      <c r="AW36" s="190"/>
      <c r="AX36" s="190"/>
      <c r="AY36" s="190"/>
      <c r="AZ36" s="190"/>
      <c r="BA36" s="190"/>
      <c r="BB36" s="190"/>
      <c r="BC36" s="190"/>
      <c r="BD36" s="190"/>
      <c r="BE36" s="190"/>
      <c r="BF36" s="201"/>
    </row>
    <row r="37" spans="2:58" ht="13" customHeight="1" x14ac:dyDescent="0.4">
      <c r="B37" s="189"/>
      <c r="C37" s="190"/>
      <c r="D37" s="190"/>
      <c r="E37" s="190"/>
      <c r="F37" s="190"/>
      <c r="G37" s="190"/>
      <c r="H37" s="190"/>
      <c r="I37" s="190"/>
      <c r="J37" s="190"/>
      <c r="K37" s="190"/>
      <c r="L37" s="191"/>
      <c r="M37" s="195"/>
      <c r="N37" s="190"/>
      <c r="O37" s="190"/>
      <c r="P37" s="190"/>
      <c r="Q37" s="190"/>
      <c r="R37" s="190"/>
      <c r="S37" s="190"/>
      <c r="T37" s="190"/>
      <c r="U37" s="190"/>
      <c r="V37" s="190"/>
      <c r="W37" s="191"/>
      <c r="X37" s="195"/>
      <c r="Y37" s="190"/>
      <c r="Z37" s="190"/>
      <c r="AA37" s="190"/>
      <c r="AB37" s="190"/>
      <c r="AC37" s="190"/>
      <c r="AD37" s="190"/>
      <c r="AE37" s="190"/>
      <c r="AF37" s="190"/>
      <c r="AG37" s="190"/>
      <c r="AH37" s="191"/>
      <c r="AI37" s="195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1"/>
      <c r="AU37" s="195"/>
      <c r="AV37" s="190"/>
      <c r="AW37" s="190"/>
      <c r="AX37" s="190"/>
      <c r="AY37" s="190"/>
      <c r="AZ37" s="190"/>
      <c r="BA37" s="190"/>
      <c r="BB37" s="190"/>
      <c r="BC37" s="190"/>
      <c r="BD37" s="190"/>
      <c r="BE37" s="190"/>
      <c r="BF37" s="201"/>
    </row>
    <row r="38" spans="2:58" ht="13" customHeight="1" x14ac:dyDescent="0.4">
      <c r="B38" s="192"/>
      <c r="C38" s="193"/>
      <c r="D38" s="193"/>
      <c r="E38" s="193"/>
      <c r="F38" s="193"/>
      <c r="G38" s="193"/>
      <c r="H38" s="193"/>
      <c r="I38" s="193"/>
      <c r="J38" s="193"/>
      <c r="K38" s="193"/>
      <c r="L38" s="166"/>
      <c r="M38" s="196"/>
      <c r="N38" s="193"/>
      <c r="O38" s="193"/>
      <c r="P38" s="193"/>
      <c r="Q38" s="193"/>
      <c r="R38" s="193"/>
      <c r="S38" s="193"/>
      <c r="T38" s="193"/>
      <c r="U38" s="193"/>
      <c r="V38" s="193"/>
      <c r="W38" s="166"/>
      <c r="X38" s="196"/>
      <c r="Y38" s="193"/>
      <c r="Z38" s="193"/>
      <c r="AA38" s="193"/>
      <c r="AB38" s="193"/>
      <c r="AC38" s="193"/>
      <c r="AD38" s="193"/>
      <c r="AE38" s="193"/>
      <c r="AF38" s="193"/>
      <c r="AG38" s="193"/>
      <c r="AH38" s="166"/>
      <c r="AI38" s="196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66"/>
      <c r="AU38" s="196"/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202"/>
    </row>
    <row r="39" spans="2:58" ht="13" customHeight="1" x14ac:dyDescent="0.4">
      <c r="B39" s="206" t="s">
        <v>258</v>
      </c>
      <c r="C39" s="207"/>
      <c r="D39" s="207"/>
      <c r="E39" s="207"/>
      <c r="F39" s="207"/>
      <c r="G39" s="207"/>
      <c r="H39" s="207"/>
      <c r="I39" s="207"/>
      <c r="J39" s="207"/>
      <c r="K39" s="207"/>
      <c r="L39" s="209"/>
      <c r="M39" s="225" t="s">
        <v>259</v>
      </c>
      <c r="N39" s="207"/>
      <c r="O39" s="207"/>
      <c r="P39" s="207"/>
      <c r="Q39" s="207"/>
      <c r="R39" s="207"/>
      <c r="S39" s="207"/>
      <c r="T39" s="207"/>
      <c r="U39" s="207"/>
      <c r="V39" s="207"/>
      <c r="W39" s="209"/>
      <c r="X39" s="224" t="s">
        <v>260</v>
      </c>
      <c r="Y39" s="207"/>
      <c r="Z39" s="207"/>
      <c r="AA39" s="207"/>
      <c r="AB39" s="207"/>
      <c r="AC39" s="207"/>
      <c r="AD39" s="207"/>
      <c r="AE39" s="207"/>
      <c r="AF39" s="207"/>
      <c r="AG39" s="207"/>
      <c r="AH39" s="209"/>
      <c r="AI39" s="104" t="s">
        <v>261</v>
      </c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9"/>
      <c r="AU39" s="104" t="s">
        <v>262</v>
      </c>
      <c r="AV39" s="207"/>
      <c r="AW39" s="207"/>
      <c r="AX39" s="207"/>
      <c r="AY39" s="207"/>
      <c r="AZ39" s="207"/>
      <c r="BA39" s="207"/>
      <c r="BB39" s="207"/>
      <c r="BC39" s="207"/>
      <c r="BD39" s="207"/>
      <c r="BE39" s="207"/>
      <c r="BF39" s="218"/>
    </row>
    <row r="40" spans="2:58" ht="13" customHeight="1" x14ac:dyDescent="0.4">
      <c r="B40" s="186"/>
      <c r="C40" s="187"/>
      <c r="D40" s="187"/>
      <c r="E40" s="187"/>
      <c r="F40" s="187"/>
      <c r="G40" s="187"/>
      <c r="H40" s="187"/>
      <c r="I40" s="187"/>
      <c r="J40" s="187"/>
      <c r="K40" s="187"/>
      <c r="L40" s="188"/>
      <c r="M40" s="194"/>
      <c r="N40" s="187"/>
      <c r="O40" s="187"/>
      <c r="P40" s="187"/>
      <c r="Q40" s="187"/>
      <c r="R40" s="187"/>
      <c r="S40" s="187"/>
      <c r="T40" s="187"/>
      <c r="U40" s="187"/>
      <c r="V40" s="187"/>
      <c r="W40" s="188"/>
      <c r="X40" s="197"/>
      <c r="Y40" s="187"/>
      <c r="Z40" s="187"/>
      <c r="AA40" s="187"/>
      <c r="AB40" s="187"/>
      <c r="AC40" s="187"/>
      <c r="AD40" s="187"/>
      <c r="AE40" s="187"/>
      <c r="AF40" s="187"/>
      <c r="AG40" s="187"/>
      <c r="AH40" s="188"/>
      <c r="AI40" s="203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8"/>
      <c r="AU40" s="203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200"/>
    </row>
    <row r="41" spans="2:58" ht="13" customHeight="1" x14ac:dyDescent="0.4">
      <c r="B41" s="189"/>
      <c r="C41" s="190"/>
      <c r="D41" s="190"/>
      <c r="E41" s="190"/>
      <c r="F41" s="190"/>
      <c r="G41" s="190"/>
      <c r="H41" s="190"/>
      <c r="I41" s="190"/>
      <c r="J41" s="190"/>
      <c r="K41" s="190"/>
      <c r="L41" s="191"/>
      <c r="M41" s="195"/>
      <c r="N41" s="190"/>
      <c r="O41" s="190"/>
      <c r="P41" s="190"/>
      <c r="Q41" s="190"/>
      <c r="R41" s="190"/>
      <c r="S41" s="190"/>
      <c r="T41" s="190"/>
      <c r="U41" s="190"/>
      <c r="V41" s="190"/>
      <c r="W41" s="191"/>
      <c r="X41" s="195"/>
      <c r="Y41" s="190"/>
      <c r="Z41" s="190"/>
      <c r="AA41" s="190"/>
      <c r="AB41" s="190"/>
      <c r="AC41" s="190"/>
      <c r="AD41" s="190"/>
      <c r="AE41" s="190"/>
      <c r="AF41" s="190"/>
      <c r="AG41" s="190"/>
      <c r="AH41" s="191"/>
      <c r="AI41" s="195"/>
      <c r="AJ41" s="190"/>
      <c r="AK41" s="190"/>
      <c r="AL41" s="190"/>
      <c r="AM41" s="190"/>
      <c r="AN41" s="190"/>
      <c r="AO41" s="190"/>
      <c r="AP41" s="190"/>
      <c r="AQ41" s="190"/>
      <c r="AR41" s="190"/>
      <c r="AS41" s="190"/>
      <c r="AT41" s="191"/>
      <c r="AU41" s="195"/>
      <c r="AV41" s="190"/>
      <c r="AW41" s="190"/>
      <c r="AX41" s="190"/>
      <c r="AY41" s="190"/>
      <c r="AZ41" s="190"/>
      <c r="BA41" s="190"/>
      <c r="BB41" s="190"/>
      <c r="BC41" s="190"/>
      <c r="BD41" s="190"/>
      <c r="BE41" s="190"/>
      <c r="BF41" s="201"/>
    </row>
    <row r="42" spans="2:58" ht="13" customHeight="1" x14ac:dyDescent="0.4">
      <c r="B42" s="189"/>
      <c r="C42" s="190"/>
      <c r="D42" s="190"/>
      <c r="E42" s="190"/>
      <c r="F42" s="190"/>
      <c r="G42" s="190"/>
      <c r="H42" s="190"/>
      <c r="I42" s="190"/>
      <c r="J42" s="190"/>
      <c r="K42" s="190"/>
      <c r="L42" s="191"/>
      <c r="M42" s="195"/>
      <c r="N42" s="190"/>
      <c r="O42" s="190"/>
      <c r="P42" s="190"/>
      <c r="Q42" s="190"/>
      <c r="R42" s="190"/>
      <c r="S42" s="190"/>
      <c r="T42" s="190"/>
      <c r="U42" s="190"/>
      <c r="V42" s="190"/>
      <c r="W42" s="191"/>
      <c r="X42" s="195"/>
      <c r="Y42" s="190"/>
      <c r="Z42" s="190"/>
      <c r="AA42" s="190"/>
      <c r="AB42" s="190"/>
      <c r="AC42" s="190"/>
      <c r="AD42" s="190"/>
      <c r="AE42" s="190"/>
      <c r="AF42" s="190"/>
      <c r="AG42" s="190"/>
      <c r="AH42" s="191"/>
      <c r="AI42" s="195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1"/>
      <c r="AU42" s="195"/>
      <c r="AV42" s="190"/>
      <c r="AW42" s="190"/>
      <c r="AX42" s="190"/>
      <c r="AY42" s="190"/>
      <c r="AZ42" s="190"/>
      <c r="BA42" s="190"/>
      <c r="BB42" s="190"/>
      <c r="BC42" s="190"/>
      <c r="BD42" s="190"/>
      <c r="BE42" s="190"/>
      <c r="BF42" s="201"/>
    </row>
    <row r="43" spans="2:58" ht="13" customHeight="1" x14ac:dyDescent="0.4">
      <c r="B43" s="189"/>
      <c r="C43" s="190"/>
      <c r="D43" s="190"/>
      <c r="E43" s="190"/>
      <c r="F43" s="190"/>
      <c r="G43" s="190"/>
      <c r="H43" s="190"/>
      <c r="I43" s="190"/>
      <c r="J43" s="190"/>
      <c r="K43" s="190"/>
      <c r="L43" s="191"/>
      <c r="M43" s="195"/>
      <c r="N43" s="190"/>
      <c r="O43" s="190"/>
      <c r="P43" s="190"/>
      <c r="Q43" s="190"/>
      <c r="R43" s="190"/>
      <c r="S43" s="190"/>
      <c r="T43" s="190"/>
      <c r="U43" s="190"/>
      <c r="V43" s="190"/>
      <c r="W43" s="191"/>
      <c r="X43" s="195"/>
      <c r="Y43" s="190"/>
      <c r="Z43" s="190"/>
      <c r="AA43" s="190"/>
      <c r="AB43" s="190"/>
      <c r="AC43" s="190"/>
      <c r="AD43" s="190"/>
      <c r="AE43" s="190"/>
      <c r="AF43" s="190"/>
      <c r="AG43" s="190"/>
      <c r="AH43" s="191"/>
      <c r="AI43" s="195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1"/>
      <c r="AU43" s="195"/>
      <c r="AV43" s="190"/>
      <c r="AW43" s="190"/>
      <c r="AX43" s="190"/>
      <c r="AY43" s="190"/>
      <c r="AZ43" s="190"/>
      <c r="BA43" s="190"/>
      <c r="BB43" s="190"/>
      <c r="BC43" s="190"/>
      <c r="BD43" s="190"/>
      <c r="BE43" s="190"/>
      <c r="BF43" s="201"/>
    </row>
    <row r="44" spans="2:58" ht="13" customHeight="1" x14ac:dyDescent="0.4"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1"/>
      <c r="M44" s="195"/>
      <c r="N44" s="190"/>
      <c r="O44" s="190"/>
      <c r="P44" s="190"/>
      <c r="Q44" s="190"/>
      <c r="R44" s="190"/>
      <c r="S44" s="190"/>
      <c r="T44" s="190"/>
      <c r="U44" s="190"/>
      <c r="V44" s="190"/>
      <c r="W44" s="191"/>
      <c r="X44" s="195"/>
      <c r="Y44" s="190"/>
      <c r="Z44" s="190"/>
      <c r="AA44" s="190"/>
      <c r="AB44" s="190"/>
      <c r="AC44" s="190"/>
      <c r="AD44" s="190"/>
      <c r="AE44" s="190"/>
      <c r="AF44" s="190"/>
      <c r="AG44" s="190"/>
      <c r="AH44" s="191"/>
      <c r="AI44" s="195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1"/>
      <c r="AU44" s="195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201"/>
    </row>
    <row r="45" spans="2:58" ht="13" customHeight="1" x14ac:dyDescent="0.4">
      <c r="B45" s="192"/>
      <c r="C45" s="193"/>
      <c r="D45" s="193"/>
      <c r="E45" s="193"/>
      <c r="F45" s="193"/>
      <c r="G45" s="193"/>
      <c r="H45" s="193"/>
      <c r="I45" s="193"/>
      <c r="J45" s="193"/>
      <c r="K45" s="193"/>
      <c r="L45" s="166"/>
      <c r="M45" s="196"/>
      <c r="N45" s="193"/>
      <c r="O45" s="193"/>
      <c r="P45" s="193"/>
      <c r="Q45" s="193"/>
      <c r="R45" s="193"/>
      <c r="S45" s="193"/>
      <c r="T45" s="193"/>
      <c r="U45" s="193"/>
      <c r="V45" s="193"/>
      <c r="W45" s="166"/>
      <c r="X45" s="196"/>
      <c r="Y45" s="193"/>
      <c r="Z45" s="193"/>
      <c r="AA45" s="193"/>
      <c r="AB45" s="193"/>
      <c r="AC45" s="193"/>
      <c r="AD45" s="193"/>
      <c r="AE45" s="193"/>
      <c r="AF45" s="193"/>
      <c r="AG45" s="193"/>
      <c r="AH45" s="166"/>
      <c r="AI45" s="196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66"/>
      <c r="AU45" s="196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202"/>
    </row>
    <row r="46" spans="2:58" ht="13" customHeight="1" x14ac:dyDescent="0.4">
      <c r="B46" s="206" t="s">
        <v>263</v>
      </c>
      <c r="C46" s="207"/>
      <c r="D46" s="207"/>
      <c r="E46" s="207"/>
      <c r="F46" s="207"/>
      <c r="G46" s="207"/>
      <c r="H46" s="207"/>
      <c r="I46" s="207"/>
      <c r="J46" s="207"/>
      <c r="K46" s="207"/>
      <c r="L46" s="209"/>
      <c r="M46" s="114" t="s">
        <v>264</v>
      </c>
      <c r="N46" s="207"/>
      <c r="O46" s="207"/>
      <c r="P46" s="207"/>
      <c r="Q46" s="207"/>
      <c r="R46" s="207"/>
      <c r="S46" s="207"/>
      <c r="T46" s="207"/>
      <c r="U46" s="207"/>
      <c r="V46" s="207"/>
      <c r="W46" s="209"/>
      <c r="X46" s="224" t="s">
        <v>265</v>
      </c>
      <c r="Y46" s="207"/>
      <c r="Z46" s="207"/>
      <c r="AA46" s="207"/>
      <c r="AB46" s="207"/>
      <c r="AC46" s="207"/>
      <c r="AD46" s="207"/>
      <c r="AE46" s="207"/>
      <c r="AF46" s="207"/>
      <c r="AG46" s="207"/>
      <c r="AH46" s="209"/>
      <c r="AI46" s="104" t="s">
        <v>266</v>
      </c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9"/>
      <c r="AU46" s="104" t="s">
        <v>267</v>
      </c>
      <c r="AV46" s="207"/>
      <c r="AW46" s="207"/>
      <c r="AX46" s="207"/>
      <c r="AY46" s="207"/>
      <c r="AZ46" s="207"/>
      <c r="BA46" s="207"/>
      <c r="BB46" s="207"/>
      <c r="BC46" s="207"/>
      <c r="BD46" s="207"/>
      <c r="BE46" s="207"/>
      <c r="BF46" s="218"/>
    </row>
    <row r="47" spans="2:58" ht="13" customHeight="1" x14ac:dyDescent="0.4">
      <c r="B47" s="186"/>
      <c r="C47" s="187"/>
      <c r="D47" s="187"/>
      <c r="E47" s="187"/>
      <c r="F47" s="187"/>
      <c r="G47" s="187"/>
      <c r="H47" s="187"/>
      <c r="I47" s="187"/>
      <c r="J47" s="187"/>
      <c r="K47" s="187"/>
      <c r="L47" s="188"/>
      <c r="M47" s="194"/>
      <c r="N47" s="187"/>
      <c r="O47" s="187"/>
      <c r="P47" s="187"/>
      <c r="Q47" s="187"/>
      <c r="R47" s="187"/>
      <c r="S47" s="187"/>
      <c r="T47" s="187"/>
      <c r="U47" s="187"/>
      <c r="V47" s="187"/>
      <c r="W47" s="188"/>
      <c r="X47" s="197"/>
      <c r="Y47" s="187"/>
      <c r="Z47" s="187"/>
      <c r="AA47" s="187"/>
      <c r="AB47" s="187"/>
      <c r="AC47" s="187"/>
      <c r="AD47" s="187"/>
      <c r="AE47" s="187"/>
      <c r="AF47" s="187"/>
      <c r="AG47" s="187"/>
      <c r="AH47" s="188"/>
      <c r="AI47" s="203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8"/>
      <c r="AU47" s="203"/>
      <c r="AV47" s="187"/>
      <c r="AW47" s="187"/>
      <c r="AX47" s="187"/>
      <c r="AY47" s="187"/>
      <c r="AZ47" s="187"/>
      <c r="BA47" s="187"/>
      <c r="BB47" s="187"/>
      <c r="BC47" s="187"/>
      <c r="BD47" s="187"/>
      <c r="BE47" s="187"/>
      <c r="BF47" s="200"/>
    </row>
    <row r="48" spans="2:58" ht="13" customHeight="1" x14ac:dyDescent="0.4">
      <c r="B48" s="189"/>
      <c r="C48" s="190"/>
      <c r="D48" s="190"/>
      <c r="E48" s="190"/>
      <c r="F48" s="190"/>
      <c r="G48" s="190"/>
      <c r="H48" s="190"/>
      <c r="I48" s="190"/>
      <c r="J48" s="190"/>
      <c r="K48" s="190"/>
      <c r="L48" s="191"/>
      <c r="M48" s="195"/>
      <c r="N48" s="190"/>
      <c r="O48" s="190"/>
      <c r="P48" s="190"/>
      <c r="Q48" s="190"/>
      <c r="R48" s="190"/>
      <c r="S48" s="190"/>
      <c r="T48" s="190"/>
      <c r="U48" s="190"/>
      <c r="V48" s="190"/>
      <c r="W48" s="191"/>
      <c r="X48" s="195"/>
      <c r="Y48" s="190"/>
      <c r="Z48" s="190"/>
      <c r="AA48" s="190"/>
      <c r="AB48" s="190"/>
      <c r="AC48" s="190"/>
      <c r="AD48" s="190"/>
      <c r="AE48" s="190"/>
      <c r="AF48" s="190"/>
      <c r="AG48" s="190"/>
      <c r="AH48" s="191"/>
      <c r="AI48" s="195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1"/>
      <c r="AU48" s="195"/>
      <c r="AV48" s="190"/>
      <c r="AW48" s="190"/>
      <c r="AX48" s="190"/>
      <c r="AY48" s="190"/>
      <c r="AZ48" s="190"/>
      <c r="BA48" s="190"/>
      <c r="BB48" s="190"/>
      <c r="BC48" s="190"/>
      <c r="BD48" s="190"/>
      <c r="BE48" s="190"/>
      <c r="BF48" s="201"/>
    </row>
    <row r="49" spans="2:58" ht="13" customHeight="1" x14ac:dyDescent="0.4">
      <c r="B49" s="189"/>
      <c r="C49" s="190"/>
      <c r="D49" s="190"/>
      <c r="E49" s="190"/>
      <c r="F49" s="190"/>
      <c r="G49" s="190"/>
      <c r="H49" s="190"/>
      <c r="I49" s="190"/>
      <c r="J49" s="190"/>
      <c r="K49" s="190"/>
      <c r="L49" s="191"/>
      <c r="M49" s="195"/>
      <c r="N49" s="190"/>
      <c r="O49" s="190"/>
      <c r="P49" s="190"/>
      <c r="Q49" s="190"/>
      <c r="R49" s="190"/>
      <c r="S49" s="190"/>
      <c r="T49" s="190"/>
      <c r="U49" s="190"/>
      <c r="V49" s="190"/>
      <c r="W49" s="191"/>
      <c r="X49" s="195"/>
      <c r="Y49" s="190"/>
      <c r="Z49" s="190"/>
      <c r="AA49" s="190"/>
      <c r="AB49" s="190"/>
      <c r="AC49" s="190"/>
      <c r="AD49" s="190"/>
      <c r="AE49" s="190"/>
      <c r="AF49" s="190"/>
      <c r="AG49" s="190"/>
      <c r="AH49" s="191"/>
      <c r="AI49" s="195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1"/>
      <c r="AU49" s="195"/>
      <c r="AV49" s="190"/>
      <c r="AW49" s="190"/>
      <c r="AX49" s="190"/>
      <c r="AY49" s="190"/>
      <c r="AZ49" s="190"/>
      <c r="BA49" s="190"/>
      <c r="BB49" s="190"/>
      <c r="BC49" s="190"/>
      <c r="BD49" s="190"/>
      <c r="BE49" s="190"/>
      <c r="BF49" s="201"/>
    </row>
    <row r="50" spans="2:58" ht="13" customHeight="1" x14ac:dyDescent="0.4">
      <c r="B50" s="189"/>
      <c r="C50" s="190"/>
      <c r="D50" s="190"/>
      <c r="E50" s="190"/>
      <c r="F50" s="190"/>
      <c r="G50" s="190"/>
      <c r="H50" s="190"/>
      <c r="I50" s="190"/>
      <c r="J50" s="190"/>
      <c r="K50" s="190"/>
      <c r="L50" s="191"/>
      <c r="M50" s="195"/>
      <c r="N50" s="190"/>
      <c r="O50" s="190"/>
      <c r="P50" s="190"/>
      <c r="Q50" s="190"/>
      <c r="R50" s="190"/>
      <c r="S50" s="190"/>
      <c r="T50" s="190"/>
      <c r="U50" s="190"/>
      <c r="V50" s="190"/>
      <c r="W50" s="191"/>
      <c r="X50" s="195"/>
      <c r="Y50" s="190"/>
      <c r="Z50" s="190"/>
      <c r="AA50" s="190"/>
      <c r="AB50" s="190"/>
      <c r="AC50" s="190"/>
      <c r="AD50" s="190"/>
      <c r="AE50" s="190"/>
      <c r="AF50" s="190"/>
      <c r="AG50" s="190"/>
      <c r="AH50" s="191"/>
      <c r="AI50" s="195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1"/>
      <c r="AU50" s="195"/>
      <c r="AV50" s="190"/>
      <c r="AW50" s="190"/>
      <c r="AX50" s="190"/>
      <c r="AY50" s="190"/>
      <c r="AZ50" s="190"/>
      <c r="BA50" s="190"/>
      <c r="BB50" s="190"/>
      <c r="BC50" s="190"/>
      <c r="BD50" s="190"/>
      <c r="BE50" s="190"/>
      <c r="BF50" s="201"/>
    </row>
    <row r="51" spans="2:58" ht="13" customHeight="1" x14ac:dyDescent="0.4">
      <c r="B51" s="189"/>
      <c r="C51" s="190"/>
      <c r="D51" s="190"/>
      <c r="E51" s="190"/>
      <c r="F51" s="190"/>
      <c r="G51" s="190"/>
      <c r="H51" s="190"/>
      <c r="I51" s="190"/>
      <c r="J51" s="190"/>
      <c r="K51" s="190"/>
      <c r="L51" s="191"/>
      <c r="M51" s="195"/>
      <c r="N51" s="190"/>
      <c r="O51" s="190"/>
      <c r="P51" s="190"/>
      <c r="Q51" s="190"/>
      <c r="R51" s="190"/>
      <c r="S51" s="190"/>
      <c r="T51" s="190"/>
      <c r="U51" s="190"/>
      <c r="V51" s="190"/>
      <c r="W51" s="191"/>
      <c r="X51" s="195"/>
      <c r="Y51" s="190"/>
      <c r="Z51" s="190"/>
      <c r="AA51" s="190"/>
      <c r="AB51" s="190"/>
      <c r="AC51" s="190"/>
      <c r="AD51" s="190"/>
      <c r="AE51" s="190"/>
      <c r="AF51" s="190"/>
      <c r="AG51" s="190"/>
      <c r="AH51" s="191"/>
      <c r="AI51" s="195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1"/>
      <c r="AU51" s="195"/>
      <c r="AV51" s="190"/>
      <c r="AW51" s="190"/>
      <c r="AX51" s="190"/>
      <c r="AY51" s="190"/>
      <c r="AZ51" s="190"/>
      <c r="BA51" s="190"/>
      <c r="BB51" s="190"/>
      <c r="BC51" s="190"/>
      <c r="BD51" s="190"/>
      <c r="BE51" s="190"/>
      <c r="BF51" s="201"/>
    </row>
    <row r="52" spans="2:58" ht="13" customHeight="1" x14ac:dyDescent="0.4">
      <c r="B52" s="192"/>
      <c r="C52" s="193"/>
      <c r="D52" s="193"/>
      <c r="E52" s="193"/>
      <c r="F52" s="193"/>
      <c r="G52" s="193"/>
      <c r="H52" s="193"/>
      <c r="I52" s="193"/>
      <c r="J52" s="193"/>
      <c r="K52" s="193"/>
      <c r="L52" s="166"/>
      <c r="M52" s="196"/>
      <c r="N52" s="193"/>
      <c r="O52" s="193"/>
      <c r="P52" s="193"/>
      <c r="Q52" s="193"/>
      <c r="R52" s="193"/>
      <c r="S52" s="193"/>
      <c r="T52" s="193"/>
      <c r="U52" s="193"/>
      <c r="V52" s="193"/>
      <c r="W52" s="166"/>
      <c r="X52" s="196"/>
      <c r="Y52" s="193"/>
      <c r="Z52" s="193"/>
      <c r="AA52" s="193"/>
      <c r="AB52" s="193"/>
      <c r="AC52" s="193"/>
      <c r="AD52" s="193"/>
      <c r="AE52" s="193"/>
      <c r="AF52" s="193"/>
      <c r="AG52" s="193"/>
      <c r="AH52" s="166"/>
      <c r="AI52" s="196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66"/>
      <c r="AU52" s="196"/>
      <c r="AV52" s="193"/>
      <c r="AW52" s="193"/>
      <c r="AX52" s="193"/>
      <c r="AY52" s="193"/>
      <c r="AZ52" s="193"/>
      <c r="BA52" s="193"/>
      <c r="BB52" s="193"/>
      <c r="BC52" s="193"/>
      <c r="BD52" s="193"/>
      <c r="BE52" s="193"/>
      <c r="BF52" s="202"/>
    </row>
    <row r="53" spans="2:58" ht="13" customHeight="1" x14ac:dyDescent="0.4">
      <c r="B53" s="206" t="s">
        <v>268</v>
      </c>
      <c r="C53" s="207"/>
      <c r="D53" s="207"/>
      <c r="E53" s="207"/>
      <c r="F53" s="207"/>
      <c r="G53" s="207"/>
      <c r="H53" s="207"/>
      <c r="I53" s="207"/>
      <c r="J53" s="207"/>
      <c r="K53" s="207"/>
      <c r="L53" s="209"/>
      <c r="M53" s="225" t="s">
        <v>269</v>
      </c>
      <c r="N53" s="207"/>
      <c r="O53" s="207"/>
      <c r="P53" s="207"/>
      <c r="Q53" s="207"/>
      <c r="R53" s="207"/>
      <c r="S53" s="207"/>
      <c r="T53" s="207"/>
      <c r="U53" s="207"/>
      <c r="V53" s="207"/>
      <c r="W53" s="209"/>
      <c r="X53" s="224" t="s">
        <v>270</v>
      </c>
      <c r="Y53" s="207"/>
      <c r="Z53" s="207"/>
      <c r="AA53" s="207"/>
      <c r="AB53" s="207"/>
      <c r="AC53" s="207"/>
      <c r="AD53" s="207"/>
      <c r="AE53" s="207"/>
      <c r="AF53" s="207"/>
      <c r="AG53" s="207"/>
      <c r="AH53" s="209"/>
      <c r="AI53" s="104" t="s">
        <v>271</v>
      </c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  <c r="AT53" s="209"/>
      <c r="AU53" s="104" t="s">
        <v>272</v>
      </c>
      <c r="AV53" s="207"/>
      <c r="AW53" s="207"/>
      <c r="AX53" s="207"/>
      <c r="AY53" s="207"/>
      <c r="AZ53" s="207"/>
      <c r="BA53" s="207"/>
      <c r="BB53" s="207"/>
      <c r="BC53" s="207"/>
      <c r="BD53" s="207"/>
      <c r="BE53" s="207"/>
      <c r="BF53" s="218"/>
    </row>
    <row r="54" spans="2:58" ht="13" customHeight="1" x14ac:dyDescent="0.4">
      <c r="B54" s="186"/>
      <c r="C54" s="187"/>
      <c r="D54" s="187"/>
      <c r="E54" s="187"/>
      <c r="F54" s="187"/>
      <c r="G54" s="187"/>
      <c r="H54" s="187"/>
      <c r="I54" s="187"/>
      <c r="J54" s="187"/>
      <c r="K54" s="187"/>
      <c r="L54" s="188"/>
      <c r="M54" s="211"/>
      <c r="N54" s="187"/>
      <c r="O54" s="187"/>
      <c r="P54" s="187"/>
      <c r="Q54" s="187"/>
      <c r="R54" s="187"/>
      <c r="S54" s="187"/>
      <c r="T54" s="187"/>
      <c r="U54" s="187"/>
      <c r="V54" s="187"/>
      <c r="W54" s="188"/>
      <c r="X54" s="197"/>
      <c r="Y54" s="187"/>
      <c r="Z54" s="187"/>
      <c r="AA54" s="187"/>
      <c r="AB54" s="187"/>
      <c r="AC54" s="187"/>
      <c r="AD54" s="187"/>
      <c r="AE54" s="187"/>
      <c r="AF54" s="187"/>
      <c r="AG54" s="187"/>
      <c r="AH54" s="188"/>
      <c r="AI54" s="203"/>
      <c r="AJ54" s="187"/>
      <c r="AK54" s="187"/>
      <c r="AL54" s="187"/>
      <c r="AM54" s="187"/>
      <c r="AN54" s="187"/>
      <c r="AO54" s="187"/>
      <c r="AP54" s="187"/>
      <c r="AQ54" s="187"/>
      <c r="AR54" s="187"/>
      <c r="AS54" s="187"/>
      <c r="AT54" s="188"/>
      <c r="AU54" s="203"/>
      <c r="AV54" s="187"/>
      <c r="AW54" s="187"/>
      <c r="AX54" s="187"/>
      <c r="AY54" s="187"/>
      <c r="AZ54" s="187"/>
      <c r="BA54" s="187"/>
      <c r="BB54" s="187"/>
      <c r="BC54" s="187"/>
      <c r="BD54" s="187"/>
      <c r="BE54" s="187"/>
      <c r="BF54" s="200"/>
    </row>
    <row r="55" spans="2:58" ht="13" customHeight="1" x14ac:dyDescent="0.4">
      <c r="B55" s="189"/>
      <c r="C55" s="190"/>
      <c r="D55" s="190"/>
      <c r="E55" s="190"/>
      <c r="F55" s="190"/>
      <c r="G55" s="190"/>
      <c r="H55" s="190"/>
      <c r="I55" s="190"/>
      <c r="J55" s="190"/>
      <c r="K55" s="190"/>
      <c r="L55" s="191"/>
      <c r="M55" s="195"/>
      <c r="N55" s="190"/>
      <c r="O55" s="190"/>
      <c r="P55" s="190"/>
      <c r="Q55" s="190"/>
      <c r="R55" s="190"/>
      <c r="S55" s="190"/>
      <c r="T55" s="190"/>
      <c r="U55" s="190"/>
      <c r="V55" s="190"/>
      <c r="W55" s="191"/>
      <c r="X55" s="195"/>
      <c r="Y55" s="190"/>
      <c r="Z55" s="190"/>
      <c r="AA55" s="190"/>
      <c r="AB55" s="190"/>
      <c r="AC55" s="190"/>
      <c r="AD55" s="190"/>
      <c r="AE55" s="190"/>
      <c r="AF55" s="190"/>
      <c r="AG55" s="190"/>
      <c r="AH55" s="191"/>
      <c r="AI55" s="195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1"/>
      <c r="AU55" s="195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201"/>
    </row>
    <row r="56" spans="2:58" ht="13" customHeight="1" x14ac:dyDescent="0.4">
      <c r="B56" s="189"/>
      <c r="C56" s="190"/>
      <c r="D56" s="190"/>
      <c r="E56" s="190"/>
      <c r="F56" s="190"/>
      <c r="G56" s="190"/>
      <c r="H56" s="190"/>
      <c r="I56" s="190"/>
      <c r="J56" s="190"/>
      <c r="K56" s="190"/>
      <c r="L56" s="191"/>
      <c r="M56" s="195"/>
      <c r="N56" s="190"/>
      <c r="O56" s="190"/>
      <c r="P56" s="190"/>
      <c r="Q56" s="190"/>
      <c r="R56" s="190"/>
      <c r="S56" s="190"/>
      <c r="T56" s="190"/>
      <c r="U56" s="190"/>
      <c r="V56" s="190"/>
      <c r="W56" s="191"/>
      <c r="X56" s="195"/>
      <c r="Y56" s="190"/>
      <c r="Z56" s="190"/>
      <c r="AA56" s="190"/>
      <c r="AB56" s="190"/>
      <c r="AC56" s="190"/>
      <c r="AD56" s="190"/>
      <c r="AE56" s="190"/>
      <c r="AF56" s="190"/>
      <c r="AG56" s="190"/>
      <c r="AH56" s="191"/>
      <c r="AI56" s="195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1"/>
      <c r="AU56" s="195"/>
      <c r="AV56" s="190"/>
      <c r="AW56" s="190"/>
      <c r="AX56" s="190"/>
      <c r="AY56" s="190"/>
      <c r="AZ56" s="190"/>
      <c r="BA56" s="190"/>
      <c r="BB56" s="190"/>
      <c r="BC56" s="190"/>
      <c r="BD56" s="190"/>
      <c r="BE56" s="190"/>
      <c r="BF56" s="201"/>
    </row>
    <row r="57" spans="2:58" ht="13" customHeight="1" x14ac:dyDescent="0.4">
      <c r="B57" s="189"/>
      <c r="C57" s="190"/>
      <c r="D57" s="190"/>
      <c r="E57" s="190"/>
      <c r="F57" s="190"/>
      <c r="G57" s="190"/>
      <c r="H57" s="190"/>
      <c r="I57" s="190"/>
      <c r="J57" s="190"/>
      <c r="K57" s="190"/>
      <c r="L57" s="191"/>
      <c r="M57" s="195"/>
      <c r="N57" s="190"/>
      <c r="O57" s="190"/>
      <c r="P57" s="190"/>
      <c r="Q57" s="190"/>
      <c r="R57" s="190"/>
      <c r="S57" s="190"/>
      <c r="T57" s="190"/>
      <c r="U57" s="190"/>
      <c r="V57" s="190"/>
      <c r="W57" s="191"/>
      <c r="X57" s="195"/>
      <c r="Y57" s="190"/>
      <c r="Z57" s="190"/>
      <c r="AA57" s="190"/>
      <c r="AB57" s="190"/>
      <c r="AC57" s="190"/>
      <c r="AD57" s="190"/>
      <c r="AE57" s="190"/>
      <c r="AF57" s="190"/>
      <c r="AG57" s="190"/>
      <c r="AH57" s="191"/>
      <c r="AI57" s="195"/>
      <c r="AJ57" s="190"/>
      <c r="AK57" s="190"/>
      <c r="AL57" s="190"/>
      <c r="AM57" s="190"/>
      <c r="AN57" s="190"/>
      <c r="AO57" s="190"/>
      <c r="AP57" s="190"/>
      <c r="AQ57" s="190"/>
      <c r="AR57" s="190"/>
      <c r="AS57" s="190"/>
      <c r="AT57" s="191"/>
      <c r="AU57" s="195"/>
      <c r="AV57" s="190"/>
      <c r="AW57" s="190"/>
      <c r="AX57" s="190"/>
      <c r="AY57" s="190"/>
      <c r="AZ57" s="190"/>
      <c r="BA57" s="190"/>
      <c r="BB57" s="190"/>
      <c r="BC57" s="190"/>
      <c r="BD57" s="190"/>
      <c r="BE57" s="190"/>
      <c r="BF57" s="201"/>
    </row>
    <row r="58" spans="2:58" ht="13" customHeight="1" x14ac:dyDescent="0.4">
      <c r="B58" s="189"/>
      <c r="C58" s="190"/>
      <c r="D58" s="190"/>
      <c r="E58" s="190"/>
      <c r="F58" s="190"/>
      <c r="G58" s="190"/>
      <c r="H58" s="190"/>
      <c r="I58" s="190"/>
      <c r="J58" s="190"/>
      <c r="K58" s="190"/>
      <c r="L58" s="191"/>
      <c r="M58" s="195"/>
      <c r="N58" s="190"/>
      <c r="O58" s="190"/>
      <c r="P58" s="190"/>
      <c r="Q58" s="190"/>
      <c r="R58" s="190"/>
      <c r="S58" s="190"/>
      <c r="T58" s="190"/>
      <c r="U58" s="190"/>
      <c r="V58" s="190"/>
      <c r="W58" s="191"/>
      <c r="X58" s="195"/>
      <c r="Y58" s="190"/>
      <c r="Z58" s="190"/>
      <c r="AA58" s="190"/>
      <c r="AB58" s="190"/>
      <c r="AC58" s="190"/>
      <c r="AD58" s="190"/>
      <c r="AE58" s="190"/>
      <c r="AF58" s="190"/>
      <c r="AG58" s="190"/>
      <c r="AH58" s="191"/>
      <c r="AI58" s="195"/>
      <c r="AJ58" s="190"/>
      <c r="AK58" s="190"/>
      <c r="AL58" s="190"/>
      <c r="AM58" s="190"/>
      <c r="AN58" s="190"/>
      <c r="AO58" s="190"/>
      <c r="AP58" s="190"/>
      <c r="AQ58" s="190"/>
      <c r="AR58" s="190"/>
      <c r="AS58" s="190"/>
      <c r="AT58" s="191"/>
      <c r="AU58" s="195"/>
      <c r="AV58" s="190"/>
      <c r="AW58" s="190"/>
      <c r="AX58" s="190"/>
      <c r="AY58" s="190"/>
      <c r="AZ58" s="190"/>
      <c r="BA58" s="190"/>
      <c r="BB58" s="190"/>
      <c r="BC58" s="190"/>
      <c r="BD58" s="190"/>
      <c r="BE58" s="190"/>
      <c r="BF58" s="201"/>
    </row>
    <row r="59" spans="2:58" ht="13" customHeight="1" x14ac:dyDescent="0.4">
      <c r="B59" s="212"/>
      <c r="C59" s="213"/>
      <c r="D59" s="213"/>
      <c r="E59" s="213"/>
      <c r="F59" s="213"/>
      <c r="G59" s="213"/>
      <c r="H59" s="213"/>
      <c r="I59" s="213"/>
      <c r="J59" s="213"/>
      <c r="K59" s="213"/>
      <c r="L59" s="214"/>
      <c r="M59" s="215"/>
      <c r="N59" s="213"/>
      <c r="O59" s="213"/>
      <c r="P59" s="213"/>
      <c r="Q59" s="213"/>
      <c r="R59" s="213"/>
      <c r="S59" s="213"/>
      <c r="T59" s="213"/>
      <c r="U59" s="213"/>
      <c r="V59" s="213"/>
      <c r="W59" s="214"/>
      <c r="X59" s="215"/>
      <c r="Y59" s="213"/>
      <c r="Z59" s="213"/>
      <c r="AA59" s="213"/>
      <c r="AB59" s="213"/>
      <c r="AC59" s="213"/>
      <c r="AD59" s="213"/>
      <c r="AE59" s="213"/>
      <c r="AF59" s="213"/>
      <c r="AG59" s="213"/>
      <c r="AH59" s="214"/>
      <c r="AI59" s="215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4"/>
      <c r="AU59" s="215"/>
      <c r="AV59" s="213"/>
      <c r="AW59" s="213"/>
      <c r="AX59" s="213"/>
      <c r="AY59" s="213"/>
      <c r="AZ59" s="213"/>
      <c r="BA59" s="213"/>
      <c r="BB59" s="213"/>
      <c r="BC59" s="213"/>
      <c r="BD59" s="213"/>
      <c r="BE59" s="213"/>
      <c r="BF59" s="216"/>
    </row>
    <row r="60" spans="2:58" ht="13" customHeight="1" x14ac:dyDescent="0.4">
      <c r="B60" s="173" t="s">
        <v>49</v>
      </c>
      <c r="C60" s="174"/>
      <c r="D60" s="85" t="s">
        <v>276</v>
      </c>
      <c r="E60" s="175" t="s">
        <v>20</v>
      </c>
      <c r="F60" s="178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  <c r="AM60" s="179"/>
      <c r="AN60" s="179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  <c r="BE60" s="180"/>
      <c r="BF60" s="181"/>
    </row>
    <row r="61" spans="2:58" ht="13" customHeight="1" x14ac:dyDescent="0.4">
      <c r="B61" s="139" t="s">
        <v>277</v>
      </c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82"/>
    </row>
    <row r="62" spans="2:58" ht="13" customHeight="1" thickBot="1" x14ac:dyDescent="0.45">
      <c r="B62" s="185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X54:AH59"/>
    <mergeCell ref="AI54:AT59"/>
    <mergeCell ref="AU54:BF59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K479"/>
  <sheetViews>
    <sheetView tabSelected="1" zoomScale="115" zoomScaleNormal="115" workbookViewId="0">
      <selection activeCell="B2" sqref="B2:AJ2"/>
    </sheetView>
  </sheetViews>
  <sheetFormatPr defaultRowHeight="11.4" x14ac:dyDescent="0.4"/>
  <cols>
    <col min="1" max="1" width="1.62890625" style="226" customWidth="1"/>
    <col min="2" max="2" width="3.62890625" style="226" customWidth="1"/>
    <col min="3" max="3" width="2.62890625" style="226" customWidth="1"/>
    <col min="4" max="5" width="5.62890625" style="226" customWidth="1"/>
    <col min="6" max="11" width="6.1015625" style="226" customWidth="1"/>
    <col min="12" max="12" width="6.47265625" style="226" customWidth="1"/>
    <col min="13" max="13" width="4.89453125" style="226" customWidth="1"/>
    <col min="14" max="18" width="6.1015625" style="226" customWidth="1"/>
    <col min="19" max="20" width="7.62890625" style="226" customWidth="1"/>
    <col min="21" max="21" width="5.62890625" style="226" customWidth="1"/>
    <col min="22" max="23" width="6.26171875" style="226" customWidth="1"/>
    <col min="24" max="25" width="5.62890625" style="226" customWidth="1"/>
    <col min="26" max="29" width="6.1015625" style="226" customWidth="1"/>
    <col min="30" max="30" width="5.62890625" style="226" customWidth="1"/>
    <col min="31" max="33" width="6.1015625" style="226" customWidth="1"/>
    <col min="34" max="34" width="5.62890625" style="226" customWidth="1"/>
    <col min="35" max="35" width="6.1015625" style="226" customWidth="1"/>
    <col min="36" max="36" width="6.62890625" style="226" customWidth="1"/>
    <col min="37" max="37" width="6.3671875" style="226" customWidth="1"/>
    <col min="38" max="270" width="8.83984375" style="226"/>
    <col min="271" max="271" width="2.1015625" style="226" customWidth="1"/>
    <col min="272" max="272" width="5.89453125" style="226" customWidth="1"/>
    <col min="273" max="273" width="6.89453125" style="226" customWidth="1"/>
    <col min="274" max="274" width="6.1015625" style="226" customWidth="1"/>
    <col min="275" max="275" width="6.89453125" style="226" customWidth="1"/>
    <col min="276" max="276" width="10.89453125" style="226" customWidth="1"/>
    <col min="277" max="277" width="11.62890625" style="226" customWidth="1"/>
    <col min="278" max="278" width="5.62890625" style="226" customWidth="1"/>
    <col min="279" max="279" width="6" style="226" customWidth="1"/>
    <col min="280" max="280" width="6.62890625" style="226" customWidth="1"/>
    <col min="281" max="281" width="11.1015625" style="226" customWidth="1"/>
    <col min="282" max="282" width="7.1015625" style="226" customWidth="1"/>
    <col min="283" max="284" width="5.89453125" style="226" customWidth="1"/>
    <col min="285" max="285" width="6" style="226" customWidth="1"/>
    <col min="286" max="286" width="6.89453125" style="226" customWidth="1"/>
    <col min="287" max="287" width="6" style="226" customWidth="1"/>
    <col min="288" max="288" width="18.1015625" style="226" customWidth="1"/>
    <col min="289" max="526" width="8.83984375" style="226"/>
    <col min="527" max="527" width="2.1015625" style="226" customWidth="1"/>
    <col min="528" max="528" width="5.89453125" style="226" customWidth="1"/>
    <col min="529" max="529" width="6.89453125" style="226" customWidth="1"/>
    <col min="530" max="530" width="6.1015625" style="226" customWidth="1"/>
    <col min="531" max="531" width="6.89453125" style="226" customWidth="1"/>
    <col min="532" max="532" width="10.89453125" style="226" customWidth="1"/>
    <col min="533" max="533" width="11.62890625" style="226" customWidth="1"/>
    <col min="534" max="534" width="5.62890625" style="226" customWidth="1"/>
    <col min="535" max="535" width="6" style="226" customWidth="1"/>
    <col min="536" max="536" width="6.62890625" style="226" customWidth="1"/>
    <col min="537" max="537" width="11.1015625" style="226" customWidth="1"/>
    <col min="538" max="538" width="7.1015625" style="226" customWidth="1"/>
    <col min="539" max="540" width="5.89453125" style="226" customWidth="1"/>
    <col min="541" max="541" width="6" style="226" customWidth="1"/>
    <col min="542" max="542" width="6.89453125" style="226" customWidth="1"/>
    <col min="543" max="543" width="6" style="226" customWidth="1"/>
    <col min="544" max="544" width="18.1015625" style="226" customWidth="1"/>
    <col min="545" max="782" width="8.83984375" style="226"/>
    <col min="783" max="783" width="2.1015625" style="226" customWidth="1"/>
    <col min="784" max="784" width="5.89453125" style="226" customWidth="1"/>
    <col min="785" max="785" width="6.89453125" style="226" customWidth="1"/>
    <col min="786" max="786" width="6.1015625" style="226" customWidth="1"/>
    <col min="787" max="787" width="6.89453125" style="226" customWidth="1"/>
    <col min="788" max="788" width="10.89453125" style="226" customWidth="1"/>
    <col min="789" max="789" width="11.62890625" style="226" customWidth="1"/>
    <col min="790" max="790" width="5.62890625" style="226" customWidth="1"/>
    <col min="791" max="791" width="6" style="226" customWidth="1"/>
    <col min="792" max="792" width="6.62890625" style="226" customWidth="1"/>
    <col min="793" max="793" width="11.1015625" style="226" customWidth="1"/>
    <col min="794" max="794" width="7.1015625" style="226" customWidth="1"/>
    <col min="795" max="796" width="5.89453125" style="226" customWidth="1"/>
    <col min="797" max="797" width="6" style="226" customWidth="1"/>
    <col min="798" max="798" width="6.89453125" style="226" customWidth="1"/>
    <col min="799" max="799" width="6" style="226" customWidth="1"/>
    <col min="800" max="800" width="18.1015625" style="226" customWidth="1"/>
    <col min="801" max="1038" width="8.83984375" style="226"/>
    <col min="1039" max="1039" width="2.1015625" style="226" customWidth="1"/>
    <col min="1040" max="1040" width="5.89453125" style="226" customWidth="1"/>
    <col min="1041" max="1041" width="6.89453125" style="226" customWidth="1"/>
    <col min="1042" max="1042" width="6.1015625" style="226" customWidth="1"/>
    <col min="1043" max="1043" width="6.89453125" style="226" customWidth="1"/>
    <col min="1044" max="1044" width="10.89453125" style="226" customWidth="1"/>
    <col min="1045" max="1045" width="11.62890625" style="226" customWidth="1"/>
    <col min="1046" max="1046" width="5.62890625" style="226" customWidth="1"/>
    <col min="1047" max="1047" width="6" style="226" customWidth="1"/>
    <col min="1048" max="1048" width="6.62890625" style="226" customWidth="1"/>
    <col min="1049" max="1049" width="11.1015625" style="226" customWidth="1"/>
    <col min="1050" max="1050" width="7.1015625" style="226" customWidth="1"/>
    <col min="1051" max="1052" width="5.89453125" style="226" customWidth="1"/>
    <col min="1053" max="1053" width="6" style="226" customWidth="1"/>
    <col min="1054" max="1054" width="6.89453125" style="226" customWidth="1"/>
    <col min="1055" max="1055" width="6" style="226" customWidth="1"/>
    <col min="1056" max="1056" width="18.1015625" style="226" customWidth="1"/>
    <col min="1057" max="1294" width="8.83984375" style="226"/>
    <col min="1295" max="1295" width="2.1015625" style="226" customWidth="1"/>
    <col min="1296" max="1296" width="5.89453125" style="226" customWidth="1"/>
    <col min="1297" max="1297" width="6.89453125" style="226" customWidth="1"/>
    <col min="1298" max="1298" width="6.1015625" style="226" customWidth="1"/>
    <col min="1299" max="1299" width="6.89453125" style="226" customWidth="1"/>
    <col min="1300" max="1300" width="10.89453125" style="226" customWidth="1"/>
    <col min="1301" max="1301" width="11.62890625" style="226" customWidth="1"/>
    <col min="1302" max="1302" width="5.62890625" style="226" customWidth="1"/>
    <col min="1303" max="1303" width="6" style="226" customWidth="1"/>
    <col min="1304" max="1304" width="6.62890625" style="226" customWidth="1"/>
    <col min="1305" max="1305" width="11.1015625" style="226" customWidth="1"/>
    <col min="1306" max="1306" width="7.1015625" style="226" customWidth="1"/>
    <col min="1307" max="1308" width="5.89453125" style="226" customWidth="1"/>
    <col min="1309" max="1309" width="6" style="226" customWidth="1"/>
    <col min="1310" max="1310" width="6.89453125" style="226" customWidth="1"/>
    <col min="1311" max="1311" width="6" style="226" customWidth="1"/>
    <col min="1312" max="1312" width="18.1015625" style="226" customWidth="1"/>
    <col min="1313" max="1550" width="8.83984375" style="226"/>
    <col min="1551" max="1551" width="2.1015625" style="226" customWidth="1"/>
    <col min="1552" max="1552" width="5.89453125" style="226" customWidth="1"/>
    <col min="1553" max="1553" width="6.89453125" style="226" customWidth="1"/>
    <col min="1554" max="1554" width="6.1015625" style="226" customWidth="1"/>
    <col min="1555" max="1555" width="6.89453125" style="226" customWidth="1"/>
    <col min="1556" max="1556" width="10.89453125" style="226" customWidth="1"/>
    <col min="1557" max="1557" width="11.62890625" style="226" customWidth="1"/>
    <col min="1558" max="1558" width="5.62890625" style="226" customWidth="1"/>
    <col min="1559" max="1559" width="6" style="226" customWidth="1"/>
    <col min="1560" max="1560" width="6.62890625" style="226" customWidth="1"/>
    <col min="1561" max="1561" width="11.1015625" style="226" customWidth="1"/>
    <col min="1562" max="1562" width="7.1015625" style="226" customWidth="1"/>
    <col min="1563" max="1564" width="5.89453125" style="226" customWidth="1"/>
    <col min="1565" max="1565" width="6" style="226" customWidth="1"/>
    <col min="1566" max="1566" width="6.89453125" style="226" customWidth="1"/>
    <col min="1567" max="1567" width="6" style="226" customWidth="1"/>
    <col min="1568" max="1568" width="18.1015625" style="226" customWidth="1"/>
    <col min="1569" max="1806" width="8.83984375" style="226"/>
    <col min="1807" max="1807" width="2.1015625" style="226" customWidth="1"/>
    <col min="1808" max="1808" width="5.89453125" style="226" customWidth="1"/>
    <col min="1809" max="1809" width="6.89453125" style="226" customWidth="1"/>
    <col min="1810" max="1810" width="6.1015625" style="226" customWidth="1"/>
    <col min="1811" max="1811" width="6.89453125" style="226" customWidth="1"/>
    <col min="1812" max="1812" width="10.89453125" style="226" customWidth="1"/>
    <col min="1813" max="1813" width="11.62890625" style="226" customWidth="1"/>
    <col min="1814" max="1814" width="5.62890625" style="226" customWidth="1"/>
    <col min="1815" max="1815" width="6" style="226" customWidth="1"/>
    <col min="1816" max="1816" width="6.62890625" style="226" customWidth="1"/>
    <col min="1817" max="1817" width="11.1015625" style="226" customWidth="1"/>
    <col min="1818" max="1818" width="7.1015625" style="226" customWidth="1"/>
    <col min="1819" max="1820" width="5.89453125" style="226" customWidth="1"/>
    <col min="1821" max="1821" width="6" style="226" customWidth="1"/>
    <col min="1822" max="1822" width="6.89453125" style="226" customWidth="1"/>
    <col min="1823" max="1823" width="6" style="226" customWidth="1"/>
    <col min="1824" max="1824" width="18.1015625" style="226" customWidth="1"/>
    <col min="1825" max="2062" width="8.83984375" style="226"/>
    <col min="2063" max="2063" width="2.1015625" style="226" customWidth="1"/>
    <col min="2064" max="2064" width="5.89453125" style="226" customWidth="1"/>
    <col min="2065" max="2065" width="6.89453125" style="226" customWidth="1"/>
    <col min="2066" max="2066" width="6.1015625" style="226" customWidth="1"/>
    <col min="2067" max="2067" width="6.89453125" style="226" customWidth="1"/>
    <col min="2068" max="2068" width="10.89453125" style="226" customWidth="1"/>
    <col min="2069" max="2069" width="11.62890625" style="226" customWidth="1"/>
    <col min="2070" max="2070" width="5.62890625" style="226" customWidth="1"/>
    <col min="2071" max="2071" width="6" style="226" customWidth="1"/>
    <col min="2072" max="2072" width="6.62890625" style="226" customWidth="1"/>
    <col min="2073" max="2073" width="11.1015625" style="226" customWidth="1"/>
    <col min="2074" max="2074" width="7.1015625" style="226" customWidth="1"/>
    <col min="2075" max="2076" width="5.89453125" style="226" customWidth="1"/>
    <col min="2077" max="2077" width="6" style="226" customWidth="1"/>
    <col min="2078" max="2078" width="6.89453125" style="226" customWidth="1"/>
    <col min="2079" max="2079" width="6" style="226" customWidth="1"/>
    <col min="2080" max="2080" width="18.1015625" style="226" customWidth="1"/>
    <col min="2081" max="2318" width="8.83984375" style="226"/>
    <col min="2319" max="2319" width="2.1015625" style="226" customWidth="1"/>
    <col min="2320" max="2320" width="5.89453125" style="226" customWidth="1"/>
    <col min="2321" max="2321" width="6.89453125" style="226" customWidth="1"/>
    <col min="2322" max="2322" width="6.1015625" style="226" customWidth="1"/>
    <col min="2323" max="2323" width="6.89453125" style="226" customWidth="1"/>
    <col min="2324" max="2324" width="10.89453125" style="226" customWidth="1"/>
    <col min="2325" max="2325" width="11.62890625" style="226" customWidth="1"/>
    <col min="2326" max="2326" width="5.62890625" style="226" customWidth="1"/>
    <col min="2327" max="2327" width="6" style="226" customWidth="1"/>
    <col min="2328" max="2328" width="6.62890625" style="226" customWidth="1"/>
    <col min="2329" max="2329" width="11.1015625" style="226" customWidth="1"/>
    <col min="2330" max="2330" width="7.1015625" style="226" customWidth="1"/>
    <col min="2331" max="2332" width="5.89453125" style="226" customWidth="1"/>
    <col min="2333" max="2333" width="6" style="226" customWidth="1"/>
    <col min="2334" max="2334" width="6.89453125" style="226" customWidth="1"/>
    <col min="2335" max="2335" width="6" style="226" customWidth="1"/>
    <col min="2336" max="2336" width="18.1015625" style="226" customWidth="1"/>
    <col min="2337" max="2574" width="8.83984375" style="226"/>
    <col min="2575" max="2575" width="2.1015625" style="226" customWidth="1"/>
    <col min="2576" max="2576" width="5.89453125" style="226" customWidth="1"/>
    <col min="2577" max="2577" width="6.89453125" style="226" customWidth="1"/>
    <col min="2578" max="2578" width="6.1015625" style="226" customWidth="1"/>
    <col min="2579" max="2579" width="6.89453125" style="226" customWidth="1"/>
    <col min="2580" max="2580" width="10.89453125" style="226" customWidth="1"/>
    <col min="2581" max="2581" width="11.62890625" style="226" customWidth="1"/>
    <col min="2582" max="2582" width="5.62890625" style="226" customWidth="1"/>
    <col min="2583" max="2583" width="6" style="226" customWidth="1"/>
    <col min="2584" max="2584" width="6.62890625" style="226" customWidth="1"/>
    <col min="2585" max="2585" width="11.1015625" style="226" customWidth="1"/>
    <col min="2586" max="2586" width="7.1015625" style="226" customWidth="1"/>
    <col min="2587" max="2588" width="5.89453125" style="226" customWidth="1"/>
    <col min="2589" max="2589" width="6" style="226" customWidth="1"/>
    <col min="2590" max="2590" width="6.89453125" style="226" customWidth="1"/>
    <col min="2591" max="2591" width="6" style="226" customWidth="1"/>
    <col min="2592" max="2592" width="18.1015625" style="226" customWidth="1"/>
    <col min="2593" max="2830" width="8.83984375" style="226"/>
    <col min="2831" max="2831" width="2.1015625" style="226" customWidth="1"/>
    <col min="2832" max="2832" width="5.89453125" style="226" customWidth="1"/>
    <col min="2833" max="2833" width="6.89453125" style="226" customWidth="1"/>
    <col min="2834" max="2834" width="6.1015625" style="226" customWidth="1"/>
    <col min="2835" max="2835" width="6.89453125" style="226" customWidth="1"/>
    <col min="2836" max="2836" width="10.89453125" style="226" customWidth="1"/>
    <col min="2837" max="2837" width="11.62890625" style="226" customWidth="1"/>
    <col min="2838" max="2838" width="5.62890625" style="226" customWidth="1"/>
    <col min="2839" max="2839" width="6" style="226" customWidth="1"/>
    <col min="2840" max="2840" width="6.62890625" style="226" customWidth="1"/>
    <col min="2841" max="2841" width="11.1015625" style="226" customWidth="1"/>
    <col min="2842" max="2842" width="7.1015625" style="226" customWidth="1"/>
    <col min="2843" max="2844" width="5.89453125" style="226" customWidth="1"/>
    <col min="2845" max="2845" width="6" style="226" customWidth="1"/>
    <col min="2846" max="2846" width="6.89453125" style="226" customWidth="1"/>
    <col min="2847" max="2847" width="6" style="226" customWidth="1"/>
    <col min="2848" max="2848" width="18.1015625" style="226" customWidth="1"/>
    <col min="2849" max="3086" width="8.83984375" style="226"/>
    <col min="3087" max="3087" width="2.1015625" style="226" customWidth="1"/>
    <col min="3088" max="3088" width="5.89453125" style="226" customWidth="1"/>
    <col min="3089" max="3089" width="6.89453125" style="226" customWidth="1"/>
    <col min="3090" max="3090" width="6.1015625" style="226" customWidth="1"/>
    <col min="3091" max="3091" width="6.89453125" style="226" customWidth="1"/>
    <col min="3092" max="3092" width="10.89453125" style="226" customWidth="1"/>
    <col min="3093" max="3093" width="11.62890625" style="226" customWidth="1"/>
    <col min="3094" max="3094" width="5.62890625" style="226" customWidth="1"/>
    <col min="3095" max="3095" width="6" style="226" customWidth="1"/>
    <col min="3096" max="3096" width="6.62890625" style="226" customWidth="1"/>
    <col min="3097" max="3097" width="11.1015625" style="226" customWidth="1"/>
    <col min="3098" max="3098" width="7.1015625" style="226" customWidth="1"/>
    <col min="3099" max="3100" width="5.89453125" style="226" customWidth="1"/>
    <col min="3101" max="3101" width="6" style="226" customWidth="1"/>
    <col min="3102" max="3102" width="6.89453125" style="226" customWidth="1"/>
    <col min="3103" max="3103" width="6" style="226" customWidth="1"/>
    <col min="3104" max="3104" width="18.1015625" style="226" customWidth="1"/>
    <col min="3105" max="3342" width="8.83984375" style="226"/>
    <col min="3343" max="3343" width="2.1015625" style="226" customWidth="1"/>
    <col min="3344" max="3344" width="5.89453125" style="226" customWidth="1"/>
    <col min="3345" max="3345" width="6.89453125" style="226" customWidth="1"/>
    <col min="3346" max="3346" width="6.1015625" style="226" customWidth="1"/>
    <col min="3347" max="3347" width="6.89453125" style="226" customWidth="1"/>
    <col min="3348" max="3348" width="10.89453125" style="226" customWidth="1"/>
    <col min="3349" max="3349" width="11.62890625" style="226" customWidth="1"/>
    <col min="3350" max="3350" width="5.62890625" style="226" customWidth="1"/>
    <col min="3351" max="3351" width="6" style="226" customWidth="1"/>
    <col min="3352" max="3352" width="6.62890625" style="226" customWidth="1"/>
    <col min="3353" max="3353" width="11.1015625" style="226" customWidth="1"/>
    <col min="3354" max="3354" width="7.1015625" style="226" customWidth="1"/>
    <col min="3355" max="3356" width="5.89453125" style="226" customWidth="1"/>
    <col min="3357" max="3357" width="6" style="226" customWidth="1"/>
    <col min="3358" max="3358" width="6.89453125" style="226" customWidth="1"/>
    <col min="3359" max="3359" width="6" style="226" customWidth="1"/>
    <col min="3360" max="3360" width="18.1015625" style="226" customWidth="1"/>
    <col min="3361" max="3598" width="8.83984375" style="226"/>
    <col min="3599" max="3599" width="2.1015625" style="226" customWidth="1"/>
    <col min="3600" max="3600" width="5.89453125" style="226" customWidth="1"/>
    <col min="3601" max="3601" width="6.89453125" style="226" customWidth="1"/>
    <col min="3602" max="3602" width="6.1015625" style="226" customWidth="1"/>
    <col min="3603" max="3603" width="6.89453125" style="226" customWidth="1"/>
    <col min="3604" max="3604" width="10.89453125" style="226" customWidth="1"/>
    <col min="3605" max="3605" width="11.62890625" style="226" customWidth="1"/>
    <col min="3606" max="3606" width="5.62890625" style="226" customWidth="1"/>
    <col min="3607" max="3607" width="6" style="226" customWidth="1"/>
    <col min="3608" max="3608" width="6.62890625" style="226" customWidth="1"/>
    <col min="3609" max="3609" width="11.1015625" style="226" customWidth="1"/>
    <col min="3610" max="3610" width="7.1015625" style="226" customWidth="1"/>
    <col min="3611" max="3612" width="5.89453125" style="226" customWidth="1"/>
    <col min="3613" max="3613" width="6" style="226" customWidth="1"/>
    <col min="3614" max="3614" width="6.89453125" style="226" customWidth="1"/>
    <col min="3615" max="3615" width="6" style="226" customWidth="1"/>
    <col min="3616" max="3616" width="18.1015625" style="226" customWidth="1"/>
    <col min="3617" max="3854" width="8.83984375" style="226"/>
    <col min="3855" max="3855" width="2.1015625" style="226" customWidth="1"/>
    <col min="3856" max="3856" width="5.89453125" style="226" customWidth="1"/>
    <col min="3857" max="3857" width="6.89453125" style="226" customWidth="1"/>
    <col min="3858" max="3858" width="6.1015625" style="226" customWidth="1"/>
    <col min="3859" max="3859" width="6.89453125" style="226" customWidth="1"/>
    <col min="3860" max="3860" width="10.89453125" style="226" customWidth="1"/>
    <col min="3861" max="3861" width="11.62890625" style="226" customWidth="1"/>
    <col min="3862" max="3862" width="5.62890625" style="226" customWidth="1"/>
    <col min="3863" max="3863" width="6" style="226" customWidth="1"/>
    <col min="3864" max="3864" width="6.62890625" style="226" customWidth="1"/>
    <col min="3865" max="3865" width="11.1015625" style="226" customWidth="1"/>
    <col min="3866" max="3866" width="7.1015625" style="226" customWidth="1"/>
    <col min="3867" max="3868" width="5.89453125" style="226" customWidth="1"/>
    <col min="3869" max="3869" width="6" style="226" customWidth="1"/>
    <col min="3870" max="3870" width="6.89453125" style="226" customWidth="1"/>
    <col min="3871" max="3871" width="6" style="226" customWidth="1"/>
    <col min="3872" max="3872" width="18.1015625" style="226" customWidth="1"/>
    <col min="3873" max="4110" width="8.83984375" style="226"/>
    <col min="4111" max="4111" width="2.1015625" style="226" customWidth="1"/>
    <col min="4112" max="4112" width="5.89453125" style="226" customWidth="1"/>
    <col min="4113" max="4113" width="6.89453125" style="226" customWidth="1"/>
    <col min="4114" max="4114" width="6.1015625" style="226" customWidth="1"/>
    <col min="4115" max="4115" width="6.89453125" style="226" customWidth="1"/>
    <col min="4116" max="4116" width="10.89453125" style="226" customWidth="1"/>
    <col min="4117" max="4117" width="11.62890625" style="226" customWidth="1"/>
    <col min="4118" max="4118" width="5.62890625" style="226" customWidth="1"/>
    <col min="4119" max="4119" width="6" style="226" customWidth="1"/>
    <col min="4120" max="4120" width="6.62890625" style="226" customWidth="1"/>
    <col min="4121" max="4121" width="11.1015625" style="226" customWidth="1"/>
    <col min="4122" max="4122" width="7.1015625" style="226" customWidth="1"/>
    <col min="4123" max="4124" width="5.89453125" style="226" customWidth="1"/>
    <col min="4125" max="4125" width="6" style="226" customWidth="1"/>
    <col min="4126" max="4126" width="6.89453125" style="226" customWidth="1"/>
    <col min="4127" max="4127" width="6" style="226" customWidth="1"/>
    <col min="4128" max="4128" width="18.1015625" style="226" customWidth="1"/>
    <col min="4129" max="4366" width="8.83984375" style="226"/>
    <col min="4367" max="4367" width="2.1015625" style="226" customWidth="1"/>
    <col min="4368" max="4368" width="5.89453125" style="226" customWidth="1"/>
    <col min="4369" max="4369" width="6.89453125" style="226" customWidth="1"/>
    <col min="4370" max="4370" width="6.1015625" style="226" customWidth="1"/>
    <col min="4371" max="4371" width="6.89453125" style="226" customWidth="1"/>
    <col min="4372" max="4372" width="10.89453125" style="226" customWidth="1"/>
    <col min="4373" max="4373" width="11.62890625" style="226" customWidth="1"/>
    <col min="4374" max="4374" width="5.62890625" style="226" customWidth="1"/>
    <col min="4375" max="4375" width="6" style="226" customWidth="1"/>
    <col min="4376" max="4376" width="6.62890625" style="226" customWidth="1"/>
    <col min="4377" max="4377" width="11.1015625" style="226" customWidth="1"/>
    <col min="4378" max="4378" width="7.1015625" style="226" customWidth="1"/>
    <col min="4379" max="4380" width="5.89453125" style="226" customWidth="1"/>
    <col min="4381" max="4381" width="6" style="226" customWidth="1"/>
    <col min="4382" max="4382" width="6.89453125" style="226" customWidth="1"/>
    <col min="4383" max="4383" width="6" style="226" customWidth="1"/>
    <col min="4384" max="4384" width="18.1015625" style="226" customWidth="1"/>
    <col min="4385" max="4622" width="8.83984375" style="226"/>
    <col min="4623" max="4623" width="2.1015625" style="226" customWidth="1"/>
    <col min="4624" max="4624" width="5.89453125" style="226" customWidth="1"/>
    <col min="4625" max="4625" width="6.89453125" style="226" customWidth="1"/>
    <col min="4626" max="4626" width="6.1015625" style="226" customWidth="1"/>
    <col min="4627" max="4627" width="6.89453125" style="226" customWidth="1"/>
    <col min="4628" max="4628" width="10.89453125" style="226" customWidth="1"/>
    <col min="4629" max="4629" width="11.62890625" style="226" customWidth="1"/>
    <col min="4630" max="4630" width="5.62890625" style="226" customWidth="1"/>
    <col min="4631" max="4631" width="6" style="226" customWidth="1"/>
    <col min="4632" max="4632" width="6.62890625" style="226" customWidth="1"/>
    <col min="4633" max="4633" width="11.1015625" style="226" customWidth="1"/>
    <col min="4634" max="4634" width="7.1015625" style="226" customWidth="1"/>
    <col min="4635" max="4636" width="5.89453125" style="226" customWidth="1"/>
    <col min="4637" max="4637" width="6" style="226" customWidth="1"/>
    <col min="4638" max="4638" width="6.89453125" style="226" customWidth="1"/>
    <col min="4639" max="4639" width="6" style="226" customWidth="1"/>
    <col min="4640" max="4640" width="18.1015625" style="226" customWidth="1"/>
    <col min="4641" max="4878" width="8.83984375" style="226"/>
    <col min="4879" max="4879" width="2.1015625" style="226" customWidth="1"/>
    <col min="4880" max="4880" width="5.89453125" style="226" customWidth="1"/>
    <col min="4881" max="4881" width="6.89453125" style="226" customWidth="1"/>
    <col min="4882" max="4882" width="6.1015625" style="226" customWidth="1"/>
    <col min="4883" max="4883" width="6.89453125" style="226" customWidth="1"/>
    <col min="4884" max="4884" width="10.89453125" style="226" customWidth="1"/>
    <col min="4885" max="4885" width="11.62890625" style="226" customWidth="1"/>
    <col min="4886" max="4886" width="5.62890625" style="226" customWidth="1"/>
    <col min="4887" max="4887" width="6" style="226" customWidth="1"/>
    <col min="4888" max="4888" width="6.62890625" style="226" customWidth="1"/>
    <col min="4889" max="4889" width="11.1015625" style="226" customWidth="1"/>
    <col min="4890" max="4890" width="7.1015625" style="226" customWidth="1"/>
    <col min="4891" max="4892" width="5.89453125" style="226" customWidth="1"/>
    <col min="4893" max="4893" width="6" style="226" customWidth="1"/>
    <col min="4894" max="4894" width="6.89453125" style="226" customWidth="1"/>
    <col min="4895" max="4895" width="6" style="226" customWidth="1"/>
    <col min="4896" max="4896" width="18.1015625" style="226" customWidth="1"/>
    <col min="4897" max="5134" width="8.83984375" style="226"/>
    <col min="5135" max="5135" width="2.1015625" style="226" customWidth="1"/>
    <col min="5136" max="5136" width="5.89453125" style="226" customWidth="1"/>
    <col min="5137" max="5137" width="6.89453125" style="226" customWidth="1"/>
    <col min="5138" max="5138" width="6.1015625" style="226" customWidth="1"/>
    <col min="5139" max="5139" width="6.89453125" style="226" customWidth="1"/>
    <col min="5140" max="5140" width="10.89453125" style="226" customWidth="1"/>
    <col min="5141" max="5141" width="11.62890625" style="226" customWidth="1"/>
    <col min="5142" max="5142" width="5.62890625" style="226" customWidth="1"/>
    <col min="5143" max="5143" width="6" style="226" customWidth="1"/>
    <col min="5144" max="5144" width="6.62890625" style="226" customWidth="1"/>
    <col min="5145" max="5145" width="11.1015625" style="226" customWidth="1"/>
    <col min="5146" max="5146" width="7.1015625" style="226" customWidth="1"/>
    <col min="5147" max="5148" width="5.89453125" style="226" customWidth="1"/>
    <col min="5149" max="5149" width="6" style="226" customWidth="1"/>
    <col min="5150" max="5150" width="6.89453125" style="226" customWidth="1"/>
    <col min="5151" max="5151" width="6" style="226" customWidth="1"/>
    <col min="5152" max="5152" width="18.1015625" style="226" customWidth="1"/>
    <col min="5153" max="5390" width="8.83984375" style="226"/>
    <col min="5391" max="5391" width="2.1015625" style="226" customWidth="1"/>
    <col min="5392" max="5392" width="5.89453125" style="226" customWidth="1"/>
    <col min="5393" max="5393" width="6.89453125" style="226" customWidth="1"/>
    <col min="5394" max="5394" width="6.1015625" style="226" customWidth="1"/>
    <col min="5395" max="5395" width="6.89453125" style="226" customWidth="1"/>
    <col min="5396" max="5396" width="10.89453125" style="226" customWidth="1"/>
    <col min="5397" max="5397" width="11.62890625" style="226" customWidth="1"/>
    <col min="5398" max="5398" width="5.62890625" style="226" customWidth="1"/>
    <col min="5399" max="5399" width="6" style="226" customWidth="1"/>
    <col min="5400" max="5400" width="6.62890625" style="226" customWidth="1"/>
    <col min="5401" max="5401" width="11.1015625" style="226" customWidth="1"/>
    <col min="5402" max="5402" width="7.1015625" style="226" customWidth="1"/>
    <col min="5403" max="5404" width="5.89453125" style="226" customWidth="1"/>
    <col min="5405" max="5405" width="6" style="226" customWidth="1"/>
    <col min="5406" max="5406" width="6.89453125" style="226" customWidth="1"/>
    <col min="5407" max="5407" width="6" style="226" customWidth="1"/>
    <col min="5408" max="5408" width="18.1015625" style="226" customWidth="1"/>
    <col min="5409" max="5646" width="8.83984375" style="226"/>
    <col min="5647" max="5647" width="2.1015625" style="226" customWidth="1"/>
    <col min="5648" max="5648" width="5.89453125" style="226" customWidth="1"/>
    <col min="5649" max="5649" width="6.89453125" style="226" customWidth="1"/>
    <col min="5650" max="5650" width="6.1015625" style="226" customWidth="1"/>
    <col min="5651" max="5651" width="6.89453125" style="226" customWidth="1"/>
    <col min="5652" max="5652" width="10.89453125" style="226" customWidth="1"/>
    <col min="5653" max="5653" width="11.62890625" style="226" customWidth="1"/>
    <col min="5654" max="5654" width="5.62890625" style="226" customWidth="1"/>
    <col min="5655" max="5655" width="6" style="226" customWidth="1"/>
    <col min="5656" max="5656" width="6.62890625" style="226" customWidth="1"/>
    <col min="5657" max="5657" width="11.1015625" style="226" customWidth="1"/>
    <col min="5658" max="5658" width="7.1015625" style="226" customWidth="1"/>
    <col min="5659" max="5660" width="5.89453125" style="226" customWidth="1"/>
    <col min="5661" max="5661" width="6" style="226" customWidth="1"/>
    <col min="5662" max="5662" width="6.89453125" style="226" customWidth="1"/>
    <col min="5663" max="5663" width="6" style="226" customWidth="1"/>
    <col min="5664" max="5664" width="18.1015625" style="226" customWidth="1"/>
    <col min="5665" max="5902" width="8.83984375" style="226"/>
    <col min="5903" max="5903" width="2.1015625" style="226" customWidth="1"/>
    <col min="5904" max="5904" width="5.89453125" style="226" customWidth="1"/>
    <col min="5905" max="5905" width="6.89453125" style="226" customWidth="1"/>
    <col min="5906" max="5906" width="6.1015625" style="226" customWidth="1"/>
    <col min="5907" max="5907" width="6.89453125" style="226" customWidth="1"/>
    <col min="5908" max="5908" width="10.89453125" style="226" customWidth="1"/>
    <col min="5909" max="5909" width="11.62890625" style="226" customWidth="1"/>
    <col min="5910" max="5910" width="5.62890625" style="226" customWidth="1"/>
    <col min="5911" max="5911" width="6" style="226" customWidth="1"/>
    <col min="5912" max="5912" width="6.62890625" style="226" customWidth="1"/>
    <col min="5913" max="5913" width="11.1015625" style="226" customWidth="1"/>
    <col min="5914" max="5914" width="7.1015625" style="226" customWidth="1"/>
    <col min="5915" max="5916" width="5.89453125" style="226" customWidth="1"/>
    <col min="5917" max="5917" width="6" style="226" customWidth="1"/>
    <col min="5918" max="5918" width="6.89453125" style="226" customWidth="1"/>
    <col min="5919" max="5919" width="6" style="226" customWidth="1"/>
    <col min="5920" max="5920" width="18.1015625" style="226" customWidth="1"/>
    <col min="5921" max="6158" width="8.83984375" style="226"/>
    <col min="6159" max="6159" width="2.1015625" style="226" customWidth="1"/>
    <col min="6160" max="6160" width="5.89453125" style="226" customWidth="1"/>
    <col min="6161" max="6161" width="6.89453125" style="226" customWidth="1"/>
    <col min="6162" max="6162" width="6.1015625" style="226" customWidth="1"/>
    <col min="6163" max="6163" width="6.89453125" style="226" customWidth="1"/>
    <col min="6164" max="6164" width="10.89453125" style="226" customWidth="1"/>
    <col min="6165" max="6165" width="11.62890625" style="226" customWidth="1"/>
    <col min="6166" max="6166" width="5.62890625" style="226" customWidth="1"/>
    <col min="6167" max="6167" width="6" style="226" customWidth="1"/>
    <col min="6168" max="6168" width="6.62890625" style="226" customWidth="1"/>
    <col min="6169" max="6169" width="11.1015625" style="226" customWidth="1"/>
    <col min="6170" max="6170" width="7.1015625" style="226" customWidth="1"/>
    <col min="6171" max="6172" width="5.89453125" style="226" customWidth="1"/>
    <col min="6173" max="6173" width="6" style="226" customWidth="1"/>
    <col min="6174" max="6174" width="6.89453125" style="226" customWidth="1"/>
    <col min="6175" max="6175" width="6" style="226" customWidth="1"/>
    <col min="6176" max="6176" width="18.1015625" style="226" customWidth="1"/>
    <col min="6177" max="6414" width="8.83984375" style="226"/>
    <col min="6415" max="6415" width="2.1015625" style="226" customWidth="1"/>
    <col min="6416" max="6416" width="5.89453125" style="226" customWidth="1"/>
    <col min="6417" max="6417" width="6.89453125" style="226" customWidth="1"/>
    <col min="6418" max="6418" width="6.1015625" style="226" customWidth="1"/>
    <col min="6419" max="6419" width="6.89453125" style="226" customWidth="1"/>
    <col min="6420" max="6420" width="10.89453125" style="226" customWidth="1"/>
    <col min="6421" max="6421" width="11.62890625" style="226" customWidth="1"/>
    <col min="6422" max="6422" width="5.62890625" style="226" customWidth="1"/>
    <col min="6423" max="6423" width="6" style="226" customWidth="1"/>
    <col min="6424" max="6424" width="6.62890625" style="226" customWidth="1"/>
    <col min="6425" max="6425" width="11.1015625" style="226" customWidth="1"/>
    <col min="6426" max="6426" width="7.1015625" style="226" customWidth="1"/>
    <col min="6427" max="6428" width="5.89453125" style="226" customWidth="1"/>
    <col min="6429" max="6429" width="6" style="226" customWidth="1"/>
    <col min="6430" max="6430" width="6.89453125" style="226" customWidth="1"/>
    <col min="6431" max="6431" width="6" style="226" customWidth="1"/>
    <col min="6432" max="6432" width="18.1015625" style="226" customWidth="1"/>
    <col min="6433" max="6670" width="8.83984375" style="226"/>
    <col min="6671" max="6671" width="2.1015625" style="226" customWidth="1"/>
    <col min="6672" max="6672" width="5.89453125" style="226" customWidth="1"/>
    <col min="6673" max="6673" width="6.89453125" style="226" customWidth="1"/>
    <col min="6674" max="6674" width="6.1015625" style="226" customWidth="1"/>
    <col min="6675" max="6675" width="6.89453125" style="226" customWidth="1"/>
    <col min="6676" max="6676" width="10.89453125" style="226" customWidth="1"/>
    <col min="6677" max="6677" width="11.62890625" style="226" customWidth="1"/>
    <col min="6678" max="6678" width="5.62890625" style="226" customWidth="1"/>
    <col min="6679" max="6679" width="6" style="226" customWidth="1"/>
    <col min="6680" max="6680" width="6.62890625" style="226" customWidth="1"/>
    <col min="6681" max="6681" width="11.1015625" style="226" customWidth="1"/>
    <col min="6682" max="6682" width="7.1015625" style="226" customWidth="1"/>
    <col min="6683" max="6684" width="5.89453125" style="226" customWidth="1"/>
    <col min="6685" max="6685" width="6" style="226" customWidth="1"/>
    <col min="6686" max="6686" width="6.89453125" style="226" customWidth="1"/>
    <col min="6687" max="6687" width="6" style="226" customWidth="1"/>
    <col min="6688" max="6688" width="18.1015625" style="226" customWidth="1"/>
    <col min="6689" max="6926" width="8.83984375" style="226"/>
    <col min="6927" max="6927" width="2.1015625" style="226" customWidth="1"/>
    <col min="6928" max="6928" width="5.89453125" style="226" customWidth="1"/>
    <col min="6929" max="6929" width="6.89453125" style="226" customWidth="1"/>
    <col min="6930" max="6930" width="6.1015625" style="226" customWidth="1"/>
    <col min="6931" max="6931" width="6.89453125" style="226" customWidth="1"/>
    <col min="6932" max="6932" width="10.89453125" style="226" customWidth="1"/>
    <col min="6933" max="6933" width="11.62890625" style="226" customWidth="1"/>
    <col min="6934" max="6934" width="5.62890625" style="226" customWidth="1"/>
    <col min="6935" max="6935" width="6" style="226" customWidth="1"/>
    <col min="6936" max="6936" width="6.62890625" style="226" customWidth="1"/>
    <col min="6937" max="6937" width="11.1015625" style="226" customWidth="1"/>
    <col min="6938" max="6938" width="7.1015625" style="226" customWidth="1"/>
    <col min="6939" max="6940" width="5.89453125" style="226" customWidth="1"/>
    <col min="6941" max="6941" width="6" style="226" customWidth="1"/>
    <col min="6942" max="6942" width="6.89453125" style="226" customWidth="1"/>
    <col min="6943" max="6943" width="6" style="226" customWidth="1"/>
    <col min="6944" max="6944" width="18.1015625" style="226" customWidth="1"/>
    <col min="6945" max="7182" width="8.83984375" style="226"/>
    <col min="7183" max="7183" width="2.1015625" style="226" customWidth="1"/>
    <col min="7184" max="7184" width="5.89453125" style="226" customWidth="1"/>
    <col min="7185" max="7185" width="6.89453125" style="226" customWidth="1"/>
    <col min="7186" max="7186" width="6.1015625" style="226" customWidth="1"/>
    <col min="7187" max="7187" width="6.89453125" style="226" customWidth="1"/>
    <col min="7188" max="7188" width="10.89453125" style="226" customWidth="1"/>
    <col min="7189" max="7189" width="11.62890625" style="226" customWidth="1"/>
    <col min="7190" max="7190" width="5.62890625" style="226" customWidth="1"/>
    <col min="7191" max="7191" width="6" style="226" customWidth="1"/>
    <col min="7192" max="7192" width="6.62890625" style="226" customWidth="1"/>
    <col min="7193" max="7193" width="11.1015625" style="226" customWidth="1"/>
    <col min="7194" max="7194" width="7.1015625" style="226" customWidth="1"/>
    <col min="7195" max="7196" width="5.89453125" style="226" customWidth="1"/>
    <col min="7197" max="7197" width="6" style="226" customWidth="1"/>
    <col min="7198" max="7198" width="6.89453125" style="226" customWidth="1"/>
    <col min="7199" max="7199" width="6" style="226" customWidth="1"/>
    <col min="7200" max="7200" width="18.1015625" style="226" customWidth="1"/>
    <col min="7201" max="7438" width="8.83984375" style="226"/>
    <col min="7439" max="7439" width="2.1015625" style="226" customWidth="1"/>
    <col min="7440" max="7440" width="5.89453125" style="226" customWidth="1"/>
    <col min="7441" max="7441" width="6.89453125" style="226" customWidth="1"/>
    <col min="7442" max="7442" width="6.1015625" style="226" customWidth="1"/>
    <col min="7443" max="7443" width="6.89453125" style="226" customWidth="1"/>
    <col min="7444" max="7444" width="10.89453125" style="226" customWidth="1"/>
    <col min="7445" max="7445" width="11.62890625" style="226" customWidth="1"/>
    <col min="7446" max="7446" width="5.62890625" style="226" customWidth="1"/>
    <col min="7447" max="7447" width="6" style="226" customWidth="1"/>
    <col min="7448" max="7448" width="6.62890625" style="226" customWidth="1"/>
    <col min="7449" max="7449" width="11.1015625" style="226" customWidth="1"/>
    <col min="7450" max="7450" width="7.1015625" style="226" customWidth="1"/>
    <col min="7451" max="7452" width="5.89453125" style="226" customWidth="1"/>
    <col min="7453" max="7453" width="6" style="226" customWidth="1"/>
    <col min="7454" max="7454" width="6.89453125" style="226" customWidth="1"/>
    <col min="7455" max="7455" width="6" style="226" customWidth="1"/>
    <col min="7456" max="7456" width="18.1015625" style="226" customWidth="1"/>
    <col min="7457" max="7694" width="8.83984375" style="226"/>
    <col min="7695" max="7695" width="2.1015625" style="226" customWidth="1"/>
    <col min="7696" max="7696" width="5.89453125" style="226" customWidth="1"/>
    <col min="7697" max="7697" width="6.89453125" style="226" customWidth="1"/>
    <col min="7698" max="7698" width="6.1015625" style="226" customWidth="1"/>
    <col min="7699" max="7699" width="6.89453125" style="226" customWidth="1"/>
    <col min="7700" max="7700" width="10.89453125" style="226" customWidth="1"/>
    <col min="7701" max="7701" width="11.62890625" style="226" customWidth="1"/>
    <col min="7702" max="7702" width="5.62890625" style="226" customWidth="1"/>
    <col min="7703" max="7703" width="6" style="226" customWidth="1"/>
    <col min="7704" max="7704" width="6.62890625" style="226" customWidth="1"/>
    <col min="7705" max="7705" width="11.1015625" style="226" customWidth="1"/>
    <col min="7706" max="7706" width="7.1015625" style="226" customWidth="1"/>
    <col min="7707" max="7708" width="5.89453125" style="226" customWidth="1"/>
    <col min="7709" max="7709" width="6" style="226" customWidth="1"/>
    <col min="7710" max="7710" width="6.89453125" style="226" customWidth="1"/>
    <col min="7711" max="7711" width="6" style="226" customWidth="1"/>
    <col min="7712" max="7712" width="18.1015625" style="226" customWidth="1"/>
    <col min="7713" max="7950" width="8.83984375" style="226"/>
    <col min="7951" max="7951" width="2.1015625" style="226" customWidth="1"/>
    <col min="7952" max="7952" width="5.89453125" style="226" customWidth="1"/>
    <col min="7953" max="7953" width="6.89453125" style="226" customWidth="1"/>
    <col min="7954" max="7954" width="6.1015625" style="226" customWidth="1"/>
    <col min="7955" max="7955" width="6.89453125" style="226" customWidth="1"/>
    <col min="7956" max="7956" width="10.89453125" style="226" customWidth="1"/>
    <col min="7957" max="7957" width="11.62890625" style="226" customWidth="1"/>
    <col min="7958" max="7958" width="5.62890625" style="226" customWidth="1"/>
    <col min="7959" max="7959" width="6" style="226" customWidth="1"/>
    <col min="7960" max="7960" width="6.62890625" style="226" customWidth="1"/>
    <col min="7961" max="7961" width="11.1015625" style="226" customWidth="1"/>
    <col min="7962" max="7962" width="7.1015625" style="226" customWidth="1"/>
    <col min="7963" max="7964" width="5.89453125" style="226" customWidth="1"/>
    <col min="7965" max="7965" width="6" style="226" customWidth="1"/>
    <col min="7966" max="7966" width="6.89453125" style="226" customWidth="1"/>
    <col min="7967" max="7967" width="6" style="226" customWidth="1"/>
    <col min="7968" max="7968" width="18.1015625" style="226" customWidth="1"/>
    <col min="7969" max="8206" width="8.83984375" style="226"/>
    <col min="8207" max="8207" width="2.1015625" style="226" customWidth="1"/>
    <col min="8208" max="8208" width="5.89453125" style="226" customWidth="1"/>
    <col min="8209" max="8209" width="6.89453125" style="226" customWidth="1"/>
    <col min="8210" max="8210" width="6.1015625" style="226" customWidth="1"/>
    <col min="8211" max="8211" width="6.89453125" style="226" customWidth="1"/>
    <col min="8212" max="8212" width="10.89453125" style="226" customWidth="1"/>
    <col min="8213" max="8213" width="11.62890625" style="226" customWidth="1"/>
    <col min="8214" max="8214" width="5.62890625" style="226" customWidth="1"/>
    <col min="8215" max="8215" width="6" style="226" customWidth="1"/>
    <col min="8216" max="8216" width="6.62890625" style="226" customWidth="1"/>
    <col min="8217" max="8217" width="11.1015625" style="226" customWidth="1"/>
    <col min="8218" max="8218" width="7.1015625" style="226" customWidth="1"/>
    <col min="8219" max="8220" width="5.89453125" style="226" customWidth="1"/>
    <col min="8221" max="8221" width="6" style="226" customWidth="1"/>
    <col min="8222" max="8222" width="6.89453125" style="226" customWidth="1"/>
    <col min="8223" max="8223" width="6" style="226" customWidth="1"/>
    <col min="8224" max="8224" width="18.1015625" style="226" customWidth="1"/>
    <col min="8225" max="8462" width="8.83984375" style="226"/>
    <col min="8463" max="8463" width="2.1015625" style="226" customWidth="1"/>
    <col min="8464" max="8464" width="5.89453125" style="226" customWidth="1"/>
    <col min="8465" max="8465" width="6.89453125" style="226" customWidth="1"/>
    <col min="8466" max="8466" width="6.1015625" style="226" customWidth="1"/>
    <col min="8467" max="8467" width="6.89453125" style="226" customWidth="1"/>
    <col min="8468" max="8468" width="10.89453125" style="226" customWidth="1"/>
    <col min="8469" max="8469" width="11.62890625" style="226" customWidth="1"/>
    <col min="8470" max="8470" width="5.62890625" style="226" customWidth="1"/>
    <col min="8471" max="8471" width="6" style="226" customWidth="1"/>
    <col min="8472" max="8472" width="6.62890625" style="226" customWidth="1"/>
    <col min="8473" max="8473" width="11.1015625" style="226" customWidth="1"/>
    <col min="8474" max="8474" width="7.1015625" style="226" customWidth="1"/>
    <col min="8475" max="8476" width="5.89453125" style="226" customWidth="1"/>
    <col min="8477" max="8477" width="6" style="226" customWidth="1"/>
    <col min="8478" max="8478" width="6.89453125" style="226" customWidth="1"/>
    <col min="8479" max="8479" width="6" style="226" customWidth="1"/>
    <col min="8480" max="8480" width="18.1015625" style="226" customWidth="1"/>
    <col min="8481" max="8718" width="8.83984375" style="226"/>
    <col min="8719" max="8719" width="2.1015625" style="226" customWidth="1"/>
    <col min="8720" max="8720" width="5.89453125" style="226" customWidth="1"/>
    <col min="8721" max="8721" width="6.89453125" style="226" customWidth="1"/>
    <col min="8722" max="8722" width="6.1015625" style="226" customWidth="1"/>
    <col min="8723" max="8723" width="6.89453125" style="226" customWidth="1"/>
    <col min="8724" max="8724" width="10.89453125" style="226" customWidth="1"/>
    <col min="8725" max="8725" width="11.62890625" style="226" customWidth="1"/>
    <col min="8726" max="8726" width="5.62890625" style="226" customWidth="1"/>
    <col min="8727" max="8727" width="6" style="226" customWidth="1"/>
    <col min="8728" max="8728" width="6.62890625" style="226" customWidth="1"/>
    <col min="8729" max="8729" width="11.1015625" style="226" customWidth="1"/>
    <col min="8730" max="8730" width="7.1015625" style="226" customWidth="1"/>
    <col min="8731" max="8732" width="5.89453125" style="226" customWidth="1"/>
    <col min="8733" max="8733" width="6" style="226" customWidth="1"/>
    <col min="8734" max="8734" width="6.89453125" style="226" customWidth="1"/>
    <col min="8735" max="8735" width="6" style="226" customWidth="1"/>
    <col min="8736" max="8736" width="18.1015625" style="226" customWidth="1"/>
    <col min="8737" max="8974" width="8.83984375" style="226"/>
    <col min="8975" max="8975" width="2.1015625" style="226" customWidth="1"/>
    <col min="8976" max="8976" width="5.89453125" style="226" customWidth="1"/>
    <col min="8977" max="8977" width="6.89453125" style="226" customWidth="1"/>
    <col min="8978" max="8978" width="6.1015625" style="226" customWidth="1"/>
    <col min="8979" max="8979" width="6.89453125" style="226" customWidth="1"/>
    <col min="8980" max="8980" width="10.89453125" style="226" customWidth="1"/>
    <col min="8981" max="8981" width="11.62890625" style="226" customWidth="1"/>
    <col min="8982" max="8982" width="5.62890625" style="226" customWidth="1"/>
    <col min="8983" max="8983" width="6" style="226" customWidth="1"/>
    <col min="8984" max="8984" width="6.62890625" style="226" customWidth="1"/>
    <col min="8985" max="8985" width="11.1015625" style="226" customWidth="1"/>
    <col min="8986" max="8986" width="7.1015625" style="226" customWidth="1"/>
    <col min="8987" max="8988" width="5.89453125" style="226" customWidth="1"/>
    <col min="8989" max="8989" width="6" style="226" customWidth="1"/>
    <col min="8990" max="8990" width="6.89453125" style="226" customWidth="1"/>
    <col min="8991" max="8991" width="6" style="226" customWidth="1"/>
    <col min="8992" max="8992" width="18.1015625" style="226" customWidth="1"/>
    <col min="8993" max="9230" width="8.83984375" style="226"/>
    <col min="9231" max="9231" width="2.1015625" style="226" customWidth="1"/>
    <col min="9232" max="9232" width="5.89453125" style="226" customWidth="1"/>
    <col min="9233" max="9233" width="6.89453125" style="226" customWidth="1"/>
    <col min="9234" max="9234" width="6.1015625" style="226" customWidth="1"/>
    <col min="9235" max="9235" width="6.89453125" style="226" customWidth="1"/>
    <col min="9236" max="9236" width="10.89453125" style="226" customWidth="1"/>
    <col min="9237" max="9237" width="11.62890625" style="226" customWidth="1"/>
    <col min="9238" max="9238" width="5.62890625" style="226" customWidth="1"/>
    <col min="9239" max="9239" width="6" style="226" customWidth="1"/>
    <col min="9240" max="9240" width="6.62890625" style="226" customWidth="1"/>
    <col min="9241" max="9241" width="11.1015625" style="226" customWidth="1"/>
    <col min="9242" max="9242" width="7.1015625" style="226" customWidth="1"/>
    <col min="9243" max="9244" width="5.89453125" style="226" customWidth="1"/>
    <col min="9245" max="9245" width="6" style="226" customWidth="1"/>
    <col min="9246" max="9246" width="6.89453125" style="226" customWidth="1"/>
    <col min="9247" max="9247" width="6" style="226" customWidth="1"/>
    <col min="9248" max="9248" width="18.1015625" style="226" customWidth="1"/>
    <col min="9249" max="9486" width="8.83984375" style="226"/>
    <col min="9487" max="9487" width="2.1015625" style="226" customWidth="1"/>
    <col min="9488" max="9488" width="5.89453125" style="226" customWidth="1"/>
    <col min="9489" max="9489" width="6.89453125" style="226" customWidth="1"/>
    <col min="9490" max="9490" width="6.1015625" style="226" customWidth="1"/>
    <col min="9491" max="9491" width="6.89453125" style="226" customWidth="1"/>
    <col min="9492" max="9492" width="10.89453125" style="226" customWidth="1"/>
    <col min="9493" max="9493" width="11.62890625" style="226" customWidth="1"/>
    <col min="9494" max="9494" width="5.62890625" style="226" customWidth="1"/>
    <col min="9495" max="9495" width="6" style="226" customWidth="1"/>
    <col min="9496" max="9496" width="6.62890625" style="226" customWidth="1"/>
    <col min="9497" max="9497" width="11.1015625" style="226" customWidth="1"/>
    <col min="9498" max="9498" width="7.1015625" style="226" customWidth="1"/>
    <col min="9499" max="9500" width="5.89453125" style="226" customWidth="1"/>
    <col min="9501" max="9501" width="6" style="226" customWidth="1"/>
    <col min="9502" max="9502" width="6.89453125" style="226" customWidth="1"/>
    <col min="9503" max="9503" width="6" style="226" customWidth="1"/>
    <col min="9504" max="9504" width="18.1015625" style="226" customWidth="1"/>
    <col min="9505" max="9742" width="8.83984375" style="226"/>
    <col min="9743" max="9743" width="2.1015625" style="226" customWidth="1"/>
    <col min="9744" max="9744" width="5.89453125" style="226" customWidth="1"/>
    <col min="9745" max="9745" width="6.89453125" style="226" customWidth="1"/>
    <col min="9746" max="9746" width="6.1015625" style="226" customWidth="1"/>
    <col min="9747" max="9747" width="6.89453125" style="226" customWidth="1"/>
    <col min="9748" max="9748" width="10.89453125" style="226" customWidth="1"/>
    <col min="9749" max="9749" width="11.62890625" style="226" customWidth="1"/>
    <col min="9750" max="9750" width="5.62890625" style="226" customWidth="1"/>
    <col min="9751" max="9751" width="6" style="226" customWidth="1"/>
    <col min="9752" max="9752" width="6.62890625" style="226" customWidth="1"/>
    <col min="9753" max="9753" width="11.1015625" style="226" customWidth="1"/>
    <col min="9754" max="9754" width="7.1015625" style="226" customWidth="1"/>
    <col min="9755" max="9756" width="5.89453125" style="226" customWidth="1"/>
    <col min="9757" max="9757" width="6" style="226" customWidth="1"/>
    <col min="9758" max="9758" width="6.89453125" style="226" customWidth="1"/>
    <col min="9759" max="9759" width="6" style="226" customWidth="1"/>
    <col min="9760" max="9760" width="18.1015625" style="226" customWidth="1"/>
    <col min="9761" max="9998" width="8.83984375" style="226"/>
    <col min="9999" max="9999" width="2.1015625" style="226" customWidth="1"/>
    <col min="10000" max="10000" width="5.89453125" style="226" customWidth="1"/>
    <col min="10001" max="10001" width="6.89453125" style="226" customWidth="1"/>
    <col min="10002" max="10002" width="6.1015625" style="226" customWidth="1"/>
    <col min="10003" max="10003" width="6.89453125" style="226" customWidth="1"/>
    <col min="10004" max="10004" width="10.89453125" style="226" customWidth="1"/>
    <col min="10005" max="10005" width="11.62890625" style="226" customWidth="1"/>
    <col min="10006" max="10006" width="5.62890625" style="226" customWidth="1"/>
    <col min="10007" max="10007" width="6" style="226" customWidth="1"/>
    <col min="10008" max="10008" width="6.62890625" style="226" customWidth="1"/>
    <col min="10009" max="10009" width="11.1015625" style="226" customWidth="1"/>
    <col min="10010" max="10010" width="7.1015625" style="226" customWidth="1"/>
    <col min="10011" max="10012" width="5.89453125" style="226" customWidth="1"/>
    <col min="10013" max="10013" width="6" style="226" customWidth="1"/>
    <col min="10014" max="10014" width="6.89453125" style="226" customWidth="1"/>
    <col min="10015" max="10015" width="6" style="226" customWidth="1"/>
    <col min="10016" max="10016" width="18.1015625" style="226" customWidth="1"/>
    <col min="10017" max="10254" width="8.83984375" style="226"/>
    <col min="10255" max="10255" width="2.1015625" style="226" customWidth="1"/>
    <col min="10256" max="10256" width="5.89453125" style="226" customWidth="1"/>
    <col min="10257" max="10257" width="6.89453125" style="226" customWidth="1"/>
    <col min="10258" max="10258" width="6.1015625" style="226" customWidth="1"/>
    <col min="10259" max="10259" width="6.89453125" style="226" customWidth="1"/>
    <col min="10260" max="10260" width="10.89453125" style="226" customWidth="1"/>
    <col min="10261" max="10261" width="11.62890625" style="226" customWidth="1"/>
    <col min="10262" max="10262" width="5.62890625" style="226" customWidth="1"/>
    <col min="10263" max="10263" width="6" style="226" customWidth="1"/>
    <col min="10264" max="10264" width="6.62890625" style="226" customWidth="1"/>
    <col min="10265" max="10265" width="11.1015625" style="226" customWidth="1"/>
    <col min="10266" max="10266" width="7.1015625" style="226" customWidth="1"/>
    <col min="10267" max="10268" width="5.89453125" style="226" customWidth="1"/>
    <col min="10269" max="10269" width="6" style="226" customWidth="1"/>
    <col min="10270" max="10270" width="6.89453125" style="226" customWidth="1"/>
    <col min="10271" max="10271" width="6" style="226" customWidth="1"/>
    <col min="10272" max="10272" width="18.1015625" style="226" customWidth="1"/>
    <col min="10273" max="10510" width="8.83984375" style="226"/>
    <col min="10511" max="10511" width="2.1015625" style="226" customWidth="1"/>
    <col min="10512" max="10512" width="5.89453125" style="226" customWidth="1"/>
    <col min="10513" max="10513" width="6.89453125" style="226" customWidth="1"/>
    <col min="10514" max="10514" width="6.1015625" style="226" customWidth="1"/>
    <col min="10515" max="10515" width="6.89453125" style="226" customWidth="1"/>
    <col min="10516" max="10516" width="10.89453125" style="226" customWidth="1"/>
    <col min="10517" max="10517" width="11.62890625" style="226" customWidth="1"/>
    <col min="10518" max="10518" width="5.62890625" style="226" customWidth="1"/>
    <col min="10519" max="10519" width="6" style="226" customWidth="1"/>
    <col min="10520" max="10520" width="6.62890625" style="226" customWidth="1"/>
    <col min="10521" max="10521" width="11.1015625" style="226" customWidth="1"/>
    <col min="10522" max="10522" width="7.1015625" style="226" customWidth="1"/>
    <col min="10523" max="10524" width="5.89453125" style="226" customWidth="1"/>
    <col min="10525" max="10525" width="6" style="226" customWidth="1"/>
    <col min="10526" max="10526" width="6.89453125" style="226" customWidth="1"/>
    <col min="10527" max="10527" width="6" style="226" customWidth="1"/>
    <col min="10528" max="10528" width="18.1015625" style="226" customWidth="1"/>
    <col min="10529" max="10766" width="8.83984375" style="226"/>
    <col min="10767" max="10767" width="2.1015625" style="226" customWidth="1"/>
    <col min="10768" max="10768" width="5.89453125" style="226" customWidth="1"/>
    <col min="10769" max="10769" width="6.89453125" style="226" customWidth="1"/>
    <col min="10770" max="10770" width="6.1015625" style="226" customWidth="1"/>
    <col min="10771" max="10771" width="6.89453125" style="226" customWidth="1"/>
    <col min="10772" max="10772" width="10.89453125" style="226" customWidth="1"/>
    <col min="10773" max="10773" width="11.62890625" style="226" customWidth="1"/>
    <col min="10774" max="10774" width="5.62890625" style="226" customWidth="1"/>
    <col min="10775" max="10775" width="6" style="226" customWidth="1"/>
    <col min="10776" max="10776" width="6.62890625" style="226" customWidth="1"/>
    <col min="10777" max="10777" width="11.1015625" style="226" customWidth="1"/>
    <col min="10778" max="10778" width="7.1015625" style="226" customWidth="1"/>
    <col min="10779" max="10780" width="5.89453125" style="226" customWidth="1"/>
    <col min="10781" max="10781" width="6" style="226" customWidth="1"/>
    <col min="10782" max="10782" width="6.89453125" style="226" customWidth="1"/>
    <col min="10783" max="10783" width="6" style="226" customWidth="1"/>
    <col min="10784" max="10784" width="18.1015625" style="226" customWidth="1"/>
    <col min="10785" max="11022" width="8.83984375" style="226"/>
    <col min="11023" max="11023" width="2.1015625" style="226" customWidth="1"/>
    <col min="11024" max="11024" width="5.89453125" style="226" customWidth="1"/>
    <col min="11025" max="11025" width="6.89453125" style="226" customWidth="1"/>
    <col min="11026" max="11026" width="6.1015625" style="226" customWidth="1"/>
    <col min="11027" max="11027" width="6.89453125" style="226" customWidth="1"/>
    <col min="11028" max="11028" width="10.89453125" style="226" customWidth="1"/>
    <col min="11029" max="11029" width="11.62890625" style="226" customWidth="1"/>
    <col min="11030" max="11030" width="5.62890625" style="226" customWidth="1"/>
    <col min="11031" max="11031" width="6" style="226" customWidth="1"/>
    <col min="11032" max="11032" width="6.62890625" style="226" customWidth="1"/>
    <col min="11033" max="11033" width="11.1015625" style="226" customWidth="1"/>
    <col min="11034" max="11034" width="7.1015625" style="226" customWidth="1"/>
    <col min="11035" max="11036" width="5.89453125" style="226" customWidth="1"/>
    <col min="11037" max="11037" width="6" style="226" customWidth="1"/>
    <col min="11038" max="11038" width="6.89453125" style="226" customWidth="1"/>
    <col min="11039" max="11039" width="6" style="226" customWidth="1"/>
    <col min="11040" max="11040" width="18.1015625" style="226" customWidth="1"/>
    <col min="11041" max="11278" width="8.83984375" style="226"/>
    <col min="11279" max="11279" width="2.1015625" style="226" customWidth="1"/>
    <col min="11280" max="11280" width="5.89453125" style="226" customWidth="1"/>
    <col min="11281" max="11281" width="6.89453125" style="226" customWidth="1"/>
    <col min="11282" max="11282" width="6.1015625" style="226" customWidth="1"/>
    <col min="11283" max="11283" width="6.89453125" style="226" customWidth="1"/>
    <col min="11284" max="11284" width="10.89453125" style="226" customWidth="1"/>
    <col min="11285" max="11285" width="11.62890625" style="226" customWidth="1"/>
    <col min="11286" max="11286" width="5.62890625" style="226" customWidth="1"/>
    <col min="11287" max="11287" width="6" style="226" customWidth="1"/>
    <col min="11288" max="11288" width="6.62890625" style="226" customWidth="1"/>
    <col min="11289" max="11289" width="11.1015625" style="226" customWidth="1"/>
    <col min="11290" max="11290" width="7.1015625" style="226" customWidth="1"/>
    <col min="11291" max="11292" width="5.89453125" style="226" customWidth="1"/>
    <col min="11293" max="11293" width="6" style="226" customWidth="1"/>
    <col min="11294" max="11294" width="6.89453125" style="226" customWidth="1"/>
    <col min="11295" max="11295" width="6" style="226" customWidth="1"/>
    <col min="11296" max="11296" width="18.1015625" style="226" customWidth="1"/>
    <col min="11297" max="11534" width="8.83984375" style="226"/>
    <col min="11535" max="11535" width="2.1015625" style="226" customWidth="1"/>
    <col min="11536" max="11536" width="5.89453125" style="226" customWidth="1"/>
    <col min="11537" max="11537" width="6.89453125" style="226" customWidth="1"/>
    <col min="11538" max="11538" width="6.1015625" style="226" customWidth="1"/>
    <col min="11539" max="11539" width="6.89453125" style="226" customWidth="1"/>
    <col min="11540" max="11540" width="10.89453125" style="226" customWidth="1"/>
    <col min="11541" max="11541" width="11.62890625" style="226" customWidth="1"/>
    <col min="11542" max="11542" width="5.62890625" style="226" customWidth="1"/>
    <col min="11543" max="11543" width="6" style="226" customWidth="1"/>
    <col min="11544" max="11544" width="6.62890625" style="226" customWidth="1"/>
    <col min="11545" max="11545" width="11.1015625" style="226" customWidth="1"/>
    <col min="11546" max="11546" width="7.1015625" style="226" customWidth="1"/>
    <col min="11547" max="11548" width="5.89453125" style="226" customWidth="1"/>
    <col min="11549" max="11549" width="6" style="226" customWidth="1"/>
    <col min="11550" max="11550" width="6.89453125" style="226" customWidth="1"/>
    <col min="11551" max="11551" width="6" style="226" customWidth="1"/>
    <col min="11552" max="11552" width="18.1015625" style="226" customWidth="1"/>
    <col min="11553" max="11790" width="8.83984375" style="226"/>
    <col min="11791" max="11791" width="2.1015625" style="226" customWidth="1"/>
    <col min="11792" max="11792" width="5.89453125" style="226" customWidth="1"/>
    <col min="11793" max="11793" width="6.89453125" style="226" customWidth="1"/>
    <col min="11794" max="11794" width="6.1015625" style="226" customWidth="1"/>
    <col min="11795" max="11795" width="6.89453125" style="226" customWidth="1"/>
    <col min="11796" max="11796" width="10.89453125" style="226" customWidth="1"/>
    <col min="11797" max="11797" width="11.62890625" style="226" customWidth="1"/>
    <col min="11798" max="11798" width="5.62890625" style="226" customWidth="1"/>
    <col min="11799" max="11799" width="6" style="226" customWidth="1"/>
    <col min="11800" max="11800" width="6.62890625" style="226" customWidth="1"/>
    <col min="11801" max="11801" width="11.1015625" style="226" customWidth="1"/>
    <col min="11802" max="11802" width="7.1015625" style="226" customWidth="1"/>
    <col min="11803" max="11804" width="5.89453125" style="226" customWidth="1"/>
    <col min="11805" max="11805" width="6" style="226" customWidth="1"/>
    <col min="11806" max="11806" width="6.89453125" style="226" customWidth="1"/>
    <col min="11807" max="11807" width="6" style="226" customWidth="1"/>
    <col min="11808" max="11808" width="18.1015625" style="226" customWidth="1"/>
    <col min="11809" max="12046" width="8.83984375" style="226"/>
    <col min="12047" max="12047" width="2.1015625" style="226" customWidth="1"/>
    <col min="12048" max="12048" width="5.89453125" style="226" customWidth="1"/>
    <col min="12049" max="12049" width="6.89453125" style="226" customWidth="1"/>
    <col min="12050" max="12050" width="6.1015625" style="226" customWidth="1"/>
    <col min="12051" max="12051" width="6.89453125" style="226" customWidth="1"/>
    <col min="12052" max="12052" width="10.89453125" style="226" customWidth="1"/>
    <col min="12053" max="12053" width="11.62890625" style="226" customWidth="1"/>
    <col min="12054" max="12054" width="5.62890625" style="226" customWidth="1"/>
    <col min="12055" max="12055" width="6" style="226" customWidth="1"/>
    <col min="12056" max="12056" width="6.62890625" style="226" customWidth="1"/>
    <col min="12057" max="12057" width="11.1015625" style="226" customWidth="1"/>
    <col min="12058" max="12058" width="7.1015625" style="226" customWidth="1"/>
    <col min="12059" max="12060" width="5.89453125" style="226" customWidth="1"/>
    <col min="12061" max="12061" width="6" style="226" customWidth="1"/>
    <col min="12062" max="12062" width="6.89453125" style="226" customWidth="1"/>
    <col min="12063" max="12063" width="6" style="226" customWidth="1"/>
    <col min="12064" max="12064" width="18.1015625" style="226" customWidth="1"/>
    <col min="12065" max="12302" width="8.83984375" style="226"/>
    <col min="12303" max="12303" width="2.1015625" style="226" customWidth="1"/>
    <col min="12304" max="12304" width="5.89453125" style="226" customWidth="1"/>
    <col min="12305" max="12305" width="6.89453125" style="226" customWidth="1"/>
    <col min="12306" max="12306" width="6.1015625" style="226" customWidth="1"/>
    <col min="12307" max="12307" width="6.89453125" style="226" customWidth="1"/>
    <col min="12308" max="12308" width="10.89453125" style="226" customWidth="1"/>
    <col min="12309" max="12309" width="11.62890625" style="226" customWidth="1"/>
    <col min="12310" max="12310" width="5.62890625" style="226" customWidth="1"/>
    <col min="12311" max="12311" width="6" style="226" customWidth="1"/>
    <col min="12312" max="12312" width="6.62890625" style="226" customWidth="1"/>
    <col min="12313" max="12313" width="11.1015625" style="226" customWidth="1"/>
    <col min="12314" max="12314" width="7.1015625" style="226" customWidth="1"/>
    <col min="12315" max="12316" width="5.89453125" style="226" customWidth="1"/>
    <col min="12317" max="12317" width="6" style="226" customWidth="1"/>
    <col min="12318" max="12318" width="6.89453125" style="226" customWidth="1"/>
    <col min="12319" max="12319" width="6" style="226" customWidth="1"/>
    <col min="12320" max="12320" width="18.1015625" style="226" customWidth="1"/>
    <col min="12321" max="12558" width="8.83984375" style="226"/>
    <col min="12559" max="12559" width="2.1015625" style="226" customWidth="1"/>
    <col min="12560" max="12560" width="5.89453125" style="226" customWidth="1"/>
    <col min="12561" max="12561" width="6.89453125" style="226" customWidth="1"/>
    <col min="12562" max="12562" width="6.1015625" style="226" customWidth="1"/>
    <col min="12563" max="12563" width="6.89453125" style="226" customWidth="1"/>
    <col min="12564" max="12564" width="10.89453125" style="226" customWidth="1"/>
    <col min="12565" max="12565" width="11.62890625" style="226" customWidth="1"/>
    <col min="12566" max="12566" width="5.62890625" style="226" customWidth="1"/>
    <col min="12567" max="12567" width="6" style="226" customWidth="1"/>
    <col min="12568" max="12568" width="6.62890625" style="226" customWidth="1"/>
    <col min="12569" max="12569" width="11.1015625" style="226" customWidth="1"/>
    <col min="12570" max="12570" width="7.1015625" style="226" customWidth="1"/>
    <col min="12571" max="12572" width="5.89453125" style="226" customWidth="1"/>
    <col min="12573" max="12573" width="6" style="226" customWidth="1"/>
    <col min="12574" max="12574" width="6.89453125" style="226" customWidth="1"/>
    <col min="12575" max="12575" width="6" style="226" customWidth="1"/>
    <col min="12576" max="12576" width="18.1015625" style="226" customWidth="1"/>
    <col min="12577" max="12814" width="8.83984375" style="226"/>
    <col min="12815" max="12815" width="2.1015625" style="226" customWidth="1"/>
    <col min="12816" max="12816" width="5.89453125" style="226" customWidth="1"/>
    <col min="12817" max="12817" width="6.89453125" style="226" customWidth="1"/>
    <col min="12818" max="12818" width="6.1015625" style="226" customWidth="1"/>
    <col min="12819" max="12819" width="6.89453125" style="226" customWidth="1"/>
    <col min="12820" max="12820" width="10.89453125" style="226" customWidth="1"/>
    <col min="12821" max="12821" width="11.62890625" style="226" customWidth="1"/>
    <col min="12822" max="12822" width="5.62890625" style="226" customWidth="1"/>
    <col min="12823" max="12823" width="6" style="226" customWidth="1"/>
    <col min="12824" max="12824" width="6.62890625" style="226" customWidth="1"/>
    <col min="12825" max="12825" width="11.1015625" style="226" customWidth="1"/>
    <col min="12826" max="12826" width="7.1015625" style="226" customWidth="1"/>
    <col min="12827" max="12828" width="5.89453125" style="226" customWidth="1"/>
    <col min="12829" max="12829" width="6" style="226" customWidth="1"/>
    <col min="12830" max="12830" width="6.89453125" style="226" customWidth="1"/>
    <col min="12831" max="12831" width="6" style="226" customWidth="1"/>
    <col min="12832" max="12832" width="18.1015625" style="226" customWidth="1"/>
    <col min="12833" max="13070" width="8.83984375" style="226"/>
    <col min="13071" max="13071" width="2.1015625" style="226" customWidth="1"/>
    <col min="13072" max="13072" width="5.89453125" style="226" customWidth="1"/>
    <col min="13073" max="13073" width="6.89453125" style="226" customWidth="1"/>
    <col min="13074" max="13074" width="6.1015625" style="226" customWidth="1"/>
    <col min="13075" max="13075" width="6.89453125" style="226" customWidth="1"/>
    <col min="13076" max="13076" width="10.89453125" style="226" customWidth="1"/>
    <col min="13077" max="13077" width="11.62890625" style="226" customWidth="1"/>
    <col min="13078" max="13078" width="5.62890625" style="226" customWidth="1"/>
    <col min="13079" max="13079" width="6" style="226" customWidth="1"/>
    <col min="13080" max="13080" width="6.62890625" style="226" customWidth="1"/>
    <col min="13081" max="13081" width="11.1015625" style="226" customWidth="1"/>
    <col min="13082" max="13082" width="7.1015625" style="226" customWidth="1"/>
    <col min="13083" max="13084" width="5.89453125" style="226" customWidth="1"/>
    <col min="13085" max="13085" width="6" style="226" customWidth="1"/>
    <col min="13086" max="13086" width="6.89453125" style="226" customWidth="1"/>
    <col min="13087" max="13087" width="6" style="226" customWidth="1"/>
    <col min="13088" max="13088" width="18.1015625" style="226" customWidth="1"/>
    <col min="13089" max="13326" width="8.83984375" style="226"/>
    <col min="13327" max="13327" width="2.1015625" style="226" customWidth="1"/>
    <col min="13328" max="13328" width="5.89453125" style="226" customWidth="1"/>
    <col min="13329" max="13329" width="6.89453125" style="226" customWidth="1"/>
    <col min="13330" max="13330" width="6.1015625" style="226" customWidth="1"/>
    <col min="13331" max="13331" width="6.89453125" style="226" customWidth="1"/>
    <col min="13332" max="13332" width="10.89453125" style="226" customWidth="1"/>
    <col min="13333" max="13333" width="11.62890625" style="226" customWidth="1"/>
    <col min="13334" max="13334" width="5.62890625" style="226" customWidth="1"/>
    <col min="13335" max="13335" width="6" style="226" customWidth="1"/>
    <col min="13336" max="13336" width="6.62890625" style="226" customWidth="1"/>
    <col min="13337" max="13337" width="11.1015625" style="226" customWidth="1"/>
    <col min="13338" max="13338" width="7.1015625" style="226" customWidth="1"/>
    <col min="13339" max="13340" width="5.89453125" style="226" customWidth="1"/>
    <col min="13341" max="13341" width="6" style="226" customWidth="1"/>
    <col min="13342" max="13342" width="6.89453125" style="226" customWidth="1"/>
    <col min="13343" max="13343" width="6" style="226" customWidth="1"/>
    <col min="13344" max="13344" width="18.1015625" style="226" customWidth="1"/>
    <col min="13345" max="13582" width="8.83984375" style="226"/>
    <col min="13583" max="13583" width="2.1015625" style="226" customWidth="1"/>
    <col min="13584" max="13584" width="5.89453125" style="226" customWidth="1"/>
    <col min="13585" max="13585" width="6.89453125" style="226" customWidth="1"/>
    <col min="13586" max="13586" width="6.1015625" style="226" customWidth="1"/>
    <col min="13587" max="13587" width="6.89453125" style="226" customWidth="1"/>
    <col min="13588" max="13588" width="10.89453125" style="226" customWidth="1"/>
    <col min="13589" max="13589" width="11.62890625" style="226" customWidth="1"/>
    <col min="13590" max="13590" width="5.62890625" style="226" customWidth="1"/>
    <col min="13591" max="13591" width="6" style="226" customWidth="1"/>
    <col min="13592" max="13592" width="6.62890625" style="226" customWidth="1"/>
    <col min="13593" max="13593" width="11.1015625" style="226" customWidth="1"/>
    <col min="13594" max="13594" width="7.1015625" style="226" customWidth="1"/>
    <col min="13595" max="13596" width="5.89453125" style="226" customWidth="1"/>
    <col min="13597" max="13597" width="6" style="226" customWidth="1"/>
    <col min="13598" max="13598" width="6.89453125" style="226" customWidth="1"/>
    <col min="13599" max="13599" width="6" style="226" customWidth="1"/>
    <col min="13600" max="13600" width="18.1015625" style="226" customWidth="1"/>
    <col min="13601" max="13838" width="8.83984375" style="226"/>
    <col min="13839" max="13839" width="2.1015625" style="226" customWidth="1"/>
    <col min="13840" max="13840" width="5.89453125" style="226" customWidth="1"/>
    <col min="13841" max="13841" width="6.89453125" style="226" customWidth="1"/>
    <col min="13842" max="13842" width="6.1015625" style="226" customWidth="1"/>
    <col min="13843" max="13843" width="6.89453125" style="226" customWidth="1"/>
    <col min="13844" max="13844" width="10.89453125" style="226" customWidth="1"/>
    <col min="13845" max="13845" width="11.62890625" style="226" customWidth="1"/>
    <col min="13846" max="13846" width="5.62890625" style="226" customWidth="1"/>
    <col min="13847" max="13847" width="6" style="226" customWidth="1"/>
    <col min="13848" max="13848" width="6.62890625" style="226" customWidth="1"/>
    <col min="13849" max="13849" width="11.1015625" style="226" customWidth="1"/>
    <col min="13850" max="13850" width="7.1015625" style="226" customWidth="1"/>
    <col min="13851" max="13852" width="5.89453125" style="226" customWidth="1"/>
    <col min="13853" max="13853" width="6" style="226" customWidth="1"/>
    <col min="13854" max="13854" width="6.89453125" style="226" customWidth="1"/>
    <col min="13855" max="13855" width="6" style="226" customWidth="1"/>
    <col min="13856" max="13856" width="18.1015625" style="226" customWidth="1"/>
    <col min="13857" max="14094" width="8.83984375" style="226"/>
    <col min="14095" max="14095" width="2.1015625" style="226" customWidth="1"/>
    <col min="14096" max="14096" width="5.89453125" style="226" customWidth="1"/>
    <col min="14097" max="14097" width="6.89453125" style="226" customWidth="1"/>
    <col min="14098" max="14098" width="6.1015625" style="226" customWidth="1"/>
    <col min="14099" max="14099" width="6.89453125" style="226" customWidth="1"/>
    <col min="14100" max="14100" width="10.89453125" style="226" customWidth="1"/>
    <col min="14101" max="14101" width="11.62890625" style="226" customWidth="1"/>
    <col min="14102" max="14102" width="5.62890625" style="226" customWidth="1"/>
    <col min="14103" max="14103" width="6" style="226" customWidth="1"/>
    <col min="14104" max="14104" width="6.62890625" style="226" customWidth="1"/>
    <col min="14105" max="14105" width="11.1015625" style="226" customWidth="1"/>
    <col min="14106" max="14106" width="7.1015625" style="226" customWidth="1"/>
    <col min="14107" max="14108" width="5.89453125" style="226" customWidth="1"/>
    <col min="14109" max="14109" width="6" style="226" customWidth="1"/>
    <col min="14110" max="14110" width="6.89453125" style="226" customWidth="1"/>
    <col min="14111" max="14111" width="6" style="226" customWidth="1"/>
    <col min="14112" max="14112" width="18.1015625" style="226" customWidth="1"/>
    <col min="14113" max="14350" width="8.83984375" style="226"/>
    <col min="14351" max="14351" width="2.1015625" style="226" customWidth="1"/>
    <col min="14352" max="14352" width="5.89453125" style="226" customWidth="1"/>
    <col min="14353" max="14353" width="6.89453125" style="226" customWidth="1"/>
    <col min="14354" max="14354" width="6.1015625" style="226" customWidth="1"/>
    <col min="14355" max="14355" width="6.89453125" style="226" customWidth="1"/>
    <col min="14356" max="14356" width="10.89453125" style="226" customWidth="1"/>
    <col min="14357" max="14357" width="11.62890625" style="226" customWidth="1"/>
    <col min="14358" max="14358" width="5.62890625" style="226" customWidth="1"/>
    <col min="14359" max="14359" width="6" style="226" customWidth="1"/>
    <col min="14360" max="14360" width="6.62890625" style="226" customWidth="1"/>
    <col min="14361" max="14361" width="11.1015625" style="226" customWidth="1"/>
    <col min="14362" max="14362" width="7.1015625" style="226" customWidth="1"/>
    <col min="14363" max="14364" width="5.89453125" style="226" customWidth="1"/>
    <col min="14365" max="14365" width="6" style="226" customWidth="1"/>
    <col min="14366" max="14366" width="6.89453125" style="226" customWidth="1"/>
    <col min="14367" max="14367" width="6" style="226" customWidth="1"/>
    <col min="14368" max="14368" width="18.1015625" style="226" customWidth="1"/>
    <col min="14369" max="14606" width="8.83984375" style="226"/>
    <col min="14607" max="14607" width="2.1015625" style="226" customWidth="1"/>
    <col min="14608" max="14608" width="5.89453125" style="226" customWidth="1"/>
    <col min="14609" max="14609" width="6.89453125" style="226" customWidth="1"/>
    <col min="14610" max="14610" width="6.1015625" style="226" customWidth="1"/>
    <col min="14611" max="14611" width="6.89453125" style="226" customWidth="1"/>
    <col min="14612" max="14612" width="10.89453125" style="226" customWidth="1"/>
    <col min="14613" max="14613" width="11.62890625" style="226" customWidth="1"/>
    <col min="14614" max="14614" width="5.62890625" style="226" customWidth="1"/>
    <col min="14615" max="14615" width="6" style="226" customWidth="1"/>
    <col min="14616" max="14616" width="6.62890625" style="226" customWidth="1"/>
    <col min="14617" max="14617" width="11.1015625" style="226" customWidth="1"/>
    <col min="14618" max="14618" width="7.1015625" style="226" customWidth="1"/>
    <col min="14619" max="14620" width="5.89453125" style="226" customWidth="1"/>
    <col min="14621" max="14621" width="6" style="226" customWidth="1"/>
    <col min="14622" max="14622" width="6.89453125" style="226" customWidth="1"/>
    <col min="14623" max="14623" width="6" style="226" customWidth="1"/>
    <col min="14624" max="14624" width="18.1015625" style="226" customWidth="1"/>
    <col min="14625" max="14862" width="8.83984375" style="226"/>
    <col min="14863" max="14863" width="2.1015625" style="226" customWidth="1"/>
    <col min="14864" max="14864" width="5.89453125" style="226" customWidth="1"/>
    <col min="14865" max="14865" width="6.89453125" style="226" customWidth="1"/>
    <col min="14866" max="14866" width="6.1015625" style="226" customWidth="1"/>
    <col min="14867" max="14867" width="6.89453125" style="226" customWidth="1"/>
    <col min="14868" max="14868" width="10.89453125" style="226" customWidth="1"/>
    <col min="14869" max="14869" width="11.62890625" style="226" customWidth="1"/>
    <col min="14870" max="14870" width="5.62890625" style="226" customWidth="1"/>
    <col min="14871" max="14871" width="6" style="226" customWidth="1"/>
    <col min="14872" max="14872" width="6.62890625" style="226" customWidth="1"/>
    <col min="14873" max="14873" width="11.1015625" style="226" customWidth="1"/>
    <col min="14874" max="14874" width="7.1015625" style="226" customWidth="1"/>
    <col min="14875" max="14876" width="5.89453125" style="226" customWidth="1"/>
    <col min="14877" max="14877" width="6" style="226" customWidth="1"/>
    <col min="14878" max="14878" width="6.89453125" style="226" customWidth="1"/>
    <col min="14879" max="14879" width="6" style="226" customWidth="1"/>
    <col min="14880" max="14880" width="18.1015625" style="226" customWidth="1"/>
    <col min="14881" max="15118" width="8.83984375" style="226"/>
    <col min="15119" max="15119" width="2.1015625" style="226" customWidth="1"/>
    <col min="15120" max="15120" width="5.89453125" style="226" customWidth="1"/>
    <col min="15121" max="15121" width="6.89453125" style="226" customWidth="1"/>
    <col min="15122" max="15122" width="6.1015625" style="226" customWidth="1"/>
    <col min="15123" max="15123" width="6.89453125" style="226" customWidth="1"/>
    <col min="15124" max="15124" width="10.89453125" style="226" customWidth="1"/>
    <col min="15125" max="15125" width="11.62890625" style="226" customWidth="1"/>
    <col min="15126" max="15126" width="5.62890625" style="226" customWidth="1"/>
    <col min="15127" max="15127" width="6" style="226" customWidth="1"/>
    <col min="15128" max="15128" width="6.62890625" style="226" customWidth="1"/>
    <col min="15129" max="15129" width="11.1015625" style="226" customWidth="1"/>
    <col min="15130" max="15130" width="7.1015625" style="226" customWidth="1"/>
    <col min="15131" max="15132" width="5.89453125" style="226" customWidth="1"/>
    <col min="15133" max="15133" width="6" style="226" customWidth="1"/>
    <col min="15134" max="15134" width="6.89453125" style="226" customWidth="1"/>
    <col min="15135" max="15135" width="6" style="226" customWidth="1"/>
    <col min="15136" max="15136" width="18.1015625" style="226" customWidth="1"/>
    <col min="15137" max="15374" width="8.83984375" style="226"/>
    <col min="15375" max="15375" width="2.1015625" style="226" customWidth="1"/>
    <col min="15376" max="15376" width="5.89453125" style="226" customWidth="1"/>
    <col min="15377" max="15377" width="6.89453125" style="226" customWidth="1"/>
    <col min="15378" max="15378" width="6.1015625" style="226" customWidth="1"/>
    <col min="15379" max="15379" width="6.89453125" style="226" customWidth="1"/>
    <col min="15380" max="15380" width="10.89453125" style="226" customWidth="1"/>
    <col min="15381" max="15381" width="11.62890625" style="226" customWidth="1"/>
    <col min="15382" max="15382" width="5.62890625" style="226" customWidth="1"/>
    <col min="15383" max="15383" width="6" style="226" customWidth="1"/>
    <col min="15384" max="15384" width="6.62890625" style="226" customWidth="1"/>
    <col min="15385" max="15385" width="11.1015625" style="226" customWidth="1"/>
    <col min="15386" max="15386" width="7.1015625" style="226" customWidth="1"/>
    <col min="15387" max="15388" width="5.89453125" style="226" customWidth="1"/>
    <col min="15389" max="15389" width="6" style="226" customWidth="1"/>
    <col min="15390" max="15390" width="6.89453125" style="226" customWidth="1"/>
    <col min="15391" max="15391" width="6" style="226" customWidth="1"/>
    <col min="15392" max="15392" width="18.1015625" style="226" customWidth="1"/>
    <col min="15393" max="15630" width="8.83984375" style="226"/>
    <col min="15631" max="15631" width="2.1015625" style="226" customWidth="1"/>
    <col min="15632" max="15632" width="5.89453125" style="226" customWidth="1"/>
    <col min="15633" max="15633" width="6.89453125" style="226" customWidth="1"/>
    <col min="15634" max="15634" width="6.1015625" style="226" customWidth="1"/>
    <col min="15635" max="15635" width="6.89453125" style="226" customWidth="1"/>
    <col min="15636" max="15636" width="10.89453125" style="226" customWidth="1"/>
    <col min="15637" max="15637" width="11.62890625" style="226" customWidth="1"/>
    <col min="15638" max="15638" width="5.62890625" style="226" customWidth="1"/>
    <col min="15639" max="15639" width="6" style="226" customWidth="1"/>
    <col min="15640" max="15640" width="6.62890625" style="226" customWidth="1"/>
    <col min="15641" max="15641" width="11.1015625" style="226" customWidth="1"/>
    <col min="15642" max="15642" width="7.1015625" style="226" customWidth="1"/>
    <col min="15643" max="15644" width="5.89453125" style="226" customWidth="1"/>
    <col min="15645" max="15645" width="6" style="226" customWidth="1"/>
    <col min="15646" max="15646" width="6.89453125" style="226" customWidth="1"/>
    <col min="15647" max="15647" width="6" style="226" customWidth="1"/>
    <col min="15648" max="15648" width="18.1015625" style="226" customWidth="1"/>
    <col min="15649" max="15886" width="8.83984375" style="226"/>
    <col min="15887" max="15887" width="2.1015625" style="226" customWidth="1"/>
    <col min="15888" max="15888" width="5.89453125" style="226" customWidth="1"/>
    <col min="15889" max="15889" width="6.89453125" style="226" customWidth="1"/>
    <col min="15890" max="15890" width="6.1015625" style="226" customWidth="1"/>
    <col min="15891" max="15891" width="6.89453125" style="226" customWidth="1"/>
    <col min="15892" max="15892" width="10.89453125" style="226" customWidth="1"/>
    <col min="15893" max="15893" width="11.62890625" style="226" customWidth="1"/>
    <col min="15894" max="15894" width="5.62890625" style="226" customWidth="1"/>
    <col min="15895" max="15895" width="6" style="226" customWidth="1"/>
    <col min="15896" max="15896" width="6.62890625" style="226" customWidth="1"/>
    <col min="15897" max="15897" width="11.1015625" style="226" customWidth="1"/>
    <col min="15898" max="15898" width="7.1015625" style="226" customWidth="1"/>
    <col min="15899" max="15900" width="5.89453125" style="226" customWidth="1"/>
    <col min="15901" max="15901" width="6" style="226" customWidth="1"/>
    <col min="15902" max="15902" width="6.89453125" style="226" customWidth="1"/>
    <col min="15903" max="15903" width="6" style="226" customWidth="1"/>
    <col min="15904" max="15904" width="18.1015625" style="226" customWidth="1"/>
    <col min="15905" max="16142" width="8.83984375" style="226"/>
    <col min="16143" max="16143" width="2.1015625" style="226" customWidth="1"/>
    <col min="16144" max="16144" width="5.89453125" style="226" customWidth="1"/>
    <col min="16145" max="16145" width="6.89453125" style="226" customWidth="1"/>
    <col min="16146" max="16146" width="6.1015625" style="226" customWidth="1"/>
    <col min="16147" max="16147" width="6.89453125" style="226" customWidth="1"/>
    <col min="16148" max="16148" width="10.89453125" style="226" customWidth="1"/>
    <col min="16149" max="16149" width="11.62890625" style="226" customWidth="1"/>
    <col min="16150" max="16150" width="5.62890625" style="226" customWidth="1"/>
    <col min="16151" max="16151" width="6" style="226" customWidth="1"/>
    <col min="16152" max="16152" width="6.62890625" style="226" customWidth="1"/>
    <col min="16153" max="16153" width="11.1015625" style="226" customWidth="1"/>
    <col min="16154" max="16154" width="7.1015625" style="226" customWidth="1"/>
    <col min="16155" max="16156" width="5.89453125" style="226" customWidth="1"/>
    <col min="16157" max="16157" width="6" style="226" customWidth="1"/>
    <col min="16158" max="16158" width="6.89453125" style="226" customWidth="1"/>
    <col min="16159" max="16159" width="6" style="226" customWidth="1"/>
    <col min="16160" max="16160" width="18.1015625" style="226" customWidth="1"/>
  </cols>
  <sheetData>
    <row r="1" spans="2:36" ht="10" customHeight="1" x14ac:dyDescent="0.4"/>
    <row r="2" spans="2:36" ht="17.5" customHeight="1" thickBot="1" x14ac:dyDescent="0.45">
      <c r="B2" s="367" t="s">
        <v>416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</row>
    <row r="3" spans="2:36" s="227" customFormat="1" ht="17.5" customHeight="1" x14ac:dyDescent="0.4">
      <c r="B3" s="365" t="s">
        <v>414</v>
      </c>
      <c r="C3" s="364" t="s">
        <v>413</v>
      </c>
      <c r="D3" s="363" t="s">
        <v>412</v>
      </c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1"/>
      <c r="AA3" s="360" t="s">
        <v>411</v>
      </c>
      <c r="AB3" s="359"/>
      <c r="AC3" s="359"/>
      <c r="AD3" s="359"/>
      <c r="AE3" s="359"/>
      <c r="AF3" s="359"/>
      <c r="AG3" s="359"/>
      <c r="AH3" s="359"/>
      <c r="AI3" s="359"/>
      <c r="AJ3" s="358"/>
    </row>
    <row r="4" spans="2:36" s="227" customFormat="1" ht="17.5" customHeight="1" x14ac:dyDescent="0.4">
      <c r="B4" s="247"/>
      <c r="C4" s="246"/>
      <c r="D4" s="337" t="s">
        <v>410</v>
      </c>
      <c r="E4" s="163"/>
      <c r="F4" s="163"/>
      <c r="G4" s="163"/>
      <c r="H4" s="163"/>
      <c r="I4" s="163"/>
      <c r="J4" s="336" t="s">
        <v>409</v>
      </c>
      <c r="K4" s="262"/>
      <c r="L4" s="262"/>
      <c r="M4" s="262"/>
      <c r="N4" s="262"/>
      <c r="O4" s="262"/>
      <c r="P4" s="262"/>
      <c r="Q4" s="262"/>
      <c r="R4" s="262"/>
      <c r="S4" s="262"/>
      <c r="T4" s="261"/>
      <c r="U4" s="292" t="s">
        <v>408</v>
      </c>
      <c r="V4" s="262"/>
      <c r="W4" s="262"/>
      <c r="X4" s="262"/>
      <c r="Y4" s="262"/>
      <c r="Z4" s="261"/>
      <c r="AA4" s="292" t="s">
        <v>407</v>
      </c>
      <c r="AB4" s="335" t="s">
        <v>406</v>
      </c>
      <c r="AC4" s="333" t="s">
        <v>405</v>
      </c>
      <c r="AD4" s="333" t="s">
        <v>311</v>
      </c>
      <c r="AE4" s="333" t="s">
        <v>404</v>
      </c>
      <c r="AF4" s="334" t="s">
        <v>403</v>
      </c>
      <c r="AG4" s="333" t="s">
        <v>402</v>
      </c>
      <c r="AH4" s="334" t="s">
        <v>401</v>
      </c>
      <c r="AI4" s="333" t="s">
        <v>400</v>
      </c>
      <c r="AJ4" s="332" t="s">
        <v>399</v>
      </c>
    </row>
    <row r="5" spans="2:36" s="227" customFormat="1" ht="37.5" customHeight="1" x14ac:dyDescent="0.4">
      <c r="B5" s="331"/>
      <c r="C5" s="330"/>
      <c r="D5" s="253" t="s">
        <v>398</v>
      </c>
      <c r="E5" s="248" t="s">
        <v>397</v>
      </c>
      <c r="F5" s="248" t="s">
        <v>396</v>
      </c>
      <c r="G5" s="248" t="s">
        <v>395</v>
      </c>
      <c r="H5" s="248" t="s">
        <v>386</v>
      </c>
      <c r="I5" s="329" t="s">
        <v>385</v>
      </c>
      <c r="J5" s="253" t="s">
        <v>389</v>
      </c>
      <c r="K5" s="248" t="s">
        <v>388</v>
      </c>
      <c r="L5" s="248" t="s">
        <v>387</v>
      </c>
      <c r="M5" s="248" t="s">
        <v>394</v>
      </c>
      <c r="N5" s="248" t="s">
        <v>394</v>
      </c>
      <c r="O5" s="248" t="s">
        <v>386</v>
      </c>
      <c r="P5" s="248" t="s">
        <v>393</v>
      </c>
      <c r="Q5" s="248" t="s">
        <v>392</v>
      </c>
      <c r="R5" s="248" t="s">
        <v>385</v>
      </c>
      <c r="S5" s="248" t="s">
        <v>391</v>
      </c>
      <c r="T5" s="327" t="s">
        <v>390</v>
      </c>
      <c r="U5" s="253" t="s">
        <v>389</v>
      </c>
      <c r="V5" s="328" t="s">
        <v>388</v>
      </c>
      <c r="W5" s="248" t="s">
        <v>387</v>
      </c>
      <c r="X5" s="248" t="s">
        <v>386</v>
      </c>
      <c r="Y5" s="248" t="s">
        <v>385</v>
      </c>
      <c r="Z5" s="327" t="s">
        <v>384</v>
      </c>
      <c r="AA5" s="308"/>
      <c r="AB5" s="326"/>
      <c r="AC5" s="252"/>
      <c r="AD5" s="252"/>
      <c r="AE5" s="252"/>
      <c r="AF5" s="252"/>
      <c r="AG5" s="252"/>
      <c r="AH5" s="252"/>
      <c r="AI5" s="252"/>
      <c r="AJ5" s="288"/>
    </row>
    <row r="6" spans="2:36" s="227" customFormat="1" ht="17.5" customHeight="1" x14ac:dyDescent="0.4">
      <c r="B6" s="325" t="s">
        <v>383</v>
      </c>
      <c r="C6" s="324" t="s">
        <v>415</v>
      </c>
      <c r="D6" s="241">
        <v>51</v>
      </c>
      <c r="E6" s="240">
        <v>57</v>
      </c>
      <c r="F6" s="240">
        <v>70</v>
      </c>
      <c r="G6" s="240">
        <v>53</v>
      </c>
      <c r="H6" s="240">
        <v>59</v>
      </c>
      <c r="I6" s="323">
        <v>67</v>
      </c>
      <c r="J6" s="241">
        <v>55</v>
      </c>
      <c r="K6" s="240">
        <v>61</v>
      </c>
      <c r="L6" s="240">
        <v>0</v>
      </c>
      <c r="M6" s="240">
        <v>0</v>
      </c>
      <c r="N6" s="240">
        <v>64</v>
      </c>
      <c r="O6" s="240">
        <v>122</v>
      </c>
      <c r="P6" s="240">
        <v>62</v>
      </c>
      <c r="Q6" s="240">
        <v>121</v>
      </c>
      <c r="R6" s="240">
        <v>11</v>
      </c>
      <c r="S6" s="240">
        <v>0</v>
      </c>
      <c r="T6" s="281">
        <v>0</v>
      </c>
      <c r="U6" s="241">
        <v>0</v>
      </c>
      <c r="V6" s="322">
        <v>110</v>
      </c>
      <c r="W6" s="240">
        <v>108</v>
      </c>
      <c r="X6" s="240">
        <v>92</v>
      </c>
      <c r="Y6" s="240">
        <v>0</v>
      </c>
      <c r="Z6" s="281">
        <v>0</v>
      </c>
      <c r="AA6" s="241">
        <v>0</v>
      </c>
      <c r="AB6" s="240">
        <v>0</v>
      </c>
      <c r="AC6" s="240">
        <v>0</v>
      </c>
      <c r="AD6" s="240">
        <v>114</v>
      </c>
      <c r="AE6" s="239">
        <v>40</v>
      </c>
      <c r="AF6" s="238">
        <v>0</v>
      </c>
      <c r="AG6" s="240">
        <v>112</v>
      </c>
      <c r="AH6" s="238">
        <v>1</v>
      </c>
      <c r="AI6" s="239">
        <v>2</v>
      </c>
      <c r="AJ6" s="237">
        <v>3</v>
      </c>
    </row>
    <row r="7" spans="2:36" s="227" customFormat="1" ht="15" customHeight="1" x14ac:dyDescent="0.4">
      <c r="B7" s="247"/>
      <c r="C7" s="246"/>
      <c r="D7" s="272">
        <f>J7+U7</f>
        <v>0</v>
      </c>
      <c r="E7" s="271">
        <f>K7+V7</f>
        <v>0</v>
      </c>
      <c r="F7" s="271"/>
      <c r="G7" s="271"/>
      <c r="H7" s="271"/>
      <c r="I7" s="321"/>
      <c r="J7" s="320"/>
      <c r="K7" s="319"/>
      <c r="L7" s="319"/>
      <c r="M7" s="319"/>
      <c r="N7" s="319"/>
      <c r="O7" s="319"/>
      <c r="P7" s="319"/>
      <c r="Q7" s="319"/>
      <c r="R7" s="319"/>
      <c r="S7" s="318"/>
      <c r="T7" s="317"/>
      <c r="U7" s="316"/>
      <c r="V7" s="315"/>
      <c r="W7" s="267"/>
      <c r="X7" s="271"/>
      <c r="Y7" s="271"/>
      <c r="Z7" s="314" t="e">
        <f>U7/D7</f>
        <v>#DIV/0!</v>
      </c>
      <c r="AA7" s="313"/>
      <c r="AB7" s="300"/>
      <c r="AC7" s="271"/>
      <c r="AD7" s="271"/>
      <c r="AE7" s="275"/>
      <c r="AF7" s="276"/>
      <c r="AG7" s="275"/>
      <c r="AH7" s="276"/>
      <c r="AI7" s="275"/>
      <c r="AJ7" s="312"/>
    </row>
    <row r="8" spans="2:36" s="227" customFormat="1" ht="17.5" customHeight="1" x14ac:dyDescent="0.4">
      <c r="B8" s="247"/>
      <c r="C8" s="246"/>
      <c r="D8" s="292" t="s">
        <v>378</v>
      </c>
      <c r="E8" s="262"/>
      <c r="F8" s="261"/>
      <c r="G8" s="292" t="s">
        <v>377</v>
      </c>
      <c r="H8" s="262"/>
      <c r="I8" s="262"/>
      <c r="J8" s="262"/>
      <c r="K8" s="262"/>
      <c r="L8" s="262"/>
      <c r="M8" s="262"/>
      <c r="N8" s="262"/>
      <c r="O8" s="261"/>
      <c r="P8" s="292" t="s">
        <v>376</v>
      </c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1"/>
      <c r="AE8" s="263" t="s">
        <v>341</v>
      </c>
      <c r="AF8" s="262"/>
      <c r="AG8" s="262"/>
      <c r="AH8" s="262"/>
      <c r="AI8" s="262"/>
      <c r="AJ8" s="291"/>
    </row>
    <row r="9" spans="2:36" s="227" customFormat="1" ht="15" customHeight="1" x14ac:dyDescent="0.4">
      <c r="B9" s="247"/>
      <c r="C9" s="246"/>
      <c r="D9" s="290" t="s">
        <v>375</v>
      </c>
      <c r="E9" s="289" t="s">
        <v>374</v>
      </c>
      <c r="F9" s="309" t="s">
        <v>373</v>
      </c>
      <c r="G9" s="290" t="s">
        <v>372</v>
      </c>
      <c r="H9" s="252"/>
      <c r="I9" s="255" t="s">
        <v>371</v>
      </c>
      <c r="J9" s="255" t="s">
        <v>370</v>
      </c>
      <c r="K9" s="255" t="s">
        <v>369</v>
      </c>
      <c r="L9" s="255" t="s">
        <v>368</v>
      </c>
      <c r="M9" s="255" t="s">
        <v>367</v>
      </c>
      <c r="N9" s="255" t="s">
        <v>366</v>
      </c>
      <c r="O9" s="254" t="s">
        <v>365</v>
      </c>
      <c r="P9" s="290" t="s">
        <v>364</v>
      </c>
      <c r="Q9" s="252"/>
      <c r="R9" s="289" t="s">
        <v>363</v>
      </c>
      <c r="S9" s="252"/>
      <c r="T9" s="252"/>
      <c r="U9" s="289" t="s">
        <v>362</v>
      </c>
      <c r="V9" s="311" t="s">
        <v>361</v>
      </c>
      <c r="W9" s="252"/>
      <c r="X9" s="311" t="s">
        <v>360</v>
      </c>
      <c r="Y9" s="252"/>
      <c r="Z9" s="252"/>
      <c r="AA9" s="311" t="s">
        <v>359</v>
      </c>
      <c r="AB9" s="289" t="s">
        <v>358</v>
      </c>
      <c r="AC9" s="310" t="s">
        <v>357</v>
      </c>
      <c r="AD9" s="309" t="s">
        <v>356</v>
      </c>
      <c r="AE9" s="256" t="s">
        <v>355</v>
      </c>
      <c r="AF9" s="252"/>
      <c r="AG9" s="252"/>
      <c r="AH9" s="255" t="s">
        <v>337</v>
      </c>
      <c r="AI9" s="252"/>
      <c r="AJ9" s="288"/>
    </row>
    <row r="10" spans="2:36" s="227" customFormat="1" ht="15" customHeight="1" x14ac:dyDescent="0.4">
      <c r="B10" s="247"/>
      <c r="C10" s="246"/>
      <c r="D10" s="308"/>
      <c r="E10" s="252"/>
      <c r="F10" s="251"/>
      <c r="G10" s="250" t="s">
        <v>354</v>
      </c>
      <c r="H10" s="249" t="s">
        <v>353</v>
      </c>
      <c r="I10" s="252"/>
      <c r="J10" s="252"/>
      <c r="K10" s="252"/>
      <c r="L10" s="252"/>
      <c r="M10" s="252"/>
      <c r="N10" s="252"/>
      <c r="O10" s="251"/>
      <c r="P10" s="250" t="s">
        <v>352</v>
      </c>
      <c r="Q10" s="249" t="s">
        <v>351</v>
      </c>
      <c r="R10" s="249" t="s">
        <v>351</v>
      </c>
      <c r="S10" s="249" t="s">
        <v>350</v>
      </c>
      <c r="T10" s="287" t="s">
        <v>349</v>
      </c>
      <c r="U10" s="252"/>
      <c r="V10" s="287" t="s">
        <v>352</v>
      </c>
      <c r="W10" s="249" t="s">
        <v>351</v>
      </c>
      <c r="X10" s="287" t="s">
        <v>351</v>
      </c>
      <c r="Y10" s="249" t="s">
        <v>350</v>
      </c>
      <c r="Z10" s="287" t="s">
        <v>349</v>
      </c>
      <c r="AA10" s="252"/>
      <c r="AB10" s="252"/>
      <c r="AC10" s="252"/>
      <c r="AD10" s="251"/>
      <c r="AE10" s="253" t="s">
        <v>1</v>
      </c>
      <c r="AF10" s="248" t="s">
        <v>12</v>
      </c>
      <c r="AG10" s="248" t="s">
        <v>15</v>
      </c>
      <c r="AH10" s="243" t="s">
        <v>105</v>
      </c>
      <c r="AI10" s="248" t="s">
        <v>348</v>
      </c>
      <c r="AJ10" s="307" t="s">
        <v>347</v>
      </c>
    </row>
    <row r="11" spans="2:36" s="227" customFormat="1" ht="17.5" customHeight="1" x14ac:dyDescent="0.4">
      <c r="B11" s="247"/>
      <c r="C11" s="246"/>
      <c r="D11" s="250" t="s">
        <v>4</v>
      </c>
      <c r="E11" s="249" t="s">
        <v>4</v>
      </c>
      <c r="F11" s="286" t="s">
        <v>4</v>
      </c>
      <c r="G11" s="241" t="s">
        <v>304</v>
      </c>
      <c r="H11" s="240" t="s">
        <v>285</v>
      </c>
      <c r="I11" s="240" t="s">
        <v>346</v>
      </c>
      <c r="J11" s="240" t="s">
        <v>304</v>
      </c>
      <c r="K11" s="282" t="s">
        <v>307</v>
      </c>
      <c r="L11" s="240" t="s">
        <v>306</v>
      </c>
      <c r="M11" s="282" t="s">
        <v>307</v>
      </c>
      <c r="N11" s="282" t="s">
        <v>307</v>
      </c>
      <c r="O11" s="281" t="s">
        <v>306</v>
      </c>
      <c r="P11" s="241" t="s">
        <v>286</v>
      </c>
      <c r="Q11" s="239" t="s">
        <v>286</v>
      </c>
      <c r="R11" s="240" t="s">
        <v>286</v>
      </c>
      <c r="S11" s="239" t="s">
        <v>286</v>
      </c>
      <c r="T11" s="238" t="s">
        <v>4</v>
      </c>
      <c r="U11" s="239" t="s">
        <v>285</v>
      </c>
      <c r="V11" s="238" t="s">
        <v>286</v>
      </c>
      <c r="W11" s="239" t="s">
        <v>285</v>
      </c>
      <c r="X11" s="238" t="s">
        <v>285</v>
      </c>
      <c r="Y11" s="239" t="s">
        <v>285</v>
      </c>
      <c r="Z11" s="306" t="s">
        <v>4</v>
      </c>
      <c r="AA11" s="306" t="s">
        <v>346</v>
      </c>
      <c r="AB11" s="282" t="s">
        <v>345</v>
      </c>
      <c r="AC11" s="282" t="s">
        <v>345</v>
      </c>
      <c r="AD11" s="305" t="s">
        <v>4</v>
      </c>
      <c r="AE11" s="284" t="s">
        <v>306</v>
      </c>
      <c r="AF11" s="244" t="s">
        <v>307</v>
      </c>
      <c r="AG11" s="243" t="s">
        <v>286</v>
      </c>
      <c r="AH11" s="243" t="s">
        <v>308</v>
      </c>
      <c r="AI11" s="243" t="s">
        <v>308</v>
      </c>
      <c r="AJ11" s="280" t="s">
        <v>308</v>
      </c>
    </row>
    <row r="12" spans="2:36" s="227" customFormat="1" ht="17.5" customHeight="1" x14ac:dyDescent="0.4">
      <c r="B12" s="247"/>
      <c r="C12" s="246"/>
      <c r="D12" s="304" t="s">
        <v>344</v>
      </c>
      <c r="E12" s="303"/>
      <c r="F12" s="302"/>
      <c r="G12" s="272"/>
      <c r="H12" s="271"/>
      <c r="I12" s="271"/>
      <c r="J12" s="301"/>
      <c r="K12" s="271"/>
      <c r="L12" s="271"/>
      <c r="M12" s="300"/>
      <c r="N12" s="299"/>
      <c r="O12" s="296"/>
      <c r="P12" s="298">
        <v>29.1</v>
      </c>
      <c r="Q12" s="274" t="s">
        <v>343</v>
      </c>
      <c r="R12" s="271"/>
      <c r="S12" s="271">
        <f>R12-33.1</f>
        <v>-33.1</v>
      </c>
      <c r="T12" s="276"/>
      <c r="U12" s="297" t="s">
        <v>342</v>
      </c>
      <c r="V12" s="294">
        <v>1.6</v>
      </c>
      <c r="W12" s="274">
        <v>17.600000000000001</v>
      </c>
      <c r="X12" s="271"/>
      <c r="Y12" s="271">
        <f>X12-W12</f>
        <v>-17.600000000000001</v>
      </c>
      <c r="Z12" s="271"/>
      <c r="AA12" s="274">
        <v>6.28</v>
      </c>
      <c r="AB12" s="271"/>
      <c r="AC12" s="271">
        <f>AB12-AA12</f>
        <v>-6.28</v>
      </c>
      <c r="AD12" s="296"/>
      <c r="AE12" s="295"/>
      <c r="AF12" s="294"/>
      <c r="AG12" s="275"/>
      <c r="AH12" s="276"/>
      <c r="AI12" s="275"/>
      <c r="AJ12" s="293"/>
    </row>
    <row r="13" spans="2:36" s="227" customFormat="1" ht="15" customHeight="1" x14ac:dyDescent="0.4">
      <c r="B13" s="247"/>
      <c r="C13" s="246"/>
      <c r="D13" s="292" t="s">
        <v>341</v>
      </c>
      <c r="E13" s="261"/>
      <c r="F13" s="292" t="s">
        <v>340</v>
      </c>
      <c r="G13" s="262"/>
      <c r="H13" s="262"/>
      <c r="I13" s="262"/>
      <c r="J13" s="262"/>
      <c r="K13" s="262"/>
      <c r="L13" s="262"/>
      <c r="M13" s="261"/>
      <c r="N13" s="292" t="s">
        <v>339</v>
      </c>
      <c r="O13" s="262"/>
      <c r="P13" s="262"/>
      <c r="Q13" s="262"/>
      <c r="R13" s="262"/>
      <c r="S13" s="262"/>
      <c r="T13" s="262"/>
      <c r="U13" s="261"/>
      <c r="V13" s="263" t="s">
        <v>338</v>
      </c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91"/>
    </row>
    <row r="14" spans="2:36" s="227" customFormat="1" ht="15" customHeight="1" x14ac:dyDescent="0.4">
      <c r="B14" s="247"/>
      <c r="C14" s="246"/>
      <c r="D14" s="290" t="s">
        <v>337</v>
      </c>
      <c r="E14" s="251"/>
      <c r="F14" s="290" t="s">
        <v>336</v>
      </c>
      <c r="G14" s="252"/>
      <c r="H14" s="252"/>
      <c r="I14" s="252"/>
      <c r="J14" s="252"/>
      <c r="K14" s="255" t="s">
        <v>335</v>
      </c>
      <c r="L14" s="252"/>
      <c r="M14" s="251"/>
      <c r="N14" s="290" t="s">
        <v>334</v>
      </c>
      <c r="O14" s="252"/>
      <c r="P14" s="252"/>
      <c r="Q14" s="252"/>
      <c r="R14" s="252"/>
      <c r="S14" s="289" t="s">
        <v>333</v>
      </c>
      <c r="T14" s="252"/>
      <c r="U14" s="251"/>
      <c r="V14" s="256" t="s">
        <v>332</v>
      </c>
      <c r="W14" s="252"/>
      <c r="X14" s="252"/>
      <c r="Y14" s="252"/>
      <c r="Z14" s="255" t="s">
        <v>331</v>
      </c>
      <c r="AA14" s="252"/>
      <c r="AB14" s="252"/>
      <c r="AC14" s="252"/>
      <c r="AD14" s="252"/>
      <c r="AE14" s="252"/>
      <c r="AF14" s="252"/>
      <c r="AG14" s="252"/>
      <c r="AH14" s="252"/>
      <c r="AI14" s="252"/>
      <c r="AJ14" s="288"/>
    </row>
    <row r="15" spans="2:36" s="227" customFormat="1" ht="25" customHeight="1" x14ac:dyDescent="0.4">
      <c r="B15" s="247"/>
      <c r="C15" s="246"/>
      <c r="D15" s="250" t="s">
        <v>330</v>
      </c>
      <c r="E15" s="286" t="s">
        <v>327</v>
      </c>
      <c r="F15" s="250" t="s">
        <v>329</v>
      </c>
      <c r="G15" s="249" t="s">
        <v>322</v>
      </c>
      <c r="H15" s="249" t="s">
        <v>328</v>
      </c>
      <c r="I15" s="248" t="s">
        <v>15</v>
      </c>
      <c r="J15" s="243" t="s">
        <v>327</v>
      </c>
      <c r="K15" s="248" t="s">
        <v>326</v>
      </c>
      <c r="L15" s="248" t="s">
        <v>325</v>
      </c>
      <c r="M15" s="286" t="s">
        <v>324</v>
      </c>
      <c r="N15" s="250" t="s">
        <v>329</v>
      </c>
      <c r="O15" s="249" t="s">
        <v>322</v>
      </c>
      <c r="P15" s="249" t="s">
        <v>328</v>
      </c>
      <c r="Q15" s="249" t="s">
        <v>15</v>
      </c>
      <c r="R15" s="287" t="s">
        <v>327</v>
      </c>
      <c r="S15" s="248" t="s">
        <v>326</v>
      </c>
      <c r="T15" s="248" t="s">
        <v>325</v>
      </c>
      <c r="U15" s="286" t="s">
        <v>324</v>
      </c>
      <c r="V15" s="253" t="s">
        <v>323</v>
      </c>
      <c r="W15" s="248" t="s">
        <v>322</v>
      </c>
      <c r="X15" s="248" t="s">
        <v>321</v>
      </c>
      <c r="Y15" s="248" t="s">
        <v>320</v>
      </c>
      <c r="Z15" s="248" t="s">
        <v>319</v>
      </c>
      <c r="AA15" s="248" t="s">
        <v>318</v>
      </c>
      <c r="AB15" s="248" t="s">
        <v>317</v>
      </c>
      <c r="AC15" s="248" t="s">
        <v>316</v>
      </c>
      <c r="AD15" s="248" t="s">
        <v>315</v>
      </c>
      <c r="AE15" s="248" t="s">
        <v>314</v>
      </c>
      <c r="AF15" s="248" t="s">
        <v>313</v>
      </c>
      <c r="AG15" s="248" t="s">
        <v>312</v>
      </c>
      <c r="AH15" s="248" t="s">
        <v>311</v>
      </c>
      <c r="AI15" s="248" t="s">
        <v>310</v>
      </c>
      <c r="AJ15" s="285" t="s">
        <v>309</v>
      </c>
    </row>
    <row r="16" spans="2:36" s="227" customFormat="1" ht="15" customHeight="1" x14ac:dyDescent="0.4">
      <c r="B16" s="247"/>
      <c r="C16" s="246"/>
      <c r="D16" s="284" t="s">
        <v>308</v>
      </c>
      <c r="E16" s="242" t="s">
        <v>4</v>
      </c>
      <c r="F16" s="245" t="s">
        <v>307</v>
      </c>
      <c r="G16" s="244" t="s">
        <v>307</v>
      </c>
      <c r="H16" s="244" t="s">
        <v>307</v>
      </c>
      <c r="I16" s="243" t="s">
        <v>286</v>
      </c>
      <c r="J16" s="243" t="s">
        <v>4</v>
      </c>
      <c r="K16" s="243" t="s">
        <v>286</v>
      </c>
      <c r="L16" s="243" t="s">
        <v>286</v>
      </c>
      <c r="M16" s="281" t="s">
        <v>286</v>
      </c>
      <c r="N16" s="283" t="s">
        <v>307</v>
      </c>
      <c r="O16" s="249" t="s">
        <v>307</v>
      </c>
      <c r="P16" s="282" t="s">
        <v>307</v>
      </c>
      <c r="Q16" s="240" t="s">
        <v>286</v>
      </c>
      <c r="R16" s="240" t="s">
        <v>4</v>
      </c>
      <c r="S16" s="243" t="s">
        <v>286</v>
      </c>
      <c r="T16" s="243" t="s">
        <v>286</v>
      </c>
      <c r="U16" s="281" t="s">
        <v>286</v>
      </c>
      <c r="V16" s="245" t="s">
        <v>307</v>
      </c>
      <c r="W16" s="244" t="s">
        <v>307</v>
      </c>
      <c r="X16" s="243" t="s">
        <v>306</v>
      </c>
      <c r="Y16" s="243" t="s">
        <v>286</v>
      </c>
      <c r="Z16" s="243" t="s">
        <v>305</v>
      </c>
      <c r="AA16" s="243" t="s">
        <v>304</v>
      </c>
      <c r="AB16" s="243" t="s">
        <v>305</v>
      </c>
      <c r="AC16" s="244" t="s">
        <v>304</v>
      </c>
      <c r="AD16" s="244" t="s">
        <v>285</v>
      </c>
      <c r="AE16" s="244" t="s">
        <v>4</v>
      </c>
      <c r="AF16" s="243" t="s">
        <v>284</v>
      </c>
      <c r="AG16" s="243" t="s">
        <v>303</v>
      </c>
      <c r="AH16" s="243" t="s">
        <v>302</v>
      </c>
      <c r="AI16" s="243" t="s">
        <v>302</v>
      </c>
      <c r="AJ16" s="280" t="s">
        <v>4</v>
      </c>
    </row>
    <row r="17" spans="2:36" s="227" customFormat="1" ht="15" customHeight="1" x14ac:dyDescent="0.4">
      <c r="B17" s="247"/>
      <c r="C17" s="246"/>
      <c r="D17" s="279"/>
      <c r="E17" s="278"/>
      <c r="F17" s="277" t="s">
        <v>301</v>
      </c>
      <c r="G17" s="276">
        <v>21</v>
      </c>
      <c r="H17" s="275">
        <f>G17-F17</f>
        <v>4</v>
      </c>
      <c r="I17" s="274"/>
      <c r="J17" s="271"/>
      <c r="K17" s="271">
        <v>93.5</v>
      </c>
      <c r="L17" s="271">
        <v>4.24</v>
      </c>
      <c r="M17" s="273">
        <f>K17+L17</f>
        <v>97.74</v>
      </c>
      <c r="N17" s="272">
        <v>20</v>
      </c>
      <c r="O17" s="271">
        <v>23</v>
      </c>
      <c r="P17" s="270">
        <f>O17-N17</f>
        <v>3</v>
      </c>
      <c r="Q17" s="267"/>
      <c r="R17" s="267"/>
      <c r="S17" s="267" t="s">
        <v>300</v>
      </c>
      <c r="T17" s="267" t="s">
        <v>299</v>
      </c>
      <c r="U17" s="269">
        <f>S17+T17</f>
        <v>97.45</v>
      </c>
      <c r="V17" s="268"/>
      <c r="W17" s="267"/>
      <c r="X17" s="267"/>
      <c r="Y17" s="267"/>
      <c r="Z17" s="267"/>
      <c r="AA17" s="267"/>
      <c r="AB17" s="267"/>
      <c r="AC17" s="267"/>
      <c r="AD17" s="267"/>
      <c r="AE17" s="266" t="e">
        <f>Z17/AB17</f>
        <v>#DIV/0!</v>
      </c>
      <c r="AF17" s="267"/>
      <c r="AG17" s="267"/>
      <c r="AH17" s="266" t="e">
        <f>AF17/(Z17-AB17)</f>
        <v>#DIV/0!</v>
      </c>
      <c r="AI17" s="265" t="s">
        <v>298</v>
      </c>
      <c r="AJ17" s="264"/>
    </row>
    <row r="18" spans="2:36" s="227" customFormat="1" ht="15" customHeight="1" x14ac:dyDescent="0.4">
      <c r="B18" s="247"/>
      <c r="C18" s="246"/>
      <c r="D18" s="263" t="s">
        <v>297</v>
      </c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1"/>
      <c r="R18" s="260" t="s">
        <v>4</v>
      </c>
      <c r="S18" s="259" t="s">
        <v>4</v>
      </c>
      <c r="T18" s="259" t="s">
        <v>4</v>
      </c>
      <c r="U18" s="259" t="s">
        <v>84</v>
      </c>
      <c r="V18" s="259" t="s">
        <v>84</v>
      </c>
      <c r="W18" s="259" t="s">
        <v>84</v>
      </c>
      <c r="X18" s="259" t="s">
        <v>84</v>
      </c>
      <c r="Y18" s="259" t="s">
        <v>84</v>
      </c>
      <c r="Z18" s="259" t="s">
        <v>84</v>
      </c>
      <c r="AA18" s="259" t="s">
        <v>84</v>
      </c>
      <c r="AB18" s="259" t="s">
        <v>84</v>
      </c>
      <c r="AC18" s="259" t="s">
        <v>84</v>
      </c>
      <c r="AD18" s="259" t="s">
        <v>84</v>
      </c>
      <c r="AE18" s="259" t="s">
        <v>84</v>
      </c>
      <c r="AF18" s="258" t="s">
        <v>84</v>
      </c>
      <c r="AG18" s="258" t="s">
        <v>84</v>
      </c>
      <c r="AH18" s="258" t="s">
        <v>84</v>
      </c>
      <c r="AI18" s="258" t="s">
        <v>84</v>
      </c>
      <c r="AJ18" s="257" t="s">
        <v>84</v>
      </c>
    </row>
    <row r="19" spans="2:36" s="227" customFormat="1" ht="15" customHeight="1" x14ac:dyDescent="0.4">
      <c r="B19" s="247"/>
      <c r="C19" s="246"/>
      <c r="D19" s="256" t="s">
        <v>296</v>
      </c>
      <c r="E19" s="252"/>
      <c r="F19" s="252"/>
      <c r="G19" s="255" t="s">
        <v>295</v>
      </c>
      <c r="H19" s="252"/>
      <c r="I19" s="252"/>
      <c r="J19" s="255" t="s">
        <v>294</v>
      </c>
      <c r="K19" s="252"/>
      <c r="L19" s="252"/>
      <c r="M19" s="255" t="s">
        <v>293</v>
      </c>
      <c r="N19" s="255" t="s">
        <v>292</v>
      </c>
      <c r="O19" s="255" t="s">
        <v>291</v>
      </c>
      <c r="P19" s="255" t="s">
        <v>227</v>
      </c>
      <c r="Q19" s="254" t="s">
        <v>290</v>
      </c>
      <c r="R19" s="241" t="s">
        <v>4</v>
      </c>
      <c r="S19" s="240" t="s">
        <v>4</v>
      </c>
      <c r="T19" s="240" t="s">
        <v>4</v>
      </c>
      <c r="U19" s="240" t="s">
        <v>84</v>
      </c>
      <c r="V19" s="240" t="s">
        <v>84</v>
      </c>
      <c r="W19" s="240" t="s">
        <v>84</v>
      </c>
      <c r="X19" s="240" t="s">
        <v>84</v>
      </c>
      <c r="Y19" s="240" t="s">
        <v>84</v>
      </c>
      <c r="Z19" s="240" t="s">
        <v>84</v>
      </c>
      <c r="AA19" s="240" t="s">
        <v>84</v>
      </c>
      <c r="AB19" s="240" t="s">
        <v>84</v>
      </c>
      <c r="AC19" s="240" t="s">
        <v>84</v>
      </c>
      <c r="AD19" s="240" t="s">
        <v>84</v>
      </c>
      <c r="AE19" s="240" t="s">
        <v>84</v>
      </c>
      <c r="AF19" s="238" t="s">
        <v>84</v>
      </c>
      <c r="AG19" s="238" t="s">
        <v>84</v>
      </c>
      <c r="AH19" s="238" t="s">
        <v>84</v>
      </c>
      <c r="AI19" s="238" t="s">
        <v>84</v>
      </c>
      <c r="AJ19" s="237" t="s">
        <v>84</v>
      </c>
    </row>
    <row r="20" spans="2:36" s="227" customFormat="1" ht="25" customHeight="1" x14ac:dyDescent="0.4">
      <c r="B20" s="247"/>
      <c r="C20" s="246"/>
      <c r="D20" s="253" t="s">
        <v>289</v>
      </c>
      <c r="E20" s="248" t="s">
        <v>288</v>
      </c>
      <c r="F20" s="248" t="s">
        <v>287</v>
      </c>
      <c r="G20" s="248" t="s">
        <v>289</v>
      </c>
      <c r="H20" s="248" t="s">
        <v>288</v>
      </c>
      <c r="I20" s="248" t="s">
        <v>287</v>
      </c>
      <c r="J20" s="248" t="s">
        <v>289</v>
      </c>
      <c r="K20" s="248" t="s">
        <v>288</v>
      </c>
      <c r="L20" s="248" t="s">
        <v>287</v>
      </c>
      <c r="M20" s="252"/>
      <c r="N20" s="252"/>
      <c r="O20" s="252"/>
      <c r="P20" s="252"/>
      <c r="Q20" s="251"/>
      <c r="R20" s="250" t="s">
        <v>4</v>
      </c>
      <c r="S20" s="249" t="s">
        <v>4</v>
      </c>
      <c r="T20" s="249" t="s">
        <v>4</v>
      </c>
      <c r="U20" s="249" t="s">
        <v>84</v>
      </c>
      <c r="V20" s="249" t="s">
        <v>84</v>
      </c>
      <c r="W20" s="248" t="s">
        <v>84</v>
      </c>
      <c r="X20" s="249" t="s">
        <v>84</v>
      </c>
      <c r="Y20" s="249" t="s">
        <v>84</v>
      </c>
      <c r="Z20" s="248" t="s">
        <v>84</v>
      </c>
      <c r="AA20" s="240" t="s">
        <v>84</v>
      </c>
      <c r="AB20" s="240" t="s">
        <v>84</v>
      </c>
      <c r="AC20" s="240" t="s">
        <v>84</v>
      </c>
      <c r="AD20" s="240" t="s">
        <v>84</v>
      </c>
      <c r="AE20" s="240" t="s">
        <v>84</v>
      </c>
      <c r="AF20" s="238" t="s">
        <v>84</v>
      </c>
      <c r="AG20" s="238" t="s">
        <v>84</v>
      </c>
      <c r="AH20" s="238" t="s">
        <v>84</v>
      </c>
      <c r="AI20" s="238" t="s">
        <v>84</v>
      </c>
      <c r="AJ20" s="237" t="s">
        <v>84</v>
      </c>
    </row>
    <row r="21" spans="2:36" s="227" customFormat="1" ht="15" customHeight="1" x14ac:dyDescent="0.4">
      <c r="B21" s="247"/>
      <c r="C21" s="246"/>
      <c r="D21" s="245" t="s">
        <v>286</v>
      </c>
      <c r="E21" s="244" t="s">
        <v>286</v>
      </c>
      <c r="F21" s="243" t="s">
        <v>286</v>
      </c>
      <c r="G21" s="243" t="s">
        <v>285</v>
      </c>
      <c r="H21" s="240" t="s">
        <v>285</v>
      </c>
      <c r="I21" s="240" t="s">
        <v>285</v>
      </c>
      <c r="J21" s="243" t="s">
        <v>285</v>
      </c>
      <c r="K21" s="240" t="s">
        <v>285</v>
      </c>
      <c r="L21" s="240" t="s">
        <v>285</v>
      </c>
      <c r="M21" s="240" t="s">
        <v>284</v>
      </c>
      <c r="N21" s="240" t="s">
        <v>283</v>
      </c>
      <c r="O21" s="243" t="s">
        <v>282</v>
      </c>
      <c r="P21" s="243" t="s">
        <v>4</v>
      </c>
      <c r="Q21" s="242" t="s">
        <v>4</v>
      </c>
      <c r="R21" s="241" t="s">
        <v>4</v>
      </c>
      <c r="S21" s="240" t="s">
        <v>4</v>
      </c>
      <c r="T21" s="240" t="s">
        <v>4</v>
      </c>
      <c r="U21" s="240" t="s">
        <v>84</v>
      </c>
      <c r="V21" s="240" t="s">
        <v>84</v>
      </c>
      <c r="W21" s="240" t="s">
        <v>84</v>
      </c>
      <c r="X21" s="240" t="s">
        <v>84</v>
      </c>
      <c r="Y21" s="240" t="s">
        <v>84</v>
      </c>
      <c r="Z21" s="240" t="s">
        <v>84</v>
      </c>
      <c r="AA21" s="240" t="s">
        <v>84</v>
      </c>
      <c r="AB21" s="240" t="s">
        <v>84</v>
      </c>
      <c r="AC21" s="240" t="s">
        <v>84</v>
      </c>
      <c r="AD21" s="240" t="s">
        <v>84</v>
      </c>
      <c r="AE21" s="239" t="s">
        <v>84</v>
      </c>
      <c r="AF21" s="238" t="s">
        <v>84</v>
      </c>
      <c r="AG21" s="238" t="s">
        <v>84</v>
      </c>
      <c r="AH21" s="238" t="s">
        <v>84</v>
      </c>
      <c r="AI21" s="238" t="s">
        <v>84</v>
      </c>
      <c r="AJ21" s="237" t="s">
        <v>84</v>
      </c>
    </row>
    <row r="22" spans="2:36" s="227" customFormat="1" ht="15" customHeight="1" x14ac:dyDescent="0.4">
      <c r="B22" s="247"/>
      <c r="C22" s="246"/>
      <c r="D22" s="355"/>
      <c r="E22" s="354"/>
      <c r="F22" s="354">
        <f>D22-E22</f>
        <v>0</v>
      </c>
      <c r="G22" s="354"/>
      <c r="H22" s="354"/>
      <c r="I22" s="354">
        <f>G22-H22</f>
        <v>0</v>
      </c>
      <c r="J22" s="354"/>
      <c r="K22" s="354"/>
      <c r="L22" s="354">
        <f>J22-K22</f>
        <v>0</v>
      </c>
      <c r="M22" s="354"/>
      <c r="N22" s="354"/>
      <c r="O22" s="357" t="e">
        <f>N22/M22</f>
        <v>#DIV/0!</v>
      </c>
      <c r="P22" s="354"/>
      <c r="Q22" s="356">
        <v>301</v>
      </c>
      <c r="R22" s="355" t="s">
        <v>4</v>
      </c>
      <c r="S22" s="354" t="s">
        <v>4</v>
      </c>
      <c r="T22" s="354" t="s">
        <v>4</v>
      </c>
      <c r="U22" s="354" t="s">
        <v>84</v>
      </c>
      <c r="V22" s="354" t="s">
        <v>84</v>
      </c>
      <c r="W22" s="354" t="s">
        <v>84</v>
      </c>
      <c r="X22" s="354" t="s">
        <v>84</v>
      </c>
      <c r="Y22" s="354" t="s">
        <v>84</v>
      </c>
      <c r="Z22" s="354" t="s">
        <v>84</v>
      </c>
      <c r="AA22" s="354" t="s">
        <v>84</v>
      </c>
      <c r="AB22" s="354" t="s">
        <v>84</v>
      </c>
      <c r="AC22" s="354" t="s">
        <v>84</v>
      </c>
      <c r="AD22" s="354" t="s">
        <v>84</v>
      </c>
      <c r="AE22" s="353" t="s">
        <v>84</v>
      </c>
      <c r="AF22" s="352" t="s">
        <v>84</v>
      </c>
      <c r="AG22" s="352" t="s">
        <v>84</v>
      </c>
      <c r="AH22" s="352" t="s">
        <v>84</v>
      </c>
      <c r="AI22" s="352" t="s">
        <v>84</v>
      </c>
      <c r="AJ22" s="351" t="s">
        <v>84</v>
      </c>
    </row>
    <row r="23" spans="2:36" s="227" customFormat="1" ht="7.5" customHeight="1" x14ac:dyDescent="0.4">
      <c r="B23" s="350"/>
      <c r="C23" s="349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  <c r="AA23" s="348"/>
      <c r="AB23" s="348"/>
      <c r="AC23" s="348"/>
      <c r="AD23" s="348"/>
      <c r="AE23" s="347"/>
      <c r="AF23" s="346"/>
      <c r="AG23" s="347"/>
      <c r="AH23" s="346"/>
      <c r="AI23" s="346"/>
      <c r="AJ23" s="345"/>
    </row>
    <row r="24" spans="2:36" s="227" customFormat="1" ht="17.5" customHeight="1" x14ac:dyDescent="0.4">
      <c r="B24" s="344" t="s">
        <v>414</v>
      </c>
      <c r="C24" s="343" t="s">
        <v>413</v>
      </c>
      <c r="D24" s="342" t="s">
        <v>412</v>
      </c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0"/>
      <c r="AA24" s="339" t="s">
        <v>411</v>
      </c>
      <c r="AB24" s="338"/>
      <c r="AC24" s="338"/>
      <c r="AD24" s="338"/>
      <c r="AE24" s="338"/>
      <c r="AF24" s="338"/>
      <c r="AG24" s="338"/>
      <c r="AH24" s="338"/>
      <c r="AI24" s="338"/>
      <c r="AJ24" s="201"/>
    </row>
    <row r="25" spans="2:36" s="227" customFormat="1" ht="17.5" customHeight="1" x14ac:dyDescent="0.4">
      <c r="B25" s="247"/>
      <c r="C25" s="246"/>
      <c r="D25" s="337" t="s">
        <v>410</v>
      </c>
      <c r="E25" s="163"/>
      <c r="F25" s="163"/>
      <c r="G25" s="163"/>
      <c r="H25" s="163"/>
      <c r="I25" s="163"/>
      <c r="J25" s="336" t="s">
        <v>409</v>
      </c>
      <c r="K25" s="262"/>
      <c r="L25" s="262"/>
      <c r="M25" s="262"/>
      <c r="N25" s="262"/>
      <c r="O25" s="262"/>
      <c r="P25" s="262"/>
      <c r="Q25" s="262"/>
      <c r="R25" s="262"/>
      <c r="S25" s="262"/>
      <c r="T25" s="261"/>
      <c r="U25" s="292" t="s">
        <v>408</v>
      </c>
      <c r="V25" s="262"/>
      <c r="W25" s="262"/>
      <c r="X25" s="262"/>
      <c r="Y25" s="262"/>
      <c r="Z25" s="261"/>
      <c r="AA25" s="292" t="s">
        <v>407</v>
      </c>
      <c r="AB25" s="335" t="s">
        <v>406</v>
      </c>
      <c r="AC25" s="333" t="s">
        <v>405</v>
      </c>
      <c r="AD25" s="333" t="s">
        <v>311</v>
      </c>
      <c r="AE25" s="333" t="s">
        <v>404</v>
      </c>
      <c r="AF25" s="334" t="s">
        <v>403</v>
      </c>
      <c r="AG25" s="333" t="s">
        <v>402</v>
      </c>
      <c r="AH25" s="334" t="s">
        <v>401</v>
      </c>
      <c r="AI25" s="333" t="s">
        <v>400</v>
      </c>
      <c r="AJ25" s="332" t="s">
        <v>399</v>
      </c>
    </row>
    <row r="26" spans="2:36" s="227" customFormat="1" ht="37.5" customHeight="1" x14ac:dyDescent="0.4">
      <c r="B26" s="331"/>
      <c r="C26" s="330"/>
      <c r="D26" s="253" t="s">
        <v>398</v>
      </c>
      <c r="E26" s="248" t="s">
        <v>397</v>
      </c>
      <c r="F26" s="248" t="s">
        <v>396</v>
      </c>
      <c r="G26" s="248" t="s">
        <v>395</v>
      </c>
      <c r="H26" s="248" t="s">
        <v>386</v>
      </c>
      <c r="I26" s="329" t="s">
        <v>385</v>
      </c>
      <c r="J26" s="253" t="s">
        <v>389</v>
      </c>
      <c r="K26" s="248" t="s">
        <v>388</v>
      </c>
      <c r="L26" s="248" t="s">
        <v>387</v>
      </c>
      <c r="M26" s="248" t="s">
        <v>394</v>
      </c>
      <c r="N26" s="248" t="s">
        <v>394</v>
      </c>
      <c r="O26" s="248" t="s">
        <v>386</v>
      </c>
      <c r="P26" s="248" t="s">
        <v>393</v>
      </c>
      <c r="Q26" s="248" t="s">
        <v>392</v>
      </c>
      <c r="R26" s="248" t="s">
        <v>385</v>
      </c>
      <c r="S26" s="248" t="s">
        <v>391</v>
      </c>
      <c r="T26" s="327" t="s">
        <v>390</v>
      </c>
      <c r="U26" s="253" t="s">
        <v>389</v>
      </c>
      <c r="V26" s="328" t="s">
        <v>388</v>
      </c>
      <c r="W26" s="248" t="s">
        <v>387</v>
      </c>
      <c r="X26" s="248" t="s">
        <v>386</v>
      </c>
      <c r="Y26" s="248" t="s">
        <v>385</v>
      </c>
      <c r="Z26" s="327" t="s">
        <v>384</v>
      </c>
      <c r="AA26" s="308"/>
      <c r="AB26" s="326"/>
      <c r="AC26" s="252"/>
      <c r="AD26" s="252"/>
      <c r="AE26" s="252"/>
      <c r="AF26" s="252"/>
      <c r="AG26" s="252"/>
      <c r="AH26" s="252"/>
      <c r="AI26" s="252"/>
      <c r="AJ26" s="288"/>
    </row>
    <row r="27" spans="2:36" s="227" customFormat="1" ht="17.5" customHeight="1" x14ac:dyDescent="0.4">
      <c r="B27" s="325" t="s">
        <v>383</v>
      </c>
      <c r="C27" s="324" t="s">
        <v>382</v>
      </c>
      <c r="D27" s="241" t="s">
        <v>283</v>
      </c>
      <c r="E27" s="240" t="s">
        <v>283</v>
      </c>
      <c r="F27" s="240" t="s">
        <v>4</v>
      </c>
      <c r="G27" s="240" t="s">
        <v>283</v>
      </c>
      <c r="H27" s="240" t="s">
        <v>286</v>
      </c>
      <c r="I27" s="323" t="s">
        <v>286</v>
      </c>
      <c r="J27" s="241" t="s">
        <v>283</v>
      </c>
      <c r="K27" s="240" t="s">
        <v>283</v>
      </c>
      <c r="L27" s="240" t="s">
        <v>286</v>
      </c>
      <c r="M27" s="240" t="s">
        <v>286</v>
      </c>
      <c r="N27" s="240" t="s">
        <v>286</v>
      </c>
      <c r="O27" s="240" t="s">
        <v>286</v>
      </c>
      <c r="P27" s="240" t="s">
        <v>286</v>
      </c>
      <c r="Q27" s="240" t="s">
        <v>286</v>
      </c>
      <c r="R27" s="240" t="s">
        <v>286</v>
      </c>
      <c r="S27" s="240" t="s">
        <v>286</v>
      </c>
      <c r="T27" s="281" t="s">
        <v>286</v>
      </c>
      <c r="U27" s="241" t="s">
        <v>283</v>
      </c>
      <c r="V27" s="322" t="s">
        <v>283</v>
      </c>
      <c r="W27" s="240" t="s">
        <v>286</v>
      </c>
      <c r="X27" s="240" t="s">
        <v>286</v>
      </c>
      <c r="Y27" s="240" t="s">
        <v>286</v>
      </c>
      <c r="Z27" s="281" t="s">
        <v>286</v>
      </c>
      <c r="AA27" s="241" t="s">
        <v>302</v>
      </c>
      <c r="AB27" s="240" t="s">
        <v>302</v>
      </c>
      <c r="AC27" s="240" t="s">
        <v>379</v>
      </c>
      <c r="AD27" s="240" t="s">
        <v>302</v>
      </c>
      <c r="AE27" s="239" t="s">
        <v>379</v>
      </c>
      <c r="AF27" s="238" t="s">
        <v>381</v>
      </c>
      <c r="AG27" s="240" t="s">
        <v>302</v>
      </c>
      <c r="AH27" s="238" t="s">
        <v>380</v>
      </c>
      <c r="AI27" s="239" t="s">
        <v>379</v>
      </c>
      <c r="AJ27" s="237" t="s">
        <v>379</v>
      </c>
    </row>
    <row r="28" spans="2:36" s="227" customFormat="1" ht="15" customHeight="1" x14ac:dyDescent="0.4">
      <c r="B28" s="247"/>
      <c r="C28" s="246"/>
      <c r="D28" s="272">
        <f>J28+U28</f>
        <v>0</v>
      </c>
      <c r="E28" s="271">
        <f>K28+V28</f>
        <v>0</v>
      </c>
      <c r="F28" s="271"/>
      <c r="G28" s="271"/>
      <c r="H28" s="271"/>
      <c r="I28" s="321"/>
      <c r="J28" s="320"/>
      <c r="K28" s="319"/>
      <c r="L28" s="319"/>
      <c r="M28" s="319"/>
      <c r="N28" s="319"/>
      <c r="O28" s="319"/>
      <c r="P28" s="319"/>
      <c r="Q28" s="319"/>
      <c r="R28" s="319"/>
      <c r="S28" s="318"/>
      <c r="T28" s="317"/>
      <c r="U28" s="316"/>
      <c r="V28" s="315"/>
      <c r="W28" s="267"/>
      <c r="X28" s="271"/>
      <c r="Y28" s="271"/>
      <c r="Z28" s="314" t="e">
        <f>U28/D28</f>
        <v>#DIV/0!</v>
      </c>
      <c r="AA28" s="313"/>
      <c r="AB28" s="300"/>
      <c r="AC28" s="271"/>
      <c r="AD28" s="271"/>
      <c r="AE28" s="275"/>
      <c r="AF28" s="276"/>
      <c r="AG28" s="275"/>
      <c r="AH28" s="276"/>
      <c r="AI28" s="275"/>
      <c r="AJ28" s="312"/>
    </row>
    <row r="29" spans="2:36" s="227" customFormat="1" ht="17.5" customHeight="1" x14ac:dyDescent="0.4">
      <c r="B29" s="247"/>
      <c r="C29" s="246"/>
      <c r="D29" s="292">
        <v>51</v>
      </c>
      <c r="E29" s="262">
        <v>57</v>
      </c>
      <c r="F29" s="261">
        <v>70</v>
      </c>
      <c r="G29" s="292">
        <v>53</v>
      </c>
      <c r="H29" s="262">
        <v>59</v>
      </c>
      <c r="I29" s="262">
        <v>67</v>
      </c>
      <c r="J29" s="262">
        <v>55</v>
      </c>
      <c r="K29" s="262">
        <v>61</v>
      </c>
      <c r="L29" s="262">
        <v>0</v>
      </c>
      <c r="M29" s="262">
        <v>0</v>
      </c>
      <c r="N29" s="262">
        <v>64</v>
      </c>
      <c r="O29" s="261">
        <v>122</v>
      </c>
      <c r="P29" s="292">
        <v>62</v>
      </c>
      <c r="Q29" s="262">
        <v>121</v>
      </c>
      <c r="R29" s="262">
        <v>11</v>
      </c>
      <c r="S29" s="262">
        <v>0</v>
      </c>
      <c r="T29" s="262">
        <v>0</v>
      </c>
      <c r="U29" s="262">
        <v>0</v>
      </c>
      <c r="V29" s="262">
        <v>110</v>
      </c>
      <c r="W29" s="262">
        <v>108</v>
      </c>
      <c r="X29" s="262">
        <v>92</v>
      </c>
      <c r="Y29" s="262">
        <v>0</v>
      </c>
      <c r="Z29" s="262">
        <v>0</v>
      </c>
      <c r="AA29" s="262">
        <v>0</v>
      </c>
      <c r="AB29" s="262">
        <v>0</v>
      </c>
      <c r="AC29" s="262">
        <v>0</v>
      </c>
      <c r="AD29" s="261">
        <v>114</v>
      </c>
      <c r="AE29" s="263">
        <v>40</v>
      </c>
      <c r="AF29" s="262">
        <v>0</v>
      </c>
      <c r="AG29" s="262">
        <v>112</v>
      </c>
      <c r="AH29" s="262">
        <v>1</v>
      </c>
      <c r="AI29" s="262">
        <v>2</v>
      </c>
      <c r="AJ29" s="291">
        <v>3</v>
      </c>
    </row>
    <row r="30" spans="2:36" s="227" customFormat="1" ht="15" customHeight="1" x14ac:dyDescent="0.4">
      <c r="B30" s="247"/>
      <c r="C30" s="246"/>
      <c r="D30" s="290" t="s">
        <v>375</v>
      </c>
      <c r="E30" s="289" t="s">
        <v>374</v>
      </c>
      <c r="F30" s="309" t="s">
        <v>373</v>
      </c>
      <c r="G30" s="290" t="s">
        <v>372</v>
      </c>
      <c r="H30" s="252"/>
      <c r="I30" s="255" t="s">
        <v>371</v>
      </c>
      <c r="J30" s="255" t="s">
        <v>370</v>
      </c>
      <c r="K30" s="255" t="s">
        <v>369</v>
      </c>
      <c r="L30" s="255" t="s">
        <v>368</v>
      </c>
      <c r="M30" s="255" t="s">
        <v>367</v>
      </c>
      <c r="N30" s="255" t="s">
        <v>366</v>
      </c>
      <c r="O30" s="254" t="s">
        <v>365</v>
      </c>
      <c r="P30" s="290" t="s">
        <v>364</v>
      </c>
      <c r="Q30" s="252"/>
      <c r="R30" s="289" t="s">
        <v>363</v>
      </c>
      <c r="S30" s="252"/>
      <c r="T30" s="252"/>
      <c r="U30" s="289" t="s">
        <v>362</v>
      </c>
      <c r="V30" s="311" t="s">
        <v>361</v>
      </c>
      <c r="W30" s="252"/>
      <c r="X30" s="311" t="s">
        <v>360</v>
      </c>
      <c r="Y30" s="252"/>
      <c r="Z30" s="252"/>
      <c r="AA30" s="311" t="s">
        <v>359</v>
      </c>
      <c r="AB30" s="289" t="s">
        <v>358</v>
      </c>
      <c r="AC30" s="310" t="s">
        <v>357</v>
      </c>
      <c r="AD30" s="309" t="s">
        <v>356</v>
      </c>
      <c r="AE30" s="256" t="s">
        <v>355</v>
      </c>
      <c r="AF30" s="252"/>
      <c r="AG30" s="252"/>
      <c r="AH30" s="255" t="s">
        <v>337</v>
      </c>
      <c r="AI30" s="252"/>
      <c r="AJ30" s="288"/>
    </row>
    <row r="31" spans="2:36" s="227" customFormat="1" ht="15" customHeight="1" x14ac:dyDescent="0.4">
      <c r="B31" s="247"/>
      <c r="C31" s="246"/>
      <c r="D31" s="308"/>
      <c r="E31" s="252"/>
      <c r="F31" s="251"/>
      <c r="G31" s="250" t="s">
        <v>354</v>
      </c>
      <c r="H31" s="249" t="s">
        <v>353</v>
      </c>
      <c r="I31" s="252"/>
      <c r="J31" s="252"/>
      <c r="K31" s="252"/>
      <c r="L31" s="252"/>
      <c r="M31" s="252"/>
      <c r="N31" s="252"/>
      <c r="O31" s="251"/>
      <c r="P31" s="250" t="s">
        <v>352</v>
      </c>
      <c r="Q31" s="249" t="s">
        <v>351</v>
      </c>
      <c r="R31" s="249" t="s">
        <v>351</v>
      </c>
      <c r="S31" s="249" t="s">
        <v>350</v>
      </c>
      <c r="T31" s="287" t="s">
        <v>349</v>
      </c>
      <c r="U31" s="252"/>
      <c r="V31" s="287" t="s">
        <v>352</v>
      </c>
      <c r="W31" s="249" t="s">
        <v>351</v>
      </c>
      <c r="X31" s="287" t="s">
        <v>351</v>
      </c>
      <c r="Y31" s="249" t="s">
        <v>350</v>
      </c>
      <c r="Z31" s="287" t="s">
        <v>349</v>
      </c>
      <c r="AA31" s="252"/>
      <c r="AB31" s="252"/>
      <c r="AC31" s="252"/>
      <c r="AD31" s="251"/>
      <c r="AE31" s="253" t="s">
        <v>1</v>
      </c>
      <c r="AF31" s="248" t="s">
        <v>12</v>
      </c>
      <c r="AG31" s="248" t="s">
        <v>15</v>
      </c>
      <c r="AH31" s="243" t="s">
        <v>105</v>
      </c>
      <c r="AI31" s="248" t="s">
        <v>348</v>
      </c>
      <c r="AJ31" s="307" t="s">
        <v>347</v>
      </c>
    </row>
    <row r="32" spans="2:36" s="227" customFormat="1" ht="17.5" customHeight="1" x14ac:dyDescent="0.4">
      <c r="B32" s="247"/>
      <c r="C32" s="246"/>
      <c r="D32" s="250" t="s">
        <v>4</v>
      </c>
      <c r="E32" s="249" t="s">
        <v>4</v>
      </c>
      <c r="F32" s="286" t="s">
        <v>4</v>
      </c>
      <c r="G32" s="241" t="s">
        <v>304</v>
      </c>
      <c r="H32" s="240" t="s">
        <v>285</v>
      </c>
      <c r="I32" s="240" t="s">
        <v>346</v>
      </c>
      <c r="J32" s="240" t="s">
        <v>304</v>
      </c>
      <c r="K32" s="282" t="s">
        <v>307</v>
      </c>
      <c r="L32" s="240" t="s">
        <v>306</v>
      </c>
      <c r="M32" s="282" t="s">
        <v>307</v>
      </c>
      <c r="N32" s="282" t="s">
        <v>307</v>
      </c>
      <c r="O32" s="281" t="s">
        <v>306</v>
      </c>
      <c r="P32" s="241" t="s">
        <v>286</v>
      </c>
      <c r="Q32" s="239" t="s">
        <v>286</v>
      </c>
      <c r="R32" s="240" t="s">
        <v>286</v>
      </c>
      <c r="S32" s="239" t="s">
        <v>286</v>
      </c>
      <c r="T32" s="238" t="s">
        <v>4</v>
      </c>
      <c r="U32" s="239" t="s">
        <v>285</v>
      </c>
      <c r="V32" s="238" t="s">
        <v>286</v>
      </c>
      <c r="W32" s="239" t="s">
        <v>285</v>
      </c>
      <c r="X32" s="238" t="s">
        <v>285</v>
      </c>
      <c r="Y32" s="239" t="s">
        <v>285</v>
      </c>
      <c r="Z32" s="306" t="s">
        <v>4</v>
      </c>
      <c r="AA32" s="306" t="s">
        <v>346</v>
      </c>
      <c r="AB32" s="282" t="s">
        <v>345</v>
      </c>
      <c r="AC32" s="282" t="s">
        <v>345</v>
      </c>
      <c r="AD32" s="305" t="s">
        <v>4</v>
      </c>
      <c r="AE32" s="284" t="s">
        <v>306</v>
      </c>
      <c r="AF32" s="244" t="s">
        <v>307</v>
      </c>
      <c r="AG32" s="243" t="s">
        <v>286</v>
      </c>
      <c r="AH32" s="243" t="s">
        <v>308</v>
      </c>
      <c r="AI32" s="243" t="s">
        <v>308</v>
      </c>
      <c r="AJ32" s="280" t="s">
        <v>308</v>
      </c>
    </row>
    <row r="33" spans="2:36" s="227" customFormat="1" ht="17.5" customHeight="1" x14ac:dyDescent="0.4">
      <c r="B33" s="247"/>
      <c r="C33" s="246"/>
      <c r="D33" s="304" t="s">
        <v>344</v>
      </c>
      <c r="E33" s="303"/>
      <c r="F33" s="302"/>
      <c r="G33" s="272"/>
      <c r="H33" s="271"/>
      <c r="I33" s="271"/>
      <c r="J33" s="301"/>
      <c r="K33" s="271"/>
      <c r="L33" s="271"/>
      <c r="M33" s="300"/>
      <c r="N33" s="299"/>
      <c r="O33" s="296"/>
      <c r="P33" s="298">
        <v>29.1</v>
      </c>
      <c r="Q33" s="274" t="s">
        <v>343</v>
      </c>
      <c r="R33" s="271"/>
      <c r="S33" s="271">
        <f>R33-33.1</f>
        <v>-33.1</v>
      </c>
      <c r="T33" s="276"/>
      <c r="U33" s="297" t="s">
        <v>342</v>
      </c>
      <c r="V33" s="294">
        <v>1.6</v>
      </c>
      <c r="W33" s="274">
        <v>17.600000000000001</v>
      </c>
      <c r="X33" s="271"/>
      <c r="Y33" s="271">
        <f>X33-W33</f>
        <v>-17.600000000000001</v>
      </c>
      <c r="Z33" s="271"/>
      <c r="AA33" s="274">
        <v>6.28</v>
      </c>
      <c r="AB33" s="271"/>
      <c r="AC33" s="271">
        <f>AB33-AA33</f>
        <v>-6.28</v>
      </c>
      <c r="AD33" s="296"/>
      <c r="AE33" s="295"/>
      <c r="AF33" s="294"/>
      <c r="AG33" s="275"/>
      <c r="AH33" s="276"/>
      <c r="AI33" s="275"/>
      <c r="AJ33" s="293"/>
    </row>
    <row r="34" spans="2:36" s="227" customFormat="1" ht="15" customHeight="1" x14ac:dyDescent="0.4">
      <c r="B34" s="247"/>
      <c r="C34" s="246"/>
      <c r="D34" s="292" t="s">
        <v>341</v>
      </c>
      <c r="E34" s="261"/>
      <c r="F34" s="292" t="s">
        <v>340</v>
      </c>
      <c r="G34" s="262"/>
      <c r="H34" s="262"/>
      <c r="I34" s="262"/>
      <c r="J34" s="262"/>
      <c r="K34" s="262"/>
      <c r="L34" s="262"/>
      <c r="M34" s="261"/>
      <c r="N34" s="292" t="s">
        <v>339</v>
      </c>
      <c r="O34" s="262"/>
      <c r="P34" s="262"/>
      <c r="Q34" s="262"/>
      <c r="R34" s="262"/>
      <c r="S34" s="262"/>
      <c r="T34" s="262"/>
      <c r="U34" s="261"/>
      <c r="V34" s="263" t="s">
        <v>338</v>
      </c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91"/>
    </row>
    <row r="35" spans="2:36" s="227" customFormat="1" ht="15" customHeight="1" x14ac:dyDescent="0.4">
      <c r="B35" s="247"/>
      <c r="C35" s="246"/>
      <c r="D35" s="290" t="s">
        <v>337</v>
      </c>
      <c r="E35" s="251"/>
      <c r="F35" s="290" t="s">
        <v>336</v>
      </c>
      <c r="G35" s="252"/>
      <c r="H35" s="252"/>
      <c r="I35" s="252"/>
      <c r="J35" s="252"/>
      <c r="K35" s="255" t="s">
        <v>335</v>
      </c>
      <c r="L35" s="252"/>
      <c r="M35" s="251"/>
      <c r="N35" s="290" t="s">
        <v>334</v>
      </c>
      <c r="O35" s="252"/>
      <c r="P35" s="252"/>
      <c r="Q35" s="252"/>
      <c r="R35" s="252"/>
      <c r="S35" s="289" t="s">
        <v>333</v>
      </c>
      <c r="T35" s="252"/>
      <c r="U35" s="251"/>
      <c r="V35" s="256" t="s">
        <v>332</v>
      </c>
      <c r="W35" s="252"/>
      <c r="X35" s="252"/>
      <c r="Y35" s="252"/>
      <c r="Z35" s="255" t="s">
        <v>331</v>
      </c>
      <c r="AA35" s="252"/>
      <c r="AB35" s="252"/>
      <c r="AC35" s="252"/>
      <c r="AD35" s="252"/>
      <c r="AE35" s="252"/>
      <c r="AF35" s="252"/>
      <c r="AG35" s="252"/>
      <c r="AH35" s="252"/>
      <c r="AI35" s="252"/>
      <c r="AJ35" s="288"/>
    </row>
    <row r="36" spans="2:36" s="227" customFormat="1" ht="25" customHeight="1" x14ac:dyDescent="0.4">
      <c r="B36" s="247"/>
      <c r="C36" s="246"/>
      <c r="D36" s="250" t="s">
        <v>330</v>
      </c>
      <c r="E36" s="286" t="s">
        <v>327</v>
      </c>
      <c r="F36" s="250" t="s">
        <v>329</v>
      </c>
      <c r="G36" s="249" t="s">
        <v>322</v>
      </c>
      <c r="H36" s="249" t="s">
        <v>328</v>
      </c>
      <c r="I36" s="248" t="s">
        <v>15</v>
      </c>
      <c r="J36" s="243" t="s">
        <v>327</v>
      </c>
      <c r="K36" s="248" t="s">
        <v>326</v>
      </c>
      <c r="L36" s="248" t="s">
        <v>325</v>
      </c>
      <c r="M36" s="286" t="s">
        <v>324</v>
      </c>
      <c r="N36" s="250" t="s">
        <v>329</v>
      </c>
      <c r="O36" s="249" t="s">
        <v>322</v>
      </c>
      <c r="P36" s="249" t="s">
        <v>328</v>
      </c>
      <c r="Q36" s="249" t="s">
        <v>15</v>
      </c>
      <c r="R36" s="287" t="s">
        <v>327</v>
      </c>
      <c r="S36" s="248" t="s">
        <v>326</v>
      </c>
      <c r="T36" s="248" t="s">
        <v>325</v>
      </c>
      <c r="U36" s="286" t="s">
        <v>324</v>
      </c>
      <c r="V36" s="253" t="s">
        <v>323</v>
      </c>
      <c r="W36" s="248" t="s">
        <v>322</v>
      </c>
      <c r="X36" s="248" t="s">
        <v>321</v>
      </c>
      <c r="Y36" s="248" t="s">
        <v>320</v>
      </c>
      <c r="Z36" s="248" t="s">
        <v>319</v>
      </c>
      <c r="AA36" s="248" t="s">
        <v>318</v>
      </c>
      <c r="AB36" s="248" t="s">
        <v>317</v>
      </c>
      <c r="AC36" s="248" t="s">
        <v>316</v>
      </c>
      <c r="AD36" s="248" t="s">
        <v>315</v>
      </c>
      <c r="AE36" s="248" t="s">
        <v>314</v>
      </c>
      <c r="AF36" s="248" t="s">
        <v>313</v>
      </c>
      <c r="AG36" s="248" t="s">
        <v>312</v>
      </c>
      <c r="AH36" s="248" t="s">
        <v>311</v>
      </c>
      <c r="AI36" s="248" t="s">
        <v>310</v>
      </c>
      <c r="AJ36" s="285" t="s">
        <v>309</v>
      </c>
    </row>
    <row r="37" spans="2:36" s="227" customFormat="1" ht="15" customHeight="1" x14ac:dyDescent="0.4">
      <c r="B37" s="247"/>
      <c r="C37" s="246"/>
      <c r="D37" s="284" t="s">
        <v>308</v>
      </c>
      <c r="E37" s="242" t="s">
        <v>4</v>
      </c>
      <c r="F37" s="245" t="s">
        <v>307</v>
      </c>
      <c r="G37" s="244" t="s">
        <v>307</v>
      </c>
      <c r="H37" s="244" t="s">
        <v>307</v>
      </c>
      <c r="I37" s="243" t="s">
        <v>286</v>
      </c>
      <c r="J37" s="243" t="s">
        <v>4</v>
      </c>
      <c r="K37" s="243" t="s">
        <v>286</v>
      </c>
      <c r="L37" s="243" t="s">
        <v>286</v>
      </c>
      <c r="M37" s="281" t="s">
        <v>286</v>
      </c>
      <c r="N37" s="283" t="s">
        <v>307</v>
      </c>
      <c r="O37" s="249" t="s">
        <v>307</v>
      </c>
      <c r="P37" s="282" t="s">
        <v>307</v>
      </c>
      <c r="Q37" s="240" t="s">
        <v>286</v>
      </c>
      <c r="R37" s="240" t="s">
        <v>4</v>
      </c>
      <c r="S37" s="243" t="s">
        <v>286</v>
      </c>
      <c r="T37" s="243" t="s">
        <v>286</v>
      </c>
      <c r="U37" s="281" t="s">
        <v>286</v>
      </c>
      <c r="V37" s="245" t="s">
        <v>307</v>
      </c>
      <c r="W37" s="244" t="s">
        <v>307</v>
      </c>
      <c r="X37" s="243" t="s">
        <v>306</v>
      </c>
      <c r="Y37" s="243" t="s">
        <v>286</v>
      </c>
      <c r="Z37" s="243" t="s">
        <v>305</v>
      </c>
      <c r="AA37" s="243" t="s">
        <v>304</v>
      </c>
      <c r="AB37" s="243" t="s">
        <v>305</v>
      </c>
      <c r="AC37" s="244" t="s">
        <v>304</v>
      </c>
      <c r="AD37" s="244" t="s">
        <v>285</v>
      </c>
      <c r="AE37" s="244" t="s">
        <v>4</v>
      </c>
      <c r="AF37" s="243" t="s">
        <v>284</v>
      </c>
      <c r="AG37" s="243" t="s">
        <v>303</v>
      </c>
      <c r="AH37" s="243" t="s">
        <v>302</v>
      </c>
      <c r="AI37" s="243" t="s">
        <v>302</v>
      </c>
      <c r="AJ37" s="280" t="s">
        <v>4</v>
      </c>
    </row>
    <row r="38" spans="2:36" s="227" customFormat="1" ht="15" customHeight="1" x14ac:dyDescent="0.4">
      <c r="B38" s="247"/>
      <c r="C38" s="246"/>
      <c r="D38" s="279"/>
      <c r="E38" s="278"/>
      <c r="F38" s="277" t="s">
        <v>301</v>
      </c>
      <c r="G38" s="276">
        <v>21</v>
      </c>
      <c r="H38" s="275">
        <f>G38-F38</f>
        <v>4</v>
      </c>
      <c r="I38" s="274"/>
      <c r="J38" s="271"/>
      <c r="K38" s="271">
        <v>93.5</v>
      </c>
      <c r="L38" s="271">
        <v>4.24</v>
      </c>
      <c r="M38" s="273">
        <f>K38+L38</f>
        <v>97.74</v>
      </c>
      <c r="N38" s="272">
        <v>20</v>
      </c>
      <c r="O38" s="271">
        <v>23</v>
      </c>
      <c r="P38" s="270">
        <f>O38-N38</f>
        <v>3</v>
      </c>
      <c r="Q38" s="267"/>
      <c r="R38" s="267"/>
      <c r="S38" s="267" t="s">
        <v>300</v>
      </c>
      <c r="T38" s="267" t="s">
        <v>299</v>
      </c>
      <c r="U38" s="269">
        <f>S38+T38</f>
        <v>97.45</v>
      </c>
      <c r="V38" s="268"/>
      <c r="W38" s="267"/>
      <c r="X38" s="267"/>
      <c r="Y38" s="267"/>
      <c r="Z38" s="267"/>
      <c r="AA38" s="267"/>
      <c r="AB38" s="267"/>
      <c r="AC38" s="267"/>
      <c r="AD38" s="267"/>
      <c r="AE38" s="266" t="e">
        <f>Z38/AB38</f>
        <v>#DIV/0!</v>
      </c>
      <c r="AF38" s="267"/>
      <c r="AG38" s="267"/>
      <c r="AH38" s="266" t="e">
        <f>AF38/(Z38-AB38)</f>
        <v>#DIV/0!</v>
      </c>
      <c r="AI38" s="265" t="s">
        <v>298</v>
      </c>
      <c r="AJ38" s="264"/>
    </row>
    <row r="39" spans="2:36" s="227" customFormat="1" ht="15" customHeight="1" x14ac:dyDescent="0.4">
      <c r="B39" s="247"/>
      <c r="C39" s="246"/>
      <c r="D39" s="263" t="s">
        <v>297</v>
      </c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1"/>
      <c r="R39" s="260" t="s">
        <v>4</v>
      </c>
      <c r="S39" s="259" t="s">
        <v>4</v>
      </c>
      <c r="T39" s="259" t="s">
        <v>4</v>
      </c>
      <c r="U39" s="259" t="s">
        <v>84</v>
      </c>
      <c r="V39" s="259" t="s">
        <v>84</v>
      </c>
      <c r="W39" s="259" t="s">
        <v>84</v>
      </c>
      <c r="X39" s="259" t="s">
        <v>84</v>
      </c>
      <c r="Y39" s="259" t="s">
        <v>84</v>
      </c>
      <c r="Z39" s="259" t="s">
        <v>84</v>
      </c>
      <c r="AA39" s="259" t="s">
        <v>84</v>
      </c>
      <c r="AB39" s="259" t="s">
        <v>84</v>
      </c>
      <c r="AC39" s="259" t="s">
        <v>84</v>
      </c>
      <c r="AD39" s="259" t="s">
        <v>84</v>
      </c>
      <c r="AE39" s="259" t="s">
        <v>84</v>
      </c>
      <c r="AF39" s="258" t="s">
        <v>84</v>
      </c>
      <c r="AG39" s="258" t="s">
        <v>84</v>
      </c>
      <c r="AH39" s="258" t="s">
        <v>84</v>
      </c>
      <c r="AI39" s="258" t="s">
        <v>84</v>
      </c>
      <c r="AJ39" s="257" t="s">
        <v>84</v>
      </c>
    </row>
    <row r="40" spans="2:36" s="227" customFormat="1" ht="15" customHeight="1" x14ac:dyDescent="0.4">
      <c r="B40" s="247"/>
      <c r="C40" s="246"/>
      <c r="D40" s="256" t="s">
        <v>296</v>
      </c>
      <c r="E40" s="252"/>
      <c r="F40" s="252"/>
      <c r="G40" s="255" t="s">
        <v>295</v>
      </c>
      <c r="H40" s="252"/>
      <c r="I40" s="252"/>
      <c r="J40" s="255" t="s">
        <v>294</v>
      </c>
      <c r="K40" s="252"/>
      <c r="L40" s="252"/>
      <c r="M40" s="255" t="s">
        <v>293</v>
      </c>
      <c r="N40" s="255" t="s">
        <v>292</v>
      </c>
      <c r="O40" s="255" t="s">
        <v>291</v>
      </c>
      <c r="P40" s="255" t="s">
        <v>227</v>
      </c>
      <c r="Q40" s="254" t="s">
        <v>290</v>
      </c>
      <c r="R40" s="241" t="s">
        <v>4</v>
      </c>
      <c r="S40" s="240" t="s">
        <v>4</v>
      </c>
      <c r="T40" s="240" t="s">
        <v>4</v>
      </c>
      <c r="U40" s="240" t="s">
        <v>84</v>
      </c>
      <c r="V40" s="240" t="s">
        <v>84</v>
      </c>
      <c r="W40" s="240" t="s">
        <v>84</v>
      </c>
      <c r="X40" s="240" t="s">
        <v>84</v>
      </c>
      <c r="Y40" s="240" t="s">
        <v>84</v>
      </c>
      <c r="Z40" s="240" t="s">
        <v>84</v>
      </c>
      <c r="AA40" s="240" t="s">
        <v>84</v>
      </c>
      <c r="AB40" s="240" t="s">
        <v>84</v>
      </c>
      <c r="AC40" s="240" t="s">
        <v>84</v>
      </c>
      <c r="AD40" s="240" t="s">
        <v>84</v>
      </c>
      <c r="AE40" s="240" t="s">
        <v>84</v>
      </c>
      <c r="AF40" s="238" t="s">
        <v>84</v>
      </c>
      <c r="AG40" s="238" t="s">
        <v>84</v>
      </c>
      <c r="AH40" s="238" t="s">
        <v>84</v>
      </c>
      <c r="AI40" s="238" t="s">
        <v>84</v>
      </c>
      <c r="AJ40" s="237" t="s">
        <v>84</v>
      </c>
    </row>
    <row r="41" spans="2:36" s="227" customFormat="1" ht="25" customHeight="1" x14ac:dyDescent="0.4">
      <c r="B41" s="247"/>
      <c r="C41" s="246"/>
      <c r="D41" s="253" t="s">
        <v>289</v>
      </c>
      <c r="E41" s="248" t="s">
        <v>288</v>
      </c>
      <c r="F41" s="248" t="s">
        <v>287</v>
      </c>
      <c r="G41" s="248" t="s">
        <v>289</v>
      </c>
      <c r="H41" s="248" t="s">
        <v>288</v>
      </c>
      <c r="I41" s="248" t="s">
        <v>287</v>
      </c>
      <c r="J41" s="248" t="s">
        <v>289</v>
      </c>
      <c r="K41" s="248" t="s">
        <v>288</v>
      </c>
      <c r="L41" s="248" t="s">
        <v>287</v>
      </c>
      <c r="M41" s="252"/>
      <c r="N41" s="252"/>
      <c r="O41" s="252"/>
      <c r="P41" s="252"/>
      <c r="Q41" s="251"/>
      <c r="R41" s="250" t="s">
        <v>4</v>
      </c>
      <c r="S41" s="249" t="s">
        <v>4</v>
      </c>
      <c r="T41" s="249" t="s">
        <v>4</v>
      </c>
      <c r="U41" s="249" t="s">
        <v>84</v>
      </c>
      <c r="V41" s="249" t="s">
        <v>84</v>
      </c>
      <c r="W41" s="248" t="s">
        <v>84</v>
      </c>
      <c r="X41" s="249" t="s">
        <v>84</v>
      </c>
      <c r="Y41" s="249" t="s">
        <v>84</v>
      </c>
      <c r="Z41" s="248" t="s">
        <v>84</v>
      </c>
      <c r="AA41" s="240" t="s">
        <v>84</v>
      </c>
      <c r="AB41" s="240" t="s">
        <v>84</v>
      </c>
      <c r="AC41" s="240" t="s">
        <v>84</v>
      </c>
      <c r="AD41" s="240" t="s">
        <v>84</v>
      </c>
      <c r="AE41" s="240" t="s">
        <v>84</v>
      </c>
      <c r="AF41" s="238" t="s">
        <v>84</v>
      </c>
      <c r="AG41" s="238" t="s">
        <v>84</v>
      </c>
      <c r="AH41" s="238" t="s">
        <v>84</v>
      </c>
      <c r="AI41" s="238" t="s">
        <v>84</v>
      </c>
      <c r="AJ41" s="237" t="s">
        <v>84</v>
      </c>
    </row>
    <row r="42" spans="2:36" s="227" customFormat="1" ht="15" customHeight="1" x14ac:dyDescent="0.4">
      <c r="B42" s="247"/>
      <c r="C42" s="246"/>
      <c r="D42" s="245" t="s">
        <v>286</v>
      </c>
      <c r="E42" s="244" t="s">
        <v>286</v>
      </c>
      <c r="F42" s="243" t="s">
        <v>286</v>
      </c>
      <c r="G42" s="243" t="s">
        <v>285</v>
      </c>
      <c r="H42" s="240" t="s">
        <v>285</v>
      </c>
      <c r="I42" s="240" t="s">
        <v>285</v>
      </c>
      <c r="J42" s="243" t="s">
        <v>285</v>
      </c>
      <c r="K42" s="240" t="s">
        <v>285</v>
      </c>
      <c r="L42" s="240" t="s">
        <v>285</v>
      </c>
      <c r="M42" s="240" t="s">
        <v>284</v>
      </c>
      <c r="N42" s="240" t="s">
        <v>283</v>
      </c>
      <c r="O42" s="243" t="s">
        <v>282</v>
      </c>
      <c r="P42" s="243" t="s">
        <v>4</v>
      </c>
      <c r="Q42" s="242" t="s">
        <v>4</v>
      </c>
      <c r="R42" s="241" t="s">
        <v>4</v>
      </c>
      <c r="S42" s="240" t="s">
        <v>4</v>
      </c>
      <c r="T42" s="240" t="s">
        <v>4</v>
      </c>
      <c r="U42" s="240" t="s">
        <v>84</v>
      </c>
      <c r="V42" s="240" t="s">
        <v>84</v>
      </c>
      <c r="W42" s="240" t="s">
        <v>84</v>
      </c>
      <c r="X42" s="240" t="s">
        <v>84</v>
      </c>
      <c r="Y42" s="240" t="s">
        <v>84</v>
      </c>
      <c r="Z42" s="240" t="s">
        <v>84</v>
      </c>
      <c r="AA42" s="240" t="s">
        <v>84</v>
      </c>
      <c r="AB42" s="240" t="s">
        <v>84</v>
      </c>
      <c r="AC42" s="240" t="s">
        <v>84</v>
      </c>
      <c r="AD42" s="240" t="s">
        <v>84</v>
      </c>
      <c r="AE42" s="239" t="s">
        <v>84</v>
      </c>
      <c r="AF42" s="238" t="s">
        <v>84</v>
      </c>
      <c r="AG42" s="238" t="s">
        <v>84</v>
      </c>
      <c r="AH42" s="238" t="s">
        <v>84</v>
      </c>
      <c r="AI42" s="238" t="s">
        <v>84</v>
      </c>
      <c r="AJ42" s="237" t="s">
        <v>84</v>
      </c>
    </row>
    <row r="43" spans="2:36" s="227" customFormat="1" ht="15" customHeight="1" thickBot="1" x14ac:dyDescent="0.45">
      <c r="B43" s="236"/>
      <c r="C43" s="235"/>
      <c r="D43" s="232"/>
      <c r="E43" s="231"/>
      <c r="F43" s="231">
        <f>D43-E43</f>
        <v>0</v>
      </c>
      <c r="G43" s="231"/>
      <c r="H43" s="231"/>
      <c r="I43" s="231">
        <f>G43-H43</f>
        <v>0</v>
      </c>
      <c r="J43" s="231"/>
      <c r="K43" s="231"/>
      <c r="L43" s="231">
        <f>J43-K43</f>
        <v>0</v>
      </c>
      <c r="M43" s="231"/>
      <c r="N43" s="231"/>
      <c r="O43" s="234" t="e">
        <f>N43/M43</f>
        <v>#DIV/0!</v>
      </c>
      <c r="P43" s="231"/>
      <c r="Q43" s="233">
        <v>301</v>
      </c>
      <c r="R43" s="232" t="s">
        <v>4</v>
      </c>
      <c r="S43" s="231" t="s">
        <v>4</v>
      </c>
      <c r="T43" s="231" t="s">
        <v>4</v>
      </c>
      <c r="U43" s="231" t="s">
        <v>84</v>
      </c>
      <c r="V43" s="231" t="s">
        <v>84</v>
      </c>
      <c r="W43" s="231" t="s">
        <v>84</v>
      </c>
      <c r="X43" s="231" t="s">
        <v>84</v>
      </c>
      <c r="Y43" s="231" t="s">
        <v>84</v>
      </c>
      <c r="Z43" s="231" t="s">
        <v>84</v>
      </c>
      <c r="AA43" s="231" t="s">
        <v>84</v>
      </c>
      <c r="AB43" s="231" t="s">
        <v>84</v>
      </c>
      <c r="AC43" s="231" t="s">
        <v>84</v>
      </c>
      <c r="AD43" s="231" t="s">
        <v>84</v>
      </c>
      <c r="AE43" s="230" t="s">
        <v>84</v>
      </c>
      <c r="AF43" s="229" t="s">
        <v>84</v>
      </c>
      <c r="AG43" s="229" t="s">
        <v>84</v>
      </c>
      <c r="AH43" s="229" t="s">
        <v>84</v>
      </c>
      <c r="AI43" s="229" t="s">
        <v>84</v>
      </c>
      <c r="AJ43" s="228" t="s">
        <v>84</v>
      </c>
    </row>
    <row r="44" spans="2:36" ht="15" customHeight="1" x14ac:dyDescent="0.4"/>
    <row r="45" spans="2:36" ht="18" customHeight="1" x14ac:dyDescent="0.4"/>
    <row r="46" spans="2:36" ht="18" customHeight="1" x14ac:dyDescent="0.4"/>
    <row r="47" spans="2:36" ht="18" customHeight="1" x14ac:dyDescent="0.4"/>
    <row r="48" spans="2:36" ht="18" customHeight="1" x14ac:dyDescent="0.4"/>
    <row r="49" ht="18" customHeight="1" x14ac:dyDescent="0.4"/>
    <row r="50" ht="18" customHeight="1" x14ac:dyDescent="0.4"/>
    <row r="51" ht="18" customHeight="1" x14ac:dyDescent="0.4"/>
    <row r="52" ht="18" customHeight="1" x14ac:dyDescent="0.4"/>
    <row r="53" ht="18" customHeight="1" x14ac:dyDescent="0.4"/>
    <row r="54" ht="18" customHeight="1" x14ac:dyDescent="0.4"/>
    <row r="55" ht="18" customHeight="1" x14ac:dyDescent="0.4"/>
    <row r="56" ht="18" customHeight="1" x14ac:dyDescent="0.4"/>
    <row r="57" ht="18" customHeight="1" x14ac:dyDescent="0.4"/>
    <row r="58" ht="18" customHeight="1" x14ac:dyDescent="0.4"/>
    <row r="59" ht="18" customHeight="1" x14ac:dyDescent="0.4"/>
    <row r="60" ht="18" customHeight="1" x14ac:dyDescent="0.4"/>
    <row r="61" ht="18" customHeight="1" x14ac:dyDescent="0.4"/>
    <row r="62" ht="18" customHeight="1" x14ac:dyDescent="0.4"/>
    <row r="63" ht="18" customHeight="1" x14ac:dyDescent="0.4"/>
    <row r="64" ht="18" customHeight="1" x14ac:dyDescent="0.4"/>
    <row r="65" ht="18" customHeight="1" x14ac:dyDescent="0.4"/>
    <row r="66" ht="18" customHeight="1" x14ac:dyDescent="0.4"/>
    <row r="67" ht="18" customHeight="1" x14ac:dyDescent="0.4"/>
    <row r="68" ht="18" customHeight="1" x14ac:dyDescent="0.4"/>
    <row r="69" ht="18" customHeight="1" x14ac:dyDescent="0.4"/>
    <row r="70" ht="18" customHeight="1" x14ac:dyDescent="0.4"/>
    <row r="71" ht="18" customHeight="1" x14ac:dyDescent="0.4"/>
    <row r="72" ht="18" customHeight="1" x14ac:dyDescent="0.4"/>
    <row r="73" ht="18" customHeight="1" x14ac:dyDescent="0.4"/>
    <row r="74" ht="18" customHeight="1" x14ac:dyDescent="0.4"/>
    <row r="75" ht="18" customHeight="1" x14ac:dyDescent="0.4"/>
    <row r="76" ht="18" customHeight="1" x14ac:dyDescent="0.4"/>
    <row r="77" ht="18" customHeight="1" x14ac:dyDescent="0.4"/>
    <row r="78" ht="18" customHeight="1" x14ac:dyDescent="0.4"/>
    <row r="79" ht="18" customHeight="1" x14ac:dyDescent="0.4"/>
    <row r="80" ht="18" customHeight="1" x14ac:dyDescent="0.4"/>
    <row r="81" ht="18" customHeight="1" x14ac:dyDescent="0.4"/>
    <row r="82" ht="18" customHeight="1" x14ac:dyDescent="0.4"/>
    <row r="83" ht="18" customHeight="1" x14ac:dyDescent="0.4"/>
    <row r="84" ht="18" customHeight="1" x14ac:dyDescent="0.4"/>
    <row r="85" ht="18" customHeight="1" x14ac:dyDescent="0.4"/>
    <row r="86" ht="18" customHeight="1" x14ac:dyDescent="0.4"/>
    <row r="87" ht="18" customHeight="1" x14ac:dyDescent="0.4"/>
    <row r="88" ht="18" customHeight="1" x14ac:dyDescent="0.4"/>
    <row r="89" ht="18" customHeight="1" x14ac:dyDescent="0.4"/>
    <row r="90" ht="18" customHeight="1" x14ac:dyDescent="0.4"/>
    <row r="91" ht="18" customHeight="1" x14ac:dyDescent="0.4"/>
    <row r="92" ht="18" customHeight="1" x14ac:dyDescent="0.4"/>
    <row r="93" ht="18" customHeight="1" x14ac:dyDescent="0.4"/>
    <row r="94" ht="18" customHeight="1" x14ac:dyDescent="0.4"/>
    <row r="95" ht="18" customHeight="1" x14ac:dyDescent="0.4"/>
    <row r="96" ht="18" customHeight="1" x14ac:dyDescent="0.4"/>
    <row r="97" ht="18" customHeight="1" x14ac:dyDescent="0.4"/>
    <row r="98" ht="18" customHeight="1" x14ac:dyDescent="0.4"/>
    <row r="99" ht="18" customHeight="1" x14ac:dyDescent="0.4"/>
    <row r="100" ht="18" customHeight="1" x14ac:dyDescent="0.4"/>
    <row r="101" ht="18" customHeight="1" x14ac:dyDescent="0.4"/>
    <row r="102" ht="18" customHeight="1" x14ac:dyDescent="0.4"/>
    <row r="103" ht="18" customHeight="1" x14ac:dyDescent="0.4"/>
    <row r="104" ht="18" customHeight="1" x14ac:dyDescent="0.4"/>
    <row r="105" ht="18" customHeight="1" x14ac:dyDescent="0.4"/>
    <row r="106" ht="18" customHeight="1" x14ac:dyDescent="0.4"/>
    <row r="107" ht="18" customHeight="1" x14ac:dyDescent="0.4"/>
    <row r="108" ht="18" customHeight="1" x14ac:dyDescent="0.4"/>
    <row r="109" ht="18" customHeight="1" x14ac:dyDescent="0.4"/>
    <row r="110" ht="18" customHeight="1" x14ac:dyDescent="0.4"/>
    <row r="111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</sheetData>
  <mergeCells count="131"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5</vt:i4>
      </vt:variant>
    </vt:vector>
  </HeadingPairs>
  <TitlesOfParts>
    <vt:vector baseType="lpstr" size="5">
      <vt:lpstr>白班过程记录</vt:lpstr>
      <vt:lpstr>白班曲线</vt:lpstr>
      <vt:lpstr>夜班过程记录</vt:lpstr>
      <vt:lpstr>夜班曲线</vt:lpstr>
      <vt:lpstr>班组＆日生产过程运行质量考评表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2026-03-16T08:41:20Z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