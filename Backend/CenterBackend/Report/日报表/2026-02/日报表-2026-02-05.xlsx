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<sst xmlns="http://schemas.openxmlformats.org/spreadsheetml/2006/main" count="1501" uniqueCount="461">
  <si>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</si>
  <si>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</si>
  <si>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</si>
  <si>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</si>
  <si>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</si>
  <si>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</si>
  <si>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</si>
  <si>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</si>
  <si>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</si>
  <si>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</si>
  <si>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</si>
  <si>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</si>
  <si>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</si>
  <si>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</si>
  <si>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</si>
  <si>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</si>
  <si>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</si>
  <si>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</si>
  <si>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</si>
  <si>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</si>
  <si>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</si>
  <si>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</si>
  <si>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</si>
  <si>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</si>
  <si>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</si>
  <si>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</si>
  <si>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</si>
  <si>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</si>
  <si>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</si>
  <si>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</si>
  <si>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</si>
  <si>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</si>
  <si>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</si>
  <si>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</si>
  <si>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</si>
  <si>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</si>
  <si>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</si>
  <si>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</si>
  <si>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</si>
  <si>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</si>
  <si>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</si>
  <si>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</si>
  <si>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</si>
  <si>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</si>
  <si>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</si>
  <si>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</si>
  <si>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</si>
  <si>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</si>
  <si>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</si>
  <si>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</si>
  <si>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</si>
  <si>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</si>
  <si>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</si>
  <si>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</si>
  <si>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</si>
  <si>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</si>
  <si>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</si>
  <si>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</si>
  <si>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</si>
  <si>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</si>
  <si>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</si>
  <si>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</si>
  <si>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</si>
  <si>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</si>
  <si>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</si>
  <si>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</si>
  <si>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</si>
  <si>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</si>
  <si>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</si>
  <si>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</si>
  <si>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</si>
  <si>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</si>
  <si>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</si>
  <si>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</si>
  <si>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</si>
  <si>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</si>
  <si>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</si>
  <si>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</si>
  <si>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</si>
  <si>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</si>
  <si>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</si>
  <si>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</si>
  <si>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</si>
  <si>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</si>
  <si>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</si>
  <si>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</si>
  <si>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</si>
  <si>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</si>
  <si>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</si>
  <si>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</si>
  <si>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</si>
  <si>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</si>
  <si>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</si>
  <si>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</si>
  <si>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</si>
  <si>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</si>
  <si>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</si>
  <si>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</si>
  <si>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</si>
  <si>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</si>
  <si>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</si>
  <si>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</si>
  <si>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</si>
  <si>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</si>
  <si>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</si>
  <si>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</si>
  <si>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</si>
  <si>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</si>
  <si>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</si>
  <si>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</si>
  <si>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</si>
  <si>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</si>
  <si>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</si>
  <si>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</si>
  <si>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</si>
  <si>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</si>
  <si>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</si>
  <si>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</si>
  <si>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</si>
  <si>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</si>
  <si>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</si>
  <si>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</si>
  <si>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</si>
  <si>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</si>
  <si>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</si>
  <si>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</si>
  <si>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</si>
  <si>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</si>
  <si>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</si>
  <si>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</si>
  <si>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</si>
  <si>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</si>
  <si>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</si>
  <si>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</si>
  <si>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</si>
  <si>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</si>
  <si>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</si>
  <si>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</si>
  <si>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</si>
  <si>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</si>
  <si>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</si>
  <si>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</si>
  <si>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</si>
  <si>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</si>
  <si>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</si>
  <si>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</si>
  <si>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</si>
  <si>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</si>
  <si>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</si>
  <si>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</si>
  <si>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</si>
  <si>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</si>
  <si>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</si>
  <si>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</si>
  <si>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</si>
  <si>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</si>
  <si>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</si>
  <si>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</si>
  <si>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</si>
  <si>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</si>
  <si>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</si>
  <si>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</si>
  <si>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</si>
  <si>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</si>
  <si>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</si>
  <si>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</si>
  <si>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</si>
  <si>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</si>
  <si>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</si>
  <si>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</si>
  <si>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</si>
  <si>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</si>
  <si>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</si>
  <si>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</si>
  <si>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</si>
  <si>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</si>
  <si>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</si>
  <si>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</si>
  <si>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</si>
  <si>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</si>
  <si>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</si>
  <si>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</si>
  <si>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</si>
  <si>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</si>
  <si>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</si>
  <si>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</si>
  <si>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</si>
  <si>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</si>
  <si>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</si>
  <si>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</si>
  <si>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</si>
  <si>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</si>
  <si>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</si>
  <si>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</si>
  <si>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</si>
  <si>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</si>
  <si>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</si>
  <si>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</si>
  <si>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</si>
  <si>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</si>
  <si>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</si>
  <si>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</si>
  <si>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</si>
  <si>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</si>
  <si>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</si>
  <si>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</si>
  <si>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</si>
  <si>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</si>
  <si>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</si>
  <si>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</si>
  <si>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</si>
  <si>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</si>
  <si>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</si>
  <si>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</si>
  <si>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</si>
  <si>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</si>
  <si>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</si>
  <si>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</si>
  <si>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</si>
  <si>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</si>
  <si>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</si>
  <si>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</si>
  <si>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</si>
  <si>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</si>
  <si>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</si>
  <si>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</si>
  <si>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</si>
  <si>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</si>
  <si>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</si>
  <si>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</si>
  <si>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</si>
  <si>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</si>
  <si>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</si>
  <si>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</si>
  <si>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</si>
  <si>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</si>
  <si>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</si>
  <si>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</si>
  <si>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</si>
  <si>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</si>
  <si>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</si>
  <si>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</si>
  <si>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</si>
  <si>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</si>
  <si>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</si>
  <si>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</si>
  <si>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</si>
  <si>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</si>
  <si>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</si>
  <si>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</si>
  <si>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</si>
  <si>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</si>
  <si>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</si>
  <si>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</si>
  <si>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</si>
  <si>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</si>
  <si>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</si>
  <si>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</si>
  <si>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</si>
  <si>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</si>
  <si>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</si>
  <si>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</si>
  <si>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</si>
  <si>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</si>
  <si>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</si>
  <si>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</si>
  <si>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</si>
  <si>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</si>
  <si>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</si>
  <si>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</si>
  <si>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</si>
  <si>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</si>
  <si>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</si>
  <si>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</si>
  <si>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</si>
  <si>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</si>
  <si>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</si>
  <si>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</si>
  <si>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</si>
  <si>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</si>
  <si>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</si>
  <si>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</si>
  <si>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</si>
  <si>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</si>
  <si>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</si>
  <si>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</si>
  <si>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</si>
  <si>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</si>
  <si>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</si>
  <si>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</si>
  <si>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</si>
  <si>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</si>
  <si>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</si>
  <si>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</si>
  <si>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</si>
  <si>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</si>
  <si>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</si>
  <si>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</si>
  <si>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</si>
  <si>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</si>
  <si>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</si>
  <si>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</si>
  <si>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</si>
  <si>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</si>
  <si>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</si>
  <si>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</si>
  <si>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</si>
  <si>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</si>
  <si>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</si>
  <si>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</si>
  <si>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</si>
  <si>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</si>
  <si>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</si>
  <si>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</si>
  <si>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</si>
  <si>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</si>
  <si>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</si>
  <si>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</si>
  <si>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</si>
  <si>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</si>
  <si>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</si>
  <si>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</si>
  <si>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</si>
  <si>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</si>
  <si>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</si>
  <si>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</si>
  <si>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</si>
  <si>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</si>
  <si>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</si>
  <si>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</si>
  <si>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</si>
  <si>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</si>
  <si>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</si>
  <si>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</si>
  <si>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</si>
  <si>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</si>
  <si>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</si>
  <si>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</si>
  <si>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</si>
  <si>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</si>
  <si>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</si>
  <si>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</si>
  <si>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</si>
  <si>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</si>
  <si>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</si>
  <si>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</si>
  <si>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</si>
  <si>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</si>
  <si>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</si>
  <si>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</si>
  <si>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</si>
  <si>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</si>
  <si>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</si>
  <si>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</si>
  <si>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</si>
  <si>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</si>
  <si>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</si>
  <si>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</si>
  <si>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</si>
  <si>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</si>
  <si>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</si>
  <si>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</si>
  <si>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</si>
  <si>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</si>
  <si>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</si>
  <si>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</si>
  <si>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</si>
  <si>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</si>
  <si>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</si>
  <si>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</si>
  <si>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</si>
  <si>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</si>
  <si>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</si>
  <si>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</si>
  <si>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</si>
  <si>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</si>
  <si>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</si>
  <si>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</si>
  <si>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</si>
  <si>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</si>
  <si>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</si>
  <si>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</si>
  <si>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</si>
  <si>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</si>
  <si>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</si>
  <si>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</si>
  <si>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</si>
  <si>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</si>
  <si>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</si>
  <si>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</si>
  <si>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</si>
  <si>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</si>
  <si>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</si>
  <si>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</si>
  <si>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</si>
  <si>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</si>
  <si>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</si>
  <si>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</si>
  <si>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</si>
  <si>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</si>
  <si>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</si>
  <si>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</si>
  <si>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</si>
  <si>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</si>
  <si>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</si>
  <si>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</si>
  <si>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</si>
  <si>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</si>
  <si>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</si>
  <si>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</si>
  <si>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</si>
  <si>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</si>
  <si>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</si>
  <si>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</si>
  <si>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</si>
  <si>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</si>
  <si>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</si>
  <si>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</si>
  <si>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</si>
  <si>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</si>
  <si>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</si>
  <si>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</si>
  <si>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</si>
  <si>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</si>
  <si>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</si>
  <si>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</si>
  <si>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</si>
  <si>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</si>
  <si>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</si>
  <si>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</si>
  <si>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</si>
  <si>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</si>
  <si>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</si>
  <si>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</si>
  <si>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</si>
  <si>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</si>
  <si>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</si>
  <si>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</si>
  <si>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</si>
  <si>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</si>
  <si>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</si>
  <si>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</si>
  <si>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</si>
  <si>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</si>
  <si>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</si>
  <si>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</si>
  <si>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</si>
  <si>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</si>
  <si>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</si>
  <si>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</si>
  <si>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</si>
  <si>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</si>
  <si>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</si>
  <si>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</si>
  <si>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</si>
  <si>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</si>
  <si>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</si>
  <si>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</si>
  <si>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</si>
  <si>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2026-02-05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</si>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</sst>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27" fillId="0" borderId="0" xfId="0" applyFont="1"/>
    <xf numFmtId="0" fontId="27" fillId="0" borderId="82" xfId="0" applyFont="1" applyBorder="1"/>
    <xf numFmtId="0" fontId="29" fillId="0" borderId="83" xfId="0" applyFont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101" xfId="0" applyFont="1" applyFill="1" applyBorder="1" applyAlignment="1">
      <alignment horizontal="center" vertical="center"/>
    </xf>
    <xf numFmtId="49" fontId="19" fillId="4" borderId="102" xfId="0" applyNumberFormat="1" applyFont="1" applyFill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2" fillId="0" borderId="4" xfId="0" applyNumberFormat="1" applyFont="1" applyBorder="1" applyAlignment="1">
      <alignment horizontal="center" vertical="center" wrapText="1"/>
    </xf>
    <xf numFmtId="176" fontId="42" fillId="0" borderId="47" xfId="0" applyNumberFormat="1" applyFont="1" applyBorder="1" applyAlignment="1">
      <alignment horizontal="center" vertical="center" wrapText="1"/>
    </xf>
    <xf numFmtId="176" fontId="42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1" fillId="0" borderId="4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1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1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1" fillId="0" borderId="12" xfId="0" applyNumberFormat="1" applyFont="1" applyBorder="1" applyAlignment="1">
      <alignment horizontal="center" vertical="center" wrapText="1"/>
    </xf>
    <xf numFmtId="177" fontId="42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1" fillId="0" borderId="45" xfId="0" applyNumberFormat="1" applyFont="1" applyBorder="1" applyAlignment="1">
      <alignment horizontal="center" vertical="center" wrapText="1"/>
    </xf>
    <xf numFmtId="177" fontId="42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2" fillId="0" borderId="47" xfId="0" applyNumberFormat="1" applyFont="1" applyBorder="1" applyAlignment="1">
      <alignment horizontal="center" vertical="center" wrapText="1"/>
    </xf>
    <xf numFmtId="177" fontId="42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2" fillId="0" borderId="48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177" fontId="43" fillId="0" borderId="52" xfId="0" applyNumberFormat="1" applyFont="1" applyBorder="1" applyAlignment="1">
      <alignment horizontal="center" vertical="center" wrapText="1"/>
    </xf>
    <xf numFmtId="177" fontId="44" fillId="0" borderId="52" xfId="0" applyNumberFormat="1" applyFont="1" applyBorder="1" applyAlignment="1">
      <alignment horizontal="center" vertical="center" wrapText="1"/>
    </xf>
    <xf numFmtId="177" fontId="44" fillId="0" borderId="30" xfId="0" applyNumberFormat="1" applyFont="1" applyBorder="1" applyAlignment="1">
      <alignment horizontal="center" vertical="center" wrapText="1"/>
    </xf>
    <xf numFmtId="177" fontId="44" fillId="0" borderId="76" xfId="0" applyNumberFormat="1" applyFont="1" applyBorder="1" applyAlignment="1">
      <alignment horizontal="center" vertical="center" wrapText="1"/>
    </xf>
    <xf numFmtId="177" fontId="44" fillId="0" borderId="48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8" fillId="0" borderId="69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0" fillId="0" borderId="99" xfId="0" applyBorder="1" applyAlignment="1">
      <alignment horizontal="center" vertical="center"/>
    </xf>
    <xf numFmtId="0" fontId="0" fillId="0" borderId="104" xfId="0" applyBorder="1" applyAlignment="1">
      <alignment horizontal="center" vertical="center"/>
    </xf>
    <xf numFmtId="0" fontId="21" fillId="0" borderId="1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8" fillId="0" borderId="51" xfId="0" applyFont="1" applyBorder="1" applyAlignment="1">
      <alignment horizontal="center" vertical="center" wrapText="1"/>
    </xf>
    <xf numFmtId="0" fontId="21" fillId="0" borderId="99" xfId="0" applyFont="1" applyBorder="1" applyAlignment="1">
      <alignment horizontal="center" vertical="center" wrapText="1"/>
    </xf>
    <xf numFmtId="0" fontId="0" fillId="0" borderId="100" xfId="0" applyBorder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03" xfId="0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8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4" fillId="0" borderId="94" xfId="0" applyFont="1" applyBorder="1" applyAlignment="1">
      <alignment horizontal="left" vertical="center"/>
    </xf>
    <xf numFmtId="0" fontId="34" fillId="0" borderId="95" xfId="0" applyFont="1" applyBorder="1" applyAlignment="1">
      <alignment horizontal="left" vertical="center"/>
    </xf>
    <xf numFmtId="0" fontId="34" fillId="0" borderId="96" xfId="0" applyFont="1" applyBorder="1" applyAlignment="1">
      <alignment horizontal="left" vertical="center"/>
    </xf>
    <xf numFmtId="0" fontId="21" fillId="0" borderId="97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8" xfId="0" applyBorder="1" applyAlignment="1">
      <alignment horizontal="center" vertical="center" wrapText="1"/>
    </xf>
    <xf numFmtId="0" fontId="28" fillId="0" borderId="40" xfId="0" applyFont="1" applyBorder="1" applyAlignment="1">
      <alignment horizontal="center" vertical="center"/>
    </xf>
    <xf numFmtId="0" fontId="29" fillId="0" borderId="89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7" fillId="0" borderId="92" xfId="0" applyFont="1" applyBorder="1" applyAlignment="1">
      <alignment horizontal="center" vertical="center"/>
    </xf>
    <xf numFmtId="0" fontId="29" fillId="0" borderId="90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41" xfId="0" applyFont="1" applyBorder="1"/>
    <xf numFmtId="0" fontId="29" fillId="0" borderId="42" xfId="0" applyFont="1" applyBorder="1"/>
    <xf numFmtId="0" fontId="29" fillId="0" borderId="93" xfId="0" applyFont="1" applyBorder="1"/>
    <xf numFmtId="0" fontId="29" fillId="0" borderId="89" xfId="0" applyFont="1" applyBorder="1"/>
    <xf numFmtId="0" fontId="29" fillId="0" borderId="91" xfId="0" applyFont="1" applyBorder="1"/>
    <xf numFmtId="178" fontId="28" fillId="0" borderId="67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7" fillId="0" borderId="84" xfId="0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34" fillId="0" borderId="81" xfId="0" applyFont="1" applyBorder="1" applyAlignment="1">
      <alignment horizontal="center" vertical="center"/>
    </xf>
    <xf numFmtId="0" fontId="35" fillId="0" borderId="78" xfId="0" applyFont="1" applyBorder="1" applyAlignment="1">
      <alignment horizontal="center" vertical="center"/>
    </xf>
    <xf numFmtId="0" fontId="35" fillId="0" borderId="77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34" fillId="0" borderId="60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4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88" xfId="0" applyFont="1" applyBorder="1" applyAlignment="1">
      <alignment horizontal="left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/>
    </xf>
    <xf numFmtId="0" fontId="28" fillId="0" borderId="40" xfId="0" applyFont="1" applyBorder="1"/>
    <xf numFmtId="0" fontId="30" fillId="0" borderId="84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28" fillId="0" borderId="85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27" fillId="0" borderId="39" xfId="0" applyFont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6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28" fillId="0" borderId="11" xfId="0" applyNumberFormat="1" applyFont="1" applyBorder="1" applyAlignment="1">
      <alignment horizontal="center" vertical="center"/>
    </xf>
    <xf numFmtId="0" fontId="28" fillId="0" borderId="11" xfId="0" applyFont="1" applyBorder="1"/>
    <xf numFmtId="0" fontId="29" fillId="0" borderId="12" xfId="0" applyFont="1" applyBorder="1"/>
    <xf numFmtId="9" fontId="28" fillId="0" borderId="39" xfId="0" applyNumberFormat="1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33" fillId="0" borderId="30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9" fillId="0" borderId="64" xfId="0" applyFont="1" applyBorder="1"/>
    <xf numFmtId="0" fontId="29" fillId="0" borderId="62" xfId="0" applyFont="1" applyBorder="1"/>
    <xf numFmtId="0" fontId="29" fillId="0" borderId="63" xfId="0" applyFont="1" applyBorder="1"/>
    <xf numFmtId="177" fontId="45" fillId="0" borderId="30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9"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4">
        <v>12.984660148620605</v>
      </c>
      <c r="D6" s="104">
        <v>17.88736915588379</v>
      </c>
      <c r="E6" s="104">
        <v>0</v>
      </c>
      <c r="F6" s="104"/>
      <c r="G6" s="104"/>
      <c r="H6" s="105">
        <v>0</v>
      </c>
      <c r="I6" s="106">
        <v>0</v>
      </c>
      <c r="J6" s="104"/>
      <c r="K6" s="104">
        <v>8.825231552124023</v>
      </c>
      <c r="L6" s="104">
        <v>0.13364440202713013</v>
      </c>
      <c r="M6" s="104">
        <v>5.702040195465088</v>
      </c>
      <c r="N6" s="104">
        <v>7.638888835906982</v>
      </c>
      <c r="O6" s="104">
        <v>0</v>
      </c>
      <c r="P6" s="104"/>
      <c r="Q6" s="104">
        <v>2.3107800395383293E-12</v>
      </c>
      <c r="R6" s="104"/>
      <c r="S6" s="104">
        <v>5.9461798667907715</v>
      </c>
      <c r="T6" s="104">
        <v>0.3247070014476776</v>
      </c>
      <c r="U6" s="104">
        <v>0</v>
      </c>
      <c r="V6" s="104"/>
      <c r="W6" s="104">
        <v>6.915509223937988</v>
      </c>
      <c r="X6" s="104">
        <v>-1</v>
      </c>
      <c r="Y6" s="104"/>
      <c r="Z6" s="104">
        <v>-0.010243060067296028</v>
      </c>
      <c r="AA6" s="104">
        <v>7.3423027992248535</v>
      </c>
      <c r="AB6" s="104">
        <v>9.65711784362793</v>
      </c>
      <c r="AC6" s="104">
        <v>-0.006329571828246117</v>
      </c>
      <c r="AD6" s="104">
        <v>7.769096851348877</v>
      </c>
      <c r="AE6" s="107">
        <v>11</v>
      </c>
      <c r="AF6" s="107">
        <v>12</v>
      </c>
      <c r="AG6" s="107">
        <v>13</v>
      </c>
      <c r="AH6" s="107">
        <v>14</v>
      </c>
      <c r="AI6" s="107">
        <v>15</v>
      </c>
      <c r="AJ6" s="107">
        <v>16</v>
      </c>
      <c r="AK6" s="107">
        <v>17</v>
      </c>
      <c r="AL6" s="104">
        <v>0</v>
      </c>
      <c r="AM6" s="108"/>
      <c r="AN6" s="109">
        <v>49.008968353271484</v>
      </c>
      <c r="AO6" s="110"/>
      <c r="AP6" s="111"/>
      <c r="AQ6" s="111">
        <v>0</v>
      </c>
      <c r="AR6" s="112"/>
    </row>
    <row r="7" spans="2:47" ht="13.5" customHeight="1" x14ac:dyDescent="0.25">
      <c r="B7" s="14">
        <v>0.375</v>
      </c>
      <c r="C7" s="104"/>
      <c r="D7" s="104"/>
      <c r="E7" s="104"/>
      <c r="F7" s="104"/>
      <c r="G7" s="104"/>
      <c r="H7" s="105"/>
      <c r="I7" s="106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 t="s">
        <v>82</v>
      </c>
      <c r="Z7" s="104"/>
      <c r="AA7" s="104"/>
      <c r="AB7" s="104"/>
      <c r="AC7" s="104"/>
      <c r="AD7" s="104"/>
      <c r="AE7" s="107">
        <v>11</v>
      </c>
      <c r="AF7" s="107">
        <v>12</v>
      </c>
      <c r="AG7" s="107">
        <v>13</v>
      </c>
      <c r="AH7" s="107">
        <v>14</v>
      </c>
      <c r="AI7" s="107">
        <v>15</v>
      </c>
      <c r="AJ7" s="107">
        <v>16</v>
      </c>
      <c r="AK7" s="107">
        <v>17</v>
      </c>
      <c r="AL7" s="104"/>
      <c r="AM7" s="108"/>
      <c r="AN7" s="109"/>
      <c r="AO7" s="110"/>
      <c r="AP7" s="111"/>
      <c r="AQ7" s="111"/>
      <c r="AR7" s="112"/>
    </row>
    <row r="8" spans="2:47" ht="13.5" customHeight="1" x14ac:dyDescent="0.25">
      <c r="B8" s="14">
        <v>0.41666666666666669</v>
      </c>
      <c r="C8" s="104">
        <v>16.601560592651367</v>
      </c>
      <c r="D8" s="104">
        <v>16.699220657348633</v>
      </c>
      <c r="E8" s="104">
        <v>0</v>
      </c>
      <c r="F8" s="104"/>
      <c r="G8" s="104"/>
      <c r="H8" s="105">
        <v>0</v>
      </c>
      <c r="I8" s="106">
        <v>30.128759384155273</v>
      </c>
      <c r="J8" s="104"/>
      <c r="K8" s="104">
        <v>51.6710090637207</v>
      </c>
      <c r="L8" s="104">
        <v>1.3997399806976318</v>
      </c>
      <c r="M8" s="104">
        <v>94.04297637939453</v>
      </c>
      <c r="N8" s="104">
        <v>93.91636657714844</v>
      </c>
      <c r="O8" s="104">
        <v>23.839920043945312</v>
      </c>
      <c r="P8" s="104"/>
      <c r="Q8" s="104">
        <v>3.4339499473571777</v>
      </c>
      <c r="R8" s="104"/>
      <c r="S8" s="104">
        <v>143.2509002685547</v>
      </c>
      <c r="T8" s="104">
        <v>1.4559279680252075</v>
      </c>
      <c r="U8" s="104">
        <v>0.3567655086517334</v>
      </c>
      <c r="V8" s="104"/>
      <c r="W8" s="104">
        <v>91.76793670654297</v>
      </c>
      <c r="X8" s="104">
        <v>0.5270478129386902</v>
      </c>
      <c r="Y8" s="104" t="s">
        <v>82</v>
      </c>
      <c r="Z8" s="104">
        <v>0.8034144043922424</v>
      </c>
      <c r="AA8" s="104">
        <v>151.9604034423828</v>
      </c>
      <c r="AB8" s="104">
        <v>162.5072021484375</v>
      </c>
      <c r="AC8" s="104">
        <v>0.480577290058136</v>
      </c>
      <c r="AD8" s="104">
        <v>156.51040649414062</v>
      </c>
      <c r="AE8" s="107">
        <v>11</v>
      </c>
      <c r="AF8" s="107">
        <v>12</v>
      </c>
      <c r="AG8" s="107">
        <v>13</v>
      </c>
      <c r="AH8" s="107">
        <v>14</v>
      </c>
      <c r="AI8" s="107">
        <v>15</v>
      </c>
      <c r="AJ8" s="107">
        <v>16</v>
      </c>
      <c r="AK8" s="107">
        <v>17</v>
      </c>
      <c r="AL8" s="104">
        <v>10.622830390930176</v>
      </c>
      <c r="AM8" s="108"/>
      <c r="AN8" s="109">
        <v>41.01924133300781</v>
      </c>
      <c r="AO8" s="110"/>
      <c r="AP8" s="111"/>
      <c r="AQ8" s="111">
        <v>0</v>
      </c>
      <c r="AR8" s="112"/>
    </row>
    <row r="9" spans="2:47" ht="13.5" customHeight="1" x14ac:dyDescent="0.25">
      <c r="B9" s="14">
        <v>0.45833333333333298</v>
      </c>
      <c r="C9" s="104">
        <v>16.89090919494629</v>
      </c>
      <c r="D9" s="104">
        <v>16.514759063720703</v>
      </c>
      <c r="E9" s="104">
        <v>0</v>
      </c>
      <c r="F9" s="104">
        <v>0.35753118991851807</v>
      </c>
      <c r="G9" s="104">
        <v>0</v>
      </c>
      <c r="H9" s="105">
        <v>0</v>
      </c>
      <c r="I9" s="106">
        <v>23.090280532836914</v>
      </c>
      <c r="J9" s="104">
        <v>0.03082713857293129</v>
      </c>
      <c r="K9" s="104">
        <v>31.184890747070312</v>
      </c>
      <c r="L9" s="104">
        <v>1.4002820253372192</v>
      </c>
      <c r="M9" s="104">
        <v>82.89930725097656</v>
      </c>
      <c r="N9" s="104">
        <v>104.44879913330078</v>
      </c>
      <c r="O9" s="104">
        <v>23.70206069946289</v>
      </c>
      <c r="P9" s="104">
        <v>23.82784080505371</v>
      </c>
      <c r="Q9" s="104">
        <v>2.746532917022705</v>
      </c>
      <c r="R9" s="104">
        <v>3.299750804901123</v>
      </c>
      <c r="S9" s="104">
        <v>143.55470275878906</v>
      </c>
      <c r="T9" s="104">
        <v>1.4564340114593506</v>
      </c>
      <c r="U9" s="104">
        <v>0.35382890701293945</v>
      </c>
      <c r="V9" s="104">
        <v>0.3579529821872711</v>
      </c>
      <c r="W9" s="104">
        <v>93.2436294555664</v>
      </c>
      <c r="X9" s="104">
        <v>0.5279431939125061</v>
      </c>
      <c r="Y9" s="104" t="s">
        <v>82</v>
      </c>
      <c r="Z9" s="104">
        <v>0.8509839177131653</v>
      </c>
      <c r="AA9" s="104">
        <v>152.82119750976562</v>
      </c>
      <c r="AB9" s="104">
        <v>166.18919372558594</v>
      </c>
      <c r="AC9" s="104">
        <v>0.5179036259651184</v>
      </c>
      <c r="AD9" s="104">
        <v>159.5269012451172</v>
      </c>
      <c r="AE9" s="107">
        <v>11</v>
      </c>
      <c r="AF9" s="107">
        <v>12</v>
      </c>
      <c r="AG9" s="107">
        <v>13</v>
      </c>
      <c r="AH9" s="107">
        <v>14</v>
      </c>
      <c r="AI9" s="107">
        <v>15</v>
      </c>
      <c r="AJ9" s="107">
        <v>16</v>
      </c>
      <c r="AK9" s="107">
        <v>17</v>
      </c>
      <c r="AL9" s="104">
        <v>14.120369911193848</v>
      </c>
      <c r="AM9" s="108">
        <v>0.012993049807846546</v>
      </c>
      <c r="AN9" s="109">
        <v>39.402488708496094</v>
      </c>
      <c r="AO9" s="110"/>
      <c r="AP9" s="111"/>
      <c r="AQ9" s="111">
        <v>0</v>
      </c>
      <c r="AR9" s="112">
        <v>0.00037854420952498913</v>
      </c>
    </row>
    <row r="10" spans="2:47" ht="13.5" customHeight="1" x14ac:dyDescent="0.25">
      <c r="B10" s="14">
        <v>0.5</v>
      </c>
      <c r="C10" s="104">
        <v>16.916229248046875</v>
      </c>
      <c r="D10" s="104">
        <v>16.786029815673828</v>
      </c>
      <c r="E10" s="104">
        <v>0</v>
      </c>
      <c r="F10" s="104">
        <v>0.35801294445991516</v>
      </c>
      <c r="G10" s="104">
        <v>0</v>
      </c>
      <c r="H10" s="105">
        <v>0</v>
      </c>
      <c r="I10" s="106">
        <v>17.52025032043457</v>
      </c>
      <c r="J10" s="104">
        <v>0.023542091250419617</v>
      </c>
      <c r="K10" s="104">
        <v>43.08449172973633</v>
      </c>
      <c r="L10" s="104">
        <v>1.5081559419631958</v>
      </c>
      <c r="M10" s="104">
        <v>83.4689712524414</v>
      </c>
      <c r="N10" s="104">
        <v>112.96299743652344</v>
      </c>
      <c r="O10" s="104">
        <v>23.755870819091797</v>
      </c>
      <c r="P10" s="104">
        <v>23.775222778320312</v>
      </c>
      <c r="Q10" s="104">
        <v>2.8655989170074463</v>
      </c>
      <c r="R10" s="104">
        <v>2.8985795974731445</v>
      </c>
      <c r="S10" s="104">
        <v>143.0989990234375</v>
      </c>
      <c r="T10" s="104">
        <v>1.4563080072402954</v>
      </c>
      <c r="U10" s="104">
        <v>0.3598473072052002</v>
      </c>
      <c r="V10" s="104">
        <v>0.35772401094436646</v>
      </c>
      <c r="W10" s="104">
        <v>93.48957824707031</v>
      </c>
      <c r="X10" s="104">
        <v>0.5263112187385559</v>
      </c>
      <c r="Y10" s="104" t="s">
        <v>82</v>
      </c>
      <c r="Z10" s="104">
        <v>0.8427662253379822</v>
      </c>
      <c r="AA10" s="104">
        <v>153.58799743652344</v>
      </c>
      <c r="AB10" s="104">
        <v>165.7480010986328</v>
      </c>
      <c r="AC10" s="104">
        <v>0.47587528824806213</v>
      </c>
      <c r="AD10" s="104">
        <v>157.9716033935547</v>
      </c>
      <c r="AE10" s="107">
        <v>11</v>
      </c>
      <c r="AF10" s="107">
        <v>12</v>
      </c>
      <c r="AG10" s="107">
        <v>13</v>
      </c>
      <c r="AH10" s="107">
        <v>14</v>
      </c>
      <c r="AI10" s="107">
        <v>15</v>
      </c>
      <c r="AJ10" s="107">
        <v>16</v>
      </c>
      <c r="AK10" s="107">
        <v>17</v>
      </c>
      <c r="AL10" s="104">
        <v>15.690099716186523</v>
      </c>
      <c r="AM10" s="108">
        <v>0.015192779712378979</v>
      </c>
      <c r="AN10" s="109">
        <v>37.17448043823242</v>
      </c>
      <c r="AO10" s="110"/>
      <c r="AP10" s="111"/>
      <c r="AQ10" s="111">
        <v>1.3577840328216553</v>
      </c>
      <c r="AR10" s="112">
        <v>0.0003318797971587628</v>
      </c>
    </row>
    <row r="11" spans="2:47" ht="13.5" customHeight="1" x14ac:dyDescent="0.25">
      <c r="B11" s="14">
        <v>0.54166666666666696</v>
      </c>
      <c r="C11" s="104">
        <v>17.136859893798828</v>
      </c>
      <c r="D11" s="104">
        <v>17.458770751953125</v>
      </c>
      <c r="E11" s="104">
        <v>0</v>
      </c>
      <c r="F11" s="104">
        <v>0.35899293422698975</v>
      </c>
      <c r="G11" s="104">
        <v>0</v>
      </c>
      <c r="H11" s="105">
        <v>0</v>
      </c>
      <c r="I11" s="106">
        <v>24.22960090637207</v>
      </c>
      <c r="J11" s="104">
        <v>0.022674499079585075</v>
      </c>
      <c r="K11" s="104">
        <v>39.49652862548828</v>
      </c>
      <c r="L11" s="104">
        <v>1.3829209804534912</v>
      </c>
      <c r="M11" s="104">
        <v>103.84110260009766</v>
      </c>
      <c r="N11" s="104">
        <v>116.9271011352539</v>
      </c>
      <c r="O11" s="104">
        <v>24.149499893188477</v>
      </c>
      <c r="P11" s="104">
        <v>23.84123992919922</v>
      </c>
      <c r="Q11" s="104">
        <v>3.011986017227173</v>
      </c>
      <c r="R11" s="104">
        <v>2.8954200744628906</v>
      </c>
      <c r="S11" s="104">
        <v>143.51849365234375</v>
      </c>
      <c r="T11" s="104">
        <v>1.4532699584960938</v>
      </c>
      <c r="U11" s="104">
        <v>0.3600032925605774</v>
      </c>
      <c r="V11" s="104">
        <v>0.3588888645172119</v>
      </c>
      <c r="W11" s="104">
        <v>92.94703674316406</v>
      </c>
      <c r="X11" s="104">
        <v>0.5292931199073792</v>
      </c>
      <c r="Y11" s="104" t="s">
        <v>82</v>
      </c>
      <c r="Z11" s="104">
        <v>0.8299769163131714</v>
      </c>
      <c r="AA11" s="104">
        <v>153.56629943847656</v>
      </c>
      <c r="AB11" s="104">
        <v>165.7696990966797</v>
      </c>
      <c r="AC11" s="104">
        <v>0.5645617246627808</v>
      </c>
      <c r="AD11" s="104">
        <v>157.4073944091797</v>
      </c>
      <c r="AE11" s="107">
        <v>11</v>
      </c>
      <c r="AF11" s="107">
        <v>12</v>
      </c>
      <c r="AG11" s="107">
        <v>13</v>
      </c>
      <c r="AH11" s="107">
        <v>14</v>
      </c>
      <c r="AI11" s="107">
        <v>15</v>
      </c>
      <c r="AJ11" s="107">
        <v>16</v>
      </c>
      <c r="AK11" s="107">
        <v>17</v>
      </c>
      <c r="AL11" s="104">
        <v>20.388450622558594</v>
      </c>
      <c r="AM11" s="108">
        <v>0.015405288897454739</v>
      </c>
      <c r="AN11" s="109">
        <v>35.026039123535156</v>
      </c>
      <c r="AO11" s="110"/>
      <c r="AP11" s="111"/>
      <c r="AQ11" s="111">
        <v>0.195529505610466</v>
      </c>
      <c r="AR11" s="112">
        <v>0.0003506304637994617</v>
      </c>
    </row>
    <row r="12" spans="2:47" ht="13.5" customHeight="1" x14ac:dyDescent="0.25">
      <c r="B12" s="14">
        <v>0.58333333333333304</v>
      </c>
      <c r="C12" s="104">
        <v>17.212820053100586</v>
      </c>
      <c r="D12" s="104">
        <v>17.89822006225586</v>
      </c>
      <c r="E12" s="104">
        <v>415.3840026855469</v>
      </c>
      <c r="F12" s="104">
        <v>0.3593420386314392</v>
      </c>
      <c r="G12" s="104">
        <v>0</v>
      </c>
      <c r="H12" s="105">
        <v>411.8222961425781</v>
      </c>
      <c r="I12" s="106">
        <v>22.710500717163086</v>
      </c>
      <c r="J12" s="104">
        <v>0.02355959266424179</v>
      </c>
      <c r="K12" s="104">
        <v>39.38079071044922</v>
      </c>
      <c r="L12" s="104">
        <v>1.3967560529708862</v>
      </c>
      <c r="M12" s="104">
        <v>96.82617950439453</v>
      </c>
      <c r="N12" s="104">
        <v>113.96119689941406</v>
      </c>
      <c r="O12" s="104">
        <v>24.019729614257812</v>
      </c>
      <c r="P12" s="104">
        <v>23.827125549316406</v>
      </c>
      <c r="Q12" s="104">
        <v>2.8322699069976807</v>
      </c>
      <c r="R12" s="104">
        <v>2.778989791870117</v>
      </c>
      <c r="S12" s="104">
        <v>143.07000732421875</v>
      </c>
      <c r="T12" s="104">
        <v>1.4528900384902954</v>
      </c>
      <c r="U12" s="104">
        <v>0.36072269082069397</v>
      </c>
      <c r="V12" s="104">
        <v>0.35857701301574707</v>
      </c>
      <c r="W12" s="104">
        <v>92.53472137451172</v>
      </c>
      <c r="X12" s="104">
        <v>0.5269442200660706</v>
      </c>
      <c r="Y12" s="104" t="s">
        <v>82</v>
      </c>
      <c r="Z12" s="104">
        <v>0.8376737236976624</v>
      </c>
      <c r="AA12" s="104">
        <v>151.6204071044922</v>
      </c>
      <c r="AB12" s="104">
        <v>165.74070739746094</v>
      </c>
      <c r="AC12" s="104">
        <v>0.4401041865348816</v>
      </c>
      <c r="AD12" s="104">
        <v>157.20489501953125</v>
      </c>
      <c r="AE12" s="107">
        <v>11</v>
      </c>
      <c r="AF12" s="107">
        <v>12</v>
      </c>
      <c r="AG12" s="107">
        <v>13</v>
      </c>
      <c r="AH12" s="107">
        <v>14</v>
      </c>
      <c r="AI12" s="107">
        <v>15</v>
      </c>
      <c r="AJ12" s="107">
        <v>16</v>
      </c>
      <c r="AK12" s="107">
        <v>17</v>
      </c>
      <c r="AL12" s="104">
        <v>20.883970260620117</v>
      </c>
      <c r="AM12" s="108">
        <v>0.015661979094147682</v>
      </c>
      <c r="AN12" s="109">
        <v>60.21049880981445</v>
      </c>
      <c r="AO12" s="110"/>
      <c r="AP12" s="111"/>
      <c r="AQ12" s="111">
        <v>0</v>
      </c>
      <c r="AR12" s="112">
        <v>0.0003478929866105318</v>
      </c>
    </row>
    <row r="13" spans="2:47" ht="13.5" customHeight="1" x14ac:dyDescent="0.25">
      <c r="B13" s="14">
        <v>0.625</v>
      </c>
      <c r="C13" s="104">
        <v>17.393659591674805</v>
      </c>
      <c r="D13" s="104">
        <v>18.250869750976562</v>
      </c>
      <c r="E13" s="104">
        <v>414.98968505859375</v>
      </c>
      <c r="F13" s="104">
        <v>0.35937389731407166</v>
      </c>
      <c r="G13" s="104">
        <v>0</v>
      </c>
      <c r="H13" s="105">
        <v>411.4587097167969</v>
      </c>
      <c r="I13" s="106">
        <v>22.98900032043457</v>
      </c>
      <c r="J13" s="104">
        <v>0.02278619445860386</v>
      </c>
      <c r="K13" s="104">
        <v>39.37355041503906</v>
      </c>
      <c r="L13" s="104">
        <v>1.4003729820251465</v>
      </c>
      <c r="M13" s="104">
        <v>101.39430236816406</v>
      </c>
      <c r="N13" s="104">
        <v>116.18199920654297</v>
      </c>
      <c r="O13" s="104">
        <v>24.07352066040039</v>
      </c>
      <c r="P13" s="104">
        <v>23.83460235595703</v>
      </c>
      <c r="Q13" s="104">
        <v>2.5109479427337646</v>
      </c>
      <c r="R13" s="104">
        <v>2.726959228515625</v>
      </c>
      <c r="S13" s="104">
        <v>142.4116973876953</v>
      </c>
      <c r="T13" s="104">
        <v>1.4568140506744385</v>
      </c>
      <c r="U13" s="104">
        <v>0.3633512854576111</v>
      </c>
      <c r="V13" s="104">
        <v>0.3586779832839966</v>
      </c>
      <c r="W13" s="104">
        <v>93.52574920654297</v>
      </c>
      <c r="X13" s="104">
        <v>0.5303891897201538</v>
      </c>
      <c r="Y13" s="104" t="s">
        <v>82</v>
      </c>
      <c r="Z13" s="104">
        <v>0.8395833969116211</v>
      </c>
      <c r="AA13" s="104">
        <v>150.44850158691406</v>
      </c>
      <c r="AB13" s="104">
        <v>164.69180297851562</v>
      </c>
      <c r="AC13" s="104">
        <v>0.4841580092906952</v>
      </c>
      <c r="AD13" s="104">
        <v>155.38189697265625</v>
      </c>
      <c r="AE13" s="107">
        <v>11</v>
      </c>
      <c r="AF13" s="107">
        <v>12</v>
      </c>
      <c r="AG13" s="107">
        <v>13</v>
      </c>
      <c r="AH13" s="107">
        <v>14</v>
      </c>
      <c r="AI13" s="107">
        <v>15</v>
      </c>
      <c r="AJ13" s="107">
        <v>16</v>
      </c>
      <c r="AK13" s="107">
        <v>17</v>
      </c>
      <c r="AL13" s="104">
        <v>16.377309799194336</v>
      </c>
      <c r="AM13" s="108">
        <v>0.015851981937885284</v>
      </c>
      <c r="AN13" s="109">
        <v>57.7835693359375</v>
      </c>
      <c r="AO13" s="110"/>
      <c r="AP13" s="111"/>
      <c r="AQ13" s="111">
        <v>0</v>
      </c>
      <c r="AR13" s="112">
        <v>0.00033813095069490373</v>
      </c>
    </row>
    <row r="14" spans="2:47" ht="13.5" customHeight="1" x14ac:dyDescent="0.25">
      <c r="B14" s="14">
        <v>0.66666666666666696</v>
      </c>
      <c r="C14" s="104">
        <v>17.173030853271484</v>
      </c>
      <c r="D14" s="104">
        <v>18.386499404907227</v>
      </c>
      <c r="E14" s="104">
        <v>415.75628662109375</v>
      </c>
      <c r="F14" s="104">
        <v>0.35917407274246216</v>
      </c>
      <c r="G14" s="104">
        <v>0</v>
      </c>
      <c r="H14" s="105">
        <v>411.0115051269531</v>
      </c>
      <c r="I14" s="106">
        <v>22.837099075317383</v>
      </c>
      <c r="J14" s="104">
        <v>0.02319059707224369</v>
      </c>
      <c r="K14" s="104">
        <v>39.37355041503906</v>
      </c>
      <c r="L14" s="104">
        <v>1.3953089714050293</v>
      </c>
      <c r="M14" s="104">
        <v>103.17379760742188</v>
      </c>
      <c r="N14" s="104">
        <v>115.60330200195312</v>
      </c>
      <c r="O14" s="104">
        <v>24.281890869140625</v>
      </c>
      <c r="P14" s="104">
        <v>24.05499267578125</v>
      </c>
      <c r="Q14" s="104">
        <v>3.34375</v>
      </c>
      <c r="R14" s="104">
        <v>1.7669906616210938</v>
      </c>
      <c r="S14" s="104">
        <v>141.9488067626953</v>
      </c>
      <c r="T14" s="104">
        <v>1.4528900384902954</v>
      </c>
      <c r="U14" s="104">
        <v>0.36339929699897766</v>
      </c>
      <c r="V14" s="104">
        <v>0.36299097537994385</v>
      </c>
      <c r="W14" s="104">
        <v>94.69761657714844</v>
      </c>
      <c r="X14" s="104">
        <v>0.5324705839157104</v>
      </c>
      <c r="Y14" s="104" t="s">
        <v>82</v>
      </c>
      <c r="Z14" s="104">
        <v>0.8177083730697632</v>
      </c>
      <c r="AA14" s="104">
        <v>148.2928009033203</v>
      </c>
      <c r="AB14" s="104">
        <v>164.0552978515625</v>
      </c>
      <c r="AC14" s="104">
        <v>0.5533853769302368</v>
      </c>
      <c r="AD14" s="104">
        <v>155.7653045654297</v>
      </c>
      <c r="AE14" s="107">
        <v>11</v>
      </c>
      <c r="AF14" s="107">
        <v>12</v>
      </c>
      <c r="AG14" s="107">
        <v>13</v>
      </c>
      <c r="AH14" s="107">
        <v>14</v>
      </c>
      <c r="AI14" s="107">
        <v>15</v>
      </c>
      <c r="AJ14" s="107">
        <v>16</v>
      </c>
      <c r="AK14" s="107">
        <v>17</v>
      </c>
      <c r="AL14" s="104">
        <v>13.29932975769043</v>
      </c>
      <c r="AM14" s="108">
        <v>0.017309898510575294</v>
      </c>
      <c r="AN14" s="109">
        <v>55.425350189208984</v>
      </c>
      <c r="AO14" s="110"/>
      <c r="AP14" s="111"/>
      <c r="AQ14" s="111">
        <v>0</v>
      </c>
      <c r="AR14" s="112">
        <v>0.000339236983563751</v>
      </c>
    </row>
    <row r="15" spans="2:47" ht="13.5" customHeight="1" x14ac:dyDescent="0.25">
      <c r="B15" s="14">
        <v>0.70833333333333304</v>
      </c>
      <c r="C15" s="104">
        <v>17.050060272216797</v>
      </c>
      <c r="D15" s="104">
        <v>18.33768081665039</v>
      </c>
      <c r="E15" s="104">
        <v>418.55230712890625</v>
      </c>
      <c r="F15" s="104">
        <v>0.3587929606437683</v>
      </c>
      <c r="G15" s="104">
        <v>0</v>
      </c>
      <c r="H15" s="105">
        <v>411.5304870605469</v>
      </c>
      <c r="I15" s="106">
        <v>23.166229248046875</v>
      </c>
      <c r="J15" s="104">
        <v>0.023358307778835297</v>
      </c>
      <c r="K15" s="104">
        <v>39.510990142822266</v>
      </c>
      <c r="L15" s="104">
        <v>1.4028140306472778</v>
      </c>
      <c r="M15" s="104">
        <v>103.20099639892578</v>
      </c>
      <c r="N15" s="104">
        <v>115.48030090332031</v>
      </c>
      <c r="O15" s="104">
        <v>23.09222984313965</v>
      </c>
      <c r="P15" s="104">
        <v>23.671310424804688</v>
      </c>
      <c r="Q15" s="104">
        <v>2.563589096069336</v>
      </c>
      <c r="R15" s="104">
        <v>2.5278797149658203</v>
      </c>
      <c r="S15" s="104">
        <v>143.5113067626953</v>
      </c>
      <c r="T15" s="104">
        <v>1.4542820453643799</v>
      </c>
      <c r="U15" s="104">
        <v>0.34007349610328674</v>
      </c>
      <c r="V15" s="104">
        <v>0.35612109303474426</v>
      </c>
      <c r="W15" s="104">
        <v>93.46064758300781</v>
      </c>
      <c r="X15" s="104">
        <v>0.5310291051864624</v>
      </c>
      <c r="Y15" s="104" t="s">
        <v>82</v>
      </c>
      <c r="Z15" s="104">
        <v>0.849363386631012</v>
      </c>
      <c r="AA15" s="104">
        <v>150.96209716796875</v>
      </c>
      <c r="AB15" s="104">
        <v>164.17820739746094</v>
      </c>
      <c r="AC15" s="104">
        <v>0.5341435074806213</v>
      </c>
      <c r="AD15" s="104">
        <v>155.67849731445312</v>
      </c>
      <c r="AE15" s="107">
        <v>11</v>
      </c>
      <c r="AF15" s="107">
        <v>12</v>
      </c>
      <c r="AG15" s="107">
        <v>13</v>
      </c>
      <c r="AH15" s="107">
        <v>14</v>
      </c>
      <c r="AI15" s="107">
        <v>15</v>
      </c>
      <c r="AJ15" s="107">
        <v>16</v>
      </c>
      <c r="AK15" s="107">
        <v>17</v>
      </c>
      <c r="AL15" s="104">
        <v>16.471349716186523</v>
      </c>
      <c r="AM15" s="108">
        <v>0.01696820743381977</v>
      </c>
      <c r="AN15" s="109">
        <v>52.86819839477539</v>
      </c>
      <c r="AO15" s="110"/>
      <c r="AP15" s="111"/>
      <c r="AQ15" s="111">
        <v>0</v>
      </c>
      <c r="AR15" s="112">
        <v>0.00034589599817991257</v>
      </c>
    </row>
    <row r="16" spans="2:47" ht="13.5" customHeight="1" x14ac:dyDescent="0.25">
      <c r="B16" s="14">
        <v>0.75</v>
      </c>
      <c r="C16" s="104">
        <v>16.894529342651367</v>
      </c>
      <c r="D16" s="104">
        <v>18.10980987548828</v>
      </c>
      <c r="E16" s="104">
        <v>418.956298828125</v>
      </c>
      <c r="F16" s="104">
        <v>0.35841503739356995</v>
      </c>
      <c r="G16" s="104">
        <v>0</v>
      </c>
      <c r="H16" s="105">
        <v>412.7130126953125</v>
      </c>
      <c r="I16" s="106">
        <v>25.39423942565918</v>
      </c>
      <c r="J16" s="104">
        <v>0.024300094693899155</v>
      </c>
      <c r="K16" s="104">
        <v>39.39524841308594</v>
      </c>
      <c r="L16" s="104">
        <v>1.4001009464263916</v>
      </c>
      <c r="M16" s="104">
        <v>102.74520111083984</v>
      </c>
      <c r="N16" s="104">
        <v>114.85820007324219</v>
      </c>
      <c r="O16" s="104">
        <v>23.863489151000977</v>
      </c>
      <c r="P16" s="104">
        <v>23.830596923828125</v>
      </c>
      <c r="Q16" s="104">
        <v>3.0635219445684925E-05</v>
      </c>
      <c r="R16" s="104">
        <v>1.8540897369384766</v>
      </c>
      <c r="S16" s="104">
        <v>142.5854034423828</v>
      </c>
      <c r="T16" s="104">
        <v>1.4550420045852661</v>
      </c>
      <c r="U16" s="104">
        <v>0.3614240884780884</v>
      </c>
      <c r="V16" s="104">
        <v>0.3576027750968933</v>
      </c>
      <c r="W16" s="104">
        <v>94.05381774902344</v>
      </c>
      <c r="X16" s="104">
        <v>0.5304868221282959</v>
      </c>
      <c r="Y16" s="104" t="s">
        <v>82</v>
      </c>
      <c r="Z16" s="104">
        <v>0.8473958969116211</v>
      </c>
      <c r="AA16" s="104">
        <v>150.34719848632812</v>
      </c>
      <c r="AB16" s="104">
        <v>163.35360717773438</v>
      </c>
      <c r="AC16" s="104">
        <v>0.4572483003139496</v>
      </c>
      <c r="AD16" s="104">
        <v>153.84109497070312</v>
      </c>
      <c r="AE16" s="107">
        <v>11</v>
      </c>
      <c r="AF16" s="107">
        <v>12</v>
      </c>
      <c r="AG16" s="107">
        <v>13</v>
      </c>
      <c r="AH16" s="107">
        <v>14</v>
      </c>
      <c r="AI16" s="107">
        <v>15</v>
      </c>
      <c r="AJ16" s="107">
        <v>16</v>
      </c>
      <c r="AK16" s="107">
        <v>17</v>
      </c>
      <c r="AL16" s="104">
        <v>19.552949905395508</v>
      </c>
      <c r="AM16" s="108">
        <v>0.017101898789405823</v>
      </c>
      <c r="AN16" s="109">
        <v>52.52098083496094</v>
      </c>
      <c r="AO16" s="110"/>
      <c r="AP16" s="111"/>
      <c r="AQ16" s="111">
        <v>0</v>
      </c>
      <c r="AR16" s="112">
        <v>0.0003208160342182964</v>
      </c>
    </row>
    <row r="17" spans="2:44" ht="13.5" customHeight="1" x14ac:dyDescent="0.25">
      <c r="B17" s="14">
        <v>0.79166666666666696</v>
      </c>
      <c r="C17" s="104">
        <v>17.961519241333008</v>
      </c>
      <c r="D17" s="104">
        <v>17.936199188232422</v>
      </c>
      <c r="E17" s="104">
        <v>418.970703125</v>
      </c>
      <c r="F17" s="104">
        <v>0.2879719138145447</v>
      </c>
      <c r="G17" s="104">
        <v>0</v>
      </c>
      <c r="H17" s="105">
        <v>413.41900634765625</v>
      </c>
      <c r="I17" s="106">
        <v>21.824359893798828</v>
      </c>
      <c r="J17" s="104">
        <v>0.018035706132650375</v>
      </c>
      <c r="K17" s="104">
        <v>38.83824920654297</v>
      </c>
      <c r="L17" s="104">
        <v>1.4320199489593506</v>
      </c>
      <c r="M17" s="104">
        <v>37.353519439697266</v>
      </c>
      <c r="N17" s="104">
        <v>113.05699920654297</v>
      </c>
      <c r="O17" s="104">
        <v>2.630383014678955</v>
      </c>
      <c r="P17" s="104">
        <v>16.695892333984375</v>
      </c>
      <c r="Q17" s="104">
        <v>0.1552828997373581</v>
      </c>
      <c r="R17" s="104">
        <v>1.8866100311279297</v>
      </c>
      <c r="S17" s="104">
        <v>158.8686065673828</v>
      </c>
      <c r="T17" s="104">
        <v>1.4580800533294678</v>
      </c>
      <c r="U17" s="104">
        <v>0.05648517981171608</v>
      </c>
      <c r="V17" s="104">
        <v>0.250334233045578</v>
      </c>
      <c r="W17" s="104">
        <v>144.32150268554688</v>
      </c>
      <c r="X17" s="104">
        <v>-1</v>
      </c>
      <c r="Y17" s="104" t="s">
        <v>82</v>
      </c>
      <c r="Z17" s="104">
        <v>0.16041670739650726</v>
      </c>
      <c r="AA17" s="104">
        <v>123.60389709472656</v>
      </c>
      <c r="AB17" s="104">
        <v>118.381103515625</v>
      </c>
      <c r="AC17" s="104">
        <v>-0.0013744209427386522</v>
      </c>
      <c r="AD17" s="104">
        <v>108.31890106201172</v>
      </c>
      <c r="AE17" s="107">
        <v>11</v>
      </c>
      <c r="AF17" s="107">
        <v>12</v>
      </c>
      <c r="AG17" s="107">
        <v>13</v>
      </c>
      <c r="AH17" s="107">
        <v>14</v>
      </c>
      <c r="AI17" s="107">
        <v>15</v>
      </c>
      <c r="AJ17" s="107">
        <v>16</v>
      </c>
      <c r="AK17" s="107">
        <v>17</v>
      </c>
      <c r="AL17" s="104">
        <v>106.33319854736328</v>
      </c>
      <c r="AM17" s="108">
        <v>0.045309800654649734</v>
      </c>
      <c r="AN17" s="109">
        <v>35.13454818725586</v>
      </c>
      <c r="AO17" s="110"/>
      <c r="AP17" s="111"/>
      <c r="AQ17" s="111">
        <v>2.0624279975891113</v>
      </c>
      <c r="AR17" s="112">
        <v>0.00034825707552954555</v>
      </c>
    </row>
    <row r="18" spans="2:44" ht="13.5" customHeight="1" x14ac:dyDescent="0.25">
      <c r="B18" s="42">
        <v>0.83333333333333404</v>
      </c>
      <c r="C18" s="113">
        <v>17.1477108001709</v>
      </c>
      <c r="D18" s="113">
        <v>17.63237953186035</v>
      </c>
      <c r="E18" s="113">
        <v>423.41009521484375</v>
      </c>
      <c r="F18" s="113">
        <v>0.3454831540584564</v>
      </c>
      <c r="G18" s="113">
        <v>0</v>
      </c>
      <c r="H18" s="114">
        <v>414.5693054199219</v>
      </c>
      <c r="I18" s="115">
        <v>23.97641944885254</v>
      </c>
      <c r="J18" s="113">
        <v>0.024074401706457138</v>
      </c>
      <c r="K18" s="113">
        <v>39.59056091308594</v>
      </c>
      <c r="L18" s="113">
        <v>1.395671010017395</v>
      </c>
      <c r="M18" s="113">
        <v>102.8917007446289</v>
      </c>
      <c r="N18" s="113">
        <v>110.38770294189453</v>
      </c>
      <c r="O18" s="113">
        <v>23.904680252075195</v>
      </c>
      <c r="P18" s="113">
        <v>23.783203125</v>
      </c>
      <c r="Q18" s="113">
        <v>0.000412432593293488</v>
      </c>
      <c r="R18" s="113">
        <v>0.27569007873535156</v>
      </c>
      <c r="S18" s="113">
        <v>142.7010955810547</v>
      </c>
      <c r="T18" s="113">
        <v>1.4539029598236084</v>
      </c>
      <c r="U18" s="113">
        <v>0.3567729890346527</v>
      </c>
      <c r="V18" s="113">
        <v>0.3583928346633911</v>
      </c>
      <c r="W18" s="113">
        <v>92.95427703857422</v>
      </c>
      <c r="X18" s="113">
        <v>0.5318418741226196</v>
      </c>
      <c r="Y18" s="113">
        <v>0.5345392227172852</v>
      </c>
      <c r="Z18" s="113">
        <v>0.8914352059364319</v>
      </c>
      <c r="AA18" s="113">
        <v>148.343505859375</v>
      </c>
      <c r="AB18" s="113">
        <v>165.37179565429688</v>
      </c>
      <c r="AC18" s="113">
        <v>0.5936415195465088</v>
      </c>
      <c r="AD18" s="113">
        <v>158.92649841308594</v>
      </c>
      <c r="AE18" s="116">
        <v>11</v>
      </c>
      <c r="AF18" s="116">
        <v>12</v>
      </c>
      <c r="AG18" s="116">
        <v>13</v>
      </c>
      <c r="AH18" s="116">
        <v>14</v>
      </c>
      <c r="AI18" s="116">
        <v>15</v>
      </c>
      <c r="AJ18" s="116">
        <v>16</v>
      </c>
      <c r="AK18" s="116">
        <v>17</v>
      </c>
      <c r="AL18" s="113">
        <v>0</v>
      </c>
      <c r="AM18" s="117">
        <v>0.005884292535483837</v>
      </c>
      <c r="AN18" s="118">
        <v>35.47454071044922</v>
      </c>
      <c r="AO18" s="110"/>
      <c r="AP18" s="111"/>
      <c r="AQ18" s="111">
        <v>0</v>
      </c>
      <c r="AR18" s="119">
        <v>0.00030742501257918775</v>
      </c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4">
        <v>-0.6655120849609375</v>
      </c>
      <c r="D22" s="104">
        <v>-0.2025451958179474</v>
      </c>
      <c r="E22" s="104">
        <v>13.053380012512207</v>
      </c>
      <c r="F22" s="104">
        <v>0</v>
      </c>
      <c r="G22" s="104"/>
      <c r="H22" s="104">
        <v>1</v>
      </c>
      <c r="I22" s="104">
        <v>2</v>
      </c>
      <c r="J22" s="104">
        <v>3</v>
      </c>
      <c r="K22" s="104">
        <v>4</v>
      </c>
      <c r="L22" s="105">
        <v>5</v>
      </c>
      <c r="M22" s="120">
        <v>76.28038024902344</v>
      </c>
      <c r="N22" s="104">
        <v>29.53558921813965</v>
      </c>
      <c r="O22" s="104">
        <v>0</v>
      </c>
      <c r="P22" s="104">
        <v>0</v>
      </c>
      <c r="Q22" s="104">
        <v>13.138019561767578</v>
      </c>
      <c r="R22" s="104">
        <v>30.208330154418945</v>
      </c>
      <c r="S22" s="121">
        <v>93.82232666015625</v>
      </c>
      <c r="T22" s="121">
        <v>50</v>
      </c>
      <c r="U22" s="121">
        <v>77.17484283447266</v>
      </c>
      <c r="V22" s="121">
        <v>17.719179153442383</v>
      </c>
      <c r="W22" s="121">
        <v>29.036460876464844</v>
      </c>
      <c r="X22" s="121">
        <v>0</v>
      </c>
      <c r="Y22" s="121">
        <v>0</v>
      </c>
      <c r="Z22" s="121">
        <v>12.389679908752441</v>
      </c>
      <c r="AA22" s="121">
        <v>14.805769920349121</v>
      </c>
      <c r="AB22" s="121"/>
      <c r="AC22" s="108"/>
      <c r="AD22" s="108">
        <v>0</v>
      </c>
      <c r="AE22" s="108"/>
      <c r="AF22" s="108"/>
      <c r="AG22" s="108">
        <v>6.9516777992248535</v>
      </c>
      <c r="AH22" s="108">
        <v>26</v>
      </c>
      <c r="AI22" s="122">
        <v>41</v>
      </c>
      <c r="AJ22" s="122">
        <v>42</v>
      </c>
      <c r="AK22" s="122">
        <v>43</v>
      </c>
      <c r="AL22" s="122">
        <v>44</v>
      </c>
      <c r="AM22" s="122">
        <v>45</v>
      </c>
      <c r="AN22" s="108">
        <v>27.90074920654297</v>
      </c>
      <c r="AO22" s="109">
        <v>42.523868560791016</v>
      </c>
      <c r="AP22" s="110">
        <v>8.400245666503906</v>
      </c>
      <c r="AQ22" s="111">
        <v>2.7922449111938477</v>
      </c>
      <c r="AR22" s="112">
        <v>-0.010848999954760075</v>
      </c>
    </row>
    <row r="23" spans="2:44" ht="13.5" customHeight="1" x14ac:dyDescent="0.25">
      <c r="B23" s="14">
        <v>0.375</v>
      </c>
      <c r="C23" s="104"/>
      <c r="D23" s="104"/>
      <c r="E23" s="104"/>
      <c r="F23" s="104"/>
      <c r="G23" s="104"/>
      <c r="H23" s="104">
        <v>1</v>
      </c>
      <c r="I23" s="104">
        <v>2</v>
      </c>
      <c r="J23" s="104">
        <v>3</v>
      </c>
      <c r="K23" s="104">
        <v>4</v>
      </c>
      <c r="L23" s="105">
        <v>5</v>
      </c>
      <c r="M23" s="120"/>
      <c r="N23" s="104"/>
      <c r="O23" s="104"/>
      <c r="P23" s="104"/>
      <c r="Q23" s="104"/>
      <c r="R23" s="104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08"/>
      <c r="AD23" s="108"/>
      <c r="AE23" s="108"/>
      <c r="AF23" s="108"/>
      <c r="AG23" s="108"/>
      <c r="AH23" s="108">
        <v>26</v>
      </c>
      <c r="AI23" s="122">
        <v>41</v>
      </c>
      <c r="AJ23" s="122">
        <v>42</v>
      </c>
      <c r="AK23" s="122">
        <v>43</v>
      </c>
      <c r="AL23" s="122">
        <v>44</v>
      </c>
      <c r="AM23" s="122">
        <v>45</v>
      </c>
      <c r="AN23" s="108"/>
      <c r="AO23" s="109"/>
      <c r="AP23" s="110"/>
      <c r="AQ23" s="111"/>
      <c r="AR23" s="112"/>
    </row>
    <row r="24" spans="2:44" ht="13.5" customHeight="1" x14ac:dyDescent="0.25">
      <c r="B24" s="14">
        <v>0.41666666666666702</v>
      </c>
      <c r="C24" s="104">
        <v>-82.66059112548828</v>
      </c>
      <c r="D24" s="104">
        <v>-84.02055358886719</v>
      </c>
      <c r="E24" s="104">
        <v>44.744651794433594</v>
      </c>
      <c r="F24" s="104">
        <v>0.08579281717538834</v>
      </c>
      <c r="G24" s="104"/>
      <c r="H24" s="104">
        <v>1</v>
      </c>
      <c r="I24" s="104">
        <v>2</v>
      </c>
      <c r="J24" s="104">
        <v>3</v>
      </c>
      <c r="K24" s="104">
        <v>4</v>
      </c>
      <c r="L24" s="105">
        <v>5</v>
      </c>
      <c r="M24" s="120">
        <v>81.47062683105469</v>
      </c>
      <c r="N24" s="104">
        <v>45.29079818725586</v>
      </c>
      <c r="O24" s="104">
        <v>50</v>
      </c>
      <c r="P24" s="104">
        <v>0</v>
      </c>
      <c r="Q24" s="104">
        <v>13.137149810791016</v>
      </c>
      <c r="R24" s="104">
        <v>21.375869750976562</v>
      </c>
      <c r="S24" s="121">
        <v>93.96338653564453</v>
      </c>
      <c r="T24" s="121">
        <v>50</v>
      </c>
      <c r="U24" s="121">
        <v>79.09776306152344</v>
      </c>
      <c r="V24" s="121">
        <v>8.100044250488281</v>
      </c>
      <c r="W24" s="121">
        <v>20.40472984313965</v>
      </c>
      <c r="X24" s="121">
        <v>0</v>
      </c>
      <c r="Y24" s="121">
        <v>0</v>
      </c>
      <c r="Z24" s="121">
        <v>11.765769958496094</v>
      </c>
      <c r="AA24" s="121">
        <v>14.935979843139648</v>
      </c>
      <c r="AB24" s="121"/>
      <c r="AC24" s="108"/>
      <c r="AD24" s="108">
        <v>0</v>
      </c>
      <c r="AE24" s="108"/>
      <c r="AF24" s="108"/>
      <c r="AG24" s="108">
        <v>6.987846851348877</v>
      </c>
      <c r="AH24" s="108">
        <v>26</v>
      </c>
      <c r="AI24" s="122">
        <v>41</v>
      </c>
      <c r="AJ24" s="122">
        <v>42</v>
      </c>
      <c r="AK24" s="122">
        <v>43</v>
      </c>
      <c r="AL24" s="122">
        <v>44</v>
      </c>
      <c r="AM24" s="122">
        <v>45</v>
      </c>
      <c r="AN24" s="108">
        <v>26.359949111938477</v>
      </c>
      <c r="AO24" s="109">
        <v>43.561920166015625</v>
      </c>
      <c r="AP24" s="110">
        <v>8.391203880310059</v>
      </c>
      <c r="AQ24" s="111">
        <v>2.806713104248047</v>
      </c>
      <c r="AR24" s="112">
        <v>-0.02169799990952015</v>
      </c>
    </row>
    <row r="25" spans="2:44" ht="13.5" customHeight="1" x14ac:dyDescent="0.25">
      <c r="B25" s="14">
        <v>0.45833333333333298</v>
      </c>
      <c r="C25" s="104">
        <v>-82.6678237915039</v>
      </c>
      <c r="D25" s="104">
        <v>-84.00607299804688</v>
      </c>
      <c r="E25" s="104">
        <v>45.243778228759766</v>
      </c>
      <c r="F25" s="104">
        <v>0.10163480043411255</v>
      </c>
      <c r="G25" s="104">
        <v>9.576358570484444E-05</v>
      </c>
      <c r="H25" s="104">
        <v>1</v>
      </c>
      <c r="I25" s="104">
        <v>2</v>
      </c>
      <c r="J25" s="104">
        <v>3</v>
      </c>
      <c r="K25" s="104">
        <v>4</v>
      </c>
      <c r="L25" s="105">
        <v>5</v>
      </c>
      <c r="M25" s="120">
        <v>80.31321716308594</v>
      </c>
      <c r="N25" s="104">
        <v>50.02170181274414</v>
      </c>
      <c r="O25" s="104">
        <v>50</v>
      </c>
      <c r="P25" s="104">
        <v>0</v>
      </c>
      <c r="Q25" s="104">
        <v>1.6484379768371582</v>
      </c>
      <c r="R25" s="104">
        <v>20.460790634155273</v>
      </c>
      <c r="S25" s="121">
        <v>92.66854858398438</v>
      </c>
      <c r="T25" s="121">
        <v>50</v>
      </c>
      <c r="U25" s="121">
        <v>78.9520034790039</v>
      </c>
      <c r="V25" s="121">
        <v>6.5104169845581055</v>
      </c>
      <c r="W25" s="121">
        <v>19.563800811767578</v>
      </c>
      <c r="X25" s="121">
        <v>0</v>
      </c>
      <c r="Y25" s="121">
        <v>0</v>
      </c>
      <c r="Z25" s="121">
        <v>11.758540153503418</v>
      </c>
      <c r="AA25" s="121">
        <v>15.73351001739502</v>
      </c>
      <c r="AB25" s="121"/>
      <c r="AC25" s="108"/>
      <c r="AD25" s="108">
        <v>0</v>
      </c>
      <c r="AE25" s="108">
        <v>0</v>
      </c>
      <c r="AF25" s="108"/>
      <c r="AG25" s="108">
        <v>1.8265340328216553</v>
      </c>
      <c r="AH25" s="108">
        <v>26</v>
      </c>
      <c r="AI25" s="122">
        <v>41</v>
      </c>
      <c r="AJ25" s="122">
        <v>42</v>
      </c>
      <c r="AK25" s="122">
        <v>43</v>
      </c>
      <c r="AL25" s="122">
        <v>44</v>
      </c>
      <c r="AM25" s="122">
        <v>45</v>
      </c>
      <c r="AN25" s="108">
        <v>25.998260498046875</v>
      </c>
      <c r="AO25" s="109">
        <v>43.449798583984375</v>
      </c>
      <c r="AP25" s="110">
        <v>9.078413963317871</v>
      </c>
      <c r="AQ25" s="111">
        <v>2.8139469623565674</v>
      </c>
      <c r="AR25" s="112">
        <v>-0.0542449988424778</v>
      </c>
    </row>
    <row r="26" spans="2:44" ht="13.5" customHeight="1" x14ac:dyDescent="0.25">
      <c r="B26" s="14">
        <v>0.5</v>
      </c>
      <c r="C26" s="104">
        <v>-82.65335845947266</v>
      </c>
      <c r="D26" s="104">
        <v>-84.02055358886719</v>
      </c>
      <c r="E26" s="104">
        <v>44.98698043823242</v>
      </c>
      <c r="F26" s="104">
        <v>0.10394970327615738</v>
      </c>
      <c r="G26" s="104">
        <v>9.931939712259918E-05</v>
      </c>
      <c r="H26" s="104">
        <v>1</v>
      </c>
      <c r="I26" s="104">
        <v>2</v>
      </c>
      <c r="J26" s="104">
        <v>3</v>
      </c>
      <c r="K26" s="104">
        <v>4</v>
      </c>
      <c r="L26" s="105">
        <v>5</v>
      </c>
      <c r="M26" s="120">
        <v>80.68213653564453</v>
      </c>
      <c r="N26" s="104">
        <v>49.092159271240234</v>
      </c>
      <c r="O26" s="104">
        <v>50</v>
      </c>
      <c r="P26" s="104">
        <v>0</v>
      </c>
      <c r="Q26" s="104">
        <v>1.6922739744186401</v>
      </c>
      <c r="R26" s="104">
        <v>18.948930740356445</v>
      </c>
      <c r="S26" s="121">
        <v>92.5564193725586</v>
      </c>
      <c r="T26" s="121">
        <v>50</v>
      </c>
      <c r="U26" s="121">
        <v>79.00245666503906</v>
      </c>
      <c r="V26" s="121">
        <v>5.935329914093018</v>
      </c>
      <c r="W26" s="121">
        <v>18.299699783325195</v>
      </c>
      <c r="X26" s="121">
        <v>0</v>
      </c>
      <c r="Y26" s="121">
        <v>0</v>
      </c>
      <c r="Z26" s="121">
        <v>12.335430145263672</v>
      </c>
      <c r="AA26" s="121">
        <v>16.726350784301758</v>
      </c>
      <c r="AB26" s="121"/>
      <c r="AC26" s="108"/>
      <c r="AD26" s="108">
        <v>0</v>
      </c>
      <c r="AE26" s="108">
        <v>0</v>
      </c>
      <c r="AF26" s="108"/>
      <c r="AG26" s="108">
        <v>0</v>
      </c>
      <c r="AH26" s="108">
        <v>26</v>
      </c>
      <c r="AI26" s="122">
        <v>41</v>
      </c>
      <c r="AJ26" s="122">
        <v>42</v>
      </c>
      <c r="AK26" s="122">
        <v>43</v>
      </c>
      <c r="AL26" s="122">
        <v>44</v>
      </c>
      <c r="AM26" s="122">
        <v>45</v>
      </c>
      <c r="AN26" s="108">
        <v>25.88252067565918</v>
      </c>
      <c r="AO26" s="109">
        <v>43.84403991699219</v>
      </c>
      <c r="AP26" s="110">
        <v>9.367766380310059</v>
      </c>
      <c r="AQ26" s="111">
        <v>39.507381439208984</v>
      </c>
      <c r="AR26" s="112">
        <v>-0.02169799990952015</v>
      </c>
    </row>
    <row r="27" spans="2:44" ht="13.5" customHeight="1" x14ac:dyDescent="0.25">
      <c r="B27" s="14">
        <v>0.54166666666666596</v>
      </c>
      <c r="C27" s="104">
        <v>-82.8125</v>
      </c>
      <c r="D27" s="104">
        <v>-84.01331329345703</v>
      </c>
      <c r="E27" s="104">
        <v>44.979740142822266</v>
      </c>
      <c r="F27" s="104">
        <v>0.10525169968605042</v>
      </c>
      <c r="G27" s="104">
        <v>0.00010303730960004032</v>
      </c>
      <c r="H27" s="104">
        <v>1</v>
      </c>
      <c r="I27" s="104">
        <v>2</v>
      </c>
      <c r="J27" s="104">
        <v>3</v>
      </c>
      <c r="K27" s="104">
        <v>4</v>
      </c>
      <c r="L27" s="105">
        <v>5</v>
      </c>
      <c r="M27" s="120">
        <v>75.43041229248047</v>
      </c>
      <c r="N27" s="104">
        <v>51.544410705566406</v>
      </c>
      <c r="O27" s="104">
        <v>50</v>
      </c>
      <c r="P27" s="104">
        <v>0</v>
      </c>
      <c r="Q27" s="104">
        <v>1.8411459922790527</v>
      </c>
      <c r="R27" s="104">
        <v>18.73914909362793</v>
      </c>
      <c r="S27" s="121">
        <v>92.78067016601562</v>
      </c>
      <c r="T27" s="121">
        <v>50</v>
      </c>
      <c r="U27" s="121">
        <v>78.26805114746094</v>
      </c>
      <c r="V27" s="121">
        <v>8.978951454162598</v>
      </c>
      <c r="W27" s="121">
        <v>18.10980987548828</v>
      </c>
      <c r="X27" s="121">
        <v>0</v>
      </c>
      <c r="Y27" s="121">
        <v>0</v>
      </c>
      <c r="Z27" s="121">
        <v>13.4964599609375</v>
      </c>
      <c r="AA27" s="121">
        <v>17.757160186767578</v>
      </c>
      <c r="AB27" s="121"/>
      <c r="AC27" s="108"/>
      <c r="AD27" s="108">
        <v>0</v>
      </c>
      <c r="AE27" s="108">
        <v>0</v>
      </c>
      <c r="AF27" s="108"/>
      <c r="AG27" s="108">
        <v>3.1864869594573975</v>
      </c>
      <c r="AH27" s="108">
        <v>26</v>
      </c>
      <c r="AI27" s="122">
        <v>41</v>
      </c>
      <c r="AJ27" s="122">
        <v>42</v>
      </c>
      <c r="AK27" s="122">
        <v>43</v>
      </c>
      <c r="AL27" s="122">
        <v>44</v>
      </c>
      <c r="AM27" s="122">
        <v>45</v>
      </c>
      <c r="AN27" s="108">
        <v>26.931419372558594</v>
      </c>
      <c r="AO27" s="109">
        <v>45.02315139770508</v>
      </c>
      <c r="AP27" s="110">
        <v>12.713399887084961</v>
      </c>
      <c r="AQ27" s="111">
        <v>39.95587158203125</v>
      </c>
      <c r="AR27" s="112">
        <v>-72.39582824707031</v>
      </c>
    </row>
    <row r="28" spans="2:44" ht="13.5" customHeight="1" x14ac:dyDescent="0.25">
      <c r="B28" s="14">
        <v>0.58333333333333304</v>
      </c>
      <c r="C28" s="104">
        <v>-83.02951049804688</v>
      </c>
      <c r="D28" s="104">
        <v>-84.02055358886719</v>
      </c>
      <c r="E28" s="104">
        <v>44.70848083496094</v>
      </c>
      <c r="F28" s="104">
        <v>0.0941840335726738</v>
      </c>
      <c r="G28" s="104">
        <v>9.96111921267584E-05</v>
      </c>
      <c r="H28" s="104">
        <v>1</v>
      </c>
      <c r="I28" s="104">
        <v>2</v>
      </c>
      <c r="J28" s="104">
        <v>3</v>
      </c>
      <c r="K28" s="104">
        <v>4</v>
      </c>
      <c r="L28" s="105">
        <v>5</v>
      </c>
      <c r="M28" s="120">
        <v>69.7084732055664</v>
      </c>
      <c r="N28" s="104">
        <v>50.69083023071289</v>
      </c>
      <c r="O28" s="104">
        <v>50</v>
      </c>
      <c r="P28" s="104">
        <v>0</v>
      </c>
      <c r="Q28" s="104">
        <v>1.9457470178604126</v>
      </c>
      <c r="R28" s="104">
        <v>18.793399810791016</v>
      </c>
      <c r="S28" s="121">
        <v>92.74088287353516</v>
      </c>
      <c r="T28" s="121">
        <v>50</v>
      </c>
      <c r="U28" s="121">
        <v>78.79502868652344</v>
      </c>
      <c r="V28" s="121">
        <v>9.309896469116211</v>
      </c>
      <c r="W28" s="121">
        <v>18.218320846557617</v>
      </c>
      <c r="X28" s="121">
        <v>0</v>
      </c>
      <c r="Y28" s="121">
        <v>9.597801208496094</v>
      </c>
      <c r="Z28" s="121">
        <v>15.717229843139648</v>
      </c>
      <c r="AA28" s="121">
        <v>98.96919250488281</v>
      </c>
      <c r="AB28" s="121"/>
      <c r="AC28" s="108"/>
      <c r="AD28" s="108">
        <v>0</v>
      </c>
      <c r="AE28" s="108">
        <v>0</v>
      </c>
      <c r="AF28" s="108"/>
      <c r="AG28" s="108">
        <v>0</v>
      </c>
      <c r="AH28" s="108">
        <v>26</v>
      </c>
      <c r="AI28" s="122">
        <v>41</v>
      </c>
      <c r="AJ28" s="122">
        <v>42</v>
      </c>
      <c r="AK28" s="122">
        <v>43</v>
      </c>
      <c r="AL28" s="122">
        <v>44</v>
      </c>
      <c r="AM28" s="122">
        <v>45</v>
      </c>
      <c r="AN28" s="108">
        <v>30.584489822387695</v>
      </c>
      <c r="AO28" s="109">
        <v>64.19632720947266</v>
      </c>
      <c r="AP28" s="110">
        <v>26.340059280395508</v>
      </c>
      <c r="AQ28" s="111">
        <v>36.40045928955078</v>
      </c>
      <c r="AR28" s="112">
        <v>-87.99913024902344</v>
      </c>
    </row>
    <row r="29" spans="2:44" ht="13.5" customHeight="1" x14ac:dyDescent="0.25">
      <c r="B29" s="14">
        <v>0.625</v>
      </c>
      <c r="C29" s="104">
        <v>-83.0584487915039</v>
      </c>
      <c r="D29" s="104">
        <v>-84.00607299804688</v>
      </c>
      <c r="E29" s="104">
        <v>44.88570022583008</v>
      </c>
      <c r="F29" s="104">
        <v>0.09989873319864273</v>
      </c>
      <c r="G29" s="104">
        <v>9.94444199022837E-05</v>
      </c>
      <c r="H29" s="104">
        <v>1</v>
      </c>
      <c r="I29" s="104">
        <v>2</v>
      </c>
      <c r="J29" s="104">
        <v>3</v>
      </c>
      <c r="K29" s="104">
        <v>4</v>
      </c>
      <c r="L29" s="105">
        <v>5</v>
      </c>
      <c r="M29" s="120">
        <v>71.23119354248047</v>
      </c>
      <c r="N29" s="104">
        <v>52.853729248046875</v>
      </c>
      <c r="O29" s="104">
        <v>50</v>
      </c>
      <c r="P29" s="104">
        <v>0</v>
      </c>
      <c r="Q29" s="104">
        <v>2.074652910232544</v>
      </c>
      <c r="R29" s="104">
        <v>17.994070053100586</v>
      </c>
      <c r="S29" s="121">
        <v>92.51302337646484</v>
      </c>
      <c r="T29" s="121">
        <v>50</v>
      </c>
      <c r="U29" s="121">
        <v>78.30168914794922</v>
      </c>
      <c r="V29" s="121">
        <v>8.892144203186035</v>
      </c>
      <c r="W29" s="121">
        <v>17.659509658813477</v>
      </c>
      <c r="X29" s="121">
        <v>0</v>
      </c>
      <c r="Y29" s="121">
        <v>3.5319008827209473</v>
      </c>
      <c r="Z29" s="121">
        <v>16.814960479736328</v>
      </c>
      <c r="AA29" s="121">
        <v>80.65863800048828</v>
      </c>
      <c r="AB29" s="121"/>
      <c r="AC29" s="108"/>
      <c r="AD29" s="108">
        <v>0</v>
      </c>
      <c r="AE29" s="108">
        <v>0</v>
      </c>
      <c r="AF29" s="108"/>
      <c r="AG29" s="108">
        <v>73.56047058105469</v>
      </c>
      <c r="AH29" s="108">
        <v>26</v>
      </c>
      <c r="AI29" s="122">
        <v>41</v>
      </c>
      <c r="AJ29" s="122">
        <v>42</v>
      </c>
      <c r="AK29" s="122">
        <v>43</v>
      </c>
      <c r="AL29" s="122">
        <v>44</v>
      </c>
      <c r="AM29" s="122">
        <v>45</v>
      </c>
      <c r="AN29" s="108">
        <v>56.30786895751953</v>
      </c>
      <c r="AO29" s="109">
        <v>60.579429626464844</v>
      </c>
      <c r="AP29" s="110">
        <v>26.34910011291504</v>
      </c>
      <c r="AQ29" s="111">
        <v>36.8742790222168</v>
      </c>
      <c r="AR29" s="112">
        <v>-88.61762237548828</v>
      </c>
    </row>
    <row r="30" spans="2:44" ht="13.5" customHeight="1" x14ac:dyDescent="0.25">
      <c r="B30" s="14">
        <v>0.66666666666666596</v>
      </c>
      <c r="C30" s="104">
        <v>-83.07290649414062</v>
      </c>
      <c r="D30" s="104">
        <v>-84.0350112915039</v>
      </c>
      <c r="E30" s="104">
        <v>45.04846954345703</v>
      </c>
      <c r="F30" s="104">
        <v>0.1189235970377922</v>
      </c>
      <c r="G30" s="104">
        <v>9.943675831891596E-05</v>
      </c>
      <c r="H30" s="104">
        <v>1</v>
      </c>
      <c r="I30" s="104">
        <v>2</v>
      </c>
      <c r="J30" s="104">
        <v>3</v>
      </c>
      <c r="K30" s="104">
        <v>4</v>
      </c>
      <c r="L30" s="105">
        <v>5</v>
      </c>
      <c r="M30" s="120">
        <v>71.88223266601562</v>
      </c>
      <c r="N30" s="104">
        <v>46.50968933105469</v>
      </c>
      <c r="O30" s="104">
        <v>50</v>
      </c>
      <c r="P30" s="104">
        <v>0</v>
      </c>
      <c r="Q30" s="104">
        <v>2.075087070465088</v>
      </c>
      <c r="R30" s="104">
        <v>17.35749053955078</v>
      </c>
      <c r="S30" s="121">
        <v>92.53472137451172</v>
      </c>
      <c r="T30" s="121">
        <v>50</v>
      </c>
      <c r="U30" s="121">
        <v>78.36335754394531</v>
      </c>
      <c r="V30" s="121">
        <v>8.696831703186035</v>
      </c>
      <c r="W30" s="121">
        <v>16.959640502929688</v>
      </c>
      <c r="X30" s="121">
        <v>0</v>
      </c>
      <c r="Y30" s="121">
        <v>0</v>
      </c>
      <c r="Z30" s="121">
        <v>17.377389907836914</v>
      </c>
      <c r="AA30" s="121">
        <v>66.95964050292969</v>
      </c>
      <c r="AB30" s="121"/>
      <c r="AC30" s="108"/>
      <c r="AD30" s="108">
        <v>0</v>
      </c>
      <c r="AE30" s="108">
        <v>0</v>
      </c>
      <c r="AF30" s="108"/>
      <c r="AG30" s="108">
        <v>0.9801794290542603</v>
      </c>
      <c r="AH30" s="108">
        <v>26</v>
      </c>
      <c r="AI30" s="122">
        <v>41</v>
      </c>
      <c r="AJ30" s="122">
        <v>42</v>
      </c>
      <c r="AK30" s="122">
        <v>43</v>
      </c>
      <c r="AL30" s="122">
        <v>44</v>
      </c>
      <c r="AM30" s="122">
        <v>45</v>
      </c>
      <c r="AN30" s="108">
        <v>72.6056137084961</v>
      </c>
      <c r="AO30" s="109">
        <v>59.494361877441406</v>
      </c>
      <c r="AP30" s="110">
        <v>28.871889114379883</v>
      </c>
      <c r="AQ30" s="111">
        <v>38.067848205566406</v>
      </c>
      <c r="AR30" s="112">
        <v>-87.70616149902344</v>
      </c>
    </row>
    <row r="31" spans="2:44" ht="13.5" customHeight="1" x14ac:dyDescent="0.25">
      <c r="B31" s="14">
        <v>0.70833333333333304</v>
      </c>
      <c r="C31" s="104">
        <v>-83.1524887084961</v>
      </c>
      <c r="D31" s="104">
        <v>-84.0350112915039</v>
      </c>
      <c r="E31" s="104">
        <v>45.30165100097656</v>
      </c>
      <c r="F31" s="104">
        <v>0.0989583432674408</v>
      </c>
      <c r="G31" s="104">
        <v>9.754699567565694E-05</v>
      </c>
      <c r="H31" s="104">
        <v>1</v>
      </c>
      <c r="I31" s="104">
        <v>2</v>
      </c>
      <c r="J31" s="104">
        <v>3</v>
      </c>
      <c r="K31" s="104">
        <v>4</v>
      </c>
      <c r="L31" s="105">
        <v>5</v>
      </c>
      <c r="M31" s="120">
        <v>72.6056137084961</v>
      </c>
      <c r="N31" s="104">
        <v>43.40277862548828</v>
      </c>
      <c r="O31" s="104">
        <v>50</v>
      </c>
      <c r="P31" s="104">
        <v>0</v>
      </c>
      <c r="Q31" s="104">
        <v>2.0989580154418945</v>
      </c>
      <c r="R31" s="104">
        <v>16.9343204498291</v>
      </c>
      <c r="S31" s="121">
        <v>92.59620666503906</v>
      </c>
      <c r="T31" s="121">
        <v>50</v>
      </c>
      <c r="U31" s="121">
        <v>78.31289672851562</v>
      </c>
      <c r="V31" s="121">
        <v>8.783638000488281</v>
      </c>
      <c r="W31" s="121">
        <v>16.438800811767578</v>
      </c>
      <c r="X31" s="121">
        <v>0</v>
      </c>
      <c r="Y31" s="121">
        <v>0</v>
      </c>
      <c r="Z31" s="121">
        <v>18.52212905883789</v>
      </c>
      <c r="AA31" s="121">
        <v>60.742191314697266</v>
      </c>
      <c r="AB31" s="121"/>
      <c r="AC31" s="108"/>
      <c r="AD31" s="108">
        <v>0</v>
      </c>
      <c r="AE31" s="108">
        <v>0</v>
      </c>
      <c r="AF31" s="108"/>
      <c r="AG31" s="108">
        <v>1.2008099555969238</v>
      </c>
      <c r="AH31" s="108">
        <v>26</v>
      </c>
      <c r="AI31" s="122">
        <v>41</v>
      </c>
      <c r="AJ31" s="122">
        <v>42</v>
      </c>
      <c r="AK31" s="122">
        <v>43</v>
      </c>
      <c r="AL31" s="122">
        <v>44</v>
      </c>
      <c r="AM31" s="122">
        <v>45</v>
      </c>
      <c r="AN31" s="108">
        <v>66.72453308105469</v>
      </c>
      <c r="AO31" s="109">
        <v>59.20138931274414</v>
      </c>
      <c r="AP31" s="110">
        <v>27.0905704498291</v>
      </c>
      <c r="AQ31" s="111">
        <v>38.183589935302734</v>
      </c>
      <c r="AR31" s="112">
        <v>-88.25955200195312</v>
      </c>
    </row>
    <row r="32" spans="2:44" ht="13.5" customHeight="1" x14ac:dyDescent="0.25">
      <c r="B32" s="14">
        <v>0.75</v>
      </c>
      <c r="C32" s="104">
        <v>-83.01505279541016</v>
      </c>
      <c r="D32" s="104">
        <v>-83.96990966796875</v>
      </c>
      <c r="E32" s="104">
        <v>44.889320373535156</v>
      </c>
      <c r="F32" s="104">
        <v>0.0972222164273262</v>
      </c>
      <c r="G32" s="104">
        <v>9.709483128972352E-05</v>
      </c>
      <c r="H32" s="104">
        <v>1</v>
      </c>
      <c r="I32" s="104">
        <v>2</v>
      </c>
      <c r="J32" s="104">
        <v>3</v>
      </c>
      <c r="K32" s="104">
        <v>4</v>
      </c>
      <c r="L32" s="105">
        <v>5</v>
      </c>
      <c r="M32" s="120">
        <v>71.02864837646484</v>
      </c>
      <c r="N32" s="104">
        <v>43.71744918823242</v>
      </c>
      <c r="O32" s="104">
        <v>50</v>
      </c>
      <c r="P32" s="104">
        <v>0</v>
      </c>
      <c r="Q32" s="104">
        <v>2.1514759063720703</v>
      </c>
      <c r="R32" s="104">
        <v>18.156829833984375</v>
      </c>
      <c r="S32" s="121">
        <v>92.63237762451172</v>
      </c>
      <c r="T32" s="121">
        <v>50</v>
      </c>
      <c r="U32" s="121">
        <v>78.1951675415039</v>
      </c>
      <c r="V32" s="121">
        <v>12.033419609069824</v>
      </c>
      <c r="W32" s="121">
        <v>17.79513931274414</v>
      </c>
      <c r="X32" s="121">
        <v>0</v>
      </c>
      <c r="Y32" s="121">
        <v>0</v>
      </c>
      <c r="Z32" s="121">
        <v>20.732059478759766</v>
      </c>
      <c r="AA32" s="121">
        <v>59.716800689697266</v>
      </c>
      <c r="AB32" s="121"/>
      <c r="AC32" s="108"/>
      <c r="AD32" s="108">
        <v>0</v>
      </c>
      <c r="AE32" s="108">
        <v>0</v>
      </c>
      <c r="AF32" s="108"/>
      <c r="AG32" s="108">
        <v>1.457610011100769</v>
      </c>
      <c r="AH32" s="108">
        <v>26</v>
      </c>
      <c r="AI32" s="122">
        <v>41</v>
      </c>
      <c r="AJ32" s="122">
        <v>42</v>
      </c>
      <c r="AK32" s="122">
        <v>43</v>
      </c>
      <c r="AL32" s="122">
        <v>44</v>
      </c>
      <c r="AM32" s="122">
        <v>45</v>
      </c>
      <c r="AN32" s="108">
        <v>66.17476654052734</v>
      </c>
      <c r="AO32" s="109">
        <v>58.33694839477539</v>
      </c>
      <c r="AP32" s="110">
        <v>26.529949188232422</v>
      </c>
      <c r="AQ32" s="111">
        <v>38.17998123168945</v>
      </c>
      <c r="AR32" s="112">
        <v>-88.75868225097656</v>
      </c>
    </row>
    <row r="33" spans="2:44" ht="13.5" customHeight="1" x14ac:dyDescent="0.25">
      <c r="B33" s="14">
        <v>0.79166666666666696</v>
      </c>
      <c r="C33" s="104">
        <v>-83.55034637451172</v>
      </c>
      <c r="D33" s="104">
        <v>-84.0350112915039</v>
      </c>
      <c r="E33" s="104">
        <v>45.54759979248047</v>
      </c>
      <c r="F33" s="104">
        <v>0.0340711809694767</v>
      </c>
      <c r="G33" s="104">
        <v>8.336096652783453E-05</v>
      </c>
      <c r="H33" s="104">
        <v>1</v>
      </c>
      <c r="I33" s="104">
        <v>2</v>
      </c>
      <c r="J33" s="104">
        <v>3</v>
      </c>
      <c r="K33" s="104">
        <v>4</v>
      </c>
      <c r="L33" s="105">
        <v>5</v>
      </c>
      <c r="M33" s="120">
        <v>70.30526733398438</v>
      </c>
      <c r="N33" s="104">
        <v>43.999568939208984</v>
      </c>
      <c r="O33" s="104">
        <v>50</v>
      </c>
      <c r="P33" s="104">
        <v>0</v>
      </c>
      <c r="Q33" s="104">
        <v>2.112412929534912</v>
      </c>
      <c r="R33" s="104">
        <v>20.00868034362793</v>
      </c>
      <c r="S33" s="121">
        <v>92.64684295654297</v>
      </c>
      <c r="T33" s="121">
        <v>50</v>
      </c>
      <c r="U33" s="121">
        <v>77.09635162353516</v>
      </c>
      <c r="V33" s="121">
        <v>13.88346004486084</v>
      </c>
      <c r="W33" s="121">
        <v>19.54210090637207</v>
      </c>
      <c r="X33" s="121">
        <v>0</v>
      </c>
      <c r="Y33" s="121">
        <v>0</v>
      </c>
      <c r="Z33" s="121">
        <v>24.325450897216797</v>
      </c>
      <c r="AA33" s="121">
        <v>60.031471252441406</v>
      </c>
      <c r="AB33" s="121"/>
      <c r="AC33" s="108"/>
      <c r="AD33" s="108">
        <v>0</v>
      </c>
      <c r="AE33" s="108">
        <v>0</v>
      </c>
      <c r="AF33" s="108"/>
      <c r="AG33" s="108">
        <v>1.4214409589767456</v>
      </c>
      <c r="AH33" s="108">
        <v>26</v>
      </c>
      <c r="AI33" s="122">
        <v>41</v>
      </c>
      <c r="AJ33" s="122">
        <v>42</v>
      </c>
      <c r="AK33" s="122">
        <v>43</v>
      </c>
      <c r="AL33" s="122">
        <v>44</v>
      </c>
      <c r="AM33" s="122">
        <v>45</v>
      </c>
      <c r="AN33" s="108">
        <v>68.00492095947266</v>
      </c>
      <c r="AO33" s="109">
        <v>55.84851837158203</v>
      </c>
      <c r="AP33" s="110">
        <v>26.466650009155273</v>
      </c>
      <c r="AQ33" s="111">
        <v>38.476558685302734</v>
      </c>
      <c r="AR33" s="112">
        <v>-88.51997375488281</v>
      </c>
    </row>
    <row r="34" spans="2:44" ht="13.5" customHeight="1" x14ac:dyDescent="0.25">
      <c r="B34" s="15">
        <v>0.83333333333333304</v>
      </c>
      <c r="C34" s="113">
        <v>-82.8125</v>
      </c>
      <c r="D34" s="113">
        <v>-83.94097137451172</v>
      </c>
      <c r="E34" s="113">
        <v>45.185909271240234</v>
      </c>
      <c r="F34" s="113">
        <v>0.08391203731298447</v>
      </c>
      <c r="G34" s="113">
        <v>9.014111856231466E-05</v>
      </c>
      <c r="H34" s="113">
        <v>1</v>
      </c>
      <c r="I34" s="113">
        <v>2</v>
      </c>
      <c r="J34" s="113">
        <v>3</v>
      </c>
      <c r="K34" s="113">
        <v>4</v>
      </c>
      <c r="L34" s="114">
        <v>5</v>
      </c>
      <c r="M34" s="123">
        <v>69.6072006225586</v>
      </c>
      <c r="N34" s="113">
        <v>44.87485885620117</v>
      </c>
      <c r="O34" s="113">
        <v>50</v>
      </c>
      <c r="P34" s="113">
        <v>0</v>
      </c>
      <c r="Q34" s="113">
        <v>2.5</v>
      </c>
      <c r="R34" s="113">
        <v>21.035879135131836</v>
      </c>
      <c r="S34" s="124">
        <v>93.64148712158203</v>
      </c>
      <c r="T34" s="124">
        <v>50</v>
      </c>
      <c r="U34" s="124">
        <v>76.55255126953125</v>
      </c>
      <c r="V34" s="124">
        <v>13.655599594116211</v>
      </c>
      <c r="W34" s="124">
        <v>20.4589900970459</v>
      </c>
      <c r="X34" s="124">
        <v>0</v>
      </c>
      <c r="Y34" s="124">
        <v>0</v>
      </c>
      <c r="Z34" s="124">
        <v>30.02206039428711</v>
      </c>
      <c r="AA34" s="124">
        <v>64.95768737792969</v>
      </c>
      <c r="AB34" s="124"/>
      <c r="AC34" s="117"/>
      <c r="AD34" s="117">
        <v>0</v>
      </c>
      <c r="AE34" s="117">
        <v>0</v>
      </c>
      <c r="AF34" s="117"/>
      <c r="AG34" s="117">
        <v>1.493778944015503</v>
      </c>
      <c r="AH34" s="117">
        <v>26</v>
      </c>
      <c r="AI34" s="125">
        <v>41</v>
      </c>
      <c r="AJ34" s="125">
        <v>42</v>
      </c>
      <c r="AK34" s="125">
        <v>43</v>
      </c>
      <c r="AL34" s="125">
        <v>44</v>
      </c>
      <c r="AM34" s="125">
        <v>45</v>
      </c>
      <c r="AN34" s="117">
        <v>73.07581329345703</v>
      </c>
      <c r="AO34" s="118">
        <v>55.132381439208984</v>
      </c>
      <c r="AP34" s="126">
        <v>26.511859893798828</v>
      </c>
      <c r="AQ34" s="127">
        <v>37.33000946044922</v>
      </c>
      <c r="AR34" s="128">
        <v>-88.99739837646484</v>
      </c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4">
        <v>0</v>
      </c>
      <c r="D39" s="104"/>
      <c r="E39" s="104">
        <v>11.516200065612793</v>
      </c>
      <c r="F39" s="104"/>
      <c r="G39" s="104"/>
      <c r="H39" s="104">
        <v>11.194299697875977</v>
      </c>
      <c r="I39" s="104"/>
      <c r="J39" s="104">
        <v>14.15110969543457</v>
      </c>
      <c r="K39" s="104">
        <v>0</v>
      </c>
      <c r="L39" s="104">
        <v>0.02175539918243885</v>
      </c>
      <c r="M39" s="104">
        <v>10.416669845581055</v>
      </c>
      <c r="N39" s="104"/>
      <c r="O39" s="104">
        <v>0</v>
      </c>
      <c r="P39" s="104">
        <v>0.0003950496902689338</v>
      </c>
      <c r="Q39" s="104">
        <v>0</v>
      </c>
      <c r="R39" s="104"/>
      <c r="S39" s="104">
        <v>0</v>
      </c>
      <c r="T39" s="104"/>
      <c r="U39" s="121">
        <v>0</v>
      </c>
      <c r="V39" s="129"/>
      <c r="W39" s="130">
        <v>50</v>
      </c>
      <c r="X39" s="121">
        <v>0</v>
      </c>
      <c r="Y39" s="121">
        <v>17.719179153442383</v>
      </c>
      <c r="Z39" s="121">
        <v>29.036460876464844</v>
      </c>
      <c r="AA39" s="121">
        <v>50</v>
      </c>
      <c r="AB39" s="121">
        <v>0</v>
      </c>
      <c r="AC39" s="121">
        <v>12.389679908752441</v>
      </c>
      <c r="AD39" s="121">
        <v>14.805769920349121</v>
      </c>
      <c r="AE39" s="108"/>
      <c r="AF39" s="108">
        <v>0</v>
      </c>
      <c r="AG39" s="108">
        <v>36</v>
      </c>
      <c r="AH39" s="108">
        <v>0.0003950496902689338</v>
      </c>
      <c r="AI39" s="108">
        <v>30.967880249023438</v>
      </c>
      <c r="AJ39" s="108"/>
      <c r="AK39" s="108"/>
      <c r="AL39" s="109"/>
      <c r="AM39" s="131">
        <v>56</v>
      </c>
      <c r="AN39" s="122">
        <v>62</v>
      </c>
      <c r="AO39" s="108"/>
      <c r="AP39" s="108"/>
      <c r="AQ39" s="108"/>
      <c r="AR39" s="112"/>
    </row>
    <row r="40" spans="2:44" ht="13.5" customHeight="1" x14ac:dyDescent="0.25">
      <c r="B40" s="14">
        <v>0.375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21"/>
      <c r="V40" s="129"/>
      <c r="W40" s="130"/>
      <c r="X40" s="121"/>
      <c r="Y40" s="121"/>
      <c r="Z40" s="121"/>
      <c r="AA40" s="121"/>
      <c r="AB40" s="121"/>
      <c r="AC40" s="121"/>
      <c r="AD40" s="121"/>
      <c r="AE40" s="108"/>
      <c r="AF40" s="108"/>
      <c r="AG40" s="108">
        <v>36</v>
      </c>
      <c r="AH40" s="108"/>
      <c r="AI40" s="108"/>
      <c r="AJ40" s="108"/>
      <c r="AK40" s="108"/>
      <c r="AL40" s="109"/>
      <c r="AM40" s="131">
        <v>56</v>
      </c>
      <c r="AN40" s="122">
        <v>62</v>
      </c>
      <c r="AO40" s="108"/>
      <c r="AP40" s="108"/>
      <c r="AQ40" s="108"/>
      <c r="AR40" s="112"/>
    </row>
    <row r="41" spans="2:44" ht="13.5" customHeight="1" x14ac:dyDescent="0.25">
      <c r="B41" s="14">
        <v>0.41666666666666702</v>
      </c>
      <c r="C41" s="104">
        <v>0</v>
      </c>
      <c r="D41" s="104"/>
      <c r="E41" s="104">
        <v>10.959199905395508</v>
      </c>
      <c r="F41" s="104"/>
      <c r="G41" s="104"/>
      <c r="H41" s="104">
        <v>10.28102970123291</v>
      </c>
      <c r="I41" s="104"/>
      <c r="J41" s="104">
        <v>17.749929428100586</v>
      </c>
      <c r="K41" s="104">
        <v>0</v>
      </c>
      <c r="L41" s="104">
        <v>0.03355269134044647</v>
      </c>
      <c r="M41" s="104">
        <v>10.24485969543457</v>
      </c>
      <c r="N41" s="104"/>
      <c r="O41" s="104">
        <v>0</v>
      </c>
      <c r="P41" s="104">
        <v>0.0003950496902689338</v>
      </c>
      <c r="Q41" s="104">
        <v>0</v>
      </c>
      <c r="R41" s="104"/>
      <c r="S41" s="104">
        <v>0</v>
      </c>
      <c r="T41" s="104"/>
      <c r="U41" s="121">
        <v>0</v>
      </c>
      <c r="V41" s="129"/>
      <c r="W41" s="130">
        <v>50</v>
      </c>
      <c r="X41" s="121">
        <v>0</v>
      </c>
      <c r="Y41" s="121">
        <v>8.100044250488281</v>
      </c>
      <c r="Z41" s="121">
        <v>20.40472984313965</v>
      </c>
      <c r="AA41" s="121">
        <v>50</v>
      </c>
      <c r="AB41" s="121">
        <v>0</v>
      </c>
      <c r="AC41" s="121">
        <v>11.765769958496094</v>
      </c>
      <c r="AD41" s="121">
        <v>14.935979843139648</v>
      </c>
      <c r="AE41" s="108"/>
      <c r="AF41" s="108">
        <v>0</v>
      </c>
      <c r="AG41" s="108">
        <v>36</v>
      </c>
      <c r="AH41" s="108">
        <v>0.0003950496902689338</v>
      </c>
      <c r="AI41" s="108">
        <v>30.96426010131836</v>
      </c>
      <c r="AJ41" s="108"/>
      <c r="AK41" s="108"/>
      <c r="AL41" s="109"/>
      <c r="AM41" s="131">
        <v>56</v>
      </c>
      <c r="AN41" s="122">
        <v>62</v>
      </c>
      <c r="AO41" s="108"/>
      <c r="AP41" s="108"/>
      <c r="AQ41" s="108"/>
      <c r="AR41" s="112"/>
    </row>
    <row r="42" spans="2:44" ht="13.5" customHeight="1" x14ac:dyDescent="0.25">
      <c r="B42" s="14">
        <v>0.45833333333333298</v>
      </c>
      <c r="C42" s="104">
        <v>0</v>
      </c>
      <c r="D42" s="104">
        <v>0.0003829285560641438</v>
      </c>
      <c r="E42" s="104">
        <v>11.067709922790527</v>
      </c>
      <c r="F42" s="104"/>
      <c r="G42" s="104"/>
      <c r="H42" s="104">
        <v>23.898649215698242</v>
      </c>
      <c r="I42" s="104">
        <v>0</v>
      </c>
      <c r="J42" s="104">
        <v>18.844039916992188</v>
      </c>
      <c r="K42" s="104">
        <v>0</v>
      </c>
      <c r="L42" s="104">
        <v>0.04472646117210388</v>
      </c>
      <c r="M42" s="104">
        <v>16.113279342651367</v>
      </c>
      <c r="N42" s="104">
        <v>0</v>
      </c>
      <c r="O42" s="104">
        <v>0</v>
      </c>
      <c r="P42" s="104">
        <v>0.00039660700713284314</v>
      </c>
      <c r="Q42" s="104">
        <v>0</v>
      </c>
      <c r="R42" s="104">
        <v>0</v>
      </c>
      <c r="S42" s="104">
        <v>0</v>
      </c>
      <c r="T42" s="104">
        <v>0</v>
      </c>
      <c r="U42" s="121">
        <v>0</v>
      </c>
      <c r="V42" s="129">
        <v>-0.00017000007210299373</v>
      </c>
      <c r="W42" s="130">
        <v>50</v>
      </c>
      <c r="X42" s="121">
        <v>0</v>
      </c>
      <c r="Y42" s="121">
        <v>6.5104169845581055</v>
      </c>
      <c r="Z42" s="121">
        <v>19.563800811767578</v>
      </c>
      <c r="AA42" s="121">
        <v>50</v>
      </c>
      <c r="AB42" s="121">
        <v>0</v>
      </c>
      <c r="AC42" s="121">
        <v>11.758540153503418</v>
      </c>
      <c r="AD42" s="121">
        <v>15.73351001739502</v>
      </c>
      <c r="AE42" s="108"/>
      <c r="AF42" s="108">
        <v>0</v>
      </c>
      <c r="AG42" s="108">
        <v>36</v>
      </c>
      <c r="AH42" s="108">
        <v>0.0003950496902689338</v>
      </c>
      <c r="AI42" s="108">
        <v>31.000429153442383</v>
      </c>
      <c r="AJ42" s="108">
        <v>-0.0004166679282207042</v>
      </c>
      <c r="AK42" s="108"/>
      <c r="AL42" s="109"/>
      <c r="AM42" s="131">
        <v>56</v>
      </c>
      <c r="AN42" s="122">
        <v>62</v>
      </c>
      <c r="AO42" s="108"/>
      <c r="AP42" s="108"/>
      <c r="AQ42" s="108"/>
      <c r="AR42" s="112"/>
    </row>
    <row r="43" spans="2:44" ht="13.5" customHeight="1" x14ac:dyDescent="0.25">
      <c r="B43" s="14">
        <v>0.5</v>
      </c>
      <c r="C43" s="104">
        <v>0</v>
      </c>
      <c r="D43" s="104">
        <v>0.0004903972148895264</v>
      </c>
      <c r="E43" s="104">
        <v>11.291959762573242</v>
      </c>
      <c r="F43" s="104"/>
      <c r="G43" s="104"/>
      <c r="H43" s="104">
        <v>37.932220458984375</v>
      </c>
      <c r="I43" s="104">
        <v>0</v>
      </c>
      <c r="J43" s="104">
        <v>19.042970657348633</v>
      </c>
      <c r="K43" s="104">
        <v>0.05401837080717087</v>
      </c>
      <c r="L43" s="104">
        <v>0.08578226715326309</v>
      </c>
      <c r="M43" s="104">
        <v>26.303890228271484</v>
      </c>
      <c r="N43" s="104">
        <v>1008.4140014648438</v>
      </c>
      <c r="O43" s="104">
        <v>0</v>
      </c>
      <c r="P43" s="104">
        <v>0.00039660700713284314</v>
      </c>
      <c r="Q43" s="104">
        <v>0</v>
      </c>
      <c r="R43" s="104">
        <v>0</v>
      </c>
      <c r="S43" s="104">
        <v>0</v>
      </c>
      <c r="T43" s="104">
        <v>0</v>
      </c>
      <c r="U43" s="121">
        <v>0</v>
      </c>
      <c r="V43" s="129">
        <v>3.620147708716104E-06</v>
      </c>
      <c r="W43" s="130">
        <v>50</v>
      </c>
      <c r="X43" s="121">
        <v>0</v>
      </c>
      <c r="Y43" s="121">
        <v>5.935329914093018</v>
      </c>
      <c r="Z43" s="121">
        <v>18.299699783325195</v>
      </c>
      <c r="AA43" s="121">
        <v>50</v>
      </c>
      <c r="AB43" s="121">
        <v>0</v>
      </c>
      <c r="AC43" s="121">
        <v>12.335430145263672</v>
      </c>
      <c r="AD43" s="121">
        <v>16.726350784301758</v>
      </c>
      <c r="AE43" s="108"/>
      <c r="AF43" s="108">
        <v>0</v>
      </c>
      <c r="AG43" s="108">
        <v>36</v>
      </c>
      <c r="AH43" s="108">
        <v>0.0003950496902689338</v>
      </c>
      <c r="AI43" s="108">
        <v>31.069150924682617</v>
      </c>
      <c r="AJ43" s="108">
        <v>-0.00032696151174604893</v>
      </c>
      <c r="AK43" s="108"/>
      <c r="AL43" s="109"/>
      <c r="AM43" s="131">
        <v>56</v>
      </c>
      <c r="AN43" s="122">
        <v>62</v>
      </c>
      <c r="AO43" s="108"/>
      <c r="AP43" s="108"/>
      <c r="AQ43" s="108"/>
      <c r="AR43" s="112"/>
    </row>
    <row r="44" spans="2:44" ht="13.5" customHeight="1" x14ac:dyDescent="0.25">
      <c r="B44" s="14">
        <v>0.54166666666666596</v>
      </c>
      <c r="C44" s="104">
        <v>0</v>
      </c>
      <c r="D44" s="104">
        <v>0.000204697425942868</v>
      </c>
      <c r="E44" s="104">
        <v>11.668109893798828</v>
      </c>
      <c r="F44" s="104"/>
      <c r="G44" s="104"/>
      <c r="H44" s="104">
        <v>41.32305908203125</v>
      </c>
      <c r="I44" s="104">
        <v>0</v>
      </c>
      <c r="J44" s="104">
        <v>19.983360290527344</v>
      </c>
      <c r="K44" s="104">
        <v>0.0604926198720932</v>
      </c>
      <c r="L44" s="104">
        <v>0.11049260199069977</v>
      </c>
      <c r="M44" s="104">
        <v>26.765050888061523</v>
      </c>
      <c r="N44" s="104">
        <v>31.6719970703125</v>
      </c>
      <c r="O44" s="104">
        <v>0</v>
      </c>
      <c r="P44" s="104">
        <v>0.00039660700713284314</v>
      </c>
      <c r="Q44" s="104">
        <v>0</v>
      </c>
      <c r="R44" s="104">
        <v>0</v>
      </c>
      <c r="S44" s="104">
        <v>0</v>
      </c>
      <c r="T44" s="104">
        <v>0</v>
      </c>
      <c r="U44" s="121">
        <v>0</v>
      </c>
      <c r="V44" s="129">
        <v>0.00010851001570699736</v>
      </c>
      <c r="W44" s="130">
        <v>50</v>
      </c>
      <c r="X44" s="121">
        <v>0</v>
      </c>
      <c r="Y44" s="121">
        <v>8.978951454162598</v>
      </c>
      <c r="Z44" s="121">
        <v>18.10980987548828</v>
      </c>
      <c r="AA44" s="121">
        <v>50</v>
      </c>
      <c r="AB44" s="121">
        <v>0</v>
      </c>
      <c r="AC44" s="121">
        <v>13.4964599609375</v>
      </c>
      <c r="AD44" s="121">
        <v>17.757160186767578</v>
      </c>
      <c r="AE44" s="108"/>
      <c r="AF44" s="108">
        <v>0</v>
      </c>
      <c r="AG44" s="108">
        <v>36</v>
      </c>
      <c r="AH44" s="108">
        <v>0.0003950496902689338</v>
      </c>
      <c r="AI44" s="108">
        <v>31.130640029907227</v>
      </c>
      <c r="AJ44" s="108">
        <v>-0.00035590934567153454</v>
      </c>
      <c r="AK44" s="108"/>
      <c r="AL44" s="109"/>
      <c r="AM44" s="131">
        <v>56</v>
      </c>
      <c r="AN44" s="122">
        <v>62</v>
      </c>
      <c r="AO44" s="108"/>
      <c r="AP44" s="108"/>
      <c r="AQ44" s="108"/>
      <c r="AR44" s="112"/>
    </row>
    <row r="45" spans="2:44" ht="13.5" customHeight="1" x14ac:dyDescent="0.25">
      <c r="B45" s="14">
        <v>0.58333333333333304</v>
      </c>
      <c r="C45" s="104">
        <v>0</v>
      </c>
      <c r="D45" s="104">
        <v>0.0005026979488320649</v>
      </c>
      <c r="E45" s="104">
        <v>12.000869750976562</v>
      </c>
      <c r="F45" s="104"/>
      <c r="G45" s="104"/>
      <c r="H45" s="104">
        <v>44.64155960083008</v>
      </c>
      <c r="I45" s="104">
        <v>0</v>
      </c>
      <c r="J45" s="104">
        <v>42.263450622558594</v>
      </c>
      <c r="K45" s="104">
        <v>0.4314959943294525</v>
      </c>
      <c r="L45" s="104">
        <v>0.5233290791511536</v>
      </c>
      <c r="M45" s="104">
        <v>45.437278747558594</v>
      </c>
      <c r="N45" s="104">
        <v>-40.48529052734375</v>
      </c>
      <c r="O45" s="104">
        <v>0</v>
      </c>
      <c r="P45" s="104">
        <v>0.00039660700713284314</v>
      </c>
      <c r="Q45" s="104">
        <v>897.3380126953125</v>
      </c>
      <c r="R45" s="104">
        <v>0.040691979229450226</v>
      </c>
      <c r="S45" s="104">
        <v>897.3380126953125</v>
      </c>
      <c r="T45" s="104">
        <v>0.4150835871696472</v>
      </c>
      <c r="U45" s="121">
        <v>0</v>
      </c>
      <c r="V45" s="129">
        <v>0.00017721939366310835</v>
      </c>
      <c r="W45" s="130">
        <v>50</v>
      </c>
      <c r="X45" s="121">
        <v>0</v>
      </c>
      <c r="Y45" s="121">
        <v>9.309896469116211</v>
      </c>
      <c r="Z45" s="121">
        <v>18.218320846557617</v>
      </c>
      <c r="AA45" s="121">
        <v>50</v>
      </c>
      <c r="AB45" s="121">
        <v>0</v>
      </c>
      <c r="AC45" s="121">
        <v>15.717229843139648</v>
      </c>
      <c r="AD45" s="121">
        <v>98.96919250488281</v>
      </c>
      <c r="AE45" s="108"/>
      <c r="AF45" s="108">
        <v>0</v>
      </c>
      <c r="AG45" s="108">
        <v>36</v>
      </c>
      <c r="AH45" s="108">
        <v>0.0003950496902689338</v>
      </c>
      <c r="AI45" s="108">
        <v>31.192129135131836</v>
      </c>
      <c r="AJ45" s="108">
        <v>-0.000532400154042989</v>
      </c>
      <c r="AK45" s="108"/>
      <c r="AL45" s="109"/>
      <c r="AM45" s="131">
        <v>56</v>
      </c>
      <c r="AN45" s="122">
        <v>62</v>
      </c>
      <c r="AO45" s="108"/>
      <c r="AP45" s="108"/>
      <c r="AQ45" s="108"/>
      <c r="AR45" s="112"/>
    </row>
    <row r="46" spans="2:44" ht="13.5" customHeight="1" x14ac:dyDescent="0.25">
      <c r="B46" s="14">
        <v>0.625</v>
      </c>
      <c r="C46" s="104">
        <v>2.238931894302368</v>
      </c>
      <c r="D46" s="104">
        <v>2.118003430950921E-05</v>
      </c>
      <c r="E46" s="104">
        <v>12.311920166015625</v>
      </c>
      <c r="F46" s="104"/>
      <c r="G46" s="104"/>
      <c r="H46" s="104">
        <v>43.086299896240234</v>
      </c>
      <c r="I46" s="104">
        <v>0</v>
      </c>
      <c r="J46" s="104">
        <v>43.619789123535156</v>
      </c>
      <c r="K46" s="104">
        <v>0.36742261052131653</v>
      </c>
      <c r="L46" s="104">
        <v>0.9142261743545532</v>
      </c>
      <c r="M46" s="104">
        <v>44.20753860473633</v>
      </c>
      <c r="N46" s="104">
        <v>6.53729248046875</v>
      </c>
      <c r="O46" s="104">
        <v>0</v>
      </c>
      <c r="P46" s="104">
        <v>0.00039660700713284314</v>
      </c>
      <c r="Q46" s="104">
        <v>0</v>
      </c>
      <c r="R46" s="104">
        <v>0</v>
      </c>
      <c r="S46" s="104">
        <v>0</v>
      </c>
      <c r="T46" s="104">
        <v>0.41126200556755066</v>
      </c>
      <c r="U46" s="121">
        <v>0</v>
      </c>
      <c r="V46" s="129">
        <v>0.00021702003141399473</v>
      </c>
      <c r="W46" s="130">
        <v>50</v>
      </c>
      <c r="X46" s="121">
        <v>0</v>
      </c>
      <c r="Y46" s="121">
        <v>8.892144203186035</v>
      </c>
      <c r="Z46" s="121">
        <v>17.659509658813477</v>
      </c>
      <c r="AA46" s="121">
        <v>50</v>
      </c>
      <c r="AB46" s="121">
        <v>0</v>
      </c>
      <c r="AC46" s="121">
        <v>16.814960479736328</v>
      </c>
      <c r="AD46" s="121">
        <v>80.65863800048828</v>
      </c>
      <c r="AE46" s="108"/>
      <c r="AF46" s="108">
        <v>0</v>
      </c>
      <c r="AG46" s="108">
        <v>36</v>
      </c>
      <c r="AH46" s="108">
        <v>0.0003950496902689338</v>
      </c>
      <c r="AI46" s="108">
        <v>31.224679946899414</v>
      </c>
      <c r="AJ46" s="108">
        <v>-0.0004861106863245368</v>
      </c>
      <c r="AK46" s="108"/>
      <c r="AL46" s="109"/>
      <c r="AM46" s="131">
        <v>56</v>
      </c>
      <c r="AN46" s="122">
        <v>62</v>
      </c>
      <c r="AO46" s="108"/>
      <c r="AP46" s="108"/>
      <c r="AQ46" s="108"/>
      <c r="AR46" s="112"/>
    </row>
    <row r="47" spans="2:44" ht="13.5" customHeight="1" x14ac:dyDescent="0.25">
      <c r="B47" s="14">
        <v>0.66666666666666596</v>
      </c>
      <c r="C47" s="104">
        <v>0</v>
      </c>
      <c r="D47" s="104">
        <v>0.00029405797249637544</v>
      </c>
      <c r="E47" s="104">
        <v>12.666379928588867</v>
      </c>
      <c r="F47" s="104"/>
      <c r="G47" s="104"/>
      <c r="H47" s="104">
        <v>45.33781814575195</v>
      </c>
      <c r="I47" s="104">
        <v>0</v>
      </c>
      <c r="J47" s="104">
        <v>48.94567108154297</v>
      </c>
      <c r="K47" s="104">
        <v>0.4099391996860504</v>
      </c>
      <c r="L47" s="104">
        <v>1.344099998474121</v>
      </c>
      <c r="M47" s="104">
        <v>46.06119918823242</v>
      </c>
      <c r="N47" s="104">
        <v>-1.74298095703125</v>
      </c>
      <c r="O47" s="104">
        <v>0</v>
      </c>
      <c r="P47" s="104">
        <v>0.00039660700713284314</v>
      </c>
      <c r="Q47" s="104">
        <v>0</v>
      </c>
      <c r="R47" s="104">
        <v>0</v>
      </c>
      <c r="S47" s="104">
        <v>0</v>
      </c>
      <c r="T47" s="104">
        <v>0.42261144518852234</v>
      </c>
      <c r="U47" s="121">
        <v>0</v>
      </c>
      <c r="V47" s="129">
        <v>0.00029297065339051187</v>
      </c>
      <c r="W47" s="130">
        <v>50</v>
      </c>
      <c r="X47" s="121">
        <v>0</v>
      </c>
      <c r="Y47" s="121">
        <v>8.696831703186035</v>
      </c>
      <c r="Z47" s="121">
        <v>16.959640502929688</v>
      </c>
      <c r="AA47" s="121">
        <v>50</v>
      </c>
      <c r="AB47" s="121">
        <v>0</v>
      </c>
      <c r="AC47" s="121">
        <v>17.377389907836914</v>
      </c>
      <c r="AD47" s="121">
        <v>66.95964050292969</v>
      </c>
      <c r="AE47" s="108"/>
      <c r="AF47" s="108">
        <v>0</v>
      </c>
      <c r="AG47" s="108">
        <v>36</v>
      </c>
      <c r="AH47" s="108">
        <v>0.0003950496902689338</v>
      </c>
      <c r="AI47" s="108">
        <v>31.246379852294922</v>
      </c>
      <c r="AJ47" s="108">
        <v>-0.00034432983375154436</v>
      </c>
      <c r="AK47" s="108"/>
      <c r="AL47" s="109"/>
      <c r="AM47" s="131">
        <v>56</v>
      </c>
      <c r="AN47" s="122">
        <v>62</v>
      </c>
      <c r="AO47" s="108"/>
      <c r="AP47" s="108"/>
      <c r="AQ47" s="108"/>
      <c r="AR47" s="112"/>
    </row>
    <row r="48" spans="2:44" ht="13.5" customHeight="1" x14ac:dyDescent="0.25">
      <c r="B48" s="14">
        <v>0.70833333333333304</v>
      </c>
      <c r="C48" s="104">
        <v>0</v>
      </c>
      <c r="D48" s="104">
        <v>0.00023991191119421273</v>
      </c>
      <c r="E48" s="104">
        <v>12.97743034362793</v>
      </c>
      <c r="F48" s="104"/>
      <c r="G48" s="104"/>
      <c r="H48" s="104">
        <v>43.41181945800781</v>
      </c>
      <c r="I48" s="104">
        <v>0</v>
      </c>
      <c r="J48" s="104">
        <v>46.25107955932617</v>
      </c>
      <c r="K48" s="104">
        <v>0.3672417998313904</v>
      </c>
      <c r="L48" s="104">
        <v>1.722277045249939</v>
      </c>
      <c r="M48" s="104">
        <v>44.777198791503906</v>
      </c>
      <c r="N48" s="104">
        <v>1.40399169921875</v>
      </c>
      <c r="O48" s="104">
        <v>0</v>
      </c>
      <c r="P48" s="104">
        <v>0.00039660700713284314</v>
      </c>
      <c r="Q48" s="104">
        <v>0</v>
      </c>
      <c r="R48" s="104">
        <v>0</v>
      </c>
      <c r="S48" s="104">
        <v>0</v>
      </c>
      <c r="T48" s="104">
        <v>0.3726489245891571</v>
      </c>
      <c r="U48" s="121">
        <v>0</v>
      </c>
      <c r="V48" s="129">
        <v>0.0002604093460831791</v>
      </c>
      <c r="W48" s="130">
        <v>50</v>
      </c>
      <c r="X48" s="121">
        <v>0</v>
      </c>
      <c r="Y48" s="121">
        <v>8.783638000488281</v>
      </c>
      <c r="Z48" s="121">
        <v>16.438800811767578</v>
      </c>
      <c r="AA48" s="121">
        <v>50</v>
      </c>
      <c r="AB48" s="121">
        <v>0</v>
      </c>
      <c r="AC48" s="121">
        <v>18.52212905883789</v>
      </c>
      <c r="AD48" s="121">
        <v>60.742191314697266</v>
      </c>
      <c r="AE48" s="108"/>
      <c r="AF48" s="108">
        <v>0</v>
      </c>
      <c r="AG48" s="108">
        <v>36</v>
      </c>
      <c r="AH48" s="108">
        <v>0.0003950496902689338</v>
      </c>
      <c r="AI48" s="108">
        <v>31.242769241333008</v>
      </c>
      <c r="AJ48" s="108">
        <v>-0.0003877391864079982</v>
      </c>
      <c r="AK48" s="108"/>
      <c r="AL48" s="109"/>
      <c r="AM48" s="131">
        <v>56</v>
      </c>
      <c r="AN48" s="122">
        <v>62</v>
      </c>
      <c r="AO48" s="108"/>
      <c r="AP48" s="108"/>
      <c r="AQ48" s="108"/>
      <c r="AR48" s="112"/>
    </row>
    <row r="49" spans="2:44" ht="13.5" customHeight="1" x14ac:dyDescent="0.25">
      <c r="B49" s="14">
        <v>0.75</v>
      </c>
      <c r="C49" s="104">
        <v>0</v>
      </c>
      <c r="D49" s="104">
        <v>0.00021447610924951732</v>
      </c>
      <c r="E49" s="104">
        <v>13.216150283813477</v>
      </c>
      <c r="F49" s="104"/>
      <c r="G49" s="104"/>
      <c r="H49" s="104">
        <v>42.74269104003906</v>
      </c>
      <c r="I49" s="104">
        <v>0</v>
      </c>
      <c r="J49" s="104">
        <v>43.954349517822266</v>
      </c>
      <c r="K49" s="104">
        <v>0.4119465947151184</v>
      </c>
      <c r="L49" s="104">
        <v>2.0909340381622314</v>
      </c>
      <c r="M49" s="104">
        <v>43.93627166748047</v>
      </c>
      <c r="N49" s="104">
        <v>0.96197509765625</v>
      </c>
      <c r="O49" s="104">
        <v>0</v>
      </c>
      <c r="P49" s="104">
        <v>0.00039660700713284314</v>
      </c>
      <c r="Q49" s="104">
        <v>0</v>
      </c>
      <c r="R49" s="104">
        <v>0</v>
      </c>
      <c r="S49" s="104">
        <v>0</v>
      </c>
      <c r="T49" s="104">
        <v>0.4122250974178314</v>
      </c>
      <c r="U49" s="121">
        <v>0</v>
      </c>
      <c r="V49" s="129">
        <v>0.0003038206195924431</v>
      </c>
      <c r="W49" s="130">
        <v>50</v>
      </c>
      <c r="X49" s="121">
        <v>0</v>
      </c>
      <c r="Y49" s="121">
        <v>12.033419609069824</v>
      </c>
      <c r="Z49" s="121">
        <v>17.79513931274414</v>
      </c>
      <c r="AA49" s="121">
        <v>50</v>
      </c>
      <c r="AB49" s="121">
        <v>0</v>
      </c>
      <c r="AC49" s="121">
        <v>20.732059478759766</v>
      </c>
      <c r="AD49" s="121">
        <v>59.716800689697266</v>
      </c>
      <c r="AE49" s="108"/>
      <c r="AF49" s="108">
        <v>0</v>
      </c>
      <c r="AG49" s="108">
        <v>36</v>
      </c>
      <c r="AH49" s="108">
        <v>0.0003950496902689338</v>
      </c>
      <c r="AI49" s="108">
        <v>31.246379852294922</v>
      </c>
      <c r="AJ49" s="108">
        <v>-0.0003327503218315542</v>
      </c>
      <c r="AK49" s="108"/>
      <c r="AL49" s="109"/>
      <c r="AM49" s="131">
        <v>56</v>
      </c>
      <c r="AN49" s="122">
        <v>62</v>
      </c>
      <c r="AO49" s="108"/>
      <c r="AP49" s="108"/>
      <c r="AQ49" s="108"/>
      <c r="AR49" s="112"/>
    </row>
    <row r="50" spans="2:44" ht="13.5" customHeight="1" x14ac:dyDescent="0.25">
      <c r="B50" s="14">
        <v>0.79166666666666696</v>
      </c>
      <c r="C50" s="104">
        <v>1.3783999681472778</v>
      </c>
      <c r="D50" s="104">
        <v>0.00023012494784779847</v>
      </c>
      <c r="E50" s="104">
        <v>13.42593002319336</v>
      </c>
      <c r="F50" s="104"/>
      <c r="G50" s="104"/>
      <c r="H50" s="104">
        <v>42.57992935180664</v>
      </c>
      <c r="I50" s="104">
        <v>0</v>
      </c>
      <c r="J50" s="104">
        <v>43.5655403137207</v>
      </c>
      <c r="K50" s="104">
        <v>0.39888960123062134</v>
      </c>
      <c r="L50" s="104">
        <v>2.455976963043213</v>
      </c>
      <c r="M50" s="104">
        <v>44.21657943725586</v>
      </c>
      <c r="N50" s="104">
        <v>1.65301513671875</v>
      </c>
      <c r="O50" s="104">
        <v>0</v>
      </c>
      <c r="P50" s="104">
        <v>0.00039660700713284314</v>
      </c>
      <c r="Q50" s="104">
        <v>0</v>
      </c>
      <c r="R50" s="104">
        <v>0</v>
      </c>
      <c r="S50" s="104">
        <v>0</v>
      </c>
      <c r="T50" s="104">
        <v>0.3793330192565918</v>
      </c>
      <c r="U50" s="121">
        <v>0</v>
      </c>
      <c r="V50" s="129">
        <v>0.000368929875548929</v>
      </c>
      <c r="W50" s="130">
        <v>50</v>
      </c>
      <c r="X50" s="121">
        <v>0</v>
      </c>
      <c r="Y50" s="121">
        <v>13.88346004486084</v>
      </c>
      <c r="Z50" s="121">
        <v>19.54210090637207</v>
      </c>
      <c r="AA50" s="121">
        <v>50</v>
      </c>
      <c r="AB50" s="121">
        <v>0</v>
      </c>
      <c r="AC50" s="121">
        <v>24.325450897216797</v>
      </c>
      <c r="AD50" s="121">
        <v>60.031471252441406</v>
      </c>
      <c r="AE50" s="108"/>
      <c r="AF50" s="108">
        <v>0</v>
      </c>
      <c r="AG50" s="108">
        <v>36</v>
      </c>
      <c r="AH50" s="108">
        <v>0.0003950496902689338</v>
      </c>
      <c r="AI50" s="108">
        <v>31.23914909362793</v>
      </c>
      <c r="AJ50" s="108">
        <v>-0.0005208301590755582</v>
      </c>
      <c r="AK50" s="108"/>
      <c r="AL50" s="109"/>
      <c r="AM50" s="131">
        <v>56</v>
      </c>
      <c r="AN50" s="122">
        <v>62</v>
      </c>
      <c r="AO50" s="108"/>
      <c r="AP50" s="108"/>
      <c r="AQ50" s="108"/>
      <c r="AR50" s="112"/>
    </row>
    <row r="51" spans="2:44" ht="13.5" customHeight="1" x14ac:dyDescent="0.25">
      <c r="B51" s="14">
        <v>0.83333333333333304</v>
      </c>
      <c r="C51" s="113">
        <v>0</v>
      </c>
      <c r="D51" s="113">
        <v>0.0001652159699006006</v>
      </c>
      <c r="E51" s="113">
        <v>13.505499839782715</v>
      </c>
      <c r="F51" s="113"/>
      <c r="G51" s="113"/>
      <c r="H51" s="113">
        <v>43.05916976928711</v>
      </c>
      <c r="I51" s="113">
        <v>0</v>
      </c>
      <c r="J51" s="113">
        <v>43.62882995605469</v>
      </c>
      <c r="K51" s="113">
        <v>0.3953632116317749</v>
      </c>
      <c r="L51" s="113">
        <v>2.83215594291687</v>
      </c>
      <c r="M51" s="113">
        <v>44.13520050048828</v>
      </c>
      <c r="N51" s="113">
        <v>8.17303466796875</v>
      </c>
      <c r="O51" s="113">
        <v>0</v>
      </c>
      <c r="P51" s="113">
        <v>0.00039660700713284314</v>
      </c>
      <c r="Q51" s="113">
        <v>897.3380126953125</v>
      </c>
      <c r="R51" s="113">
        <v>0.03535202145576477</v>
      </c>
      <c r="S51" s="113">
        <v>897.3380126953125</v>
      </c>
      <c r="T51" s="113">
        <v>0.3736569881439209</v>
      </c>
      <c r="U51" s="124">
        <v>0</v>
      </c>
      <c r="V51" s="132">
        <v>0.0003001995210070163</v>
      </c>
      <c r="W51" s="133">
        <v>50</v>
      </c>
      <c r="X51" s="124">
        <v>0</v>
      </c>
      <c r="Y51" s="124">
        <v>13.655599594116211</v>
      </c>
      <c r="Z51" s="124">
        <v>20.4589900970459</v>
      </c>
      <c r="AA51" s="124">
        <v>50</v>
      </c>
      <c r="AB51" s="124">
        <v>0</v>
      </c>
      <c r="AC51" s="124">
        <v>30.02206039428711</v>
      </c>
      <c r="AD51" s="124">
        <v>64.95768737792969</v>
      </c>
      <c r="AE51" s="117"/>
      <c r="AF51" s="117">
        <v>0</v>
      </c>
      <c r="AG51" s="117">
        <v>36</v>
      </c>
      <c r="AH51" s="117">
        <v>0.0003950496902689338</v>
      </c>
      <c r="AI51" s="117">
        <v>31.228300094604492</v>
      </c>
      <c r="AJ51" s="117">
        <v>-0.00039352034218609333</v>
      </c>
      <c r="AK51" s="117"/>
      <c r="AL51" s="118"/>
      <c r="AM51" s="134">
        <v>56</v>
      </c>
      <c r="AN51" s="125">
        <v>62</v>
      </c>
      <c r="AO51" s="117"/>
      <c r="AP51" s="117"/>
      <c r="AQ51" s="117"/>
      <c r="AR51" s="128"/>
    </row>
    <row r="52" spans="2:44" ht="13.5" customHeight="1" x14ac:dyDescent="0.25">
      <c r="B52" s="221" t="s">
        <v>459</v>
      </c>
      <c r="C52" s="222"/>
      <c r="D52" s="9" t="s">
        <v>19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19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226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4">
        <v>17.1477108001709</v>
      </c>
      <c r="D6" s="104">
        <v>17.63237953186035</v>
      </c>
      <c r="E6" s="104">
        <v>423.41009521484375</v>
      </c>
      <c r="F6" s="104"/>
      <c r="G6" s="104"/>
      <c r="H6" s="105">
        <v>414.5693054199219</v>
      </c>
      <c r="I6" s="106">
        <v>23.97641944885254</v>
      </c>
      <c r="J6" s="104"/>
      <c r="K6" s="104">
        <v>39.59056091308594</v>
      </c>
      <c r="L6" s="104">
        <v>1.395671010017395</v>
      </c>
      <c r="M6" s="104">
        <v>102.8917007446289</v>
      </c>
      <c r="N6" s="104">
        <v>110.38770294189453</v>
      </c>
      <c r="O6" s="104">
        <v>23.904680252075195</v>
      </c>
      <c r="P6" s="104"/>
      <c r="Q6" s="104">
        <v>0.000412432593293488</v>
      </c>
      <c r="R6" s="104"/>
      <c r="S6" s="104">
        <v>142.7010955810547</v>
      </c>
      <c r="T6" s="104">
        <v>1.4539029598236084</v>
      </c>
      <c r="U6" s="104">
        <v>0.3567729890346527</v>
      </c>
      <c r="V6" s="104"/>
      <c r="W6" s="104">
        <v>92.95427703857422</v>
      </c>
      <c r="X6" s="104">
        <v>0.5318418741226196</v>
      </c>
      <c r="Y6" s="104" t="s">
        <v>4</v>
      </c>
      <c r="Z6" s="104">
        <v>0.8914352059364319</v>
      </c>
      <c r="AA6" s="104">
        <v>148.343505859375</v>
      </c>
      <c r="AB6" s="104">
        <v>165.37179565429688</v>
      </c>
      <c r="AC6" s="104">
        <v>0.5936415195465088</v>
      </c>
      <c r="AD6" s="104">
        <v>158.92649841308594</v>
      </c>
      <c r="AE6" s="107">
        <v>11</v>
      </c>
      <c r="AF6" s="107">
        <v>12</v>
      </c>
      <c r="AG6" s="107">
        <v>13</v>
      </c>
      <c r="AH6" s="107">
        <v>14</v>
      </c>
      <c r="AI6" s="107">
        <v>15</v>
      </c>
      <c r="AJ6" s="107">
        <v>16</v>
      </c>
      <c r="AK6" s="107">
        <v>17</v>
      </c>
      <c r="AL6" s="104">
        <v>0</v>
      </c>
      <c r="AM6" s="108"/>
      <c r="AN6" s="109">
        <v>35.47454071044922</v>
      </c>
      <c r="AO6" s="110"/>
      <c r="AP6" s="111"/>
      <c r="AQ6" s="111">
        <v>0</v>
      </c>
      <c r="AR6" s="112"/>
    </row>
    <row r="7" spans="2:47" ht="13.5" customHeight="1" x14ac:dyDescent="0.25">
      <c r="B7" s="14">
        <v>0.875</v>
      </c>
      <c r="C7" s="104">
        <v>18.475109100341797</v>
      </c>
      <c r="D7" s="104">
        <v>17.80599021911621</v>
      </c>
      <c r="E7" s="104">
        <v>423.1265869140625</v>
      </c>
      <c r="F7" s="104">
        <v>0.10551416128873825</v>
      </c>
      <c r="G7" s="104">
        <v>0</v>
      </c>
      <c r="H7" s="105">
        <v>415.0622863769531</v>
      </c>
      <c r="I7" s="106">
        <v>0</v>
      </c>
      <c r="J7" s="104">
        <v>0.002798492321744561</v>
      </c>
      <c r="K7" s="104">
        <v>34.69329071044922</v>
      </c>
      <c r="L7" s="104">
        <v>1.193034052848816</v>
      </c>
      <c r="M7" s="104">
        <v>31.46702003479004</v>
      </c>
      <c r="N7" s="104">
        <v>115.28500366210938</v>
      </c>
      <c r="O7" s="104">
        <v>0</v>
      </c>
      <c r="P7" s="104">
        <v>3.2447052001953125</v>
      </c>
      <c r="Q7" s="104">
        <v>0.4931477904319763</v>
      </c>
      <c r="R7" s="104">
        <v>2.3810806274414062</v>
      </c>
      <c r="S7" s="104">
        <v>128.41439819335938</v>
      </c>
      <c r="T7" s="104">
        <v>0.0072157122194767</v>
      </c>
      <c r="U7" s="104">
        <v>0</v>
      </c>
      <c r="V7" s="104">
        <v>0.16082105040550232</v>
      </c>
      <c r="W7" s="104">
        <v>31.684030532836914</v>
      </c>
      <c r="X7" s="104">
        <v>-1</v>
      </c>
      <c r="Y7" s="104" t="s">
        <v>82</v>
      </c>
      <c r="Z7" s="104">
        <v>-0.005150462966412306</v>
      </c>
      <c r="AA7" s="104">
        <v>75.3689193725586</v>
      </c>
      <c r="AB7" s="104">
        <v>87.68807983398438</v>
      </c>
      <c r="AC7" s="104">
        <v>-0.006365741137415171</v>
      </c>
      <c r="AD7" s="104">
        <v>74.03790283203125</v>
      </c>
      <c r="AE7" s="107">
        <v>11</v>
      </c>
      <c r="AF7" s="107">
        <v>12</v>
      </c>
      <c r="AG7" s="107">
        <v>13</v>
      </c>
      <c r="AH7" s="107">
        <v>14</v>
      </c>
      <c r="AI7" s="107">
        <v>15</v>
      </c>
      <c r="AJ7" s="107">
        <v>16</v>
      </c>
      <c r="AK7" s="107">
        <v>17</v>
      </c>
      <c r="AL7" s="104">
        <v>0</v>
      </c>
      <c r="AM7" s="108">
        <v>0.02257220447063446</v>
      </c>
      <c r="AN7" s="109">
        <v>27.81032943725586</v>
      </c>
      <c r="AO7" s="110"/>
      <c r="AP7" s="111"/>
      <c r="AQ7" s="111">
        <v>0</v>
      </c>
      <c r="AR7" s="112">
        <v>9.246182162314653E-05</v>
      </c>
    </row>
    <row r="8" spans="2:47" ht="13.5" customHeight="1" x14ac:dyDescent="0.25">
      <c r="B8" s="41" t="s">
        <v>271</v>
      </c>
      <c r="C8" s="104">
        <v>16.503910064697266</v>
      </c>
      <c r="D8" s="104">
        <v>17.89822006225586</v>
      </c>
      <c r="E8" s="104">
        <v>423.08221435546875</v>
      </c>
      <c r="F8" s="104">
        <v>0</v>
      </c>
      <c r="G8" s="104">
        <v>0</v>
      </c>
      <c r="H8" s="105">
        <v>414.7705078125</v>
      </c>
      <c r="I8" s="106">
        <v>21.216720581054688</v>
      </c>
      <c r="J8" s="104">
        <v>-0.25097012519836426</v>
      </c>
      <c r="K8" s="104">
        <v>39.510990142822266</v>
      </c>
      <c r="L8" s="104">
        <v>1.3962130546569824</v>
      </c>
      <c r="M8" s="104">
        <v>92.57270050048828</v>
      </c>
      <c r="N8" s="104">
        <v>86.82002258300781</v>
      </c>
      <c r="O8" s="104">
        <v>23.78680992126465</v>
      </c>
      <c r="P8" s="104">
        <v>-245.6713104248047</v>
      </c>
      <c r="Q8" s="104">
        <v>2.558443069458008</v>
      </c>
      <c r="R8" s="104">
        <v>1.8340091705322266</v>
      </c>
      <c r="S8" s="104">
        <v>142.4333953857422</v>
      </c>
      <c r="T8" s="104">
        <v>1.457321047782898</v>
      </c>
      <c r="U8" s="104">
        <v>0.3528144061565399</v>
      </c>
      <c r="V8" s="104">
        <v>-3.7779152393341064</v>
      </c>
      <c r="W8" s="104">
        <v>93.23639678955078</v>
      </c>
      <c r="X8" s="104">
        <v>0.5267096161842346</v>
      </c>
      <c r="Y8" s="104" t="s">
        <v>82</v>
      </c>
      <c r="Z8" s="104">
        <v>0.8202546834945679</v>
      </c>
      <c r="AA8" s="104">
        <v>147.80819702148438</v>
      </c>
      <c r="AB8" s="104">
        <v>161.66090393066406</v>
      </c>
      <c r="AC8" s="104">
        <v>0.5260055065155029</v>
      </c>
      <c r="AD8" s="104">
        <v>155.31680297851562</v>
      </c>
      <c r="AE8" s="107">
        <v>11</v>
      </c>
      <c r="AF8" s="107">
        <v>12</v>
      </c>
      <c r="AG8" s="107">
        <v>13</v>
      </c>
      <c r="AH8" s="107">
        <v>14</v>
      </c>
      <c r="AI8" s="107">
        <v>15</v>
      </c>
      <c r="AJ8" s="107">
        <v>16</v>
      </c>
      <c r="AK8" s="107">
        <v>17</v>
      </c>
      <c r="AL8" s="104">
        <v>2.915220022201538</v>
      </c>
      <c r="AM8" s="108">
        <v>0.0016439971514046192</v>
      </c>
      <c r="AN8" s="109">
        <v>27.705440521240234</v>
      </c>
      <c r="AO8" s="110"/>
      <c r="AP8" s="111"/>
      <c r="AQ8" s="111">
        <v>0</v>
      </c>
      <c r="AR8" s="112">
        <v>2.7142048566020094E-05</v>
      </c>
    </row>
    <row r="9" spans="2:47" ht="13.5" customHeight="1" x14ac:dyDescent="0.25">
      <c r="B9" s="14">
        <v>0.95833333333333337</v>
      </c>
      <c r="C9" s="104">
        <v>15.053529739379883</v>
      </c>
      <c r="D9" s="104">
        <v>17.285160064697266</v>
      </c>
      <c r="E9" s="104">
        <v>427.3009033203125</v>
      </c>
      <c r="F9" s="104">
        <v>0.30489063262939453</v>
      </c>
      <c r="G9" s="104">
        <v>0</v>
      </c>
      <c r="H9" s="105">
        <v>417.0491027832031</v>
      </c>
      <c r="I9" s="106">
        <v>22.58390998840332</v>
      </c>
      <c r="J9" s="104">
        <v>0.02307971566915512</v>
      </c>
      <c r="K9" s="104">
        <v>39.453128814697266</v>
      </c>
      <c r="L9" s="104">
        <v>1.3986550569534302</v>
      </c>
      <c r="M9" s="104">
        <v>103.20099639892578</v>
      </c>
      <c r="N9" s="104">
        <v>109.44730377197266</v>
      </c>
      <c r="O9" s="104">
        <v>24.01750946044922</v>
      </c>
      <c r="P9" s="104">
        <v>23.969871520996094</v>
      </c>
      <c r="Q9" s="104">
        <v>2.379120111465454</v>
      </c>
      <c r="R9" s="104">
        <v>2.663358688354492</v>
      </c>
      <c r="S9" s="104">
        <v>142.54190063476562</v>
      </c>
      <c r="T9" s="104">
        <v>1.4575740098953247</v>
      </c>
      <c r="U9" s="104">
        <v>0.3621791899204254</v>
      </c>
      <c r="V9" s="104">
        <v>0.3591490089893341</v>
      </c>
      <c r="W9" s="104">
        <v>92.98322296142578</v>
      </c>
      <c r="X9" s="104">
        <v>0.5300241708755493</v>
      </c>
      <c r="Y9" s="104" t="s">
        <v>82</v>
      </c>
      <c r="Z9" s="104">
        <v>0.8512731790542603</v>
      </c>
      <c r="AA9" s="104">
        <v>150.98379516601562</v>
      </c>
      <c r="AB9" s="104">
        <v>165.7841033935547</v>
      </c>
      <c r="AC9" s="104">
        <v>0.5694805979728699</v>
      </c>
      <c r="AD9" s="104">
        <v>159.07839965820312</v>
      </c>
      <c r="AE9" s="107">
        <v>11</v>
      </c>
      <c r="AF9" s="107">
        <v>12</v>
      </c>
      <c r="AG9" s="107">
        <v>13</v>
      </c>
      <c r="AH9" s="107">
        <v>14</v>
      </c>
      <c r="AI9" s="107">
        <v>15</v>
      </c>
      <c r="AJ9" s="107">
        <v>16</v>
      </c>
      <c r="AK9" s="107">
        <v>17</v>
      </c>
      <c r="AL9" s="104">
        <v>0</v>
      </c>
      <c r="AM9" s="108">
        <v>0.0014411010779440403</v>
      </c>
      <c r="AN9" s="109">
        <v>27.709060668945312</v>
      </c>
      <c r="AO9" s="110"/>
      <c r="AP9" s="111"/>
      <c r="AQ9" s="111">
        <v>0.5553386211395264</v>
      </c>
      <c r="AR9" s="112">
        <v>0.00033001494011841714</v>
      </c>
    </row>
    <row r="10" spans="2:47" ht="13.5" customHeight="1" x14ac:dyDescent="0.25">
      <c r="B10" s="41" t="s">
        <v>272</v>
      </c>
      <c r="C10" s="104">
        <v>14.684610366821289</v>
      </c>
      <c r="D10" s="104">
        <v>16.81315040588379</v>
      </c>
      <c r="E10" s="104">
        <v>421.9493103027344</v>
      </c>
      <c r="F10" s="104">
        <v>0.3568041920661926</v>
      </c>
      <c r="G10" s="104">
        <v>0</v>
      </c>
      <c r="H10" s="105">
        <v>418.9360046386719</v>
      </c>
      <c r="I10" s="106">
        <v>24.38150978088379</v>
      </c>
      <c r="J10" s="104">
        <v>0.023461518809199333</v>
      </c>
      <c r="K10" s="104">
        <v>39.57609939575195</v>
      </c>
      <c r="L10" s="104">
        <v>1.3965749740600586</v>
      </c>
      <c r="M10" s="104">
        <v>102.88089752197266</v>
      </c>
      <c r="N10" s="104">
        <v>114.84380340576172</v>
      </c>
      <c r="O10" s="104">
        <v>24.078819274902344</v>
      </c>
      <c r="P10" s="104">
        <v>24.02663803100586</v>
      </c>
      <c r="Q10" s="104">
        <v>4.569883822114207E-05</v>
      </c>
      <c r="R10" s="104">
        <v>1.8311920166015625</v>
      </c>
      <c r="S10" s="104">
        <v>142.78790283203125</v>
      </c>
      <c r="T10" s="104">
        <v>1.45352303981781</v>
      </c>
      <c r="U10" s="104">
        <v>0.3598611056804657</v>
      </c>
      <c r="V10" s="104">
        <v>0.3586583137512207</v>
      </c>
      <c r="W10" s="104">
        <v>92.60706329345703</v>
      </c>
      <c r="X10" s="104">
        <v>0.5270692706108093</v>
      </c>
      <c r="Y10" s="104" t="s">
        <v>82</v>
      </c>
      <c r="Z10" s="104">
        <v>0.8778356909751892</v>
      </c>
      <c r="AA10" s="104">
        <v>149.15359497070312</v>
      </c>
      <c r="AB10" s="104">
        <v>160.70599365234375</v>
      </c>
      <c r="AC10" s="104">
        <v>0.40957748889923096</v>
      </c>
      <c r="AD10" s="104">
        <v>151.47569274902344</v>
      </c>
      <c r="AE10" s="107">
        <v>11</v>
      </c>
      <c r="AF10" s="107">
        <v>12</v>
      </c>
      <c r="AG10" s="107">
        <v>13</v>
      </c>
      <c r="AH10" s="107">
        <v>14</v>
      </c>
      <c r="AI10" s="107">
        <v>15</v>
      </c>
      <c r="AJ10" s="107">
        <v>16</v>
      </c>
      <c r="AK10" s="107">
        <v>17</v>
      </c>
      <c r="AL10" s="104">
        <v>0</v>
      </c>
      <c r="AM10" s="108">
        <v>0.001055999775417149</v>
      </c>
      <c r="AN10" s="109">
        <v>61.2883415222168</v>
      </c>
      <c r="AO10" s="110"/>
      <c r="AP10" s="111"/>
      <c r="AQ10" s="111">
        <v>0.2550637125968933</v>
      </c>
      <c r="AR10" s="112">
        <v>0.0003207831468898803</v>
      </c>
    </row>
    <row r="11" spans="2:47" ht="13.5" customHeight="1" x14ac:dyDescent="0.25">
      <c r="B11" s="14">
        <v>4.1666666666666664E-2</v>
      </c>
      <c r="C11" s="104">
        <v>14.800350189208984</v>
      </c>
      <c r="D11" s="104">
        <v>17.230899810791016</v>
      </c>
      <c r="E11" s="104">
        <v>413.0071105957031</v>
      </c>
      <c r="F11" s="104">
        <v>0.11418993771076202</v>
      </c>
      <c r="G11" s="104">
        <v>0</v>
      </c>
      <c r="H11" s="105">
        <v>417.841796875</v>
      </c>
      <c r="I11" s="106">
        <v>0</v>
      </c>
      <c r="J11" s="104">
        <v>0.007483901921659708</v>
      </c>
      <c r="K11" s="104">
        <v>27.358219146728516</v>
      </c>
      <c r="L11" s="104">
        <v>0.6892904043197632</v>
      </c>
      <c r="M11" s="104">
        <v>32.63888931274414</v>
      </c>
      <c r="N11" s="104">
        <v>65.74797058105469</v>
      </c>
      <c r="O11" s="104">
        <v>0</v>
      </c>
      <c r="P11" s="104">
        <v>10.18667221069336</v>
      </c>
      <c r="Q11" s="104">
        <v>1.0305129904963906E-07</v>
      </c>
      <c r="R11" s="104">
        <v>0.3540687561035156</v>
      </c>
      <c r="S11" s="104">
        <v>132.89930725097656</v>
      </c>
      <c r="T11" s="104">
        <v>0.25381579995155334</v>
      </c>
      <c r="U11" s="104">
        <v>0</v>
      </c>
      <c r="V11" s="104">
        <v>0.1600944846868515</v>
      </c>
      <c r="W11" s="104">
        <v>44.92911148071289</v>
      </c>
      <c r="X11" s="104">
        <v>1.680778980255127</v>
      </c>
      <c r="Y11" s="104" t="s">
        <v>82</v>
      </c>
      <c r="Z11" s="104">
        <v>-0.0121527798473835</v>
      </c>
      <c r="AA11" s="104">
        <v>85.50347137451172</v>
      </c>
      <c r="AB11" s="104">
        <v>102.71990203857422</v>
      </c>
      <c r="AC11" s="104">
        <v>-0.004955151118338108</v>
      </c>
      <c r="AD11" s="104">
        <v>81.31510162353516</v>
      </c>
      <c r="AE11" s="107">
        <v>11</v>
      </c>
      <c r="AF11" s="107">
        <v>12</v>
      </c>
      <c r="AG11" s="107">
        <v>13</v>
      </c>
      <c r="AH11" s="107">
        <v>14</v>
      </c>
      <c r="AI11" s="107">
        <v>15</v>
      </c>
      <c r="AJ11" s="107">
        <v>16</v>
      </c>
      <c r="AK11" s="107">
        <v>17</v>
      </c>
      <c r="AL11" s="104">
        <v>0</v>
      </c>
      <c r="AM11" s="108">
        <v>0.003912994172424078</v>
      </c>
      <c r="AN11" s="109">
        <v>60.23582077026367</v>
      </c>
      <c r="AO11" s="110"/>
      <c r="AP11" s="111"/>
      <c r="AQ11" s="111">
        <v>0</v>
      </c>
      <c r="AR11" s="112">
        <v>0.00018240881036035717</v>
      </c>
    </row>
    <row r="12" spans="2:47" ht="13.5" customHeight="1" x14ac:dyDescent="0.25">
      <c r="B12" s="41" t="s">
        <v>273</v>
      </c>
      <c r="C12" s="104">
        <v>15.266929626464844</v>
      </c>
      <c r="D12" s="104">
        <v>17.52387046813965</v>
      </c>
      <c r="E12" s="104">
        <v>413.25030517578125</v>
      </c>
      <c r="F12" s="104">
        <v>0</v>
      </c>
      <c r="G12" s="104">
        <v>0</v>
      </c>
      <c r="H12" s="105">
        <v>417.79058837890625</v>
      </c>
      <c r="I12" s="106">
        <v>0</v>
      </c>
      <c r="J12" s="104">
        <v>0</v>
      </c>
      <c r="K12" s="104">
        <v>19.99420928955078</v>
      </c>
      <c r="L12" s="104">
        <v>0.6607168912887573</v>
      </c>
      <c r="M12" s="104">
        <v>15.196399688720703</v>
      </c>
      <c r="N12" s="104">
        <v>41.8836784362793</v>
      </c>
      <c r="O12" s="104">
        <v>0</v>
      </c>
      <c r="P12" s="104">
        <v>0</v>
      </c>
      <c r="Q12" s="104">
        <v>0</v>
      </c>
      <c r="R12" s="104">
        <v>2.288818359375E-05</v>
      </c>
      <c r="S12" s="104">
        <v>41.594329833984375</v>
      </c>
      <c r="T12" s="104">
        <v>0.2320421040058136</v>
      </c>
      <c r="U12" s="104">
        <v>0</v>
      </c>
      <c r="V12" s="104">
        <v>0</v>
      </c>
      <c r="W12" s="104">
        <v>28.83390998840332</v>
      </c>
      <c r="X12" s="104">
        <v>1.680778980255127</v>
      </c>
      <c r="Y12" s="104" t="s">
        <v>82</v>
      </c>
      <c r="Z12" s="104">
        <v>-0.01186343003064394</v>
      </c>
      <c r="AA12" s="104">
        <v>47.53327941894531</v>
      </c>
      <c r="AB12" s="104">
        <v>85.68431854248047</v>
      </c>
      <c r="AC12" s="104">
        <v>-0.006438078824430704</v>
      </c>
      <c r="AD12" s="104">
        <v>46.281829833984375</v>
      </c>
      <c r="AE12" s="107">
        <v>11</v>
      </c>
      <c r="AF12" s="107">
        <v>12</v>
      </c>
      <c r="AG12" s="107">
        <v>13</v>
      </c>
      <c r="AH12" s="107">
        <v>14</v>
      </c>
      <c r="AI12" s="107">
        <v>15</v>
      </c>
      <c r="AJ12" s="107">
        <v>16</v>
      </c>
      <c r="AK12" s="107">
        <v>17</v>
      </c>
      <c r="AL12" s="104">
        <v>0</v>
      </c>
      <c r="AM12" s="108">
        <v>0</v>
      </c>
      <c r="AN12" s="109">
        <v>60.38772964477539</v>
      </c>
      <c r="AO12" s="110"/>
      <c r="AP12" s="111"/>
      <c r="AQ12" s="111">
        <v>0</v>
      </c>
      <c r="AR12" s="112">
        <v>0</v>
      </c>
    </row>
    <row r="13" spans="2:47" ht="13.5" customHeight="1" x14ac:dyDescent="0.25">
      <c r="B13" s="14">
        <v>0.125</v>
      </c>
      <c r="C13" s="104">
        <v>15.049909591674805</v>
      </c>
      <c r="D13" s="104">
        <v>17.66493034362793</v>
      </c>
      <c r="E13" s="104">
        <v>413.5577087402344</v>
      </c>
      <c r="F13" s="104">
        <v>0</v>
      </c>
      <c r="G13" s="104">
        <v>0</v>
      </c>
      <c r="H13" s="105">
        <v>417.7945861816406</v>
      </c>
      <c r="I13" s="106">
        <v>0</v>
      </c>
      <c r="J13" s="104">
        <v>0</v>
      </c>
      <c r="K13" s="104">
        <v>16.370080947875977</v>
      </c>
      <c r="L13" s="104">
        <v>0.6151440143585205</v>
      </c>
      <c r="M13" s="104">
        <v>12.603079795837402</v>
      </c>
      <c r="N13" s="104">
        <v>30.750869750976562</v>
      </c>
      <c r="O13" s="104">
        <v>0</v>
      </c>
      <c r="P13" s="104">
        <v>0</v>
      </c>
      <c r="Q13" s="104">
        <v>0.00010151560127269477</v>
      </c>
      <c r="R13" s="104">
        <v>6.866455078125E-05</v>
      </c>
      <c r="S13" s="104">
        <v>18.540220260620117</v>
      </c>
      <c r="T13" s="104">
        <v>0.20950880646705627</v>
      </c>
      <c r="U13" s="104">
        <v>0</v>
      </c>
      <c r="V13" s="104">
        <v>0</v>
      </c>
      <c r="W13" s="104">
        <v>18.583620071411133</v>
      </c>
      <c r="X13" s="104">
        <v>1.680778980255127</v>
      </c>
      <c r="Y13" s="104" t="s">
        <v>82</v>
      </c>
      <c r="Z13" s="104">
        <v>-0.01168982032686472</v>
      </c>
      <c r="AA13" s="104">
        <v>29.882810592651367</v>
      </c>
      <c r="AB13" s="104">
        <v>72.08477783203125</v>
      </c>
      <c r="AC13" s="104">
        <v>-0.006401909980922937</v>
      </c>
      <c r="AD13" s="104">
        <v>28.797740936279297</v>
      </c>
      <c r="AE13" s="107">
        <v>11</v>
      </c>
      <c r="AF13" s="107">
        <v>12</v>
      </c>
      <c r="AG13" s="107">
        <v>13</v>
      </c>
      <c r="AH13" s="107">
        <v>14</v>
      </c>
      <c r="AI13" s="107">
        <v>15</v>
      </c>
      <c r="AJ13" s="107">
        <v>16</v>
      </c>
      <c r="AK13" s="107">
        <v>17</v>
      </c>
      <c r="AL13" s="104">
        <v>0</v>
      </c>
      <c r="AM13" s="108">
        <v>0</v>
      </c>
      <c r="AN13" s="109">
        <v>60.48176956176758</v>
      </c>
      <c r="AO13" s="110"/>
      <c r="AP13" s="111"/>
      <c r="AQ13" s="111">
        <v>0</v>
      </c>
      <c r="AR13" s="112">
        <v>0</v>
      </c>
    </row>
    <row r="14" spans="2:47" ht="13.5" customHeight="1" x14ac:dyDescent="0.25">
      <c r="B14" s="14">
        <v>0.16666666666666666</v>
      </c>
      <c r="C14" s="104">
        <v>14.973959922790527</v>
      </c>
      <c r="D14" s="104">
        <v>17.778860092163086</v>
      </c>
      <c r="E14" s="104">
        <v>414.345703125</v>
      </c>
      <c r="F14" s="104">
        <v>0</v>
      </c>
      <c r="G14" s="104">
        <v>0</v>
      </c>
      <c r="H14" s="105">
        <v>417.7945861816406</v>
      </c>
      <c r="I14" s="106">
        <v>0</v>
      </c>
      <c r="J14" s="104">
        <v>0</v>
      </c>
      <c r="K14" s="104">
        <v>13.925060272216797</v>
      </c>
      <c r="L14" s="104">
        <v>0.5895544290542603</v>
      </c>
      <c r="M14" s="104">
        <v>11.480030059814453</v>
      </c>
      <c r="N14" s="104">
        <v>22.345199584960938</v>
      </c>
      <c r="O14" s="104">
        <v>0</v>
      </c>
      <c r="P14" s="104">
        <v>0</v>
      </c>
      <c r="Q14" s="104">
        <v>6.379050319083035E-05</v>
      </c>
      <c r="R14" s="104">
        <v>0.000110626220703125</v>
      </c>
      <c r="S14" s="104">
        <v>11.480030059814453</v>
      </c>
      <c r="T14" s="104">
        <v>0.20558449625968933</v>
      </c>
      <c r="U14" s="104">
        <v>0</v>
      </c>
      <c r="V14" s="104">
        <v>0</v>
      </c>
      <c r="W14" s="104">
        <v>13.577839851379395</v>
      </c>
      <c r="X14" s="104">
        <v>1.680778980255127</v>
      </c>
      <c r="Y14" s="104" t="s">
        <v>82</v>
      </c>
      <c r="Z14" s="104">
        <v>-0.011516200378537178</v>
      </c>
      <c r="AA14" s="104">
        <v>20.355899810791016</v>
      </c>
      <c r="AB14" s="104">
        <v>60.70602035522461</v>
      </c>
      <c r="AC14" s="104">
        <v>-0.006401909980922937</v>
      </c>
      <c r="AD14" s="104">
        <v>19.646989822387695</v>
      </c>
      <c r="AE14" s="107">
        <v>11</v>
      </c>
      <c r="AF14" s="107">
        <v>12</v>
      </c>
      <c r="AG14" s="107">
        <v>13</v>
      </c>
      <c r="AH14" s="107">
        <v>14</v>
      </c>
      <c r="AI14" s="107">
        <v>15</v>
      </c>
      <c r="AJ14" s="107">
        <v>16</v>
      </c>
      <c r="AK14" s="107">
        <v>17</v>
      </c>
      <c r="AL14" s="104">
        <v>0</v>
      </c>
      <c r="AM14" s="108">
        <v>0</v>
      </c>
      <c r="AN14" s="109">
        <v>60.56496047973633</v>
      </c>
      <c r="AO14" s="110"/>
      <c r="AP14" s="111"/>
      <c r="AQ14" s="111">
        <v>0</v>
      </c>
      <c r="AR14" s="112">
        <v>0</v>
      </c>
    </row>
    <row r="15" spans="2:47" ht="13.5" customHeight="1" x14ac:dyDescent="0.25">
      <c r="B15" s="14">
        <v>0.20833333333333334</v>
      </c>
      <c r="C15" s="104">
        <v>15.060759544372559</v>
      </c>
      <c r="D15" s="104">
        <v>17.811420440673828</v>
      </c>
      <c r="E15" s="104">
        <v>414.6285095214844</v>
      </c>
      <c r="F15" s="104">
        <v>0</v>
      </c>
      <c r="G15" s="104">
        <v>0</v>
      </c>
      <c r="H15" s="105">
        <v>417.8017883300781</v>
      </c>
      <c r="I15" s="106">
        <v>0</v>
      </c>
      <c r="J15" s="104">
        <v>0</v>
      </c>
      <c r="K15" s="104">
        <v>12.521699905395508</v>
      </c>
      <c r="L15" s="104">
        <v>0.5594437718391418</v>
      </c>
      <c r="M15" s="104">
        <v>10.617400169372559</v>
      </c>
      <c r="N15" s="104">
        <v>16.370080947875977</v>
      </c>
      <c r="O15" s="104">
        <v>0</v>
      </c>
      <c r="P15" s="104">
        <v>0</v>
      </c>
      <c r="Q15" s="104">
        <v>5.3613359085602497E-08</v>
      </c>
      <c r="R15" s="104">
        <v>0.000110626220703125</v>
      </c>
      <c r="S15" s="104">
        <v>9.48350715637207</v>
      </c>
      <c r="T15" s="104">
        <v>0.19317850470542908</v>
      </c>
      <c r="U15" s="104">
        <v>0</v>
      </c>
      <c r="V15" s="104">
        <v>0</v>
      </c>
      <c r="W15" s="104">
        <v>11.103879928588867</v>
      </c>
      <c r="X15" s="104">
        <v>1.680778980255127</v>
      </c>
      <c r="Y15" s="104" t="s">
        <v>82</v>
      </c>
      <c r="Z15" s="104">
        <v>-0.011168980039656162</v>
      </c>
      <c r="AA15" s="104">
        <v>15.66117000579834</v>
      </c>
      <c r="AB15" s="104">
        <v>51.30931091308594</v>
      </c>
      <c r="AC15" s="104">
        <v>-0.006365741137415171</v>
      </c>
      <c r="AD15" s="104">
        <v>14.713540077209473</v>
      </c>
      <c r="AE15" s="107">
        <v>11</v>
      </c>
      <c r="AF15" s="107">
        <v>12</v>
      </c>
      <c r="AG15" s="107">
        <v>13</v>
      </c>
      <c r="AH15" s="107">
        <v>14</v>
      </c>
      <c r="AI15" s="107">
        <v>15</v>
      </c>
      <c r="AJ15" s="107">
        <v>16</v>
      </c>
      <c r="AK15" s="107">
        <v>17</v>
      </c>
      <c r="AL15" s="104">
        <v>0</v>
      </c>
      <c r="AM15" s="108">
        <v>0</v>
      </c>
      <c r="AN15" s="109">
        <v>60.601131439208984</v>
      </c>
      <c r="AO15" s="110"/>
      <c r="AP15" s="111"/>
      <c r="AQ15" s="111">
        <v>0</v>
      </c>
      <c r="AR15" s="112">
        <v>0</v>
      </c>
    </row>
    <row r="16" spans="2:47" ht="13.5" customHeight="1" x14ac:dyDescent="0.25">
      <c r="B16" s="14">
        <v>0.25</v>
      </c>
      <c r="C16" s="104">
        <v>14.865449905395508</v>
      </c>
      <c r="D16" s="104">
        <v>17.849390029907227</v>
      </c>
      <c r="E16" s="104">
        <v>414.70770263671875</v>
      </c>
      <c r="F16" s="104">
        <v>0</v>
      </c>
      <c r="G16" s="104">
        <v>0</v>
      </c>
      <c r="H16" s="105">
        <v>417.9075012207031</v>
      </c>
      <c r="I16" s="106">
        <v>0</v>
      </c>
      <c r="J16" s="104">
        <v>0</v>
      </c>
      <c r="K16" s="104">
        <v>11.668109893798828</v>
      </c>
      <c r="L16" s="104">
        <v>0.540907084941864</v>
      </c>
      <c r="M16" s="104">
        <v>10.026040077209473</v>
      </c>
      <c r="N16" s="104">
        <v>12.825519561767578</v>
      </c>
      <c r="O16" s="104">
        <v>0</v>
      </c>
      <c r="P16" s="104">
        <v>0</v>
      </c>
      <c r="Q16" s="104">
        <v>1.205643039756252E-18</v>
      </c>
      <c r="R16" s="104">
        <v>6.866455078125E-05</v>
      </c>
      <c r="S16" s="104">
        <v>8.839698791503906</v>
      </c>
      <c r="T16" s="104">
        <v>0.19621670246124268</v>
      </c>
      <c r="U16" s="104">
        <v>0</v>
      </c>
      <c r="V16" s="104">
        <v>0</v>
      </c>
      <c r="W16" s="104">
        <v>10.054980278015137</v>
      </c>
      <c r="X16" s="104">
        <v>1.680778980255127</v>
      </c>
      <c r="Y16" s="104" t="s">
        <v>82</v>
      </c>
      <c r="Z16" s="104">
        <v>-0.01030092965811491</v>
      </c>
      <c r="AA16" s="104">
        <v>13.078700065612793</v>
      </c>
      <c r="AB16" s="104">
        <v>43.80064010620117</v>
      </c>
      <c r="AC16" s="104">
        <v>-0.006365741137415171</v>
      </c>
      <c r="AD16" s="104">
        <v>12.282990455627441</v>
      </c>
      <c r="AE16" s="107">
        <v>11</v>
      </c>
      <c r="AF16" s="107">
        <v>12</v>
      </c>
      <c r="AG16" s="107">
        <v>13</v>
      </c>
      <c r="AH16" s="107">
        <v>14</v>
      </c>
      <c r="AI16" s="107">
        <v>15</v>
      </c>
      <c r="AJ16" s="107">
        <v>16</v>
      </c>
      <c r="AK16" s="107">
        <v>17</v>
      </c>
      <c r="AL16" s="104">
        <v>0</v>
      </c>
      <c r="AM16" s="108">
        <v>0</v>
      </c>
      <c r="AN16" s="109">
        <v>60.608360290527344</v>
      </c>
      <c r="AO16" s="110"/>
      <c r="AP16" s="111"/>
      <c r="AQ16" s="111">
        <v>0</v>
      </c>
      <c r="AR16" s="112">
        <v>0</v>
      </c>
    </row>
    <row r="17" spans="2:44" ht="13.5" customHeight="1" x14ac:dyDescent="0.25">
      <c r="B17" s="14">
        <v>0.29166666666666669</v>
      </c>
      <c r="C17" s="104">
        <v>14.71716022491455</v>
      </c>
      <c r="D17" s="104">
        <v>17.892799377441406</v>
      </c>
      <c r="E17" s="104">
        <v>414.909912109375</v>
      </c>
      <c r="F17" s="104">
        <v>0</v>
      </c>
      <c r="G17" s="104">
        <v>0</v>
      </c>
      <c r="H17" s="105">
        <v>417.7611999511719</v>
      </c>
      <c r="I17" s="106">
        <v>0</v>
      </c>
      <c r="J17" s="104">
        <v>0</v>
      </c>
      <c r="K17" s="104">
        <v>10.74219036102295</v>
      </c>
      <c r="L17" s="104">
        <v>0.5217375755310059</v>
      </c>
      <c r="M17" s="104">
        <v>9.163412094116211</v>
      </c>
      <c r="N17" s="104">
        <v>10.366029739379883</v>
      </c>
      <c r="O17" s="104">
        <v>0</v>
      </c>
      <c r="P17" s="104">
        <v>0.000720977783203125</v>
      </c>
      <c r="Q17" s="104">
        <v>1.397942005210151E-11</v>
      </c>
      <c r="R17" s="104">
        <v>6.103515625E-05</v>
      </c>
      <c r="S17" s="104">
        <v>8.203125</v>
      </c>
      <c r="T17" s="104">
        <v>0.20381219685077667</v>
      </c>
      <c r="U17" s="104">
        <v>0</v>
      </c>
      <c r="V17" s="104">
        <v>0</v>
      </c>
      <c r="W17" s="104">
        <v>9.215856552124023</v>
      </c>
      <c r="X17" s="104">
        <v>1.680778980255127</v>
      </c>
      <c r="Y17" s="104" t="s">
        <v>82</v>
      </c>
      <c r="Z17" s="104">
        <v>-0.009027778171002865</v>
      </c>
      <c r="AA17" s="104">
        <v>11.34259033203125</v>
      </c>
      <c r="AB17" s="104">
        <v>37.60126876831055</v>
      </c>
      <c r="AC17" s="104">
        <v>-0.006257234141230583</v>
      </c>
      <c r="AD17" s="104">
        <v>10.86515998840332</v>
      </c>
      <c r="AE17" s="107">
        <v>11</v>
      </c>
      <c r="AF17" s="107">
        <v>12</v>
      </c>
      <c r="AG17" s="107">
        <v>13</v>
      </c>
      <c r="AH17" s="107">
        <v>14</v>
      </c>
      <c r="AI17" s="107">
        <v>15</v>
      </c>
      <c r="AJ17" s="107">
        <v>16</v>
      </c>
      <c r="AK17" s="107">
        <v>17</v>
      </c>
      <c r="AL17" s="104">
        <v>0</v>
      </c>
      <c r="AM17" s="108">
        <v>0</v>
      </c>
      <c r="AN17" s="109">
        <v>60.61920928955078</v>
      </c>
      <c r="AO17" s="110"/>
      <c r="AP17" s="111"/>
      <c r="AQ17" s="111">
        <v>0</v>
      </c>
      <c r="AR17" s="112">
        <v>0</v>
      </c>
    </row>
    <row r="18" spans="2:44" ht="13.5" customHeight="1" x14ac:dyDescent="0.25">
      <c r="B18" s="42">
        <v>0.33333333333333331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4">
        <v>-82.8125</v>
      </c>
      <c r="D22" s="104">
        <v>-83.94097137451172</v>
      </c>
      <c r="E22" s="104">
        <v>45.185909271240234</v>
      </c>
      <c r="F22" s="104">
        <v>0.08391203731298447</v>
      </c>
      <c r="G22" s="104"/>
      <c r="H22" s="104">
        <v>1</v>
      </c>
      <c r="I22" s="104">
        <v>2</v>
      </c>
      <c r="J22" s="104">
        <v>3</v>
      </c>
      <c r="K22" s="104">
        <v>4</v>
      </c>
      <c r="L22" s="105">
        <v>5</v>
      </c>
      <c r="M22" s="120">
        <v>69.6072006225586</v>
      </c>
      <c r="N22" s="104">
        <v>44.87485885620117</v>
      </c>
      <c r="O22" s="104">
        <v>50</v>
      </c>
      <c r="P22" s="104">
        <v>0</v>
      </c>
      <c r="Q22" s="104">
        <v>2.5</v>
      </c>
      <c r="R22" s="104">
        <v>21.035879135131836</v>
      </c>
      <c r="S22" s="121">
        <v>93.64148712158203</v>
      </c>
      <c r="T22" s="121">
        <v>50</v>
      </c>
      <c r="U22" s="121">
        <v>76.55255126953125</v>
      </c>
      <c r="V22" s="121">
        <v>13.655599594116211</v>
      </c>
      <c r="W22" s="121">
        <v>20.4589900970459</v>
      </c>
      <c r="X22" s="121">
        <v>0</v>
      </c>
      <c r="Y22" s="121">
        <v>0</v>
      </c>
      <c r="Z22" s="121">
        <v>30.02206039428711</v>
      </c>
      <c r="AA22" s="121">
        <v>64.95768737792969</v>
      </c>
      <c r="AB22" s="121"/>
      <c r="AC22" s="108"/>
      <c r="AD22" s="108">
        <v>0</v>
      </c>
      <c r="AE22" s="108"/>
      <c r="AF22" s="108"/>
      <c r="AG22" s="108">
        <v>1.493778944015503</v>
      </c>
      <c r="AH22" s="108">
        <v>26</v>
      </c>
      <c r="AI22" s="122">
        <v>41</v>
      </c>
      <c r="AJ22" s="122">
        <v>42</v>
      </c>
      <c r="AK22" s="122">
        <v>43</v>
      </c>
      <c r="AL22" s="122">
        <v>44</v>
      </c>
      <c r="AM22" s="122">
        <v>45</v>
      </c>
      <c r="AN22" s="108">
        <v>73.07581329345703</v>
      </c>
      <c r="AO22" s="109">
        <v>55.132381439208984</v>
      </c>
      <c r="AP22" s="110">
        <v>26.511859893798828</v>
      </c>
      <c r="AQ22" s="111">
        <v>37.33000946044922</v>
      </c>
      <c r="AR22" s="112">
        <v>-88.99739837646484</v>
      </c>
    </row>
    <row r="23" spans="2:44" ht="13.5" customHeight="1" x14ac:dyDescent="0.25">
      <c r="B23" s="14">
        <v>0.875</v>
      </c>
      <c r="C23" s="104">
        <v>0.07233428955078125</v>
      </c>
      <c r="D23" s="104">
        <v>-0.20978550612926483</v>
      </c>
      <c r="E23" s="104">
        <v>57.57017135620117</v>
      </c>
      <c r="F23" s="104">
        <v>0</v>
      </c>
      <c r="G23" s="104">
        <v>2.7680694984155707E-05</v>
      </c>
      <c r="H23" s="104">
        <v>1</v>
      </c>
      <c r="I23" s="104">
        <v>2</v>
      </c>
      <c r="J23" s="104">
        <v>3</v>
      </c>
      <c r="K23" s="104">
        <v>4</v>
      </c>
      <c r="L23" s="105">
        <v>5</v>
      </c>
      <c r="M23" s="120">
        <v>69.86762237548828</v>
      </c>
      <c r="N23" s="104">
        <v>44.455299377441406</v>
      </c>
      <c r="O23" s="104">
        <v>50</v>
      </c>
      <c r="P23" s="104">
        <v>0</v>
      </c>
      <c r="Q23" s="104">
        <v>2.5</v>
      </c>
      <c r="R23" s="104">
        <v>19.83868980407715</v>
      </c>
      <c r="S23" s="121">
        <v>93.04107666015625</v>
      </c>
      <c r="T23" s="121">
        <v>50</v>
      </c>
      <c r="U23" s="121">
        <v>73.54203033447266</v>
      </c>
      <c r="V23" s="121">
        <v>12.771269798278809</v>
      </c>
      <c r="W23" s="121">
        <v>19.325090408325195</v>
      </c>
      <c r="X23" s="121">
        <v>0</v>
      </c>
      <c r="Y23" s="121">
        <v>0</v>
      </c>
      <c r="Z23" s="121">
        <v>29.607929229736328</v>
      </c>
      <c r="AA23" s="121">
        <v>60.76932144165039</v>
      </c>
      <c r="AB23" s="121"/>
      <c r="AC23" s="108"/>
      <c r="AD23" s="108">
        <v>0</v>
      </c>
      <c r="AE23" s="108">
        <v>0</v>
      </c>
      <c r="AF23" s="108"/>
      <c r="AG23" s="108">
        <v>1.6890909671783447</v>
      </c>
      <c r="AH23" s="108">
        <v>26</v>
      </c>
      <c r="AI23" s="122">
        <v>41</v>
      </c>
      <c r="AJ23" s="122">
        <v>42</v>
      </c>
      <c r="AK23" s="122">
        <v>43</v>
      </c>
      <c r="AL23" s="122">
        <v>44</v>
      </c>
      <c r="AM23" s="122">
        <v>45</v>
      </c>
      <c r="AN23" s="108">
        <v>70.08101654052734</v>
      </c>
      <c r="AO23" s="109">
        <v>64.1420669555664</v>
      </c>
      <c r="AP23" s="110">
        <v>26.2496395111084</v>
      </c>
      <c r="AQ23" s="111">
        <v>37.21788024902344</v>
      </c>
      <c r="AR23" s="112">
        <v>-89.01909637451172</v>
      </c>
    </row>
    <row r="24" spans="2:44" ht="13.5" customHeight="1" x14ac:dyDescent="0.25">
      <c r="B24" s="41" t="s">
        <v>271</v>
      </c>
      <c r="C24" s="104">
        <v>-82.75463104248047</v>
      </c>
      <c r="D24" s="104">
        <v>-83.99884033203125</v>
      </c>
      <c r="E24" s="104">
        <v>68.5763931274414</v>
      </c>
      <c r="F24" s="104">
        <v>0.9827113151550293</v>
      </c>
      <c r="G24" s="104">
        <v>1.4829993233433925E-05</v>
      </c>
      <c r="H24" s="104">
        <v>1</v>
      </c>
      <c r="I24" s="104">
        <v>2</v>
      </c>
      <c r="J24" s="104">
        <v>3</v>
      </c>
      <c r="K24" s="104">
        <v>4</v>
      </c>
      <c r="L24" s="105">
        <v>5</v>
      </c>
      <c r="M24" s="120">
        <v>69.06105041503906</v>
      </c>
      <c r="N24" s="104">
        <v>44.03211975097656</v>
      </c>
      <c r="O24" s="104">
        <v>50</v>
      </c>
      <c r="P24" s="104">
        <v>0</v>
      </c>
      <c r="Q24" s="104">
        <v>2.5</v>
      </c>
      <c r="R24" s="104">
        <v>18.334060668945312</v>
      </c>
      <c r="S24" s="121">
        <v>93.30512237548828</v>
      </c>
      <c r="T24" s="121">
        <v>45</v>
      </c>
      <c r="U24" s="121">
        <v>65.57002258300781</v>
      </c>
      <c r="V24" s="121">
        <v>11.702469825744629</v>
      </c>
      <c r="W24" s="121">
        <v>17.82769012451172</v>
      </c>
      <c r="X24" s="121">
        <v>0</v>
      </c>
      <c r="Y24" s="121">
        <v>0</v>
      </c>
      <c r="Z24" s="121">
        <v>28.02372932434082</v>
      </c>
      <c r="AA24" s="121">
        <v>57.66059112548828</v>
      </c>
      <c r="AB24" s="121"/>
      <c r="AC24" s="108"/>
      <c r="AD24" s="108">
        <v>0</v>
      </c>
      <c r="AE24" s="108">
        <v>0</v>
      </c>
      <c r="AF24" s="108"/>
      <c r="AG24" s="108">
        <v>1.6927080154418945</v>
      </c>
      <c r="AH24" s="108">
        <v>26</v>
      </c>
      <c r="AI24" s="122">
        <v>41</v>
      </c>
      <c r="AJ24" s="122">
        <v>42</v>
      </c>
      <c r="AK24" s="122">
        <v>43</v>
      </c>
      <c r="AL24" s="122">
        <v>44</v>
      </c>
      <c r="AM24" s="122">
        <v>45</v>
      </c>
      <c r="AN24" s="108">
        <v>66.63773345947266</v>
      </c>
      <c r="AO24" s="109">
        <v>62.160011291503906</v>
      </c>
      <c r="AP24" s="110">
        <v>26.2406005859375</v>
      </c>
      <c r="AQ24" s="111">
        <v>36.69343185424805</v>
      </c>
      <c r="AR24" s="112">
        <v>-89.00824737548828</v>
      </c>
    </row>
    <row r="25" spans="2:44" ht="13.5" customHeight="1" x14ac:dyDescent="0.25">
      <c r="B25" s="14">
        <v>0.95833333333333337</v>
      </c>
      <c r="C25" s="104">
        <v>-82.63165283203125</v>
      </c>
      <c r="D25" s="104">
        <v>-84.00607299804688</v>
      </c>
      <c r="E25" s="104">
        <v>45.05207824707031</v>
      </c>
      <c r="F25" s="104">
        <v>0.09751156717538834</v>
      </c>
      <c r="G25" s="104">
        <v>0.00010372495307819918</v>
      </c>
      <c r="H25" s="104">
        <v>1</v>
      </c>
      <c r="I25" s="104">
        <v>2</v>
      </c>
      <c r="J25" s="104">
        <v>3</v>
      </c>
      <c r="K25" s="104">
        <v>4</v>
      </c>
      <c r="L25" s="105">
        <v>5</v>
      </c>
      <c r="M25" s="120">
        <v>72.64177703857422</v>
      </c>
      <c r="N25" s="104">
        <v>44.831451416015625</v>
      </c>
      <c r="O25" s="104">
        <v>50</v>
      </c>
      <c r="P25" s="104">
        <v>0</v>
      </c>
      <c r="Q25" s="104">
        <v>2.5</v>
      </c>
      <c r="R25" s="104">
        <v>18.438949584960938</v>
      </c>
      <c r="S25" s="121">
        <v>93.00853729248047</v>
      </c>
      <c r="T25" s="121">
        <v>45</v>
      </c>
      <c r="U25" s="121">
        <v>62.70526123046875</v>
      </c>
      <c r="V25" s="121">
        <v>11.881509780883789</v>
      </c>
      <c r="W25" s="121">
        <v>17.811420440673828</v>
      </c>
      <c r="X25" s="121">
        <v>0</v>
      </c>
      <c r="Y25" s="121">
        <v>0</v>
      </c>
      <c r="Z25" s="121">
        <v>25.833690643310547</v>
      </c>
      <c r="AA25" s="121">
        <v>54.43251037597656</v>
      </c>
      <c r="AB25" s="121"/>
      <c r="AC25" s="108"/>
      <c r="AD25" s="108">
        <v>0</v>
      </c>
      <c r="AE25" s="108">
        <v>0</v>
      </c>
      <c r="AF25" s="108"/>
      <c r="AG25" s="108">
        <v>1.1067709922790527</v>
      </c>
      <c r="AH25" s="108">
        <v>26</v>
      </c>
      <c r="AI25" s="122">
        <v>41</v>
      </c>
      <c r="AJ25" s="122">
        <v>42</v>
      </c>
      <c r="AK25" s="122">
        <v>43</v>
      </c>
      <c r="AL25" s="122">
        <v>44</v>
      </c>
      <c r="AM25" s="122">
        <v>45</v>
      </c>
      <c r="AN25" s="108">
        <v>63.064239501953125</v>
      </c>
      <c r="AO25" s="109">
        <v>60.30815887451172</v>
      </c>
      <c r="AP25" s="110">
        <v>25.788480758666992</v>
      </c>
      <c r="AQ25" s="111">
        <v>36.360679626464844</v>
      </c>
      <c r="AR25" s="112">
        <v>-89.01909637451172</v>
      </c>
    </row>
    <row r="26" spans="2:44" ht="13.5" customHeight="1" x14ac:dyDescent="0.25">
      <c r="B26" s="41" t="s">
        <v>272</v>
      </c>
      <c r="C26" s="104">
        <v>-82.6171875</v>
      </c>
      <c r="D26" s="104">
        <v>-84.01331329345703</v>
      </c>
      <c r="E26" s="104">
        <v>44.73017883300781</v>
      </c>
      <c r="F26" s="104">
        <v>0.0883246511220932</v>
      </c>
      <c r="G26" s="104">
        <v>9.487604984315112E-05</v>
      </c>
      <c r="H26" s="104">
        <v>1</v>
      </c>
      <c r="I26" s="104">
        <v>2</v>
      </c>
      <c r="J26" s="104">
        <v>3</v>
      </c>
      <c r="K26" s="104">
        <v>4</v>
      </c>
      <c r="L26" s="105">
        <v>5</v>
      </c>
      <c r="M26" s="120">
        <v>70.0990982055664</v>
      </c>
      <c r="N26" s="104">
        <v>45.446319580078125</v>
      </c>
      <c r="O26" s="104">
        <v>50</v>
      </c>
      <c r="P26" s="104">
        <v>0</v>
      </c>
      <c r="Q26" s="104">
        <v>2.5</v>
      </c>
      <c r="R26" s="104">
        <v>19.37933921813965</v>
      </c>
      <c r="S26" s="121">
        <v>93.62702178955078</v>
      </c>
      <c r="T26" s="121">
        <v>45</v>
      </c>
      <c r="U26" s="121">
        <v>59.07244873046875</v>
      </c>
      <c r="V26" s="121">
        <v>11.322699546813965</v>
      </c>
      <c r="W26" s="121">
        <v>18.728300094604492</v>
      </c>
      <c r="X26" s="121">
        <v>0</v>
      </c>
      <c r="Y26" s="121">
        <v>0</v>
      </c>
      <c r="Z26" s="121">
        <v>23.730470657348633</v>
      </c>
      <c r="AA26" s="121">
        <v>57.4598503112793</v>
      </c>
      <c r="AB26" s="121"/>
      <c r="AC26" s="108"/>
      <c r="AD26" s="108">
        <v>0</v>
      </c>
      <c r="AE26" s="108">
        <v>0</v>
      </c>
      <c r="AF26" s="108"/>
      <c r="AG26" s="108">
        <v>0.5714699029922485</v>
      </c>
      <c r="AH26" s="108">
        <v>26</v>
      </c>
      <c r="AI26" s="122">
        <v>41</v>
      </c>
      <c r="AJ26" s="122">
        <v>42</v>
      </c>
      <c r="AK26" s="122">
        <v>43</v>
      </c>
      <c r="AL26" s="122">
        <v>44</v>
      </c>
      <c r="AM26" s="122">
        <v>45</v>
      </c>
      <c r="AN26" s="108">
        <v>66.6304931640625</v>
      </c>
      <c r="AO26" s="109">
        <v>58.083770751953125</v>
      </c>
      <c r="AP26" s="110">
        <v>25.969329833984375</v>
      </c>
      <c r="AQ26" s="111">
        <v>36.389610290527344</v>
      </c>
      <c r="AR26" s="112">
        <v>-88.98654174804688</v>
      </c>
    </row>
    <row r="27" spans="2:44" ht="13.5" customHeight="1" x14ac:dyDescent="0.25">
      <c r="B27" s="14">
        <v>4.1666666666666664E-2</v>
      </c>
      <c r="C27" s="104">
        <v>0.07233428955078125</v>
      </c>
      <c r="D27" s="104">
        <v>-0.23148350417613983</v>
      </c>
      <c r="E27" s="104">
        <v>54.155818939208984</v>
      </c>
      <c r="F27" s="104">
        <v>0</v>
      </c>
      <c r="G27" s="104">
        <v>3.729605668922886E-05</v>
      </c>
      <c r="H27" s="104">
        <v>1</v>
      </c>
      <c r="I27" s="104">
        <v>2</v>
      </c>
      <c r="J27" s="104">
        <v>3</v>
      </c>
      <c r="K27" s="104">
        <v>4</v>
      </c>
      <c r="L27" s="105">
        <v>5</v>
      </c>
      <c r="M27" s="120">
        <v>66.9415512084961</v>
      </c>
      <c r="N27" s="104">
        <v>45.36314010620117</v>
      </c>
      <c r="O27" s="104">
        <v>50</v>
      </c>
      <c r="P27" s="104">
        <v>0</v>
      </c>
      <c r="Q27" s="104">
        <v>2.5</v>
      </c>
      <c r="R27" s="104">
        <v>19.37571907043457</v>
      </c>
      <c r="S27" s="121">
        <v>93.66319274902344</v>
      </c>
      <c r="T27" s="121">
        <v>45</v>
      </c>
      <c r="U27" s="121">
        <v>52.658958435058594</v>
      </c>
      <c r="V27" s="121">
        <v>10.59570026397705</v>
      </c>
      <c r="W27" s="121">
        <v>18.728300094604492</v>
      </c>
      <c r="X27" s="121">
        <v>0</v>
      </c>
      <c r="Y27" s="121">
        <v>0</v>
      </c>
      <c r="Z27" s="121">
        <v>29.7562198638916</v>
      </c>
      <c r="AA27" s="121">
        <v>62.8526496887207</v>
      </c>
      <c r="AB27" s="121"/>
      <c r="AC27" s="108"/>
      <c r="AD27" s="108">
        <v>0</v>
      </c>
      <c r="AE27" s="108">
        <v>0</v>
      </c>
      <c r="AF27" s="108"/>
      <c r="AG27" s="108">
        <v>34.54861068725586</v>
      </c>
      <c r="AH27" s="108">
        <v>26</v>
      </c>
      <c r="AI27" s="122">
        <v>41</v>
      </c>
      <c r="AJ27" s="122">
        <v>42</v>
      </c>
      <c r="AK27" s="122">
        <v>43</v>
      </c>
      <c r="AL27" s="122">
        <v>44</v>
      </c>
      <c r="AM27" s="122">
        <v>45</v>
      </c>
      <c r="AN27" s="108">
        <v>73.48090362548828</v>
      </c>
      <c r="AO27" s="109">
        <v>66.2868881225586</v>
      </c>
      <c r="AP27" s="110">
        <v>25.788480758666992</v>
      </c>
      <c r="AQ27" s="111">
        <v>36.42216110229492</v>
      </c>
      <c r="AR27" s="112">
        <v>-88.98654174804688</v>
      </c>
    </row>
    <row r="28" spans="2:44" ht="13.5" customHeight="1" x14ac:dyDescent="0.25">
      <c r="B28" s="41" t="s">
        <v>273</v>
      </c>
      <c r="C28" s="104">
        <v>-0.1808471977710724</v>
      </c>
      <c r="D28" s="104">
        <v>-0.2025451958179474</v>
      </c>
      <c r="E28" s="104">
        <v>59.39670181274414</v>
      </c>
      <c r="F28" s="104">
        <v>0</v>
      </c>
      <c r="G28" s="104">
        <v>3.039836826701503E-07</v>
      </c>
      <c r="H28" s="104">
        <v>1</v>
      </c>
      <c r="I28" s="104">
        <v>2</v>
      </c>
      <c r="J28" s="104">
        <v>3</v>
      </c>
      <c r="K28" s="104">
        <v>4</v>
      </c>
      <c r="L28" s="105">
        <v>5</v>
      </c>
      <c r="M28" s="120">
        <v>67.28153991699219</v>
      </c>
      <c r="N28" s="104">
        <v>44.62166976928711</v>
      </c>
      <c r="O28" s="104">
        <v>50</v>
      </c>
      <c r="P28" s="104">
        <v>0</v>
      </c>
      <c r="Q28" s="104">
        <v>2.5</v>
      </c>
      <c r="R28" s="104">
        <v>19.37933921813965</v>
      </c>
      <c r="S28" s="121">
        <v>92.22367095947266</v>
      </c>
      <c r="T28" s="121">
        <v>45</v>
      </c>
      <c r="U28" s="121">
        <v>53.449440002441406</v>
      </c>
      <c r="V28" s="121">
        <v>11.24131965637207</v>
      </c>
      <c r="W28" s="121">
        <v>18.75</v>
      </c>
      <c r="X28" s="121">
        <v>0</v>
      </c>
      <c r="Y28" s="121">
        <v>0</v>
      </c>
      <c r="Z28" s="121">
        <v>28.483070373535156</v>
      </c>
      <c r="AA28" s="121">
        <v>58.83246994018555</v>
      </c>
      <c r="AB28" s="121"/>
      <c r="AC28" s="108"/>
      <c r="AD28" s="108">
        <v>0</v>
      </c>
      <c r="AE28" s="108">
        <v>0</v>
      </c>
      <c r="AF28" s="108"/>
      <c r="AG28" s="108">
        <v>0.9259259104728699</v>
      </c>
      <c r="AH28" s="108">
        <v>26</v>
      </c>
      <c r="AI28" s="122">
        <v>41</v>
      </c>
      <c r="AJ28" s="122">
        <v>42</v>
      </c>
      <c r="AK28" s="122">
        <v>43</v>
      </c>
      <c r="AL28" s="122">
        <v>44</v>
      </c>
      <c r="AM28" s="122">
        <v>45</v>
      </c>
      <c r="AN28" s="108">
        <v>69.48784637451172</v>
      </c>
      <c r="AO28" s="109">
        <v>64.81842803955078</v>
      </c>
      <c r="AP28" s="110">
        <v>25.788480758666992</v>
      </c>
      <c r="AQ28" s="111">
        <v>36.25217056274414</v>
      </c>
      <c r="AR28" s="112">
        <v>-88.97569274902344</v>
      </c>
    </row>
    <row r="29" spans="2:44" ht="13.5" customHeight="1" x14ac:dyDescent="0.25">
      <c r="B29" s="14">
        <v>0.125</v>
      </c>
      <c r="C29" s="104">
        <v>-0.2965851128101349</v>
      </c>
      <c r="D29" s="104">
        <v>-0.21701809763908386</v>
      </c>
      <c r="E29" s="104">
        <v>61.765769958496094</v>
      </c>
      <c r="F29" s="104">
        <v>0</v>
      </c>
      <c r="G29" s="104">
        <v>3.2997130006151565E-07</v>
      </c>
      <c r="H29" s="104">
        <v>1</v>
      </c>
      <c r="I29" s="104">
        <v>2</v>
      </c>
      <c r="J29" s="104">
        <v>3</v>
      </c>
      <c r="K29" s="104">
        <v>4</v>
      </c>
      <c r="L29" s="105">
        <v>5</v>
      </c>
      <c r="M29" s="120">
        <v>67.35025787353516</v>
      </c>
      <c r="N29" s="104">
        <v>43.77170181274414</v>
      </c>
      <c r="O29" s="104">
        <v>50</v>
      </c>
      <c r="P29" s="104">
        <v>0</v>
      </c>
      <c r="Q29" s="104">
        <v>2.5</v>
      </c>
      <c r="R29" s="104">
        <v>18.952550888061523</v>
      </c>
      <c r="S29" s="121">
        <v>92.56365966796875</v>
      </c>
      <c r="T29" s="121">
        <v>45</v>
      </c>
      <c r="U29" s="121">
        <v>53.51110076904297</v>
      </c>
      <c r="V29" s="121">
        <v>10.986330032348633</v>
      </c>
      <c r="W29" s="121">
        <v>18.218320846557617</v>
      </c>
      <c r="X29" s="121">
        <v>0</v>
      </c>
      <c r="Y29" s="121">
        <v>0</v>
      </c>
      <c r="Z29" s="121">
        <v>26.42144012451172</v>
      </c>
      <c r="AA29" s="121">
        <v>55.636940002441406</v>
      </c>
      <c r="AB29" s="121"/>
      <c r="AC29" s="108"/>
      <c r="AD29" s="108">
        <v>0</v>
      </c>
      <c r="AE29" s="108">
        <v>0</v>
      </c>
      <c r="AF29" s="108"/>
      <c r="AG29" s="108">
        <v>1.1393229961395264</v>
      </c>
      <c r="AH29" s="108">
        <v>26</v>
      </c>
      <c r="AI29" s="122">
        <v>41</v>
      </c>
      <c r="AJ29" s="122">
        <v>42</v>
      </c>
      <c r="AK29" s="122">
        <v>43</v>
      </c>
      <c r="AL29" s="122">
        <v>44</v>
      </c>
      <c r="AM29" s="122">
        <v>45</v>
      </c>
      <c r="AN29" s="108">
        <v>66.05902862548828</v>
      </c>
      <c r="AO29" s="109">
        <v>62.93764114379883</v>
      </c>
      <c r="AP29" s="110">
        <v>25.815610885620117</v>
      </c>
      <c r="AQ29" s="111">
        <v>36.22684860229492</v>
      </c>
      <c r="AR29" s="112">
        <v>-88.97569274902344</v>
      </c>
    </row>
    <row r="30" spans="2:44" ht="13.5" customHeight="1" x14ac:dyDescent="0.25">
      <c r="B30" s="14">
        <v>0.16666666666666666</v>
      </c>
      <c r="C30" s="104">
        <v>-0.368927001953125</v>
      </c>
      <c r="D30" s="104">
        <v>-0.1953125</v>
      </c>
      <c r="E30" s="104">
        <v>63.08232116699219</v>
      </c>
      <c r="F30" s="104">
        <v>0</v>
      </c>
      <c r="G30" s="104">
        <v>2.3400784243676753E-07</v>
      </c>
      <c r="H30" s="104">
        <v>1</v>
      </c>
      <c r="I30" s="104">
        <v>2</v>
      </c>
      <c r="J30" s="104">
        <v>3</v>
      </c>
      <c r="K30" s="104">
        <v>4</v>
      </c>
      <c r="L30" s="105">
        <v>5</v>
      </c>
      <c r="M30" s="120">
        <v>67.51663970947266</v>
      </c>
      <c r="N30" s="104">
        <v>43.088111877441406</v>
      </c>
      <c r="O30" s="104">
        <v>50</v>
      </c>
      <c r="P30" s="104">
        <v>0</v>
      </c>
      <c r="Q30" s="104">
        <v>2.5</v>
      </c>
      <c r="R30" s="104">
        <v>18.323209762573242</v>
      </c>
      <c r="S30" s="121">
        <v>92.9181137084961</v>
      </c>
      <c r="T30" s="121">
        <v>45</v>
      </c>
      <c r="U30" s="121">
        <v>55.249019622802734</v>
      </c>
      <c r="V30" s="121">
        <v>10.291879653930664</v>
      </c>
      <c r="W30" s="121">
        <v>17.713760375976562</v>
      </c>
      <c r="X30" s="121">
        <v>0</v>
      </c>
      <c r="Y30" s="121">
        <v>0</v>
      </c>
      <c r="Z30" s="121">
        <v>23.603879928588867</v>
      </c>
      <c r="AA30" s="121">
        <v>53.88454818725586</v>
      </c>
      <c r="AB30" s="121"/>
      <c r="AC30" s="108"/>
      <c r="AD30" s="108">
        <v>0</v>
      </c>
      <c r="AE30" s="108">
        <v>0</v>
      </c>
      <c r="AF30" s="108"/>
      <c r="AG30" s="108">
        <v>1.6348379850387573</v>
      </c>
      <c r="AH30" s="108">
        <v>26</v>
      </c>
      <c r="AI30" s="122">
        <v>41</v>
      </c>
      <c r="AJ30" s="122">
        <v>42</v>
      </c>
      <c r="AK30" s="122">
        <v>43</v>
      </c>
      <c r="AL30" s="122">
        <v>44</v>
      </c>
      <c r="AM30" s="122">
        <v>45</v>
      </c>
      <c r="AN30" s="108">
        <v>62.44935989379883</v>
      </c>
      <c r="AO30" s="109">
        <v>60.91579818725586</v>
      </c>
      <c r="AP30" s="110">
        <v>25.978370666503906</v>
      </c>
      <c r="AQ30" s="111">
        <v>35.919410705566406</v>
      </c>
      <c r="AR30" s="112">
        <v>-88.98654174804688</v>
      </c>
    </row>
    <row r="31" spans="2:44" ht="13.5" customHeight="1" x14ac:dyDescent="0.25">
      <c r="B31" s="14">
        <v>0.20833333333333334</v>
      </c>
      <c r="C31" s="104">
        <v>-0.368927001953125</v>
      </c>
      <c r="D31" s="104">
        <v>-0.1880798041820526</v>
      </c>
      <c r="E31" s="104">
        <v>63.25593185424805</v>
      </c>
      <c r="F31" s="104">
        <v>0</v>
      </c>
      <c r="G31" s="104">
        <v>1.9693374042617506E-07</v>
      </c>
      <c r="H31" s="104">
        <v>1</v>
      </c>
      <c r="I31" s="104">
        <v>2</v>
      </c>
      <c r="J31" s="104">
        <v>3</v>
      </c>
      <c r="K31" s="104">
        <v>4</v>
      </c>
      <c r="L31" s="105">
        <v>5</v>
      </c>
      <c r="M31" s="120">
        <v>67.88555908203125</v>
      </c>
      <c r="N31" s="104">
        <v>42.35749053955078</v>
      </c>
      <c r="O31" s="104">
        <v>50</v>
      </c>
      <c r="P31" s="104">
        <v>0</v>
      </c>
      <c r="Q31" s="104">
        <v>2.5</v>
      </c>
      <c r="R31" s="104">
        <v>17.856630325317383</v>
      </c>
      <c r="S31" s="121">
        <v>92.92534637451172</v>
      </c>
      <c r="T31" s="121">
        <v>45</v>
      </c>
      <c r="U31" s="121">
        <v>55.51811981201172</v>
      </c>
      <c r="V31" s="121">
        <v>10.232210159301758</v>
      </c>
      <c r="W31" s="121">
        <v>17.203779220581055</v>
      </c>
      <c r="X31" s="121">
        <v>0</v>
      </c>
      <c r="Y31" s="121">
        <v>0</v>
      </c>
      <c r="Z31" s="121">
        <v>24.875219345092773</v>
      </c>
      <c r="AA31" s="121">
        <v>60.52518081665039</v>
      </c>
      <c r="AB31" s="121"/>
      <c r="AC31" s="108"/>
      <c r="AD31" s="108">
        <v>0</v>
      </c>
      <c r="AE31" s="108">
        <v>0</v>
      </c>
      <c r="AF31" s="108"/>
      <c r="AG31" s="108">
        <v>1.6854749917984009</v>
      </c>
      <c r="AH31" s="108">
        <v>26</v>
      </c>
      <c r="AI31" s="122">
        <v>41</v>
      </c>
      <c r="AJ31" s="122">
        <v>42</v>
      </c>
      <c r="AK31" s="122">
        <v>43</v>
      </c>
      <c r="AL31" s="122">
        <v>44</v>
      </c>
      <c r="AM31" s="122">
        <v>45</v>
      </c>
      <c r="AN31" s="108">
        <v>70.38482666015625</v>
      </c>
      <c r="AO31" s="109">
        <v>58.868629455566406</v>
      </c>
      <c r="AP31" s="110">
        <v>25.77039909362793</v>
      </c>
      <c r="AQ31" s="111">
        <v>36.19430160522461</v>
      </c>
      <c r="AR31" s="112">
        <v>-88.99739837646484</v>
      </c>
    </row>
    <row r="32" spans="2:44" ht="13.5" customHeight="1" x14ac:dyDescent="0.25">
      <c r="B32" s="14">
        <v>0.25</v>
      </c>
      <c r="C32" s="104">
        <v>-0.43402859568595886</v>
      </c>
      <c r="D32" s="104">
        <v>-0.2025451958179474</v>
      </c>
      <c r="E32" s="104">
        <v>64.0625</v>
      </c>
      <c r="F32" s="104">
        <v>0</v>
      </c>
      <c r="G32" s="104">
        <v>1.020431525944332E-07</v>
      </c>
      <c r="H32" s="104">
        <v>1</v>
      </c>
      <c r="I32" s="104">
        <v>2</v>
      </c>
      <c r="J32" s="104">
        <v>3</v>
      </c>
      <c r="K32" s="104">
        <v>4</v>
      </c>
      <c r="L32" s="105">
        <v>5</v>
      </c>
      <c r="M32" s="120">
        <v>68.09896087646484</v>
      </c>
      <c r="N32" s="104">
        <v>41.65943145751953</v>
      </c>
      <c r="O32" s="104">
        <v>50</v>
      </c>
      <c r="P32" s="104">
        <v>0</v>
      </c>
      <c r="Q32" s="104">
        <v>2.5</v>
      </c>
      <c r="R32" s="104">
        <v>17.458770751953125</v>
      </c>
      <c r="S32" s="121">
        <v>92.84577178955078</v>
      </c>
      <c r="T32" s="121">
        <v>45</v>
      </c>
      <c r="U32" s="121">
        <v>55.232200622558594</v>
      </c>
      <c r="V32" s="121">
        <v>9.83615493774414</v>
      </c>
      <c r="W32" s="121">
        <v>16.758899688720703</v>
      </c>
      <c r="X32" s="121">
        <v>0</v>
      </c>
      <c r="Y32" s="121">
        <v>0</v>
      </c>
      <c r="Z32" s="121">
        <v>28.0852108001709</v>
      </c>
      <c r="AA32" s="121">
        <v>62.47829818725586</v>
      </c>
      <c r="AB32" s="121"/>
      <c r="AC32" s="108"/>
      <c r="AD32" s="108">
        <v>0</v>
      </c>
      <c r="AE32" s="108">
        <v>0</v>
      </c>
      <c r="AF32" s="108"/>
      <c r="AG32" s="108">
        <v>1.8518520593643188</v>
      </c>
      <c r="AH32" s="108">
        <v>26</v>
      </c>
      <c r="AI32" s="122">
        <v>41</v>
      </c>
      <c r="AJ32" s="122">
        <v>42</v>
      </c>
      <c r="AK32" s="122">
        <v>43</v>
      </c>
      <c r="AL32" s="122">
        <v>44</v>
      </c>
      <c r="AM32" s="122">
        <v>45</v>
      </c>
      <c r="AN32" s="108">
        <v>74.0017318725586</v>
      </c>
      <c r="AO32" s="109">
        <v>56.74913024902344</v>
      </c>
      <c r="AP32" s="110">
        <v>25.824649810791016</v>
      </c>
      <c r="AQ32" s="111">
        <v>35.94112014770508</v>
      </c>
      <c r="AR32" s="112">
        <v>-89.00824737548828</v>
      </c>
    </row>
    <row r="33" spans="2:44" ht="13.5" customHeight="1" x14ac:dyDescent="0.25">
      <c r="B33" s="14">
        <v>0.29166666666666669</v>
      </c>
      <c r="C33" s="104">
        <v>-0.41956329345703125</v>
      </c>
      <c r="D33" s="104">
        <v>-0.20978550612926483</v>
      </c>
      <c r="E33" s="104">
        <v>65.0896987915039</v>
      </c>
      <c r="F33" s="104">
        <v>0</v>
      </c>
      <c r="G33" s="104">
        <v>8.296966313992016E-08</v>
      </c>
      <c r="H33" s="104">
        <v>1</v>
      </c>
      <c r="I33" s="104">
        <v>2</v>
      </c>
      <c r="J33" s="104">
        <v>3</v>
      </c>
      <c r="K33" s="104">
        <v>4</v>
      </c>
      <c r="L33" s="105">
        <v>5</v>
      </c>
      <c r="M33" s="120">
        <v>68.46064758300781</v>
      </c>
      <c r="N33" s="104">
        <v>41.044559478759766</v>
      </c>
      <c r="O33" s="104">
        <v>50</v>
      </c>
      <c r="P33" s="104">
        <v>0</v>
      </c>
      <c r="Q33" s="104">
        <v>2.5</v>
      </c>
      <c r="R33" s="104">
        <v>16.988569259643555</v>
      </c>
      <c r="S33" s="121">
        <v>92.71195220947266</v>
      </c>
      <c r="T33" s="121">
        <v>45</v>
      </c>
      <c r="U33" s="121">
        <v>55.89934158325195</v>
      </c>
      <c r="V33" s="121">
        <v>9.619140625</v>
      </c>
      <c r="W33" s="121">
        <v>16.357419967651367</v>
      </c>
      <c r="X33" s="121">
        <v>0</v>
      </c>
      <c r="Y33" s="121">
        <v>0</v>
      </c>
      <c r="Z33" s="121">
        <v>26.45941925048828</v>
      </c>
      <c r="AA33" s="121">
        <v>58.669708251953125</v>
      </c>
      <c r="AB33" s="121"/>
      <c r="AC33" s="108"/>
      <c r="AD33" s="108">
        <v>0</v>
      </c>
      <c r="AE33" s="108">
        <v>0</v>
      </c>
      <c r="AF33" s="108"/>
      <c r="AG33" s="108">
        <v>1.9965280294418335</v>
      </c>
      <c r="AH33" s="108">
        <v>26</v>
      </c>
      <c r="AI33" s="122">
        <v>41</v>
      </c>
      <c r="AJ33" s="122">
        <v>42</v>
      </c>
      <c r="AK33" s="122">
        <v>43</v>
      </c>
      <c r="AL33" s="122">
        <v>44</v>
      </c>
      <c r="AM33" s="122">
        <v>45</v>
      </c>
      <c r="AN33" s="108">
        <v>69.98697662353516</v>
      </c>
      <c r="AO33" s="109">
        <v>55.08897018432617</v>
      </c>
      <c r="AP33" s="110">
        <v>26.10495948791504</v>
      </c>
      <c r="AQ33" s="111">
        <v>36.132808685302734</v>
      </c>
      <c r="AR33" s="112">
        <v>-89.00824737548828</v>
      </c>
    </row>
    <row r="34" spans="2:44" ht="13.5" customHeight="1" x14ac:dyDescent="0.25">
      <c r="B34" s="42">
        <v>0.33333333333333331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8">
        <v>0</v>
      </c>
      <c r="D39" s="98"/>
      <c r="E39" s="98">
        <v>13.505499839782715</v>
      </c>
      <c r="F39" s="98"/>
      <c r="G39" s="98"/>
      <c r="H39" s="98">
        <v>43.05916976928711</v>
      </c>
      <c r="I39" s="98"/>
      <c r="J39" s="98">
        <v>43.62882995605469</v>
      </c>
      <c r="K39" s="98">
        <v>0.3953632116317749</v>
      </c>
      <c r="L39" s="98">
        <v>2.83215594291687</v>
      </c>
      <c r="M39" s="98">
        <v>44.13520050048828</v>
      </c>
      <c r="N39" s="98"/>
      <c r="O39" s="98">
        <v>0</v>
      </c>
      <c r="P39" s="98">
        <v>0.00039660700713284314</v>
      </c>
      <c r="Q39" s="98">
        <v>897.3380126953125</v>
      </c>
      <c r="R39" s="98"/>
      <c r="S39" s="98">
        <v>897.3380126953125</v>
      </c>
      <c r="T39" s="98"/>
      <c r="U39" s="99">
        <v>0</v>
      </c>
      <c r="V39" s="100"/>
      <c r="W39" s="101">
        <v>50</v>
      </c>
      <c r="X39" s="99">
        <v>0</v>
      </c>
      <c r="Y39" s="99">
        <v>13.655599594116211</v>
      </c>
      <c r="Z39" s="99">
        <v>20.4589900970459</v>
      </c>
      <c r="AA39" s="99">
        <v>50</v>
      </c>
      <c r="AB39" s="99">
        <v>0</v>
      </c>
      <c r="AC39" s="99">
        <v>30.02206039428711</v>
      </c>
      <c r="AD39" s="99">
        <v>64.95768737792969</v>
      </c>
      <c r="AE39" s="90"/>
      <c r="AF39" s="90">
        <v>0</v>
      </c>
      <c r="AG39" s="90">
        <v>36</v>
      </c>
      <c r="AH39" s="90">
        <v>0.0003950496902689338</v>
      </c>
      <c r="AI39" s="90">
        <v>31.228300094604492</v>
      </c>
      <c r="AJ39" s="90"/>
      <c r="AK39" s="90"/>
      <c r="AL39" s="92"/>
      <c r="AM39" s="94">
        <v>56</v>
      </c>
      <c r="AN39" s="91">
        <v>62</v>
      </c>
      <c r="AO39" s="90"/>
      <c r="AP39" s="90"/>
      <c r="AQ39" s="90"/>
      <c r="AR39" s="93"/>
    </row>
    <row r="40" spans="2:44" ht="13.5" customHeight="1" x14ac:dyDescent="0.25">
      <c r="B40" s="14">
        <v>0.875</v>
      </c>
      <c r="C40" s="104">
        <v>0</v>
      </c>
      <c r="D40" s="104">
        <v>0</v>
      </c>
      <c r="E40" s="104">
        <v>13.541669845581055</v>
      </c>
      <c r="F40" s="104"/>
      <c r="G40" s="104"/>
      <c r="H40" s="104">
        <v>43.04108810424805</v>
      </c>
      <c r="I40" s="104">
        <v>0</v>
      </c>
      <c r="J40" s="104">
        <v>28.83572006225586</v>
      </c>
      <c r="K40" s="104">
        <v>0.06967954337596893</v>
      </c>
      <c r="L40" s="104">
        <v>3.0351810455322266</v>
      </c>
      <c r="M40" s="104">
        <v>39.74066925048828</v>
      </c>
      <c r="N40" s="104">
        <v>4.0489501953125</v>
      </c>
      <c r="O40" s="104">
        <v>0</v>
      </c>
      <c r="P40" s="104">
        <v>0.00039660700713284314</v>
      </c>
      <c r="Q40" s="104">
        <v>0</v>
      </c>
      <c r="R40" s="104">
        <v>0.41780799627304077</v>
      </c>
      <c r="S40" s="104">
        <v>0</v>
      </c>
      <c r="T40" s="104">
        <v>0</v>
      </c>
      <c r="U40" s="121">
        <v>0</v>
      </c>
      <c r="V40" s="129">
        <v>0.00019169044389855117</v>
      </c>
      <c r="W40" s="130">
        <v>50</v>
      </c>
      <c r="X40" s="121">
        <v>0</v>
      </c>
      <c r="Y40" s="121">
        <v>12.771269798278809</v>
      </c>
      <c r="Z40" s="121">
        <v>19.325090408325195</v>
      </c>
      <c r="AA40" s="121">
        <v>50</v>
      </c>
      <c r="AB40" s="121">
        <v>0</v>
      </c>
      <c r="AC40" s="121">
        <v>29.607929229736328</v>
      </c>
      <c r="AD40" s="121">
        <v>60.76932144165039</v>
      </c>
      <c r="AE40" s="108"/>
      <c r="AF40" s="108">
        <v>0</v>
      </c>
      <c r="AG40" s="108">
        <v>36</v>
      </c>
      <c r="AH40" s="108">
        <v>0.0003950496902689338</v>
      </c>
      <c r="AI40" s="108">
        <v>31.2102108001709</v>
      </c>
      <c r="AJ40" s="108">
        <v>-0.0004976902273483574</v>
      </c>
      <c r="AK40" s="108"/>
      <c r="AL40" s="109"/>
      <c r="AM40" s="131">
        <v>56</v>
      </c>
      <c r="AN40" s="122">
        <v>62</v>
      </c>
      <c r="AO40" s="108"/>
      <c r="AP40" s="108"/>
      <c r="AQ40" s="108"/>
      <c r="AR40" s="112"/>
    </row>
    <row r="41" spans="2:44" ht="13.5" customHeight="1" x14ac:dyDescent="0.25">
      <c r="B41" s="41" t="s">
        <v>271</v>
      </c>
      <c r="C41" s="104">
        <v>0</v>
      </c>
      <c r="D41" s="104">
        <v>0</v>
      </c>
      <c r="E41" s="104">
        <v>13.498259544372559</v>
      </c>
      <c r="F41" s="104"/>
      <c r="G41" s="104"/>
      <c r="H41" s="104">
        <v>42.851200103759766</v>
      </c>
      <c r="I41" s="104">
        <v>0</v>
      </c>
      <c r="J41" s="104">
        <v>25.62571907043457</v>
      </c>
      <c r="K41" s="104">
        <v>0.0673285573720932</v>
      </c>
      <c r="L41" s="104">
        <v>3.1038100719451904</v>
      </c>
      <c r="M41" s="104">
        <v>36.2413215637207</v>
      </c>
      <c r="N41" s="104">
        <v>-0.24200439453125</v>
      </c>
      <c r="O41" s="104">
        <v>0</v>
      </c>
      <c r="P41" s="104">
        <v>0.00039660700713284314</v>
      </c>
      <c r="Q41" s="104">
        <v>0</v>
      </c>
      <c r="R41" s="104">
        <v>0</v>
      </c>
      <c r="S41" s="104">
        <v>0</v>
      </c>
      <c r="T41" s="104">
        <v>0</v>
      </c>
      <c r="U41" s="121">
        <v>0</v>
      </c>
      <c r="V41" s="129">
        <v>0.00011935996735701337</v>
      </c>
      <c r="W41" s="130">
        <v>50</v>
      </c>
      <c r="X41" s="121">
        <v>0</v>
      </c>
      <c r="Y41" s="121">
        <v>11.702469825744629</v>
      </c>
      <c r="Z41" s="121">
        <v>17.82769012451172</v>
      </c>
      <c r="AA41" s="121">
        <v>50</v>
      </c>
      <c r="AB41" s="121">
        <v>0</v>
      </c>
      <c r="AC41" s="121">
        <v>28.02372932434082</v>
      </c>
      <c r="AD41" s="121">
        <v>57.66059112548828</v>
      </c>
      <c r="AE41" s="108"/>
      <c r="AF41" s="108">
        <v>0</v>
      </c>
      <c r="AG41" s="108">
        <v>36</v>
      </c>
      <c r="AH41" s="108">
        <v>0.0003950496902689338</v>
      </c>
      <c r="AI41" s="108">
        <v>31.192129135131836</v>
      </c>
      <c r="AJ41" s="108">
        <v>-0.00036168860970065</v>
      </c>
      <c r="AK41" s="108"/>
      <c r="AL41" s="109"/>
      <c r="AM41" s="131">
        <v>56</v>
      </c>
      <c r="AN41" s="122">
        <v>62</v>
      </c>
      <c r="AO41" s="108"/>
      <c r="AP41" s="108"/>
      <c r="AQ41" s="108"/>
      <c r="AR41" s="112"/>
    </row>
    <row r="42" spans="2:44" ht="13.5" customHeight="1" x14ac:dyDescent="0.25">
      <c r="B42" s="14">
        <v>0.95833333333333337</v>
      </c>
      <c r="C42" s="104">
        <v>0</v>
      </c>
      <c r="D42" s="104">
        <v>0.00023371911083813757</v>
      </c>
      <c r="E42" s="104">
        <v>13.47655963897705</v>
      </c>
      <c r="F42" s="104"/>
      <c r="G42" s="104"/>
      <c r="H42" s="104">
        <v>43.52936935424805</v>
      </c>
      <c r="I42" s="104">
        <v>0</v>
      </c>
      <c r="J42" s="104">
        <v>35.45463943481445</v>
      </c>
      <c r="K42" s="104">
        <v>0.16807730495929718</v>
      </c>
      <c r="L42" s="104">
        <v>3.2624239921569824</v>
      </c>
      <c r="M42" s="104">
        <v>44.487850189208984</v>
      </c>
      <c r="N42" s="104">
        <v>-4.011962890625</v>
      </c>
      <c r="O42" s="104">
        <v>0</v>
      </c>
      <c r="P42" s="104">
        <v>0.00039660700713284314</v>
      </c>
      <c r="Q42" s="104">
        <v>573.6978759765625</v>
      </c>
      <c r="R42" s="104">
        <v>0.2861860394477844</v>
      </c>
      <c r="S42" s="104">
        <v>573.6978759765625</v>
      </c>
      <c r="T42" s="104">
        <v>0</v>
      </c>
      <c r="U42" s="121">
        <v>0</v>
      </c>
      <c r="V42" s="129">
        <v>0.00012298011279199272</v>
      </c>
      <c r="W42" s="130">
        <v>50</v>
      </c>
      <c r="X42" s="121">
        <v>0</v>
      </c>
      <c r="Y42" s="121">
        <v>11.881509780883789</v>
      </c>
      <c r="Z42" s="121">
        <v>17.811420440673828</v>
      </c>
      <c r="AA42" s="121">
        <v>50</v>
      </c>
      <c r="AB42" s="121">
        <v>0</v>
      </c>
      <c r="AC42" s="121">
        <v>25.833690643310547</v>
      </c>
      <c r="AD42" s="121">
        <v>54.43251037597656</v>
      </c>
      <c r="AE42" s="108"/>
      <c r="AF42" s="108">
        <v>0</v>
      </c>
      <c r="AG42" s="108">
        <v>36</v>
      </c>
      <c r="AH42" s="108">
        <v>0.0003950496902689338</v>
      </c>
      <c r="AI42" s="108">
        <v>31.141490936279297</v>
      </c>
      <c r="AJ42" s="108">
        <v>-0.0005815906333737075</v>
      </c>
      <c r="AK42" s="108"/>
      <c r="AL42" s="109"/>
      <c r="AM42" s="131">
        <v>56</v>
      </c>
      <c r="AN42" s="122">
        <v>62</v>
      </c>
      <c r="AO42" s="108"/>
      <c r="AP42" s="108"/>
      <c r="AQ42" s="108"/>
      <c r="AR42" s="112"/>
    </row>
    <row r="43" spans="2:44" ht="13.5" customHeight="1" x14ac:dyDescent="0.25">
      <c r="B43" s="41" t="s">
        <v>272</v>
      </c>
      <c r="C43" s="104">
        <v>0</v>
      </c>
      <c r="D43" s="104">
        <v>0.00029858184279873967</v>
      </c>
      <c r="E43" s="104">
        <v>13.35359001159668</v>
      </c>
      <c r="F43" s="104"/>
      <c r="G43" s="104"/>
      <c r="H43" s="104">
        <v>44.533058166503906</v>
      </c>
      <c r="I43" s="104">
        <v>0</v>
      </c>
      <c r="J43" s="104">
        <v>29.088899612426758</v>
      </c>
      <c r="K43" s="104">
        <v>0.14807580411434174</v>
      </c>
      <c r="L43" s="104">
        <v>3.386029005050659</v>
      </c>
      <c r="M43" s="104">
        <v>44.60540008544922</v>
      </c>
      <c r="N43" s="104">
        <v>-5.21600341796875</v>
      </c>
      <c r="O43" s="104">
        <v>0</v>
      </c>
      <c r="P43" s="104">
        <v>0.00039660700713284314</v>
      </c>
      <c r="Q43" s="104">
        <v>106.3656997680664</v>
      </c>
      <c r="R43" s="104">
        <v>0.19342419505119324</v>
      </c>
      <c r="S43" s="104">
        <v>106.3656997680664</v>
      </c>
      <c r="T43" s="104">
        <v>0</v>
      </c>
      <c r="U43" s="121">
        <v>0</v>
      </c>
      <c r="V43" s="129">
        <v>5.4249761888058856E-05</v>
      </c>
      <c r="W43" s="130">
        <v>50</v>
      </c>
      <c r="X43" s="121">
        <v>0</v>
      </c>
      <c r="Y43" s="121">
        <v>11.322699546813965</v>
      </c>
      <c r="Z43" s="121">
        <v>18.728300094604492</v>
      </c>
      <c r="AA43" s="121">
        <v>50</v>
      </c>
      <c r="AB43" s="121">
        <v>0</v>
      </c>
      <c r="AC43" s="121">
        <v>23.730470657348633</v>
      </c>
      <c r="AD43" s="121">
        <v>57.4598503112793</v>
      </c>
      <c r="AE43" s="108"/>
      <c r="AF43" s="108">
        <v>0</v>
      </c>
      <c r="AG43" s="108">
        <v>36</v>
      </c>
      <c r="AH43" s="108">
        <v>0.0003950496902689338</v>
      </c>
      <c r="AI43" s="108">
        <v>31.119789123535156</v>
      </c>
      <c r="AJ43" s="108">
        <v>-0.0003906307101715356</v>
      </c>
      <c r="AK43" s="108"/>
      <c r="AL43" s="109"/>
      <c r="AM43" s="131">
        <v>56</v>
      </c>
      <c r="AN43" s="122">
        <v>62</v>
      </c>
      <c r="AO43" s="108"/>
      <c r="AP43" s="108"/>
      <c r="AQ43" s="108"/>
      <c r="AR43" s="112"/>
    </row>
    <row r="44" spans="2:44" ht="13.5" customHeight="1" x14ac:dyDescent="0.25">
      <c r="B44" s="14">
        <v>4.1666666666666664E-2</v>
      </c>
      <c r="C44" s="104">
        <v>2.2384979724884033</v>
      </c>
      <c r="D44" s="104">
        <v>0.00016825723287183791</v>
      </c>
      <c r="E44" s="104">
        <v>13.295720100402832</v>
      </c>
      <c r="F44" s="104"/>
      <c r="G44" s="104"/>
      <c r="H44" s="104">
        <v>42.09164810180664</v>
      </c>
      <c r="I44" s="104">
        <v>0</v>
      </c>
      <c r="J44" s="104">
        <v>23.410369873046875</v>
      </c>
      <c r="K44" s="104">
        <v>0.06951679289340973</v>
      </c>
      <c r="L44" s="104">
        <v>3.485234022140503</v>
      </c>
      <c r="M44" s="104">
        <v>40.681060791015625</v>
      </c>
      <c r="N44" s="104">
        <v>86.71099853515625</v>
      </c>
      <c r="O44" s="104">
        <v>0</v>
      </c>
      <c r="P44" s="104">
        <v>0.00039660700713284314</v>
      </c>
      <c r="Q44" s="104">
        <v>0</v>
      </c>
      <c r="R44" s="104">
        <v>0.19545073807239532</v>
      </c>
      <c r="S44" s="104">
        <v>0</v>
      </c>
      <c r="T44" s="104">
        <v>0</v>
      </c>
      <c r="U44" s="121">
        <v>0</v>
      </c>
      <c r="V44" s="129">
        <v>0</v>
      </c>
      <c r="W44" s="130">
        <v>50</v>
      </c>
      <c r="X44" s="121">
        <v>0</v>
      </c>
      <c r="Y44" s="121">
        <v>10.59570026397705</v>
      </c>
      <c r="Z44" s="121">
        <v>18.728300094604492</v>
      </c>
      <c r="AA44" s="121">
        <v>50</v>
      </c>
      <c r="AB44" s="121">
        <v>0</v>
      </c>
      <c r="AC44" s="121">
        <v>29.7562198638916</v>
      </c>
      <c r="AD44" s="121">
        <v>62.8526496887207</v>
      </c>
      <c r="AE44" s="108"/>
      <c r="AF44" s="108">
        <v>0</v>
      </c>
      <c r="AG44" s="108">
        <v>36</v>
      </c>
      <c r="AH44" s="108">
        <v>0.0003950496902689338</v>
      </c>
      <c r="AI44" s="108">
        <v>31.08000946044922</v>
      </c>
      <c r="AJ44" s="108">
        <v>-0.0004745387996081263</v>
      </c>
      <c r="AK44" s="108"/>
      <c r="AL44" s="109"/>
      <c r="AM44" s="131">
        <v>56</v>
      </c>
      <c r="AN44" s="122">
        <v>62</v>
      </c>
      <c r="AO44" s="108"/>
      <c r="AP44" s="108"/>
      <c r="AQ44" s="108"/>
      <c r="AR44" s="112"/>
    </row>
    <row r="45" spans="2:44" ht="13.5" customHeight="1" x14ac:dyDescent="0.25">
      <c r="B45" s="41" t="s">
        <v>273</v>
      </c>
      <c r="C45" s="104">
        <v>0</v>
      </c>
      <c r="D45" s="104">
        <v>5.937981768511236E-05</v>
      </c>
      <c r="E45" s="104">
        <v>13.078700065612793</v>
      </c>
      <c r="F45" s="104"/>
      <c r="G45" s="104"/>
      <c r="H45" s="104">
        <v>42.29058074951172</v>
      </c>
      <c r="I45" s="104">
        <v>0</v>
      </c>
      <c r="J45" s="104">
        <v>22.904010772705078</v>
      </c>
      <c r="K45" s="104">
        <v>0.0616861991584301</v>
      </c>
      <c r="L45" s="104">
        <v>3.550196886062622</v>
      </c>
      <c r="M45" s="104">
        <v>42.760780334472656</v>
      </c>
      <c r="N45" s="104">
        <v>-73.2779541015625</v>
      </c>
      <c r="O45" s="104">
        <v>0</v>
      </c>
      <c r="P45" s="104">
        <v>0.00039660700713284314</v>
      </c>
      <c r="Q45" s="104">
        <v>0</v>
      </c>
      <c r="R45" s="104">
        <v>0.01404101587831974</v>
      </c>
      <c r="S45" s="104">
        <v>0</v>
      </c>
      <c r="T45" s="104">
        <v>0</v>
      </c>
      <c r="U45" s="121">
        <v>0</v>
      </c>
      <c r="V45" s="129">
        <v>-5.064010474598035E-05</v>
      </c>
      <c r="W45" s="130">
        <v>50</v>
      </c>
      <c r="X45" s="121">
        <v>0</v>
      </c>
      <c r="Y45" s="121">
        <v>11.24131965637207</v>
      </c>
      <c r="Z45" s="121">
        <v>18.75</v>
      </c>
      <c r="AA45" s="121">
        <v>50</v>
      </c>
      <c r="AB45" s="121">
        <v>0</v>
      </c>
      <c r="AC45" s="121">
        <v>28.483070373535156</v>
      </c>
      <c r="AD45" s="121">
        <v>58.83246994018555</v>
      </c>
      <c r="AE45" s="108"/>
      <c r="AF45" s="108">
        <v>0</v>
      </c>
      <c r="AG45" s="108">
        <v>36</v>
      </c>
      <c r="AH45" s="108">
        <v>0.0003950496902689338</v>
      </c>
      <c r="AI45" s="108">
        <v>31.065540313720703</v>
      </c>
      <c r="AJ45" s="108">
        <v>-0.00040509033715352416</v>
      </c>
      <c r="AK45" s="108"/>
      <c r="AL45" s="109"/>
      <c r="AM45" s="131">
        <v>56</v>
      </c>
      <c r="AN45" s="122">
        <v>62</v>
      </c>
      <c r="AO45" s="108"/>
      <c r="AP45" s="108"/>
      <c r="AQ45" s="108"/>
      <c r="AR45" s="112"/>
    </row>
    <row r="46" spans="2:44" ht="13.5" customHeight="1" x14ac:dyDescent="0.25">
      <c r="B46" s="14">
        <v>0.125</v>
      </c>
      <c r="C46" s="104">
        <v>0</v>
      </c>
      <c r="D46" s="104">
        <v>0</v>
      </c>
      <c r="E46" s="104">
        <v>12.984660148620605</v>
      </c>
      <c r="F46" s="104"/>
      <c r="G46" s="104"/>
      <c r="H46" s="104">
        <v>43.41181945800781</v>
      </c>
      <c r="I46" s="104">
        <v>0</v>
      </c>
      <c r="J46" s="104">
        <v>22.641780853271484</v>
      </c>
      <c r="K46" s="104">
        <v>0.0660264790058136</v>
      </c>
      <c r="L46" s="104">
        <v>3.6140201091766357</v>
      </c>
      <c r="M46" s="104">
        <v>44.27988052368164</v>
      </c>
      <c r="N46" s="104">
        <v>-14.49102783203125</v>
      </c>
      <c r="O46" s="104">
        <v>0</v>
      </c>
      <c r="P46" s="104">
        <v>0.00039660700713284314</v>
      </c>
      <c r="Q46" s="104">
        <v>0</v>
      </c>
      <c r="R46" s="104">
        <v>0.013765014708042145</v>
      </c>
      <c r="S46" s="104">
        <v>0</v>
      </c>
      <c r="T46" s="104">
        <v>0</v>
      </c>
      <c r="U46" s="121">
        <v>0</v>
      </c>
      <c r="V46" s="129">
        <v>-6.509971717605367E-05</v>
      </c>
      <c r="W46" s="130">
        <v>50</v>
      </c>
      <c r="X46" s="121">
        <v>0</v>
      </c>
      <c r="Y46" s="121">
        <v>10.986330032348633</v>
      </c>
      <c r="Z46" s="121">
        <v>18.218320846557617</v>
      </c>
      <c r="AA46" s="121">
        <v>50</v>
      </c>
      <c r="AB46" s="121">
        <v>0</v>
      </c>
      <c r="AC46" s="121">
        <v>26.42144012451172</v>
      </c>
      <c r="AD46" s="121">
        <v>55.636940002441406</v>
      </c>
      <c r="AE46" s="108"/>
      <c r="AF46" s="108">
        <v>0</v>
      </c>
      <c r="AG46" s="108">
        <v>36</v>
      </c>
      <c r="AH46" s="108">
        <v>0.0003950496902689338</v>
      </c>
      <c r="AI46" s="108">
        <v>31.040220260620117</v>
      </c>
      <c r="AJ46" s="108">
        <v>-0.0004079895152244717</v>
      </c>
      <c r="AK46" s="108"/>
      <c r="AL46" s="109"/>
      <c r="AM46" s="131">
        <v>56</v>
      </c>
      <c r="AN46" s="122">
        <v>62</v>
      </c>
      <c r="AO46" s="108"/>
      <c r="AP46" s="108"/>
      <c r="AQ46" s="108"/>
      <c r="AR46" s="112"/>
    </row>
    <row r="47" spans="2:44" ht="13.5" customHeight="1" x14ac:dyDescent="0.25">
      <c r="B47" s="14">
        <v>0.16666666666666666</v>
      </c>
      <c r="C47" s="104">
        <v>0</v>
      </c>
      <c r="D47" s="104">
        <v>0</v>
      </c>
      <c r="E47" s="104">
        <v>12.717009544372559</v>
      </c>
      <c r="F47" s="104"/>
      <c r="G47" s="104"/>
      <c r="H47" s="104">
        <v>43.420860290527344</v>
      </c>
      <c r="I47" s="104">
        <v>0</v>
      </c>
      <c r="J47" s="104">
        <v>22.42477035522461</v>
      </c>
      <c r="K47" s="104">
        <v>0.0649956613779068</v>
      </c>
      <c r="L47" s="104">
        <v>3.67970609664917</v>
      </c>
      <c r="M47" s="104">
        <v>44.334129333496094</v>
      </c>
      <c r="N47" s="104">
        <v>0.24798583984375</v>
      </c>
      <c r="O47" s="104">
        <v>0</v>
      </c>
      <c r="P47" s="104">
        <v>0.00039660700713284314</v>
      </c>
      <c r="Q47" s="104">
        <v>0</v>
      </c>
      <c r="R47" s="104">
        <v>0.03164001554250717</v>
      </c>
      <c r="S47" s="104">
        <v>0</v>
      </c>
      <c r="T47" s="104">
        <v>0</v>
      </c>
      <c r="U47" s="121">
        <v>0</v>
      </c>
      <c r="V47" s="129">
        <v>-7.234000804601237E-05</v>
      </c>
      <c r="W47" s="130">
        <v>50</v>
      </c>
      <c r="X47" s="121">
        <v>0</v>
      </c>
      <c r="Y47" s="121">
        <v>10.291879653930664</v>
      </c>
      <c r="Z47" s="121">
        <v>17.713760375976562</v>
      </c>
      <c r="AA47" s="121">
        <v>50</v>
      </c>
      <c r="AB47" s="121">
        <v>0</v>
      </c>
      <c r="AC47" s="121">
        <v>23.603879928588867</v>
      </c>
      <c r="AD47" s="121">
        <v>53.88454818725586</v>
      </c>
      <c r="AE47" s="108"/>
      <c r="AF47" s="108">
        <v>0</v>
      </c>
      <c r="AG47" s="108">
        <v>36</v>
      </c>
      <c r="AH47" s="108">
        <v>0.0003950496902689338</v>
      </c>
      <c r="AI47" s="108">
        <v>31.00404930114746</v>
      </c>
      <c r="AJ47" s="108">
        <v>-0.00040219115908257663</v>
      </c>
      <c r="AK47" s="108"/>
      <c r="AL47" s="109"/>
      <c r="AM47" s="131">
        <v>56</v>
      </c>
      <c r="AN47" s="122">
        <v>62</v>
      </c>
      <c r="AO47" s="108"/>
      <c r="AP47" s="108"/>
      <c r="AQ47" s="108"/>
      <c r="AR47" s="112"/>
    </row>
    <row r="48" spans="2:44" ht="13.5" customHeight="1" x14ac:dyDescent="0.25">
      <c r="B48" s="14">
        <v>0.20833333333333334</v>
      </c>
      <c r="C48" s="104">
        <v>0</v>
      </c>
      <c r="D48" s="104">
        <v>0</v>
      </c>
      <c r="E48" s="104">
        <v>12.39148998260498</v>
      </c>
      <c r="F48" s="104"/>
      <c r="G48" s="104"/>
      <c r="H48" s="104">
        <v>43.420860290527344</v>
      </c>
      <c r="I48" s="104">
        <v>0</v>
      </c>
      <c r="J48" s="104">
        <v>22.03594970703125</v>
      </c>
      <c r="K48" s="104">
        <v>0.0641818568110466</v>
      </c>
      <c r="L48" s="104">
        <v>3.744966983795166</v>
      </c>
      <c r="M48" s="104">
        <v>44.352210998535156</v>
      </c>
      <c r="N48" s="104">
        <v>0.0250244140625</v>
      </c>
      <c r="O48" s="104">
        <v>0</v>
      </c>
      <c r="P48" s="104">
        <v>0.00039660700713284314</v>
      </c>
      <c r="Q48" s="104">
        <v>0</v>
      </c>
      <c r="R48" s="104">
        <v>0.04244604334235191</v>
      </c>
      <c r="S48" s="104">
        <v>0</v>
      </c>
      <c r="T48" s="104">
        <v>0</v>
      </c>
      <c r="U48" s="121">
        <v>0</v>
      </c>
      <c r="V48" s="129">
        <v>-0.00010127067798748612</v>
      </c>
      <c r="W48" s="130">
        <v>50</v>
      </c>
      <c r="X48" s="121">
        <v>0</v>
      </c>
      <c r="Y48" s="121">
        <v>10.232210159301758</v>
      </c>
      <c r="Z48" s="121">
        <v>17.203779220581055</v>
      </c>
      <c r="AA48" s="121">
        <v>50</v>
      </c>
      <c r="AB48" s="121">
        <v>0</v>
      </c>
      <c r="AC48" s="121">
        <v>24.875219345092773</v>
      </c>
      <c r="AD48" s="121">
        <v>60.52518081665039</v>
      </c>
      <c r="AE48" s="108"/>
      <c r="AF48" s="108">
        <v>0</v>
      </c>
      <c r="AG48" s="108">
        <v>36</v>
      </c>
      <c r="AH48" s="108">
        <v>0.0003950496902689338</v>
      </c>
      <c r="AI48" s="108">
        <v>30.96426010131836</v>
      </c>
      <c r="AJ48" s="108">
        <v>-0.000477428431622684</v>
      </c>
      <c r="AK48" s="108"/>
      <c r="AL48" s="109"/>
      <c r="AM48" s="131">
        <v>56</v>
      </c>
      <c r="AN48" s="122">
        <v>62</v>
      </c>
      <c r="AO48" s="108"/>
      <c r="AP48" s="108"/>
      <c r="AQ48" s="108"/>
      <c r="AR48" s="112"/>
    </row>
    <row r="49" spans="2:44" ht="13.5" customHeight="1" x14ac:dyDescent="0.25">
      <c r="B49" s="14">
        <v>0.25</v>
      </c>
      <c r="C49" s="104">
        <v>0</v>
      </c>
      <c r="D49" s="104">
        <v>0</v>
      </c>
      <c r="E49" s="104">
        <v>12.116609573364258</v>
      </c>
      <c r="F49" s="104"/>
      <c r="G49" s="104"/>
      <c r="H49" s="104">
        <v>43.429901123046875</v>
      </c>
      <c r="I49" s="104">
        <v>0</v>
      </c>
      <c r="J49" s="104">
        <v>21.818939208984375</v>
      </c>
      <c r="K49" s="104">
        <v>0.06432653218507767</v>
      </c>
      <c r="L49" s="104">
        <v>3.809221029281616</v>
      </c>
      <c r="M49" s="104">
        <v>44.39741897583008</v>
      </c>
      <c r="N49" s="104">
        <v>0.02099609375</v>
      </c>
      <c r="O49" s="104">
        <v>0</v>
      </c>
      <c r="P49" s="104">
        <v>0.00039660700713284314</v>
      </c>
      <c r="Q49" s="104">
        <v>0</v>
      </c>
      <c r="R49" s="104">
        <v>0.02813098207116127</v>
      </c>
      <c r="S49" s="104">
        <v>0</v>
      </c>
      <c r="T49" s="104">
        <v>0</v>
      </c>
      <c r="U49" s="121">
        <v>0</v>
      </c>
      <c r="V49" s="129">
        <v>-0.000224249844904989</v>
      </c>
      <c r="W49" s="130">
        <v>50</v>
      </c>
      <c r="X49" s="121">
        <v>0</v>
      </c>
      <c r="Y49" s="121">
        <v>9.83615493774414</v>
      </c>
      <c r="Z49" s="121">
        <v>16.758899688720703</v>
      </c>
      <c r="AA49" s="121">
        <v>50</v>
      </c>
      <c r="AB49" s="121">
        <v>0</v>
      </c>
      <c r="AC49" s="121">
        <v>28.0852108001709</v>
      </c>
      <c r="AD49" s="121">
        <v>62.47829818725586</v>
      </c>
      <c r="AE49" s="108"/>
      <c r="AF49" s="108">
        <v>0</v>
      </c>
      <c r="AG49" s="108">
        <v>36</v>
      </c>
      <c r="AH49" s="108">
        <v>0.0003950496902689338</v>
      </c>
      <c r="AI49" s="108">
        <v>30.957029342651367</v>
      </c>
      <c r="AJ49" s="108">
        <v>-0.0004369201778899878</v>
      </c>
      <c r="AK49" s="108"/>
      <c r="AL49" s="109"/>
      <c r="AM49" s="131">
        <v>56</v>
      </c>
      <c r="AN49" s="122">
        <v>62</v>
      </c>
      <c r="AO49" s="108"/>
      <c r="AP49" s="108"/>
      <c r="AQ49" s="108"/>
      <c r="AR49" s="112"/>
    </row>
    <row r="50" spans="2:44" ht="13.5" customHeight="1" x14ac:dyDescent="0.25">
      <c r="B50" s="14">
        <v>0.29166666666666669</v>
      </c>
      <c r="C50" s="104">
        <v>0</v>
      </c>
      <c r="D50" s="104">
        <v>0</v>
      </c>
      <c r="E50" s="104">
        <v>11.906829833984375</v>
      </c>
      <c r="F50" s="104"/>
      <c r="G50" s="104"/>
      <c r="H50" s="104">
        <v>43.429901123046875</v>
      </c>
      <c r="I50" s="104">
        <v>0</v>
      </c>
      <c r="J50" s="104">
        <v>21.140769958496094</v>
      </c>
      <c r="K50" s="104">
        <v>0.0639105886220932</v>
      </c>
      <c r="L50" s="104">
        <v>3.8731250762939453</v>
      </c>
      <c r="M50" s="104">
        <v>44.46976089477539</v>
      </c>
      <c r="N50" s="104">
        <v>0.12799072265625</v>
      </c>
      <c r="O50" s="104">
        <v>0</v>
      </c>
      <c r="P50" s="104">
        <v>0.00039660700713284314</v>
      </c>
      <c r="Q50" s="104">
        <v>0</v>
      </c>
      <c r="R50" s="104">
        <v>0.02823193371295929</v>
      </c>
      <c r="S50" s="104">
        <v>0</v>
      </c>
      <c r="T50" s="104">
        <v>0</v>
      </c>
      <c r="U50" s="121">
        <v>0</v>
      </c>
      <c r="V50" s="129">
        <v>-0.00021700953948311508</v>
      </c>
      <c r="W50" s="130">
        <v>50</v>
      </c>
      <c r="X50" s="121">
        <v>0</v>
      </c>
      <c r="Y50" s="121">
        <v>9.619140625</v>
      </c>
      <c r="Z50" s="121">
        <v>16.357419967651367</v>
      </c>
      <c r="AA50" s="121">
        <v>50</v>
      </c>
      <c r="AB50" s="121">
        <v>0</v>
      </c>
      <c r="AC50" s="121">
        <v>26.45941925048828</v>
      </c>
      <c r="AD50" s="121">
        <v>58.669708251953125</v>
      </c>
      <c r="AE50" s="108"/>
      <c r="AF50" s="108">
        <v>0</v>
      </c>
      <c r="AG50" s="108">
        <v>36</v>
      </c>
      <c r="AH50" s="108">
        <v>0.0003950496902689338</v>
      </c>
      <c r="AI50" s="108">
        <v>30.93170928955078</v>
      </c>
      <c r="AJ50" s="108">
        <v>-0.00032987023587338626</v>
      </c>
      <c r="AK50" s="108"/>
      <c r="AL50" s="109"/>
      <c r="AM50" s="131">
        <v>56</v>
      </c>
      <c r="AN50" s="122">
        <v>62</v>
      </c>
      <c r="AO50" s="108"/>
      <c r="AP50" s="108"/>
      <c r="AQ50" s="108"/>
      <c r="AR50" s="112"/>
    </row>
    <row r="51" spans="2:44" ht="13.5" customHeight="1" x14ac:dyDescent="0.25">
      <c r="B51" s="42">
        <v>0.33333333333333331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221" t="s">
        <v>459</v>
      </c>
      <c r="C52" s="222"/>
      <c r="D52" s="9" t="s">
        <v>274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274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275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tabSelected="1" zoomScaleNormal="100" workbookViewId="0">
      <selection activeCell="AI20" sqref="AI20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306" t="s">
        <v>457</v>
      </c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8"/>
    </row>
    <row r="3" spans="2:36" s="46" customFormat="1" ht="17.5" customHeight="1" x14ac:dyDescent="0.25">
      <c r="B3" s="309" t="s">
        <v>406</v>
      </c>
      <c r="C3" s="310" t="s">
        <v>405</v>
      </c>
      <c r="D3" s="311" t="s">
        <v>404</v>
      </c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2" t="s">
        <v>403</v>
      </c>
      <c r="AB3" s="313"/>
      <c r="AC3" s="313"/>
      <c r="AD3" s="313"/>
      <c r="AE3" s="313"/>
      <c r="AF3" s="313"/>
      <c r="AG3" s="313"/>
      <c r="AH3" s="313"/>
      <c r="AI3" s="313"/>
      <c r="AJ3" s="314"/>
    </row>
    <row r="4" spans="2:36" s="46" customFormat="1" ht="17.5" customHeight="1" x14ac:dyDescent="0.25">
      <c r="B4" s="280"/>
      <c r="C4" s="283"/>
      <c r="D4" s="296" t="s">
        <v>402</v>
      </c>
      <c r="E4" s="297"/>
      <c r="F4" s="297"/>
      <c r="G4" s="297"/>
      <c r="H4" s="297"/>
      <c r="I4" s="297"/>
      <c r="J4" s="298" t="s">
        <v>401</v>
      </c>
      <c r="K4" s="299"/>
      <c r="L4" s="299"/>
      <c r="M4" s="299"/>
      <c r="N4" s="299"/>
      <c r="O4" s="299"/>
      <c r="P4" s="299"/>
      <c r="Q4" s="299"/>
      <c r="R4" s="299"/>
      <c r="S4" s="299"/>
      <c r="T4" s="300"/>
      <c r="U4" s="272" t="s">
        <v>400</v>
      </c>
      <c r="V4" s="274"/>
      <c r="W4" s="274"/>
      <c r="X4" s="274"/>
      <c r="Y4" s="274"/>
      <c r="Z4" s="273"/>
      <c r="AA4" s="272" t="s">
        <v>399</v>
      </c>
      <c r="AB4" s="301" t="s">
        <v>398</v>
      </c>
      <c r="AC4" s="303" t="s">
        <v>397</v>
      </c>
      <c r="AD4" s="303" t="s">
        <v>306</v>
      </c>
      <c r="AE4" s="303" t="s">
        <v>396</v>
      </c>
      <c r="AF4" s="304" t="s">
        <v>395</v>
      </c>
      <c r="AG4" s="303" t="s">
        <v>394</v>
      </c>
      <c r="AH4" s="304" t="s">
        <v>393</v>
      </c>
      <c r="AI4" s="303" t="s">
        <v>392</v>
      </c>
      <c r="AJ4" s="305" t="s">
        <v>391</v>
      </c>
    </row>
    <row r="5" spans="2:36" s="46" customFormat="1" ht="37.5" customHeight="1" x14ac:dyDescent="0.25">
      <c r="B5" s="287"/>
      <c r="C5" s="289"/>
      <c r="D5" s="88" t="s">
        <v>390</v>
      </c>
      <c r="E5" s="85" t="s">
        <v>389</v>
      </c>
      <c r="F5" s="85" t="s">
        <v>388</v>
      </c>
      <c r="G5" s="85" t="s">
        <v>387</v>
      </c>
      <c r="H5" s="85" t="s">
        <v>378</v>
      </c>
      <c r="I5" s="66" t="s">
        <v>377</v>
      </c>
      <c r="J5" s="88" t="s">
        <v>381</v>
      </c>
      <c r="K5" s="85" t="s">
        <v>380</v>
      </c>
      <c r="L5" s="85" t="s">
        <v>379</v>
      </c>
      <c r="M5" s="85" t="s">
        <v>386</v>
      </c>
      <c r="N5" s="85" t="s">
        <v>386</v>
      </c>
      <c r="O5" s="85" t="s">
        <v>378</v>
      </c>
      <c r="P5" s="85" t="s">
        <v>385</v>
      </c>
      <c r="Q5" s="85" t="s">
        <v>384</v>
      </c>
      <c r="R5" s="85" t="s">
        <v>377</v>
      </c>
      <c r="S5" s="85" t="s">
        <v>383</v>
      </c>
      <c r="T5" s="87" t="s">
        <v>382</v>
      </c>
      <c r="U5" s="88" t="s">
        <v>381</v>
      </c>
      <c r="V5" s="65" t="s">
        <v>380</v>
      </c>
      <c r="W5" s="85" t="s">
        <v>379</v>
      </c>
      <c r="X5" s="85" t="s">
        <v>378</v>
      </c>
      <c r="Y5" s="85" t="s">
        <v>377</v>
      </c>
      <c r="Z5" s="87" t="s">
        <v>376</v>
      </c>
      <c r="AA5" s="285"/>
      <c r="AB5" s="302"/>
      <c r="AC5" s="266"/>
      <c r="AD5" s="266"/>
      <c r="AE5" s="266"/>
      <c r="AF5" s="266"/>
      <c r="AG5" s="266"/>
      <c r="AH5" s="266"/>
      <c r="AI5" s="266"/>
      <c r="AJ5" s="270"/>
    </row>
    <row r="6" spans="2:36" s="46" customFormat="1" ht="17.5" customHeight="1" x14ac:dyDescent="0.25">
      <c r="B6" s="279" t="s">
        <v>459</v>
      </c>
      <c r="C6" s="282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46" customFormat="1" ht="24" customHeight="1" x14ac:dyDescent="0.25">
      <c r="B7" s="280"/>
      <c r="C7" s="283"/>
      <c r="D7" s="135">
        <v>310</v>
      </c>
      <c r="E7" s="136">
        <f>K7+V7</f>
        <v>83.09999084472656</v>
      </c>
      <c r="F7" s="153" t="str">
        <f>IF(D7="","",IF(D28="","",IF(D7=(D7+D28)/2,"--",IF(D7&gt;=(D7+D28)/2,"↑","↓"))))</f>
        <v/>
      </c>
      <c r="G7" s="136">
        <v>0</v>
      </c>
      <c r="H7" s="136">
        <v>28.80645179748535</v>
      </c>
      <c r="I7" s="137">
        <v>0</v>
      </c>
      <c r="J7" s="138">
        <v>130</v>
      </c>
      <c r="K7" s="139">
        <v>27.299999237060547</v>
      </c>
      <c r="L7" s="139">
        <v>21</v>
      </c>
      <c r="M7" s="139"/>
      <c r="N7" s="139"/>
      <c r="O7" s="139">
        <v>23</v>
      </c>
      <c r="P7" s="139"/>
      <c r="Q7" s="139"/>
      <c r="R7" s="139">
        <v>25</v>
      </c>
      <c r="S7" s="139"/>
      <c r="T7" s="140"/>
      <c r="U7" s="138">
        <v>180</v>
      </c>
      <c r="V7" s="141">
        <v>55.79999923706055</v>
      </c>
      <c r="W7" s="136">
        <v>31</v>
      </c>
      <c r="X7" s="136">
        <v>33</v>
      </c>
      <c r="Y7" s="136">
        <v>35</v>
      </c>
      <c r="Z7" s="142">
        <f>U7/D7</f>
        <v>0.29032257199287415</v>
      </c>
      <c r="AA7" s="143"/>
      <c r="AB7" s="136"/>
      <c r="AC7" s="136"/>
      <c r="AD7" s="136"/>
      <c r="AE7" s="144"/>
      <c r="AF7" s="144"/>
      <c r="AG7" s="144"/>
      <c r="AH7" s="144"/>
      <c r="AI7" s="144"/>
      <c r="AJ7" s="145"/>
    </row>
    <row r="8" spans="2:36" s="46" customFormat="1" ht="17.5" customHeight="1" x14ac:dyDescent="0.25">
      <c r="B8" s="280"/>
      <c r="C8" s="283"/>
      <c r="D8" s="272" t="s">
        <v>371</v>
      </c>
      <c r="E8" s="274"/>
      <c r="F8" s="273"/>
      <c r="G8" s="272" t="s">
        <v>370</v>
      </c>
      <c r="H8" s="274"/>
      <c r="I8" s="274"/>
      <c r="J8" s="274"/>
      <c r="K8" s="274"/>
      <c r="L8" s="274"/>
      <c r="M8" s="274"/>
      <c r="N8" s="274"/>
      <c r="O8" s="273"/>
      <c r="P8" s="272" t="s">
        <v>369</v>
      </c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73"/>
      <c r="AE8" s="275" t="s">
        <v>336</v>
      </c>
      <c r="AF8" s="274"/>
      <c r="AG8" s="274"/>
      <c r="AH8" s="274"/>
      <c r="AI8" s="274"/>
      <c r="AJ8" s="273"/>
    </row>
    <row r="9" spans="2:36" s="46" customFormat="1" ht="15" customHeight="1" x14ac:dyDescent="0.25">
      <c r="B9" s="280"/>
      <c r="C9" s="283"/>
      <c r="D9" s="276" t="s">
        <v>368</v>
      </c>
      <c r="E9" s="267" t="s">
        <v>367</v>
      </c>
      <c r="F9" s="269" t="s">
        <v>366</v>
      </c>
      <c r="G9" s="276" t="s">
        <v>365</v>
      </c>
      <c r="H9" s="266"/>
      <c r="I9" s="271" t="s">
        <v>364</v>
      </c>
      <c r="J9" s="271" t="s">
        <v>363</v>
      </c>
      <c r="K9" s="271" t="s">
        <v>362</v>
      </c>
      <c r="L9" s="271" t="s">
        <v>361</v>
      </c>
      <c r="M9" s="271" t="s">
        <v>360</v>
      </c>
      <c r="N9" s="271" t="s">
        <v>359</v>
      </c>
      <c r="O9" s="277" t="s">
        <v>358</v>
      </c>
      <c r="P9" s="276" t="s">
        <v>357</v>
      </c>
      <c r="Q9" s="266"/>
      <c r="R9" s="267" t="s">
        <v>356</v>
      </c>
      <c r="S9" s="266"/>
      <c r="T9" s="266"/>
      <c r="U9" s="267" t="s">
        <v>355</v>
      </c>
      <c r="V9" s="265" t="s">
        <v>354</v>
      </c>
      <c r="W9" s="266"/>
      <c r="X9" s="265" t="s">
        <v>353</v>
      </c>
      <c r="Y9" s="266"/>
      <c r="Z9" s="266"/>
      <c r="AA9" s="265" t="s">
        <v>352</v>
      </c>
      <c r="AB9" s="267" t="s">
        <v>351</v>
      </c>
      <c r="AC9" s="268" t="s">
        <v>350</v>
      </c>
      <c r="AD9" s="269" t="s">
        <v>349</v>
      </c>
      <c r="AE9" s="278" t="s">
        <v>348</v>
      </c>
      <c r="AF9" s="266"/>
      <c r="AG9" s="266"/>
      <c r="AH9" s="271" t="s">
        <v>332</v>
      </c>
      <c r="AI9" s="266"/>
      <c r="AJ9" s="270"/>
    </row>
    <row r="10" spans="2:36" s="46" customFormat="1" ht="15" customHeight="1" x14ac:dyDescent="0.25">
      <c r="B10" s="280"/>
      <c r="C10" s="283"/>
      <c r="D10" s="285"/>
      <c r="E10" s="266"/>
      <c r="F10" s="270"/>
      <c r="G10" s="86" t="s">
        <v>347</v>
      </c>
      <c r="H10" s="83" t="s">
        <v>346</v>
      </c>
      <c r="I10" s="266"/>
      <c r="J10" s="266"/>
      <c r="K10" s="266"/>
      <c r="L10" s="266"/>
      <c r="M10" s="266"/>
      <c r="N10" s="266"/>
      <c r="O10" s="270"/>
      <c r="P10" s="86" t="s">
        <v>345</v>
      </c>
      <c r="Q10" s="83" t="s">
        <v>344</v>
      </c>
      <c r="R10" s="83" t="s">
        <v>344</v>
      </c>
      <c r="S10" s="83" t="s">
        <v>343</v>
      </c>
      <c r="T10" s="82" t="s">
        <v>342</v>
      </c>
      <c r="U10" s="266"/>
      <c r="V10" s="82" t="s">
        <v>345</v>
      </c>
      <c r="W10" s="83" t="s">
        <v>344</v>
      </c>
      <c r="X10" s="82" t="s">
        <v>344</v>
      </c>
      <c r="Y10" s="83" t="s">
        <v>343</v>
      </c>
      <c r="Z10" s="82" t="s">
        <v>342</v>
      </c>
      <c r="AA10" s="266"/>
      <c r="AB10" s="266"/>
      <c r="AC10" s="266"/>
      <c r="AD10" s="270"/>
      <c r="AE10" s="88" t="s">
        <v>1</v>
      </c>
      <c r="AF10" s="85" t="s">
        <v>12</v>
      </c>
      <c r="AG10" s="85" t="s">
        <v>15</v>
      </c>
      <c r="AH10" s="52" t="s">
        <v>103</v>
      </c>
      <c r="AI10" s="85" t="s">
        <v>341</v>
      </c>
      <c r="AJ10" s="84" t="s">
        <v>340</v>
      </c>
    </row>
    <row r="11" spans="2:36" s="46" customFormat="1" ht="17.5" customHeight="1" x14ac:dyDescent="0.25">
      <c r="B11" s="280"/>
      <c r="C11" s="283"/>
      <c r="D11" s="86" t="s">
        <v>4</v>
      </c>
      <c r="E11" s="83" t="s">
        <v>4</v>
      </c>
      <c r="F11" s="84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6" customFormat="1" ht="24" customHeight="1" x14ac:dyDescent="0.25">
      <c r="B12" s="280"/>
      <c r="C12" s="283"/>
      <c r="D12" s="154">
        <v>0.53</v>
      </c>
      <c r="E12" s="147">
        <v>0.5362497568130493</v>
      </c>
      <c r="F12" s="424" t="str">
        <f>IF(E12="","",IF(AND(E12&gt;=0.525,E12&lt;=0.53),"合格","不合格"))</f>
        <v/>
      </c>
      <c r="G12" s="135">
        <v>0.27822408080101013</v>
      </c>
      <c r="H12" s="136">
        <v>224.7231903076172</v>
      </c>
      <c r="I12" s="136">
        <v>18.643444061279297</v>
      </c>
      <c r="J12" s="136">
        <v>2.2102370262145996</v>
      </c>
      <c r="K12" s="136">
        <v>135.86846923828125</v>
      </c>
      <c r="L12" s="136">
        <v>0.6971854567527771</v>
      </c>
      <c r="M12" s="136">
        <v>146.38836669921875</v>
      </c>
      <c r="N12" s="136">
        <v>138.6705322265625</v>
      </c>
      <c r="O12" s="142">
        <v>0.40911397337913513</v>
      </c>
      <c r="P12" s="155">
        <v>29.1</v>
      </c>
      <c r="Q12" s="156" t="s">
        <v>337</v>
      </c>
      <c r="R12" s="136">
        <v>11</v>
      </c>
      <c r="S12" s="136">
        <f>R12-Q12</f>
        <v>-33.1</v>
      </c>
      <c r="T12" s="153" t="str">
        <f>IF(S12&gt;=0,"↑","↓")</f>
        <v>↓</v>
      </c>
      <c r="U12" s="144">
        <v>18</v>
      </c>
      <c r="V12" s="156">
        <v>1.6</v>
      </c>
      <c r="W12" s="156">
        <v>17.600000000000001</v>
      </c>
      <c r="X12" s="136">
        <v>13</v>
      </c>
      <c r="Y12" s="136">
        <f>X12-W12</f>
        <v>-17.600000000000001</v>
      </c>
      <c r="Z12" s="153" t="str">
        <f>IF(Y12&gt;=0,"↑","↓")</f>
        <v>↓</v>
      </c>
      <c r="AA12" s="156">
        <v>6.28</v>
      </c>
      <c r="AB12" s="136">
        <v>16.916751861572266</v>
      </c>
      <c r="AC12" s="136">
        <f>AB12-AA12</f>
        <v>-6.28</v>
      </c>
      <c r="AD12" s="153" t="str">
        <f>IF(AC12&gt;=0,"↑","↓")</f>
        <v>↓</v>
      </c>
      <c r="AE12" s="148"/>
      <c r="AF12" s="136"/>
      <c r="AG12" s="144"/>
      <c r="AH12" s="144">
        <v>1</v>
      </c>
      <c r="AI12" s="144">
        <v>2</v>
      </c>
      <c r="AJ12" s="145">
        <v>3</v>
      </c>
    </row>
    <row r="13" spans="2:36" s="46" customFormat="1" ht="15" customHeight="1" x14ac:dyDescent="0.25">
      <c r="B13" s="280"/>
      <c r="C13" s="283"/>
      <c r="D13" s="272" t="s">
        <v>336</v>
      </c>
      <c r="E13" s="273"/>
      <c r="F13" s="272" t="s">
        <v>335</v>
      </c>
      <c r="G13" s="274"/>
      <c r="H13" s="274"/>
      <c r="I13" s="274"/>
      <c r="J13" s="274"/>
      <c r="K13" s="274"/>
      <c r="L13" s="274"/>
      <c r="M13" s="273"/>
      <c r="N13" s="272" t="s">
        <v>334</v>
      </c>
      <c r="O13" s="274"/>
      <c r="P13" s="274"/>
      <c r="Q13" s="274"/>
      <c r="R13" s="274"/>
      <c r="S13" s="274"/>
      <c r="T13" s="274"/>
      <c r="U13" s="273"/>
      <c r="V13" s="275" t="s">
        <v>333</v>
      </c>
      <c r="W13" s="274"/>
      <c r="X13" s="274"/>
      <c r="Y13" s="274"/>
      <c r="Z13" s="274"/>
      <c r="AA13" s="274"/>
      <c r="AB13" s="274"/>
      <c r="AC13" s="274"/>
      <c r="AD13" s="274"/>
      <c r="AE13" s="274"/>
      <c r="AF13" s="274"/>
      <c r="AG13" s="274"/>
      <c r="AH13" s="274"/>
      <c r="AI13" s="274"/>
      <c r="AJ13" s="273"/>
    </row>
    <row r="14" spans="2:36" s="46" customFormat="1" ht="15" customHeight="1" x14ac:dyDescent="0.25">
      <c r="B14" s="280"/>
      <c r="C14" s="283"/>
      <c r="D14" s="276" t="s">
        <v>332</v>
      </c>
      <c r="E14" s="270"/>
      <c r="F14" s="276" t="s">
        <v>331</v>
      </c>
      <c r="G14" s="266"/>
      <c r="H14" s="266"/>
      <c r="I14" s="266"/>
      <c r="J14" s="266"/>
      <c r="K14" s="271" t="s">
        <v>330</v>
      </c>
      <c r="L14" s="266"/>
      <c r="M14" s="270"/>
      <c r="N14" s="276" t="s">
        <v>329</v>
      </c>
      <c r="O14" s="266"/>
      <c r="P14" s="266"/>
      <c r="Q14" s="266"/>
      <c r="R14" s="266"/>
      <c r="S14" s="267" t="s">
        <v>328</v>
      </c>
      <c r="T14" s="266"/>
      <c r="U14" s="270"/>
      <c r="V14" s="278" t="s">
        <v>327</v>
      </c>
      <c r="W14" s="266"/>
      <c r="X14" s="266"/>
      <c r="Y14" s="266"/>
      <c r="Z14" s="271" t="s">
        <v>326</v>
      </c>
      <c r="AA14" s="266"/>
      <c r="AB14" s="266"/>
      <c r="AC14" s="266"/>
      <c r="AD14" s="266"/>
      <c r="AE14" s="266"/>
      <c r="AF14" s="266"/>
      <c r="AG14" s="266"/>
      <c r="AH14" s="266"/>
      <c r="AI14" s="266"/>
      <c r="AJ14" s="270"/>
    </row>
    <row r="15" spans="2:36" s="46" customFormat="1" ht="25" customHeight="1" x14ac:dyDescent="0.25">
      <c r="B15" s="280"/>
      <c r="C15" s="283"/>
      <c r="D15" s="86" t="s">
        <v>325</v>
      </c>
      <c r="E15" s="84" t="s">
        <v>322</v>
      </c>
      <c r="F15" s="86" t="s">
        <v>324</v>
      </c>
      <c r="G15" s="83" t="s">
        <v>317</v>
      </c>
      <c r="H15" s="83" t="s">
        <v>323</v>
      </c>
      <c r="I15" s="85" t="s">
        <v>15</v>
      </c>
      <c r="J15" s="52" t="s">
        <v>322</v>
      </c>
      <c r="K15" s="85" t="s">
        <v>321</v>
      </c>
      <c r="L15" s="85" t="s">
        <v>320</v>
      </c>
      <c r="M15" s="84" t="s">
        <v>319</v>
      </c>
      <c r="N15" s="86" t="s">
        <v>324</v>
      </c>
      <c r="O15" s="83" t="s">
        <v>317</v>
      </c>
      <c r="P15" s="83" t="s">
        <v>323</v>
      </c>
      <c r="Q15" s="83" t="s">
        <v>15</v>
      </c>
      <c r="R15" s="82" t="s">
        <v>322</v>
      </c>
      <c r="S15" s="85" t="s">
        <v>321</v>
      </c>
      <c r="T15" s="85" t="s">
        <v>320</v>
      </c>
      <c r="U15" s="84" t="s">
        <v>319</v>
      </c>
      <c r="V15" s="88" t="s">
        <v>318</v>
      </c>
      <c r="W15" s="85" t="s">
        <v>317</v>
      </c>
      <c r="X15" s="85" t="s">
        <v>316</v>
      </c>
      <c r="Y15" s="85" t="s">
        <v>315</v>
      </c>
      <c r="Z15" s="85" t="s">
        <v>314</v>
      </c>
      <c r="AA15" s="85" t="s">
        <v>313</v>
      </c>
      <c r="AB15" s="85" t="s">
        <v>312</v>
      </c>
      <c r="AC15" s="85" t="s">
        <v>311</v>
      </c>
      <c r="AD15" s="85" t="s">
        <v>310</v>
      </c>
      <c r="AE15" s="85" t="s">
        <v>309</v>
      </c>
      <c r="AF15" s="85" t="s">
        <v>308</v>
      </c>
      <c r="AG15" s="85" t="s">
        <v>307</v>
      </c>
      <c r="AH15" s="85" t="s">
        <v>306</v>
      </c>
      <c r="AI15" s="85" t="s">
        <v>305</v>
      </c>
      <c r="AJ15" s="87" t="s">
        <v>304</v>
      </c>
    </row>
    <row r="16" spans="2:36" s="46" customFormat="1" ht="15" customHeight="1" x14ac:dyDescent="0.25">
      <c r="B16" s="280"/>
      <c r="C16" s="283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3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6" customFormat="1" ht="24" customHeight="1" x14ac:dyDescent="0.25">
      <c r="B17" s="280"/>
      <c r="C17" s="283"/>
      <c r="D17" s="148">
        <v>4</v>
      </c>
      <c r="E17" s="142">
        <v>5</v>
      </c>
      <c r="F17" s="148">
        <v>9.894845962524414</v>
      </c>
      <c r="G17" s="144">
        <v>19.90707778930664</v>
      </c>
      <c r="H17" s="144">
        <v>10.012231826782227</v>
      </c>
      <c r="I17" s="136">
        <v>92.85958099365234</v>
      </c>
      <c r="J17" s="136">
        <v>3.9923055171966553</v>
      </c>
      <c r="K17" s="136">
        <v>27.299999237060547</v>
      </c>
      <c r="L17" s="136">
        <v>0</v>
      </c>
      <c r="M17" s="142">
        <v>25</v>
      </c>
      <c r="N17" s="135">
        <v>50</v>
      </c>
      <c r="O17" s="136">
        <v>0</v>
      </c>
      <c r="P17" s="136">
        <v>-50</v>
      </c>
      <c r="Q17" s="136">
        <v>50</v>
      </c>
      <c r="R17" s="136"/>
      <c r="S17" s="136">
        <v>55.79999923706055</v>
      </c>
      <c r="T17" s="136">
        <v>0</v>
      </c>
      <c r="U17" s="142">
        <v>35</v>
      </c>
      <c r="V17" s="135">
        <v>0.8497411608695984</v>
      </c>
      <c r="W17" s="136">
        <v>32.57920837402344</v>
      </c>
      <c r="X17" s="136">
        <v>-54.760494232177734</v>
      </c>
      <c r="Y17" s="136"/>
      <c r="Z17" s="136">
        <v>31.385629653930664</v>
      </c>
      <c r="AA17" s="136">
        <v>0</v>
      </c>
      <c r="AB17" s="136">
        <v>0</v>
      </c>
      <c r="AC17" s="136">
        <v>3.390998125076294</v>
      </c>
      <c r="AD17" s="136">
        <v>0.0003963238559663296</v>
      </c>
      <c r="AE17" s="136" t="e">
        <f>Z17/AB17</f>
        <v>#DIV/0!</v>
      </c>
      <c r="AF17" s="136">
        <v>1008.4140014648438</v>
      </c>
      <c r="AG17" s="136">
        <v>734.559814453125</v>
      </c>
      <c r="AH17" s="136" t="e">
        <f>AF17/(Z17-AB17)</f>
        <v>#DIV/0!</v>
      </c>
      <c r="AI17" s="156" t="s">
        <v>296</v>
      </c>
      <c r="AJ17" s="153" t="e">
        <f>IF((AH17-AI17)&gt;=0,"↑","↓")</f>
        <v>#DIV/0!</v>
      </c>
    </row>
    <row r="18" spans="2:36" s="46" customFormat="1" ht="15" customHeight="1" x14ac:dyDescent="0.25">
      <c r="B18" s="280"/>
      <c r="C18" s="283"/>
      <c r="D18" s="275" t="s">
        <v>295</v>
      </c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3"/>
      <c r="R18" s="89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5" t="s">
        <v>82</v>
      </c>
    </row>
    <row r="19" spans="2:36" s="46" customFormat="1" ht="15" customHeight="1" x14ac:dyDescent="0.25">
      <c r="B19" s="280"/>
      <c r="C19" s="283"/>
      <c r="D19" s="278" t="s">
        <v>294</v>
      </c>
      <c r="E19" s="266"/>
      <c r="F19" s="266"/>
      <c r="G19" s="271" t="s">
        <v>293</v>
      </c>
      <c r="H19" s="266"/>
      <c r="I19" s="266"/>
      <c r="J19" s="271" t="s">
        <v>292</v>
      </c>
      <c r="K19" s="266"/>
      <c r="L19" s="266"/>
      <c r="M19" s="271" t="s">
        <v>291</v>
      </c>
      <c r="N19" s="271" t="s">
        <v>290</v>
      </c>
      <c r="O19" s="271" t="s">
        <v>289</v>
      </c>
      <c r="P19" s="271" t="s">
        <v>225</v>
      </c>
      <c r="Q19" s="277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458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80"/>
      <c r="C20" s="283"/>
      <c r="D20" s="88" t="s">
        <v>287</v>
      </c>
      <c r="E20" s="85" t="s">
        <v>286</v>
      </c>
      <c r="F20" s="85" t="s">
        <v>285</v>
      </c>
      <c r="G20" s="85" t="s">
        <v>287</v>
      </c>
      <c r="H20" s="85" t="s">
        <v>286</v>
      </c>
      <c r="I20" s="85" t="s">
        <v>285</v>
      </c>
      <c r="J20" s="85" t="s">
        <v>287</v>
      </c>
      <c r="K20" s="85" t="s">
        <v>286</v>
      </c>
      <c r="L20" s="85" t="s">
        <v>285</v>
      </c>
      <c r="M20" s="266"/>
      <c r="N20" s="266"/>
      <c r="O20" s="266"/>
      <c r="P20" s="266"/>
      <c r="Q20" s="270"/>
      <c r="R20" s="86" t="s">
        <v>4</v>
      </c>
      <c r="S20" s="83" t="s">
        <v>4</v>
      </c>
      <c r="T20" s="83" t="s">
        <v>4</v>
      </c>
      <c r="U20" s="83" t="s">
        <v>82</v>
      </c>
      <c r="V20" s="83" t="s">
        <v>82</v>
      </c>
      <c r="W20" s="85" t="s">
        <v>82</v>
      </c>
      <c r="X20" s="83" t="s">
        <v>82</v>
      </c>
      <c r="Y20" s="83" t="s">
        <v>82</v>
      </c>
      <c r="Z20" s="85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80"/>
      <c r="C21" s="283" t="s">
        <v>460</v>
      </c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6" customFormat="1" ht="24" customHeight="1" x14ac:dyDescent="0.25">
      <c r="B22" s="280"/>
      <c r="C22" s="283"/>
      <c r="D22" s="149">
        <v>51</v>
      </c>
      <c r="E22" s="150">
        <v>57</v>
      </c>
      <c r="F22" s="150">
        <f>D22-E22</f>
        <v>0</v>
      </c>
      <c r="G22" s="150">
        <v>53</v>
      </c>
      <c r="H22" s="150">
        <v>59</v>
      </c>
      <c r="I22" s="150">
        <f>G22-H22</f>
        <v>0</v>
      </c>
      <c r="J22" s="150">
        <v>55</v>
      </c>
      <c r="K22" s="150">
        <v>61</v>
      </c>
      <c r="L22" s="150">
        <f>J22-K22</f>
        <v>0</v>
      </c>
      <c r="M22" s="150">
        <v>-2.580472230911255</v>
      </c>
      <c r="N22" s="150">
        <v>64</v>
      </c>
      <c r="O22" s="150" t="e">
        <f>N22/M22</f>
        <v>#DIV/0!</v>
      </c>
      <c r="P22" s="150">
        <v>62</v>
      </c>
      <c r="Q22" s="157">
        <v>301</v>
      </c>
      <c r="R22" s="149" t="s">
        <v>4</v>
      </c>
      <c r="S22" s="150" t="s">
        <v>4</v>
      </c>
      <c r="T22" s="150" t="s">
        <v>4</v>
      </c>
      <c r="U22" s="150" t="s">
        <v>82</v>
      </c>
      <c r="V22" s="150" t="s">
        <v>82</v>
      </c>
      <c r="W22" s="150" t="s">
        <v>82</v>
      </c>
      <c r="X22" s="150" t="s">
        <v>82</v>
      </c>
      <c r="Y22" s="150" t="s">
        <v>82</v>
      </c>
      <c r="Z22" s="150" t="s">
        <v>82</v>
      </c>
      <c r="AA22" s="150" t="s">
        <v>82</v>
      </c>
      <c r="AB22" s="150" t="s">
        <v>82</v>
      </c>
      <c r="AC22" s="150" t="s">
        <v>82</v>
      </c>
      <c r="AD22" s="150" t="s">
        <v>82</v>
      </c>
      <c r="AE22" s="151" t="s">
        <v>82</v>
      </c>
      <c r="AF22" s="151" t="s">
        <v>82</v>
      </c>
      <c r="AG22" s="151" t="s">
        <v>82</v>
      </c>
      <c r="AH22" s="151" t="s">
        <v>82</v>
      </c>
      <c r="AI22" s="151" t="s">
        <v>82</v>
      </c>
      <c r="AJ22" s="152" t="s">
        <v>82</v>
      </c>
    </row>
    <row r="23" spans="2:36" s="46" customFormat="1" ht="7.5" customHeight="1" x14ac:dyDescent="0.25">
      <c r="B23" s="96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7"/>
    </row>
    <row r="24" spans="2:36" s="46" customFormat="1" ht="17.5" customHeight="1" x14ac:dyDescent="0.25">
      <c r="B24" s="286" t="s">
        <v>406</v>
      </c>
      <c r="C24" s="288" t="s">
        <v>405</v>
      </c>
      <c r="D24" s="290" t="s">
        <v>404</v>
      </c>
      <c r="E24" s="291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  <c r="S24" s="291"/>
      <c r="T24" s="291"/>
      <c r="U24" s="291"/>
      <c r="V24" s="291"/>
      <c r="W24" s="291"/>
      <c r="X24" s="291"/>
      <c r="Y24" s="291"/>
      <c r="Z24" s="292"/>
      <c r="AA24" s="293" t="s">
        <v>403</v>
      </c>
      <c r="AB24" s="294"/>
      <c r="AC24" s="294"/>
      <c r="AD24" s="294"/>
      <c r="AE24" s="294"/>
      <c r="AF24" s="294"/>
      <c r="AG24" s="294"/>
      <c r="AH24" s="294"/>
      <c r="AI24" s="294"/>
      <c r="AJ24" s="295"/>
    </row>
    <row r="25" spans="2:36" s="46" customFormat="1" ht="17.5" customHeight="1" x14ac:dyDescent="0.25">
      <c r="B25" s="280"/>
      <c r="C25" s="283"/>
      <c r="D25" s="296" t="s">
        <v>402</v>
      </c>
      <c r="E25" s="297"/>
      <c r="F25" s="297"/>
      <c r="G25" s="297"/>
      <c r="H25" s="297"/>
      <c r="I25" s="297"/>
      <c r="J25" s="298" t="s">
        <v>401</v>
      </c>
      <c r="K25" s="299"/>
      <c r="L25" s="299"/>
      <c r="M25" s="299"/>
      <c r="N25" s="299"/>
      <c r="O25" s="299"/>
      <c r="P25" s="299"/>
      <c r="Q25" s="299"/>
      <c r="R25" s="299"/>
      <c r="S25" s="299"/>
      <c r="T25" s="300"/>
      <c r="U25" s="272" t="s">
        <v>400</v>
      </c>
      <c r="V25" s="274"/>
      <c r="W25" s="274"/>
      <c r="X25" s="274"/>
      <c r="Y25" s="274"/>
      <c r="Z25" s="273"/>
      <c r="AA25" s="272" t="s">
        <v>399</v>
      </c>
      <c r="AB25" s="301" t="s">
        <v>398</v>
      </c>
      <c r="AC25" s="303" t="s">
        <v>397</v>
      </c>
      <c r="AD25" s="303" t="s">
        <v>306</v>
      </c>
      <c r="AE25" s="303" t="s">
        <v>396</v>
      </c>
      <c r="AF25" s="304" t="s">
        <v>395</v>
      </c>
      <c r="AG25" s="303" t="s">
        <v>394</v>
      </c>
      <c r="AH25" s="304" t="s">
        <v>393</v>
      </c>
      <c r="AI25" s="303" t="s">
        <v>392</v>
      </c>
      <c r="AJ25" s="305" t="s">
        <v>391</v>
      </c>
    </row>
    <row r="26" spans="2:36" s="46" customFormat="1" ht="37.5" customHeight="1" x14ac:dyDescent="0.25">
      <c r="B26" s="287"/>
      <c r="C26" s="289"/>
      <c r="D26" s="88" t="s">
        <v>390</v>
      </c>
      <c r="E26" s="85" t="s">
        <v>389</v>
      </c>
      <c r="F26" s="85" t="s">
        <v>388</v>
      </c>
      <c r="G26" s="85" t="s">
        <v>387</v>
      </c>
      <c r="H26" s="85" t="s">
        <v>378</v>
      </c>
      <c r="I26" s="66" t="s">
        <v>377</v>
      </c>
      <c r="J26" s="88" t="s">
        <v>381</v>
      </c>
      <c r="K26" s="85" t="s">
        <v>380</v>
      </c>
      <c r="L26" s="85" t="s">
        <v>379</v>
      </c>
      <c r="M26" s="85" t="s">
        <v>386</v>
      </c>
      <c r="N26" s="85" t="s">
        <v>386</v>
      </c>
      <c r="O26" s="85" t="s">
        <v>378</v>
      </c>
      <c r="P26" s="85" t="s">
        <v>385</v>
      </c>
      <c r="Q26" s="85" t="s">
        <v>384</v>
      </c>
      <c r="R26" s="85" t="s">
        <v>377</v>
      </c>
      <c r="S26" s="85" t="s">
        <v>383</v>
      </c>
      <c r="T26" s="87" t="s">
        <v>382</v>
      </c>
      <c r="U26" s="88" t="s">
        <v>381</v>
      </c>
      <c r="V26" s="65" t="s">
        <v>380</v>
      </c>
      <c r="W26" s="85" t="s">
        <v>379</v>
      </c>
      <c r="X26" s="85" t="s">
        <v>378</v>
      </c>
      <c r="Y26" s="85" t="s">
        <v>377</v>
      </c>
      <c r="Z26" s="87" t="s">
        <v>376</v>
      </c>
      <c r="AA26" s="285"/>
      <c r="AB26" s="302"/>
      <c r="AC26" s="266"/>
      <c r="AD26" s="266"/>
      <c r="AE26" s="266"/>
      <c r="AF26" s="266"/>
      <c r="AG26" s="266"/>
      <c r="AH26" s="266"/>
      <c r="AI26" s="266"/>
      <c r="AJ26" s="270"/>
    </row>
    <row r="27" spans="2:36" s="46" customFormat="1" ht="17.5" customHeight="1" x14ac:dyDescent="0.25">
      <c r="B27" s="279" t="s">
        <v>459</v>
      </c>
      <c r="C27" s="282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46" customFormat="1" ht="24" customHeight="1" x14ac:dyDescent="0.25">
      <c r="B28" s="280"/>
      <c r="C28" s="283"/>
      <c r="D28" s="135">
        <v>310</v>
      </c>
      <c r="E28" s="136">
        <f>K28+V28</f>
        <v>83.09999084472656</v>
      </c>
      <c r="F28" s="153" t="str">
        <f>IF(D28="","",IF(D7="","",IF(D28=(D7+D28)/2,"--",IF(D28&gt;=(D7+D28)/2,"↑","↓"))))</f>
        <v/>
      </c>
      <c r="G28" s="136">
        <v>0</v>
      </c>
      <c r="H28" s="136">
        <v>28.80645179748535</v>
      </c>
      <c r="I28" s="137">
        <v>0</v>
      </c>
      <c r="J28" s="138">
        <v>130</v>
      </c>
      <c r="K28" s="139">
        <v>27.299999237060547</v>
      </c>
      <c r="L28" s="139">
        <v>21</v>
      </c>
      <c r="M28" s="139"/>
      <c r="N28" s="139"/>
      <c r="O28" s="139">
        <v>23</v>
      </c>
      <c r="P28" s="139"/>
      <c r="Q28" s="139"/>
      <c r="R28" s="139">
        <v>25</v>
      </c>
      <c r="S28" s="139"/>
      <c r="T28" s="140"/>
      <c r="U28" s="138">
        <v>180</v>
      </c>
      <c r="V28" s="141">
        <v>55.79999923706055</v>
      </c>
      <c r="W28" s="136">
        <v>31</v>
      </c>
      <c r="X28" s="136">
        <v>33</v>
      </c>
      <c r="Y28" s="136">
        <v>35</v>
      </c>
      <c r="Z28" s="142">
        <f>U28/D28</f>
        <v>0.29032257199287415</v>
      </c>
      <c r="AA28" s="143"/>
      <c r="AB28" s="136"/>
      <c r="AC28" s="136"/>
      <c r="AD28" s="136"/>
      <c r="AE28" s="144"/>
      <c r="AF28" s="144"/>
      <c r="AG28" s="144"/>
      <c r="AH28" s="144"/>
      <c r="AI28" s="144"/>
      <c r="AJ28" s="145"/>
    </row>
    <row r="29" spans="2:36" s="46" customFormat="1" ht="17.5" customHeight="1" x14ac:dyDescent="0.25">
      <c r="B29" s="280"/>
      <c r="C29" s="283"/>
      <c r="D29" s="272" t="s">
        <v>371</v>
      </c>
      <c r="E29" s="274"/>
      <c r="F29" s="273"/>
      <c r="G29" s="272" t="s">
        <v>370</v>
      </c>
      <c r="H29" s="274"/>
      <c r="I29" s="274"/>
      <c r="J29" s="274"/>
      <c r="K29" s="274"/>
      <c r="L29" s="274"/>
      <c r="M29" s="274"/>
      <c r="N29" s="274"/>
      <c r="O29" s="273"/>
      <c r="P29" s="272" t="s">
        <v>369</v>
      </c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3"/>
      <c r="AE29" s="275" t="s">
        <v>336</v>
      </c>
      <c r="AF29" s="274"/>
      <c r="AG29" s="274"/>
      <c r="AH29" s="274"/>
      <c r="AI29" s="274"/>
      <c r="AJ29" s="273"/>
    </row>
    <row r="30" spans="2:36" s="46" customFormat="1" ht="15" customHeight="1" x14ac:dyDescent="0.25">
      <c r="B30" s="280"/>
      <c r="C30" s="283"/>
      <c r="D30" s="276" t="s">
        <v>368</v>
      </c>
      <c r="E30" s="267" t="s">
        <v>367</v>
      </c>
      <c r="F30" s="269" t="s">
        <v>366</v>
      </c>
      <c r="G30" s="276" t="s">
        <v>365</v>
      </c>
      <c r="H30" s="266"/>
      <c r="I30" s="271" t="s">
        <v>364</v>
      </c>
      <c r="J30" s="271" t="s">
        <v>363</v>
      </c>
      <c r="K30" s="271" t="s">
        <v>362</v>
      </c>
      <c r="L30" s="271" t="s">
        <v>361</v>
      </c>
      <c r="M30" s="271" t="s">
        <v>360</v>
      </c>
      <c r="N30" s="271" t="s">
        <v>359</v>
      </c>
      <c r="O30" s="277" t="s">
        <v>358</v>
      </c>
      <c r="P30" s="276" t="s">
        <v>357</v>
      </c>
      <c r="Q30" s="266"/>
      <c r="R30" s="267" t="s">
        <v>356</v>
      </c>
      <c r="S30" s="266"/>
      <c r="T30" s="266"/>
      <c r="U30" s="267" t="s">
        <v>355</v>
      </c>
      <c r="V30" s="265" t="s">
        <v>354</v>
      </c>
      <c r="W30" s="266"/>
      <c r="X30" s="265" t="s">
        <v>353</v>
      </c>
      <c r="Y30" s="266"/>
      <c r="Z30" s="266"/>
      <c r="AA30" s="265" t="s">
        <v>352</v>
      </c>
      <c r="AB30" s="267" t="s">
        <v>351</v>
      </c>
      <c r="AC30" s="268" t="s">
        <v>350</v>
      </c>
      <c r="AD30" s="269" t="s">
        <v>349</v>
      </c>
      <c r="AE30" s="278" t="s">
        <v>348</v>
      </c>
      <c r="AF30" s="266"/>
      <c r="AG30" s="266"/>
      <c r="AH30" s="271" t="s">
        <v>332</v>
      </c>
      <c r="AI30" s="266"/>
      <c r="AJ30" s="270"/>
    </row>
    <row r="31" spans="2:36" s="46" customFormat="1" ht="15" customHeight="1" x14ac:dyDescent="0.25">
      <c r="B31" s="280"/>
      <c r="C31" s="283"/>
      <c r="D31" s="285"/>
      <c r="E31" s="266"/>
      <c r="F31" s="270"/>
      <c r="G31" s="86" t="s">
        <v>347</v>
      </c>
      <c r="H31" s="83" t="s">
        <v>346</v>
      </c>
      <c r="I31" s="266"/>
      <c r="J31" s="266"/>
      <c r="K31" s="266"/>
      <c r="L31" s="266"/>
      <c r="M31" s="266"/>
      <c r="N31" s="266"/>
      <c r="O31" s="270"/>
      <c r="P31" s="86" t="s">
        <v>345</v>
      </c>
      <c r="Q31" s="83" t="s">
        <v>344</v>
      </c>
      <c r="R31" s="83" t="s">
        <v>344</v>
      </c>
      <c r="S31" s="83" t="s">
        <v>343</v>
      </c>
      <c r="T31" s="82" t="s">
        <v>342</v>
      </c>
      <c r="U31" s="266"/>
      <c r="V31" s="82" t="s">
        <v>345</v>
      </c>
      <c r="W31" s="83" t="s">
        <v>344</v>
      </c>
      <c r="X31" s="82" t="s">
        <v>344</v>
      </c>
      <c r="Y31" s="83" t="s">
        <v>343</v>
      </c>
      <c r="Z31" s="82" t="s">
        <v>342</v>
      </c>
      <c r="AA31" s="266"/>
      <c r="AB31" s="266"/>
      <c r="AC31" s="266"/>
      <c r="AD31" s="270"/>
      <c r="AE31" s="88" t="s">
        <v>1</v>
      </c>
      <c r="AF31" s="85" t="s">
        <v>12</v>
      </c>
      <c r="AG31" s="85" t="s">
        <v>15</v>
      </c>
      <c r="AH31" s="52" t="s">
        <v>103</v>
      </c>
      <c r="AI31" s="85" t="s">
        <v>341</v>
      </c>
      <c r="AJ31" s="84" t="s">
        <v>340</v>
      </c>
    </row>
    <row r="32" spans="2:36" s="46" customFormat="1" ht="17.5" customHeight="1" x14ac:dyDescent="0.25">
      <c r="B32" s="280"/>
      <c r="C32" s="283"/>
      <c r="D32" s="86" t="s">
        <v>4</v>
      </c>
      <c r="E32" s="83" t="s">
        <v>4</v>
      </c>
      <c r="F32" s="84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6" customFormat="1" ht="24" customHeight="1" x14ac:dyDescent="0.25">
      <c r="B33" s="280"/>
      <c r="C33" s="283"/>
      <c r="D33" s="154">
        <v>0.53</v>
      </c>
      <c r="E33" s="147">
        <v>0.5260786414146423</v>
      </c>
      <c r="F33" s="424" t="str">
        <f>IF(E33="","",IF(AND(E33&gt;=0.525,E33&lt;=0.53),"合格","不合格"))</f>
        <v/>
      </c>
      <c r="G33" s="135">
        <v>-0.22826603055000305</v>
      </c>
      <c r="H33" s="136">
        <v>417.0899658203125</v>
      </c>
      <c r="I33" s="136">
        <v>-15.353557586669922</v>
      </c>
      <c r="J33" s="136">
        <v>0.7553460001945496</v>
      </c>
      <c r="K33" s="136">
        <v>74.58465576171875</v>
      </c>
      <c r="L33" s="136">
        <v>0.27982738614082336</v>
      </c>
      <c r="M33" s="136">
        <v>99.59310150146484</v>
      </c>
      <c r="N33" s="136">
        <v>76.06156158447266</v>
      </c>
      <c r="O33" s="142">
        <v>0.1707627922296524</v>
      </c>
      <c r="P33" s="155">
        <v>29.1</v>
      </c>
      <c r="Q33" s="156" t="s">
        <v>337</v>
      </c>
      <c r="R33" s="136">
        <v>11</v>
      </c>
      <c r="S33" s="136">
        <f>R33-33.1</f>
        <v>-33.1</v>
      </c>
      <c r="T33" s="153" t="str">
        <f>IF(S33&gt;=0,"↑","↓")</f>
        <v>↓</v>
      </c>
      <c r="U33" s="144">
        <v>18</v>
      </c>
      <c r="V33" s="156">
        <v>1.6</v>
      </c>
      <c r="W33" s="156">
        <v>17.600000000000001</v>
      </c>
      <c r="X33" s="136">
        <v>13</v>
      </c>
      <c r="Y33" s="136">
        <f>X33-W33</f>
        <v>-17.600000000000001</v>
      </c>
      <c r="Z33" s="153" t="str">
        <f>IF(Y33&gt;=0,"↑","↓")</f>
        <v>↓</v>
      </c>
      <c r="AA33" s="156">
        <v>6.28</v>
      </c>
      <c r="AB33" s="136">
        <v>2.5521914958953857</v>
      </c>
      <c r="AC33" s="136">
        <f>AB33-AA33</f>
        <v>-6.28</v>
      </c>
      <c r="AD33" s="153" t="str">
        <f>IF(AC33&gt;=0,"↑","↓")</f>
        <v>↓</v>
      </c>
      <c r="AE33" s="148"/>
      <c r="AF33" s="136"/>
      <c r="AG33" s="144"/>
      <c r="AH33" s="144">
        <v>1</v>
      </c>
      <c r="AI33" s="144">
        <v>2</v>
      </c>
      <c r="AJ33" s="145">
        <v>3</v>
      </c>
    </row>
    <row r="34" spans="2:36" s="46" customFormat="1" ht="15" customHeight="1" x14ac:dyDescent="0.25">
      <c r="B34" s="280"/>
      <c r="C34" s="283"/>
      <c r="D34" s="272" t="s">
        <v>336</v>
      </c>
      <c r="E34" s="273"/>
      <c r="F34" s="272" t="s">
        <v>335</v>
      </c>
      <c r="G34" s="274"/>
      <c r="H34" s="274"/>
      <c r="I34" s="274"/>
      <c r="J34" s="274"/>
      <c r="K34" s="274"/>
      <c r="L34" s="274"/>
      <c r="M34" s="273"/>
      <c r="N34" s="272" t="s">
        <v>334</v>
      </c>
      <c r="O34" s="274"/>
      <c r="P34" s="274"/>
      <c r="Q34" s="274"/>
      <c r="R34" s="274"/>
      <c r="S34" s="274"/>
      <c r="T34" s="274"/>
      <c r="U34" s="273"/>
      <c r="V34" s="275" t="s">
        <v>333</v>
      </c>
      <c r="W34" s="274"/>
      <c r="X34" s="274"/>
      <c r="Y34" s="274"/>
      <c r="Z34" s="274"/>
      <c r="AA34" s="274"/>
      <c r="AB34" s="274"/>
      <c r="AC34" s="274"/>
      <c r="AD34" s="274"/>
      <c r="AE34" s="274"/>
      <c r="AF34" s="274"/>
      <c r="AG34" s="274"/>
      <c r="AH34" s="274"/>
      <c r="AI34" s="274"/>
      <c r="AJ34" s="273"/>
    </row>
    <row r="35" spans="2:36" s="46" customFormat="1" ht="15" customHeight="1" x14ac:dyDescent="0.25">
      <c r="B35" s="280"/>
      <c r="C35" s="283"/>
      <c r="D35" s="276" t="s">
        <v>332</v>
      </c>
      <c r="E35" s="270"/>
      <c r="F35" s="276" t="s">
        <v>331</v>
      </c>
      <c r="G35" s="266"/>
      <c r="H35" s="266"/>
      <c r="I35" s="266"/>
      <c r="J35" s="266"/>
      <c r="K35" s="271" t="s">
        <v>330</v>
      </c>
      <c r="L35" s="266"/>
      <c r="M35" s="270"/>
      <c r="N35" s="276" t="s">
        <v>329</v>
      </c>
      <c r="O35" s="266"/>
      <c r="P35" s="266"/>
      <c r="Q35" s="266"/>
      <c r="R35" s="266"/>
      <c r="S35" s="267" t="s">
        <v>328</v>
      </c>
      <c r="T35" s="266"/>
      <c r="U35" s="270"/>
      <c r="V35" s="278" t="s">
        <v>327</v>
      </c>
      <c r="W35" s="266"/>
      <c r="X35" s="266"/>
      <c r="Y35" s="266"/>
      <c r="Z35" s="271" t="s">
        <v>326</v>
      </c>
      <c r="AA35" s="266"/>
      <c r="AB35" s="266"/>
      <c r="AC35" s="266"/>
      <c r="AD35" s="266"/>
      <c r="AE35" s="266"/>
      <c r="AF35" s="266"/>
      <c r="AG35" s="266"/>
      <c r="AH35" s="266"/>
      <c r="AI35" s="266"/>
      <c r="AJ35" s="270"/>
    </row>
    <row r="36" spans="2:36" s="46" customFormat="1" ht="25" customHeight="1" x14ac:dyDescent="0.25">
      <c r="B36" s="280"/>
      <c r="C36" s="283"/>
      <c r="D36" s="86" t="s">
        <v>325</v>
      </c>
      <c r="E36" s="84" t="s">
        <v>322</v>
      </c>
      <c r="F36" s="86" t="s">
        <v>324</v>
      </c>
      <c r="G36" s="83" t="s">
        <v>317</v>
      </c>
      <c r="H36" s="83" t="s">
        <v>323</v>
      </c>
      <c r="I36" s="85" t="s">
        <v>15</v>
      </c>
      <c r="J36" s="52" t="s">
        <v>322</v>
      </c>
      <c r="K36" s="85" t="s">
        <v>321</v>
      </c>
      <c r="L36" s="85" t="s">
        <v>320</v>
      </c>
      <c r="M36" s="84" t="s">
        <v>319</v>
      </c>
      <c r="N36" s="86" t="s">
        <v>324</v>
      </c>
      <c r="O36" s="83" t="s">
        <v>317</v>
      </c>
      <c r="P36" s="83" t="s">
        <v>323</v>
      </c>
      <c r="Q36" s="83" t="s">
        <v>15</v>
      </c>
      <c r="R36" s="82" t="s">
        <v>322</v>
      </c>
      <c r="S36" s="85" t="s">
        <v>321</v>
      </c>
      <c r="T36" s="85" t="s">
        <v>320</v>
      </c>
      <c r="U36" s="84" t="s">
        <v>319</v>
      </c>
      <c r="V36" s="88" t="s">
        <v>318</v>
      </c>
      <c r="W36" s="85" t="s">
        <v>317</v>
      </c>
      <c r="X36" s="85" t="s">
        <v>316</v>
      </c>
      <c r="Y36" s="85" t="s">
        <v>315</v>
      </c>
      <c r="Z36" s="85" t="s">
        <v>314</v>
      </c>
      <c r="AA36" s="85" t="s">
        <v>313</v>
      </c>
      <c r="AB36" s="85" t="s">
        <v>312</v>
      </c>
      <c r="AC36" s="85" t="s">
        <v>311</v>
      </c>
      <c r="AD36" s="85" t="s">
        <v>310</v>
      </c>
      <c r="AE36" s="85" t="s">
        <v>309</v>
      </c>
      <c r="AF36" s="85" t="s">
        <v>308</v>
      </c>
      <c r="AG36" s="85" t="s">
        <v>307</v>
      </c>
      <c r="AH36" s="85" t="s">
        <v>306</v>
      </c>
      <c r="AI36" s="85" t="s">
        <v>305</v>
      </c>
      <c r="AJ36" s="87" t="s">
        <v>304</v>
      </c>
    </row>
    <row r="37" spans="2:36" s="46" customFormat="1" ht="15" customHeight="1" x14ac:dyDescent="0.25">
      <c r="B37" s="280"/>
      <c r="C37" s="283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3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6" customFormat="1" ht="24" customHeight="1" x14ac:dyDescent="0.25">
      <c r="B38" s="280"/>
      <c r="C38" s="283"/>
      <c r="D38" s="148">
        <v>4</v>
      </c>
      <c r="E38" s="142">
        <v>5</v>
      </c>
      <c r="F38" s="148">
        <v>11.178023338317871</v>
      </c>
      <c r="G38" s="144">
        <v>18.780141830444336</v>
      </c>
      <c r="H38" s="144">
        <v>7.602118492126465</v>
      </c>
      <c r="I38" s="136">
        <v>93.03958129882812</v>
      </c>
      <c r="J38" s="136">
        <v>2.5</v>
      </c>
      <c r="K38" s="136">
        <v>27.299999237060547</v>
      </c>
      <c r="L38" s="136">
        <v>0</v>
      </c>
      <c r="M38" s="142">
        <v>25</v>
      </c>
      <c r="N38" s="135">
        <v>50</v>
      </c>
      <c r="O38" s="136">
        <v>0</v>
      </c>
      <c r="P38" s="136">
        <v>-50</v>
      </c>
      <c r="Q38" s="136">
        <v>50</v>
      </c>
      <c r="R38" s="136"/>
      <c r="S38" s="136">
        <v>55.79999923706055</v>
      </c>
      <c r="T38" s="136">
        <v>0</v>
      </c>
      <c r="U38" s="142">
        <v>35</v>
      </c>
      <c r="V38" s="135">
        <v>3.4480056762695312</v>
      </c>
      <c r="W38" s="136">
        <v>26.584199905395508</v>
      </c>
      <c r="X38" s="136">
        <v>-88.99740600585938</v>
      </c>
      <c r="Y38" s="136"/>
      <c r="Z38" s="136">
        <v>0.3707313537597656</v>
      </c>
      <c r="AA38" s="136">
        <v>0</v>
      </c>
      <c r="AB38" s="136">
        <v>-897.3380126953125</v>
      </c>
      <c r="AC38" s="136">
        <v>104.26033782958984</v>
      </c>
      <c r="AD38" s="136">
        <v>0.00039660700713284314</v>
      </c>
      <c r="AE38" s="136" t="e">
        <f>Z38/AB38</f>
        <v>#DIV/0!</v>
      </c>
      <c r="AF38" s="136">
        <v>-6.0570068359375</v>
      </c>
      <c r="AG38" s="136">
        <v>1021.6681518554688</v>
      </c>
      <c r="AH38" s="136" t="e">
        <f>AF38/(Z38-AB38)</f>
        <v>#DIV/0!</v>
      </c>
      <c r="AI38" s="156" t="s">
        <v>296</v>
      </c>
      <c r="AJ38" s="153" t="e">
        <f>IF((AH38-AI38)&gt;=0,"↑","↓")</f>
        <v>#DIV/0!</v>
      </c>
    </row>
    <row r="39" spans="2:36" s="46" customFormat="1" ht="15" customHeight="1" x14ac:dyDescent="0.25">
      <c r="B39" s="280"/>
      <c r="C39" s="283"/>
      <c r="D39" s="275" t="s">
        <v>295</v>
      </c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3"/>
      <c r="R39" s="89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5" t="s">
        <v>82</v>
      </c>
    </row>
    <row r="40" spans="2:36" s="46" customFormat="1" ht="15" customHeight="1" x14ac:dyDescent="0.25">
      <c r="B40" s="280"/>
      <c r="C40" s="283"/>
      <c r="D40" s="278" t="s">
        <v>294</v>
      </c>
      <c r="E40" s="266"/>
      <c r="F40" s="266"/>
      <c r="G40" s="271" t="s">
        <v>293</v>
      </c>
      <c r="H40" s="266"/>
      <c r="I40" s="266"/>
      <c r="J40" s="271" t="s">
        <v>292</v>
      </c>
      <c r="K40" s="266"/>
      <c r="L40" s="266"/>
      <c r="M40" s="271" t="s">
        <v>291</v>
      </c>
      <c r="N40" s="271" t="s">
        <v>290</v>
      </c>
      <c r="O40" s="271" t="s">
        <v>289</v>
      </c>
      <c r="P40" s="271" t="s">
        <v>225</v>
      </c>
      <c r="Q40" s="277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80"/>
      <c r="C41" s="283"/>
      <c r="D41" s="88" t="s">
        <v>287</v>
      </c>
      <c r="E41" s="85" t="s">
        <v>286</v>
      </c>
      <c r="F41" s="85" t="s">
        <v>285</v>
      </c>
      <c r="G41" s="85" t="s">
        <v>287</v>
      </c>
      <c r="H41" s="85" t="s">
        <v>286</v>
      </c>
      <c r="I41" s="85" t="s">
        <v>285</v>
      </c>
      <c r="J41" s="85" t="s">
        <v>287</v>
      </c>
      <c r="K41" s="85" t="s">
        <v>286</v>
      </c>
      <c r="L41" s="85" t="s">
        <v>285</v>
      </c>
      <c r="M41" s="266"/>
      <c r="N41" s="266"/>
      <c r="O41" s="266"/>
      <c r="P41" s="266"/>
      <c r="Q41" s="270"/>
      <c r="R41" s="86" t="s">
        <v>4</v>
      </c>
      <c r="S41" s="83" t="s">
        <v>4</v>
      </c>
      <c r="T41" s="83" t="s">
        <v>4</v>
      </c>
      <c r="U41" s="83" t="s">
        <v>82</v>
      </c>
      <c r="V41" s="83" t="s">
        <v>82</v>
      </c>
      <c r="W41" s="85" t="s">
        <v>82</v>
      </c>
      <c r="X41" s="83" t="s">
        <v>82</v>
      </c>
      <c r="Y41" s="83" t="s">
        <v>82</v>
      </c>
      <c r="Z41" s="85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80"/>
      <c r="C42" s="283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6" customFormat="1" ht="24" customHeight="1" x14ac:dyDescent="0.25">
      <c r="B43" s="281"/>
      <c r="C43" s="284"/>
      <c r="D43" s="135">
        <v>51</v>
      </c>
      <c r="E43" s="136">
        <v>57</v>
      </c>
      <c r="F43" s="136">
        <f>D43-E43</f>
        <v>0</v>
      </c>
      <c r="G43" s="136">
        <v>53</v>
      </c>
      <c r="H43" s="136">
        <v>59</v>
      </c>
      <c r="I43" s="136">
        <f>G43-H43</f>
        <v>0</v>
      </c>
      <c r="J43" s="136">
        <v>55</v>
      </c>
      <c r="K43" s="136">
        <v>61</v>
      </c>
      <c r="L43" s="136">
        <f>J43-K43</f>
        <v>0</v>
      </c>
      <c r="M43" s="136">
        <v>-0.7599380016326904</v>
      </c>
      <c r="N43" s="136">
        <v>64</v>
      </c>
      <c r="O43" s="136" t="e">
        <f>N43/M43</f>
        <v>#DIV/0!</v>
      </c>
      <c r="P43" s="136">
        <v>62</v>
      </c>
      <c r="Q43" s="158">
        <v>301</v>
      </c>
      <c r="R43" s="135" t="s">
        <v>4</v>
      </c>
      <c r="S43" s="136" t="s">
        <v>4</v>
      </c>
      <c r="T43" s="136" t="s">
        <v>4</v>
      </c>
      <c r="U43" s="136" t="s">
        <v>82</v>
      </c>
      <c r="V43" s="136" t="s">
        <v>82</v>
      </c>
      <c r="W43" s="136" t="s">
        <v>82</v>
      </c>
      <c r="X43" s="136" t="s">
        <v>82</v>
      </c>
      <c r="Y43" s="136" t="s">
        <v>82</v>
      </c>
      <c r="Z43" s="136" t="s">
        <v>82</v>
      </c>
      <c r="AA43" s="136" t="s">
        <v>82</v>
      </c>
      <c r="AB43" s="136" t="s">
        <v>82</v>
      </c>
      <c r="AC43" s="136" t="s">
        <v>82</v>
      </c>
      <c r="AD43" s="136" t="s">
        <v>82</v>
      </c>
      <c r="AE43" s="144" t="s">
        <v>82</v>
      </c>
      <c r="AF43" s="144" t="s">
        <v>82</v>
      </c>
      <c r="AG43" s="144" t="s">
        <v>82</v>
      </c>
      <c r="AH43" s="144" t="s">
        <v>82</v>
      </c>
      <c r="AI43" s="144" t="s">
        <v>82</v>
      </c>
      <c r="AJ43" s="145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sheetCalcPr fullCalcOnLoad="1"/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conditionalFormatting sqref="F7">
    <cfRule type="cellIs" dxfId="28" priority="25" aboveAverage="1" operator="equal">
      <formula>"↓"</formula>
    </cfRule>
    <cfRule type="cellIs" dxfId="27" priority="26" aboveAverage="1" operator="equal">
      <formula>"↑"</formula>
    </cfRule>
  </conditionalFormatting>
  <conditionalFormatting sqref="F28">
    <cfRule type="cellIs" dxfId="26" priority="23" aboveAverage="1" operator="equal">
      <formula>"↓"</formula>
    </cfRule>
    <cfRule type="cellIs" dxfId="25" priority="24" aboveAverage="1" operator="equal">
      <formula>"↑"</formula>
    </cfRule>
  </conditionalFormatting>
  <conditionalFormatting sqref="T12">
    <cfRule type="cellIs" dxfId="24" priority="21" aboveAverage="1" operator="equal">
      <formula>"↓"</formula>
    </cfRule>
    <cfRule type="cellIs" dxfId="23" priority="22" aboveAverage="1" operator="equal">
      <formula>"↑"</formula>
    </cfRule>
  </conditionalFormatting>
  <conditionalFormatting sqref="T33">
    <cfRule type="cellIs" dxfId="22" priority="19" aboveAverage="1" operator="equal">
      <formula>"↓"</formula>
    </cfRule>
    <cfRule type="cellIs" dxfId="21" priority="20" aboveAverage="1" operator="equal">
      <formula>"↑"</formula>
    </cfRule>
  </conditionalFormatting>
  <conditionalFormatting sqref="Z12">
    <cfRule type="cellIs" dxfId="20" priority="17" aboveAverage="1" operator="equal">
      <formula>"↓"</formula>
    </cfRule>
    <cfRule type="cellIs" dxfId="19" priority="18" aboveAverage="1" operator="equal">
      <formula>"↑"</formula>
    </cfRule>
  </conditionalFormatting>
  <conditionalFormatting sqref="Z33">
    <cfRule type="cellIs" dxfId="18" priority="15" aboveAverage="1" operator="equal">
      <formula>"↓"</formula>
    </cfRule>
    <cfRule type="cellIs" dxfId="17" priority="16" aboveAverage="1" operator="equal">
      <formula>"↑"</formula>
    </cfRule>
  </conditionalFormatting>
  <conditionalFormatting sqref="AD12">
    <cfRule type="cellIs" dxfId="16" priority="13" aboveAverage="1" operator="equal">
      <formula>"↓"</formula>
    </cfRule>
    <cfRule type="cellIs" dxfId="15" priority="14" aboveAverage="1" operator="equal">
      <formula>"↑"</formula>
    </cfRule>
  </conditionalFormatting>
  <conditionalFormatting sqref="AD33">
    <cfRule type="cellIs" dxfId="14" priority="11" aboveAverage="1" operator="equal">
      <formula>"↓"</formula>
    </cfRule>
    <cfRule type="cellIs" dxfId="13" priority="12" aboveAverage="1" operator="equal">
      <formula>"↑"</formula>
    </cfRule>
  </conditionalFormatting>
  <conditionalFormatting sqref="AJ17">
    <cfRule type="cellIs" dxfId="12" priority="9" aboveAverage="1" operator="equal">
      <formula>"↓"</formula>
    </cfRule>
    <cfRule type="cellIs" dxfId="11" priority="10" aboveAverage="1" operator="equal">
      <formula>"↑"</formula>
    </cfRule>
  </conditionalFormatting>
  <conditionalFormatting sqref="AJ38">
    <cfRule type="cellIs" dxfId="10" priority="7" aboveAverage="1" operator="equal">
      <formula>"↓"</formula>
    </cfRule>
    <cfRule type="cellIs" dxfId="9" priority="8" aboveAverage="1" operator="equal">
      <formula>"↑"</formula>
    </cfRule>
  </conditionalFormatting>
  <conditionalFormatting sqref="F12">
    <cfRule type="cellIs" dxfId="5" priority="5" aboveAverage="1" operator="equal">
      <formula>"↓"</formula>
    </cfRule>
    <cfRule type="cellIs" dxfId="4" priority="6" aboveAverage="1" operator="equal">
      <formula>"↑"</formula>
    </cfRule>
  </conditionalFormatting>
  <conditionalFormatting sqref="F33">
    <cfRule type="cellIs" dxfId="1" priority="1" aboveAverage="1" operator="equal">
      <formula>"↓"</formula>
    </cfRule>
    <cfRule type="cellIs" dxfId="0" priority="2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zoomScale="85" zoomScaleNormal="85" workbookViewId="0">
      <selection activeCell="S9" sqref="S9:T9"/>
    </sheetView>
  </sheetViews>
  <sheetFormatPr defaultColWidth="9" defaultRowHeight="13" x14ac:dyDescent="0.3"/>
  <cols>
    <col min="1" max="1" width="2.08984375" style="72" customWidth="1"/>
    <col min="2" max="2" width="5.90625" style="72" customWidth="1"/>
    <col min="3" max="3" width="13" style="72" customWidth="1"/>
    <col min="4" max="5" width="7.08984375" style="72" customWidth="1"/>
    <col min="6" max="7" width="6.08984375" style="72" customWidth="1"/>
    <col min="8" max="9" width="5.08984375" style="103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</cols>
  <sheetData>
    <row r="1" spans="2:21" ht="25" customHeight="1" thickBot="1" x14ac:dyDescent="0.35">
      <c r="B1" s="71"/>
      <c r="C1" s="71"/>
      <c r="D1" s="71"/>
      <c r="E1" s="71"/>
      <c r="F1" s="71"/>
      <c r="G1" s="71"/>
      <c r="H1" s="102"/>
      <c r="I1" s="102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35.15" customHeight="1" x14ac:dyDescent="0.3">
      <c r="B2" s="415" t="s">
        <v>408</v>
      </c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  <c r="O2" s="416"/>
      <c r="P2" s="416"/>
      <c r="Q2" s="416"/>
      <c r="R2" s="416"/>
      <c r="S2" s="416"/>
      <c r="T2" s="417"/>
    </row>
    <row r="3" spans="2:21" ht="35.15" customHeight="1" x14ac:dyDescent="0.3">
      <c r="B3" s="418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20"/>
    </row>
    <row r="4" spans="2:21" s="73" customFormat="1" ht="35.15" customHeight="1" x14ac:dyDescent="0.35">
      <c r="B4" s="80" t="s">
        <v>453</v>
      </c>
      <c r="C4" s="421" t="s">
        <v>459</v>
      </c>
      <c r="D4" s="422"/>
      <c r="E4" s="422"/>
      <c r="F4" s="422"/>
      <c r="G4" s="422"/>
      <c r="H4" s="422"/>
      <c r="I4" s="422"/>
      <c r="J4" s="422"/>
      <c r="K4" s="422"/>
      <c r="L4" s="422"/>
      <c r="M4" s="422"/>
      <c r="N4" s="422"/>
      <c r="O4" s="422"/>
      <c r="P4" s="422"/>
      <c r="Q4" s="422"/>
      <c r="R4" s="422"/>
      <c r="S4" s="423"/>
      <c r="T4" s="81" t="s">
        <v>452</v>
      </c>
      <c r="U4" s="79"/>
    </row>
    <row r="5" spans="2:21" s="75" customFormat="1" ht="40" customHeight="1" x14ac:dyDescent="0.25">
      <c r="B5" s="359" t="s">
        <v>409</v>
      </c>
      <c r="C5" s="360"/>
      <c r="D5" s="361"/>
      <c r="E5" s="74" t="s">
        <v>410</v>
      </c>
      <c r="F5" s="365" t="s">
        <v>411</v>
      </c>
      <c r="G5" s="364"/>
      <c r="H5" s="365" t="s">
        <v>412</v>
      </c>
      <c r="I5" s="364"/>
      <c r="J5" s="362" t="s">
        <v>413</v>
      </c>
      <c r="K5" s="363"/>
      <c r="L5" s="363"/>
      <c r="M5" s="363"/>
      <c r="N5" s="363"/>
      <c r="O5" s="363"/>
      <c r="P5" s="363"/>
      <c r="Q5" s="363"/>
      <c r="R5" s="364"/>
      <c r="S5" s="365" t="s">
        <v>414</v>
      </c>
      <c r="T5" s="366"/>
    </row>
    <row r="6" spans="2:21" s="73" customFormat="1" ht="35.15" customHeight="1" x14ac:dyDescent="0.35">
      <c r="B6" s="408" t="s">
        <v>415</v>
      </c>
      <c r="C6" s="409"/>
      <c r="D6" s="409"/>
      <c r="E6" s="76" t="s">
        <v>416</v>
      </c>
      <c r="F6" s="410" t="s">
        <v>417</v>
      </c>
      <c r="G6" s="411"/>
      <c r="H6" s="387">
        <v>0</v>
      </c>
      <c r="I6" s="388"/>
      <c r="J6" s="412"/>
      <c r="K6" s="413"/>
      <c r="L6" s="413"/>
      <c r="M6" s="413"/>
      <c r="N6" s="413"/>
      <c r="O6" s="413"/>
      <c r="P6" s="413"/>
      <c r="Q6" s="413"/>
      <c r="R6" s="413"/>
      <c r="S6" s="412"/>
      <c r="T6" s="414"/>
    </row>
    <row r="7" spans="2:21" s="73" customFormat="1" ht="35.15" customHeight="1" x14ac:dyDescent="0.35">
      <c r="B7" s="408" t="s">
        <v>418</v>
      </c>
      <c r="C7" s="409"/>
      <c r="D7" s="409"/>
      <c r="E7" s="76" t="s">
        <v>416</v>
      </c>
      <c r="F7" s="410" t="s">
        <v>417</v>
      </c>
      <c r="G7" s="411"/>
      <c r="H7" s="387">
        <v>0</v>
      </c>
      <c r="I7" s="388"/>
      <c r="J7" s="412"/>
      <c r="K7" s="413"/>
      <c r="L7" s="413"/>
      <c r="M7" s="413"/>
      <c r="N7" s="413"/>
      <c r="O7" s="413"/>
      <c r="P7" s="413"/>
      <c r="Q7" s="413"/>
      <c r="R7" s="413"/>
      <c r="S7" s="412"/>
      <c r="T7" s="414"/>
    </row>
    <row r="8" spans="2:21" s="73" customFormat="1" ht="35.15" customHeight="1" x14ac:dyDescent="0.35">
      <c r="B8" s="401" t="s">
        <v>419</v>
      </c>
      <c r="C8" s="402"/>
      <c r="D8" s="402"/>
      <c r="E8" s="77" t="s">
        <v>416</v>
      </c>
      <c r="F8" s="403" t="s">
        <v>417</v>
      </c>
      <c r="G8" s="404"/>
      <c r="H8" s="387">
        <v>0</v>
      </c>
      <c r="I8" s="388"/>
      <c r="J8" s="405"/>
      <c r="K8" s="406"/>
      <c r="L8" s="406"/>
      <c r="M8" s="406"/>
      <c r="N8" s="406"/>
      <c r="O8" s="406"/>
      <c r="P8" s="406"/>
      <c r="Q8" s="406"/>
      <c r="R8" s="406"/>
      <c r="S8" s="405"/>
      <c r="T8" s="407"/>
    </row>
    <row r="9" spans="2:21" s="75" customFormat="1" ht="40" customHeight="1" x14ac:dyDescent="0.25">
      <c r="B9" s="359" t="s">
        <v>420</v>
      </c>
      <c r="C9" s="360"/>
      <c r="D9" s="361"/>
      <c r="E9" s="78" t="s">
        <v>410</v>
      </c>
      <c r="F9" s="365" t="s">
        <v>411</v>
      </c>
      <c r="G9" s="364"/>
      <c r="H9" s="365" t="s">
        <v>412</v>
      </c>
      <c r="I9" s="364"/>
      <c r="J9" s="362" t="s">
        <v>413</v>
      </c>
      <c r="K9" s="363"/>
      <c r="L9" s="363"/>
      <c r="M9" s="363"/>
      <c r="N9" s="363"/>
      <c r="O9" s="363"/>
      <c r="P9" s="363"/>
      <c r="Q9" s="363"/>
      <c r="R9" s="364"/>
      <c r="S9" s="365" t="s">
        <v>414</v>
      </c>
      <c r="T9" s="366"/>
    </row>
    <row r="10" spans="2:21" s="73" customFormat="1" ht="35.15" customHeight="1" x14ac:dyDescent="0.35">
      <c r="B10" s="393" t="s">
        <v>421</v>
      </c>
      <c r="C10" s="394"/>
      <c r="D10" s="395"/>
      <c r="E10" s="76" t="s">
        <v>416</v>
      </c>
      <c r="F10" s="396">
        <v>1</v>
      </c>
      <c r="G10" s="340"/>
      <c r="H10" s="387">
        <v>0</v>
      </c>
      <c r="I10" s="388"/>
      <c r="J10" s="397"/>
      <c r="K10" s="329"/>
      <c r="L10" s="329"/>
      <c r="M10" s="329"/>
      <c r="N10" s="329"/>
      <c r="O10" s="329"/>
      <c r="P10" s="329"/>
      <c r="Q10" s="329"/>
      <c r="R10" s="398"/>
      <c r="S10" s="397"/>
      <c r="T10" s="330"/>
    </row>
    <row r="11" spans="2:21" s="73" customFormat="1" ht="35.15" customHeight="1" x14ac:dyDescent="0.35">
      <c r="B11" s="381" t="s">
        <v>422</v>
      </c>
      <c r="C11" s="382"/>
      <c r="D11" s="383"/>
      <c r="E11" s="77" t="s">
        <v>416</v>
      </c>
      <c r="F11" s="399">
        <v>1</v>
      </c>
      <c r="G11" s="400"/>
      <c r="H11" s="387">
        <v>0</v>
      </c>
      <c r="I11" s="388"/>
      <c r="J11" s="389"/>
      <c r="K11" s="390"/>
      <c r="L11" s="390"/>
      <c r="M11" s="390"/>
      <c r="N11" s="390"/>
      <c r="O11" s="390"/>
      <c r="P11" s="390"/>
      <c r="Q11" s="390"/>
      <c r="R11" s="391"/>
      <c r="S11" s="389"/>
      <c r="T11" s="392"/>
    </row>
    <row r="12" spans="2:21" s="75" customFormat="1" ht="50.15" customHeight="1" x14ac:dyDescent="0.25">
      <c r="B12" s="359" t="s">
        <v>423</v>
      </c>
      <c r="C12" s="360"/>
      <c r="D12" s="361"/>
      <c r="E12" s="362" t="s">
        <v>424</v>
      </c>
      <c r="F12" s="320"/>
      <c r="G12" s="318"/>
      <c r="H12" s="365" t="s">
        <v>425</v>
      </c>
      <c r="I12" s="364"/>
      <c r="J12" s="362" t="s">
        <v>413</v>
      </c>
      <c r="K12" s="363"/>
      <c r="L12" s="363"/>
      <c r="M12" s="363"/>
      <c r="N12" s="363"/>
      <c r="O12" s="363"/>
      <c r="P12" s="363"/>
      <c r="Q12" s="363"/>
      <c r="R12" s="364"/>
      <c r="S12" s="365" t="s">
        <v>414</v>
      </c>
      <c r="T12" s="366"/>
    </row>
    <row r="13" spans="2:21" s="73" customFormat="1" ht="50.15" customHeight="1" x14ac:dyDescent="0.35">
      <c r="B13" s="381" t="s">
        <v>426</v>
      </c>
      <c r="C13" s="382"/>
      <c r="D13" s="383"/>
      <c r="E13" s="384" t="s">
        <v>427</v>
      </c>
      <c r="F13" s="385"/>
      <c r="G13" s="386"/>
      <c r="H13" s="387">
        <v>0.5</v>
      </c>
      <c r="I13" s="388"/>
      <c r="J13" s="389"/>
      <c r="K13" s="390"/>
      <c r="L13" s="390"/>
      <c r="M13" s="390"/>
      <c r="N13" s="390"/>
      <c r="O13" s="390"/>
      <c r="P13" s="390"/>
      <c r="Q13" s="390"/>
      <c r="R13" s="391"/>
      <c r="S13" s="389"/>
      <c r="T13" s="392"/>
    </row>
    <row r="14" spans="2:21" s="75" customFormat="1" ht="50.15" customHeight="1" x14ac:dyDescent="0.25">
      <c r="B14" s="359" t="s">
        <v>428</v>
      </c>
      <c r="C14" s="360"/>
      <c r="D14" s="361"/>
      <c r="E14" s="362" t="s">
        <v>429</v>
      </c>
      <c r="F14" s="320"/>
      <c r="G14" s="320"/>
      <c r="H14" s="320"/>
      <c r="I14" s="318"/>
      <c r="J14" s="362" t="s">
        <v>413</v>
      </c>
      <c r="K14" s="363"/>
      <c r="L14" s="363"/>
      <c r="M14" s="363"/>
      <c r="N14" s="363"/>
      <c r="O14" s="363"/>
      <c r="P14" s="363"/>
      <c r="Q14" s="363"/>
      <c r="R14" s="364"/>
      <c r="S14" s="365" t="s">
        <v>414</v>
      </c>
      <c r="T14" s="366"/>
    </row>
    <row r="15" spans="2:21" s="73" customFormat="1" ht="35.15" customHeight="1" x14ac:dyDescent="0.35">
      <c r="B15" s="367" t="s">
        <v>430</v>
      </c>
      <c r="C15" s="368"/>
      <c r="D15" s="369"/>
      <c r="E15" s="373"/>
      <c r="F15" s="374"/>
      <c r="G15" s="374"/>
      <c r="H15" s="374"/>
      <c r="I15" s="375"/>
      <c r="J15" s="373"/>
      <c r="K15" s="374"/>
      <c r="L15" s="374"/>
      <c r="M15" s="374"/>
      <c r="N15" s="374"/>
      <c r="O15" s="374"/>
      <c r="P15" s="374"/>
      <c r="Q15" s="374"/>
      <c r="R15" s="375"/>
      <c r="S15" s="373"/>
      <c r="T15" s="379"/>
    </row>
    <row r="16" spans="2:21" s="73" customFormat="1" ht="35.15" customHeight="1" x14ac:dyDescent="0.35">
      <c r="B16" s="370"/>
      <c r="C16" s="371"/>
      <c r="D16" s="372"/>
      <c r="E16" s="376"/>
      <c r="F16" s="377"/>
      <c r="G16" s="377"/>
      <c r="H16" s="377"/>
      <c r="I16" s="378"/>
      <c r="J16" s="376"/>
      <c r="K16" s="377"/>
      <c r="L16" s="377"/>
      <c r="M16" s="377"/>
      <c r="N16" s="377"/>
      <c r="O16" s="377"/>
      <c r="P16" s="377"/>
      <c r="Q16" s="377"/>
      <c r="R16" s="378"/>
      <c r="S16" s="376"/>
      <c r="T16" s="380"/>
    </row>
    <row r="17" spans="2:20" s="73" customFormat="1" ht="45" customHeight="1" x14ac:dyDescent="0.35">
      <c r="B17" s="347" t="s">
        <v>431</v>
      </c>
      <c r="C17" s="348"/>
      <c r="D17" s="349"/>
      <c r="E17" s="353" t="s">
        <v>432</v>
      </c>
      <c r="F17" s="354"/>
      <c r="G17" s="354"/>
      <c r="H17" s="354"/>
      <c r="I17" s="355"/>
      <c r="J17" s="353" t="s">
        <v>413</v>
      </c>
      <c r="K17" s="354"/>
      <c r="L17" s="354"/>
      <c r="M17" s="354"/>
      <c r="N17" s="354"/>
      <c r="O17" s="354"/>
      <c r="P17" s="354"/>
      <c r="Q17" s="354"/>
      <c r="R17" s="355"/>
      <c r="S17" s="356" t="s">
        <v>433</v>
      </c>
      <c r="T17" s="357"/>
    </row>
    <row r="18" spans="2:20" s="73" customFormat="1" ht="45" customHeight="1" thickBot="1" x14ac:dyDescent="0.4">
      <c r="B18" s="350"/>
      <c r="C18" s="351"/>
      <c r="D18" s="352"/>
      <c r="E18" s="323" t="s">
        <v>434</v>
      </c>
      <c r="F18" s="316"/>
      <c r="G18" s="316"/>
      <c r="H18" s="316"/>
      <c r="I18" s="322"/>
      <c r="J18" s="315" t="s">
        <v>4</v>
      </c>
      <c r="K18" s="316"/>
      <c r="L18" s="316"/>
      <c r="M18" s="316"/>
      <c r="N18" s="316"/>
      <c r="O18" s="316"/>
      <c r="P18" s="316"/>
      <c r="Q18" s="316"/>
      <c r="R18" s="322"/>
      <c r="S18" s="358"/>
      <c r="T18" s="333"/>
    </row>
    <row r="19" spans="2:20" s="73" customFormat="1" ht="50.15" customHeight="1" x14ac:dyDescent="0.35">
      <c r="B19" s="341" t="s">
        <v>435</v>
      </c>
      <c r="C19" s="342"/>
      <c r="D19" s="342"/>
      <c r="E19" s="342"/>
      <c r="F19" s="342"/>
      <c r="G19" s="342"/>
      <c r="H19" s="342"/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3"/>
    </row>
    <row r="20" spans="2:20" s="73" customFormat="1" ht="50.15" customHeight="1" x14ac:dyDescent="0.35">
      <c r="B20" s="338" t="s">
        <v>436</v>
      </c>
      <c r="C20" s="318"/>
      <c r="D20" s="319" t="s">
        <v>437</v>
      </c>
      <c r="E20" s="318"/>
      <c r="F20" s="319" t="s">
        <v>438</v>
      </c>
      <c r="G20" s="318"/>
      <c r="H20" s="319" t="s">
        <v>439</v>
      </c>
      <c r="I20" s="318"/>
      <c r="J20" s="319" t="s">
        <v>440</v>
      </c>
      <c r="K20" s="318"/>
      <c r="L20" s="319" t="s">
        <v>441</v>
      </c>
      <c r="M20" s="318"/>
      <c r="N20" s="319" t="s">
        <v>442</v>
      </c>
      <c r="O20" s="344"/>
      <c r="P20" s="345" t="s">
        <v>443</v>
      </c>
      <c r="Q20" s="320"/>
      <c r="R20" s="320"/>
      <c r="S20" s="320"/>
      <c r="T20" s="346"/>
    </row>
    <row r="21" spans="2:20" s="73" customFormat="1" ht="50.15" customHeight="1" x14ac:dyDescent="0.35">
      <c r="B21" s="339" t="s">
        <v>444</v>
      </c>
      <c r="C21" s="340"/>
      <c r="D21" s="324" t="s">
        <v>444</v>
      </c>
      <c r="E21" s="340"/>
      <c r="F21" s="324" t="s">
        <v>444</v>
      </c>
      <c r="G21" s="340"/>
      <c r="H21" s="324" t="s">
        <v>445</v>
      </c>
      <c r="I21" s="340"/>
      <c r="J21" s="324" t="s">
        <v>284</v>
      </c>
      <c r="K21" s="340"/>
      <c r="L21" s="324" t="s">
        <v>284</v>
      </c>
      <c r="M21" s="340"/>
      <c r="N21" s="324" t="s">
        <v>284</v>
      </c>
      <c r="O21" s="325"/>
      <c r="P21" s="326"/>
      <c r="Q21" s="325"/>
      <c r="R21" s="325"/>
      <c r="S21" s="325"/>
      <c r="T21" s="327"/>
    </row>
    <row r="22" spans="2:20" s="73" customFormat="1" ht="50.15" customHeight="1" x14ac:dyDescent="0.35">
      <c r="B22" s="334">
        <v>620</v>
      </c>
      <c r="C22" s="335"/>
      <c r="D22" s="336">
        <v>166.19998168945312</v>
      </c>
      <c r="E22" s="335"/>
      <c r="F22" s="336">
        <v>0</v>
      </c>
      <c r="G22" s="335"/>
      <c r="H22" s="336">
        <v>0</v>
      </c>
      <c r="I22" s="335"/>
      <c r="J22" s="336">
        <v>28.80645179748535</v>
      </c>
      <c r="K22" s="335"/>
      <c r="L22" s="336">
        <v>29.80645179748535</v>
      </c>
      <c r="M22" s="335"/>
      <c r="N22" s="336">
        <v>0</v>
      </c>
      <c r="O22" s="337"/>
      <c r="P22" s="328"/>
      <c r="Q22" s="329"/>
      <c r="R22" s="329"/>
      <c r="S22" s="329"/>
      <c r="T22" s="330"/>
    </row>
    <row r="23" spans="2:20" s="73" customFormat="1" ht="50.15" customHeight="1" x14ac:dyDescent="0.35">
      <c r="B23" s="338" t="s">
        <v>446</v>
      </c>
      <c r="C23" s="320"/>
      <c r="D23" s="318"/>
      <c r="E23" s="317"/>
      <c r="F23" s="318"/>
      <c r="G23" s="319" t="s">
        <v>447</v>
      </c>
      <c r="H23" s="320"/>
      <c r="I23" s="318"/>
      <c r="J23" s="317"/>
      <c r="K23" s="318"/>
      <c r="L23" s="319" t="s">
        <v>448</v>
      </c>
      <c r="M23" s="318"/>
      <c r="N23" s="317"/>
      <c r="O23" s="320"/>
      <c r="P23" s="328"/>
      <c r="Q23" s="329"/>
      <c r="R23" s="329"/>
      <c r="S23" s="329"/>
      <c r="T23" s="330"/>
    </row>
    <row r="24" spans="2:20" s="73" customFormat="1" ht="50.15" customHeight="1" thickBot="1" x14ac:dyDescent="0.4">
      <c r="B24" s="321" t="s">
        <v>449</v>
      </c>
      <c r="C24" s="316"/>
      <c r="D24" s="322"/>
      <c r="E24" s="315"/>
      <c r="F24" s="322"/>
      <c r="G24" s="323" t="s">
        <v>450</v>
      </c>
      <c r="H24" s="316"/>
      <c r="I24" s="322"/>
      <c r="J24" s="315"/>
      <c r="K24" s="322"/>
      <c r="L24" s="323" t="s">
        <v>451</v>
      </c>
      <c r="M24" s="322"/>
      <c r="N24" s="315"/>
      <c r="O24" s="316"/>
      <c r="P24" s="331"/>
      <c r="Q24" s="332"/>
      <c r="R24" s="332"/>
      <c r="S24" s="332"/>
      <c r="T24" s="333"/>
    </row>
  </sheetData>
  <mergeCells count="98">
    <mergeCell ref="B2:T3"/>
    <mergeCell ref="B5:D5"/>
    <mergeCell ref="F5:G5"/>
    <mergeCell ref="H5:I5"/>
    <mergeCell ref="J5:R5"/>
    <mergeCell ref="S5:T5"/>
    <mergeCell ref="C4:S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1" type="noConversion"/>
  <conditionalFormatting sqref="H6:I8">
    <cfRule type="cellIs" dxfId="8" priority="4" aboveAverage="1" operator="greaterThanOrEqual">
      <formula>0.98</formula>
    </cfRule>
  </conditionalFormatting>
  <conditionalFormatting sqref="H10:I11">
    <cfRule type="cellIs" dxfId="7" priority="2" aboveAverage="1" operator="greaterThanOrEqual">
      <formula>0.98</formula>
    </cfRule>
  </conditionalFormatting>
  <conditionalFormatting sqref="H13:I13">
    <cfRule type="cellIs" dxfId="6" priority="1" aboveAverage="1" operator="greaterThanOrEqual">
      <formula>0.98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2026-05-13T05:50:49Z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