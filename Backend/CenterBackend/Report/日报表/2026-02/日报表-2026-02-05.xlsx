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bookViews>
    <workbookView xWindow="-120" yWindow="-16320" windowWidth="29040" windowHeight="15720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<![CDATA['班组＆日生产过程运行质量考评表'!$A$1:$AK$44]]>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F33" i="11" l="1"/>
  <c r="F12" i="11"/>
  <c r="AJ38" i="11"/>
  <c r="AH17" i="11"/>
  <c r="AJ17" i="11" s="1"/>
  <c r="Y33" i="11"/>
  <c r="Z33" i="11" s="1"/>
  <c r="Y12" i="11"/>
  <c r="Z12" i="11" s="1"/>
  <c r="S12" i="11"/>
  <c r="T12" i="11" s="1"/>
  <c r="F28" i="11"/>
  <c r="F7" i="11"/>
  <c r="E7" i="11"/>
  <c r="Z7" i="11"/>
  <c r="AC12" i="11" l="1"/>
  <c r="AD12" i="11" s="1"/>
  <c r="AE17" i="11"/>
  <c r="F22" i="11"/>
  <c r="I22" i="11"/>
  <c r="L22" i="11"/>
  <c r="O22" i="11"/>
  <c r="Z28" i="11"/>
  <c r="E28" i="11"/>
  <c r="S33" i="11"/>
  <c r="T33" i="11" s="1"/>
  <c r="AC33" i="11"/>
  <c r="AD33" i="11" s="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<sst xmlns="http://schemas.openxmlformats.org/spreadsheetml/2006/main" count="1556" uniqueCount="472">
  <si>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</si>
  <si>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</si>
  <si>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</si>
  <si>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</si>
  <si>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</si>
  <si>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</si>
  <si>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</si>
  <si>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</si>
  <si>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</si>
  <si>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</si>
  <si>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</si>
  <si>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</si>
  <si>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</si>
  <si>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</si>
  <si>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</si>
  <si>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</si>
  <si>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</si>
  <si>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</si>
  <si>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</si>
  <si>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</si>
  <si>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</si>
  <si>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</si>
  <si>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</si>
  <si>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</si>
  <si>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</si>
  <si>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</si>
  <si>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</si>
  <si>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</si>
  <si>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</si>
  <si>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</si>
  <si>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</si>
  <si>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</si>
  <si>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</si>
  <si>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</si>
  <si>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</si>
  <si>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</si>
  <si>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</si>
  <si>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</si>
  <si>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</si>
  <si>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</si>
  <si>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</si>
  <si>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</si>
  <si>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</si>
  <si>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</si>
  <si>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</si>
  <si>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</si>
  <si>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</si>
  <si>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</si>
  <si>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</si>
  <si>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</si>
  <si>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</si>
  <si>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</si>
  <si>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</si>
  <si>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</si>
  <si>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</si>
  <si>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</si>
  <si>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</si>
  <si>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</si>
  <si>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</si>
  <si>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</si>
  <si>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</si>
  <si>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</si>
  <si>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</si>
  <si>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</si>
  <si>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</si>
  <si>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</si>
  <si>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</si>
  <si>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</si>
  <si>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</si>
  <si>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</si>
  <si>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</si>
  <si>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</si>
  <si>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</si>
  <si>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</si>
  <si>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</si>
  <si>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</si>
  <si>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</si>
  <si>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</si>
  <si>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</si>
  <si>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</si>
  <si>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</si>
  <si>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</si>
  <si>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</si>
  <si>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</si>
  <si>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</si>
  <si>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</si>
  <si>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</si>
  <si>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</si>
  <si>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</si>
  <si>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</si>
  <si>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</si>
  <si>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</si>
  <si>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</si>
  <si>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</si>
  <si>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</si>
  <si>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</si>
  <si>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</si>
  <si>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</si>
  <si>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</si>
  <si>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</si>
  <si>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</si>
  <si>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</si>
  <si>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</si>
  <si>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</si>
  <si>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</si>
  <si>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</si>
  <si>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</si>
  <si>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</si>
  <si>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</si>
  <si>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</si>
  <si>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</si>
  <si>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</si>
  <si>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</si>
  <si>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</si>
  <si>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</si>
  <si>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</si>
  <si>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</si>
  <si>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</si>
  <si>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</si>
  <si>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</si>
  <si>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</si>
  <si>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</si>
  <si>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</si>
  <si>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</si>
  <si>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</si>
  <si>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</si>
  <si>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</si>
  <si>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</si>
  <si>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</si>
  <si>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</si>
  <si>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</si>
  <si>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</si>
  <si>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</si>
  <si>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</si>
  <si>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</si>
  <si>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</si>
  <si>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</si>
  <si>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</si>
  <si>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</si>
  <si>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</si>
  <si>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</si>
  <si>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</si>
  <si>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</si>
  <si>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</si>
  <si>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</si>
  <si>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</si>
  <si>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</si>
  <si>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</si>
  <si>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</si>
  <si>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</si>
  <si>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</si>
  <si>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</si>
  <si>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</si>
  <si>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</si>
  <si>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</si>
  <si>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</si>
  <si>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</si>
  <si>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</si>
  <si>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</si>
  <si>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</si>
  <si>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</si>
  <si>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</si>
  <si>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</si>
  <si>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</si>
  <si>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</si>
  <si>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</si>
  <si>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</si>
  <si>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</si>
  <si>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</si>
  <si>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</si>
  <si>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</si>
  <si>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</si>
  <si>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</si>
  <si>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</si>
  <si>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</si>
  <si>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</si>
  <si>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</si>
  <si>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</si>
  <si>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</si>
  <si>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</si>
  <si>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</si>
  <si>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</si>
  <si>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</si>
  <si>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</si>
  <si>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</si>
  <si>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</si>
  <si>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</si>
  <si>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</si>
  <si>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</si>
  <si>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</si>
  <si>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</si>
  <si>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</si>
  <si>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</si>
  <si>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</si>
  <si>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</si>
  <si>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</si>
  <si>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</si>
  <si>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</si>
  <si>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</si>
  <si>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</si>
  <si>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</si>
  <si>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</si>
  <si>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</si>
  <si>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</si>
  <si>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</si>
  <si>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</si>
  <si>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</si>
  <si>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</si>
  <si>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</si>
  <si>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</si>
  <si>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</si>
  <si>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</si>
  <si>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</si>
  <si>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</si>
  <si>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</si>
  <si>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</si>
  <si>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</si>
  <si>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</si>
  <si>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</si>
  <si>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</si>
  <si>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</si>
  <si>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</si>
  <si>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</si>
  <si>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</si>
  <si>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</si>
  <si>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</si>
  <si>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</si>
  <si>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</si>
  <si>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</si>
  <si>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</si>
  <si>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</si>
  <si>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</si>
  <si>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</si>
  <si>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</si>
  <si>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</si>
  <si>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</si>
  <si>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</si>
  <si>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</si>
  <si>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</si>
  <si>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</si>
  <si>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</si>
  <si>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</si>
  <si>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</si>
  <si>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</si>
  <si>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</si>
  <si>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</si>
  <si>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</si>
  <si>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</si>
  <si>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</si>
  <si>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</si>
  <si>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</si>
  <si>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</si>
  <si>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</si>
  <si>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</si>
  <si>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</si>
  <si>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</si>
  <si>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</si>
  <si>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</si>
  <si>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</si>
  <si>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</si>
  <si>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</si>
  <si>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</si>
  <si>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</si>
  <si>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</si>
  <si>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</si>
  <si>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</si>
  <si>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</si>
  <si>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</si>
  <si>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</si>
  <si>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</si>
  <si>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</si>
  <si>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</si>
  <si>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</si>
  <si>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</si>
  <si>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</si>
  <si>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</si>
  <si>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</si>
  <si>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</si>
  <si>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</si>
  <si>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</si>
  <si>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</si>
  <si>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</si>
  <si>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</si>
  <si>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</si>
  <si>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</si>
  <si>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</si>
  <si>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</si>
  <si>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</si>
  <si>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</si>
  <si>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</si>
  <si>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</si>
  <si>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</si>
  <si>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</si>
  <si>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</si>
  <si>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</si>
  <si>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</si>
  <si>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</si>
  <si>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</si>
  <si>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</si>
  <si>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</si>
  <si>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</si>
  <si>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</si>
  <si>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</si>
  <si>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</si>
  <si>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</si>
  <si>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</si>
  <si>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</si>
  <si>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</si>
  <si>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</si>
  <si>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</si>
  <si>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</si>
  <si>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</si>
  <si>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</si>
  <si>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</si>
  <si>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</si>
  <si>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</si>
  <si>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</si>
  <si>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</si>
  <si>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</si>
  <si>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</si>
  <si>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</si>
  <si>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</si>
  <si>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</si>
  <si>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</si>
  <si>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</si>
  <si>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</si>
  <si>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</si>
  <si>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</si>
  <si>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</si>
  <si>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</si>
  <si>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</si>
  <si>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</si>
  <si>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</si>
  <si>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</si>
  <si>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</si>
  <si>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</si>
  <si>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</si>
  <si>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33.1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</si>
  <si>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</si>
  <si>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</si>
  <si>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</si>
  <si>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</si>
  <si>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</si>
  <si>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</si>
  <si>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</si>
  <si>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</si>
  <si>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</si>
  <si>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</si>
  <si>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</si>
  <si>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</si>
  <si>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</si>
  <si>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</si>
  <si>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</si>
  <si>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</si>
  <si>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</si>
  <si>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</si>
  <si>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</si>
  <si>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</si>
  <si>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</si>
  <si>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</si>
  <si>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</si>
  <si>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</si>
  <si>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</si>
  <si>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</si>
  <si>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</si>
  <si>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</si>
  <si>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</si>
  <si>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</si>
  <si>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</si>
  <si>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</si>
  <si>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</si>
  <si>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</si>
  <si>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</si>
  <si>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</si>
  <si>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</si>
  <si>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</si>
  <si>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</si>
  <si>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</si>
  <si>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</si>
  <si>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</si>
  <si>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</si>
  <si>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</si>
  <si>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</si>
  <si>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</si>
  <si>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</si>
  <si>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</si>
  <si>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</si>
  <si>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</si>
  <si>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</si>
  <si>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</si>
  <si>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</si>
  <si>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</si>
  <si>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</si>
  <si>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</si>
  <si>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</si>
  <si>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</si>
  <si>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</si>
  <si>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</si>
  <si>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</si>
  <si>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</si>
  <si>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</si>
  <si>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</si>
  <si>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</si>
  <si>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</si>
  <si>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</si>
  <si>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</si>
  <si>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</si>
  <si>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</si>
  <si>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</si>
  <si>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</si>
  <si>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</si>
  <si>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文件编号：                                                                           班组＆日---生产过程运行质量考评表</t>
    <phoneticPr fontId="1" type="noConversion"/>
  </si>
  <si>
    <t xml:space="preserve">/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</si>
  <si>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</si>
  <si>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</si>
  <si>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</si>
  <si>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</si>
  <si>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</si>
  <si>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</si>
  <si>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</si>
  <si>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</si>
  <si>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</si>
  <si>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</si>
  <si>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</si>
  <si>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</si>
  <si>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215±5</t>
  </si>
  <si>
    <t xml:space="preserve">硫酸消耗</t>
    <phoneticPr fontId="1" type="noConversion"/>
  </si>
  <si>
    <t xml:space="preserve">200±10</t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</si>
  <si>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</si>
  <si>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</si>
  <si>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</si>
  <si>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</si>
  <si>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</si>
  <si>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</si>
  <si>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</si>
  <si>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</si>
  <si>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</si>
  <si>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</si>
  <si>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</si>
  <si>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</si>
  <si>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</si>
  <si>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</si>
  <si>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</si>
  <si>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</si>
  <si>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145±2</t>
  </si>
  <si>
    <t xml:space="preserve">管反热点温度</t>
  </si>
  <si>
    <t xml:space="preserve">168±2</t>
  </si>
  <si>
    <t xml:space="preserve">结晶单元</t>
    <phoneticPr fontId="1" type="noConversion"/>
  </si>
  <si>
    <t xml:space="preserve">预冷器结晶温度</t>
  </si>
  <si>
    <t xml:space="preserve">≤45</t>
    <phoneticPr fontId="1" type="noConversion"/>
  </si>
  <si>
    <t xml:space="preserve">一次结晶温度</t>
  </si>
  <si>
    <t xml:space="preserve">≤20</t>
    <phoneticPr fontId="1" type="noConversion"/>
  </si>
  <si>
    <t xml:space="preserve">降膜蒸发温度</t>
  </si>
  <si>
    <t xml:space="preserve">48±2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</si>
  <si>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</si>
  <si>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</si>
  <si>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</si>
  <si>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</si>
  <si>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</si>
  <si>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</si>
  <si>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</si>
  <si>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</si>
  <si>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</si>
  <si>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</si>
  <si>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</si>
  <si>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</si>
  <si>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</si>
  <si>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</si>
  <si>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</si>
  <si>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</si>
  <si>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</si>
  <si>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2026-02-05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</si>
</sst>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[Red]\(0.000\)"/>
    <numFmt numFmtId="177" formatCode="0.000_ "/>
    <numFmt numFmtId="178" formatCode="0.00_ "/>
  </numFmts>
  <fonts count="3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b/>
      <sz val="12"/>
      <name val="Times New Roman"/>
      <family val="1"/>
    </font>
    <font>
      <b/>
      <sz val="12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8"/>
      <color rgb="FF00B050"/>
      <name val="宋体"/>
      <family val="1"/>
      <charset val="134"/>
    </font>
    <font>
      <b/>
      <sz val="8"/>
      <color rgb="FF00B050"/>
      <name val="Times New Roman"/>
      <family val="1"/>
    </font>
    <font>
      <sz val="11"/>
      <name val="Times New Roman"/>
      <family val="1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350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0" fontId="18" fillId="4" borderId="89" xfId="0" applyFont="1" applyFill="1" applyBorder="1" applyAlignment="1">
      <alignment horizontal="center" vertical="center"/>
    </xf>
    <xf numFmtId="49" fontId="19" fillId="4" borderId="90" xfId="0" applyNumberFormat="1" applyFont="1" applyFill="1" applyBorder="1" applyAlignment="1">
      <alignment horizontal="center" vertical="center" wrapText="1"/>
    </xf>
    <xf numFmtId="176" fontId="28" fillId="0" borderId="4" xfId="0" applyNumberFormat="1" applyFont="1" applyBorder="1" applyAlignment="1">
      <alignment horizontal="center" vertical="center" wrapText="1"/>
    </xf>
    <xf numFmtId="176" fontId="29" fillId="0" borderId="4" xfId="0" applyNumberFormat="1" applyFont="1" applyBorder="1" applyAlignment="1">
      <alignment horizontal="center" vertical="center" wrapText="1"/>
    </xf>
    <xf numFmtId="176" fontId="29" fillId="0" borderId="47" xfId="0" applyNumberFormat="1" applyFont="1" applyBorder="1" applyAlignment="1">
      <alignment horizontal="center" vertical="center" wrapText="1"/>
    </xf>
    <xf numFmtId="176" fontId="29" fillId="0" borderId="51" xfId="0" applyNumberFormat="1" applyFont="1" applyBorder="1" applyAlignment="1">
      <alignment horizontal="center" vertical="center" wrapText="1"/>
    </xf>
    <xf numFmtId="177" fontId="28" fillId="0" borderId="4" xfId="0" applyNumberFormat="1" applyFont="1" applyBorder="1" applyAlignment="1">
      <alignment horizontal="center" vertical="center" wrapText="1"/>
    </xf>
    <xf numFmtId="177" fontId="28" fillId="0" borderId="47" xfId="0" applyNumberFormat="1" applyFont="1" applyBorder="1" applyAlignment="1">
      <alignment horizontal="center" vertical="center" wrapText="1"/>
    </xf>
    <xf numFmtId="177" fontId="28" fillId="0" borderId="51" xfId="0" applyNumberFormat="1" applyFont="1" applyBorder="1" applyAlignment="1">
      <alignment horizontal="center" vertical="center" wrapText="1"/>
    </xf>
    <xf numFmtId="177" fontId="28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28" fillId="0" borderId="30" xfId="0" applyNumberFormat="1" applyFont="1" applyBorder="1" applyAlignment="1">
      <alignment horizontal="center" vertical="center" wrapText="1"/>
    </xf>
    <xf numFmtId="177" fontId="28" fillId="0" borderId="48" xfId="0" applyNumberFormat="1" applyFont="1" applyBorder="1" applyAlignment="1">
      <alignment horizontal="center" vertical="center" wrapText="1"/>
    </xf>
    <xf numFmtId="177" fontId="28" fillId="0" borderId="52" xfId="0" applyNumberFormat="1" applyFont="1" applyBorder="1" applyAlignment="1">
      <alignment horizontal="center" vertical="center" wrapText="1"/>
    </xf>
    <xf numFmtId="177" fontId="28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28" fillId="0" borderId="12" xfId="0" applyNumberFormat="1" applyFont="1" applyBorder="1" applyAlignment="1">
      <alignment horizontal="center" vertical="center" wrapText="1"/>
    </xf>
    <xf numFmtId="177" fontId="29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28" fillId="0" borderId="45" xfId="0" applyNumberFormat="1" applyFont="1" applyBorder="1" applyAlignment="1">
      <alignment horizontal="center" vertical="center" wrapText="1"/>
    </xf>
    <xf numFmtId="177" fontId="29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29" fillId="0" borderId="47" xfId="0" applyNumberFormat="1" applyFont="1" applyBorder="1" applyAlignment="1">
      <alignment horizontal="center" vertical="center" wrapText="1"/>
    </xf>
    <xf numFmtId="177" fontId="29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29" fillId="0" borderId="48" xfId="0" applyNumberFormat="1" applyFont="1" applyBorder="1" applyAlignment="1">
      <alignment horizontal="center" vertical="center" wrapText="1"/>
    </xf>
    <xf numFmtId="177" fontId="29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18" fillId="0" borderId="39" xfId="0" applyNumberFormat="1" applyFont="1" applyBorder="1" applyAlignment="1">
      <alignment horizontal="center" vertical="center" wrapText="1"/>
    </xf>
    <xf numFmtId="177" fontId="18" fillId="3" borderId="52" xfId="0" applyNumberFormat="1" applyFont="1" applyFill="1" applyBorder="1" applyAlignment="1">
      <alignment horizontal="center" vertical="center" wrapText="1"/>
    </xf>
    <xf numFmtId="177" fontId="18" fillId="3" borderId="30" xfId="0" applyNumberFormat="1" applyFont="1" applyFill="1" applyBorder="1" applyAlignment="1">
      <alignment horizontal="center" vertical="center" wrapText="1"/>
    </xf>
    <xf numFmtId="177" fontId="18" fillId="3" borderId="48" xfId="0" applyNumberFormat="1" applyFont="1" applyFill="1" applyBorder="1" applyAlignment="1">
      <alignment horizontal="center" vertical="center" wrapText="1"/>
    </xf>
    <xf numFmtId="177" fontId="18" fillId="0" borderId="45" xfId="0" applyNumberFormat="1" applyFont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21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177" fontId="21" fillId="0" borderId="30" xfId="0" applyNumberFormat="1" applyFont="1" applyBorder="1" applyAlignment="1">
      <alignment horizontal="center" vertical="center" wrapText="1"/>
    </xf>
    <xf numFmtId="177" fontId="19" fillId="0" borderId="52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9" fillId="0" borderId="74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177" fontId="23" fillId="0" borderId="30" xfId="0" applyNumberFormat="1" applyFont="1" applyBorder="1" applyAlignment="1">
      <alignment horizontal="center" vertical="center" wrapText="1"/>
    </xf>
    <xf numFmtId="177" fontId="30" fillId="0" borderId="52" xfId="0" applyNumberFormat="1" applyFont="1" applyBorder="1" applyAlignment="1">
      <alignment horizontal="center" vertical="center" wrapText="1"/>
    </xf>
    <xf numFmtId="177" fontId="31" fillId="0" borderId="52" xfId="0" applyNumberFormat="1" applyFont="1" applyBorder="1" applyAlignment="1">
      <alignment horizontal="center" vertical="center" wrapText="1"/>
    </xf>
    <xf numFmtId="177" fontId="31" fillId="0" borderId="30" xfId="0" applyNumberFormat="1" applyFont="1" applyBorder="1" applyAlignment="1">
      <alignment horizontal="center" vertical="center" wrapText="1"/>
    </xf>
    <xf numFmtId="177" fontId="31" fillId="0" borderId="76" xfId="0" applyNumberFormat="1" applyFont="1" applyBorder="1" applyAlignment="1">
      <alignment horizontal="center" vertical="center" wrapText="1"/>
    </xf>
    <xf numFmtId="177" fontId="31" fillId="0" borderId="48" xfId="0" applyNumberFormat="1" applyFont="1" applyBorder="1" applyAlignment="1">
      <alignment horizontal="center" vertical="center" wrapText="1"/>
    </xf>
    <xf numFmtId="177" fontId="32" fillId="0" borderId="30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24" fillId="0" borderId="82" xfId="0" applyFont="1" applyBorder="1" applyAlignment="1">
      <alignment horizontal="left" vertical="center"/>
    </xf>
    <xf numFmtId="0" fontId="24" fillId="0" borderId="83" xfId="0" applyFont="1" applyBorder="1" applyAlignment="1">
      <alignment horizontal="left" vertical="center"/>
    </xf>
    <xf numFmtId="0" fontId="24" fillId="0" borderId="84" xfId="0" applyFont="1" applyBorder="1" applyAlignment="1">
      <alignment horizontal="left" vertical="center"/>
    </xf>
    <xf numFmtId="0" fontId="21" fillId="0" borderId="85" xfId="0" applyFont="1" applyBorder="1" applyAlignment="1">
      <alignment horizontal="center" vertical="center" wrapText="1"/>
    </xf>
    <xf numFmtId="0" fontId="0" fillId="0" borderId="87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21" fillId="0" borderId="80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21" fillId="0" borderId="79" xfId="0" applyNumberFormat="1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86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25" fillId="0" borderId="37" xfId="0" applyFont="1" applyBorder="1" applyAlignment="1">
      <alignment horizontal="center" vertical="center" wrapText="1"/>
    </xf>
    <xf numFmtId="49" fontId="21" fillId="0" borderId="58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1" fillId="0" borderId="53" xfId="0" applyNumberFormat="1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25" fillId="0" borderId="28" xfId="0" applyFont="1" applyBorder="1" applyAlignment="1">
      <alignment horizontal="center" vertical="center" wrapText="1"/>
    </xf>
    <xf numFmtId="0" fontId="25" fillId="0" borderId="69" xfId="0" applyFont="1" applyBorder="1" applyAlignment="1">
      <alignment horizontal="center" vertical="center" wrapText="1"/>
    </xf>
    <xf numFmtId="0" fontId="25" fillId="0" borderId="51" xfId="0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25" fillId="0" borderId="47" xfId="0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87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49" fontId="26" fillId="0" borderId="72" xfId="0" applyNumberFormat="1" applyFont="1" applyBorder="1" applyAlignment="1">
      <alignment horizontal="center" vertical="center" wrapText="1"/>
    </xf>
    <xf numFmtId="0" fontId="27" fillId="0" borderId="62" xfId="0" applyFont="1" applyBorder="1" applyAlignment="1">
      <alignment horizontal="center" vertical="center" wrapText="1"/>
    </xf>
    <xf numFmtId="0" fontId="27" fillId="0" borderId="71" xfId="0" applyFont="1" applyBorder="1" applyAlignment="1">
      <alignment horizontal="center" vertical="center" wrapText="1"/>
    </xf>
    <xf numFmtId="2" fontId="21" fillId="0" borderId="0" xfId="0" applyNumberFormat="1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91" xfId="0" applyFont="1" applyBorder="1" applyAlignment="1">
      <alignment horizontal="center" vertical="center" wrapText="1"/>
    </xf>
    <xf numFmtId="0" fontId="0" fillId="0" borderId="9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3" fillId="3" borderId="81" xfId="0" applyFont="1" applyFill="1" applyBorder="1" applyAlignment="1">
      <alignment horizontal="center" vertical="center"/>
    </xf>
    <xf numFmtId="0" fontId="33" fillId="3" borderId="78" xfId="0" applyFont="1" applyFill="1" applyBorder="1" applyAlignment="1">
      <alignment horizontal="center" vertical="center"/>
    </xf>
    <xf numFmtId="0" fontId="33" fillId="3" borderId="77" xfId="0" applyFont="1" applyFill="1" applyBorder="1" applyAlignment="1">
      <alignment horizontal="center" vertical="center"/>
    </xf>
    <xf numFmtId="0" fontId="34" fillId="3" borderId="61" xfId="0" applyFont="1" applyFill="1" applyBorder="1" applyAlignment="1">
      <alignment vertical="center"/>
    </xf>
    <xf numFmtId="0" fontId="34" fillId="3" borderId="62" xfId="0" applyFont="1" applyFill="1" applyBorder="1" applyAlignment="1">
      <alignment vertical="center"/>
    </xf>
    <xf numFmtId="0" fontId="34" fillId="3" borderId="62" xfId="0" applyFont="1" applyFill="1" applyBorder="1" applyAlignment="1">
      <alignment horizontal="right" vertical="center"/>
    </xf>
    <xf numFmtId="0" fontId="34" fillId="3" borderId="62" xfId="0" applyFont="1" applyFill="1" applyBorder="1" applyAlignment="1">
      <alignment horizontal="center" vertical="center"/>
    </xf>
    <xf numFmtId="0" fontId="34" fillId="3" borderId="65" xfId="0" applyFont="1" applyFill="1" applyBorder="1" applyAlignment="1">
      <alignment horizontal="center" vertical="center"/>
    </xf>
    <xf numFmtId="0" fontId="33" fillId="0" borderId="93" xfId="0" applyFont="1" applyBorder="1" applyAlignment="1">
      <alignment horizontal="center" vertical="center"/>
    </xf>
    <xf numFmtId="0" fontId="33" fillId="0" borderId="73" xfId="0" applyFont="1" applyBorder="1" applyAlignment="1">
      <alignment horizontal="center" vertical="center"/>
    </xf>
    <xf numFmtId="0" fontId="33" fillId="0" borderId="90" xfId="0" applyFont="1" applyBorder="1" applyAlignment="1">
      <alignment horizontal="center" vertical="center"/>
    </xf>
    <xf numFmtId="0" fontId="33" fillId="0" borderId="94" xfId="0" applyFont="1" applyBorder="1" applyAlignment="1">
      <alignment horizontal="center" vertical="center"/>
    </xf>
    <xf numFmtId="0" fontId="33" fillId="0" borderId="89" xfId="0" applyFont="1" applyBorder="1" applyAlignment="1">
      <alignment horizontal="center" vertical="center"/>
    </xf>
    <xf numFmtId="0" fontId="33" fillId="0" borderId="95" xfId="0" applyFont="1" applyBorder="1" applyAlignment="1">
      <alignment horizontal="center" vertical="center"/>
    </xf>
    <xf numFmtId="0" fontId="35" fillId="0" borderId="96" xfId="0" applyFont="1" applyBorder="1" applyAlignment="1">
      <alignment horizontal="left" vertical="center"/>
    </xf>
    <xf numFmtId="0" fontId="35" fillId="0" borderId="94" xfId="0" applyFont="1" applyBorder="1" applyAlignment="1">
      <alignment horizontal="center" vertical="center"/>
    </xf>
    <xf numFmtId="0" fontId="35" fillId="0" borderId="94" xfId="0" applyFont="1" applyBorder="1" applyAlignment="1">
      <alignment horizontal="center" vertical="center"/>
    </xf>
    <xf numFmtId="177" fontId="36" fillId="0" borderId="94" xfId="0" applyNumberFormat="1" applyFont="1" applyBorder="1" applyAlignment="1">
      <alignment horizontal="center" vertical="center"/>
    </xf>
    <xf numFmtId="177" fontId="16" fillId="0" borderId="94" xfId="0" applyNumberFormat="1" applyFont="1" applyBorder="1" applyAlignment="1">
      <alignment horizontal="center" vertical="center"/>
    </xf>
    <xf numFmtId="178" fontId="36" fillId="0" borderId="94" xfId="0" applyNumberFormat="1" applyFont="1" applyBorder="1" applyAlignment="1">
      <alignment horizontal="center" vertical="center"/>
    </xf>
    <xf numFmtId="178" fontId="36" fillId="0" borderId="89" xfId="0" applyNumberFormat="1" applyFont="1" applyBorder="1" applyAlignment="1">
      <alignment horizontal="center" vertical="center"/>
    </xf>
    <xf numFmtId="0" fontId="36" fillId="0" borderId="95" xfId="0" applyFont="1" applyBorder="1" applyAlignment="1">
      <alignment horizontal="center" vertical="center"/>
    </xf>
    <xf numFmtId="0" fontId="35" fillId="0" borderId="97" xfId="0" applyFont="1" applyBorder="1" applyAlignment="1">
      <alignment horizontal="center" vertical="center"/>
    </xf>
    <xf numFmtId="0" fontId="36" fillId="0" borderId="94" xfId="0" applyFont="1" applyBorder="1" applyAlignment="1">
      <alignment horizontal="center" vertical="center"/>
    </xf>
    <xf numFmtId="0" fontId="35" fillId="0" borderId="94" xfId="0" quotePrefix="1" applyFont="1" applyBorder="1" applyAlignment="1">
      <alignment horizontal="center" vertical="center"/>
    </xf>
    <xf numFmtId="0" fontId="35" fillId="0" borderId="98" xfId="0" applyFont="1" applyBorder="1" applyAlignment="1">
      <alignment horizontal="center" vertical="center"/>
    </xf>
    <xf numFmtId="0" fontId="35" fillId="0" borderId="99" xfId="0" applyFont="1" applyBorder="1" applyAlignment="1">
      <alignment horizontal="center" vertical="center"/>
    </xf>
    <xf numFmtId="177" fontId="35" fillId="0" borderId="94" xfId="0" quotePrefix="1" applyNumberFormat="1" applyFont="1" applyBorder="1" applyAlignment="1">
      <alignment horizontal="center" vertical="center"/>
    </xf>
    <xf numFmtId="0" fontId="36" fillId="0" borderId="94" xfId="0" quotePrefix="1" applyFont="1" applyBorder="1" applyAlignment="1">
      <alignment horizontal="center" vertical="center"/>
    </xf>
    <xf numFmtId="0" fontId="35" fillId="0" borderId="96" xfId="0" applyFont="1" applyBorder="1" applyAlignment="1">
      <alignment horizontal="center" vertical="center"/>
    </xf>
    <xf numFmtId="0" fontId="35" fillId="0" borderId="100" xfId="0" applyFont="1" applyBorder="1" applyAlignment="1">
      <alignment horizontal="center" vertical="center"/>
    </xf>
    <xf numFmtId="0" fontId="35" fillId="0" borderId="100" xfId="0" applyFont="1" applyBorder="1" applyAlignment="1">
      <alignment horizontal="center" vertical="center"/>
    </xf>
    <xf numFmtId="177" fontId="36" fillId="0" borderId="100" xfId="0" applyNumberFormat="1" applyFont="1" applyBorder="1" applyAlignment="1">
      <alignment horizontal="center" vertical="center"/>
    </xf>
    <xf numFmtId="177" fontId="16" fillId="0" borderId="100" xfId="0" applyNumberFormat="1" applyFont="1" applyBorder="1" applyAlignment="1">
      <alignment horizontal="center" vertical="center"/>
    </xf>
    <xf numFmtId="0" fontId="36" fillId="0" borderId="101" xfId="0" applyFont="1" applyBorder="1" applyAlignment="1">
      <alignment horizontal="center" vertical="center"/>
    </xf>
    <xf numFmtId="0" fontId="35" fillId="0" borderId="102" xfId="0" applyFont="1" applyBorder="1" applyAlignment="1">
      <alignment horizontal="center" vertical="center"/>
    </xf>
    <xf numFmtId="0" fontId="35" fillId="0" borderId="103" xfId="0" applyFont="1" applyBorder="1" applyAlignment="1">
      <alignment horizontal="center" vertical="center"/>
    </xf>
    <xf numFmtId="0" fontId="35" fillId="0" borderId="104" xfId="0" applyFont="1" applyBorder="1" applyAlignment="1">
      <alignment horizontal="center" vertical="center"/>
    </xf>
    <xf numFmtId="0" fontId="35" fillId="0" borderId="105" xfId="0" applyFont="1" applyBorder="1" applyAlignment="1">
      <alignment horizontal="center" vertical="center"/>
    </xf>
    <xf numFmtId="0" fontId="35" fillId="0" borderId="106" xfId="0" applyFont="1" applyBorder="1" applyAlignment="1">
      <alignment horizontal="center" vertical="center"/>
    </xf>
    <xf numFmtId="0" fontId="35" fillId="0" borderId="107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108" xfId="0" applyFont="1" applyBorder="1" applyAlignment="1">
      <alignment horizontal="center" vertical="center"/>
    </xf>
    <xf numFmtId="0" fontId="35" fillId="0" borderId="109" xfId="0" applyFont="1" applyBorder="1" applyAlignment="1">
      <alignment horizontal="center" vertical="center"/>
    </xf>
    <xf numFmtId="0" fontId="35" fillId="0" borderId="110" xfId="0" applyFont="1" applyBorder="1" applyAlignment="1">
      <alignment horizontal="center" vertical="center"/>
    </xf>
    <xf numFmtId="0" fontId="35" fillId="0" borderId="111" xfId="0" applyFont="1" applyBorder="1" applyAlignment="1">
      <alignment horizontal="center" vertical="center"/>
    </xf>
    <xf numFmtId="0" fontId="35" fillId="0" borderId="112" xfId="0" applyFont="1" applyBorder="1" applyAlignment="1">
      <alignment horizontal="center" vertical="center"/>
    </xf>
  </cellXfs>
  <cellStyles count="1">
    <cellStyle name="常规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7" t="s">
        <v>227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</row>
    <row r="3" spans="2:47" ht="20.15" customHeight="1" x14ac:dyDescent="0.25">
      <c r="B3" s="189" t="s">
        <v>181</v>
      </c>
      <c r="C3" s="147" t="s">
        <v>163</v>
      </c>
      <c r="D3" s="197"/>
      <c r="E3" s="197"/>
      <c r="F3" s="197"/>
      <c r="G3" s="197"/>
      <c r="H3" s="198"/>
      <c r="I3" s="201" t="s">
        <v>8</v>
      </c>
      <c r="J3" s="197"/>
      <c r="K3" s="197"/>
      <c r="L3" s="197"/>
      <c r="M3" s="197"/>
      <c r="N3" s="197"/>
      <c r="O3" s="197"/>
      <c r="P3" s="202"/>
      <c r="Q3" s="147" t="s">
        <v>77</v>
      </c>
      <c r="R3" s="197"/>
      <c r="S3" s="202"/>
      <c r="T3" s="147" t="s">
        <v>10</v>
      </c>
      <c r="U3" s="197"/>
      <c r="V3" s="197"/>
      <c r="W3" s="202"/>
      <c r="X3" s="147" t="s">
        <v>80</v>
      </c>
      <c r="Y3" s="148"/>
      <c r="Z3" s="147" t="s">
        <v>11</v>
      </c>
      <c r="AA3" s="148"/>
      <c r="AB3" s="13" t="s">
        <v>13</v>
      </c>
      <c r="AC3" s="147" t="s">
        <v>14</v>
      </c>
      <c r="AD3" s="148"/>
      <c r="AE3" s="151" t="s">
        <v>88</v>
      </c>
      <c r="AF3" s="152"/>
      <c r="AG3" s="152"/>
      <c r="AH3" s="152"/>
      <c r="AI3" s="152"/>
      <c r="AJ3" s="152"/>
      <c r="AK3" s="153"/>
      <c r="AL3" s="147" t="s">
        <v>18</v>
      </c>
      <c r="AM3" s="193"/>
      <c r="AN3" s="194"/>
      <c r="AO3" s="193" t="s">
        <v>16</v>
      </c>
      <c r="AP3" s="193"/>
      <c r="AQ3" s="193"/>
      <c r="AR3" s="196"/>
    </row>
    <row r="4" spans="2:47" ht="30" customHeight="1" x14ac:dyDescent="0.25">
      <c r="B4" s="190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9" t="s">
        <v>62</v>
      </c>
      <c r="J4" s="200"/>
      <c r="K4" s="3" t="s">
        <v>6</v>
      </c>
      <c r="L4" s="3" t="s">
        <v>66</v>
      </c>
      <c r="M4" s="3" t="s">
        <v>164</v>
      </c>
      <c r="N4" s="3" t="s">
        <v>165</v>
      </c>
      <c r="O4" s="154" t="s">
        <v>7</v>
      </c>
      <c r="P4" s="155"/>
      <c r="Q4" s="192" t="s">
        <v>71</v>
      </c>
      <c r="R4" s="155"/>
      <c r="S4" s="3" t="s">
        <v>51</v>
      </c>
      <c r="T4" s="3" t="s">
        <v>75</v>
      </c>
      <c r="U4" s="192" t="s">
        <v>78</v>
      </c>
      <c r="V4" s="155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9" t="s">
        <v>89</v>
      </c>
      <c r="AF4" s="150"/>
      <c r="AG4" s="149" t="s">
        <v>92</v>
      </c>
      <c r="AH4" s="150"/>
      <c r="AI4" s="10" t="s">
        <v>166</v>
      </c>
      <c r="AJ4" s="10" t="s">
        <v>167</v>
      </c>
      <c r="AK4" s="11" t="s">
        <v>115</v>
      </c>
      <c r="AL4" s="192" t="s">
        <v>110</v>
      </c>
      <c r="AM4" s="155"/>
      <c r="AN4" s="29" t="s">
        <v>111</v>
      </c>
      <c r="AO4" s="26" t="s">
        <v>12</v>
      </c>
      <c r="AP4" s="3" t="s">
        <v>1</v>
      </c>
      <c r="AQ4" s="168" t="s">
        <v>161</v>
      </c>
      <c r="AR4" s="195"/>
      <c r="AU4" s="20"/>
    </row>
    <row r="5" spans="2:47" ht="20.15" customHeight="1" x14ac:dyDescent="0.25">
      <c r="B5" s="191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408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91">
        <v>12.984660148620605</v>
      </c>
      <c r="D6" s="91">
        <v>17.88736915588379</v>
      </c>
      <c r="E6" s="91">
        <v>0</v>
      </c>
      <c r="F6" s="91"/>
      <c r="G6" s="91"/>
      <c r="H6" s="92">
        <v>0</v>
      </c>
      <c r="I6" s="93">
        <v>0</v>
      </c>
      <c r="J6" s="91"/>
      <c r="K6" s="91">
        <v>8.825231552124023</v>
      </c>
      <c r="L6" s="91">
        <v>0.13364440202713013</v>
      </c>
      <c r="M6" s="91">
        <v>5.702040195465088</v>
      </c>
      <c r="N6" s="91">
        <v>7.638888835906982</v>
      </c>
      <c r="O6" s="91">
        <v>0</v>
      </c>
      <c r="P6" s="91"/>
      <c r="Q6" s="91">
        <v>2.3107800395383293E-12</v>
      </c>
      <c r="R6" s="91"/>
      <c r="S6" s="91">
        <v>5.9461798667907715</v>
      </c>
      <c r="T6" s="91">
        <v>0.3247070014476776</v>
      </c>
      <c r="U6" s="91">
        <v>0</v>
      </c>
      <c r="V6" s="91"/>
      <c r="W6" s="91">
        <v>6.915509223937988</v>
      </c>
      <c r="X6" s="91">
        <v>-1</v>
      </c>
      <c r="Y6" s="91"/>
      <c r="Z6" s="91">
        <v>-0.010243060067296028</v>
      </c>
      <c r="AA6" s="91">
        <v>7.3423027992248535</v>
      </c>
      <c r="AB6" s="91">
        <v>9.65711784362793</v>
      </c>
      <c r="AC6" s="91">
        <v>-0.006329571828246117</v>
      </c>
      <c r="AD6" s="91">
        <v>7.769096851348877</v>
      </c>
      <c r="AE6" s="94">
        <v>20508</v>
      </c>
      <c r="AF6" s="94"/>
      <c r="AG6" s="94"/>
      <c r="AH6" s="94"/>
      <c r="AI6" s="94"/>
      <c r="AJ6" s="94"/>
      <c r="AK6" s="94"/>
      <c r="AL6" s="91">
        <v>0</v>
      </c>
      <c r="AM6" s="95"/>
      <c r="AN6" s="96">
        <v>49.008968353271484</v>
      </c>
      <c r="AO6" s="97"/>
      <c r="AP6" s="98"/>
      <c r="AQ6" s="98">
        <v>0</v>
      </c>
      <c r="AR6" s="99"/>
    </row>
    <row r="7" spans="2:47" ht="13.5" customHeight="1" x14ac:dyDescent="0.25">
      <c r="B7" s="14">
        <v>0.375</v>
      </c>
      <c r="C7" s="91"/>
      <c r="D7" s="91"/>
      <c r="E7" s="91"/>
      <c r="F7" s="91"/>
      <c r="G7" s="91"/>
      <c r="H7" s="92"/>
      <c r="I7" s="93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 t="s">
        <v>82</v>
      </c>
      <c r="Z7" s="91"/>
      <c r="AA7" s="91"/>
      <c r="AB7" s="91"/>
      <c r="AC7" s="91"/>
      <c r="AD7" s="91"/>
      <c r="AE7" s="94"/>
      <c r="AF7" s="94"/>
      <c r="AG7" s="94"/>
      <c r="AH7" s="94"/>
      <c r="AI7" s="94"/>
      <c r="AJ7" s="94"/>
      <c r="AK7" s="94"/>
      <c r="AL7" s="91"/>
      <c r="AM7" s="95"/>
      <c r="AN7" s="96"/>
      <c r="AO7" s="97"/>
      <c r="AP7" s="98"/>
      <c r="AQ7" s="98"/>
      <c r="AR7" s="99"/>
    </row>
    <row r="8" spans="2:47" ht="13.5" customHeight="1" x14ac:dyDescent="0.25">
      <c r="B8" s="14">
        <v>0.41666666666666669</v>
      </c>
      <c r="C8" s="91">
        <v>16.601560592651367</v>
      </c>
      <c r="D8" s="91">
        <v>16.699220657348633</v>
      </c>
      <c r="E8" s="91">
        <v>0</v>
      </c>
      <c r="F8" s="91"/>
      <c r="G8" s="91"/>
      <c r="H8" s="92">
        <v>0</v>
      </c>
      <c r="I8" s="93">
        <v>30.128759384155273</v>
      </c>
      <c r="J8" s="91"/>
      <c r="K8" s="91">
        <v>51.6710090637207</v>
      </c>
      <c r="L8" s="91">
        <v>1.3997399806976318</v>
      </c>
      <c r="M8" s="91">
        <v>94.04297637939453</v>
      </c>
      <c r="N8" s="91">
        <v>93.91636657714844</v>
      </c>
      <c r="O8" s="91">
        <v>23.839920043945312</v>
      </c>
      <c r="P8" s="91"/>
      <c r="Q8" s="91">
        <v>3.4339499473571777</v>
      </c>
      <c r="R8" s="91"/>
      <c r="S8" s="91">
        <v>143.2509002685547</v>
      </c>
      <c r="T8" s="91">
        <v>1.4559279680252075</v>
      </c>
      <c r="U8" s="91">
        <v>0.3567655086517334</v>
      </c>
      <c r="V8" s="91"/>
      <c r="W8" s="91">
        <v>91.76793670654297</v>
      </c>
      <c r="X8" s="91">
        <v>0.5270478129386902</v>
      </c>
      <c r="Y8" s="91" t="s">
        <v>82</v>
      </c>
      <c r="Z8" s="91">
        <v>0.8034144043922424</v>
      </c>
      <c r="AA8" s="91">
        <v>151.9604034423828</v>
      </c>
      <c r="AB8" s="91">
        <v>162.5072021484375</v>
      </c>
      <c r="AC8" s="91">
        <v>0.480577290058136</v>
      </c>
      <c r="AD8" s="91">
        <v>156.51040649414062</v>
      </c>
      <c r="AE8" s="94"/>
      <c r="AF8" s="94"/>
      <c r="AG8" s="94"/>
      <c r="AH8" s="94"/>
      <c r="AI8" s="94"/>
      <c r="AJ8" s="94">
        <v>34.099998474121094</v>
      </c>
      <c r="AK8" s="94">
        <v>6.809999942779541</v>
      </c>
      <c r="AL8" s="91">
        <v>10.622830390930176</v>
      </c>
      <c r="AM8" s="95"/>
      <c r="AN8" s="96">
        <v>41.01924133300781</v>
      </c>
      <c r="AO8" s="97"/>
      <c r="AP8" s="98"/>
      <c r="AQ8" s="98">
        <v>0</v>
      </c>
      <c r="AR8" s="99"/>
    </row>
    <row r="9" spans="2:47" ht="13.5" customHeight="1" x14ac:dyDescent="0.25">
      <c r="B9" s="14">
        <v>0.45833333333333298</v>
      </c>
      <c r="C9" s="91">
        <v>16.89090919494629</v>
      </c>
      <c r="D9" s="91">
        <v>16.514759063720703</v>
      </c>
      <c r="E9" s="91">
        <v>0</v>
      </c>
      <c r="F9" s="91">
        <v>0.35753118991851807</v>
      </c>
      <c r="G9" s="91">
        <v>0</v>
      </c>
      <c r="H9" s="92">
        <v>0</v>
      </c>
      <c r="I9" s="93">
        <v>23.090280532836914</v>
      </c>
      <c r="J9" s="91">
        <v>0.03082713857293129</v>
      </c>
      <c r="K9" s="91">
        <v>31.184890747070312</v>
      </c>
      <c r="L9" s="91">
        <v>1.4002820253372192</v>
      </c>
      <c r="M9" s="91">
        <v>82.89930725097656</v>
      </c>
      <c r="N9" s="91">
        <v>104.44879913330078</v>
      </c>
      <c r="O9" s="91">
        <v>23.70206069946289</v>
      </c>
      <c r="P9" s="91">
        <v>23.82784080505371</v>
      </c>
      <c r="Q9" s="91">
        <v>2.746532917022705</v>
      </c>
      <c r="R9" s="91">
        <v>3.299750804901123</v>
      </c>
      <c r="S9" s="91">
        <v>143.55470275878906</v>
      </c>
      <c r="T9" s="91">
        <v>1.4564340114593506</v>
      </c>
      <c r="U9" s="91">
        <v>0.35382890701293945</v>
      </c>
      <c r="V9" s="91">
        <v>0.3579529821872711</v>
      </c>
      <c r="W9" s="91">
        <v>93.2436294555664</v>
      </c>
      <c r="X9" s="91">
        <v>0.5279431939125061</v>
      </c>
      <c r="Y9" s="91" t="s">
        <v>82</v>
      </c>
      <c r="Z9" s="91">
        <v>0.8509839177131653</v>
      </c>
      <c r="AA9" s="91">
        <v>152.82119750976562</v>
      </c>
      <c r="AB9" s="91">
        <v>166.18919372558594</v>
      </c>
      <c r="AC9" s="91">
        <v>0.5179036259651184</v>
      </c>
      <c r="AD9" s="91">
        <v>159.5269012451172</v>
      </c>
      <c r="AE9" s="94"/>
      <c r="AF9" s="94"/>
      <c r="AG9" s="94"/>
      <c r="AH9" s="94"/>
      <c r="AI9" s="94"/>
      <c r="AJ9" s="94"/>
      <c r="AK9" s="94"/>
      <c r="AL9" s="91">
        <v>14.120369911193848</v>
      </c>
      <c r="AM9" s="95">
        <v>0.012993049807846546</v>
      </c>
      <c r="AN9" s="96">
        <v>39.402488708496094</v>
      </c>
      <c r="AO9" s="97"/>
      <c r="AP9" s="98"/>
      <c r="AQ9" s="98">
        <v>0</v>
      </c>
      <c r="AR9" s="99">
        <v>0.00037854420952498913</v>
      </c>
    </row>
    <row r="10" spans="2:47" ht="13.5" customHeight="1" x14ac:dyDescent="0.25">
      <c r="B10" s="14">
        <v>0.5</v>
      </c>
      <c r="C10" s="91">
        <v>16.916229248046875</v>
      </c>
      <c r="D10" s="91">
        <v>16.786029815673828</v>
      </c>
      <c r="E10" s="91">
        <v>0</v>
      </c>
      <c r="F10" s="91">
        <v>0.35801294445991516</v>
      </c>
      <c r="G10" s="91">
        <v>0</v>
      </c>
      <c r="H10" s="92">
        <v>0</v>
      </c>
      <c r="I10" s="93">
        <v>17.52025032043457</v>
      </c>
      <c r="J10" s="91">
        <v>0.023542091250419617</v>
      </c>
      <c r="K10" s="91">
        <v>43.08449172973633</v>
      </c>
      <c r="L10" s="91">
        <v>1.5081559419631958</v>
      </c>
      <c r="M10" s="91">
        <v>83.4689712524414</v>
      </c>
      <c r="N10" s="91">
        <v>112.96299743652344</v>
      </c>
      <c r="O10" s="91">
        <v>23.755870819091797</v>
      </c>
      <c r="P10" s="91">
        <v>23.775222778320312</v>
      </c>
      <c r="Q10" s="91">
        <v>2.8655989170074463</v>
      </c>
      <c r="R10" s="91">
        <v>2.8985795974731445</v>
      </c>
      <c r="S10" s="91">
        <v>143.0989990234375</v>
      </c>
      <c r="T10" s="91">
        <v>1.4563080072402954</v>
      </c>
      <c r="U10" s="91">
        <v>0.3598473072052002</v>
      </c>
      <c r="V10" s="91">
        <v>0.35772401094436646</v>
      </c>
      <c r="W10" s="91">
        <v>93.48957824707031</v>
      </c>
      <c r="X10" s="91">
        <v>0.5263112187385559</v>
      </c>
      <c r="Y10" s="91" t="s">
        <v>82</v>
      </c>
      <c r="Z10" s="91">
        <v>0.8427662253379822</v>
      </c>
      <c r="AA10" s="91">
        <v>153.58799743652344</v>
      </c>
      <c r="AB10" s="91">
        <v>165.7480010986328</v>
      </c>
      <c r="AC10" s="91">
        <v>0.47587528824806213</v>
      </c>
      <c r="AD10" s="91">
        <v>157.9716033935547</v>
      </c>
      <c r="AE10" s="94"/>
      <c r="AF10" s="94"/>
      <c r="AG10" s="94"/>
      <c r="AH10" s="94"/>
      <c r="AI10" s="94"/>
      <c r="AJ10" s="94"/>
      <c r="AK10" s="94"/>
      <c r="AL10" s="91">
        <v>15.690099716186523</v>
      </c>
      <c r="AM10" s="95">
        <v>0.015192779712378979</v>
      </c>
      <c r="AN10" s="96">
        <v>37.17448043823242</v>
      </c>
      <c r="AO10" s="97"/>
      <c r="AP10" s="98"/>
      <c r="AQ10" s="98">
        <v>1.3577840328216553</v>
      </c>
      <c r="AR10" s="99">
        <v>0.0003318797971587628</v>
      </c>
    </row>
    <row r="11" spans="2:47" ht="13.5" customHeight="1" x14ac:dyDescent="0.25">
      <c r="B11" s="14">
        <v>0.54166666666666696</v>
      </c>
      <c r="C11" s="91">
        <v>17.136859893798828</v>
      </c>
      <c r="D11" s="91">
        <v>17.458770751953125</v>
      </c>
      <c r="E11" s="91">
        <v>0</v>
      </c>
      <c r="F11" s="91">
        <v>0.35899293422698975</v>
      </c>
      <c r="G11" s="91">
        <v>0</v>
      </c>
      <c r="H11" s="92">
        <v>0</v>
      </c>
      <c r="I11" s="93">
        <v>24.22960090637207</v>
      </c>
      <c r="J11" s="91">
        <v>0.022674499079585075</v>
      </c>
      <c r="K11" s="91">
        <v>39.49652862548828</v>
      </c>
      <c r="L11" s="91">
        <v>1.3829209804534912</v>
      </c>
      <c r="M11" s="91">
        <v>103.84110260009766</v>
      </c>
      <c r="N11" s="91">
        <v>116.9271011352539</v>
      </c>
      <c r="O11" s="91">
        <v>24.149499893188477</v>
      </c>
      <c r="P11" s="91">
        <v>23.84123992919922</v>
      </c>
      <c r="Q11" s="91">
        <v>3.011986017227173</v>
      </c>
      <c r="R11" s="91">
        <v>2.8954200744628906</v>
      </c>
      <c r="S11" s="91">
        <v>143.51849365234375</v>
      </c>
      <c r="T11" s="91">
        <v>1.4532699584960938</v>
      </c>
      <c r="U11" s="91">
        <v>0.3600032925605774</v>
      </c>
      <c r="V11" s="91">
        <v>0.3588888645172119</v>
      </c>
      <c r="W11" s="91">
        <v>92.94703674316406</v>
      </c>
      <c r="X11" s="91">
        <v>0.5292931199073792</v>
      </c>
      <c r="Y11" s="91" t="s">
        <v>82</v>
      </c>
      <c r="Z11" s="91">
        <v>0.8299769163131714</v>
      </c>
      <c r="AA11" s="91">
        <v>153.56629943847656</v>
      </c>
      <c r="AB11" s="91">
        <v>165.7696990966797</v>
      </c>
      <c r="AC11" s="91">
        <v>0.5645617246627808</v>
      </c>
      <c r="AD11" s="91">
        <v>157.4073944091797</v>
      </c>
      <c r="AE11" s="94"/>
      <c r="AF11" s="94"/>
      <c r="AG11" s="94"/>
      <c r="AH11" s="94"/>
      <c r="AI11" s="94"/>
      <c r="AJ11" s="94">
        <v>33.18000030517578</v>
      </c>
      <c r="AK11" s="94">
        <v>6.980000019073486</v>
      </c>
      <c r="AL11" s="91">
        <v>20.388450622558594</v>
      </c>
      <c r="AM11" s="95">
        <v>0.015405288897454739</v>
      </c>
      <c r="AN11" s="96">
        <v>35.026039123535156</v>
      </c>
      <c r="AO11" s="97"/>
      <c r="AP11" s="98"/>
      <c r="AQ11" s="98">
        <v>0.195529505610466</v>
      </c>
      <c r="AR11" s="99">
        <v>0.0003506304637994617</v>
      </c>
    </row>
    <row r="12" spans="2:47" ht="13.5" customHeight="1" x14ac:dyDescent="0.25">
      <c r="B12" s="14">
        <v>0.58333333333333304</v>
      </c>
      <c r="C12" s="91">
        <v>17.212820053100586</v>
      </c>
      <c r="D12" s="91">
        <v>17.89822006225586</v>
      </c>
      <c r="E12" s="91">
        <v>415.3840026855469</v>
      </c>
      <c r="F12" s="91">
        <v>0.3593420386314392</v>
      </c>
      <c r="G12" s="91">
        <v>0</v>
      </c>
      <c r="H12" s="92">
        <v>411.8222961425781</v>
      </c>
      <c r="I12" s="93">
        <v>22.710500717163086</v>
      </c>
      <c r="J12" s="91">
        <v>0.02355959266424179</v>
      </c>
      <c r="K12" s="91">
        <v>39.38079071044922</v>
      </c>
      <c r="L12" s="91">
        <v>1.3967560529708862</v>
      </c>
      <c r="M12" s="91">
        <v>96.82617950439453</v>
      </c>
      <c r="N12" s="91">
        <v>113.96119689941406</v>
      </c>
      <c r="O12" s="91">
        <v>24.019729614257812</v>
      </c>
      <c r="P12" s="91">
        <v>23.827125549316406</v>
      </c>
      <c r="Q12" s="91">
        <v>2.8322699069976807</v>
      </c>
      <c r="R12" s="91">
        <v>2.778989791870117</v>
      </c>
      <c r="S12" s="91">
        <v>143.07000732421875</v>
      </c>
      <c r="T12" s="91">
        <v>1.4528900384902954</v>
      </c>
      <c r="U12" s="91">
        <v>0.36072269082069397</v>
      </c>
      <c r="V12" s="91">
        <v>0.35857701301574707</v>
      </c>
      <c r="W12" s="91">
        <v>92.53472137451172</v>
      </c>
      <c r="X12" s="91">
        <v>0.5269442200660706</v>
      </c>
      <c r="Y12" s="91" t="s">
        <v>82</v>
      </c>
      <c r="Z12" s="91">
        <v>0.8376737236976624</v>
      </c>
      <c r="AA12" s="91">
        <v>151.6204071044922</v>
      </c>
      <c r="AB12" s="91">
        <v>165.74070739746094</v>
      </c>
      <c r="AC12" s="91">
        <v>0.4401041865348816</v>
      </c>
      <c r="AD12" s="91">
        <v>157.20489501953125</v>
      </c>
      <c r="AE12" s="94"/>
      <c r="AF12" s="94"/>
      <c r="AG12" s="94"/>
      <c r="AH12" s="94"/>
      <c r="AI12" s="94"/>
      <c r="AJ12" s="94"/>
      <c r="AK12" s="94"/>
      <c r="AL12" s="91">
        <v>20.883970260620117</v>
      </c>
      <c r="AM12" s="95">
        <v>0.015661979094147682</v>
      </c>
      <c r="AN12" s="96">
        <v>60.21049880981445</v>
      </c>
      <c r="AO12" s="97"/>
      <c r="AP12" s="98"/>
      <c r="AQ12" s="98">
        <v>0</v>
      </c>
      <c r="AR12" s="99">
        <v>0.0003478929866105318</v>
      </c>
    </row>
    <row r="13" spans="2:47" ht="13.5" customHeight="1" x14ac:dyDescent="0.25">
      <c r="B13" s="14">
        <v>0.625</v>
      </c>
      <c r="C13" s="91">
        <v>17.393659591674805</v>
      </c>
      <c r="D13" s="91">
        <v>18.250869750976562</v>
      </c>
      <c r="E13" s="91">
        <v>414.98968505859375</v>
      </c>
      <c r="F13" s="91">
        <v>0.35937389731407166</v>
      </c>
      <c r="G13" s="91">
        <v>0</v>
      </c>
      <c r="H13" s="92">
        <v>411.4587097167969</v>
      </c>
      <c r="I13" s="93">
        <v>22.98900032043457</v>
      </c>
      <c r="J13" s="91">
        <v>0.02278619445860386</v>
      </c>
      <c r="K13" s="91">
        <v>39.37355041503906</v>
      </c>
      <c r="L13" s="91">
        <v>1.4003729820251465</v>
      </c>
      <c r="M13" s="91">
        <v>101.39430236816406</v>
      </c>
      <c r="N13" s="91">
        <v>116.18199920654297</v>
      </c>
      <c r="O13" s="91">
        <v>24.07352066040039</v>
      </c>
      <c r="P13" s="91">
        <v>23.83460235595703</v>
      </c>
      <c r="Q13" s="91">
        <v>2.5109479427337646</v>
      </c>
      <c r="R13" s="91">
        <v>2.726959228515625</v>
      </c>
      <c r="S13" s="91">
        <v>142.4116973876953</v>
      </c>
      <c r="T13" s="91">
        <v>1.4568140506744385</v>
      </c>
      <c r="U13" s="91">
        <v>0.3633512854576111</v>
      </c>
      <c r="V13" s="91">
        <v>0.3586779832839966</v>
      </c>
      <c r="W13" s="91">
        <v>93.52574920654297</v>
      </c>
      <c r="X13" s="91">
        <v>0.5303891897201538</v>
      </c>
      <c r="Y13" s="91" t="s">
        <v>82</v>
      </c>
      <c r="Z13" s="91">
        <v>0.8395833969116211</v>
      </c>
      <c r="AA13" s="91">
        <v>150.44850158691406</v>
      </c>
      <c r="AB13" s="91">
        <v>164.69180297851562</v>
      </c>
      <c r="AC13" s="91">
        <v>0.4841580092906952</v>
      </c>
      <c r="AD13" s="91">
        <v>155.38189697265625</v>
      </c>
      <c r="AE13" s="94"/>
      <c r="AF13" s="94"/>
      <c r="AG13" s="94"/>
      <c r="AH13" s="94"/>
      <c r="AI13" s="94"/>
      <c r="AJ13" s="94"/>
      <c r="AK13" s="94"/>
      <c r="AL13" s="91">
        <v>16.377309799194336</v>
      </c>
      <c r="AM13" s="95">
        <v>0.015851981937885284</v>
      </c>
      <c r="AN13" s="96">
        <v>57.7835693359375</v>
      </c>
      <c r="AO13" s="97"/>
      <c r="AP13" s="98"/>
      <c r="AQ13" s="98">
        <v>0</v>
      </c>
      <c r="AR13" s="99">
        <v>0.00033813095069490373</v>
      </c>
    </row>
    <row r="14" spans="2:47" ht="13.5" customHeight="1" x14ac:dyDescent="0.25">
      <c r="B14" s="14">
        <v>0.66666666666666696</v>
      </c>
      <c r="C14" s="91">
        <v>17.173030853271484</v>
      </c>
      <c r="D14" s="91">
        <v>18.386499404907227</v>
      </c>
      <c r="E14" s="91">
        <v>415.75628662109375</v>
      </c>
      <c r="F14" s="91">
        <v>0.35917407274246216</v>
      </c>
      <c r="G14" s="91">
        <v>0</v>
      </c>
      <c r="H14" s="92">
        <v>411.0115051269531</v>
      </c>
      <c r="I14" s="93">
        <v>22.837099075317383</v>
      </c>
      <c r="J14" s="91">
        <v>0.02319059707224369</v>
      </c>
      <c r="K14" s="91">
        <v>39.37355041503906</v>
      </c>
      <c r="L14" s="91">
        <v>1.3953089714050293</v>
      </c>
      <c r="M14" s="91">
        <v>103.17379760742188</v>
      </c>
      <c r="N14" s="91">
        <v>115.60330200195312</v>
      </c>
      <c r="O14" s="91">
        <v>24.281890869140625</v>
      </c>
      <c r="P14" s="91">
        <v>24.05499267578125</v>
      </c>
      <c r="Q14" s="91">
        <v>3.34375</v>
      </c>
      <c r="R14" s="91">
        <v>1.7669906616210938</v>
      </c>
      <c r="S14" s="91">
        <v>141.9488067626953</v>
      </c>
      <c r="T14" s="91">
        <v>1.4528900384902954</v>
      </c>
      <c r="U14" s="91">
        <v>0.36339929699897766</v>
      </c>
      <c r="V14" s="91">
        <v>0.36299097537994385</v>
      </c>
      <c r="W14" s="91">
        <v>94.69761657714844</v>
      </c>
      <c r="X14" s="91">
        <v>0.5324705839157104</v>
      </c>
      <c r="Y14" s="91" t="s">
        <v>82</v>
      </c>
      <c r="Z14" s="91">
        <v>0.8177083730697632</v>
      </c>
      <c r="AA14" s="91">
        <v>148.2928009033203</v>
      </c>
      <c r="AB14" s="91">
        <v>164.0552978515625</v>
      </c>
      <c r="AC14" s="91">
        <v>0.5533853769302368</v>
      </c>
      <c r="AD14" s="91">
        <v>155.7653045654297</v>
      </c>
      <c r="AE14" s="94"/>
      <c r="AF14" s="94"/>
      <c r="AG14" s="94"/>
      <c r="AH14" s="94"/>
      <c r="AI14" s="94"/>
      <c r="AJ14" s="94"/>
      <c r="AK14" s="94"/>
      <c r="AL14" s="91">
        <v>13.29932975769043</v>
      </c>
      <c r="AM14" s="95">
        <v>0.017309898510575294</v>
      </c>
      <c r="AN14" s="96">
        <v>55.425350189208984</v>
      </c>
      <c r="AO14" s="97"/>
      <c r="AP14" s="98"/>
      <c r="AQ14" s="98">
        <v>0</v>
      </c>
      <c r="AR14" s="99">
        <v>0.000339236983563751</v>
      </c>
    </row>
    <row r="15" spans="2:47" ht="13.5" customHeight="1" x14ac:dyDescent="0.25">
      <c r="B15" s="14">
        <v>0.70833333333333304</v>
      </c>
      <c r="C15" s="91">
        <v>17.050060272216797</v>
      </c>
      <c r="D15" s="91">
        <v>18.33768081665039</v>
      </c>
      <c r="E15" s="91">
        <v>418.55230712890625</v>
      </c>
      <c r="F15" s="91">
        <v>0.3587929606437683</v>
      </c>
      <c r="G15" s="91">
        <v>0</v>
      </c>
      <c r="H15" s="92">
        <v>411.5304870605469</v>
      </c>
      <c r="I15" s="93">
        <v>23.166229248046875</v>
      </c>
      <c r="J15" s="91">
        <v>0.023358307778835297</v>
      </c>
      <c r="K15" s="91">
        <v>39.510990142822266</v>
      </c>
      <c r="L15" s="91">
        <v>1.4028140306472778</v>
      </c>
      <c r="M15" s="91">
        <v>103.20099639892578</v>
      </c>
      <c r="N15" s="91">
        <v>115.48030090332031</v>
      </c>
      <c r="O15" s="91">
        <v>23.09222984313965</v>
      </c>
      <c r="P15" s="91">
        <v>23.671310424804688</v>
      </c>
      <c r="Q15" s="91">
        <v>2.563589096069336</v>
      </c>
      <c r="R15" s="91">
        <v>2.5278797149658203</v>
      </c>
      <c r="S15" s="91">
        <v>143.5113067626953</v>
      </c>
      <c r="T15" s="91">
        <v>1.4542820453643799</v>
      </c>
      <c r="U15" s="91">
        <v>0.34007349610328674</v>
      </c>
      <c r="V15" s="91">
        <v>0.35612109303474426</v>
      </c>
      <c r="W15" s="91">
        <v>93.46064758300781</v>
      </c>
      <c r="X15" s="91">
        <v>0.5310291051864624</v>
      </c>
      <c r="Y15" s="91" t="s">
        <v>82</v>
      </c>
      <c r="Z15" s="91">
        <v>0.849363386631012</v>
      </c>
      <c r="AA15" s="91">
        <v>150.96209716796875</v>
      </c>
      <c r="AB15" s="91">
        <v>164.17820739746094</v>
      </c>
      <c r="AC15" s="91">
        <v>0.5341435074806213</v>
      </c>
      <c r="AD15" s="91">
        <v>155.67849731445312</v>
      </c>
      <c r="AE15" s="94"/>
      <c r="AF15" s="94"/>
      <c r="AG15" s="94"/>
      <c r="AH15" s="94"/>
      <c r="AI15" s="94"/>
      <c r="AJ15" s="94"/>
      <c r="AK15" s="94"/>
      <c r="AL15" s="91">
        <v>16.471349716186523</v>
      </c>
      <c r="AM15" s="95">
        <v>0.01696820743381977</v>
      </c>
      <c r="AN15" s="96">
        <v>52.86819839477539</v>
      </c>
      <c r="AO15" s="97"/>
      <c r="AP15" s="98"/>
      <c r="AQ15" s="98">
        <v>0</v>
      </c>
      <c r="AR15" s="99">
        <v>0.00034589599817991257</v>
      </c>
    </row>
    <row r="16" spans="2:47" ht="13.5" customHeight="1" x14ac:dyDescent="0.25">
      <c r="B16" s="14">
        <v>0.75</v>
      </c>
      <c r="C16" s="91">
        <v>16.894529342651367</v>
      </c>
      <c r="D16" s="91">
        <v>18.10980987548828</v>
      </c>
      <c r="E16" s="91">
        <v>418.956298828125</v>
      </c>
      <c r="F16" s="91">
        <v>0.35841503739356995</v>
      </c>
      <c r="G16" s="91">
        <v>0</v>
      </c>
      <c r="H16" s="92">
        <v>412.7130126953125</v>
      </c>
      <c r="I16" s="93">
        <v>25.39423942565918</v>
      </c>
      <c r="J16" s="91">
        <v>0.024300094693899155</v>
      </c>
      <c r="K16" s="91">
        <v>39.39524841308594</v>
      </c>
      <c r="L16" s="91">
        <v>1.4001009464263916</v>
      </c>
      <c r="M16" s="91">
        <v>102.74520111083984</v>
      </c>
      <c r="N16" s="91">
        <v>114.85820007324219</v>
      </c>
      <c r="O16" s="91">
        <v>23.863489151000977</v>
      </c>
      <c r="P16" s="91">
        <v>23.830596923828125</v>
      </c>
      <c r="Q16" s="91">
        <v>3.0635219445684925E-05</v>
      </c>
      <c r="R16" s="91">
        <v>1.8540897369384766</v>
      </c>
      <c r="S16" s="91">
        <v>142.5854034423828</v>
      </c>
      <c r="T16" s="91">
        <v>1.4550420045852661</v>
      </c>
      <c r="U16" s="91">
        <v>0.3614240884780884</v>
      </c>
      <c r="V16" s="91">
        <v>0.3576027750968933</v>
      </c>
      <c r="W16" s="91">
        <v>94.05381774902344</v>
      </c>
      <c r="X16" s="91">
        <v>0.5304868221282959</v>
      </c>
      <c r="Y16" s="91" t="s">
        <v>82</v>
      </c>
      <c r="Z16" s="91">
        <v>0.8473958969116211</v>
      </c>
      <c r="AA16" s="91">
        <v>150.34719848632812</v>
      </c>
      <c r="AB16" s="91">
        <v>163.35360717773438</v>
      </c>
      <c r="AC16" s="91">
        <v>0.4572483003139496</v>
      </c>
      <c r="AD16" s="91">
        <v>153.84109497070312</v>
      </c>
      <c r="AE16" s="94"/>
      <c r="AF16" s="94"/>
      <c r="AG16" s="94"/>
      <c r="AH16" s="94"/>
      <c r="AI16" s="94"/>
      <c r="AJ16" s="94"/>
      <c r="AK16" s="94"/>
      <c r="AL16" s="91">
        <v>19.552949905395508</v>
      </c>
      <c r="AM16" s="95">
        <v>0.017101898789405823</v>
      </c>
      <c r="AN16" s="96">
        <v>52.52098083496094</v>
      </c>
      <c r="AO16" s="97"/>
      <c r="AP16" s="98"/>
      <c r="AQ16" s="98">
        <v>0</v>
      </c>
      <c r="AR16" s="99">
        <v>0.0003208160342182964</v>
      </c>
    </row>
    <row r="17" spans="2:44" ht="13.5" customHeight="1" x14ac:dyDescent="0.25">
      <c r="B17" s="14">
        <v>0.79166666666666696</v>
      </c>
      <c r="C17" s="91">
        <v>17.961519241333008</v>
      </c>
      <c r="D17" s="91">
        <v>17.936199188232422</v>
      </c>
      <c r="E17" s="91">
        <v>418.970703125</v>
      </c>
      <c r="F17" s="91">
        <v>0.2879719138145447</v>
      </c>
      <c r="G17" s="91">
        <v>0</v>
      </c>
      <c r="H17" s="92">
        <v>413.41900634765625</v>
      </c>
      <c r="I17" s="93">
        <v>21.824359893798828</v>
      </c>
      <c r="J17" s="91">
        <v>0.018035706132650375</v>
      </c>
      <c r="K17" s="91">
        <v>38.83824920654297</v>
      </c>
      <c r="L17" s="91">
        <v>1.4320199489593506</v>
      </c>
      <c r="M17" s="91">
        <v>37.353519439697266</v>
      </c>
      <c r="N17" s="91">
        <v>113.05699920654297</v>
      </c>
      <c r="O17" s="91">
        <v>2.630383014678955</v>
      </c>
      <c r="P17" s="91">
        <v>16.695892333984375</v>
      </c>
      <c r="Q17" s="91">
        <v>0.1552828997373581</v>
      </c>
      <c r="R17" s="91">
        <v>1.8866100311279297</v>
      </c>
      <c r="S17" s="91">
        <v>158.8686065673828</v>
      </c>
      <c r="T17" s="91">
        <v>1.4580800533294678</v>
      </c>
      <c r="U17" s="91">
        <v>0.05648517981171608</v>
      </c>
      <c r="V17" s="91">
        <v>0.250334233045578</v>
      </c>
      <c r="W17" s="91">
        <v>144.32150268554688</v>
      </c>
      <c r="X17" s="91">
        <v>-1</v>
      </c>
      <c r="Y17" s="91" t="s">
        <v>82</v>
      </c>
      <c r="Z17" s="91">
        <v>0.16041670739650726</v>
      </c>
      <c r="AA17" s="91">
        <v>123.60389709472656</v>
      </c>
      <c r="AB17" s="91">
        <v>118.381103515625</v>
      </c>
      <c r="AC17" s="91">
        <v>-0.0013744209427386522</v>
      </c>
      <c r="AD17" s="91">
        <v>108.31890106201172</v>
      </c>
      <c r="AE17" s="94"/>
      <c r="AF17" s="94"/>
      <c r="AG17" s="94"/>
      <c r="AH17" s="94"/>
      <c r="AI17" s="94"/>
      <c r="AJ17" s="94"/>
      <c r="AK17" s="94"/>
      <c r="AL17" s="91">
        <v>106.33319854736328</v>
      </c>
      <c r="AM17" s="95">
        <v>0.045309800654649734</v>
      </c>
      <c r="AN17" s="96">
        <v>35.13454818725586</v>
      </c>
      <c r="AO17" s="97"/>
      <c r="AP17" s="98"/>
      <c r="AQ17" s="98">
        <v>2.0624279975891113</v>
      </c>
      <c r="AR17" s="99">
        <v>0.00034825707552954555</v>
      </c>
    </row>
    <row r="18" spans="2:44" ht="13.5" customHeight="1" x14ac:dyDescent="0.25">
      <c r="B18" s="42">
        <v>0.83333333333333404</v>
      </c>
      <c r="C18" s="100">
        <v>17.1477108001709</v>
      </c>
      <c r="D18" s="100">
        <v>17.63237953186035</v>
      </c>
      <c r="E18" s="100">
        <v>423.41009521484375</v>
      </c>
      <c r="F18" s="100">
        <v>0.3454831540584564</v>
      </c>
      <c r="G18" s="100">
        <v>0</v>
      </c>
      <c r="H18" s="101">
        <v>414.5693054199219</v>
      </c>
      <c r="I18" s="102">
        <v>23.97641944885254</v>
      </c>
      <c r="J18" s="100">
        <v>0.024074401706457138</v>
      </c>
      <c r="K18" s="100">
        <v>39.59056091308594</v>
      </c>
      <c r="L18" s="100">
        <v>1.395671010017395</v>
      </c>
      <c r="M18" s="100">
        <v>102.8917007446289</v>
      </c>
      <c r="N18" s="100">
        <v>110.38770294189453</v>
      </c>
      <c r="O18" s="100">
        <v>23.904680252075195</v>
      </c>
      <c r="P18" s="100">
        <v>23.783203125</v>
      </c>
      <c r="Q18" s="100">
        <v>0.000412432593293488</v>
      </c>
      <c r="R18" s="100">
        <v>0.27569007873535156</v>
      </c>
      <c r="S18" s="100">
        <v>142.7010955810547</v>
      </c>
      <c r="T18" s="100">
        <v>1.4539029598236084</v>
      </c>
      <c r="U18" s="100">
        <v>0.3567729890346527</v>
      </c>
      <c r="V18" s="100">
        <v>0.3583928346633911</v>
      </c>
      <c r="W18" s="100">
        <v>92.95427703857422</v>
      </c>
      <c r="X18" s="100">
        <v>0.5318418741226196</v>
      </c>
      <c r="Y18" s="100">
        <v>0.5345392227172852</v>
      </c>
      <c r="Z18" s="100">
        <v>0.8914352059364319</v>
      </c>
      <c r="AA18" s="100">
        <v>148.343505859375</v>
      </c>
      <c r="AB18" s="100">
        <v>165.37179565429688</v>
      </c>
      <c r="AC18" s="100">
        <v>0.5936415195465088</v>
      </c>
      <c r="AD18" s="100">
        <v>158.92649841308594</v>
      </c>
      <c r="AE18" s="103"/>
      <c r="AF18" s="103"/>
      <c r="AG18" s="103"/>
      <c r="AH18" s="103"/>
      <c r="AI18" s="103"/>
      <c r="AJ18" s="103"/>
      <c r="AK18" s="103"/>
      <c r="AL18" s="100">
        <v>0</v>
      </c>
      <c r="AM18" s="104">
        <v>0.005884292535483837</v>
      </c>
      <c r="AN18" s="105">
        <v>35.47454071044922</v>
      </c>
      <c r="AO18" s="97"/>
      <c r="AP18" s="98"/>
      <c r="AQ18" s="98">
        <v>0</v>
      </c>
      <c r="AR18" s="106">
        <v>0.00030742501257918775</v>
      </c>
    </row>
    <row r="19" spans="2:44" ht="18" customHeight="1" x14ac:dyDescent="0.25">
      <c r="B19" s="159" t="s">
        <v>181</v>
      </c>
      <c r="C19" s="36" t="s">
        <v>168</v>
      </c>
      <c r="D19" s="36" t="s">
        <v>171</v>
      </c>
      <c r="E19" s="174" t="s">
        <v>17</v>
      </c>
      <c r="F19" s="175"/>
      <c r="G19" s="176"/>
      <c r="H19" s="177" t="s">
        <v>108</v>
      </c>
      <c r="I19" s="175"/>
      <c r="J19" s="175"/>
      <c r="K19" s="175"/>
      <c r="L19" s="178"/>
      <c r="M19" s="179" t="s">
        <v>123</v>
      </c>
      <c r="N19" s="175"/>
      <c r="O19" s="175"/>
      <c r="P19" s="175"/>
      <c r="Q19" s="176"/>
      <c r="R19" s="177" t="s">
        <v>147</v>
      </c>
      <c r="S19" s="175"/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6"/>
      <c r="AG19" s="180" t="s">
        <v>24</v>
      </c>
      <c r="AH19" s="176"/>
      <c r="AI19" s="156" t="s">
        <v>173</v>
      </c>
      <c r="AJ19" s="157"/>
      <c r="AK19" s="157"/>
      <c r="AL19" s="157"/>
      <c r="AM19" s="158"/>
      <c r="AN19" s="180" t="s">
        <v>47</v>
      </c>
      <c r="AO19" s="181"/>
      <c r="AP19" s="175" t="s">
        <v>180</v>
      </c>
      <c r="AQ19" s="182"/>
      <c r="AR19" s="183"/>
    </row>
    <row r="20" spans="2:44" ht="20.15" customHeight="1" x14ac:dyDescent="0.25">
      <c r="B20" s="160"/>
      <c r="C20" s="3" t="s">
        <v>169</v>
      </c>
      <c r="D20" s="3" t="s">
        <v>113</v>
      </c>
      <c r="E20" s="3" t="s">
        <v>15</v>
      </c>
      <c r="F20" s="154" t="s">
        <v>100</v>
      </c>
      <c r="G20" s="155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68" t="s">
        <v>148</v>
      </c>
      <c r="AE20" s="155"/>
      <c r="AF20" s="17" t="s">
        <v>151</v>
      </c>
      <c r="AG20" s="17" t="s">
        <v>153</v>
      </c>
      <c r="AH20" s="17" t="s">
        <v>155</v>
      </c>
      <c r="AI20" s="149" t="s">
        <v>89</v>
      </c>
      <c r="AJ20" s="150"/>
      <c r="AK20" s="149" t="s">
        <v>92</v>
      </c>
      <c r="AL20" s="150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60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91">
        <v>-0.6655120849609375</v>
      </c>
      <c r="D22" s="91">
        <v>-0.2025451958179474</v>
      </c>
      <c r="E22" s="91">
        <v>13.053380012512207</v>
      </c>
      <c r="F22" s="91">
        <v>0</v>
      </c>
      <c r="G22" s="91"/>
      <c r="H22" s="91"/>
      <c r="I22" s="91"/>
      <c r="J22" s="91"/>
      <c r="K22" s="91"/>
      <c r="L22" s="92"/>
      <c r="M22" s="107">
        <v>76.28038024902344</v>
      </c>
      <c r="N22" s="91">
        <v>29.53558921813965</v>
      </c>
      <c r="O22" s="91">
        <v>0</v>
      </c>
      <c r="P22" s="91">
        <v>0</v>
      </c>
      <c r="Q22" s="91">
        <v>13.138019561767578</v>
      </c>
      <c r="R22" s="91">
        <v>30.208330154418945</v>
      </c>
      <c r="S22" s="108">
        <v>93.82232666015625</v>
      </c>
      <c r="T22" s="108">
        <v>50</v>
      </c>
      <c r="U22" s="108">
        <v>77.17484283447266</v>
      </c>
      <c r="V22" s="108">
        <v>17.719179153442383</v>
      </c>
      <c r="W22" s="108">
        <v>29.036460876464844</v>
      </c>
      <c r="X22" s="108">
        <v>0</v>
      </c>
      <c r="Y22" s="108">
        <v>0</v>
      </c>
      <c r="Z22" s="108">
        <v>12.389679908752441</v>
      </c>
      <c r="AA22" s="108">
        <v>14.805769920349121</v>
      </c>
      <c r="AB22" s="108"/>
      <c r="AC22" s="95"/>
      <c r="AD22" s="95">
        <v>0</v>
      </c>
      <c r="AE22" s="95"/>
      <c r="AF22" s="95"/>
      <c r="AG22" s="95">
        <v>6.9516777992248535</v>
      </c>
      <c r="AH22" s="95"/>
      <c r="AI22" s="109"/>
      <c r="AJ22" s="109"/>
      <c r="AK22" s="109"/>
      <c r="AL22" s="109"/>
      <c r="AM22" s="109"/>
      <c r="AN22" s="95">
        <v>27.90074920654297</v>
      </c>
      <c r="AO22" s="96">
        <v>42.523868560791016</v>
      </c>
      <c r="AP22" s="97">
        <v>8.400245666503906</v>
      </c>
      <c r="AQ22" s="98">
        <v>2.7922449111938477</v>
      </c>
      <c r="AR22" s="99">
        <v>-0.010848999954760075</v>
      </c>
    </row>
    <row r="23" spans="2:44" ht="13.5" customHeight="1" x14ac:dyDescent="0.25">
      <c r="B23" s="14">
        <v>0.375</v>
      </c>
      <c r="C23" s="91"/>
      <c r="D23" s="91"/>
      <c r="E23" s="91"/>
      <c r="F23" s="91"/>
      <c r="G23" s="91"/>
      <c r="H23" s="91"/>
      <c r="I23" s="91"/>
      <c r="J23" s="91"/>
      <c r="K23" s="91"/>
      <c r="L23" s="92"/>
      <c r="M23" s="107"/>
      <c r="N23" s="91"/>
      <c r="O23" s="91"/>
      <c r="P23" s="91"/>
      <c r="Q23" s="91"/>
      <c r="R23" s="91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95"/>
      <c r="AD23" s="95"/>
      <c r="AE23" s="95"/>
      <c r="AF23" s="95"/>
      <c r="AG23" s="95"/>
      <c r="AH23" s="95"/>
      <c r="AI23" s="109"/>
      <c r="AJ23" s="109"/>
      <c r="AK23" s="109"/>
      <c r="AL23" s="109"/>
      <c r="AM23" s="109"/>
      <c r="AN23" s="95"/>
      <c r="AO23" s="96"/>
      <c r="AP23" s="97"/>
      <c r="AQ23" s="98"/>
      <c r="AR23" s="99"/>
    </row>
    <row r="24" spans="2:44" ht="13.5" customHeight="1" x14ac:dyDescent="0.25">
      <c r="B24" s="14">
        <v>0.41666666666666702</v>
      </c>
      <c r="C24" s="91">
        <v>-82.66059112548828</v>
      </c>
      <c r="D24" s="91">
        <v>-84.02055358886719</v>
      </c>
      <c r="E24" s="91">
        <v>44.744651794433594</v>
      </c>
      <c r="F24" s="91">
        <v>0.08579281717538834</v>
      </c>
      <c r="G24" s="91"/>
      <c r="H24" s="91"/>
      <c r="I24" s="91"/>
      <c r="J24" s="91"/>
      <c r="K24" s="91"/>
      <c r="L24" s="92"/>
      <c r="M24" s="107">
        <v>81.47062683105469</v>
      </c>
      <c r="N24" s="91">
        <v>45.29079818725586</v>
      </c>
      <c r="O24" s="91">
        <v>50</v>
      </c>
      <c r="P24" s="91">
        <v>0</v>
      </c>
      <c r="Q24" s="91">
        <v>13.137149810791016</v>
      </c>
      <c r="R24" s="91">
        <v>21.375869750976562</v>
      </c>
      <c r="S24" s="108">
        <v>93.96338653564453</v>
      </c>
      <c r="T24" s="108">
        <v>50</v>
      </c>
      <c r="U24" s="108">
        <v>79.09776306152344</v>
      </c>
      <c r="V24" s="108">
        <v>8.100044250488281</v>
      </c>
      <c r="W24" s="108">
        <v>20.40472984313965</v>
      </c>
      <c r="X24" s="108">
        <v>0</v>
      </c>
      <c r="Y24" s="108">
        <v>0</v>
      </c>
      <c r="Z24" s="108">
        <v>11.765769958496094</v>
      </c>
      <c r="AA24" s="108">
        <v>14.935979843139648</v>
      </c>
      <c r="AB24" s="108"/>
      <c r="AC24" s="95"/>
      <c r="AD24" s="95">
        <v>0</v>
      </c>
      <c r="AE24" s="95"/>
      <c r="AF24" s="95"/>
      <c r="AG24" s="95">
        <v>6.987846851348877</v>
      </c>
      <c r="AH24" s="95"/>
      <c r="AI24" s="109"/>
      <c r="AJ24" s="109"/>
      <c r="AK24" s="109"/>
      <c r="AL24" s="109"/>
      <c r="AM24" s="109"/>
      <c r="AN24" s="95">
        <v>26.359949111938477</v>
      </c>
      <c r="AO24" s="96">
        <v>43.561920166015625</v>
      </c>
      <c r="AP24" s="97">
        <v>8.391203880310059</v>
      </c>
      <c r="AQ24" s="98">
        <v>2.806713104248047</v>
      </c>
      <c r="AR24" s="99">
        <v>-0.02169799990952015</v>
      </c>
    </row>
    <row r="25" spans="2:44" ht="13.5" customHeight="1" x14ac:dyDescent="0.25">
      <c r="B25" s="14">
        <v>0.45833333333333298</v>
      </c>
      <c r="C25" s="91">
        <v>-82.6678237915039</v>
      </c>
      <c r="D25" s="91">
        <v>-84.00607299804688</v>
      </c>
      <c r="E25" s="91">
        <v>45.243778228759766</v>
      </c>
      <c r="F25" s="91">
        <v>0.10163480043411255</v>
      </c>
      <c r="G25" s="91">
        <v>9.576358570484444E-05</v>
      </c>
      <c r="H25" s="91"/>
      <c r="I25" s="91"/>
      <c r="J25" s="91"/>
      <c r="K25" s="91"/>
      <c r="L25" s="92"/>
      <c r="M25" s="107">
        <v>80.31321716308594</v>
      </c>
      <c r="N25" s="91">
        <v>50.02170181274414</v>
      </c>
      <c r="O25" s="91">
        <v>50</v>
      </c>
      <c r="P25" s="91">
        <v>0</v>
      </c>
      <c r="Q25" s="91">
        <v>1.6484379768371582</v>
      </c>
      <c r="R25" s="91">
        <v>20.460790634155273</v>
      </c>
      <c r="S25" s="108">
        <v>92.66854858398438</v>
      </c>
      <c r="T25" s="108">
        <v>50</v>
      </c>
      <c r="U25" s="108">
        <v>78.9520034790039</v>
      </c>
      <c r="V25" s="108">
        <v>6.5104169845581055</v>
      </c>
      <c r="W25" s="108">
        <v>19.563800811767578</v>
      </c>
      <c r="X25" s="108">
        <v>0</v>
      </c>
      <c r="Y25" s="108">
        <v>0</v>
      </c>
      <c r="Z25" s="108">
        <v>11.758540153503418</v>
      </c>
      <c r="AA25" s="108">
        <v>15.73351001739502</v>
      </c>
      <c r="AB25" s="108"/>
      <c r="AC25" s="95"/>
      <c r="AD25" s="95">
        <v>0</v>
      </c>
      <c r="AE25" s="95">
        <v>0</v>
      </c>
      <c r="AF25" s="95"/>
      <c r="AG25" s="95">
        <v>1.8265340328216553</v>
      </c>
      <c r="AH25" s="95"/>
      <c r="AI25" s="109"/>
      <c r="AJ25" s="109"/>
      <c r="AK25" s="109"/>
      <c r="AL25" s="109"/>
      <c r="AM25" s="109"/>
      <c r="AN25" s="95">
        <v>25.998260498046875</v>
      </c>
      <c r="AO25" s="96">
        <v>43.449798583984375</v>
      </c>
      <c r="AP25" s="97">
        <v>9.078413963317871</v>
      </c>
      <c r="AQ25" s="98">
        <v>2.8139469623565674</v>
      </c>
      <c r="AR25" s="99">
        <v>-0.0542449988424778</v>
      </c>
    </row>
    <row r="26" spans="2:44" ht="13.5" customHeight="1" x14ac:dyDescent="0.25">
      <c r="B26" s="14">
        <v>0.5</v>
      </c>
      <c r="C26" s="91">
        <v>-82.65335845947266</v>
      </c>
      <c r="D26" s="91">
        <v>-84.02055358886719</v>
      </c>
      <c r="E26" s="91">
        <v>44.98698043823242</v>
      </c>
      <c r="F26" s="91">
        <v>0.10394970327615738</v>
      </c>
      <c r="G26" s="91">
        <v>9.931939712259918E-05</v>
      </c>
      <c r="H26" s="91"/>
      <c r="I26" s="91"/>
      <c r="J26" s="91"/>
      <c r="K26" s="91"/>
      <c r="L26" s="92"/>
      <c r="M26" s="107">
        <v>80.68213653564453</v>
      </c>
      <c r="N26" s="91">
        <v>49.092159271240234</v>
      </c>
      <c r="O26" s="91">
        <v>50</v>
      </c>
      <c r="P26" s="91">
        <v>0</v>
      </c>
      <c r="Q26" s="91">
        <v>1.6922739744186401</v>
      </c>
      <c r="R26" s="91">
        <v>18.948930740356445</v>
      </c>
      <c r="S26" s="108">
        <v>92.5564193725586</v>
      </c>
      <c r="T26" s="108">
        <v>50</v>
      </c>
      <c r="U26" s="108">
        <v>79.00245666503906</v>
      </c>
      <c r="V26" s="108">
        <v>5.935329914093018</v>
      </c>
      <c r="W26" s="108">
        <v>18.299699783325195</v>
      </c>
      <c r="X26" s="108">
        <v>0</v>
      </c>
      <c r="Y26" s="108">
        <v>0</v>
      </c>
      <c r="Z26" s="108">
        <v>12.335430145263672</v>
      </c>
      <c r="AA26" s="108">
        <v>16.726350784301758</v>
      </c>
      <c r="AB26" s="108"/>
      <c r="AC26" s="95"/>
      <c r="AD26" s="95">
        <v>0</v>
      </c>
      <c r="AE26" s="95">
        <v>0</v>
      </c>
      <c r="AF26" s="95"/>
      <c r="AG26" s="95">
        <v>0</v>
      </c>
      <c r="AH26" s="95"/>
      <c r="AI26" s="109"/>
      <c r="AJ26" s="109"/>
      <c r="AK26" s="109"/>
      <c r="AL26" s="109"/>
      <c r="AM26" s="109"/>
      <c r="AN26" s="95">
        <v>25.88252067565918</v>
      </c>
      <c r="AO26" s="96">
        <v>43.84403991699219</v>
      </c>
      <c r="AP26" s="97">
        <v>9.367766380310059</v>
      </c>
      <c r="AQ26" s="98">
        <v>39.507381439208984</v>
      </c>
      <c r="AR26" s="99">
        <v>-0.02169799990952015</v>
      </c>
    </row>
    <row r="27" spans="2:44" ht="13.5" customHeight="1" x14ac:dyDescent="0.25">
      <c r="B27" s="14">
        <v>0.54166666666666596</v>
      </c>
      <c r="C27" s="91">
        <v>-82.8125</v>
      </c>
      <c r="D27" s="91">
        <v>-84.01331329345703</v>
      </c>
      <c r="E27" s="91">
        <v>44.979740142822266</v>
      </c>
      <c r="F27" s="91">
        <v>0.10525169968605042</v>
      </c>
      <c r="G27" s="91">
        <v>0.00010303730960004032</v>
      </c>
      <c r="H27" s="91"/>
      <c r="I27" s="91"/>
      <c r="J27" s="91"/>
      <c r="K27" s="91"/>
      <c r="L27" s="92"/>
      <c r="M27" s="107">
        <v>75.43041229248047</v>
      </c>
      <c r="N27" s="91">
        <v>51.544410705566406</v>
      </c>
      <c r="O27" s="91">
        <v>50</v>
      </c>
      <c r="P27" s="91">
        <v>0</v>
      </c>
      <c r="Q27" s="91">
        <v>1.8411459922790527</v>
      </c>
      <c r="R27" s="91">
        <v>18.73914909362793</v>
      </c>
      <c r="S27" s="108">
        <v>92.78067016601562</v>
      </c>
      <c r="T27" s="108">
        <v>50</v>
      </c>
      <c r="U27" s="108">
        <v>78.26805114746094</v>
      </c>
      <c r="V27" s="108">
        <v>8.978951454162598</v>
      </c>
      <c r="W27" s="108">
        <v>18.10980987548828</v>
      </c>
      <c r="X27" s="108">
        <v>0</v>
      </c>
      <c r="Y27" s="108">
        <v>0</v>
      </c>
      <c r="Z27" s="108">
        <v>13.4964599609375</v>
      </c>
      <c r="AA27" s="108">
        <v>17.757160186767578</v>
      </c>
      <c r="AB27" s="108"/>
      <c r="AC27" s="95"/>
      <c r="AD27" s="95">
        <v>0</v>
      </c>
      <c r="AE27" s="95">
        <v>0</v>
      </c>
      <c r="AF27" s="95"/>
      <c r="AG27" s="95">
        <v>3.1864869594573975</v>
      </c>
      <c r="AH27" s="95"/>
      <c r="AI27" s="109"/>
      <c r="AJ27" s="109"/>
      <c r="AK27" s="109"/>
      <c r="AL27" s="109"/>
      <c r="AM27" s="109"/>
      <c r="AN27" s="95">
        <v>26.931419372558594</v>
      </c>
      <c r="AO27" s="96">
        <v>45.02315139770508</v>
      </c>
      <c r="AP27" s="97">
        <v>12.713399887084961</v>
      </c>
      <c r="AQ27" s="98">
        <v>39.95587158203125</v>
      </c>
      <c r="AR27" s="99">
        <v>-72.39582824707031</v>
      </c>
    </row>
    <row r="28" spans="2:44" ht="13.5" customHeight="1" x14ac:dyDescent="0.25">
      <c r="B28" s="14">
        <v>0.58333333333333304</v>
      </c>
      <c r="C28" s="91">
        <v>-83.02951049804688</v>
      </c>
      <c r="D28" s="91">
        <v>-84.02055358886719</v>
      </c>
      <c r="E28" s="91">
        <v>44.70848083496094</v>
      </c>
      <c r="F28" s="91">
        <v>0.0941840335726738</v>
      </c>
      <c r="G28" s="91">
        <v>9.96111921267584E-05</v>
      </c>
      <c r="H28" s="91"/>
      <c r="I28" s="91"/>
      <c r="J28" s="91"/>
      <c r="K28" s="91"/>
      <c r="L28" s="92"/>
      <c r="M28" s="107">
        <v>69.7084732055664</v>
      </c>
      <c r="N28" s="91">
        <v>50.69083023071289</v>
      </c>
      <c r="O28" s="91">
        <v>50</v>
      </c>
      <c r="P28" s="91">
        <v>0</v>
      </c>
      <c r="Q28" s="91">
        <v>1.9457470178604126</v>
      </c>
      <c r="R28" s="91">
        <v>18.793399810791016</v>
      </c>
      <c r="S28" s="108">
        <v>92.74088287353516</v>
      </c>
      <c r="T28" s="108">
        <v>50</v>
      </c>
      <c r="U28" s="108">
        <v>78.79502868652344</v>
      </c>
      <c r="V28" s="108">
        <v>9.309896469116211</v>
      </c>
      <c r="W28" s="108">
        <v>18.218320846557617</v>
      </c>
      <c r="X28" s="108">
        <v>0</v>
      </c>
      <c r="Y28" s="108">
        <v>9.597801208496094</v>
      </c>
      <c r="Z28" s="108">
        <v>15.717229843139648</v>
      </c>
      <c r="AA28" s="108">
        <v>98.96919250488281</v>
      </c>
      <c r="AB28" s="108"/>
      <c r="AC28" s="95"/>
      <c r="AD28" s="95">
        <v>0</v>
      </c>
      <c r="AE28" s="95">
        <v>0</v>
      </c>
      <c r="AF28" s="95"/>
      <c r="AG28" s="95">
        <v>0</v>
      </c>
      <c r="AH28" s="95"/>
      <c r="AI28" s="109"/>
      <c r="AJ28" s="109"/>
      <c r="AK28" s="109"/>
      <c r="AL28" s="109"/>
      <c r="AM28" s="109"/>
      <c r="AN28" s="95">
        <v>30.584489822387695</v>
      </c>
      <c r="AO28" s="96">
        <v>64.19632720947266</v>
      </c>
      <c r="AP28" s="97">
        <v>26.340059280395508</v>
      </c>
      <c r="AQ28" s="98">
        <v>36.40045928955078</v>
      </c>
      <c r="AR28" s="99">
        <v>-87.99913024902344</v>
      </c>
    </row>
    <row r="29" spans="2:44" ht="13.5" customHeight="1" x14ac:dyDescent="0.25">
      <c r="B29" s="14">
        <v>0.625</v>
      </c>
      <c r="C29" s="91">
        <v>-83.0584487915039</v>
      </c>
      <c r="D29" s="91">
        <v>-84.00607299804688</v>
      </c>
      <c r="E29" s="91">
        <v>44.88570022583008</v>
      </c>
      <c r="F29" s="91">
        <v>0.09989873319864273</v>
      </c>
      <c r="G29" s="91">
        <v>9.94444199022837E-05</v>
      </c>
      <c r="H29" s="91"/>
      <c r="I29" s="91"/>
      <c r="J29" s="91"/>
      <c r="K29" s="91"/>
      <c r="L29" s="92"/>
      <c r="M29" s="107">
        <v>71.23119354248047</v>
      </c>
      <c r="N29" s="91">
        <v>52.853729248046875</v>
      </c>
      <c r="O29" s="91">
        <v>50</v>
      </c>
      <c r="P29" s="91">
        <v>0</v>
      </c>
      <c r="Q29" s="91">
        <v>2.074652910232544</v>
      </c>
      <c r="R29" s="91">
        <v>17.994070053100586</v>
      </c>
      <c r="S29" s="108">
        <v>92.51302337646484</v>
      </c>
      <c r="T29" s="108">
        <v>50</v>
      </c>
      <c r="U29" s="108">
        <v>78.30168914794922</v>
      </c>
      <c r="V29" s="108">
        <v>8.892144203186035</v>
      </c>
      <c r="W29" s="108">
        <v>17.659509658813477</v>
      </c>
      <c r="X29" s="108">
        <v>0</v>
      </c>
      <c r="Y29" s="108">
        <v>3.5319008827209473</v>
      </c>
      <c r="Z29" s="108">
        <v>16.814960479736328</v>
      </c>
      <c r="AA29" s="108">
        <v>80.65863800048828</v>
      </c>
      <c r="AB29" s="108"/>
      <c r="AC29" s="95"/>
      <c r="AD29" s="95">
        <v>0</v>
      </c>
      <c r="AE29" s="95">
        <v>0</v>
      </c>
      <c r="AF29" s="95"/>
      <c r="AG29" s="95">
        <v>73.56047058105469</v>
      </c>
      <c r="AH29" s="95"/>
      <c r="AI29" s="109"/>
      <c r="AJ29" s="109"/>
      <c r="AK29" s="109"/>
      <c r="AL29" s="109"/>
      <c r="AM29" s="109"/>
      <c r="AN29" s="95">
        <v>56.30786895751953</v>
      </c>
      <c r="AO29" s="96">
        <v>60.579429626464844</v>
      </c>
      <c r="AP29" s="97">
        <v>26.34910011291504</v>
      </c>
      <c r="AQ29" s="98">
        <v>36.8742790222168</v>
      </c>
      <c r="AR29" s="99">
        <v>-88.61762237548828</v>
      </c>
    </row>
    <row r="30" spans="2:44" ht="13.5" customHeight="1" x14ac:dyDescent="0.25">
      <c r="B30" s="14">
        <v>0.66666666666666596</v>
      </c>
      <c r="C30" s="91">
        <v>-83.07290649414062</v>
      </c>
      <c r="D30" s="91">
        <v>-84.0350112915039</v>
      </c>
      <c r="E30" s="91">
        <v>45.04846954345703</v>
      </c>
      <c r="F30" s="91">
        <v>0.1189235970377922</v>
      </c>
      <c r="G30" s="91">
        <v>9.943675831891596E-05</v>
      </c>
      <c r="H30" s="91"/>
      <c r="I30" s="91"/>
      <c r="J30" s="91"/>
      <c r="K30" s="91"/>
      <c r="L30" s="92"/>
      <c r="M30" s="107">
        <v>71.88223266601562</v>
      </c>
      <c r="N30" s="91">
        <v>46.50968933105469</v>
      </c>
      <c r="O30" s="91">
        <v>50</v>
      </c>
      <c r="P30" s="91">
        <v>0</v>
      </c>
      <c r="Q30" s="91">
        <v>2.075087070465088</v>
      </c>
      <c r="R30" s="91">
        <v>17.35749053955078</v>
      </c>
      <c r="S30" s="108">
        <v>92.53472137451172</v>
      </c>
      <c r="T30" s="108">
        <v>50</v>
      </c>
      <c r="U30" s="108">
        <v>78.36335754394531</v>
      </c>
      <c r="V30" s="108">
        <v>8.696831703186035</v>
      </c>
      <c r="W30" s="108">
        <v>16.959640502929688</v>
      </c>
      <c r="X30" s="108">
        <v>0</v>
      </c>
      <c r="Y30" s="108">
        <v>0</v>
      </c>
      <c r="Z30" s="108">
        <v>17.377389907836914</v>
      </c>
      <c r="AA30" s="108">
        <v>66.95964050292969</v>
      </c>
      <c r="AB30" s="108"/>
      <c r="AC30" s="95"/>
      <c r="AD30" s="95">
        <v>0</v>
      </c>
      <c r="AE30" s="95">
        <v>0</v>
      </c>
      <c r="AF30" s="95"/>
      <c r="AG30" s="95">
        <v>0.9801794290542603</v>
      </c>
      <c r="AH30" s="95"/>
      <c r="AI30" s="109"/>
      <c r="AJ30" s="109"/>
      <c r="AK30" s="109"/>
      <c r="AL30" s="109"/>
      <c r="AM30" s="109"/>
      <c r="AN30" s="95">
        <v>72.6056137084961</v>
      </c>
      <c r="AO30" s="96">
        <v>59.494361877441406</v>
      </c>
      <c r="AP30" s="97">
        <v>28.871889114379883</v>
      </c>
      <c r="AQ30" s="98">
        <v>38.067848205566406</v>
      </c>
      <c r="AR30" s="99">
        <v>-87.70616149902344</v>
      </c>
    </row>
    <row r="31" spans="2:44" ht="13.5" customHeight="1" x14ac:dyDescent="0.25">
      <c r="B31" s="14">
        <v>0.70833333333333304</v>
      </c>
      <c r="C31" s="91">
        <v>-83.1524887084961</v>
      </c>
      <c r="D31" s="91">
        <v>-84.0350112915039</v>
      </c>
      <c r="E31" s="91">
        <v>45.30165100097656</v>
      </c>
      <c r="F31" s="91">
        <v>0.0989583432674408</v>
      </c>
      <c r="G31" s="91">
        <v>9.754699567565694E-05</v>
      </c>
      <c r="H31" s="91"/>
      <c r="I31" s="91"/>
      <c r="J31" s="91"/>
      <c r="K31" s="91"/>
      <c r="L31" s="92"/>
      <c r="M31" s="107">
        <v>72.6056137084961</v>
      </c>
      <c r="N31" s="91">
        <v>43.40277862548828</v>
      </c>
      <c r="O31" s="91">
        <v>50</v>
      </c>
      <c r="P31" s="91">
        <v>0</v>
      </c>
      <c r="Q31" s="91">
        <v>2.0989580154418945</v>
      </c>
      <c r="R31" s="91">
        <v>16.9343204498291</v>
      </c>
      <c r="S31" s="108">
        <v>92.59620666503906</v>
      </c>
      <c r="T31" s="108">
        <v>50</v>
      </c>
      <c r="U31" s="108">
        <v>78.31289672851562</v>
      </c>
      <c r="V31" s="108">
        <v>8.783638000488281</v>
      </c>
      <c r="W31" s="108">
        <v>16.438800811767578</v>
      </c>
      <c r="X31" s="108">
        <v>0</v>
      </c>
      <c r="Y31" s="108">
        <v>0</v>
      </c>
      <c r="Z31" s="108">
        <v>18.52212905883789</v>
      </c>
      <c r="AA31" s="108">
        <v>60.742191314697266</v>
      </c>
      <c r="AB31" s="108"/>
      <c r="AC31" s="95"/>
      <c r="AD31" s="95">
        <v>0</v>
      </c>
      <c r="AE31" s="95">
        <v>0</v>
      </c>
      <c r="AF31" s="95"/>
      <c r="AG31" s="95">
        <v>1.2008099555969238</v>
      </c>
      <c r="AH31" s="95"/>
      <c r="AI31" s="109"/>
      <c r="AJ31" s="109"/>
      <c r="AK31" s="109"/>
      <c r="AL31" s="109"/>
      <c r="AM31" s="109"/>
      <c r="AN31" s="95">
        <v>66.72453308105469</v>
      </c>
      <c r="AO31" s="96">
        <v>59.20138931274414</v>
      </c>
      <c r="AP31" s="97">
        <v>27.0905704498291</v>
      </c>
      <c r="AQ31" s="98">
        <v>38.183589935302734</v>
      </c>
      <c r="AR31" s="99">
        <v>-88.25955200195312</v>
      </c>
    </row>
    <row r="32" spans="2:44" ht="13.5" customHeight="1" x14ac:dyDescent="0.25">
      <c r="B32" s="14">
        <v>0.75</v>
      </c>
      <c r="C32" s="91">
        <v>-83.01505279541016</v>
      </c>
      <c r="D32" s="91">
        <v>-83.96990966796875</v>
      </c>
      <c r="E32" s="91">
        <v>44.889320373535156</v>
      </c>
      <c r="F32" s="91">
        <v>0.0972222164273262</v>
      </c>
      <c r="G32" s="91">
        <v>9.709483128972352E-05</v>
      </c>
      <c r="H32" s="91"/>
      <c r="I32" s="91"/>
      <c r="J32" s="91"/>
      <c r="K32" s="91"/>
      <c r="L32" s="92"/>
      <c r="M32" s="107">
        <v>71.02864837646484</v>
      </c>
      <c r="N32" s="91">
        <v>43.71744918823242</v>
      </c>
      <c r="O32" s="91">
        <v>50</v>
      </c>
      <c r="P32" s="91">
        <v>0</v>
      </c>
      <c r="Q32" s="91">
        <v>2.1514759063720703</v>
      </c>
      <c r="R32" s="91">
        <v>18.156829833984375</v>
      </c>
      <c r="S32" s="108">
        <v>92.63237762451172</v>
      </c>
      <c r="T32" s="108">
        <v>50</v>
      </c>
      <c r="U32" s="108">
        <v>78.1951675415039</v>
      </c>
      <c r="V32" s="108">
        <v>12.033419609069824</v>
      </c>
      <c r="W32" s="108">
        <v>17.79513931274414</v>
      </c>
      <c r="X32" s="108">
        <v>0</v>
      </c>
      <c r="Y32" s="108">
        <v>0</v>
      </c>
      <c r="Z32" s="108">
        <v>20.732059478759766</v>
      </c>
      <c r="AA32" s="108">
        <v>59.716800689697266</v>
      </c>
      <c r="AB32" s="108"/>
      <c r="AC32" s="95"/>
      <c r="AD32" s="95">
        <v>0</v>
      </c>
      <c r="AE32" s="95">
        <v>0</v>
      </c>
      <c r="AF32" s="95"/>
      <c r="AG32" s="95">
        <v>1.457610011100769</v>
      </c>
      <c r="AH32" s="95"/>
      <c r="AI32" s="109"/>
      <c r="AJ32" s="109"/>
      <c r="AK32" s="109"/>
      <c r="AL32" s="109"/>
      <c r="AM32" s="109"/>
      <c r="AN32" s="95">
        <v>66.17476654052734</v>
      </c>
      <c r="AO32" s="96">
        <v>58.33694839477539</v>
      </c>
      <c r="AP32" s="97">
        <v>26.529949188232422</v>
      </c>
      <c r="AQ32" s="98">
        <v>38.17998123168945</v>
      </c>
      <c r="AR32" s="99">
        <v>-88.75868225097656</v>
      </c>
    </row>
    <row r="33" spans="2:44" ht="13.5" customHeight="1" x14ac:dyDescent="0.25">
      <c r="B33" s="14">
        <v>0.79166666666666696</v>
      </c>
      <c r="C33" s="91">
        <v>-83.55034637451172</v>
      </c>
      <c r="D33" s="91">
        <v>-84.0350112915039</v>
      </c>
      <c r="E33" s="91">
        <v>45.54759979248047</v>
      </c>
      <c r="F33" s="91">
        <v>0.0340711809694767</v>
      </c>
      <c r="G33" s="91">
        <v>8.336096652783453E-05</v>
      </c>
      <c r="H33" s="91"/>
      <c r="I33" s="91"/>
      <c r="J33" s="91"/>
      <c r="K33" s="91"/>
      <c r="L33" s="92"/>
      <c r="M33" s="107">
        <v>70.30526733398438</v>
      </c>
      <c r="N33" s="91">
        <v>43.999568939208984</v>
      </c>
      <c r="O33" s="91">
        <v>50</v>
      </c>
      <c r="P33" s="91">
        <v>0</v>
      </c>
      <c r="Q33" s="91">
        <v>2.112412929534912</v>
      </c>
      <c r="R33" s="91">
        <v>20.00868034362793</v>
      </c>
      <c r="S33" s="108">
        <v>92.64684295654297</v>
      </c>
      <c r="T33" s="108">
        <v>50</v>
      </c>
      <c r="U33" s="108">
        <v>77.09635162353516</v>
      </c>
      <c r="V33" s="108">
        <v>13.88346004486084</v>
      </c>
      <c r="W33" s="108">
        <v>19.54210090637207</v>
      </c>
      <c r="X33" s="108">
        <v>0</v>
      </c>
      <c r="Y33" s="108">
        <v>0</v>
      </c>
      <c r="Z33" s="108">
        <v>24.325450897216797</v>
      </c>
      <c r="AA33" s="108">
        <v>60.031471252441406</v>
      </c>
      <c r="AB33" s="108"/>
      <c r="AC33" s="95"/>
      <c r="AD33" s="95">
        <v>0</v>
      </c>
      <c r="AE33" s="95">
        <v>0</v>
      </c>
      <c r="AF33" s="95"/>
      <c r="AG33" s="95">
        <v>1.4214409589767456</v>
      </c>
      <c r="AH33" s="95"/>
      <c r="AI33" s="109"/>
      <c r="AJ33" s="109"/>
      <c r="AK33" s="109"/>
      <c r="AL33" s="109"/>
      <c r="AM33" s="109"/>
      <c r="AN33" s="95">
        <v>68.00492095947266</v>
      </c>
      <c r="AO33" s="96">
        <v>55.84851837158203</v>
      </c>
      <c r="AP33" s="97">
        <v>26.466650009155273</v>
      </c>
      <c r="AQ33" s="98">
        <v>38.476558685302734</v>
      </c>
      <c r="AR33" s="99">
        <v>-88.51997375488281</v>
      </c>
    </row>
    <row r="34" spans="2:44" ht="13.5" customHeight="1" x14ac:dyDescent="0.25">
      <c r="B34" s="15">
        <v>0.83333333333333304</v>
      </c>
      <c r="C34" s="100">
        <v>-82.8125</v>
      </c>
      <c r="D34" s="100">
        <v>-83.94097137451172</v>
      </c>
      <c r="E34" s="100">
        <v>45.185909271240234</v>
      </c>
      <c r="F34" s="100">
        <v>0.08391203731298447</v>
      </c>
      <c r="G34" s="100">
        <v>9.014111856231466E-05</v>
      </c>
      <c r="H34" s="100"/>
      <c r="I34" s="100"/>
      <c r="J34" s="100"/>
      <c r="K34" s="100"/>
      <c r="L34" s="101"/>
      <c r="M34" s="110">
        <v>69.6072006225586</v>
      </c>
      <c r="N34" s="100">
        <v>44.87485885620117</v>
      </c>
      <c r="O34" s="100">
        <v>50</v>
      </c>
      <c r="P34" s="100">
        <v>0</v>
      </c>
      <c r="Q34" s="100">
        <v>2.5</v>
      </c>
      <c r="R34" s="100">
        <v>21.035879135131836</v>
      </c>
      <c r="S34" s="111">
        <v>93.64148712158203</v>
      </c>
      <c r="T34" s="111">
        <v>50</v>
      </c>
      <c r="U34" s="111">
        <v>76.55255126953125</v>
      </c>
      <c r="V34" s="111">
        <v>13.655599594116211</v>
      </c>
      <c r="W34" s="111">
        <v>20.4589900970459</v>
      </c>
      <c r="X34" s="111">
        <v>0</v>
      </c>
      <c r="Y34" s="111">
        <v>0</v>
      </c>
      <c r="Z34" s="111">
        <v>30.02206039428711</v>
      </c>
      <c r="AA34" s="111">
        <v>64.95768737792969</v>
      </c>
      <c r="AB34" s="111"/>
      <c r="AC34" s="104"/>
      <c r="AD34" s="104">
        <v>0</v>
      </c>
      <c r="AE34" s="104">
        <v>0</v>
      </c>
      <c r="AF34" s="104"/>
      <c r="AG34" s="104">
        <v>1.493778944015503</v>
      </c>
      <c r="AH34" s="104"/>
      <c r="AI34" s="112"/>
      <c r="AJ34" s="112"/>
      <c r="AK34" s="112"/>
      <c r="AL34" s="112"/>
      <c r="AM34" s="112"/>
      <c r="AN34" s="104">
        <v>73.07581329345703</v>
      </c>
      <c r="AO34" s="105">
        <v>55.132381439208984</v>
      </c>
      <c r="AP34" s="113">
        <v>26.511859893798828</v>
      </c>
      <c r="AQ34" s="114">
        <v>37.33000946044922</v>
      </c>
      <c r="AR34" s="115">
        <v>-88.99739837646484</v>
      </c>
    </row>
    <row r="35" spans="2:44" ht="15" customHeight="1" x14ac:dyDescent="0.25">
      <c r="B35" s="173" t="s">
        <v>181</v>
      </c>
      <c r="C35" s="174" t="s">
        <v>38</v>
      </c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4" t="s">
        <v>216</v>
      </c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6"/>
      <c r="AK35" s="180" t="s">
        <v>48</v>
      </c>
      <c r="AL35" s="178"/>
      <c r="AM35" s="207" t="s">
        <v>223</v>
      </c>
      <c r="AN35" s="208"/>
      <c r="AO35" s="43"/>
      <c r="AP35" s="43"/>
      <c r="AQ35" s="43"/>
      <c r="AR35" s="44"/>
    </row>
    <row r="36" spans="2:44" ht="20.15" customHeight="1" x14ac:dyDescent="0.25">
      <c r="B36" s="160"/>
      <c r="C36" s="154" t="s">
        <v>32</v>
      </c>
      <c r="D36" s="186"/>
      <c r="E36" s="154" t="s">
        <v>33</v>
      </c>
      <c r="F36" s="215"/>
      <c r="G36" s="186"/>
      <c r="H36" s="209" t="s">
        <v>276</v>
      </c>
      <c r="I36" s="210"/>
      <c r="J36" s="4" t="s">
        <v>27</v>
      </c>
      <c r="K36" s="4" t="s">
        <v>30</v>
      </c>
      <c r="L36" s="4" t="s">
        <v>191</v>
      </c>
      <c r="M36" s="211" t="s">
        <v>192</v>
      </c>
      <c r="N36" s="212"/>
      <c r="O36" s="4" t="s">
        <v>26</v>
      </c>
      <c r="P36" s="4" t="s">
        <v>197</v>
      </c>
      <c r="Q36" s="154" t="s">
        <v>199</v>
      </c>
      <c r="R36" s="216"/>
      <c r="S36" s="154" t="s">
        <v>202</v>
      </c>
      <c r="T36" s="216"/>
      <c r="U36" s="154" t="s">
        <v>201</v>
      </c>
      <c r="V36" s="213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68" t="s">
        <v>46</v>
      </c>
      <c r="AI36" s="214"/>
      <c r="AJ36" s="155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60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60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409</v>
      </c>
      <c r="N38" s="1" t="s">
        <v>410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91">
        <v>0</v>
      </c>
      <c r="D39" s="91"/>
      <c r="E39" s="91">
        <v>11.516200065612793</v>
      </c>
      <c r="F39" s="91"/>
      <c r="G39" s="91"/>
      <c r="H39" s="91">
        <v>11.194299697875977</v>
      </c>
      <c r="I39" s="91"/>
      <c r="J39" s="91">
        <v>14.15110969543457</v>
      </c>
      <c r="K39" s="91">
        <v>0</v>
      </c>
      <c r="L39" s="91">
        <v>0.02175539918243885</v>
      </c>
      <c r="M39" s="91">
        <v>10.416669845581055</v>
      </c>
      <c r="N39" s="91"/>
      <c r="O39" s="91">
        <v>0</v>
      </c>
      <c r="P39" s="91">
        <v>0.0003950496902689338</v>
      </c>
      <c r="Q39" s="91">
        <v>0</v>
      </c>
      <c r="R39" s="91"/>
      <c r="S39" s="91">
        <v>0</v>
      </c>
      <c r="T39" s="91"/>
      <c r="U39" s="108">
        <v>0</v>
      </c>
      <c r="V39" s="116"/>
      <c r="W39" s="117">
        <v>50</v>
      </c>
      <c r="X39" s="108">
        <v>0</v>
      </c>
      <c r="Y39" s="108">
        <v>17.719179153442383</v>
      </c>
      <c r="Z39" s="108">
        <v>29.036460876464844</v>
      </c>
      <c r="AA39" s="108">
        <v>50</v>
      </c>
      <c r="AB39" s="108">
        <v>0</v>
      </c>
      <c r="AC39" s="108">
        <v>12.389679908752441</v>
      </c>
      <c r="AD39" s="108">
        <v>14.805769920349121</v>
      </c>
      <c r="AE39" s="95"/>
      <c r="AF39" s="95">
        <v>0</v>
      </c>
      <c r="AG39" s="95"/>
      <c r="AH39" s="95">
        <v>0.0003950496902689338</v>
      </c>
      <c r="AI39" s="95">
        <v>30.967880249023438</v>
      </c>
      <c r="AJ39" s="95"/>
      <c r="AK39" s="95"/>
      <c r="AL39" s="96"/>
      <c r="AM39" s="118"/>
      <c r="AN39" s="109"/>
      <c r="AO39" s="95"/>
      <c r="AP39" s="95"/>
      <c r="AQ39" s="95"/>
      <c r="AR39" s="99"/>
    </row>
    <row r="40" spans="2:44" ht="13.5" customHeight="1" x14ac:dyDescent="0.25">
      <c r="B40" s="14">
        <v>0.375</v>
      </c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108"/>
      <c r="V40" s="116"/>
      <c r="W40" s="117"/>
      <c r="X40" s="108"/>
      <c r="Y40" s="108"/>
      <c r="Z40" s="108"/>
      <c r="AA40" s="108"/>
      <c r="AB40" s="108"/>
      <c r="AC40" s="108"/>
      <c r="AD40" s="108"/>
      <c r="AE40" s="95"/>
      <c r="AF40" s="95"/>
      <c r="AG40" s="95"/>
      <c r="AH40" s="95"/>
      <c r="AI40" s="95"/>
      <c r="AJ40" s="95"/>
      <c r="AK40" s="95"/>
      <c r="AL40" s="96"/>
      <c r="AM40" s="118"/>
      <c r="AN40" s="109"/>
      <c r="AO40" s="95"/>
      <c r="AP40" s="95"/>
      <c r="AQ40" s="95"/>
      <c r="AR40" s="99"/>
    </row>
    <row r="41" spans="2:44" ht="13.5" customHeight="1" x14ac:dyDescent="0.25">
      <c r="B41" s="14">
        <v>0.41666666666666702</v>
      </c>
      <c r="C41" s="91">
        <v>0</v>
      </c>
      <c r="D41" s="91"/>
      <c r="E41" s="91">
        <v>10.959199905395508</v>
      </c>
      <c r="F41" s="91"/>
      <c r="G41" s="91"/>
      <c r="H41" s="91">
        <v>10.28102970123291</v>
      </c>
      <c r="I41" s="91"/>
      <c r="J41" s="91">
        <v>17.749929428100586</v>
      </c>
      <c r="K41" s="91">
        <v>0</v>
      </c>
      <c r="L41" s="91">
        <v>0.03355269134044647</v>
      </c>
      <c r="M41" s="91">
        <v>10.24485969543457</v>
      </c>
      <c r="N41" s="91"/>
      <c r="O41" s="91">
        <v>0</v>
      </c>
      <c r="P41" s="91">
        <v>0.0003950496902689338</v>
      </c>
      <c r="Q41" s="91">
        <v>0</v>
      </c>
      <c r="R41" s="91"/>
      <c r="S41" s="91">
        <v>0</v>
      </c>
      <c r="T41" s="91"/>
      <c r="U41" s="108">
        <v>0</v>
      </c>
      <c r="V41" s="116"/>
      <c r="W41" s="117">
        <v>50</v>
      </c>
      <c r="X41" s="108">
        <v>0</v>
      </c>
      <c r="Y41" s="108">
        <v>8.100044250488281</v>
      </c>
      <c r="Z41" s="108">
        <v>20.40472984313965</v>
      </c>
      <c r="AA41" s="108">
        <v>50</v>
      </c>
      <c r="AB41" s="108">
        <v>0</v>
      </c>
      <c r="AC41" s="108">
        <v>11.765769958496094</v>
      </c>
      <c r="AD41" s="108">
        <v>14.935979843139648</v>
      </c>
      <c r="AE41" s="95"/>
      <c r="AF41" s="95">
        <v>0</v>
      </c>
      <c r="AG41" s="95"/>
      <c r="AH41" s="95">
        <v>0.0003950496902689338</v>
      </c>
      <c r="AI41" s="95">
        <v>30.96426010131836</v>
      </c>
      <c r="AJ41" s="95"/>
      <c r="AK41" s="95"/>
      <c r="AL41" s="96"/>
      <c r="AM41" s="118"/>
      <c r="AN41" s="109"/>
      <c r="AO41" s="95"/>
      <c r="AP41" s="95"/>
      <c r="AQ41" s="95"/>
      <c r="AR41" s="99"/>
    </row>
    <row r="42" spans="2:44" ht="13.5" customHeight="1" x14ac:dyDescent="0.25">
      <c r="B42" s="14">
        <v>0.45833333333333298</v>
      </c>
      <c r="C42" s="91">
        <v>0</v>
      </c>
      <c r="D42" s="91">
        <v>0.0003829285560641438</v>
      </c>
      <c r="E42" s="91">
        <v>11.067709922790527</v>
      </c>
      <c r="F42" s="91"/>
      <c r="G42" s="91"/>
      <c r="H42" s="91">
        <v>23.898649215698242</v>
      </c>
      <c r="I42" s="91">
        <v>0</v>
      </c>
      <c r="J42" s="91">
        <v>18.844039916992188</v>
      </c>
      <c r="K42" s="91">
        <v>0</v>
      </c>
      <c r="L42" s="91">
        <v>0.04472646117210388</v>
      </c>
      <c r="M42" s="91">
        <v>16.113279342651367</v>
      </c>
      <c r="N42" s="91">
        <v>0</v>
      </c>
      <c r="O42" s="91">
        <v>0</v>
      </c>
      <c r="P42" s="91">
        <v>0.00039660700713284314</v>
      </c>
      <c r="Q42" s="91">
        <v>0</v>
      </c>
      <c r="R42" s="91">
        <v>0</v>
      </c>
      <c r="S42" s="91">
        <v>0</v>
      </c>
      <c r="T42" s="91">
        <v>0</v>
      </c>
      <c r="U42" s="108">
        <v>0</v>
      </c>
      <c r="V42" s="116">
        <v>-0.00017000007210299373</v>
      </c>
      <c r="W42" s="117">
        <v>50</v>
      </c>
      <c r="X42" s="108">
        <v>0</v>
      </c>
      <c r="Y42" s="108">
        <v>6.5104169845581055</v>
      </c>
      <c r="Z42" s="108">
        <v>19.563800811767578</v>
      </c>
      <c r="AA42" s="108">
        <v>50</v>
      </c>
      <c r="AB42" s="108">
        <v>0</v>
      </c>
      <c r="AC42" s="108">
        <v>11.758540153503418</v>
      </c>
      <c r="AD42" s="108">
        <v>15.73351001739502</v>
      </c>
      <c r="AE42" s="95"/>
      <c r="AF42" s="95">
        <v>0</v>
      </c>
      <c r="AG42" s="95"/>
      <c r="AH42" s="95">
        <v>0.0003950496902689338</v>
      </c>
      <c r="AI42" s="95">
        <v>31.000429153442383</v>
      </c>
      <c r="AJ42" s="95">
        <v>-0.0004166679282207042</v>
      </c>
      <c r="AK42" s="95"/>
      <c r="AL42" s="96"/>
      <c r="AM42" s="118"/>
      <c r="AN42" s="109"/>
      <c r="AO42" s="95"/>
      <c r="AP42" s="95"/>
      <c r="AQ42" s="95"/>
      <c r="AR42" s="99"/>
    </row>
    <row r="43" spans="2:44" ht="13.5" customHeight="1" x14ac:dyDescent="0.25">
      <c r="B43" s="14">
        <v>0.5</v>
      </c>
      <c r="C43" s="91">
        <v>0</v>
      </c>
      <c r="D43" s="91">
        <v>0.0004903972148895264</v>
      </c>
      <c r="E43" s="91">
        <v>11.291959762573242</v>
      </c>
      <c r="F43" s="91"/>
      <c r="G43" s="91"/>
      <c r="H43" s="91">
        <v>37.932220458984375</v>
      </c>
      <c r="I43" s="91">
        <v>0</v>
      </c>
      <c r="J43" s="91">
        <v>19.042970657348633</v>
      </c>
      <c r="K43" s="91">
        <v>0.05401837080717087</v>
      </c>
      <c r="L43" s="91">
        <v>0.08578226715326309</v>
      </c>
      <c r="M43" s="91">
        <v>26.303890228271484</v>
      </c>
      <c r="N43" s="91">
        <v>1008.4140014648438</v>
      </c>
      <c r="O43" s="91">
        <v>0</v>
      </c>
      <c r="P43" s="91">
        <v>0.00039660700713284314</v>
      </c>
      <c r="Q43" s="91">
        <v>0</v>
      </c>
      <c r="R43" s="91">
        <v>0</v>
      </c>
      <c r="S43" s="91">
        <v>0</v>
      </c>
      <c r="T43" s="91">
        <v>0</v>
      </c>
      <c r="U43" s="108">
        <v>0</v>
      </c>
      <c r="V43" s="116">
        <v>3.620147708716104E-06</v>
      </c>
      <c r="W43" s="117">
        <v>50</v>
      </c>
      <c r="X43" s="108">
        <v>0</v>
      </c>
      <c r="Y43" s="108">
        <v>5.935329914093018</v>
      </c>
      <c r="Z43" s="108">
        <v>18.299699783325195</v>
      </c>
      <c r="AA43" s="108">
        <v>50</v>
      </c>
      <c r="AB43" s="108">
        <v>0</v>
      </c>
      <c r="AC43" s="108">
        <v>12.335430145263672</v>
      </c>
      <c r="AD43" s="108">
        <v>16.726350784301758</v>
      </c>
      <c r="AE43" s="95"/>
      <c r="AF43" s="95">
        <v>0</v>
      </c>
      <c r="AG43" s="95"/>
      <c r="AH43" s="95">
        <v>0.0003950496902689338</v>
      </c>
      <c r="AI43" s="95">
        <v>31.069150924682617</v>
      </c>
      <c r="AJ43" s="95">
        <v>-0.00032696151174604893</v>
      </c>
      <c r="AK43" s="95"/>
      <c r="AL43" s="96"/>
      <c r="AM43" s="118"/>
      <c r="AN43" s="109"/>
      <c r="AO43" s="95"/>
      <c r="AP43" s="95"/>
      <c r="AQ43" s="95"/>
      <c r="AR43" s="99"/>
    </row>
    <row r="44" spans="2:44" ht="13.5" customHeight="1" x14ac:dyDescent="0.25">
      <c r="B44" s="14">
        <v>0.54166666666666596</v>
      </c>
      <c r="C44" s="91">
        <v>0</v>
      </c>
      <c r="D44" s="91">
        <v>0.000204697425942868</v>
      </c>
      <c r="E44" s="91">
        <v>11.668109893798828</v>
      </c>
      <c r="F44" s="91"/>
      <c r="G44" s="91"/>
      <c r="H44" s="91">
        <v>41.32305908203125</v>
      </c>
      <c r="I44" s="91">
        <v>0</v>
      </c>
      <c r="J44" s="91">
        <v>19.983360290527344</v>
      </c>
      <c r="K44" s="91">
        <v>0.0604926198720932</v>
      </c>
      <c r="L44" s="91">
        <v>0.11049260199069977</v>
      </c>
      <c r="M44" s="91">
        <v>26.765050888061523</v>
      </c>
      <c r="N44" s="91">
        <v>31.6719970703125</v>
      </c>
      <c r="O44" s="91">
        <v>0</v>
      </c>
      <c r="P44" s="91">
        <v>0.00039660700713284314</v>
      </c>
      <c r="Q44" s="91">
        <v>0</v>
      </c>
      <c r="R44" s="91">
        <v>0</v>
      </c>
      <c r="S44" s="91">
        <v>0</v>
      </c>
      <c r="T44" s="91">
        <v>0</v>
      </c>
      <c r="U44" s="108">
        <v>0</v>
      </c>
      <c r="V44" s="116">
        <v>0.00010851001570699736</v>
      </c>
      <c r="W44" s="117">
        <v>50</v>
      </c>
      <c r="X44" s="108">
        <v>0</v>
      </c>
      <c r="Y44" s="108">
        <v>8.978951454162598</v>
      </c>
      <c r="Z44" s="108">
        <v>18.10980987548828</v>
      </c>
      <c r="AA44" s="108">
        <v>50</v>
      </c>
      <c r="AB44" s="108">
        <v>0</v>
      </c>
      <c r="AC44" s="108">
        <v>13.4964599609375</v>
      </c>
      <c r="AD44" s="108">
        <v>17.757160186767578</v>
      </c>
      <c r="AE44" s="95"/>
      <c r="AF44" s="95">
        <v>0</v>
      </c>
      <c r="AG44" s="95"/>
      <c r="AH44" s="95">
        <v>0.0003950496902689338</v>
      </c>
      <c r="AI44" s="95">
        <v>31.130640029907227</v>
      </c>
      <c r="AJ44" s="95">
        <v>-0.00035590934567153454</v>
      </c>
      <c r="AK44" s="95"/>
      <c r="AL44" s="96"/>
      <c r="AM44" s="118"/>
      <c r="AN44" s="109"/>
      <c r="AO44" s="95"/>
      <c r="AP44" s="95"/>
      <c r="AQ44" s="95"/>
      <c r="AR44" s="99"/>
    </row>
    <row r="45" spans="2:44" ht="13.5" customHeight="1" x14ac:dyDescent="0.25">
      <c r="B45" s="14">
        <v>0.58333333333333304</v>
      </c>
      <c r="C45" s="91">
        <v>0</v>
      </c>
      <c r="D45" s="91">
        <v>0.0005026979488320649</v>
      </c>
      <c r="E45" s="91">
        <v>12.000869750976562</v>
      </c>
      <c r="F45" s="91"/>
      <c r="G45" s="91"/>
      <c r="H45" s="91">
        <v>44.64155960083008</v>
      </c>
      <c r="I45" s="91">
        <v>0</v>
      </c>
      <c r="J45" s="91">
        <v>42.263450622558594</v>
      </c>
      <c r="K45" s="91">
        <v>0.4314959943294525</v>
      </c>
      <c r="L45" s="91">
        <v>0.5233290791511536</v>
      </c>
      <c r="M45" s="91">
        <v>45.437278747558594</v>
      </c>
      <c r="N45" s="91">
        <v>-40.48529052734375</v>
      </c>
      <c r="O45" s="91">
        <v>0</v>
      </c>
      <c r="P45" s="91">
        <v>0.00039660700713284314</v>
      </c>
      <c r="Q45" s="91">
        <v>897.3380126953125</v>
      </c>
      <c r="R45" s="91">
        <v>0.040691979229450226</v>
      </c>
      <c r="S45" s="91">
        <v>897.3380126953125</v>
      </c>
      <c r="T45" s="91">
        <v>0.4150835871696472</v>
      </c>
      <c r="U45" s="108">
        <v>0</v>
      </c>
      <c r="V45" s="116">
        <v>0.00017721939366310835</v>
      </c>
      <c r="W45" s="117">
        <v>50</v>
      </c>
      <c r="X45" s="108">
        <v>0</v>
      </c>
      <c r="Y45" s="108">
        <v>9.309896469116211</v>
      </c>
      <c r="Z45" s="108">
        <v>18.218320846557617</v>
      </c>
      <c r="AA45" s="108">
        <v>50</v>
      </c>
      <c r="AB45" s="108">
        <v>0</v>
      </c>
      <c r="AC45" s="108">
        <v>15.717229843139648</v>
      </c>
      <c r="AD45" s="108">
        <v>98.96919250488281</v>
      </c>
      <c r="AE45" s="95"/>
      <c r="AF45" s="95">
        <v>0</v>
      </c>
      <c r="AG45" s="95"/>
      <c r="AH45" s="95">
        <v>0.0003950496902689338</v>
      </c>
      <c r="AI45" s="95">
        <v>31.192129135131836</v>
      </c>
      <c r="AJ45" s="95">
        <v>-0.000532400154042989</v>
      </c>
      <c r="AK45" s="95"/>
      <c r="AL45" s="96"/>
      <c r="AM45" s="118"/>
      <c r="AN45" s="109"/>
      <c r="AO45" s="95"/>
      <c r="AP45" s="95"/>
      <c r="AQ45" s="95"/>
      <c r="AR45" s="99"/>
    </row>
    <row r="46" spans="2:44" ht="13.5" customHeight="1" x14ac:dyDescent="0.25">
      <c r="B46" s="14">
        <v>0.625</v>
      </c>
      <c r="C46" s="91">
        <v>2.238931894302368</v>
      </c>
      <c r="D46" s="91">
        <v>2.118003430950921E-05</v>
      </c>
      <c r="E46" s="91">
        <v>12.311920166015625</v>
      </c>
      <c r="F46" s="91"/>
      <c r="G46" s="91"/>
      <c r="H46" s="91">
        <v>43.086299896240234</v>
      </c>
      <c r="I46" s="91">
        <v>0</v>
      </c>
      <c r="J46" s="91">
        <v>43.619789123535156</v>
      </c>
      <c r="K46" s="91">
        <v>0.36742261052131653</v>
      </c>
      <c r="L46" s="91">
        <v>0.9142261743545532</v>
      </c>
      <c r="M46" s="91">
        <v>44.20753860473633</v>
      </c>
      <c r="N46" s="91">
        <v>6.53729248046875</v>
      </c>
      <c r="O46" s="91">
        <v>0</v>
      </c>
      <c r="P46" s="91">
        <v>0.00039660700713284314</v>
      </c>
      <c r="Q46" s="91">
        <v>0</v>
      </c>
      <c r="R46" s="91">
        <v>0</v>
      </c>
      <c r="S46" s="91">
        <v>0</v>
      </c>
      <c r="T46" s="91">
        <v>0.41126200556755066</v>
      </c>
      <c r="U46" s="108">
        <v>0</v>
      </c>
      <c r="V46" s="116">
        <v>0.00021702003141399473</v>
      </c>
      <c r="W46" s="117">
        <v>50</v>
      </c>
      <c r="X46" s="108">
        <v>0</v>
      </c>
      <c r="Y46" s="108">
        <v>8.892144203186035</v>
      </c>
      <c r="Z46" s="108">
        <v>17.659509658813477</v>
      </c>
      <c r="AA46" s="108">
        <v>50</v>
      </c>
      <c r="AB46" s="108">
        <v>0</v>
      </c>
      <c r="AC46" s="108">
        <v>16.814960479736328</v>
      </c>
      <c r="AD46" s="108">
        <v>80.65863800048828</v>
      </c>
      <c r="AE46" s="95"/>
      <c r="AF46" s="95">
        <v>0</v>
      </c>
      <c r="AG46" s="95"/>
      <c r="AH46" s="95">
        <v>0.0003950496902689338</v>
      </c>
      <c r="AI46" s="95">
        <v>31.224679946899414</v>
      </c>
      <c r="AJ46" s="95">
        <v>-0.0004861106863245368</v>
      </c>
      <c r="AK46" s="95"/>
      <c r="AL46" s="96"/>
      <c r="AM46" s="118"/>
      <c r="AN46" s="109"/>
      <c r="AO46" s="95"/>
      <c r="AP46" s="95"/>
      <c r="AQ46" s="95"/>
      <c r="AR46" s="99"/>
    </row>
    <row r="47" spans="2:44" ht="13.5" customHeight="1" x14ac:dyDescent="0.25">
      <c r="B47" s="14">
        <v>0.66666666666666596</v>
      </c>
      <c r="C47" s="91">
        <v>0</v>
      </c>
      <c r="D47" s="91">
        <v>0.00029405797249637544</v>
      </c>
      <c r="E47" s="91">
        <v>12.666379928588867</v>
      </c>
      <c r="F47" s="91"/>
      <c r="G47" s="91"/>
      <c r="H47" s="91">
        <v>45.33781814575195</v>
      </c>
      <c r="I47" s="91">
        <v>0</v>
      </c>
      <c r="J47" s="91">
        <v>48.94567108154297</v>
      </c>
      <c r="K47" s="91">
        <v>0.4099391996860504</v>
      </c>
      <c r="L47" s="91">
        <v>1.344099998474121</v>
      </c>
      <c r="M47" s="91">
        <v>46.06119918823242</v>
      </c>
      <c r="N47" s="91">
        <v>-1.74298095703125</v>
      </c>
      <c r="O47" s="91">
        <v>0</v>
      </c>
      <c r="P47" s="91">
        <v>0.00039660700713284314</v>
      </c>
      <c r="Q47" s="91">
        <v>0</v>
      </c>
      <c r="R47" s="91">
        <v>0</v>
      </c>
      <c r="S47" s="91">
        <v>0</v>
      </c>
      <c r="T47" s="91">
        <v>0.42261144518852234</v>
      </c>
      <c r="U47" s="108">
        <v>0</v>
      </c>
      <c r="V47" s="116">
        <v>0.00029297065339051187</v>
      </c>
      <c r="W47" s="117">
        <v>50</v>
      </c>
      <c r="X47" s="108">
        <v>0</v>
      </c>
      <c r="Y47" s="108">
        <v>8.696831703186035</v>
      </c>
      <c r="Z47" s="108">
        <v>16.959640502929688</v>
      </c>
      <c r="AA47" s="108">
        <v>50</v>
      </c>
      <c r="AB47" s="108">
        <v>0</v>
      </c>
      <c r="AC47" s="108">
        <v>17.377389907836914</v>
      </c>
      <c r="AD47" s="108">
        <v>66.95964050292969</v>
      </c>
      <c r="AE47" s="95"/>
      <c r="AF47" s="95">
        <v>0</v>
      </c>
      <c r="AG47" s="95"/>
      <c r="AH47" s="95">
        <v>0.0003950496902689338</v>
      </c>
      <c r="AI47" s="95">
        <v>31.246379852294922</v>
      </c>
      <c r="AJ47" s="95">
        <v>-0.00034432983375154436</v>
      </c>
      <c r="AK47" s="95"/>
      <c r="AL47" s="96"/>
      <c r="AM47" s="118"/>
      <c r="AN47" s="109"/>
      <c r="AO47" s="95"/>
      <c r="AP47" s="95"/>
      <c r="AQ47" s="95"/>
      <c r="AR47" s="99"/>
    </row>
    <row r="48" spans="2:44" ht="13.5" customHeight="1" x14ac:dyDescent="0.25">
      <c r="B48" s="14">
        <v>0.70833333333333304</v>
      </c>
      <c r="C48" s="91">
        <v>0</v>
      </c>
      <c r="D48" s="91">
        <v>0.00023991191119421273</v>
      </c>
      <c r="E48" s="91">
        <v>12.97743034362793</v>
      </c>
      <c r="F48" s="91"/>
      <c r="G48" s="91"/>
      <c r="H48" s="91">
        <v>43.41181945800781</v>
      </c>
      <c r="I48" s="91">
        <v>0</v>
      </c>
      <c r="J48" s="91">
        <v>46.25107955932617</v>
      </c>
      <c r="K48" s="91">
        <v>0.3672417998313904</v>
      </c>
      <c r="L48" s="91">
        <v>1.722277045249939</v>
      </c>
      <c r="M48" s="91">
        <v>44.777198791503906</v>
      </c>
      <c r="N48" s="91">
        <v>1.40399169921875</v>
      </c>
      <c r="O48" s="91">
        <v>0</v>
      </c>
      <c r="P48" s="91">
        <v>0.00039660700713284314</v>
      </c>
      <c r="Q48" s="91">
        <v>0</v>
      </c>
      <c r="R48" s="91">
        <v>0</v>
      </c>
      <c r="S48" s="91">
        <v>0</v>
      </c>
      <c r="T48" s="91">
        <v>0.3726489245891571</v>
      </c>
      <c r="U48" s="108">
        <v>0</v>
      </c>
      <c r="V48" s="116">
        <v>0.0002604093460831791</v>
      </c>
      <c r="W48" s="117">
        <v>50</v>
      </c>
      <c r="X48" s="108">
        <v>0</v>
      </c>
      <c r="Y48" s="108">
        <v>8.783638000488281</v>
      </c>
      <c r="Z48" s="108">
        <v>16.438800811767578</v>
      </c>
      <c r="AA48" s="108">
        <v>50</v>
      </c>
      <c r="AB48" s="108">
        <v>0</v>
      </c>
      <c r="AC48" s="108">
        <v>18.52212905883789</v>
      </c>
      <c r="AD48" s="108">
        <v>60.742191314697266</v>
      </c>
      <c r="AE48" s="95"/>
      <c r="AF48" s="95">
        <v>0</v>
      </c>
      <c r="AG48" s="95"/>
      <c r="AH48" s="95">
        <v>0.0003950496902689338</v>
      </c>
      <c r="AI48" s="95">
        <v>31.242769241333008</v>
      </c>
      <c r="AJ48" s="95">
        <v>-0.0003877391864079982</v>
      </c>
      <c r="AK48" s="95"/>
      <c r="AL48" s="96"/>
      <c r="AM48" s="118"/>
      <c r="AN48" s="109"/>
      <c r="AO48" s="95"/>
      <c r="AP48" s="95"/>
      <c r="AQ48" s="95"/>
      <c r="AR48" s="99"/>
    </row>
    <row r="49" spans="2:44" ht="13.5" customHeight="1" x14ac:dyDescent="0.25">
      <c r="B49" s="14">
        <v>0.75</v>
      </c>
      <c r="C49" s="91">
        <v>0</v>
      </c>
      <c r="D49" s="91">
        <v>0.00021447610924951732</v>
      </c>
      <c r="E49" s="91">
        <v>13.216150283813477</v>
      </c>
      <c r="F49" s="91"/>
      <c r="G49" s="91"/>
      <c r="H49" s="91">
        <v>42.74269104003906</v>
      </c>
      <c r="I49" s="91">
        <v>0</v>
      </c>
      <c r="J49" s="91">
        <v>43.954349517822266</v>
      </c>
      <c r="K49" s="91">
        <v>0.4119465947151184</v>
      </c>
      <c r="L49" s="91">
        <v>2.0909340381622314</v>
      </c>
      <c r="M49" s="91">
        <v>43.93627166748047</v>
      </c>
      <c r="N49" s="91">
        <v>0.96197509765625</v>
      </c>
      <c r="O49" s="91">
        <v>0</v>
      </c>
      <c r="P49" s="91">
        <v>0.00039660700713284314</v>
      </c>
      <c r="Q49" s="91">
        <v>0</v>
      </c>
      <c r="R49" s="91">
        <v>0</v>
      </c>
      <c r="S49" s="91">
        <v>0</v>
      </c>
      <c r="T49" s="91">
        <v>0.4122250974178314</v>
      </c>
      <c r="U49" s="108">
        <v>0</v>
      </c>
      <c r="V49" s="116">
        <v>0.0003038206195924431</v>
      </c>
      <c r="W49" s="117">
        <v>50</v>
      </c>
      <c r="X49" s="108">
        <v>0</v>
      </c>
      <c r="Y49" s="108">
        <v>12.033419609069824</v>
      </c>
      <c r="Z49" s="108">
        <v>17.79513931274414</v>
      </c>
      <c r="AA49" s="108">
        <v>50</v>
      </c>
      <c r="AB49" s="108">
        <v>0</v>
      </c>
      <c r="AC49" s="108">
        <v>20.732059478759766</v>
      </c>
      <c r="AD49" s="108">
        <v>59.716800689697266</v>
      </c>
      <c r="AE49" s="95"/>
      <c r="AF49" s="95">
        <v>0</v>
      </c>
      <c r="AG49" s="95"/>
      <c r="AH49" s="95">
        <v>0.0003950496902689338</v>
      </c>
      <c r="AI49" s="95">
        <v>31.246379852294922</v>
      </c>
      <c r="AJ49" s="95">
        <v>-0.0003327503218315542</v>
      </c>
      <c r="AK49" s="95"/>
      <c r="AL49" s="96"/>
      <c r="AM49" s="118"/>
      <c r="AN49" s="109"/>
      <c r="AO49" s="95"/>
      <c r="AP49" s="95"/>
      <c r="AQ49" s="95"/>
      <c r="AR49" s="99"/>
    </row>
    <row r="50" spans="2:44" ht="13.5" customHeight="1" x14ac:dyDescent="0.25">
      <c r="B50" s="14">
        <v>0.79166666666666696</v>
      </c>
      <c r="C50" s="91">
        <v>1.3783999681472778</v>
      </c>
      <c r="D50" s="91">
        <v>0.00023012494784779847</v>
      </c>
      <c r="E50" s="91">
        <v>13.42593002319336</v>
      </c>
      <c r="F50" s="91"/>
      <c r="G50" s="91"/>
      <c r="H50" s="91">
        <v>42.57992935180664</v>
      </c>
      <c r="I50" s="91">
        <v>0</v>
      </c>
      <c r="J50" s="91">
        <v>43.5655403137207</v>
      </c>
      <c r="K50" s="91">
        <v>0.39888960123062134</v>
      </c>
      <c r="L50" s="91">
        <v>2.455976963043213</v>
      </c>
      <c r="M50" s="91">
        <v>44.21657943725586</v>
      </c>
      <c r="N50" s="91">
        <v>1.65301513671875</v>
      </c>
      <c r="O50" s="91">
        <v>0</v>
      </c>
      <c r="P50" s="91">
        <v>0.00039660700713284314</v>
      </c>
      <c r="Q50" s="91">
        <v>0</v>
      </c>
      <c r="R50" s="91">
        <v>0</v>
      </c>
      <c r="S50" s="91">
        <v>0</v>
      </c>
      <c r="T50" s="91">
        <v>0.3793330192565918</v>
      </c>
      <c r="U50" s="108">
        <v>0</v>
      </c>
      <c r="V50" s="116">
        <v>0.000368929875548929</v>
      </c>
      <c r="W50" s="117">
        <v>50</v>
      </c>
      <c r="X50" s="108">
        <v>0</v>
      </c>
      <c r="Y50" s="108">
        <v>13.88346004486084</v>
      </c>
      <c r="Z50" s="108">
        <v>19.54210090637207</v>
      </c>
      <c r="AA50" s="108">
        <v>50</v>
      </c>
      <c r="AB50" s="108">
        <v>0</v>
      </c>
      <c r="AC50" s="108">
        <v>24.325450897216797</v>
      </c>
      <c r="AD50" s="108">
        <v>60.031471252441406</v>
      </c>
      <c r="AE50" s="95"/>
      <c r="AF50" s="95">
        <v>0</v>
      </c>
      <c r="AG50" s="95"/>
      <c r="AH50" s="95">
        <v>0.0003950496902689338</v>
      </c>
      <c r="AI50" s="95">
        <v>31.23914909362793</v>
      </c>
      <c r="AJ50" s="95">
        <v>-0.0005208301590755582</v>
      </c>
      <c r="AK50" s="95"/>
      <c r="AL50" s="96"/>
      <c r="AM50" s="118"/>
      <c r="AN50" s="109"/>
      <c r="AO50" s="95"/>
      <c r="AP50" s="95"/>
      <c r="AQ50" s="95"/>
      <c r="AR50" s="99"/>
    </row>
    <row r="51" spans="2:44" ht="13.5" customHeight="1" x14ac:dyDescent="0.25">
      <c r="B51" s="14">
        <v>0.83333333333333304</v>
      </c>
      <c r="C51" s="100">
        <v>0</v>
      </c>
      <c r="D51" s="100">
        <v>0.0001652159699006006</v>
      </c>
      <c r="E51" s="100">
        <v>13.505499839782715</v>
      </c>
      <c r="F51" s="100"/>
      <c r="G51" s="100"/>
      <c r="H51" s="100">
        <v>43.05916976928711</v>
      </c>
      <c r="I51" s="100">
        <v>0</v>
      </c>
      <c r="J51" s="100">
        <v>43.62882995605469</v>
      </c>
      <c r="K51" s="100">
        <v>0.3953632116317749</v>
      </c>
      <c r="L51" s="100">
        <v>2.83215594291687</v>
      </c>
      <c r="M51" s="100">
        <v>44.13520050048828</v>
      </c>
      <c r="N51" s="100">
        <v>8.17303466796875</v>
      </c>
      <c r="O51" s="100">
        <v>0</v>
      </c>
      <c r="P51" s="100">
        <v>0.00039660700713284314</v>
      </c>
      <c r="Q51" s="100">
        <v>897.3380126953125</v>
      </c>
      <c r="R51" s="100">
        <v>0.03535202145576477</v>
      </c>
      <c r="S51" s="100">
        <v>897.3380126953125</v>
      </c>
      <c r="T51" s="100">
        <v>0.3736569881439209</v>
      </c>
      <c r="U51" s="111">
        <v>0</v>
      </c>
      <c r="V51" s="119">
        <v>0.0003001995210070163</v>
      </c>
      <c r="W51" s="120">
        <v>50</v>
      </c>
      <c r="X51" s="111">
        <v>0</v>
      </c>
      <c r="Y51" s="111">
        <v>13.655599594116211</v>
      </c>
      <c r="Z51" s="111">
        <v>20.4589900970459</v>
      </c>
      <c r="AA51" s="111">
        <v>50</v>
      </c>
      <c r="AB51" s="111">
        <v>0</v>
      </c>
      <c r="AC51" s="111">
        <v>30.02206039428711</v>
      </c>
      <c r="AD51" s="111">
        <v>64.95768737792969</v>
      </c>
      <c r="AE51" s="104"/>
      <c r="AF51" s="104">
        <v>0</v>
      </c>
      <c r="AG51" s="104"/>
      <c r="AH51" s="104">
        <v>0.0003950496902689338</v>
      </c>
      <c r="AI51" s="104">
        <v>31.228300094604492</v>
      </c>
      <c r="AJ51" s="104">
        <v>-0.00039352034218609333</v>
      </c>
      <c r="AK51" s="104"/>
      <c r="AL51" s="105"/>
      <c r="AM51" s="121"/>
      <c r="AN51" s="112"/>
      <c r="AO51" s="104"/>
      <c r="AP51" s="104"/>
      <c r="AQ51" s="104"/>
      <c r="AR51" s="115"/>
    </row>
    <row r="52" spans="2:44" ht="13.5" customHeight="1" x14ac:dyDescent="0.25">
      <c r="B52" s="184" t="s">
        <v>471</v>
      </c>
      <c r="C52" s="185"/>
      <c r="D52" s="9" t="s">
        <v>19</v>
      </c>
      <c r="E52" s="161" t="s">
        <v>20</v>
      </c>
      <c r="F52" s="164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  <c r="AD52" s="165"/>
      <c r="AE52" s="165"/>
      <c r="AF52" s="165"/>
      <c r="AG52" s="165"/>
      <c r="AH52" s="165"/>
      <c r="AI52" s="165"/>
      <c r="AJ52" s="165"/>
      <c r="AK52" s="165"/>
      <c r="AL52" s="165"/>
      <c r="AM52" s="165"/>
      <c r="AN52" s="165"/>
      <c r="AO52" s="166"/>
      <c r="AP52" s="166"/>
      <c r="AQ52" s="166"/>
      <c r="AR52" s="167"/>
    </row>
    <row r="53" spans="2:44" ht="13.5" customHeight="1" x14ac:dyDescent="0.25">
      <c r="B53" s="160"/>
      <c r="C53" s="162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2"/>
      <c r="AI53" s="162"/>
      <c r="AJ53" s="162"/>
      <c r="AK53" s="162"/>
      <c r="AL53" s="162"/>
      <c r="AM53" s="162"/>
      <c r="AN53" s="162"/>
      <c r="AO53" s="168"/>
      <c r="AP53" s="168"/>
      <c r="AQ53" s="168"/>
      <c r="AR53" s="169"/>
    </row>
    <row r="54" spans="2:44" ht="13.5" customHeight="1" thickBot="1" x14ac:dyDescent="0.3">
      <c r="B54" s="172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70"/>
      <c r="AP54" s="170"/>
      <c r="AQ54" s="170"/>
      <c r="AR54" s="17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7" t="s">
        <v>230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88"/>
    </row>
    <row r="2" spans="2:58" ht="13" customHeight="1" x14ac:dyDescent="0.25">
      <c r="B2" s="234" t="s">
        <v>232</v>
      </c>
      <c r="C2" s="197"/>
      <c r="D2" s="197"/>
      <c r="E2" s="197"/>
      <c r="F2" s="197"/>
      <c r="G2" s="197"/>
      <c r="H2" s="197"/>
      <c r="I2" s="197"/>
      <c r="J2" s="197"/>
      <c r="K2" s="197"/>
      <c r="L2" s="202"/>
      <c r="M2" s="235" t="s">
        <v>231</v>
      </c>
      <c r="N2" s="197"/>
      <c r="O2" s="197"/>
      <c r="P2" s="197"/>
      <c r="Q2" s="197"/>
      <c r="R2" s="197"/>
      <c r="S2" s="197"/>
      <c r="T2" s="197"/>
      <c r="U2" s="197"/>
      <c r="V2" s="197"/>
      <c r="W2" s="202"/>
      <c r="X2" s="147" t="s">
        <v>233</v>
      </c>
      <c r="Y2" s="197"/>
      <c r="Z2" s="197"/>
      <c r="AA2" s="197"/>
      <c r="AB2" s="197"/>
      <c r="AC2" s="197"/>
      <c r="AD2" s="197"/>
      <c r="AE2" s="197"/>
      <c r="AF2" s="197"/>
      <c r="AG2" s="197"/>
      <c r="AH2" s="202"/>
      <c r="AI2" s="235" t="s">
        <v>234</v>
      </c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202"/>
      <c r="AU2" s="147" t="s">
        <v>235</v>
      </c>
      <c r="AV2" s="197"/>
      <c r="AW2" s="197"/>
      <c r="AX2" s="197"/>
      <c r="AY2" s="197"/>
      <c r="AZ2" s="197"/>
      <c r="BA2" s="197"/>
      <c r="BB2" s="197"/>
      <c r="BC2" s="197"/>
      <c r="BD2" s="197"/>
      <c r="BE2" s="197"/>
      <c r="BF2" s="236"/>
    </row>
    <row r="3" spans="2:58" ht="13" customHeight="1" x14ac:dyDescent="0.25">
      <c r="B3" s="238"/>
      <c r="C3" s="222"/>
      <c r="D3" s="222"/>
      <c r="E3" s="222"/>
      <c r="F3" s="222"/>
      <c r="G3" s="222"/>
      <c r="H3" s="222"/>
      <c r="I3" s="222"/>
      <c r="J3" s="222"/>
      <c r="K3" s="222"/>
      <c r="L3" s="223"/>
      <c r="M3" s="241"/>
      <c r="N3" s="222"/>
      <c r="O3" s="222"/>
      <c r="P3" s="222"/>
      <c r="Q3" s="222"/>
      <c r="R3" s="222"/>
      <c r="S3" s="222"/>
      <c r="T3" s="222"/>
      <c r="U3" s="222"/>
      <c r="V3" s="222"/>
      <c r="W3" s="223"/>
      <c r="X3" s="229"/>
      <c r="Y3" s="222"/>
      <c r="Z3" s="222"/>
      <c r="AA3" s="222"/>
      <c r="AB3" s="222"/>
      <c r="AC3" s="222"/>
      <c r="AD3" s="222"/>
      <c r="AE3" s="222"/>
      <c r="AF3" s="222"/>
      <c r="AG3" s="222"/>
      <c r="AH3" s="223"/>
      <c r="AI3" s="251"/>
      <c r="AJ3" s="222"/>
      <c r="AK3" s="222"/>
      <c r="AL3" s="222"/>
      <c r="AM3" s="222"/>
      <c r="AN3" s="222"/>
      <c r="AO3" s="222"/>
      <c r="AP3" s="222"/>
      <c r="AQ3" s="222"/>
      <c r="AR3" s="222"/>
      <c r="AS3" s="222"/>
      <c r="AT3" s="223"/>
      <c r="AU3" s="229"/>
      <c r="AV3" s="222"/>
      <c r="AW3" s="222"/>
      <c r="AX3" s="222"/>
      <c r="AY3" s="222"/>
      <c r="AZ3" s="222"/>
      <c r="BA3" s="222"/>
      <c r="BB3" s="222"/>
      <c r="BC3" s="222"/>
      <c r="BD3" s="222"/>
      <c r="BE3" s="222"/>
      <c r="BF3" s="231"/>
    </row>
    <row r="4" spans="2:58" ht="13" customHeight="1" x14ac:dyDescent="0.25">
      <c r="B4" s="239"/>
      <c r="C4" s="225"/>
      <c r="D4" s="225"/>
      <c r="E4" s="225"/>
      <c r="F4" s="225"/>
      <c r="G4" s="225"/>
      <c r="H4" s="225"/>
      <c r="I4" s="225"/>
      <c r="J4" s="225"/>
      <c r="K4" s="225"/>
      <c r="L4" s="226"/>
      <c r="M4" s="224"/>
      <c r="N4" s="225"/>
      <c r="O4" s="225"/>
      <c r="P4" s="225"/>
      <c r="Q4" s="225"/>
      <c r="R4" s="225"/>
      <c r="S4" s="225"/>
      <c r="T4" s="225"/>
      <c r="U4" s="225"/>
      <c r="V4" s="225"/>
      <c r="W4" s="226"/>
      <c r="X4" s="224"/>
      <c r="Y4" s="225"/>
      <c r="Z4" s="225"/>
      <c r="AA4" s="225"/>
      <c r="AB4" s="225"/>
      <c r="AC4" s="225"/>
      <c r="AD4" s="225"/>
      <c r="AE4" s="225"/>
      <c r="AF4" s="225"/>
      <c r="AG4" s="225"/>
      <c r="AH4" s="226"/>
      <c r="AI4" s="224"/>
      <c r="AJ4" s="225"/>
      <c r="AK4" s="225"/>
      <c r="AL4" s="225"/>
      <c r="AM4" s="225"/>
      <c r="AN4" s="225"/>
      <c r="AO4" s="225"/>
      <c r="AP4" s="225"/>
      <c r="AQ4" s="225"/>
      <c r="AR4" s="225"/>
      <c r="AS4" s="225"/>
      <c r="AT4" s="226"/>
      <c r="AU4" s="224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32"/>
    </row>
    <row r="5" spans="2:58" ht="13" customHeight="1" x14ac:dyDescent="0.25">
      <c r="B5" s="239"/>
      <c r="C5" s="225"/>
      <c r="D5" s="225"/>
      <c r="E5" s="225"/>
      <c r="F5" s="225"/>
      <c r="G5" s="225"/>
      <c r="H5" s="225"/>
      <c r="I5" s="225"/>
      <c r="J5" s="225"/>
      <c r="K5" s="225"/>
      <c r="L5" s="226"/>
      <c r="M5" s="224"/>
      <c r="N5" s="225"/>
      <c r="O5" s="225"/>
      <c r="P5" s="225"/>
      <c r="Q5" s="225"/>
      <c r="R5" s="225"/>
      <c r="S5" s="225"/>
      <c r="T5" s="225"/>
      <c r="U5" s="225"/>
      <c r="V5" s="225"/>
      <c r="W5" s="226"/>
      <c r="X5" s="224"/>
      <c r="Y5" s="225"/>
      <c r="Z5" s="225"/>
      <c r="AA5" s="225"/>
      <c r="AB5" s="225"/>
      <c r="AC5" s="225"/>
      <c r="AD5" s="225"/>
      <c r="AE5" s="225"/>
      <c r="AF5" s="225"/>
      <c r="AG5" s="225"/>
      <c r="AH5" s="226"/>
      <c r="AI5" s="224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6"/>
      <c r="AU5" s="224"/>
      <c r="AV5" s="225"/>
      <c r="AW5" s="225"/>
      <c r="AX5" s="225"/>
      <c r="AY5" s="225"/>
      <c r="AZ5" s="225"/>
      <c r="BA5" s="225"/>
      <c r="BB5" s="225"/>
      <c r="BC5" s="225"/>
      <c r="BD5" s="225"/>
      <c r="BE5" s="225"/>
      <c r="BF5" s="232"/>
    </row>
    <row r="6" spans="2:58" ht="13" customHeight="1" x14ac:dyDescent="0.25">
      <c r="B6" s="239"/>
      <c r="C6" s="225"/>
      <c r="D6" s="225"/>
      <c r="E6" s="225"/>
      <c r="F6" s="225"/>
      <c r="G6" s="225"/>
      <c r="H6" s="225"/>
      <c r="I6" s="225"/>
      <c r="J6" s="225"/>
      <c r="K6" s="225"/>
      <c r="L6" s="226"/>
      <c r="M6" s="224"/>
      <c r="N6" s="225"/>
      <c r="O6" s="225"/>
      <c r="P6" s="225"/>
      <c r="Q6" s="225"/>
      <c r="R6" s="225"/>
      <c r="S6" s="225"/>
      <c r="T6" s="225"/>
      <c r="U6" s="225"/>
      <c r="V6" s="225"/>
      <c r="W6" s="226"/>
      <c r="X6" s="224"/>
      <c r="Y6" s="225"/>
      <c r="Z6" s="225"/>
      <c r="AA6" s="225"/>
      <c r="AB6" s="225"/>
      <c r="AC6" s="225"/>
      <c r="AD6" s="225"/>
      <c r="AE6" s="225"/>
      <c r="AF6" s="225"/>
      <c r="AG6" s="225"/>
      <c r="AH6" s="226"/>
      <c r="AI6" s="224"/>
      <c r="AJ6" s="225"/>
      <c r="AK6" s="225"/>
      <c r="AL6" s="225"/>
      <c r="AM6" s="225"/>
      <c r="AN6" s="225"/>
      <c r="AO6" s="225"/>
      <c r="AP6" s="225"/>
      <c r="AQ6" s="225"/>
      <c r="AR6" s="225"/>
      <c r="AS6" s="225"/>
      <c r="AT6" s="226"/>
      <c r="AU6" s="224"/>
      <c r="AV6" s="225"/>
      <c r="AW6" s="225"/>
      <c r="AX6" s="225"/>
      <c r="AY6" s="225"/>
      <c r="AZ6" s="225"/>
      <c r="BA6" s="225"/>
      <c r="BB6" s="225"/>
      <c r="BC6" s="225"/>
      <c r="BD6" s="225"/>
      <c r="BE6" s="225"/>
      <c r="BF6" s="232"/>
    </row>
    <row r="7" spans="2:58" ht="13" customHeight="1" x14ac:dyDescent="0.25">
      <c r="B7" s="239"/>
      <c r="C7" s="225"/>
      <c r="D7" s="225"/>
      <c r="E7" s="225"/>
      <c r="F7" s="225"/>
      <c r="G7" s="225"/>
      <c r="H7" s="225"/>
      <c r="I7" s="225"/>
      <c r="J7" s="225"/>
      <c r="K7" s="225"/>
      <c r="L7" s="226"/>
      <c r="M7" s="224"/>
      <c r="N7" s="225"/>
      <c r="O7" s="225"/>
      <c r="P7" s="225"/>
      <c r="Q7" s="225"/>
      <c r="R7" s="225"/>
      <c r="S7" s="225"/>
      <c r="T7" s="225"/>
      <c r="U7" s="225"/>
      <c r="V7" s="225"/>
      <c r="W7" s="226"/>
      <c r="X7" s="224"/>
      <c r="Y7" s="225"/>
      <c r="Z7" s="225"/>
      <c r="AA7" s="225"/>
      <c r="AB7" s="225"/>
      <c r="AC7" s="225"/>
      <c r="AD7" s="225"/>
      <c r="AE7" s="225"/>
      <c r="AF7" s="225"/>
      <c r="AG7" s="225"/>
      <c r="AH7" s="226"/>
      <c r="AI7" s="224"/>
      <c r="AJ7" s="225"/>
      <c r="AK7" s="225"/>
      <c r="AL7" s="225"/>
      <c r="AM7" s="225"/>
      <c r="AN7" s="225"/>
      <c r="AO7" s="225"/>
      <c r="AP7" s="225"/>
      <c r="AQ7" s="225"/>
      <c r="AR7" s="225"/>
      <c r="AS7" s="225"/>
      <c r="AT7" s="226"/>
      <c r="AU7" s="224"/>
      <c r="AV7" s="225"/>
      <c r="AW7" s="225"/>
      <c r="AX7" s="225"/>
      <c r="AY7" s="225"/>
      <c r="AZ7" s="225"/>
      <c r="BA7" s="225"/>
      <c r="BB7" s="225"/>
      <c r="BC7" s="225"/>
      <c r="BD7" s="225"/>
      <c r="BE7" s="225"/>
      <c r="BF7" s="232"/>
    </row>
    <row r="8" spans="2:58" ht="13" customHeight="1" x14ac:dyDescent="0.25">
      <c r="B8" s="239"/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24"/>
      <c r="N8" s="225"/>
      <c r="O8" s="225"/>
      <c r="P8" s="225"/>
      <c r="Q8" s="225"/>
      <c r="R8" s="225"/>
      <c r="S8" s="225"/>
      <c r="T8" s="225"/>
      <c r="U8" s="225"/>
      <c r="V8" s="225"/>
      <c r="W8" s="226"/>
      <c r="X8" s="224"/>
      <c r="Y8" s="225"/>
      <c r="Z8" s="225"/>
      <c r="AA8" s="225"/>
      <c r="AB8" s="225"/>
      <c r="AC8" s="225"/>
      <c r="AD8" s="225"/>
      <c r="AE8" s="225"/>
      <c r="AF8" s="225"/>
      <c r="AG8" s="225"/>
      <c r="AH8" s="226"/>
      <c r="AI8" s="224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6"/>
      <c r="AU8" s="224"/>
      <c r="AV8" s="225"/>
      <c r="AW8" s="225"/>
      <c r="AX8" s="225"/>
      <c r="AY8" s="225"/>
      <c r="AZ8" s="225"/>
      <c r="BA8" s="225"/>
      <c r="BB8" s="225"/>
      <c r="BC8" s="225"/>
      <c r="BD8" s="225"/>
      <c r="BE8" s="225"/>
      <c r="BF8" s="232"/>
    </row>
    <row r="9" spans="2:58" ht="13" customHeight="1" x14ac:dyDescent="0.25">
      <c r="B9" s="240"/>
      <c r="C9" s="228"/>
      <c r="D9" s="228"/>
      <c r="E9" s="228"/>
      <c r="F9" s="228"/>
      <c r="G9" s="228"/>
      <c r="H9" s="228"/>
      <c r="I9" s="228"/>
      <c r="J9" s="228"/>
      <c r="K9" s="228"/>
      <c r="L9" s="185"/>
      <c r="M9" s="227"/>
      <c r="N9" s="228"/>
      <c r="O9" s="228"/>
      <c r="P9" s="228"/>
      <c r="Q9" s="228"/>
      <c r="R9" s="228"/>
      <c r="S9" s="228"/>
      <c r="T9" s="228"/>
      <c r="U9" s="228"/>
      <c r="V9" s="228"/>
      <c r="W9" s="185"/>
      <c r="X9" s="227"/>
      <c r="Y9" s="228"/>
      <c r="Z9" s="228"/>
      <c r="AA9" s="228"/>
      <c r="AB9" s="228"/>
      <c r="AC9" s="228"/>
      <c r="AD9" s="228"/>
      <c r="AE9" s="228"/>
      <c r="AF9" s="228"/>
      <c r="AG9" s="228"/>
      <c r="AH9" s="185"/>
      <c r="AI9" s="227"/>
      <c r="AJ9" s="228"/>
      <c r="AK9" s="228"/>
      <c r="AL9" s="228"/>
      <c r="AM9" s="228"/>
      <c r="AN9" s="228"/>
      <c r="AO9" s="228"/>
      <c r="AP9" s="228"/>
      <c r="AQ9" s="228"/>
      <c r="AR9" s="228"/>
      <c r="AS9" s="228"/>
      <c r="AT9" s="185"/>
      <c r="AU9" s="227"/>
      <c r="AV9" s="228"/>
      <c r="AW9" s="228"/>
      <c r="AX9" s="228"/>
      <c r="AY9" s="228"/>
      <c r="AZ9" s="228"/>
      <c r="BA9" s="228"/>
      <c r="BB9" s="228"/>
      <c r="BC9" s="228"/>
      <c r="BD9" s="228"/>
      <c r="BE9" s="228"/>
      <c r="BF9" s="233"/>
    </row>
    <row r="10" spans="2:58" ht="13" customHeight="1" x14ac:dyDescent="0.25">
      <c r="B10" s="217" t="s">
        <v>236</v>
      </c>
      <c r="C10" s="215"/>
      <c r="D10" s="215"/>
      <c r="E10" s="215"/>
      <c r="F10" s="215"/>
      <c r="G10" s="215"/>
      <c r="H10" s="215"/>
      <c r="I10" s="215"/>
      <c r="J10" s="215"/>
      <c r="K10" s="215"/>
      <c r="L10" s="186"/>
      <c r="M10" s="237" t="s">
        <v>237</v>
      </c>
      <c r="N10" s="215"/>
      <c r="O10" s="215"/>
      <c r="P10" s="215"/>
      <c r="Q10" s="215"/>
      <c r="R10" s="215"/>
      <c r="S10" s="215"/>
      <c r="T10" s="215"/>
      <c r="U10" s="215"/>
      <c r="V10" s="215"/>
      <c r="W10" s="186"/>
      <c r="X10" s="192" t="s">
        <v>238</v>
      </c>
      <c r="Y10" s="215"/>
      <c r="Z10" s="215"/>
      <c r="AA10" s="215"/>
      <c r="AB10" s="215"/>
      <c r="AC10" s="215"/>
      <c r="AD10" s="215"/>
      <c r="AE10" s="215"/>
      <c r="AF10" s="215"/>
      <c r="AG10" s="215"/>
      <c r="AH10" s="186"/>
      <c r="AI10" s="192" t="s">
        <v>239</v>
      </c>
      <c r="AJ10" s="215"/>
      <c r="AK10" s="215"/>
      <c r="AL10" s="215"/>
      <c r="AM10" s="215"/>
      <c r="AN10" s="215"/>
      <c r="AO10" s="215"/>
      <c r="AP10" s="215"/>
      <c r="AQ10" s="215"/>
      <c r="AR10" s="215"/>
      <c r="AS10" s="215"/>
      <c r="AT10" s="186"/>
      <c r="AU10" s="168" t="s">
        <v>240</v>
      </c>
      <c r="AV10" s="215"/>
      <c r="AW10" s="215"/>
      <c r="AX10" s="215"/>
      <c r="AY10" s="215"/>
      <c r="AZ10" s="215"/>
      <c r="BA10" s="215"/>
      <c r="BB10" s="215"/>
      <c r="BC10" s="215"/>
      <c r="BD10" s="215"/>
      <c r="BE10" s="215"/>
      <c r="BF10" s="219"/>
    </row>
    <row r="11" spans="2:58" ht="13" customHeight="1" x14ac:dyDescent="0.25">
      <c r="B11" s="238"/>
      <c r="C11" s="222"/>
      <c r="D11" s="222"/>
      <c r="E11" s="222"/>
      <c r="F11" s="222"/>
      <c r="G11" s="222"/>
      <c r="H11" s="222"/>
      <c r="I11" s="222"/>
      <c r="J11" s="222"/>
      <c r="K11" s="222"/>
      <c r="L11" s="223"/>
      <c r="M11" s="241"/>
      <c r="N11" s="222"/>
      <c r="O11" s="222"/>
      <c r="P11" s="222"/>
      <c r="Q11" s="222"/>
      <c r="R11" s="222"/>
      <c r="S11" s="222"/>
      <c r="T11" s="222"/>
      <c r="U11" s="222"/>
      <c r="V11" s="222"/>
      <c r="W11" s="223"/>
      <c r="X11" s="241"/>
      <c r="Y11" s="222"/>
      <c r="Z11" s="222"/>
      <c r="AA11" s="222"/>
      <c r="AB11" s="222"/>
      <c r="AC11" s="222"/>
      <c r="AD11" s="222"/>
      <c r="AE11" s="222"/>
      <c r="AF11" s="222"/>
      <c r="AG11" s="222"/>
      <c r="AH11" s="223"/>
      <c r="AI11" s="241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3"/>
      <c r="AU11" s="230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31"/>
    </row>
    <row r="12" spans="2:58" ht="13" customHeight="1" x14ac:dyDescent="0.25">
      <c r="B12" s="239"/>
      <c r="C12" s="225"/>
      <c r="D12" s="225"/>
      <c r="E12" s="225"/>
      <c r="F12" s="225"/>
      <c r="G12" s="225"/>
      <c r="H12" s="225"/>
      <c r="I12" s="225"/>
      <c r="J12" s="225"/>
      <c r="K12" s="225"/>
      <c r="L12" s="226"/>
      <c r="M12" s="224"/>
      <c r="N12" s="225"/>
      <c r="O12" s="225"/>
      <c r="P12" s="225"/>
      <c r="Q12" s="225"/>
      <c r="R12" s="225"/>
      <c r="S12" s="225"/>
      <c r="T12" s="225"/>
      <c r="U12" s="225"/>
      <c r="V12" s="225"/>
      <c r="W12" s="226"/>
      <c r="X12" s="224"/>
      <c r="Y12" s="225"/>
      <c r="Z12" s="225"/>
      <c r="AA12" s="225"/>
      <c r="AB12" s="225"/>
      <c r="AC12" s="225"/>
      <c r="AD12" s="225"/>
      <c r="AE12" s="225"/>
      <c r="AF12" s="225"/>
      <c r="AG12" s="225"/>
      <c r="AH12" s="226"/>
      <c r="AI12" s="224"/>
      <c r="AJ12" s="225"/>
      <c r="AK12" s="225"/>
      <c r="AL12" s="225"/>
      <c r="AM12" s="225"/>
      <c r="AN12" s="225"/>
      <c r="AO12" s="225"/>
      <c r="AP12" s="225"/>
      <c r="AQ12" s="225"/>
      <c r="AR12" s="225"/>
      <c r="AS12" s="225"/>
      <c r="AT12" s="226"/>
      <c r="AU12" s="224"/>
      <c r="AV12" s="225"/>
      <c r="AW12" s="225"/>
      <c r="AX12" s="225"/>
      <c r="AY12" s="225"/>
      <c r="AZ12" s="225"/>
      <c r="BA12" s="225"/>
      <c r="BB12" s="225"/>
      <c r="BC12" s="225"/>
      <c r="BD12" s="225"/>
      <c r="BE12" s="225"/>
      <c r="BF12" s="232"/>
    </row>
    <row r="13" spans="2:58" ht="13" customHeight="1" x14ac:dyDescent="0.25">
      <c r="B13" s="239"/>
      <c r="C13" s="225"/>
      <c r="D13" s="225"/>
      <c r="E13" s="225"/>
      <c r="F13" s="225"/>
      <c r="G13" s="225"/>
      <c r="H13" s="225"/>
      <c r="I13" s="225"/>
      <c r="J13" s="225"/>
      <c r="K13" s="225"/>
      <c r="L13" s="226"/>
      <c r="M13" s="224"/>
      <c r="N13" s="225"/>
      <c r="O13" s="225"/>
      <c r="P13" s="225"/>
      <c r="Q13" s="225"/>
      <c r="R13" s="225"/>
      <c r="S13" s="225"/>
      <c r="T13" s="225"/>
      <c r="U13" s="225"/>
      <c r="V13" s="225"/>
      <c r="W13" s="226"/>
      <c r="X13" s="224"/>
      <c r="Y13" s="225"/>
      <c r="Z13" s="225"/>
      <c r="AA13" s="225"/>
      <c r="AB13" s="225"/>
      <c r="AC13" s="225"/>
      <c r="AD13" s="225"/>
      <c r="AE13" s="225"/>
      <c r="AF13" s="225"/>
      <c r="AG13" s="225"/>
      <c r="AH13" s="226"/>
      <c r="AI13" s="224"/>
      <c r="AJ13" s="225"/>
      <c r="AK13" s="225"/>
      <c r="AL13" s="225"/>
      <c r="AM13" s="225"/>
      <c r="AN13" s="225"/>
      <c r="AO13" s="225"/>
      <c r="AP13" s="225"/>
      <c r="AQ13" s="225"/>
      <c r="AR13" s="225"/>
      <c r="AS13" s="225"/>
      <c r="AT13" s="226"/>
      <c r="AU13" s="224"/>
      <c r="AV13" s="225"/>
      <c r="AW13" s="225"/>
      <c r="AX13" s="225"/>
      <c r="AY13" s="225"/>
      <c r="AZ13" s="225"/>
      <c r="BA13" s="225"/>
      <c r="BB13" s="225"/>
      <c r="BC13" s="225"/>
      <c r="BD13" s="225"/>
      <c r="BE13" s="225"/>
      <c r="BF13" s="232"/>
    </row>
    <row r="14" spans="2:58" ht="13" customHeight="1" x14ac:dyDescent="0.25">
      <c r="B14" s="239"/>
      <c r="C14" s="225"/>
      <c r="D14" s="225"/>
      <c r="E14" s="225"/>
      <c r="F14" s="225"/>
      <c r="G14" s="225"/>
      <c r="H14" s="225"/>
      <c r="I14" s="225"/>
      <c r="J14" s="225"/>
      <c r="K14" s="225"/>
      <c r="L14" s="226"/>
      <c r="M14" s="224"/>
      <c r="N14" s="225"/>
      <c r="O14" s="225"/>
      <c r="P14" s="225"/>
      <c r="Q14" s="225"/>
      <c r="R14" s="225"/>
      <c r="S14" s="225"/>
      <c r="T14" s="225"/>
      <c r="U14" s="225"/>
      <c r="V14" s="225"/>
      <c r="W14" s="226"/>
      <c r="X14" s="224"/>
      <c r="Y14" s="225"/>
      <c r="Z14" s="225"/>
      <c r="AA14" s="225"/>
      <c r="AB14" s="225"/>
      <c r="AC14" s="225"/>
      <c r="AD14" s="225"/>
      <c r="AE14" s="225"/>
      <c r="AF14" s="225"/>
      <c r="AG14" s="225"/>
      <c r="AH14" s="226"/>
      <c r="AI14" s="224"/>
      <c r="AJ14" s="225"/>
      <c r="AK14" s="225"/>
      <c r="AL14" s="225"/>
      <c r="AM14" s="225"/>
      <c r="AN14" s="225"/>
      <c r="AO14" s="225"/>
      <c r="AP14" s="225"/>
      <c r="AQ14" s="225"/>
      <c r="AR14" s="225"/>
      <c r="AS14" s="225"/>
      <c r="AT14" s="226"/>
      <c r="AU14" s="224"/>
      <c r="AV14" s="225"/>
      <c r="AW14" s="225"/>
      <c r="AX14" s="225"/>
      <c r="AY14" s="225"/>
      <c r="AZ14" s="225"/>
      <c r="BA14" s="225"/>
      <c r="BB14" s="225"/>
      <c r="BC14" s="225"/>
      <c r="BD14" s="225"/>
      <c r="BE14" s="225"/>
      <c r="BF14" s="232"/>
    </row>
    <row r="15" spans="2:58" ht="13" customHeight="1" x14ac:dyDescent="0.25">
      <c r="B15" s="239"/>
      <c r="C15" s="225"/>
      <c r="D15" s="225"/>
      <c r="E15" s="225"/>
      <c r="F15" s="225"/>
      <c r="G15" s="225"/>
      <c r="H15" s="225"/>
      <c r="I15" s="225"/>
      <c r="J15" s="225"/>
      <c r="K15" s="225"/>
      <c r="L15" s="226"/>
      <c r="M15" s="224"/>
      <c r="N15" s="225"/>
      <c r="O15" s="225"/>
      <c r="P15" s="225"/>
      <c r="Q15" s="225"/>
      <c r="R15" s="225"/>
      <c r="S15" s="225"/>
      <c r="T15" s="225"/>
      <c r="U15" s="225"/>
      <c r="V15" s="225"/>
      <c r="W15" s="226"/>
      <c r="X15" s="224"/>
      <c r="Y15" s="225"/>
      <c r="Z15" s="225"/>
      <c r="AA15" s="225"/>
      <c r="AB15" s="225"/>
      <c r="AC15" s="225"/>
      <c r="AD15" s="225"/>
      <c r="AE15" s="225"/>
      <c r="AF15" s="225"/>
      <c r="AG15" s="225"/>
      <c r="AH15" s="226"/>
      <c r="AI15" s="224"/>
      <c r="AJ15" s="225"/>
      <c r="AK15" s="225"/>
      <c r="AL15" s="225"/>
      <c r="AM15" s="225"/>
      <c r="AN15" s="225"/>
      <c r="AO15" s="225"/>
      <c r="AP15" s="225"/>
      <c r="AQ15" s="225"/>
      <c r="AR15" s="225"/>
      <c r="AS15" s="225"/>
      <c r="AT15" s="226"/>
      <c r="AU15" s="224"/>
      <c r="AV15" s="225"/>
      <c r="AW15" s="225"/>
      <c r="AX15" s="225"/>
      <c r="AY15" s="225"/>
      <c r="AZ15" s="225"/>
      <c r="BA15" s="225"/>
      <c r="BB15" s="225"/>
      <c r="BC15" s="225"/>
      <c r="BD15" s="225"/>
      <c r="BE15" s="225"/>
      <c r="BF15" s="232"/>
    </row>
    <row r="16" spans="2:58" ht="13" customHeight="1" x14ac:dyDescent="0.25">
      <c r="B16" s="239"/>
      <c r="C16" s="225"/>
      <c r="D16" s="225"/>
      <c r="E16" s="225"/>
      <c r="F16" s="225"/>
      <c r="G16" s="225"/>
      <c r="H16" s="225"/>
      <c r="I16" s="225"/>
      <c r="J16" s="225"/>
      <c r="K16" s="225"/>
      <c r="L16" s="226"/>
      <c r="M16" s="224"/>
      <c r="N16" s="225"/>
      <c r="O16" s="225"/>
      <c r="P16" s="225"/>
      <c r="Q16" s="225"/>
      <c r="R16" s="225"/>
      <c r="S16" s="225"/>
      <c r="T16" s="225"/>
      <c r="U16" s="225"/>
      <c r="V16" s="225"/>
      <c r="W16" s="226"/>
      <c r="X16" s="224"/>
      <c r="Y16" s="225"/>
      <c r="Z16" s="225"/>
      <c r="AA16" s="225"/>
      <c r="AB16" s="225"/>
      <c r="AC16" s="225"/>
      <c r="AD16" s="225"/>
      <c r="AE16" s="225"/>
      <c r="AF16" s="225"/>
      <c r="AG16" s="225"/>
      <c r="AH16" s="226"/>
      <c r="AI16" s="224"/>
      <c r="AJ16" s="225"/>
      <c r="AK16" s="225"/>
      <c r="AL16" s="225"/>
      <c r="AM16" s="225"/>
      <c r="AN16" s="225"/>
      <c r="AO16" s="225"/>
      <c r="AP16" s="225"/>
      <c r="AQ16" s="225"/>
      <c r="AR16" s="225"/>
      <c r="AS16" s="225"/>
      <c r="AT16" s="226"/>
      <c r="AU16" s="224"/>
      <c r="AV16" s="225"/>
      <c r="AW16" s="225"/>
      <c r="AX16" s="225"/>
      <c r="AY16" s="225"/>
      <c r="AZ16" s="225"/>
      <c r="BA16" s="225"/>
      <c r="BB16" s="225"/>
      <c r="BC16" s="225"/>
      <c r="BD16" s="225"/>
      <c r="BE16" s="225"/>
      <c r="BF16" s="232"/>
    </row>
    <row r="17" spans="2:58" ht="13" customHeight="1" x14ac:dyDescent="0.25">
      <c r="B17" s="240"/>
      <c r="C17" s="228"/>
      <c r="D17" s="228"/>
      <c r="E17" s="228"/>
      <c r="F17" s="228"/>
      <c r="G17" s="228"/>
      <c r="H17" s="228"/>
      <c r="I17" s="228"/>
      <c r="J17" s="228"/>
      <c r="K17" s="228"/>
      <c r="L17" s="185"/>
      <c r="M17" s="227"/>
      <c r="N17" s="228"/>
      <c r="O17" s="228"/>
      <c r="P17" s="228"/>
      <c r="Q17" s="228"/>
      <c r="R17" s="228"/>
      <c r="S17" s="228"/>
      <c r="T17" s="228"/>
      <c r="U17" s="228"/>
      <c r="V17" s="228"/>
      <c r="W17" s="185"/>
      <c r="X17" s="227"/>
      <c r="Y17" s="228"/>
      <c r="Z17" s="228"/>
      <c r="AA17" s="228"/>
      <c r="AB17" s="228"/>
      <c r="AC17" s="228"/>
      <c r="AD17" s="228"/>
      <c r="AE17" s="228"/>
      <c r="AF17" s="228"/>
      <c r="AG17" s="228"/>
      <c r="AH17" s="185"/>
      <c r="AI17" s="227"/>
      <c r="AJ17" s="228"/>
      <c r="AK17" s="228"/>
      <c r="AL17" s="228"/>
      <c r="AM17" s="228"/>
      <c r="AN17" s="228"/>
      <c r="AO17" s="228"/>
      <c r="AP17" s="228"/>
      <c r="AQ17" s="228"/>
      <c r="AR17" s="228"/>
      <c r="AS17" s="228"/>
      <c r="AT17" s="185"/>
      <c r="AU17" s="227"/>
      <c r="AV17" s="228"/>
      <c r="AW17" s="228"/>
      <c r="AX17" s="228"/>
      <c r="AY17" s="228"/>
      <c r="AZ17" s="228"/>
      <c r="BA17" s="228"/>
      <c r="BB17" s="228"/>
      <c r="BC17" s="228"/>
      <c r="BD17" s="228"/>
      <c r="BE17" s="228"/>
      <c r="BF17" s="233"/>
    </row>
    <row r="18" spans="2:58" ht="13" customHeight="1" x14ac:dyDescent="0.25">
      <c r="B18" s="217" t="s">
        <v>241</v>
      </c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50" t="s">
        <v>242</v>
      </c>
      <c r="N18" s="215"/>
      <c r="O18" s="215"/>
      <c r="P18" s="215"/>
      <c r="Q18" s="215"/>
      <c r="R18" s="215"/>
      <c r="S18" s="215"/>
      <c r="T18" s="215"/>
      <c r="U18" s="215"/>
      <c r="V18" s="215"/>
      <c r="W18" s="186"/>
      <c r="X18" s="249" t="s">
        <v>243</v>
      </c>
      <c r="Y18" s="215"/>
      <c r="Z18" s="215"/>
      <c r="AA18" s="215"/>
      <c r="AB18" s="215"/>
      <c r="AC18" s="215"/>
      <c r="AD18" s="215"/>
      <c r="AE18" s="215"/>
      <c r="AF18" s="215"/>
      <c r="AG18" s="215"/>
      <c r="AH18" s="186"/>
      <c r="AI18" s="154" t="s">
        <v>244</v>
      </c>
      <c r="AJ18" s="215"/>
      <c r="AK18" s="215"/>
      <c r="AL18" s="215"/>
      <c r="AM18" s="215"/>
      <c r="AN18" s="215"/>
      <c r="AO18" s="215"/>
      <c r="AP18" s="215"/>
      <c r="AQ18" s="215"/>
      <c r="AR18" s="215"/>
      <c r="AS18" s="215"/>
      <c r="AT18" s="186"/>
      <c r="AU18" s="168" t="s">
        <v>245</v>
      </c>
      <c r="AV18" s="215"/>
      <c r="AW18" s="215"/>
      <c r="AX18" s="215"/>
      <c r="AY18" s="215"/>
      <c r="AZ18" s="215"/>
      <c r="BA18" s="215"/>
      <c r="BB18" s="215"/>
      <c r="BC18" s="215"/>
      <c r="BD18" s="215"/>
      <c r="BE18" s="215"/>
      <c r="BF18" s="219"/>
    </row>
    <row r="19" spans="2:58" ht="13" customHeight="1" x14ac:dyDescent="0.25">
      <c r="B19" s="238"/>
      <c r="C19" s="222"/>
      <c r="D19" s="222"/>
      <c r="E19" s="222"/>
      <c r="F19" s="222"/>
      <c r="G19" s="222"/>
      <c r="H19" s="222"/>
      <c r="I19" s="222"/>
      <c r="J19" s="222"/>
      <c r="K19" s="222"/>
      <c r="L19" s="223"/>
      <c r="M19" s="252"/>
      <c r="N19" s="222"/>
      <c r="O19" s="222"/>
      <c r="P19" s="222"/>
      <c r="Q19" s="222"/>
      <c r="R19" s="222"/>
      <c r="S19" s="222"/>
      <c r="T19" s="222"/>
      <c r="U19" s="222"/>
      <c r="V19" s="222"/>
      <c r="W19" s="223"/>
      <c r="X19" s="221"/>
      <c r="Y19" s="222"/>
      <c r="Z19" s="222"/>
      <c r="AA19" s="222"/>
      <c r="AB19" s="222"/>
      <c r="AC19" s="222"/>
      <c r="AD19" s="222"/>
      <c r="AE19" s="222"/>
      <c r="AF19" s="222"/>
      <c r="AG19" s="222"/>
      <c r="AH19" s="223"/>
      <c r="AI19" s="229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3"/>
      <c r="AU19" s="230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31"/>
    </row>
    <row r="20" spans="2:58" ht="13" customHeight="1" x14ac:dyDescent="0.25">
      <c r="B20" s="239"/>
      <c r="C20" s="225"/>
      <c r="D20" s="225"/>
      <c r="E20" s="225"/>
      <c r="F20" s="225"/>
      <c r="G20" s="225"/>
      <c r="H20" s="225"/>
      <c r="I20" s="225"/>
      <c r="J20" s="225"/>
      <c r="K20" s="225"/>
      <c r="L20" s="226"/>
      <c r="M20" s="224"/>
      <c r="N20" s="225"/>
      <c r="O20" s="225"/>
      <c r="P20" s="225"/>
      <c r="Q20" s="225"/>
      <c r="R20" s="225"/>
      <c r="S20" s="225"/>
      <c r="T20" s="225"/>
      <c r="U20" s="225"/>
      <c r="V20" s="225"/>
      <c r="W20" s="226"/>
      <c r="X20" s="224"/>
      <c r="Y20" s="225"/>
      <c r="Z20" s="225"/>
      <c r="AA20" s="225"/>
      <c r="AB20" s="225"/>
      <c r="AC20" s="225"/>
      <c r="AD20" s="225"/>
      <c r="AE20" s="225"/>
      <c r="AF20" s="225"/>
      <c r="AG20" s="225"/>
      <c r="AH20" s="226"/>
      <c r="AI20" s="224"/>
      <c r="AJ20" s="225"/>
      <c r="AK20" s="225"/>
      <c r="AL20" s="225"/>
      <c r="AM20" s="225"/>
      <c r="AN20" s="225"/>
      <c r="AO20" s="225"/>
      <c r="AP20" s="225"/>
      <c r="AQ20" s="225"/>
      <c r="AR20" s="225"/>
      <c r="AS20" s="225"/>
      <c r="AT20" s="226"/>
      <c r="AU20" s="224"/>
      <c r="AV20" s="225"/>
      <c r="AW20" s="225"/>
      <c r="AX20" s="225"/>
      <c r="AY20" s="225"/>
      <c r="AZ20" s="225"/>
      <c r="BA20" s="225"/>
      <c r="BB20" s="225"/>
      <c r="BC20" s="225"/>
      <c r="BD20" s="225"/>
      <c r="BE20" s="225"/>
      <c r="BF20" s="232"/>
    </row>
    <row r="21" spans="2:58" ht="13" customHeight="1" x14ac:dyDescent="0.25">
      <c r="B21" s="239"/>
      <c r="C21" s="225"/>
      <c r="D21" s="225"/>
      <c r="E21" s="225"/>
      <c r="F21" s="225"/>
      <c r="G21" s="225"/>
      <c r="H21" s="225"/>
      <c r="I21" s="225"/>
      <c r="J21" s="225"/>
      <c r="K21" s="225"/>
      <c r="L21" s="226"/>
      <c r="M21" s="224"/>
      <c r="N21" s="225"/>
      <c r="O21" s="225"/>
      <c r="P21" s="225"/>
      <c r="Q21" s="225"/>
      <c r="R21" s="225"/>
      <c r="S21" s="225"/>
      <c r="T21" s="225"/>
      <c r="U21" s="225"/>
      <c r="V21" s="225"/>
      <c r="W21" s="226"/>
      <c r="X21" s="224"/>
      <c r="Y21" s="225"/>
      <c r="Z21" s="225"/>
      <c r="AA21" s="225"/>
      <c r="AB21" s="225"/>
      <c r="AC21" s="225"/>
      <c r="AD21" s="225"/>
      <c r="AE21" s="225"/>
      <c r="AF21" s="225"/>
      <c r="AG21" s="225"/>
      <c r="AH21" s="226"/>
      <c r="AI21" s="224"/>
      <c r="AJ21" s="225"/>
      <c r="AK21" s="225"/>
      <c r="AL21" s="225"/>
      <c r="AM21" s="225"/>
      <c r="AN21" s="225"/>
      <c r="AO21" s="225"/>
      <c r="AP21" s="225"/>
      <c r="AQ21" s="225"/>
      <c r="AR21" s="225"/>
      <c r="AS21" s="225"/>
      <c r="AT21" s="226"/>
      <c r="AU21" s="224"/>
      <c r="AV21" s="225"/>
      <c r="AW21" s="225"/>
      <c r="AX21" s="225"/>
      <c r="AY21" s="225"/>
      <c r="AZ21" s="225"/>
      <c r="BA21" s="225"/>
      <c r="BB21" s="225"/>
      <c r="BC21" s="225"/>
      <c r="BD21" s="225"/>
      <c r="BE21" s="225"/>
      <c r="BF21" s="232"/>
    </row>
    <row r="22" spans="2:58" ht="13" customHeight="1" x14ac:dyDescent="0.25">
      <c r="B22" s="239"/>
      <c r="C22" s="225"/>
      <c r="D22" s="225"/>
      <c r="E22" s="225"/>
      <c r="F22" s="225"/>
      <c r="G22" s="225"/>
      <c r="H22" s="225"/>
      <c r="I22" s="225"/>
      <c r="J22" s="225"/>
      <c r="K22" s="225"/>
      <c r="L22" s="226"/>
      <c r="M22" s="224"/>
      <c r="N22" s="225"/>
      <c r="O22" s="225"/>
      <c r="P22" s="225"/>
      <c r="Q22" s="225"/>
      <c r="R22" s="225"/>
      <c r="S22" s="225"/>
      <c r="T22" s="225"/>
      <c r="U22" s="225"/>
      <c r="V22" s="225"/>
      <c r="W22" s="226"/>
      <c r="X22" s="224"/>
      <c r="Y22" s="225"/>
      <c r="Z22" s="225"/>
      <c r="AA22" s="225"/>
      <c r="AB22" s="225"/>
      <c r="AC22" s="225"/>
      <c r="AD22" s="225"/>
      <c r="AE22" s="225"/>
      <c r="AF22" s="225"/>
      <c r="AG22" s="225"/>
      <c r="AH22" s="226"/>
      <c r="AI22" s="224"/>
      <c r="AJ22" s="225"/>
      <c r="AK22" s="225"/>
      <c r="AL22" s="225"/>
      <c r="AM22" s="225"/>
      <c r="AN22" s="225"/>
      <c r="AO22" s="225"/>
      <c r="AP22" s="225"/>
      <c r="AQ22" s="225"/>
      <c r="AR22" s="225"/>
      <c r="AS22" s="225"/>
      <c r="AT22" s="226"/>
      <c r="AU22" s="224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32"/>
    </row>
    <row r="23" spans="2:58" ht="13" customHeight="1" x14ac:dyDescent="0.25">
      <c r="B23" s="239"/>
      <c r="C23" s="225"/>
      <c r="D23" s="225"/>
      <c r="E23" s="225"/>
      <c r="F23" s="225"/>
      <c r="G23" s="225"/>
      <c r="H23" s="225"/>
      <c r="I23" s="225"/>
      <c r="J23" s="225"/>
      <c r="K23" s="225"/>
      <c r="L23" s="226"/>
      <c r="M23" s="224"/>
      <c r="N23" s="225"/>
      <c r="O23" s="225"/>
      <c r="P23" s="225"/>
      <c r="Q23" s="225"/>
      <c r="R23" s="225"/>
      <c r="S23" s="225"/>
      <c r="T23" s="225"/>
      <c r="U23" s="225"/>
      <c r="V23" s="225"/>
      <c r="W23" s="226"/>
      <c r="X23" s="224"/>
      <c r="Y23" s="225"/>
      <c r="Z23" s="225"/>
      <c r="AA23" s="225"/>
      <c r="AB23" s="225"/>
      <c r="AC23" s="225"/>
      <c r="AD23" s="225"/>
      <c r="AE23" s="225"/>
      <c r="AF23" s="225"/>
      <c r="AG23" s="225"/>
      <c r="AH23" s="226"/>
      <c r="AI23" s="224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6"/>
      <c r="AU23" s="224"/>
      <c r="AV23" s="225"/>
      <c r="AW23" s="225"/>
      <c r="AX23" s="225"/>
      <c r="AY23" s="225"/>
      <c r="AZ23" s="225"/>
      <c r="BA23" s="225"/>
      <c r="BB23" s="225"/>
      <c r="BC23" s="225"/>
      <c r="BD23" s="225"/>
      <c r="BE23" s="225"/>
      <c r="BF23" s="232"/>
    </row>
    <row r="24" spans="2:58" ht="13" customHeight="1" x14ac:dyDescent="0.25">
      <c r="B24" s="240"/>
      <c r="C24" s="228"/>
      <c r="D24" s="228"/>
      <c r="E24" s="228"/>
      <c r="F24" s="228"/>
      <c r="G24" s="228"/>
      <c r="H24" s="228"/>
      <c r="I24" s="228"/>
      <c r="J24" s="228"/>
      <c r="K24" s="228"/>
      <c r="L24" s="185"/>
      <c r="M24" s="227"/>
      <c r="N24" s="228"/>
      <c r="O24" s="228"/>
      <c r="P24" s="228"/>
      <c r="Q24" s="228"/>
      <c r="R24" s="228"/>
      <c r="S24" s="228"/>
      <c r="T24" s="228"/>
      <c r="U24" s="228"/>
      <c r="V24" s="228"/>
      <c r="W24" s="185"/>
      <c r="X24" s="227"/>
      <c r="Y24" s="228"/>
      <c r="Z24" s="228"/>
      <c r="AA24" s="228"/>
      <c r="AB24" s="228"/>
      <c r="AC24" s="228"/>
      <c r="AD24" s="228"/>
      <c r="AE24" s="228"/>
      <c r="AF24" s="228"/>
      <c r="AG24" s="228"/>
      <c r="AH24" s="185"/>
      <c r="AI24" s="227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185"/>
      <c r="AU24" s="227"/>
      <c r="AV24" s="228"/>
      <c r="AW24" s="228"/>
      <c r="AX24" s="228"/>
      <c r="AY24" s="228"/>
      <c r="AZ24" s="228"/>
      <c r="BA24" s="228"/>
      <c r="BB24" s="228"/>
      <c r="BC24" s="228"/>
      <c r="BD24" s="228"/>
      <c r="BE24" s="228"/>
      <c r="BF24" s="233"/>
    </row>
    <row r="25" spans="2:58" ht="13" customHeight="1" x14ac:dyDescent="0.25">
      <c r="B25" s="217" t="s">
        <v>246</v>
      </c>
      <c r="C25" s="215"/>
      <c r="D25" s="215"/>
      <c r="E25" s="215"/>
      <c r="F25" s="215"/>
      <c r="G25" s="215"/>
      <c r="H25" s="215"/>
      <c r="I25" s="215"/>
      <c r="J25" s="215"/>
      <c r="K25" s="215"/>
      <c r="L25" s="186"/>
      <c r="M25" s="192" t="s">
        <v>247</v>
      </c>
      <c r="N25" s="215"/>
      <c r="O25" s="215"/>
      <c r="P25" s="215"/>
      <c r="Q25" s="215"/>
      <c r="R25" s="215"/>
      <c r="S25" s="215"/>
      <c r="T25" s="215"/>
      <c r="U25" s="215"/>
      <c r="V25" s="215"/>
      <c r="W25" s="186"/>
      <c r="X25" s="218" t="s">
        <v>248</v>
      </c>
      <c r="Y25" s="215"/>
      <c r="Z25" s="215"/>
      <c r="AA25" s="215"/>
      <c r="AB25" s="215"/>
      <c r="AC25" s="215"/>
      <c r="AD25" s="215"/>
      <c r="AE25" s="215"/>
      <c r="AF25" s="215"/>
      <c r="AG25" s="215"/>
      <c r="AH25" s="186"/>
      <c r="AI25" s="168" t="s">
        <v>249</v>
      </c>
      <c r="AJ25" s="215"/>
      <c r="AK25" s="215"/>
      <c r="AL25" s="215"/>
      <c r="AM25" s="215"/>
      <c r="AN25" s="215"/>
      <c r="AO25" s="215"/>
      <c r="AP25" s="215"/>
      <c r="AQ25" s="215"/>
      <c r="AR25" s="215"/>
      <c r="AS25" s="215"/>
      <c r="AT25" s="186"/>
      <c r="AU25" s="168" t="s">
        <v>250</v>
      </c>
      <c r="AV25" s="215"/>
      <c r="AW25" s="215"/>
      <c r="AX25" s="215"/>
      <c r="AY25" s="215"/>
      <c r="AZ25" s="215"/>
      <c r="BA25" s="215"/>
      <c r="BB25" s="215"/>
      <c r="BC25" s="215"/>
      <c r="BD25" s="215"/>
      <c r="BE25" s="215"/>
      <c r="BF25" s="219"/>
    </row>
    <row r="26" spans="2:58" ht="13" customHeight="1" x14ac:dyDescent="0.25">
      <c r="B26" s="238"/>
      <c r="C26" s="222"/>
      <c r="D26" s="222"/>
      <c r="E26" s="222"/>
      <c r="F26" s="222"/>
      <c r="G26" s="222"/>
      <c r="H26" s="222"/>
      <c r="I26" s="222"/>
      <c r="J26" s="222"/>
      <c r="K26" s="222"/>
      <c r="L26" s="223"/>
      <c r="M26" s="246"/>
      <c r="N26" s="222"/>
      <c r="O26" s="222"/>
      <c r="P26" s="222"/>
      <c r="Q26" s="222"/>
      <c r="R26" s="222"/>
      <c r="S26" s="222"/>
      <c r="T26" s="222"/>
      <c r="U26" s="222"/>
      <c r="V26" s="222"/>
      <c r="W26" s="223"/>
      <c r="X26" s="242"/>
      <c r="Y26" s="222"/>
      <c r="Z26" s="222"/>
      <c r="AA26" s="222"/>
      <c r="AB26" s="222"/>
      <c r="AC26" s="222"/>
      <c r="AD26" s="222"/>
      <c r="AE26" s="222"/>
      <c r="AF26" s="222"/>
      <c r="AG26" s="222"/>
      <c r="AH26" s="223"/>
      <c r="AI26" s="230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3"/>
      <c r="AU26" s="230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31"/>
    </row>
    <row r="27" spans="2:58" ht="13" customHeight="1" x14ac:dyDescent="0.25">
      <c r="B27" s="239"/>
      <c r="C27" s="225"/>
      <c r="D27" s="225"/>
      <c r="E27" s="225"/>
      <c r="F27" s="225"/>
      <c r="G27" s="225"/>
      <c r="H27" s="225"/>
      <c r="I27" s="225"/>
      <c r="J27" s="225"/>
      <c r="K27" s="225"/>
      <c r="L27" s="226"/>
      <c r="M27" s="224"/>
      <c r="N27" s="225"/>
      <c r="O27" s="225"/>
      <c r="P27" s="225"/>
      <c r="Q27" s="225"/>
      <c r="R27" s="225"/>
      <c r="S27" s="225"/>
      <c r="T27" s="225"/>
      <c r="U27" s="225"/>
      <c r="V27" s="225"/>
      <c r="W27" s="226"/>
      <c r="X27" s="224"/>
      <c r="Y27" s="225"/>
      <c r="Z27" s="225"/>
      <c r="AA27" s="225"/>
      <c r="AB27" s="225"/>
      <c r="AC27" s="225"/>
      <c r="AD27" s="225"/>
      <c r="AE27" s="225"/>
      <c r="AF27" s="225"/>
      <c r="AG27" s="225"/>
      <c r="AH27" s="226"/>
      <c r="AI27" s="224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6"/>
      <c r="AU27" s="224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32"/>
    </row>
    <row r="28" spans="2:58" ht="13" customHeight="1" x14ac:dyDescent="0.25">
      <c r="B28" s="239"/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M28" s="224"/>
      <c r="N28" s="225"/>
      <c r="O28" s="225"/>
      <c r="P28" s="225"/>
      <c r="Q28" s="225"/>
      <c r="R28" s="225"/>
      <c r="S28" s="225"/>
      <c r="T28" s="225"/>
      <c r="U28" s="225"/>
      <c r="V28" s="225"/>
      <c r="W28" s="226"/>
      <c r="X28" s="224"/>
      <c r="Y28" s="225"/>
      <c r="Z28" s="225"/>
      <c r="AA28" s="225"/>
      <c r="AB28" s="225"/>
      <c r="AC28" s="225"/>
      <c r="AD28" s="225"/>
      <c r="AE28" s="225"/>
      <c r="AF28" s="225"/>
      <c r="AG28" s="225"/>
      <c r="AH28" s="226"/>
      <c r="AI28" s="224"/>
      <c r="AJ28" s="225"/>
      <c r="AK28" s="225"/>
      <c r="AL28" s="225"/>
      <c r="AM28" s="225"/>
      <c r="AN28" s="225"/>
      <c r="AO28" s="225"/>
      <c r="AP28" s="225"/>
      <c r="AQ28" s="225"/>
      <c r="AR28" s="225"/>
      <c r="AS28" s="225"/>
      <c r="AT28" s="226"/>
      <c r="AU28" s="224"/>
      <c r="AV28" s="225"/>
      <c r="AW28" s="225"/>
      <c r="AX28" s="225"/>
      <c r="AY28" s="225"/>
      <c r="AZ28" s="225"/>
      <c r="BA28" s="225"/>
      <c r="BB28" s="225"/>
      <c r="BC28" s="225"/>
      <c r="BD28" s="225"/>
      <c r="BE28" s="225"/>
      <c r="BF28" s="232"/>
    </row>
    <row r="29" spans="2:58" ht="13" customHeight="1" x14ac:dyDescent="0.25">
      <c r="B29" s="239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M29" s="224"/>
      <c r="N29" s="225"/>
      <c r="O29" s="225"/>
      <c r="P29" s="225"/>
      <c r="Q29" s="225"/>
      <c r="R29" s="225"/>
      <c r="S29" s="225"/>
      <c r="T29" s="225"/>
      <c r="U29" s="225"/>
      <c r="V29" s="225"/>
      <c r="W29" s="226"/>
      <c r="X29" s="224"/>
      <c r="Y29" s="225"/>
      <c r="Z29" s="225"/>
      <c r="AA29" s="225"/>
      <c r="AB29" s="225"/>
      <c r="AC29" s="225"/>
      <c r="AD29" s="225"/>
      <c r="AE29" s="225"/>
      <c r="AF29" s="225"/>
      <c r="AG29" s="225"/>
      <c r="AH29" s="226"/>
      <c r="AI29" s="224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6"/>
      <c r="AU29" s="224"/>
      <c r="AV29" s="225"/>
      <c r="AW29" s="225"/>
      <c r="AX29" s="225"/>
      <c r="AY29" s="225"/>
      <c r="AZ29" s="225"/>
      <c r="BA29" s="225"/>
      <c r="BB29" s="225"/>
      <c r="BC29" s="225"/>
      <c r="BD29" s="225"/>
      <c r="BE29" s="225"/>
      <c r="BF29" s="232"/>
    </row>
    <row r="30" spans="2:58" ht="13" customHeight="1" x14ac:dyDescent="0.25">
      <c r="B30" s="239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M30" s="224"/>
      <c r="N30" s="225"/>
      <c r="O30" s="225"/>
      <c r="P30" s="225"/>
      <c r="Q30" s="225"/>
      <c r="R30" s="225"/>
      <c r="S30" s="225"/>
      <c r="T30" s="225"/>
      <c r="U30" s="225"/>
      <c r="V30" s="225"/>
      <c r="W30" s="226"/>
      <c r="X30" s="224"/>
      <c r="Y30" s="225"/>
      <c r="Z30" s="225"/>
      <c r="AA30" s="225"/>
      <c r="AB30" s="225"/>
      <c r="AC30" s="225"/>
      <c r="AD30" s="225"/>
      <c r="AE30" s="225"/>
      <c r="AF30" s="225"/>
      <c r="AG30" s="225"/>
      <c r="AH30" s="226"/>
      <c r="AI30" s="224"/>
      <c r="AJ30" s="225"/>
      <c r="AK30" s="225"/>
      <c r="AL30" s="225"/>
      <c r="AM30" s="225"/>
      <c r="AN30" s="225"/>
      <c r="AO30" s="225"/>
      <c r="AP30" s="225"/>
      <c r="AQ30" s="225"/>
      <c r="AR30" s="225"/>
      <c r="AS30" s="225"/>
      <c r="AT30" s="226"/>
      <c r="AU30" s="224"/>
      <c r="AV30" s="225"/>
      <c r="AW30" s="225"/>
      <c r="AX30" s="225"/>
      <c r="AY30" s="225"/>
      <c r="AZ30" s="225"/>
      <c r="BA30" s="225"/>
      <c r="BB30" s="225"/>
      <c r="BC30" s="225"/>
      <c r="BD30" s="225"/>
      <c r="BE30" s="225"/>
      <c r="BF30" s="232"/>
    </row>
    <row r="31" spans="2:58" ht="13" customHeight="1" x14ac:dyDescent="0.25">
      <c r="B31" s="240"/>
      <c r="C31" s="228"/>
      <c r="D31" s="228"/>
      <c r="E31" s="228"/>
      <c r="F31" s="228"/>
      <c r="G31" s="228"/>
      <c r="H31" s="228"/>
      <c r="I31" s="228"/>
      <c r="J31" s="228"/>
      <c r="K31" s="228"/>
      <c r="L31" s="185"/>
      <c r="M31" s="227"/>
      <c r="N31" s="228"/>
      <c r="O31" s="228"/>
      <c r="P31" s="228"/>
      <c r="Q31" s="228"/>
      <c r="R31" s="228"/>
      <c r="S31" s="228"/>
      <c r="T31" s="228"/>
      <c r="U31" s="228"/>
      <c r="V31" s="228"/>
      <c r="W31" s="185"/>
      <c r="X31" s="227"/>
      <c r="Y31" s="228"/>
      <c r="Z31" s="228"/>
      <c r="AA31" s="228"/>
      <c r="AB31" s="228"/>
      <c r="AC31" s="228"/>
      <c r="AD31" s="228"/>
      <c r="AE31" s="228"/>
      <c r="AF31" s="228"/>
      <c r="AG31" s="228"/>
      <c r="AH31" s="185"/>
      <c r="AI31" s="227"/>
      <c r="AJ31" s="228"/>
      <c r="AK31" s="228"/>
      <c r="AL31" s="228"/>
      <c r="AM31" s="228"/>
      <c r="AN31" s="228"/>
      <c r="AO31" s="228"/>
      <c r="AP31" s="228"/>
      <c r="AQ31" s="228"/>
      <c r="AR31" s="228"/>
      <c r="AS31" s="228"/>
      <c r="AT31" s="185"/>
      <c r="AU31" s="227"/>
      <c r="AV31" s="228"/>
      <c r="AW31" s="228"/>
      <c r="AX31" s="228"/>
      <c r="AY31" s="228"/>
      <c r="AZ31" s="228"/>
      <c r="BA31" s="228"/>
      <c r="BB31" s="228"/>
      <c r="BC31" s="228"/>
      <c r="BD31" s="228"/>
      <c r="BE31" s="228"/>
      <c r="BF31" s="233"/>
    </row>
    <row r="32" spans="2:58" ht="13" customHeight="1" x14ac:dyDescent="0.25">
      <c r="B32" s="217" t="s">
        <v>251</v>
      </c>
      <c r="C32" s="215"/>
      <c r="D32" s="215"/>
      <c r="E32" s="215"/>
      <c r="F32" s="215"/>
      <c r="G32" s="215"/>
      <c r="H32" s="215"/>
      <c r="I32" s="215"/>
      <c r="J32" s="215"/>
      <c r="K32" s="215"/>
      <c r="L32" s="186"/>
      <c r="M32" s="220" t="s">
        <v>252</v>
      </c>
      <c r="N32" s="215"/>
      <c r="O32" s="215"/>
      <c r="P32" s="215"/>
      <c r="Q32" s="215"/>
      <c r="R32" s="215"/>
      <c r="S32" s="215"/>
      <c r="T32" s="215"/>
      <c r="U32" s="215"/>
      <c r="V32" s="215"/>
      <c r="W32" s="186"/>
      <c r="X32" s="218" t="s">
        <v>253</v>
      </c>
      <c r="Y32" s="215"/>
      <c r="Z32" s="215"/>
      <c r="AA32" s="215"/>
      <c r="AB32" s="215"/>
      <c r="AC32" s="215"/>
      <c r="AD32" s="215"/>
      <c r="AE32" s="215"/>
      <c r="AF32" s="215"/>
      <c r="AG32" s="215"/>
      <c r="AH32" s="186"/>
      <c r="AI32" s="168" t="s">
        <v>254</v>
      </c>
      <c r="AJ32" s="215"/>
      <c r="AK32" s="215"/>
      <c r="AL32" s="215"/>
      <c r="AM32" s="215"/>
      <c r="AN32" s="215"/>
      <c r="AO32" s="215"/>
      <c r="AP32" s="215"/>
      <c r="AQ32" s="215"/>
      <c r="AR32" s="215"/>
      <c r="AS32" s="215"/>
      <c r="AT32" s="186"/>
      <c r="AU32" s="168" t="s">
        <v>255</v>
      </c>
      <c r="AV32" s="215"/>
      <c r="AW32" s="215"/>
      <c r="AX32" s="215"/>
      <c r="AY32" s="215"/>
      <c r="AZ32" s="215"/>
      <c r="BA32" s="215"/>
      <c r="BB32" s="215"/>
      <c r="BC32" s="215"/>
      <c r="BD32" s="215"/>
      <c r="BE32" s="215"/>
      <c r="BF32" s="219"/>
    </row>
    <row r="33" spans="2:58" ht="13" customHeight="1" x14ac:dyDescent="0.25">
      <c r="B33" s="238"/>
      <c r="C33" s="222"/>
      <c r="D33" s="222"/>
      <c r="E33" s="222"/>
      <c r="F33" s="222"/>
      <c r="G33" s="222"/>
      <c r="H33" s="222"/>
      <c r="I33" s="222"/>
      <c r="J33" s="222"/>
      <c r="K33" s="222"/>
      <c r="L33" s="223"/>
      <c r="M33" s="241"/>
      <c r="N33" s="222"/>
      <c r="O33" s="222"/>
      <c r="P33" s="222"/>
      <c r="Q33" s="222"/>
      <c r="R33" s="222"/>
      <c r="S33" s="222"/>
      <c r="T33" s="222"/>
      <c r="U33" s="222"/>
      <c r="V33" s="222"/>
      <c r="W33" s="223"/>
      <c r="X33" s="242"/>
      <c r="Y33" s="222"/>
      <c r="Z33" s="222"/>
      <c r="AA33" s="222"/>
      <c r="AB33" s="222"/>
      <c r="AC33" s="222"/>
      <c r="AD33" s="222"/>
      <c r="AE33" s="222"/>
      <c r="AF33" s="222"/>
      <c r="AG33" s="222"/>
      <c r="AH33" s="223"/>
      <c r="AI33" s="230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3"/>
      <c r="AU33" s="230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31"/>
    </row>
    <row r="34" spans="2:58" ht="13" customHeight="1" x14ac:dyDescent="0.25">
      <c r="B34" s="239"/>
      <c r="C34" s="225"/>
      <c r="D34" s="225"/>
      <c r="E34" s="225"/>
      <c r="F34" s="225"/>
      <c r="G34" s="225"/>
      <c r="H34" s="225"/>
      <c r="I34" s="225"/>
      <c r="J34" s="225"/>
      <c r="K34" s="225"/>
      <c r="L34" s="226"/>
      <c r="M34" s="224"/>
      <c r="N34" s="225"/>
      <c r="O34" s="225"/>
      <c r="P34" s="225"/>
      <c r="Q34" s="225"/>
      <c r="R34" s="225"/>
      <c r="S34" s="225"/>
      <c r="T34" s="225"/>
      <c r="U34" s="225"/>
      <c r="V34" s="225"/>
      <c r="W34" s="226"/>
      <c r="X34" s="224"/>
      <c r="Y34" s="225"/>
      <c r="Z34" s="225"/>
      <c r="AA34" s="225"/>
      <c r="AB34" s="225"/>
      <c r="AC34" s="225"/>
      <c r="AD34" s="225"/>
      <c r="AE34" s="225"/>
      <c r="AF34" s="225"/>
      <c r="AG34" s="225"/>
      <c r="AH34" s="226"/>
      <c r="AI34" s="224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6"/>
      <c r="AU34" s="224"/>
      <c r="AV34" s="225"/>
      <c r="AW34" s="225"/>
      <c r="AX34" s="225"/>
      <c r="AY34" s="225"/>
      <c r="AZ34" s="225"/>
      <c r="BA34" s="225"/>
      <c r="BB34" s="225"/>
      <c r="BC34" s="225"/>
      <c r="BD34" s="225"/>
      <c r="BE34" s="225"/>
      <c r="BF34" s="232"/>
    </row>
    <row r="35" spans="2:58" ht="13" customHeight="1" x14ac:dyDescent="0.25">
      <c r="B35" s="239"/>
      <c r="C35" s="225"/>
      <c r="D35" s="225"/>
      <c r="E35" s="225"/>
      <c r="F35" s="225"/>
      <c r="G35" s="225"/>
      <c r="H35" s="225"/>
      <c r="I35" s="225"/>
      <c r="J35" s="225"/>
      <c r="K35" s="225"/>
      <c r="L35" s="226"/>
      <c r="M35" s="224"/>
      <c r="N35" s="225"/>
      <c r="O35" s="225"/>
      <c r="P35" s="225"/>
      <c r="Q35" s="225"/>
      <c r="R35" s="225"/>
      <c r="S35" s="225"/>
      <c r="T35" s="225"/>
      <c r="U35" s="225"/>
      <c r="V35" s="225"/>
      <c r="W35" s="226"/>
      <c r="X35" s="224"/>
      <c r="Y35" s="225"/>
      <c r="Z35" s="225"/>
      <c r="AA35" s="225"/>
      <c r="AB35" s="225"/>
      <c r="AC35" s="225"/>
      <c r="AD35" s="225"/>
      <c r="AE35" s="225"/>
      <c r="AF35" s="225"/>
      <c r="AG35" s="225"/>
      <c r="AH35" s="226"/>
      <c r="AI35" s="224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6"/>
      <c r="AU35" s="224"/>
      <c r="AV35" s="225"/>
      <c r="AW35" s="225"/>
      <c r="AX35" s="225"/>
      <c r="AY35" s="225"/>
      <c r="AZ35" s="225"/>
      <c r="BA35" s="225"/>
      <c r="BB35" s="225"/>
      <c r="BC35" s="225"/>
      <c r="BD35" s="225"/>
      <c r="BE35" s="225"/>
      <c r="BF35" s="232"/>
    </row>
    <row r="36" spans="2:58" ht="13" customHeight="1" x14ac:dyDescent="0.25">
      <c r="B36" s="239"/>
      <c r="C36" s="225"/>
      <c r="D36" s="225"/>
      <c r="E36" s="225"/>
      <c r="F36" s="225"/>
      <c r="G36" s="225"/>
      <c r="H36" s="225"/>
      <c r="I36" s="225"/>
      <c r="J36" s="225"/>
      <c r="K36" s="225"/>
      <c r="L36" s="226"/>
      <c r="M36" s="224"/>
      <c r="N36" s="225"/>
      <c r="O36" s="225"/>
      <c r="P36" s="225"/>
      <c r="Q36" s="225"/>
      <c r="R36" s="225"/>
      <c r="S36" s="225"/>
      <c r="T36" s="225"/>
      <c r="U36" s="225"/>
      <c r="V36" s="225"/>
      <c r="W36" s="226"/>
      <c r="X36" s="224"/>
      <c r="Y36" s="225"/>
      <c r="Z36" s="225"/>
      <c r="AA36" s="225"/>
      <c r="AB36" s="225"/>
      <c r="AC36" s="225"/>
      <c r="AD36" s="225"/>
      <c r="AE36" s="225"/>
      <c r="AF36" s="225"/>
      <c r="AG36" s="225"/>
      <c r="AH36" s="226"/>
      <c r="AI36" s="224"/>
      <c r="AJ36" s="225"/>
      <c r="AK36" s="225"/>
      <c r="AL36" s="225"/>
      <c r="AM36" s="225"/>
      <c r="AN36" s="225"/>
      <c r="AO36" s="225"/>
      <c r="AP36" s="225"/>
      <c r="AQ36" s="225"/>
      <c r="AR36" s="225"/>
      <c r="AS36" s="225"/>
      <c r="AT36" s="226"/>
      <c r="AU36" s="224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32"/>
    </row>
    <row r="37" spans="2:58" ht="13" customHeight="1" x14ac:dyDescent="0.25">
      <c r="B37" s="239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M37" s="224"/>
      <c r="N37" s="225"/>
      <c r="O37" s="225"/>
      <c r="P37" s="225"/>
      <c r="Q37" s="225"/>
      <c r="R37" s="225"/>
      <c r="S37" s="225"/>
      <c r="T37" s="225"/>
      <c r="U37" s="225"/>
      <c r="V37" s="225"/>
      <c r="W37" s="226"/>
      <c r="X37" s="224"/>
      <c r="Y37" s="225"/>
      <c r="Z37" s="225"/>
      <c r="AA37" s="225"/>
      <c r="AB37" s="225"/>
      <c r="AC37" s="225"/>
      <c r="AD37" s="225"/>
      <c r="AE37" s="225"/>
      <c r="AF37" s="225"/>
      <c r="AG37" s="225"/>
      <c r="AH37" s="226"/>
      <c r="AI37" s="224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6"/>
      <c r="AU37" s="224"/>
      <c r="AV37" s="225"/>
      <c r="AW37" s="225"/>
      <c r="AX37" s="225"/>
      <c r="AY37" s="225"/>
      <c r="AZ37" s="225"/>
      <c r="BA37" s="225"/>
      <c r="BB37" s="225"/>
      <c r="BC37" s="225"/>
      <c r="BD37" s="225"/>
      <c r="BE37" s="225"/>
      <c r="BF37" s="232"/>
    </row>
    <row r="38" spans="2:58" ht="13" customHeight="1" x14ac:dyDescent="0.25">
      <c r="B38" s="240"/>
      <c r="C38" s="228"/>
      <c r="D38" s="228"/>
      <c r="E38" s="228"/>
      <c r="F38" s="228"/>
      <c r="G38" s="228"/>
      <c r="H38" s="228"/>
      <c r="I38" s="228"/>
      <c r="J38" s="228"/>
      <c r="K38" s="228"/>
      <c r="L38" s="185"/>
      <c r="M38" s="227"/>
      <c r="N38" s="228"/>
      <c r="O38" s="228"/>
      <c r="P38" s="228"/>
      <c r="Q38" s="228"/>
      <c r="R38" s="228"/>
      <c r="S38" s="228"/>
      <c r="T38" s="228"/>
      <c r="U38" s="228"/>
      <c r="V38" s="228"/>
      <c r="W38" s="185"/>
      <c r="X38" s="227"/>
      <c r="Y38" s="228"/>
      <c r="Z38" s="228"/>
      <c r="AA38" s="228"/>
      <c r="AB38" s="228"/>
      <c r="AC38" s="228"/>
      <c r="AD38" s="228"/>
      <c r="AE38" s="228"/>
      <c r="AF38" s="228"/>
      <c r="AG38" s="228"/>
      <c r="AH38" s="185"/>
      <c r="AI38" s="227"/>
      <c r="AJ38" s="228"/>
      <c r="AK38" s="228"/>
      <c r="AL38" s="228"/>
      <c r="AM38" s="228"/>
      <c r="AN38" s="228"/>
      <c r="AO38" s="228"/>
      <c r="AP38" s="228"/>
      <c r="AQ38" s="228"/>
      <c r="AR38" s="228"/>
      <c r="AS38" s="228"/>
      <c r="AT38" s="185"/>
      <c r="AU38" s="227"/>
      <c r="AV38" s="228"/>
      <c r="AW38" s="228"/>
      <c r="AX38" s="228"/>
      <c r="AY38" s="228"/>
      <c r="AZ38" s="228"/>
      <c r="BA38" s="228"/>
      <c r="BB38" s="228"/>
      <c r="BC38" s="228"/>
      <c r="BD38" s="228"/>
      <c r="BE38" s="228"/>
      <c r="BF38" s="233"/>
    </row>
    <row r="39" spans="2:58" ht="13" customHeight="1" x14ac:dyDescent="0.25">
      <c r="B39" s="217" t="s">
        <v>256</v>
      </c>
      <c r="C39" s="215"/>
      <c r="D39" s="215"/>
      <c r="E39" s="215"/>
      <c r="F39" s="215"/>
      <c r="G39" s="215"/>
      <c r="H39" s="215"/>
      <c r="I39" s="215"/>
      <c r="J39" s="215"/>
      <c r="K39" s="215"/>
      <c r="L39" s="186"/>
      <c r="M39" s="220" t="s">
        <v>257</v>
      </c>
      <c r="N39" s="215"/>
      <c r="O39" s="215"/>
      <c r="P39" s="215"/>
      <c r="Q39" s="215"/>
      <c r="R39" s="215"/>
      <c r="S39" s="215"/>
      <c r="T39" s="215"/>
      <c r="U39" s="215"/>
      <c r="V39" s="215"/>
      <c r="W39" s="186"/>
      <c r="X39" s="218" t="s">
        <v>258</v>
      </c>
      <c r="Y39" s="215"/>
      <c r="Z39" s="215"/>
      <c r="AA39" s="215"/>
      <c r="AB39" s="215"/>
      <c r="AC39" s="215"/>
      <c r="AD39" s="215"/>
      <c r="AE39" s="215"/>
      <c r="AF39" s="215"/>
      <c r="AG39" s="215"/>
      <c r="AH39" s="186"/>
      <c r="AI39" s="168" t="s">
        <v>259</v>
      </c>
      <c r="AJ39" s="215"/>
      <c r="AK39" s="215"/>
      <c r="AL39" s="215"/>
      <c r="AM39" s="215"/>
      <c r="AN39" s="215"/>
      <c r="AO39" s="215"/>
      <c r="AP39" s="215"/>
      <c r="AQ39" s="215"/>
      <c r="AR39" s="215"/>
      <c r="AS39" s="215"/>
      <c r="AT39" s="186"/>
      <c r="AU39" s="168" t="s">
        <v>260</v>
      </c>
      <c r="AV39" s="215"/>
      <c r="AW39" s="215"/>
      <c r="AX39" s="215"/>
      <c r="AY39" s="215"/>
      <c r="AZ39" s="215"/>
      <c r="BA39" s="215"/>
      <c r="BB39" s="215"/>
      <c r="BC39" s="215"/>
      <c r="BD39" s="215"/>
      <c r="BE39" s="215"/>
      <c r="BF39" s="219"/>
    </row>
    <row r="40" spans="2:58" ht="13" customHeight="1" x14ac:dyDescent="0.25">
      <c r="B40" s="238"/>
      <c r="C40" s="222"/>
      <c r="D40" s="222"/>
      <c r="E40" s="222"/>
      <c r="F40" s="222"/>
      <c r="G40" s="222"/>
      <c r="H40" s="222"/>
      <c r="I40" s="222"/>
      <c r="J40" s="222"/>
      <c r="K40" s="222"/>
      <c r="L40" s="223"/>
      <c r="M40" s="241"/>
      <c r="N40" s="222"/>
      <c r="O40" s="222"/>
      <c r="P40" s="222"/>
      <c r="Q40" s="222"/>
      <c r="R40" s="222"/>
      <c r="S40" s="222"/>
      <c r="T40" s="222"/>
      <c r="U40" s="222"/>
      <c r="V40" s="222"/>
      <c r="W40" s="223"/>
      <c r="X40" s="242"/>
      <c r="Y40" s="222"/>
      <c r="Z40" s="222"/>
      <c r="AA40" s="222"/>
      <c r="AB40" s="222"/>
      <c r="AC40" s="222"/>
      <c r="AD40" s="222"/>
      <c r="AE40" s="222"/>
      <c r="AF40" s="222"/>
      <c r="AG40" s="222"/>
      <c r="AH40" s="223"/>
      <c r="AI40" s="230"/>
      <c r="AJ40" s="222"/>
      <c r="AK40" s="222"/>
      <c r="AL40" s="222"/>
      <c r="AM40" s="222"/>
      <c r="AN40" s="222"/>
      <c r="AO40" s="222"/>
      <c r="AP40" s="222"/>
      <c r="AQ40" s="222"/>
      <c r="AR40" s="222"/>
      <c r="AS40" s="222"/>
      <c r="AT40" s="223"/>
      <c r="AU40" s="230"/>
      <c r="AV40" s="222"/>
      <c r="AW40" s="222"/>
      <c r="AX40" s="222"/>
      <c r="AY40" s="222"/>
      <c r="AZ40" s="222"/>
      <c r="BA40" s="222"/>
      <c r="BB40" s="222"/>
      <c r="BC40" s="222"/>
      <c r="BD40" s="222"/>
      <c r="BE40" s="222"/>
      <c r="BF40" s="231"/>
    </row>
    <row r="41" spans="2:58" ht="13" customHeight="1" x14ac:dyDescent="0.25">
      <c r="B41" s="239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24"/>
      <c r="N41" s="225"/>
      <c r="O41" s="225"/>
      <c r="P41" s="225"/>
      <c r="Q41" s="225"/>
      <c r="R41" s="225"/>
      <c r="S41" s="225"/>
      <c r="T41" s="225"/>
      <c r="U41" s="225"/>
      <c r="V41" s="225"/>
      <c r="W41" s="226"/>
      <c r="X41" s="224"/>
      <c r="Y41" s="225"/>
      <c r="Z41" s="225"/>
      <c r="AA41" s="225"/>
      <c r="AB41" s="225"/>
      <c r="AC41" s="225"/>
      <c r="AD41" s="225"/>
      <c r="AE41" s="225"/>
      <c r="AF41" s="225"/>
      <c r="AG41" s="225"/>
      <c r="AH41" s="226"/>
      <c r="AI41" s="224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6"/>
      <c r="AU41" s="224"/>
      <c r="AV41" s="225"/>
      <c r="AW41" s="225"/>
      <c r="AX41" s="225"/>
      <c r="AY41" s="225"/>
      <c r="AZ41" s="225"/>
      <c r="BA41" s="225"/>
      <c r="BB41" s="225"/>
      <c r="BC41" s="225"/>
      <c r="BD41" s="225"/>
      <c r="BE41" s="225"/>
      <c r="BF41" s="232"/>
    </row>
    <row r="42" spans="2:58" ht="13" customHeight="1" x14ac:dyDescent="0.25">
      <c r="B42" s="239"/>
      <c r="C42" s="225"/>
      <c r="D42" s="225"/>
      <c r="E42" s="225"/>
      <c r="F42" s="225"/>
      <c r="G42" s="225"/>
      <c r="H42" s="225"/>
      <c r="I42" s="225"/>
      <c r="J42" s="225"/>
      <c r="K42" s="225"/>
      <c r="L42" s="226"/>
      <c r="M42" s="224"/>
      <c r="N42" s="225"/>
      <c r="O42" s="225"/>
      <c r="P42" s="225"/>
      <c r="Q42" s="225"/>
      <c r="R42" s="225"/>
      <c r="S42" s="225"/>
      <c r="T42" s="225"/>
      <c r="U42" s="225"/>
      <c r="V42" s="225"/>
      <c r="W42" s="226"/>
      <c r="X42" s="224"/>
      <c r="Y42" s="225"/>
      <c r="Z42" s="225"/>
      <c r="AA42" s="225"/>
      <c r="AB42" s="225"/>
      <c r="AC42" s="225"/>
      <c r="AD42" s="225"/>
      <c r="AE42" s="225"/>
      <c r="AF42" s="225"/>
      <c r="AG42" s="225"/>
      <c r="AH42" s="226"/>
      <c r="AI42" s="224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6"/>
      <c r="AU42" s="224"/>
      <c r="AV42" s="225"/>
      <c r="AW42" s="225"/>
      <c r="AX42" s="225"/>
      <c r="AY42" s="225"/>
      <c r="AZ42" s="225"/>
      <c r="BA42" s="225"/>
      <c r="BB42" s="225"/>
      <c r="BC42" s="225"/>
      <c r="BD42" s="225"/>
      <c r="BE42" s="225"/>
      <c r="BF42" s="232"/>
    </row>
    <row r="43" spans="2:58" ht="13" customHeight="1" x14ac:dyDescent="0.25">
      <c r="B43" s="239"/>
      <c r="C43" s="225"/>
      <c r="D43" s="225"/>
      <c r="E43" s="225"/>
      <c r="F43" s="225"/>
      <c r="G43" s="225"/>
      <c r="H43" s="225"/>
      <c r="I43" s="225"/>
      <c r="J43" s="225"/>
      <c r="K43" s="225"/>
      <c r="L43" s="226"/>
      <c r="M43" s="224"/>
      <c r="N43" s="225"/>
      <c r="O43" s="225"/>
      <c r="P43" s="225"/>
      <c r="Q43" s="225"/>
      <c r="R43" s="225"/>
      <c r="S43" s="225"/>
      <c r="T43" s="225"/>
      <c r="U43" s="225"/>
      <c r="V43" s="225"/>
      <c r="W43" s="226"/>
      <c r="X43" s="224"/>
      <c r="Y43" s="225"/>
      <c r="Z43" s="225"/>
      <c r="AA43" s="225"/>
      <c r="AB43" s="225"/>
      <c r="AC43" s="225"/>
      <c r="AD43" s="225"/>
      <c r="AE43" s="225"/>
      <c r="AF43" s="225"/>
      <c r="AG43" s="225"/>
      <c r="AH43" s="226"/>
      <c r="AI43" s="224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6"/>
      <c r="AU43" s="224"/>
      <c r="AV43" s="225"/>
      <c r="AW43" s="225"/>
      <c r="AX43" s="225"/>
      <c r="AY43" s="225"/>
      <c r="AZ43" s="225"/>
      <c r="BA43" s="225"/>
      <c r="BB43" s="225"/>
      <c r="BC43" s="225"/>
      <c r="BD43" s="225"/>
      <c r="BE43" s="225"/>
      <c r="BF43" s="232"/>
    </row>
    <row r="44" spans="2:58" ht="13" customHeight="1" x14ac:dyDescent="0.25">
      <c r="B44" s="239"/>
      <c r="C44" s="225"/>
      <c r="D44" s="225"/>
      <c r="E44" s="225"/>
      <c r="F44" s="225"/>
      <c r="G44" s="225"/>
      <c r="H44" s="225"/>
      <c r="I44" s="225"/>
      <c r="J44" s="225"/>
      <c r="K44" s="225"/>
      <c r="L44" s="226"/>
      <c r="M44" s="224"/>
      <c r="N44" s="225"/>
      <c r="O44" s="225"/>
      <c r="P44" s="225"/>
      <c r="Q44" s="225"/>
      <c r="R44" s="225"/>
      <c r="S44" s="225"/>
      <c r="T44" s="225"/>
      <c r="U44" s="225"/>
      <c r="V44" s="225"/>
      <c r="W44" s="226"/>
      <c r="X44" s="224"/>
      <c r="Y44" s="225"/>
      <c r="Z44" s="225"/>
      <c r="AA44" s="225"/>
      <c r="AB44" s="225"/>
      <c r="AC44" s="225"/>
      <c r="AD44" s="225"/>
      <c r="AE44" s="225"/>
      <c r="AF44" s="225"/>
      <c r="AG44" s="225"/>
      <c r="AH44" s="226"/>
      <c r="AI44" s="224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6"/>
      <c r="AU44" s="224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32"/>
    </row>
    <row r="45" spans="2:58" ht="13" customHeight="1" x14ac:dyDescent="0.25">
      <c r="B45" s="240"/>
      <c r="C45" s="228"/>
      <c r="D45" s="228"/>
      <c r="E45" s="228"/>
      <c r="F45" s="228"/>
      <c r="G45" s="228"/>
      <c r="H45" s="228"/>
      <c r="I45" s="228"/>
      <c r="J45" s="228"/>
      <c r="K45" s="228"/>
      <c r="L45" s="185"/>
      <c r="M45" s="227"/>
      <c r="N45" s="228"/>
      <c r="O45" s="228"/>
      <c r="P45" s="228"/>
      <c r="Q45" s="228"/>
      <c r="R45" s="228"/>
      <c r="S45" s="228"/>
      <c r="T45" s="228"/>
      <c r="U45" s="228"/>
      <c r="V45" s="228"/>
      <c r="W45" s="185"/>
      <c r="X45" s="227"/>
      <c r="Y45" s="228"/>
      <c r="Z45" s="228"/>
      <c r="AA45" s="228"/>
      <c r="AB45" s="228"/>
      <c r="AC45" s="228"/>
      <c r="AD45" s="228"/>
      <c r="AE45" s="228"/>
      <c r="AF45" s="228"/>
      <c r="AG45" s="228"/>
      <c r="AH45" s="185"/>
      <c r="AI45" s="227"/>
      <c r="AJ45" s="228"/>
      <c r="AK45" s="228"/>
      <c r="AL45" s="228"/>
      <c r="AM45" s="228"/>
      <c r="AN45" s="228"/>
      <c r="AO45" s="228"/>
      <c r="AP45" s="228"/>
      <c r="AQ45" s="228"/>
      <c r="AR45" s="228"/>
      <c r="AS45" s="228"/>
      <c r="AT45" s="185"/>
      <c r="AU45" s="227"/>
      <c r="AV45" s="228"/>
      <c r="AW45" s="228"/>
      <c r="AX45" s="228"/>
      <c r="AY45" s="228"/>
      <c r="AZ45" s="228"/>
      <c r="BA45" s="228"/>
      <c r="BB45" s="228"/>
      <c r="BC45" s="228"/>
      <c r="BD45" s="228"/>
      <c r="BE45" s="228"/>
      <c r="BF45" s="233"/>
    </row>
    <row r="46" spans="2:58" ht="13" customHeight="1" x14ac:dyDescent="0.25">
      <c r="B46" s="217" t="s">
        <v>261</v>
      </c>
      <c r="C46" s="215"/>
      <c r="D46" s="215"/>
      <c r="E46" s="215"/>
      <c r="F46" s="215"/>
      <c r="G46" s="215"/>
      <c r="H46" s="215"/>
      <c r="I46" s="215"/>
      <c r="J46" s="215"/>
      <c r="K46" s="215"/>
      <c r="L46" s="186"/>
      <c r="M46" s="192" t="s">
        <v>262</v>
      </c>
      <c r="N46" s="215"/>
      <c r="O46" s="215"/>
      <c r="P46" s="215"/>
      <c r="Q46" s="215"/>
      <c r="R46" s="215"/>
      <c r="S46" s="215"/>
      <c r="T46" s="215"/>
      <c r="U46" s="215"/>
      <c r="V46" s="215"/>
      <c r="W46" s="186"/>
      <c r="X46" s="218" t="s">
        <v>263</v>
      </c>
      <c r="Y46" s="215"/>
      <c r="Z46" s="215"/>
      <c r="AA46" s="215"/>
      <c r="AB46" s="215"/>
      <c r="AC46" s="215"/>
      <c r="AD46" s="215"/>
      <c r="AE46" s="215"/>
      <c r="AF46" s="215"/>
      <c r="AG46" s="215"/>
      <c r="AH46" s="186"/>
      <c r="AI46" s="168" t="s">
        <v>264</v>
      </c>
      <c r="AJ46" s="215"/>
      <c r="AK46" s="215"/>
      <c r="AL46" s="215"/>
      <c r="AM46" s="215"/>
      <c r="AN46" s="215"/>
      <c r="AO46" s="215"/>
      <c r="AP46" s="215"/>
      <c r="AQ46" s="215"/>
      <c r="AR46" s="215"/>
      <c r="AS46" s="215"/>
      <c r="AT46" s="186"/>
      <c r="AU46" s="168" t="s">
        <v>265</v>
      </c>
      <c r="AV46" s="215"/>
      <c r="AW46" s="215"/>
      <c r="AX46" s="215"/>
      <c r="AY46" s="215"/>
      <c r="AZ46" s="215"/>
      <c r="BA46" s="215"/>
      <c r="BB46" s="215"/>
      <c r="BC46" s="215"/>
      <c r="BD46" s="215"/>
      <c r="BE46" s="215"/>
      <c r="BF46" s="219"/>
    </row>
    <row r="47" spans="2:58" ht="13" customHeight="1" x14ac:dyDescent="0.25">
      <c r="B47" s="238"/>
      <c r="C47" s="222"/>
      <c r="D47" s="222"/>
      <c r="E47" s="222"/>
      <c r="F47" s="222"/>
      <c r="G47" s="222"/>
      <c r="H47" s="222"/>
      <c r="I47" s="222"/>
      <c r="J47" s="222"/>
      <c r="K47" s="222"/>
      <c r="L47" s="223"/>
      <c r="M47" s="241"/>
      <c r="N47" s="222"/>
      <c r="O47" s="222"/>
      <c r="P47" s="222"/>
      <c r="Q47" s="222"/>
      <c r="R47" s="222"/>
      <c r="S47" s="222"/>
      <c r="T47" s="222"/>
      <c r="U47" s="222"/>
      <c r="V47" s="222"/>
      <c r="W47" s="223"/>
      <c r="X47" s="242"/>
      <c r="Y47" s="222"/>
      <c r="Z47" s="222"/>
      <c r="AA47" s="222"/>
      <c r="AB47" s="222"/>
      <c r="AC47" s="222"/>
      <c r="AD47" s="222"/>
      <c r="AE47" s="222"/>
      <c r="AF47" s="222"/>
      <c r="AG47" s="222"/>
      <c r="AH47" s="223"/>
      <c r="AI47" s="230"/>
      <c r="AJ47" s="222"/>
      <c r="AK47" s="222"/>
      <c r="AL47" s="222"/>
      <c r="AM47" s="222"/>
      <c r="AN47" s="222"/>
      <c r="AO47" s="222"/>
      <c r="AP47" s="222"/>
      <c r="AQ47" s="222"/>
      <c r="AR47" s="222"/>
      <c r="AS47" s="222"/>
      <c r="AT47" s="223"/>
      <c r="AU47" s="230"/>
      <c r="AV47" s="222"/>
      <c r="AW47" s="222"/>
      <c r="AX47" s="222"/>
      <c r="AY47" s="222"/>
      <c r="AZ47" s="222"/>
      <c r="BA47" s="222"/>
      <c r="BB47" s="222"/>
      <c r="BC47" s="222"/>
      <c r="BD47" s="222"/>
      <c r="BE47" s="222"/>
      <c r="BF47" s="231"/>
    </row>
    <row r="48" spans="2:58" ht="13" customHeight="1" x14ac:dyDescent="0.25">
      <c r="B48" s="239"/>
      <c r="C48" s="225"/>
      <c r="D48" s="225"/>
      <c r="E48" s="225"/>
      <c r="F48" s="225"/>
      <c r="G48" s="225"/>
      <c r="H48" s="225"/>
      <c r="I48" s="225"/>
      <c r="J48" s="225"/>
      <c r="K48" s="225"/>
      <c r="L48" s="226"/>
      <c r="M48" s="224"/>
      <c r="N48" s="225"/>
      <c r="O48" s="225"/>
      <c r="P48" s="225"/>
      <c r="Q48" s="225"/>
      <c r="R48" s="225"/>
      <c r="S48" s="225"/>
      <c r="T48" s="225"/>
      <c r="U48" s="225"/>
      <c r="V48" s="225"/>
      <c r="W48" s="226"/>
      <c r="X48" s="224"/>
      <c r="Y48" s="225"/>
      <c r="Z48" s="225"/>
      <c r="AA48" s="225"/>
      <c r="AB48" s="225"/>
      <c r="AC48" s="225"/>
      <c r="AD48" s="225"/>
      <c r="AE48" s="225"/>
      <c r="AF48" s="225"/>
      <c r="AG48" s="225"/>
      <c r="AH48" s="226"/>
      <c r="AI48" s="224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6"/>
      <c r="AU48" s="224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32"/>
    </row>
    <row r="49" spans="2:58" ht="13" customHeight="1" x14ac:dyDescent="0.25">
      <c r="B49" s="239"/>
      <c r="C49" s="225"/>
      <c r="D49" s="225"/>
      <c r="E49" s="225"/>
      <c r="F49" s="225"/>
      <c r="G49" s="225"/>
      <c r="H49" s="225"/>
      <c r="I49" s="225"/>
      <c r="J49" s="225"/>
      <c r="K49" s="225"/>
      <c r="L49" s="226"/>
      <c r="M49" s="224"/>
      <c r="N49" s="225"/>
      <c r="O49" s="225"/>
      <c r="P49" s="225"/>
      <c r="Q49" s="225"/>
      <c r="R49" s="225"/>
      <c r="S49" s="225"/>
      <c r="T49" s="225"/>
      <c r="U49" s="225"/>
      <c r="V49" s="225"/>
      <c r="W49" s="226"/>
      <c r="X49" s="224"/>
      <c r="Y49" s="225"/>
      <c r="Z49" s="225"/>
      <c r="AA49" s="225"/>
      <c r="AB49" s="225"/>
      <c r="AC49" s="225"/>
      <c r="AD49" s="225"/>
      <c r="AE49" s="225"/>
      <c r="AF49" s="225"/>
      <c r="AG49" s="225"/>
      <c r="AH49" s="226"/>
      <c r="AI49" s="224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6"/>
      <c r="AU49" s="224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32"/>
    </row>
    <row r="50" spans="2:58" ht="13" customHeight="1" x14ac:dyDescent="0.25">
      <c r="B50" s="239"/>
      <c r="C50" s="225"/>
      <c r="D50" s="225"/>
      <c r="E50" s="225"/>
      <c r="F50" s="225"/>
      <c r="G50" s="225"/>
      <c r="H50" s="225"/>
      <c r="I50" s="225"/>
      <c r="J50" s="225"/>
      <c r="K50" s="225"/>
      <c r="L50" s="226"/>
      <c r="M50" s="224"/>
      <c r="N50" s="225"/>
      <c r="O50" s="225"/>
      <c r="P50" s="225"/>
      <c r="Q50" s="225"/>
      <c r="R50" s="225"/>
      <c r="S50" s="225"/>
      <c r="T50" s="225"/>
      <c r="U50" s="225"/>
      <c r="V50" s="225"/>
      <c r="W50" s="226"/>
      <c r="X50" s="224"/>
      <c r="Y50" s="225"/>
      <c r="Z50" s="225"/>
      <c r="AA50" s="225"/>
      <c r="AB50" s="225"/>
      <c r="AC50" s="225"/>
      <c r="AD50" s="225"/>
      <c r="AE50" s="225"/>
      <c r="AF50" s="225"/>
      <c r="AG50" s="225"/>
      <c r="AH50" s="226"/>
      <c r="AI50" s="224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6"/>
      <c r="AU50" s="224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32"/>
    </row>
    <row r="51" spans="2:58" ht="13" customHeight="1" x14ac:dyDescent="0.25">
      <c r="B51" s="239"/>
      <c r="C51" s="225"/>
      <c r="D51" s="225"/>
      <c r="E51" s="225"/>
      <c r="F51" s="225"/>
      <c r="G51" s="225"/>
      <c r="H51" s="225"/>
      <c r="I51" s="225"/>
      <c r="J51" s="225"/>
      <c r="K51" s="225"/>
      <c r="L51" s="226"/>
      <c r="M51" s="224"/>
      <c r="N51" s="225"/>
      <c r="O51" s="225"/>
      <c r="P51" s="225"/>
      <c r="Q51" s="225"/>
      <c r="R51" s="225"/>
      <c r="S51" s="225"/>
      <c r="T51" s="225"/>
      <c r="U51" s="225"/>
      <c r="V51" s="225"/>
      <c r="W51" s="226"/>
      <c r="X51" s="224"/>
      <c r="Y51" s="225"/>
      <c r="Z51" s="225"/>
      <c r="AA51" s="225"/>
      <c r="AB51" s="225"/>
      <c r="AC51" s="225"/>
      <c r="AD51" s="225"/>
      <c r="AE51" s="225"/>
      <c r="AF51" s="225"/>
      <c r="AG51" s="225"/>
      <c r="AH51" s="226"/>
      <c r="AI51" s="224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6"/>
      <c r="AU51" s="224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32"/>
    </row>
    <row r="52" spans="2:58" ht="13" customHeight="1" x14ac:dyDescent="0.25">
      <c r="B52" s="240"/>
      <c r="C52" s="228"/>
      <c r="D52" s="228"/>
      <c r="E52" s="228"/>
      <c r="F52" s="228"/>
      <c r="G52" s="228"/>
      <c r="H52" s="228"/>
      <c r="I52" s="228"/>
      <c r="J52" s="228"/>
      <c r="K52" s="228"/>
      <c r="L52" s="185"/>
      <c r="M52" s="227"/>
      <c r="N52" s="228"/>
      <c r="O52" s="228"/>
      <c r="P52" s="228"/>
      <c r="Q52" s="228"/>
      <c r="R52" s="228"/>
      <c r="S52" s="228"/>
      <c r="T52" s="228"/>
      <c r="U52" s="228"/>
      <c r="V52" s="228"/>
      <c r="W52" s="185"/>
      <c r="X52" s="227"/>
      <c r="Y52" s="228"/>
      <c r="Z52" s="228"/>
      <c r="AA52" s="228"/>
      <c r="AB52" s="228"/>
      <c r="AC52" s="228"/>
      <c r="AD52" s="228"/>
      <c r="AE52" s="228"/>
      <c r="AF52" s="228"/>
      <c r="AG52" s="228"/>
      <c r="AH52" s="185"/>
      <c r="AI52" s="227"/>
      <c r="AJ52" s="228"/>
      <c r="AK52" s="228"/>
      <c r="AL52" s="228"/>
      <c r="AM52" s="228"/>
      <c r="AN52" s="228"/>
      <c r="AO52" s="228"/>
      <c r="AP52" s="228"/>
      <c r="AQ52" s="228"/>
      <c r="AR52" s="228"/>
      <c r="AS52" s="228"/>
      <c r="AT52" s="185"/>
      <c r="AU52" s="227"/>
      <c r="AV52" s="228"/>
      <c r="AW52" s="228"/>
      <c r="AX52" s="228"/>
      <c r="AY52" s="228"/>
      <c r="AZ52" s="228"/>
      <c r="BA52" s="228"/>
      <c r="BB52" s="228"/>
      <c r="BC52" s="228"/>
      <c r="BD52" s="228"/>
      <c r="BE52" s="228"/>
      <c r="BF52" s="233"/>
    </row>
    <row r="53" spans="2:58" ht="13" customHeight="1" x14ac:dyDescent="0.25">
      <c r="B53" s="217" t="s">
        <v>266</v>
      </c>
      <c r="C53" s="215"/>
      <c r="D53" s="215"/>
      <c r="E53" s="215"/>
      <c r="F53" s="215"/>
      <c r="G53" s="215"/>
      <c r="H53" s="215"/>
      <c r="I53" s="215"/>
      <c r="J53" s="215"/>
      <c r="K53" s="215"/>
      <c r="L53" s="186"/>
      <c r="M53" s="220" t="s">
        <v>267</v>
      </c>
      <c r="N53" s="215"/>
      <c r="O53" s="215"/>
      <c r="P53" s="215"/>
      <c r="Q53" s="215"/>
      <c r="R53" s="215"/>
      <c r="S53" s="215"/>
      <c r="T53" s="215"/>
      <c r="U53" s="215"/>
      <c r="V53" s="215"/>
      <c r="W53" s="186"/>
      <c r="X53" s="218" t="s">
        <v>268</v>
      </c>
      <c r="Y53" s="215"/>
      <c r="Z53" s="215"/>
      <c r="AA53" s="215"/>
      <c r="AB53" s="215"/>
      <c r="AC53" s="215"/>
      <c r="AD53" s="215"/>
      <c r="AE53" s="215"/>
      <c r="AF53" s="215"/>
      <c r="AG53" s="215"/>
      <c r="AH53" s="186"/>
      <c r="AI53" s="168" t="s">
        <v>269</v>
      </c>
      <c r="AJ53" s="215"/>
      <c r="AK53" s="215"/>
      <c r="AL53" s="215"/>
      <c r="AM53" s="215"/>
      <c r="AN53" s="215"/>
      <c r="AO53" s="215"/>
      <c r="AP53" s="215"/>
      <c r="AQ53" s="215"/>
      <c r="AR53" s="215"/>
      <c r="AS53" s="215"/>
      <c r="AT53" s="186"/>
      <c r="AU53" s="168" t="s">
        <v>270</v>
      </c>
      <c r="AV53" s="215"/>
      <c r="AW53" s="215"/>
      <c r="AX53" s="215"/>
      <c r="AY53" s="215"/>
      <c r="AZ53" s="215"/>
      <c r="BA53" s="215"/>
      <c r="BB53" s="215"/>
      <c r="BC53" s="215"/>
      <c r="BD53" s="215"/>
      <c r="BE53" s="215"/>
      <c r="BF53" s="219"/>
    </row>
    <row r="54" spans="2:58" ht="13" customHeight="1" x14ac:dyDescent="0.25">
      <c r="B54" s="238"/>
      <c r="C54" s="222"/>
      <c r="D54" s="222"/>
      <c r="E54" s="222"/>
      <c r="F54" s="222"/>
      <c r="G54" s="222"/>
      <c r="H54" s="222"/>
      <c r="I54" s="222"/>
      <c r="J54" s="222"/>
      <c r="K54" s="222"/>
      <c r="L54" s="223"/>
      <c r="M54" s="246"/>
      <c r="N54" s="222"/>
      <c r="O54" s="222"/>
      <c r="P54" s="222"/>
      <c r="Q54" s="222"/>
      <c r="R54" s="222"/>
      <c r="S54" s="222"/>
      <c r="T54" s="222"/>
      <c r="U54" s="222"/>
      <c r="V54" s="222"/>
      <c r="W54" s="223"/>
      <c r="X54" s="242"/>
      <c r="Y54" s="222"/>
      <c r="Z54" s="222"/>
      <c r="AA54" s="222"/>
      <c r="AB54" s="222"/>
      <c r="AC54" s="222"/>
      <c r="AD54" s="222"/>
      <c r="AE54" s="222"/>
      <c r="AF54" s="222"/>
      <c r="AG54" s="222"/>
      <c r="AH54" s="223"/>
      <c r="AI54" s="230"/>
      <c r="AJ54" s="222"/>
      <c r="AK54" s="222"/>
      <c r="AL54" s="222"/>
      <c r="AM54" s="222"/>
      <c r="AN54" s="222"/>
      <c r="AO54" s="222"/>
      <c r="AP54" s="222"/>
      <c r="AQ54" s="222"/>
      <c r="AR54" s="222"/>
      <c r="AS54" s="222"/>
      <c r="AT54" s="223"/>
      <c r="AU54" s="230"/>
      <c r="AV54" s="222"/>
      <c r="AW54" s="222"/>
      <c r="AX54" s="222"/>
      <c r="AY54" s="222"/>
      <c r="AZ54" s="222"/>
      <c r="BA54" s="222"/>
      <c r="BB54" s="222"/>
      <c r="BC54" s="222"/>
      <c r="BD54" s="222"/>
      <c r="BE54" s="222"/>
      <c r="BF54" s="231"/>
    </row>
    <row r="55" spans="2:58" ht="13" customHeight="1" x14ac:dyDescent="0.25">
      <c r="B55" s="239"/>
      <c r="C55" s="225"/>
      <c r="D55" s="225"/>
      <c r="E55" s="225"/>
      <c r="F55" s="225"/>
      <c r="G55" s="225"/>
      <c r="H55" s="225"/>
      <c r="I55" s="225"/>
      <c r="J55" s="225"/>
      <c r="K55" s="225"/>
      <c r="L55" s="226"/>
      <c r="M55" s="224"/>
      <c r="N55" s="225"/>
      <c r="O55" s="225"/>
      <c r="P55" s="225"/>
      <c r="Q55" s="225"/>
      <c r="R55" s="225"/>
      <c r="S55" s="225"/>
      <c r="T55" s="225"/>
      <c r="U55" s="225"/>
      <c r="V55" s="225"/>
      <c r="W55" s="226"/>
      <c r="X55" s="224"/>
      <c r="Y55" s="225"/>
      <c r="Z55" s="225"/>
      <c r="AA55" s="225"/>
      <c r="AB55" s="225"/>
      <c r="AC55" s="225"/>
      <c r="AD55" s="225"/>
      <c r="AE55" s="225"/>
      <c r="AF55" s="225"/>
      <c r="AG55" s="225"/>
      <c r="AH55" s="226"/>
      <c r="AI55" s="224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6"/>
      <c r="AU55" s="224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32"/>
    </row>
    <row r="56" spans="2:58" ht="13" customHeight="1" x14ac:dyDescent="0.25">
      <c r="B56" s="239"/>
      <c r="C56" s="225"/>
      <c r="D56" s="225"/>
      <c r="E56" s="225"/>
      <c r="F56" s="225"/>
      <c r="G56" s="225"/>
      <c r="H56" s="225"/>
      <c r="I56" s="225"/>
      <c r="J56" s="225"/>
      <c r="K56" s="225"/>
      <c r="L56" s="226"/>
      <c r="M56" s="224"/>
      <c r="N56" s="225"/>
      <c r="O56" s="225"/>
      <c r="P56" s="225"/>
      <c r="Q56" s="225"/>
      <c r="R56" s="225"/>
      <c r="S56" s="225"/>
      <c r="T56" s="225"/>
      <c r="U56" s="225"/>
      <c r="V56" s="225"/>
      <c r="W56" s="226"/>
      <c r="X56" s="224"/>
      <c r="Y56" s="225"/>
      <c r="Z56" s="225"/>
      <c r="AA56" s="225"/>
      <c r="AB56" s="225"/>
      <c r="AC56" s="225"/>
      <c r="AD56" s="225"/>
      <c r="AE56" s="225"/>
      <c r="AF56" s="225"/>
      <c r="AG56" s="225"/>
      <c r="AH56" s="226"/>
      <c r="AI56" s="224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6"/>
      <c r="AU56" s="224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32"/>
    </row>
    <row r="57" spans="2:58" ht="13" customHeight="1" x14ac:dyDescent="0.25">
      <c r="B57" s="239"/>
      <c r="C57" s="225"/>
      <c r="D57" s="225"/>
      <c r="E57" s="225"/>
      <c r="F57" s="225"/>
      <c r="G57" s="225"/>
      <c r="H57" s="225"/>
      <c r="I57" s="225"/>
      <c r="J57" s="225"/>
      <c r="K57" s="225"/>
      <c r="L57" s="226"/>
      <c r="M57" s="224"/>
      <c r="N57" s="225"/>
      <c r="O57" s="225"/>
      <c r="P57" s="225"/>
      <c r="Q57" s="225"/>
      <c r="R57" s="225"/>
      <c r="S57" s="225"/>
      <c r="T57" s="225"/>
      <c r="U57" s="225"/>
      <c r="V57" s="225"/>
      <c r="W57" s="226"/>
      <c r="X57" s="224"/>
      <c r="Y57" s="225"/>
      <c r="Z57" s="225"/>
      <c r="AA57" s="225"/>
      <c r="AB57" s="225"/>
      <c r="AC57" s="225"/>
      <c r="AD57" s="225"/>
      <c r="AE57" s="225"/>
      <c r="AF57" s="225"/>
      <c r="AG57" s="225"/>
      <c r="AH57" s="226"/>
      <c r="AI57" s="224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6"/>
      <c r="AU57" s="224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32"/>
    </row>
    <row r="58" spans="2:58" ht="13" customHeight="1" x14ac:dyDescent="0.25">
      <c r="B58" s="239"/>
      <c r="C58" s="225"/>
      <c r="D58" s="225"/>
      <c r="E58" s="225"/>
      <c r="F58" s="225"/>
      <c r="G58" s="225"/>
      <c r="H58" s="225"/>
      <c r="I58" s="225"/>
      <c r="J58" s="225"/>
      <c r="K58" s="225"/>
      <c r="L58" s="226"/>
      <c r="M58" s="224"/>
      <c r="N58" s="225"/>
      <c r="O58" s="225"/>
      <c r="P58" s="225"/>
      <c r="Q58" s="225"/>
      <c r="R58" s="225"/>
      <c r="S58" s="225"/>
      <c r="T58" s="225"/>
      <c r="U58" s="225"/>
      <c r="V58" s="225"/>
      <c r="W58" s="226"/>
      <c r="X58" s="224"/>
      <c r="Y58" s="225"/>
      <c r="Z58" s="225"/>
      <c r="AA58" s="225"/>
      <c r="AB58" s="225"/>
      <c r="AC58" s="225"/>
      <c r="AD58" s="225"/>
      <c r="AE58" s="225"/>
      <c r="AF58" s="225"/>
      <c r="AG58" s="225"/>
      <c r="AH58" s="226"/>
      <c r="AI58" s="224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6"/>
      <c r="AU58" s="224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32"/>
    </row>
    <row r="59" spans="2:58" ht="13" customHeight="1" x14ac:dyDescent="0.25">
      <c r="B59" s="243"/>
      <c r="C59" s="244"/>
      <c r="D59" s="244"/>
      <c r="E59" s="244"/>
      <c r="F59" s="244"/>
      <c r="G59" s="244"/>
      <c r="H59" s="244"/>
      <c r="I59" s="244"/>
      <c r="J59" s="244"/>
      <c r="K59" s="244"/>
      <c r="L59" s="245"/>
      <c r="M59" s="247"/>
      <c r="N59" s="244"/>
      <c r="O59" s="244"/>
      <c r="P59" s="244"/>
      <c r="Q59" s="244"/>
      <c r="R59" s="244"/>
      <c r="S59" s="244"/>
      <c r="T59" s="244"/>
      <c r="U59" s="244"/>
      <c r="V59" s="244"/>
      <c r="W59" s="245"/>
      <c r="X59" s="247"/>
      <c r="Y59" s="244"/>
      <c r="Z59" s="244"/>
      <c r="AA59" s="244"/>
      <c r="AB59" s="244"/>
      <c r="AC59" s="244"/>
      <c r="AD59" s="244"/>
      <c r="AE59" s="244"/>
      <c r="AF59" s="244"/>
      <c r="AG59" s="244"/>
      <c r="AH59" s="245"/>
      <c r="AI59" s="247"/>
      <c r="AJ59" s="244"/>
      <c r="AK59" s="244"/>
      <c r="AL59" s="244"/>
      <c r="AM59" s="244"/>
      <c r="AN59" s="244"/>
      <c r="AO59" s="244"/>
      <c r="AP59" s="244"/>
      <c r="AQ59" s="244"/>
      <c r="AR59" s="244"/>
      <c r="AS59" s="244"/>
      <c r="AT59" s="245"/>
      <c r="AU59" s="247"/>
      <c r="AV59" s="244"/>
      <c r="AW59" s="244"/>
      <c r="AX59" s="244"/>
      <c r="AY59" s="244"/>
      <c r="AZ59" s="244"/>
      <c r="BA59" s="244"/>
      <c r="BB59" s="244"/>
      <c r="BC59" s="244"/>
      <c r="BD59" s="244"/>
      <c r="BE59" s="244"/>
      <c r="BF59" s="248"/>
    </row>
    <row r="60" spans="2:58" ht="13" customHeight="1" x14ac:dyDescent="0.25">
      <c r="B60" s="184" t="s">
        <v>471</v>
      </c>
      <c r="C60" s="185"/>
      <c r="D60" s="9" t="s">
        <v>19</v>
      </c>
      <c r="E60" s="161" t="s">
        <v>20</v>
      </c>
      <c r="F60" s="164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  <c r="AC60" s="165"/>
      <c r="AD60" s="165"/>
      <c r="AE60" s="165"/>
      <c r="AF60" s="165"/>
      <c r="AG60" s="165"/>
      <c r="AH60" s="165"/>
      <c r="AI60" s="165"/>
      <c r="AJ60" s="165"/>
      <c r="AK60" s="165"/>
      <c r="AL60" s="165"/>
      <c r="AM60" s="165"/>
      <c r="AN60" s="165"/>
      <c r="AO60" s="166"/>
      <c r="AP60" s="166"/>
      <c r="AQ60" s="166"/>
      <c r="AR60" s="166"/>
      <c r="AS60" s="166"/>
      <c r="AT60" s="166"/>
      <c r="AU60" s="166"/>
      <c r="AV60" s="166"/>
      <c r="AW60" s="166"/>
      <c r="AX60" s="166"/>
      <c r="AY60" s="166"/>
      <c r="AZ60" s="166"/>
      <c r="BA60" s="166"/>
      <c r="BB60" s="166"/>
      <c r="BC60" s="166"/>
      <c r="BD60" s="166"/>
      <c r="BE60" s="166"/>
      <c r="BF60" s="167"/>
    </row>
    <row r="61" spans="2:58" ht="13" customHeight="1" x14ac:dyDescent="0.25">
      <c r="B61" s="160" t="s">
        <v>226</v>
      </c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  <c r="AH61" s="162"/>
      <c r="AI61" s="162"/>
      <c r="AJ61" s="162"/>
      <c r="AK61" s="162"/>
      <c r="AL61" s="162"/>
      <c r="AM61" s="162"/>
      <c r="AN61" s="162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9"/>
    </row>
    <row r="62" spans="2:58" ht="13" customHeight="1" thickBot="1" x14ac:dyDescent="0.3">
      <c r="B62" s="172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  <c r="AN62" s="163"/>
      <c r="AO62" s="170"/>
      <c r="AP62" s="170"/>
      <c r="AQ62" s="170"/>
      <c r="AR62" s="170"/>
      <c r="AS62" s="170"/>
      <c r="AT62" s="170"/>
      <c r="AU62" s="170"/>
      <c r="AV62" s="170"/>
      <c r="AW62" s="170"/>
      <c r="AX62" s="170"/>
      <c r="AY62" s="170"/>
      <c r="AZ62" s="170"/>
      <c r="BA62" s="170"/>
      <c r="BB62" s="170"/>
      <c r="BC62" s="170"/>
      <c r="BD62" s="170"/>
      <c r="BE62" s="170"/>
      <c r="BF62" s="17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7" t="s">
        <v>227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</row>
    <row r="3" spans="2:47" ht="20.15" customHeight="1" x14ac:dyDescent="0.25">
      <c r="B3" s="189" t="s">
        <v>181</v>
      </c>
      <c r="C3" s="147" t="s">
        <v>163</v>
      </c>
      <c r="D3" s="197"/>
      <c r="E3" s="197"/>
      <c r="F3" s="197"/>
      <c r="G3" s="197"/>
      <c r="H3" s="198"/>
      <c r="I3" s="201" t="s">
        <v>8</v>
      </c>
      <c r="J3" s="197"/>
      <c r="K3" s="197"/>
      <c r="L3" s="197"/>
      <c r="M3" s="197"/>
      <c r="N3" s="197"/>
      <c r="O3" s="197"/>
      <c r="P3" s="202"/>
      <c r="Q3" s="147" t="s">
        <v>77</v>
      </c>
      <c r="R3" s="197"/>
      <c r="S3" s="202"/>
      <c r="T3" s="147" t="s">
        <v>10</v>
      </c>
      <c r="U3" s="197"/>
      <c r="V3" s="197"/>
      <c r="W3" s="202"/>
      <c r="X3" s="147" t="s">
        <v>80</v>
      </c>
      <c r="Y3" s="148"/>
      <c r="Z3" s="147" t="s">
        <v>11</v>
      </c>
      <c r="AA3" s="148"/>
      <c r="AB3" s="13" t="s">
        <v>13</v>
      </c>
      <c r="AC3" s="147" t="s">
        <v>14</v>
      </c>
      <c r="AD3" s="148"/>
      <c r="AE3" s="151" t="s">
        <v>88</v>
      </c>
      <c r="AF3" s="152"/>
      <c r="AG3" s="152"/>
      <c r="AH3" s="152"/>
      <c r="AI3" s="152"/>
      <c r="AJ3" s="152"/>
      <c r="AK3" s="153"/>
      <c r="AL3" s="147" t="s">
        <v>18</v>
      </c>
      <c r="AM3" s="193"/>
      <c r="AN3" s="194"/>
      <c r="AO3" s="193" t="s">
        <v>16</v>
      </c>
      <c r="AP3" s="193"/>
      <c r="AQ3" s="193"/>
      <c r="AR3" s="196"/>
    </row>
    <row r="4" spans="2:47" ht="30" customHeight="1" x14ac:dyDescent="0.25">
      <c r="B4" s="190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9" t="s">
        <v>62</v>
      </c>
      <c r="J4" s="200"/>
      <c r="K4" s="3" t="s">
        <v>6</v>
      </c>
      <c r="L4" s="3" t="s">
        <v>66</v>
      </c>
      <c r="M4" s="3" t="s">
        <v>164</v>
      </c>
      <c r="N4" s="3" t="s">
        <v>165</v>
      </c>
      <c r="O4" s="154" t="s">
        <v>7</v>
      </c>
      <c r="P4" s="155"/>
      <c r="Q4" s="192" t="s">
        <v>71</v>
      </c>
      <c r="R4" s="155"/>
      <c r="S4" s="3" t="s">
        <v>51</v>
      </c>
      <c r="T4" s="3" t="s">
        <v>75</v>
      </c>
      <c r="U4" s="192" t="s">
        <v>78</v>
      </c>
      <c r="V4" s="155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9" t="s">
        <v>89</v>
      </c>
      <c r="AF4" s="150"/>
      <c r="AG4" s="149" t="s">
        <v>92</v>
      </c>
      <c r="AH4" s="150"/>
      <c r="AI4" s="10" t="s">
        <v>166</v>
      </c>
      <c r="AJ4" s="10" t="s">
        <v>167</v>
      </c>
      <c r="AK4" s="11" t="s">
        <v>115</v>
      </c>
      <c r="AL4" s="192" t="s">
        <v>110</v>
      </c>
      <c r="AM4" s="155"/>
      <c r="AN4" s="29" t="s">
        <v>111</v>
      </c>
      <c r="AO4" s="26" t="s">
        <v>12</v>
      </c>
      <c r="AP4" s="3" t="s">
        <v>1</v>
      </c>
      <c r="AQ4" s="168" t="s">
        <v>161</v>
      </c>
      <c r="AR4" s="195"/>
      <c r="AU4" s="20"/>
    </row>
    <row r="5" spans="2:47" ht="20.15" customHeight="1" x14ac:dyDescent="0.25">
      <c r="B5" s="191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408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91">
        <v>17.1477108001709</v>
      </c>
      <c r="D6" s="91">
        <v>17.63237953186035</v>
      </c>
      <c r="E6" s="91">
        <v>423.41009521484375</v>
      </c>
      <c r="F6" s="91"/>
      <c r="G6" s="91"/>
      <c r="H6" s="92">
        <v>414.5693054199219</v>
      </c>
      <c r="I6" s="93">
        <v>23.97641944885254</v>
      </c>
      <c r="J6" s="91"/>
      <c r="K6" s="91">
        <v>39.59056091308594</v>
      </c>
      <c r="L6" s="91">
        <v>1.395671010017395</v>
      </c>
      <c r="M6" s="91">
        <v>102.8917007446289</v>
      </c>
      <c r="N6" s="91">
        <v>110.38770294189453</v>
      </c>
      <c r="O6" s="91">
        <v>23.904680252075195</v>
      </c>
      <c r="P6" s="91"/>
      <c r="Q6" s="91">
        <v>0.000412432593293488</v>
      </c>
      <c r="R6" s="91"/>
      <c r="S6" s="91">
        <v>142.7010955810547</v>
      </c>
      <c r="T6" s="91">
        <v>1.4539029598236084</v>
      </c>
      <c r="U6" s="91">
        <v>0.3567729890346527</v>
      </c>
      <c r="V6" s="91"/>
      <c r="W6" s="91">
        <v>92.95427703857422</v>
      </c>
      <c r="X6" s="91">
        <v>0.5318418741226196</v>
      </c>
      <c r="Y6" s="91" t="s">
        <v>4</v>
      </c>
      <c r="Z6" s="91">
        <v>0.8914352059364319</v>
      </c>
      <c r="AA6" s="91">
        <v>148.343505859375</v>
      </c>
      <c r="AB6" s="91">
        <v>165.37179565429688</v>
      </c>
      <c r="AC6" s="91">
        <v>0.5936415195465088</v>
      </c>
      <c r="AD6" s="91">
        <v>158.92649841308594</v>
      </c>
      <c r="AE6" s="94"/>
      <c r="AF6" s="94"/>
      <c r="AG6" s="94"/>
      <c r="AH6" s="94"/>
      <c r="AI6" s="94"/>
      <c r="AJ6" s="94"/>
      <c r="AK6" s="94"/>
      <c r="AL6" s="91">
        <v>0</v>
      </c>
      <c r="AM6" s="95"/>
      <c r="AN6" s="96">
        <v>35.47454071044922</v>
      </c>
      <c r="AO6" s="97"/>
      <c r="AP6" s="98"/>
      <c r="AQ6" s="98">
        <v>0</v>
      </c>
      <c r="AR6" s="99"/>
    </row>
    <row r="7" spans="2:47" ht="13.5" customHeight="1" x14ac:dyDescent="0.25">
      <c r="B7" s="14">
        <v>0.875</v>
      </c>
      <c r="C7" s="91">
        <v>18.475109100341797</v>
      </c>
      <c r="D7" s="91">
        <v>17.80599021911621</v>
      </c>
      <c r="E7" s="91">
        <v>423.1265869140625</v>
      </c>
      <c r="F7" s="91">
        <v>0.10551416128873825</v>
      </c>
      <c r="G7" s="91">
        <v>0</v>
      </c>
      <c r="H7" s="92">
        <v>415.0622863769531</v>
      </c>
      <c r="I7" s="93">
        <v>0</v>
      </c>
      <c r="J7" s="91">
        <v>0.002798492321744561</v>
      </c>
      <c r="K7" s="91">
        <v>34.69329071044922</v>
      </c>
      <c r="L7" s="91">
        <v>1.193034052848816</v>
      </c>
      <c r="M7" s="91">
        <v>31.46702003479004</v>
      </c>
      <c r="N7" s="91">
        <v>115.28500366210938</v>
      </c>
      <c r="O7" s="91">
        <v>0</v>
      </c>
      <c r="P7" s="91">
        <v>3.2447052001953125</v>
      </c>
      <c r="Q7" s="91">
        <v>0.4931477904319763</v>
      </c>
      <c r="R7" s="91">
        <v>2.3810806274414062</v>
      </c>
      <c r="S7" s="91">
        <v>128.41439819335938</v>
      </c>
      <c r="T7" s="91">
        <v>0.0072157122194767</v>
      </c>
      <c r="U7" s="91">
        <v>0</v>
      </c>
      <c r="V7" s="91">
        <v>0.16082105040550232</v>
      </c>
      <c r="W7" s="91">
        <v>31.684030532836914</v>
      </c>
      <c r="X7" s="91">
        <v>-1</v>
      </c>
      <c r="Y7" s="91" t="s">
        <v>82</v>
      </c>
      <c r="Z7" s="91">
        <v>-0.005150462966412306</v>
      </c>
      <c r="AA7" s="91">
        <v>75.3689193725586</v>
      </c>
      <c r="AB7" s="91">
        <v>87.68807983398438</v>
      </c>
      <c r="AC7" s="91">
        <v>-0.006365741137415171</v>
      </c>
      <c r="AD7" s="91">
        <v>74.03790283203125</v>
      </c>
      <c r="AE7" s="94"/>
      <c r="AF7" s="94"/>
      <c r="AG7" s="94"/>
      <c r="AH7" s="94"/>
      <c r="AI7" s="94"/>
      <c r="AJ7" s="94"/>
      <c r="AK7" s="94"/>
      <c r="AL7" s="91">
        <v>0</v>
      </c>
      <c r="AM7" s="95">
        <v>0.02257220447063446</v>
      </c>
      <c r="AN7" s="96">
        <v>27.81032943725586</v>
      </c>
      <c r="AO7" s="97"/>
      <c r="AP7" s="98"/>
      <c r="AQ7" s="98">
        <v>0</v>
      </c>
      <c r="AR7" s="99">
        <v>9.246182162314653E-05</v>
      </c>
    </row>
    <row r="8" spans="2:47" ht="13.5" customHeight="1" x14ac:dyDescent="0.25">
      <c r="B8" s="41" t="s">
        <v>271</v>
      </c>
      <c r="C8" s="91">
        <v>16.503910064697266</v>
      </c>
      <c r="D8" s="91">
        <v>17.89822006225586</v>
      </c>
      <c r="E8" s="91">
        <v>423.08221435546875</v>
      </c>
      <c r="F8" s="91">
        <v>0</v>
      </c>
      <c r="G8" s="91">
        <v>0</v>
      </c>
      <c r="H8" s="92">
        <v>414.7705078125</v>
      </c>
      <c r="I8" s="93">
        <v>21.216720581054688</v>
      </c>
      <c r="J8" s="91">
        <v>-0.25097012519836426</v>
      </c>
      <c r="K8" s="91">
        <v>39.510990142822266</v>
      </c>
      <c r="L8" s="91">
        <v>1.3962130546569824</v>
      </c>
      <c r="M8" s="91">
        <v>92.57270050048828</v>
      </c>
      <c r="N8" s="91">
        <v>86.82002258300781</v>
      </c>
      <c r="O8" s="91">
        <v>23.78680992126465</v>
      </c>
      <c r="P8" s="91">
        <v>-245.6713104248047</v>
      </c>
      <c r="Q8" s="91">
        <v>2.558443069458008</v>
      </c>
      <c r="R8" s="91">
        <v>1.8340091705322266</v>
      </c>
      <c r="S8" s="91">
        <v>142.4333953857422</v>
      </c>
      <c r="T8" s="91">
        <v>1.457321047782898</v>
      </c>
      <c r="U8" s="91">
        <v>0.3528144061565399</v>
      </c>
      <c r="V8" s="91">
        <v>-3.7779152393341064</v>
      </c>
      <c r="W8" s="91">
        <v>93.23639678955078</v>
      </c>
      <c r="X8" s="91">
        <v>0.5267096161842346</v>
      </c>
      <c r="Y8" s="91" t="s">
        <v>82</v>
      </c>
      <c r="Z8" s="91">
        <v>0.8202546834945679</v>
      </c>
      <c r="AA8" s="91">
        <v>147.80819702148438</v>
      </c>
      <c r="AB8" s="91">
        <v>161.66090393066406</v>
      </c>
      <c r="AC8" s="91">
        <v>0.5260055065155029</v>
      </c>
      <c r="AD8" s="91">
        <v>155.31680297851562</v>
      </c>
      <c r="AE8" s="94"/>
      <c r="AF8" s="94"/>
      <c r="AG8" s="94"/>
      <c r="AH8" s="94"/>
      <c r="AI8" s="94"/>
      <c r="AJ8" s="94"/>
      <c r="AK8" s="94"/>
      <c r="AL8" s="91">
        <v>2.915220022201538</v>
      </c>
      <c r="AM8" s="95">
        <v>0.0016439971514046192</v>
      </c>
      <c r="AN8" s="96">
        <v>27.705440521240234</v>
      </c>
      <c r="AO8" s="97"/>
      <c r="AP8" s="98"/>
      <c r="AQ8" s="98">
        <v>0</v>
      </c>
      <c r="AR8" s="99">
        <v>2.7142048566020094E-05</v>
      </c>
    </row>
    <row r="9" spans="2:47" ht="13.5" customHeight="1" x14ac:dyDescent="0.25">
      <c r="B9" s="14">
        <v>0.95833333333333337</v>
      </c>
      <c r="C9" s="91">
        <v>15.053529739379883</v>
      </c>
      <c r="D9" s="91">
        <v>17.285160064697266</v>
      </c>
      <c r="E9" s="91">
        <v>427.3009033203125</v>
      </c>
      <c r="F9" s="91">
        <v>0.30489063262939453</v>
      </c>
      <c r="G9" s="91">
        <v>0</v>
      </c>
      <c r="H9" s="92">
        <v>417.0491027832031</v>
      </c>
      <c r="I9" s="93">
        <v>22.58390998840332</v>
      </c>
      <c r="J9" s="91">
        <v>0.02307971566915512</v>
      </c>
      <c r="K9" s="91">
        <v>39.453128814697266</v>
      </c>
      <c r="L9" s="91">
        <v>1.3986550569534302</v>
      </c>
      <c r="M9" s="91">
        <v>103.20099639892578</v>
      </c>
      <c r="N9" s="91">
        <v>109.44730377197266</v>
      </c>
      <c r="O9" s="91">
        <v>24.01750946044922</v>
      </c>
      <c r="P9" s="91">
        <v>23.969871520996094</v>
      </c>
      <c r="Q9" s="91">
        <v>2.379120111465454</v>
      </c>
      <c r="R9" s="91">
        <v>2.663358688354492</v>
      </c>
      <c r="S9" s="91">
        <v>142.54190063476562</v>
      </c>
      <c r="T9" s="91">
        <v>1.4575740098953247</v>
      </c>
      <c r="U9" s="91">
        <v>0.3621791899204254</v>
      </c>
      <c r="V9" s="91">
        <v>0.3591490089893341</v>
      </c>
      <c r="W9" s="91">
        <v>92.98322296142578</v>
      </c>
      <c r="X9" s="91">
        <v>0.5300241708755493</v>
      </c>
      <c r="Y9" s="91" t="s">
        <v>82</v>
      </c>
      <c r="Z9" s="91">
        <v>0.8512731790542603</v>
      </c>
      <c r="AA9" s="91">
        <v>150.98379516601562</v>
      </c>
      <c r="AB9" s="91">
        <v>165.7841033935547</v>
      </c>
      <c r="AC9" s="91">
        <v>0.5694805979728699</v>
      </c>
      <c r="AD9" s="91">
        <v>159.07839965820312</v>
      </c>
      <c r="AE9" s="94"/>
      <c r="AF9" s="94"/>
      <c r="AG9" s="94"/>
      <c r="AH9" s="94"/>
      <c r="AI9" s="94"/>
      <c r="AJ9" s="94"/>
      <c r="AK9" s="94"/>
      <c r="AL9" s="91">
        <v>0</v>
      </c>
      <c r="AM9" s="95">
        <v>0.0014411010779440403</v>
      </c>
      <c r="AN9" s="96">
        <v>27.709060668945312</v>
      </c>
      <c r="AO9" s="97"/>
      <c r="AP9" s="98"/>
      <c r="AQ9" s="98">
        <v>0.5553386211395264</v>
      </c>
      <c r="AR9" s="99">
        <v>0.00033001494011841714</v>
      </c>
    </row>
    <row r="10" spans="2:47" ht="13.5" customHeight="1" x14ac:dyDescent="0.25">
      <c r="B10" s="41" t="s">
        <v>272</v>
      </c>
      <c r="C10" s="91">
        <v>14.684610366821289</v>
      </c>
      <c r="D10" s="91">
        <v>16.81315040588379</v>
      </c>
      <c r="E10" s="91">
        <v>421.9493103027344</v>
      </c>
      <c r="F10" s="91">
        <v>0.3568041920661926</v>
      </c>
      <c r="G10" s="91">
        <v>0</v>
      </c>
      <c r="H10" s="92">
        <v>418.9360046386719</v>
      </c>
      <c r="I10" s="93">
        <v>24.38150978088379</v>
      </c>
      <c r="J10" s="91">
        <v>0.023461518809199333</v>
      </c>
      <c r="K10" s="91">
        <v>39.57609939575195</v>
      </c>
      <c r="L10" s="91">
        <v>1.3965749740600586</v>
      </c>
      <c r="M10" s="91">
        <v>102.88089752197266</v>
      </c>
      <c r="N10" s="91">
        <v>114.84380340576172</v>
      </c>
      <c r="O10" s="91">
        <v>24.078819274902344</v>
      </c>
      <c r="P10" s="91">
        <v>24.02663803100586</v>
      </c>
      <c r="Q10" s="91">
        <v>4.569883822114207E-05</v>
      </c>
      <c r="R10" s="91">
        <v>1.8311920166015625</v>
      </c>
      <c r="S10" s="91">
        <v>142.78790283203125</v>
      </c>
      <c r="T10" s="91">
        <v>1.45352303981781</v>
      </c>
      <c r="U10" s="91">
        <v>0.3598611056804657</v>
      </c>
      <c r="V10" s="91">
        <v>0.3586583137512207</v>
      </c>
      <c r="W10" s="91">
        <v>92.60706329345703</v>
      </c>
      <c r="X10" s="91">
        <v>0.5270692706108093</v>
      </c>
      <c r="Y10" s="91" t="s">
        <v>82</v>
      </c>
      <c r="Z10" s="91">
        <v>0.8778356909751892</v>
      </c>
      <c r="AA10" s="91">
        <v>149.15359497070312</v>
      </c>
      <c r="AB10" s="91">
        <v>160.70599365234375</v>
      </c>
      <c r="AC10" s="91">
        <v>0.40957748889923096</v>
      </c>
      <c r="AD10" s="91">
        <v>151.47569274902344</v>
      </c>
      <c r="AE10" s="94"/>
      <c r="AF10" s="94"/>
      <c r="AG10" s="94"/>
      <c r="AH10" s="94"/>
      <c r="AI10" s="94"/>
      <c r="AJ10" s="94"/>
      <c r="AK10" s="94"/>
      <c r="AL10" s="91">
        <v>0</v>
      </c>
      <c r="AM10" s="95">
        <v>0.001055999775417149</v>
      </c>
      <c r="AN10" s="96">
        <v>61.2883415222168</v>
      </c>
      <c r="AO10" s="97"/>
      <c r="AP10" s="98"/>
      <c r="AQ10" s="98">
        <v>0.2550637125968933</v>
      </c>
      <c r="AR10" s="99">
        <v>0.0003207831468898803</v>
      </c>
    </row>
    <row r="11" spans="2:47" ht="13.5" customHeight="1" x14ac:dyDescent="0.25">
      <c r="B11" s="14">
        <v>4.1666666666666664E-2</v>
      </c>
      <c r="C11" s="91">
        <v>14.800350189208984</v>
      </c>
      <c r="D11" s="91">
        <v>17.230899810791016</v>
      </c>
      <c r="E11" s="91">
        <v>413.0071105957031</v>
      </c>
      <c r="F11" s="91">
        <v>0.11418993771076202</v>
      </c>
      <c r="G11" s="91">
        <v>0</v>
      </c>
      <c r="H11" s="92">
        <v>417.841796875</v>
      </c>
      <c r="I11" s="93">
        <v>0</v>
      </c>
      <c r="J11" s="91">
        <v>0.007483901921659708</v>
      </c>
      <c r="K11" s="91">
        <v>27.358219146728516</v>
      </c>
      <c r="L11" s="91">
        <v>0.6892904043197632</v>
      </c>
      <c r="M11" s="91">
        <v>32.63888931274414</v>
      </c>
      <c r="N11" s="91">
        <v>65.74797058105469</v>
      </c>
      <c r="O11" s="91">
        <v>0</v>
      </c>
      <c r="P11" s="91">
        <v>10.18667221069336</v>
      </c>
      <c r="Q11" s="91">
        <v>1.0305129904963906E-07</v>
      </c>
      <c r="R11" s="91">
        <v>0.3540687561035156</v>
      </c>
      <c r="S11" s="91">
        <v>132.89930725097656</v>
      </c>
      <c r="T11" s="91">
        <v>0.25381579995155334</v>
      </c>
      <c r="U11" s="91">
        <v>0</v>
      </c>
      <c r="V11" s="91">
        <v>0.1600944846868515</v>
      </c>
      <c r="W11" s="91">
        <v>44.92911148071289</v>
      </c>
      <c r="X11" s="91">
        <v>1.680778980255127</v>
      </c>
      <c r="Y11" s="91" t="s">
        <v>82</v>
      </c>
      <c r="Z11" s="91">
        <v>-0.0121527798473835</v>
      </c>
      <c r="AA11" s="91">
        <v>85.50347137451172</v>
      </c>
      <c r="AB11" s="91">
        <v>102.71990203857422</v>
      </c>
      <c r="AC11" s="91">
        <v>-0.004955151118338108</v>
      </c>
      <c r="AD11" s="91">
        <v>81.31510162353516</v>
      </c>
      <c r="AE11" s="94"/>
      <c r="AF11" s="94"/>
      <c r="AG11" s="94"/>
      <c r="AH11" s="94"/>
      <c r="AI11" s="94"/>
      <c r="AJ11" s="94"/>
      <c r="AK11" s="94"/>
      <c r="AL11" s="91">
        <v>0</v>
      </c>
      <c r="AM11" s="95">
        <v>0.003912994172424078</v>
      </c>
      <c r="AN11" s="96">
        <v>60.23582077026367</v>
      </c>
      <c r="AO11" s="97"/>
      <c r="AP11" s="98"/>
      <c r="AQ11" s="98">
        <v>0</v>
      </c>
      <c r="AR11" s="99">
        <v>0.00018240881036035717</v>
      </c>
    </row>
    <row r="12" spans="2:47" ht="13.5" customHeight="1" x14ac:dyDescent="0.25">
      <c r="B12" s="41" t="s">
        <v>273</v>
      </c>
      <c r="C12" s="91">
        <v>15.266929626464844</v>
      </c>
      <c r="D12" s="91">
        <v>17.52387046813965</v>
      </c>
      <c r="E12" s="91">
        <v>413.25030517578125</v>
      </c>
      <c r="F12" s="91">
        <v>0</v>
      </c>
      <c r="G12" s="91">
        <v>0</v>
      </c>
      <c r="H12" s="92">
        <v>417.79058837890625</v>
      </c>
      <c r="I12" s="93">
        <v>0</v>
      </c>
      <c r="J12" s="91">
        <v>0</v>
      </c>
      <c r="K12" s="91">
        <v>19.99420928955078</v>
      </c>
      <c r="L12" s="91">
        <v>0.6607168912887573</v>
      </c>
      <c r="M12" s="91">
        <v>15.196399688720703</v>
      </c>
      <c r="N12" s="91">
        <v>41.8836784362793</v>
      </c>
      <c r="O12" s="91">
        <v>0</v>
      </c>
      <c r="P12" s="91">
        <v>0</v>
      </c>
      <c r="Q12" s="91">
        <v>0</v>
      </c>
      <c r="R12" s="91">
        <v>2.288818359375E-05</v>
      </c>
      <c r="S12" s="91">
        <v>41.594329833984375</v>
      </c>
      <c r="T12" s="91">
        <v>0.2320421040058136</v>
      </c>
      <c r="U12" s="91">
        <v>0</v>
      </c>
      <c r="V12" s="91">
        <v>0</v>
      </c>
      <c r="W12" s="91">
        <v>28.83390998840332</v>
      </c>
      <c r="X12" s="91">
        <v>1.680778980255127</v>
      </c>
      <c r="Y12" s="91" t="s">
        <v>82</v>
      </c>
      <c r="Z12" s="91">
        <v>-0.01186343003064394</v>
      </c>
      <c r="AA12" s="91">
        <v>47.53327941894531</v>
      </c>
      <c r="AB12" s="91">
        <v>85.68431854248047</v>
      </c>
      <c r="AC12" s="91">
        <v>-0.006438078824430704</v>
      </c>
      <c r="AD12" s="91">
        <v>46.281829833984375</v>
      </c>
      <c r="AE12" s="94"/>
      <c r="AF12" s="94"/>
      <c r="AG12" s="94"/>
      <c r="AH12" s="94"/>
      <c r="AI12" s="94"/>
      <c r="AJ12" s="94"/>
      <c r="AK12" s="94"/>
      <c r="AL12" s="91">
        <v>0</v>
      </c>
      <c r="AM12" s="95">
        <v>0</v>
      </c>
      <c r="AN12" s="96">
        <v>60.38772964477539</v>
      </c>
      <c r="AO12" s="97"/>
      <c r="AP12" s="98"/>
      <c r="AQ12" s="98">
        <v>0</v>
      </c>
      <c r="AR12" s="99">
        <v>0</v>
      </c>
    </row>
    <row r="13" spans="2:47" ht="13.5" customHeight="1" x14ac:dyDescent="0.25">
      <c r="B13" s="14">
        <v>0.125</v>
      </c>
      <c r="C13" s="91">
        <v>15.049909591674805</v>
      </c>
      <c r="D13" s="91">
        <v>17.66493034362793</v>
      </c>
      <c r="E13" s="91">
        <v>413.5577087402344</v>
      </c>
      <c r="F13" s="91">
        <v>0</v>
      </c>
      <c r="G13" s="91">
        <v>0</v>
      </c>
      <c r="H13" s="92">
        <v>417.7945861816406</v>
      </c>
      <c r="I13" s="93">
        <v>0</v>
      </c>
      <c r="J13" s="91">
        <v>0</v>
      </c>
      <c r="K13" s="91">
        <v>16.370080947875977</v>
      </c>
      <c r="L13" s="91">
        <v>0.6151440143585205</v>
      </c>
      <c r="M13" s="91">
        <v>12.603079795837402</v>
      </c>
      <c r="N13" s="91">
        <v>30.750869750976562</v>
      </c>
      <c r="O13" s="91">
        <v>0</v>
      </c>
      <c r="P13" s="91">
        <v>0</v>
      </c>
      <c r="Q13" s="91">
        <v>0.00010151560127269477</v>
      </c>
      <c r="R13" s="91">
        <v>6.866455078125E-05</v>
      </c>
      <c r="S13" s="91">
        <v>18.540220260620117</v>
      </c>
      <c r="T13" s="91">
        <v>0.20950880646705627</v>
      </c>
      <c r="U13" s="91">
        <v>0</v>
      </c>
      <c r="V13" s="91">
        <v>0</v>
      </c>
      <c r="W13" s="91">
        <v>18.583620071411133</v>
      </c>
      <c r="X13" s="91">
        <v>1.680778980255127</v>
      </c>
      <c r="Y13" s="91" t="s">
        <v>82</v>
      </c>
      <c r="Z13" s="91">
        <v>-0.01168982032686472</v>
      </c>
      <c r="AA13" s="91">
        <v>29.882810592651367</v>
      </c>
      <c r="AB13" s="91">
        <v>72.08477783203125</v>
      </c>
      <c r="AC13" s="91">
        <v>-0.006401909980922937</v>
      </c>
      <c r="AD13" s="91">
        <v>28.797740936279297</v>
      </c>
      <c r="AE13" s="94"/>
      <c r="AF13" s="94"/>
      <c r="AG13" s="94"/>
      <c r="AH13" s="94"/>
      <c r="AI13" s="94"/>
      <c r="AJ13" s="94"/>
      <c r="AK13" s="94"/>
      <c r="AL13" s="91">
        <v>0</v>
      </c>
      <c r="AM13" s="95">
        <v>0</v>
      </c>
      <c r="AN13" s="96">
        <v>60.48176956176758</v>
      </c>
      <c r="AO13" s="97"/>
      <c r="AP13" s="98"/>
      <c r="AQ13" s="98">
        <v>0</v>
      </c>
      <c r="AR13" s="99">
        <v>0</v>
      </c>
    </row>
    <row r="14" spans="2:47" ht="13.5" customHeight="1" x14ac:dyDescent="0.25">
      <c r="B14" s="14">
        <v>0.16666666666666666</v>
      </c>
      <c r="C14" s="91">
        <v>14.973959922790527</v>
      </c>
      <c r="D14" s="91">
        <v>17.778860092163086</v>
      </c>
      <c r="E14" s="91">
        <v>414.345703125</v>
      </c>
      <c r="F14" s="91">
        <v>0</v>
      </c>
      <c r="G14" s="91">
        <v>0</v>
      </c>
      <c r="H14" s="92">
        <v>417.7945861816406</v>
      </c>
      <c r="I14" s="93">
        <v>0</v>
      </c>
      <c r="J14" s="91">
        <v>0</v>
      </c>
      <c r="K14" s="91">
        <v>13.925060272216797</v>
      </c>
      <c r="L14" s="91">
        <v>0.5895544290542603</v>
      </c>
      <c r="M14" s="91">
        <v>11.480030059814453</v>
      </c>
      <c r="N14" s="91">
        <v>22.345199584960938</v>
      </c>
      <c r="O14" s="91">
        <v>0</v>
      </c>
      <c r="P14" s="91">
        <v>0</v>
      </c>
      <c r="Q14" s="91">
        <v>6.379050319083035E-05</v>
      </c>
      <c r="R14" s="91">
        <v>0.000110626220703125</v>
      </c>
      <c r="S14" s="91">
        <v>11.480030059814453</v>
      </c>
      <c r="T14" s="91">
        <v>0.20558449625968933</v>
      </c>
      <c r="U14" s="91">
        <v>0</v>
      </c>
      <c r="V14" s="91">
        <v>0</v>
      </c>
      <c r="W14" s="91">
        <v>13.577839851379395</v>
      </c>
      <c r="X14" s="91">
        <v>1.680778980255127</v>
      </c>
      <c r="Y14" s="91" t="s">
        <v>82</v>
      </c>
      <c r="Z14" s="91">
        <v>-0.011516200378537178</v>
      </c>
      <c r="AA14" s="91">
        <v>20.355899810791016</v>
      </c>
      <c r="AB14" s="91">
        <v>60.70602035522461</v>
      </c>
      <c r="AC14" s="91">
        <v>-0.006401909980922937</v>
      </c>
      <c r="AD14" s="91">
        <v>19.646989822387695</v>
      </c>
      <c r="AE14" s="94"/>
      <c r="AF14" s="94"/>
      <c r="AG14" s="94"/>
      <c r="AH14" s="94"/>
      <c r="AI14" s="94"/>
      <c r="AJ14" s="94"/>
      <c r="AK14" s="94"/>
      <c r="AL14" s="91">
        <v>0</v>
      </c>
      <c r="AM14" s="95">
        <v>0</v>
      </c>
      <c r="AN14" s="96">
        <v>60.56496047973633</v>
      </c>
      <c r="AO14" s="97"/>
      <c r="AP14" s="98"/>
      <c r="AQ14" s="98">
        <v>0</v>
      </c>
      <c r="AR14" s="99">
        <v>0</v>
      </c>
    </row>
    <row r="15" spans="2:47" ht="13.5" customHeight="1" x14ac:dyDescent="0.25">
      <c r="B15" s="14">
        <v>0.20833333333333334</v>
      </c>
      <c r="C15" s="91">
        <v>15.060759544372559</v>
      </c>
      <c r="D15" s="91">
        <v>17.811420440673828</v>
      </c>
      <c r="E15" s="91">
        <v>414.6285095214844</v>
      </c>
      <c r="F15" s="91">
        <v>0</v>
      </c>
      <c r="G15" s="91">
        <v>0</v>
      </c>
      <c r="H15" s="92">
        <v>417.8017883300781</v>
      </c>
      <c r="I15" s="93">
        <v>0</v>
      </c>
      <c r="J15" s="91">
        <v>0</v>
      </c>
      <c r="K15" s="91">
        <v>12.521699905395508</v>
      </c>
      <c r="L15" s="91">
        <v>0.5594437718391418</v>
      </c>
      <c r="M15" s="91">
        <v>10.617400169372559</v>
      </c>
      <c r="N15" s="91">
        <v>16.370080947875977</v>
      </c>
      <c r="O15" s="91">
        <v>0</v>
      </c>
      <c r="P15" s="91">
        <v>0</v>
      </c>
      <c r="Q15" s="91">
        <v>5.3613359085602497E-08</v>
      </c>
      <c r="R15" s="91">
        <v>0.000110626220703125</v>
      </c>
      <c r="S15" s="91">
        <v>9.48350715637207</v>
      </c>
      <c r="T15" s="91">
        <v>0.19317850470542908</v>
      </c>
      <c r="U15" s="91">
        <v>0</v>
      </c>
      <c r="V15" s="91">
        <v>0</v>
      </c>
      <c r="W15" s="91">
        <v>11.103879928588867</v>
      </c>
      <c r="X15" s="91">
        <v>1.680778980255127</v>
      </c>
      <c r="Y15" s="91" t="s">
        <v>82</v>
      </c>
      <c r="Z15" s="91">
        <v>-0.011168980039656162</v>
      </c>
      <c r="AA15" s="91">
        <v>15.66117000579834</v>
      </c>
      <c r="AB15" s="91">
        <v>51.30931091308594</v>
      </c>
      <c r="AC15" s="91">
        <v>-0.006365741137415171</v>
      </c>
      <c r="AD15" s="91">
        <v>14.713540077209473</v>
      </c>
      <c r="AE15" s="94"/>
      <c r="AF15" s="94"/>
      <c r="AG15" s="94"/>
      <c r="AH15" s="94"/>
      <c r="AI15" s="94"/>
      <c r="AJ15" s="94"/>
      <c r="AK15" s="94"/>
      <c r="AL15" s="91">
        <v>0</v>
      </c>
      <c r="AM15" s="95">
        <v>0</v>
      </c>
      <c r="AN15" s="96">
        <v>60.601131439208984</v>
      </c>
      <c r="AO15" s="97"/>
      <c r="AP15" s="98"/>
      <c r="AQ15" s="98">
        <v>0</v>
      </c>
      <c r="AR15" s="99">
        <v>0</v>
      </c>
    </row>
    <row r="16" spans="2:47" ht="13.5" customHeight="1" x14ac:dyDescent="0.25">
      <c r="B16" s="14">
        <v>0.25</v>
      </c>
      <c r="C16" s="91">
        <v>14.865449905395508</v>
      </c>
      <c r="D16" s="91">
        <v>17.849390029907227</v>
      </c>
      <c r="E16" s="91">
        <v>414.70770263671875</v>
      </c>
      <c r="F16" s="91">
        <v>0</v>
      </c>
      <c r="G16" s="91">
        <v>0</v>
      </c>
      <c r="H16" s="92">
        <v>417.9075012207031</v>
      </c>
      <c r="I16" s="93">
        <v>0</v>
      </c>
      <c r="J16" s="91">
        <v>0</v>
      </c>
      <c r="K16" s="91">
        <v>11.668109893798828</v>
      </c>
      <c r="L16" s="91">
        <v>0.540907084941864</v>
      </c>
      <c r="M16" s="91">
        <v>10.026040077209473</v>
      </c>
      <c r="N16" s="91">
        <v>12.825519561767578</v>
      </c>
      <c r="O16" s="91">
        <v>0</v>
      </c>
      <c r="P16" s="91">
        <v>0</v>
      </c>
      <c r="Q16" s="91">
        <v>1.205643039756252E-18</v>
      </c>
      <c r="R16" s="91">
        <v>6.866455078125E-05</v>
      </c>
      <c r="S16" s="91">
        <v>8.839698791503906</v>
      </c>
      <c r="T16" s="91">
        <v>0.19621670246124268</v>
      </c>
      <c r="U16" s="91">
        <v>0</v>
      </c>
      <c r="V16" s="91">
        <v>0</v>
      </c>
      <c r="W16" s="91">
        <v>10.054980278015137</v>
      </c>
      <c r="X16" s="91">
        <v>1.680778980255127</v>
      </c>
      <c r="Y16" s="91" t="s">
        <v>82</v>
      </c>
      <c r="Z16" s="91">
        <v>-0.01030092965811491</v>
      </c>
      <c r="AA16" s="91">
        <v>13.078700065612793</v>
      </c>
      <c r="AB16" s="91">
        <v>43.80064010620117</v>
      </c>
      <c r="AC16" s="91">
        <v>-0.006365741137415171</v>
      </c>
      <c r="AD16" s="91">
        <v>12.282990455627441</v>
      </c>
      <c r="AE16" s="94"/>
      <c r="AF16" s="94"/>
      <c r="AG16" s="94"/>
      <c r="AH16" s="94"/>
      <c r="AI16" s="94"/>
      <c r="AJ16" s="94"/>
      <c r="AK16" s="94"/>
      <c r="AL16" s="91">
        <v>0</v>
      </c>
      <c r="AM16" s="95">
        <v>0</v>
      </c>
      <c r="AN16" s="96">
        <v>60.608360290527344</v>
      </c>
      <c r="AO16" s="97"/>
      <c r="AP16" s="98"/>
      <c r="AQ16" s="98">
        <v>0</v>
      </c>
      <c r="AR16" s="99">
        <v>0</v>
      </c>
    </row>
    <row r="17" spans="2:44" ht="13.5" customHeight="1" x14ac:dyDescent="0.25">
      <c r="B17" s="14">
        <v>0.29166666666666669</v>
      </c>
      <c r="C17" s="91">
        <v>14.71716022491455</v>
      </c>
      <c r="D17" s="91">
        <v>17.892799377441406</v>
      </c>
      <c r="E17" s="91">
        <v>414.909912109375</v>
      </c>
      <c r="F17" s="91">
        <v>0</v>
      </c>
      <c r="G17" s="91">
        <v>0</v>
      </c>
      <c r="H17" s="92">
        <v>417.7611999511719</v>
      </c>
      <c r="I17" s="93">
        <v>0</v>
      </c>
      <c r="J17" s="91">
        <v>0</v>
      </c>
      <c r="K17" s="91">
        <v>10.74219036102295</v>
      </c>
      <c r="L17" s="91">
        <v>0.5217375755310059</v>
      </c>
      <c r="M17" s="91">
        <v>9.163412094116211</v>
      </c>
      <c r="N17" s="91">
        <v>10.366029739379883</v>
      </c>
      <c r="O17" s="91">
        <v>0</v>
      </c>
      <c r="P17" s="91">
        <v>0.000720977783203125</v>
      </c>
      <c r="Q17" s="91">
        <v>1.397942005210151E-11</v>
      </c>
      <c r="R17" s="91">
        <v>6.103515625E-05</v>
      </c>
      <c r="S17" s="91">
        <v>8.203125</v>
      </c>
      <c r="T17" s="91">
        <v>0.20381219685077667</v>
      </c>
      <c r="U17" s="91">
        <v>0</v>
      </c>
      <c r="V17" s="91">
        <v>0</v>
      </c>
      <c r="W17" s="91">
        <v>9.215856552124023</v>
      </c>
      <c r="X17" s="91">
        <v>1.680778980255127</v>
      </c>
      <c r="Y17" s="91" t="s">
        <v>82</v>
      </c>
      <c r="Z17" s="91">
        <v>-0.009027778171002865</v>
      </c>
      <c r="AA17" s="91">
        <v>11.34259033203125</v>
      </c>
      <c r="AB17" s="91">
        <v>37.60126876831055</v>
      </c>
      <c r="AC17" s="91">
        <v>-0.006257234141230583</v>
      </c>
      <c r="AD17" s="91">
        <v>10.86515998840332</v>
      </c>
      <c r="AE17" s="94"/>
      <c r="AF17" s="94"/>
      <c r="AG17" s="94"/>
      <c r="AH17" s="94"/>
      <c r="AI17" s="94"/>
      <c r="AJ17" s="94"/>
      <c r="AK17" s="94"/>
      <c r="AL17" s="91">
        <v>0</v>
      </c>
      <c r="AM17" s="95">
        <v>0</v>
      </c>
      <c r="AN17" s="96">
        <v>60.61920928955078</v>
      </c>
      <c r="AO17" s="97"/>
      <c r="AP17" s="98"/>
      <c r="AQ17" s="98">
        <v>0</v>
      </c>
      <c r="AR17" s="99">
        <v>0</v>
      </c>
    </row>
    <row r="18" spans="2:44" ht="13.5" customHeight="1" x14ac:dyDescent="0.25">
      <c r="B18" s="42">
        <v>0.33333333333333331</v>
      </c>
      <c r="C18" s="100">
        <v>14.782259941101074</v>
      </c>
      <c r="D18" s="100">
        <v>17.936199188232422</v>
      </c>
      <c r="E18" s="100">
        <v>415.0105895996094</v>
      </c>
      <c r="F18" s="100">
        <v>0</v>
      </c>
      <c r="G18" s="100">
        <v>0</v>
      </c>
      <c r="H18" s="101">
        <v>417.87548828125</v>
      </c>
      <c r="I18" s="102">
        <v>0</v>
      </c>
      <c r="J18" s="100">
        <v>0</v>
      </c>
      <c r="K18" s="100">
        <v>10.018810272216797</v>
      </c>
      <c r="L18" s="100">
        <v>0.5043764710426331</v>
      </c>
      <c r="M18" s="100">
        <v>8.42013931274414</v>
      </c>
      <c r="N18" s="100">
        <v>9.317129135131836</v>
      </c>
      <c r="O18" s="100">
        <v>0</v>
      </c>
      <c r="P18" s="100">
        <v>0</v>
      </c>
      <c r="Q18" s="100">
        <v>2.3371519546344643E-06</v>
      </c>
      <c r="R18" s="100">
        <v>0.000118255615234375</v>
      </c>
      <c r="S18" s="100">
        <v>7.588252067565918</v>
      </c>
      <c r="T18" s="100">
        <v>0.20039419829845428</v>
      </c>
      <c r="U18" s="100">
        <v>0</v>
      </c>
      <c r="V18" s="100">
        <v>0</v>
      </c>
      <c r="W18" s="100">
        <v>8.557580947875977</v>
      </c>
      <c r="X18" s="100">
        <v>1.680778980255127</v>
      </c>
      <c r="Y18" s="100">
        <v>0.5240511894226074</v>
      </c>
      <c r="Z18" s="100">
        <v>-0.008333333767950535</v>
      </c>
      <c r="AA18" s="100">
        <v>10.170720100402832</v>
      </c>
      <c r="AB18" s="100">
        <v>32.37847137451172</v>
      </c>
      <c r="AC18" s="100">
        <v>-0.006257234141230583</v>
      </c>
      <c r="AD18" s="100">
        <v>9.895833015441895</v>
      </c>
      <c r="AE18" s="103"/>
      <c r="AF18" s="103"/>
      <c r="AG18" s="103"/>
      <c r="AH18" s="103"/>
      <c r="AI18" s="103"/>
      <c r="AJ18" s="103"/>
      <c r="AK18" s="103"/>
      <c r="AL18" s="100">
        <v>0</v>
      </c>
      <c r="AM18" s="104">
        <v>0</v>
      </c>
      <c r="AN18" s="105">
        <v>60.64091110229492</v>
      </c>
      <c r="AO18" s="97"/>
      <c r="AP18" s="98"/>
      <c r="AQ18" s="98">
        <v>0</v>
      </c>
      <c r="AR18" s="106">
        <v>0</v>
      </c>
    </row>
    <row r="19" spans="2:44" ht="18" customHeight="1" x14ac:dyDescent="0.25">
      <c r="B19" s="159" t="s">
        <v>181</v>
      </c>
      <c r="C19" s="36" t="s">
        <v>168</v>
      </c>
      <c r="D19" s="36" t="s">
        <v>171</v>
      </c>
      <c r="E19" s="174" t="s">
        <v>17</v>
      </c>
      <c r="F19" s="175"/>
      <c r="G19" s="176"/>
      <c r="H19" s="177" t="s">
        <v>108</v>
      </c>
      <c r="I19" s="175"/>
      <c r="J19" s="175"/>
      <c r="K19" s="175"/>
      <c r="L19" s="178"/>
      <c r="M19" s="179" t="s">
        <v>123</v>
      </c>
      <c r="N19" s="175"/>
      <c r="O19" s="175"/>
      <c r="P19" s="175"/>
      <c r="Q19" s="176"/>
      <c r="R19" s="177" t="s">
        <v>147</v>
      </c>
      <c r="S19" s="175"/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6"/>
      <c r="AG19" s="180" t="s">
        <v>24</v>
      </c>
      <c r="AH19" s="176"/>
      <c r="AI19" s="156" t="s">
        <v>173</v>
      </c>
      <c r="AJ19" s="157"/>
      <c r="AK19" s="157"/>
      <c r="AL19" s="157"/>
      <c r="AM19" s="158"/>
      <c r="AN19" s="180" t="s">
        <v>47</v>
      </c>
      <c r="AO19" s="181"/>
      <c r="AP19" s="175" t="s">
        <v>180</v>
      </c>
      <c r="AQ19" s="182"/>
      <c r="AR19" s="183"/>
    </row>
    <row r="20" spans="2:44" ht="20.15" customHeight="1" x14ac:dyDescent="0.25">
      <c r="B20" s="160"/>
      <c r="C20" s="3" t="s">
        <v>169</v>
      </c>
      <c r="D20" s="3" t="s">
        <v>113</v>
      </c>
      <c r="E20" s="3" t="s">
        <v>15</v>
      </c>
      <c r="F20" s="154" t="s">
        <v>100</v>
      </c>
      <c r="G20" s="155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68" t="s">
        <v>148</v>
      </c>
      <c r="AE20" s="155"/>
      <c r="AF20" s="17" t="s">
        <v>151</v>
      </c>
      <c r="AG20" s="17" t="s">
        <v>153</v>
      </c>
      <c r="AH20" s="17" t="s">
        <v>155</v>
      </c>
      <c r="AI20" s="149" t="s">
        <v>89</v>
      </c>
      <c r="AJ20" s="150"/>
      <c r="AK20" s="149" t="s">
        <v>92</v>
      </c>
      <c r="AL20" s="150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60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91">
        <v>-82.8125</v>
      </c>
      <c r="D22" s="91">
        <v>-83.94097137451172</v>
      </c>
      <c r="E22" s="91">
        <v>45.185909271240234</v>
      </c>
      <c r="F22" s="91">
        <v>0.08391203731298447</v>
      </c>
      <c r="G22" s="91"/>
      <c r="H22" s="91"/>
      <c r="I22" s="91"/>
      <c r="J22" s="91"/>
      <c r="K22" s="91"/>
      <c r="L22" s="92"/>
      <c r="M22" s="107">
        <v>69.6072006225586</v>
      </c>
      <c r="N22" s="91">
        <v>44.87485885620117</v>
      </c>
      <c r="O22" s="91">
        <v>50</v>
      </c>
      <c r="P22" s="91">
        <v>0</v>
      </c>
      <c r="Q22" s="91">
        <v>2.5</v>
      </c>
      <c r="R22" s="91">
        <v>21.035879135131836</v>
      </c>
      <c r="S22" s="108">
        <v>93.64148712158203</v>
      </c>
      <c r="T22" s="108">
        <v>50</v>
      </c>
      <c r="U22" s="108">
        <v>76.55255126953125</v>
      </c>
      <c r="V22" s="108">
        <v>13.655599594116211</v>
      </c>
      <c r="W22" s="108">
        <v>20.4589900970459</v>
      </c>
      <c r="X22" s="108">
        <v>0</v>
      </c>
      <c r="Y22" s="108">
        <v>0</v>
      </c>
      <c r="Z22" s="108">
        <v>30.02206039428711</v>
      </c>
      <c r="AA22" s="108">
        <v>64.95768737792969</v>
      </c>
      <c r="AB22" s="108"/>
      <c r="AC22" s="95"/>
      <c r="AD22" s="95">
        <v>0</v>
      </c>
      <c r="AE22" s="95"/>
      <c r="AF22" s="95"/>
      <c r="AG22" s="95">
        <v>1.493778944015503</v>
      </c>
      <c r="AH22" s="95"/>
      <c r="AI22" s="109"/>
      <c r="AJ22" s="109"/>
      <c r="AK22" s="109"/>
      <c r="AL22" s="109"/>
      <c r="AM22" s="109"/>
      <c r="AN22" s="95">
        <v>73.07581329345703</v>
      </c>
      <c r="AO22" s="96">
        <v>55.132381439208984</v>
      </c>
      <c r="AP22" s="97">
        <v>26.511859893798828</v>
      </c>
      <c r="AQ22" s="98">
        <v>37.33000946044922</v>
      </c>
      <c r="AR22" s="99">
        <v>-88.99739837646484</v>
      </c>
    </row>
    <row r="23" spans="2:44" ht="13.5" customHeight="1" x14ac:dyDescent="0.25">
      <c r="B23" s="14">
        <v>0.875</v>
      </c>
      <c r="C23" s="91">
        <v>0.07233428955078125</v>
      </c>
      <c r="D23" s="91">
        <v>-0.20978550612926483</v>
      </c>
      <c r="E23" s="91">
        <v>57.57017135620117</v>
      </c>
      <c r="F23" s="91">
        <v>0</v>
      </c>
      <c r="G23" s="91">
        <v>2.7680694984155707E-05</v>
      </c>
      <c r="H23" s="91"/>
      <c r="I23" s="91"/>
      <c r="J23" s="91"/>
      <c r="K23" s="91"/>
      <c r="L23" s="92"/>
      <c r="M23" s="107">
        <v>69.86762237548828</v>
      </c>
      <c r="N23" s="91">
        <v>44.455299377441406</v>
      </c>
      <c r="O23" s="91">
        <v>50</v>
      </c>
      <c r="P23" s="91">
        <v>0</v>
      </c>
      <c r="Q23" s="91">
        <v>2.5</v>
      </c>
      <c r="R23" s="91">
        <v>19.83868980407715</v>
      </c>
      <c r="S23" s="108">
        <v>93.04107666015625</v>
      </c>
      <c r="T23" s="108">
        <v>50</v>
      </c>
      <c r="U23" s="108">
        <v>73.54203033447266</v>
      </c>
      <c r="V23" s="108">
        <v>12.771269798278809</v>
      </c>
      <c r="W23" s="108">
        <v>19.325090408325195</v>
      </c>
      <c r="X23" s="108">
        <v>0</v>
      </c>
      <c r="Y23" s="108">
        <v>0</v>
      </c>
      <c r="Z23" s="108">
        <v>29.607929229736328</v>
      </c>
      <c r="AA23" s="108">
        <v>60.76932144165039</v>
      </c>
      <c r="AB23" s="108"/>
      <c r="AC23" s="95"/>
      <c r="AD23" s="95">
        <v>0</v>
      </c>
      <c r="AE23" s="95">
        <v>0</v>
      </c>
      <c r="AF23" s="95"/>
      <c r="AG23" s="95">
        <v>1.6890909671783447</v>
      </c>
      <c r="AH23" s="95"/>
      <c r="AI23" s="109"/>
      <c r="AJ23" s="109"/>
      <c r="AK23" s="109"/>
      <c r="AL23" s="109"/>
      <c r="AM23" s="109"/>
      <c r="AN23" s="95">
        <v>70.08101654052734</v>
      </c>
      <c r="AO23" s="96">
        <v>64.1420669555664</v>
      </c>
      <c r="AP23" s="97">
        <v>26.2496395111084</v>
      </c>
      <c r="AQ23" s="98">
        <v>37.21788024902344</v>
      </c>
      <c r="AR23" s="99">
        <v>-89.01909637451172</v>
      </c>
    </row>
    <row r="24" spans="2:44" ht="13.5" customHeight="1" x14ac:dyDescent="0.25">
      <c r="B24" s="41" t="s">
        <v>271</v>
      </c>
      <c r="C24" s="91">
        <v>-82.75463104248047</v>
      </c>
      <c r="D24" s="91">
        <v>-83.99884033203125</v>
      </c>
      <c r="E24" s="91">
        <v>68.5763931274414</v>
      </c>
      <c r="F24" s="91">
        <v>0.9827113151550293</v>
      </c>
      <c r="G24" s="91">
        <v>1.4829993233433925E-05</v>
      </c>
      <c r="H24" s="91"/>
      <c r="I24" s="91"/>
      <c r="J24" s="91"/>
      <c r="K24" s="91"/>
      <c r="L24" s="92"/>
      <c r="M24" s="107">
        <v>69.06105041503906</v>
      </c>
      <c r="N24" s="91">
        <v>44.03211975097656</v>
      </c>
      <c r="O24" s="91">
        <v>50</v>
      </c>
      <c r="P24" s="91">
        <v>0</v>
      </c>
      <c r="Q24" s="91">
        <v>2.5</v>
      </c>
      <c r="R24" s="91">
        <v>18.334060668945312</v>
      </c>
      <c r="S24" s="108">
        <v>93.30512237548828</v>
      </c>
      <c r="T24" s="108">
        <v>45</v>
      </c>
      <c r="U24" s="108">
        <v>65.57002258300781</v>
      </c>
      <c r="V24" s="108">
        <v>11.702469825744629</v>
      </c>
      <c r="W24" s="108">
        <v>17.82769012451172</v>
      </c>
      <c r="X24" s="108">
        <v>0</v>
      </c>
      <c r="Y24" s="108">
        <v>0</v>
      </c>
      <c r="Z24" s="108">
        <v>28.02372932434082</v>
      </c>
      <c r="AA24" s="108">
        <v>57.66059112548828</v>
      </c>
      <c r="AB24" s="108"/>
      <c r="AC24" s="95"/>
      <c r="AD24" s="95">
        <v>0</v>
      </c>
      <c r="AE24" s="95">
        <v>0</v>
      </c>
      <c r="AF24" s="95"/>
      <c r="AG24" s="95">
        <v>1.6927080154418945</v>
      </c>
      <c r="AH24" s="95"/>
      <c r="AI24" s="109"/>
      <c r="AJ24" s="109"/>
      <c r="AK24" s="109"/>
      <c r="AL24" s="109"/>
      <c r="AM24" s="109"/>
      <c r="AN24" s="95">
        <v>66.63773345947266</v>
      </c>
      <c r="AO24" s="96">
        <v>62.160011291503906</v>
      </c>
      <c r="AP24" s="97">
        <v>26.2406005859375</v>
      </c>
      <c r="AQ24" s="98">
        <v>36.69343185424805</v>
      </c>
      <c r="AR24" s="99">
        <v>-89.00824737548828</v>
      </c>
    </row>
    <row r="25" spans="2:44" ht="13.5" customHeight="1" x14ac:dyDescent="0.25">
      <c r="B25" s="14">
        <v>0.95833333333333337</v>
      </c>
      <c r="C25" s="91">
        <v>-82.63165283203125</v>
      </c>
      <c r="D25" s="91">
        <v>-84.00607299804688</v>
      </c>
      <c r="E25" s="91">
        <v>45.05207824707031</v>
      </c>
      <c r="F25" s="91">
        <v>0.09751156717538834</v>
      </c>
      <c r="G25" s="91">
        <v>0.00010372495307819918</v>
      </c>
      <c r="H25" s="91"/>
      <c r="I25" s="91"/>
      <c r="J25" s="91"/>
      <c r="K25" s="91"/>
      <c r="L25" s="92"/>
      <c r="M25" s="107">
        <v>72.64177703857422</v>
      </c>
      <c r="N25" s="91">
        <v>44.831451416015625</v>
      </c>
      <c r="O25" s="91">
        <v>50</v>
      </c>
      <c r="P25" s="91">
        <v>0</v>
      </c>
      <c r="Q25" s="91">
        <v>2.5</v>
      </c>
      <c r="R25" s="91">
        <v>18.438949584960938</v>
      </c>
      <c r="S25" s="108">
        <v>93.00853729248047</v>
      </c>
      <c r="T25" s="108">
        <v>45</v>
      </c>
      <c r="U25" s="108">
        <v>62.70526123046875</v>
      </c>
      <c r="V25" s="108">
        <v>11.881509780883789</v>
      </c>
      <c r="W25" s="108">
        <v>17.811420440673828</v>
      </c>
      <c r="X25" s="108">
        <v>0</v>
      </c>
      <c r="Y25" s="108">
        <v>0</v>
      </c>
      <c r="Z25" s="108">
        <v>25.833690643310547</v>
      </c>
      <c r="AA25" s="108">
        <v>54.43251037597656</v>
      </c>
      <c r="AB25" s="108"/>
      <c r="AC25" s="95"/>
      <c r="AD25" s="95">
        <v>0</v>
      </c>
      <c r="AE25" s="95">
        <v>0</v>
      </c>
      <c r="AF25" s="95"/>
      <c r="AG25" s="95">
        <v>1.1067709922790527</v>
      </c>
      <c r="AH25" s="95"/>
      <c r="AI25" s="109"/>
      <c r="AJ25" s="109"/>
      <c r="AK25" s="109"/>
      <c r="AL25" s="109"/>
      <c r="AM25" s="109"/>
      <c r="AN25" s="95">
        <v>63.064239501953125</v>
      </c>
      <c r="AO25" s="96">
        <v>60.30815887451172</v>
      </c>
      <c r="AP25" s="97">
        <v>25.788480758666992</v>
      </c>
      <c r="AQ25" s="98">
        <v>36.360679626464844</v>
      </c>
      <c r="AR25" s="99">
        <v>-89.01909637451172</v>
      </c>
    </row>
    <row r="26" spans="2:44" ht="13.5" customHeight="1" x14ac:dyDescent="0.25">
      <c r="B26" s="41" t="s">
        <v>272</v>
      </c>
      <c r="C26" s="91">
        <v>-82.6171875</v>
      </c>
      <c r="D26" s="91">
        <v>-84.01331329345703</v>
      </c>
      <c r="E26" s="91">
        <v>44.73017883300781</v>
      </c>
      <c r="F26" s="91">
        <v>0.0883246511220932</v>
      </c>
      <c r="G26" s="91">
        <v>9.487604984315112E-05</v>
      </c>
      <c r="H26" s="91"/>
      <c r="I26" s="91"/>
      <c r="J26" s="91"/>
      <c r="K26" s="91"/>
      <c r="L26" s="92"/>
      <c r="M26" s="107">
        <v>70.0990982055664</v>
      </c>
      <c r="N26" s="91">
        <v>45.446319580078125</v>
      </c>
      <c r="O26" s="91">
        <v>50</v>
      </c>
      <c r="P26" s="91">
        <v>0</v>
      </c>
      <c r="Q26" s="91">
        <v>2.5</v>
      </c>
      <c r="R26" s="91">
        <v>19.37933921813965</v>
      </c>
      <c r="S26" s="108">
        <v>93.62702178955078</v>
      </c>
      <c r="T26" s="108">
        <v>45</v>
      </c>
      <c r="U26" s="108">
        <v>59.07244873046875</v>
      </c>
      <c r="V26" s="108">
        <v>11.322699546813965</v>
      </c>
      <c r="W26" s="108">
        <v>18.728300094604492</v>
      </c>
      <c r="X26" s="108">
        <v>0</v>
      </c>
      <c r="Y26" s="108">
        <v>0</v>
      </c>
      <c r="Z26" s="108">
        <v>23.730470657348633</v>
      </c>
      <c r="AA26" s="108">
        <v>57.4598503112793</v>
      </c>
      <c r="AB26" s="108"/>
      <c r="AC26" s="95"/>
      <c r="AD26" s="95">
        <v>0</v>
      </c>
      <c r="AE26" s="95">
        <v>0</v>
      </c>
      <c r="AF26" s="95"/>
      <c r="AG26" s="95">
        <v>0.5714699029922485</v>
      </c>
      <c r="AH26" s="95"/>
      <c r="AI26" s="109"/>
      <c r="AJ26" s="109"/>
      <c r="AK26" s="109"/>
      <c r="AL26" s="109"/>
      <c r="AM26" s="109"/>
      <c r="AN26" s="95">
        <v>66.6304931640625</v>
      </c>
      <c r="AO26" s="96">
        <v>58.083770751953125</v>
      </c>
      <c r="AP26" s="97">
        <v>25.969329833984375</v>
      </c>
      <c r="AQ26" s="98">
        <v>36.389610290527344</v>
      </c>
      <c r="AR26" s="99">
        <v>-88.98654174804688</v>
      </c>
    </row>
    <row r="27" spans="2:44" ht="13.5" customHeight="1" x14ac:dyDescent="0.25">
      <c r="B27" s="14">
        <v>4.1666666666666664E-2</v>
      </c>
      <c r="C27" s="91">
        <v>0.07233428955078125</v>
      </c>
      <c r="D27" s="91">
        <v>-0.23148350417613983</v>
      </c>
      <c r="E27" s="91">
        <v>54.155818939208984</v>
      </c>
      <c r="F27" s="91">
        <v>0</v>
      </c>
      <c r="G27" s="91">
        <v>3.729605668922886E-05</v>
      </c>
      <c r="H27" s="91"/>
      <c r="I27" s="91"/>
      <c r="J27" s="91"/>
      <c r="K27" s="91"/>
      <c r="L27" s="92"/>
      <c r="M27" s="107">
        <v>66.9415512084961</v>
      </c>
      <c r="N27" s="91">
        <v>45.36314010620117</v>
      </c>
      <c r="O27" s="91">
        <v>50</v>
      </c>
      <c r="P27" s="91">
        <v>0</v>
      </c>
      <c r="Q27" s="91">
        <v>2.5</v>
      </c>
      <c r="R27" s="91">
        <v>19.37571907043457</v>
      </c>
      <c r="S27" s="108">
        <v>93.66319274902344</v>
      </c>
      <c r="T27" s="108">
        <v>45</v>
      </c>
      <c r="U27" s="108">
        <v>52.658958435058594</v>
      </c>
      <c r="V27" s="108">
        <v>10.59570026397705</v>
      </c>
      <c r="W27" s="108">
        <v>18.728300094604492</v>
      </c>
      <c r="X27" s="108">
        <v>0</v>
      </c>
      <c r="Y27" s="108">
        <v>0</v>
      </c>
      <c r="Z27" s="108">
        <v>29.7562198638916</v>
      </c>
      <c r="AA27" s="108">
        <v>62.8526496887207</v>
      </c>
      <c r="AB27" s="108"/>
      <c r="AC27" s="95"/>
      <c r="AD27" s="95">
        <v>0</v>
      </c>
      <c r="AE27" s="95">
        <v>0</v>
      </c>
      <c r="AF27" s="95"/>
      <c r="AG27" s="95">
        <v>34.54861068725586</v>
      </c>
      <c r="AH27" s="95"/>
      <c r="AI27" s="109"/>
      <c r="AJ27" s="109"/>
      <c r="AK27" s="109"/>
      <c r="AL27" s="109"/>
      <c r="AM27" s="109"/>
      <c r="AN27" s="95">
        <v>73.48090362548828</v>
      </c>
      <c r="AO27" s="96">
        <v>66.2868881225586</v>
      </c>
      <c r="AP27" s="97">
        <v>25.788480758666992</v>
      </c>
      <c r="AQ27" s="98">
        <v>36.42216110229492</v>
      </c>
      <c r="AR27" s="99">
        <v>-88.98654174804688</v>
      </c>
    </row>
    <row r="28" spans="2:44" ht="13.5" customHeight="1" x14ac:dyDescent="0.25">
      <c r="B28" s="41" t="s">
        <v>273</v>
      </c>
      <c r="C28" s="91">
        <v>-0.1808471977710724</v>
      </c>
      <c r="D28" s="91">
        <v>-0.2025451958179474</v>
      </c>
      <c r="E28" s="91">
        <v>59.39670181274414</v>
      </c>
      <c r="F28" s="91">
        <v>0</v>
      </c>
      <c r="G28" s="91">
        <v>3.039836826701503E-07</v>
      </c>
      <c r="H28" s="91"/>
      <c r="I28" s="91"/>
      <c r="J28" s="91"/>
      <c r="K28" s="91"/>
      <c r="L28" s="92"/>
      <c r="M28" s="107">
        <v>67.28153991699219</v>
      </c>
      <c r="N28" s="91">
        <v>44.62166976928711</v>
      </c>
      <c r="O28" s="91">
        <v>50</v>
      </c>
      <c r="P28" s="91">
        <v>0</v>
      </c>
      <c r="Q28" s="91">
        <v>2.5</v>
      </c>
      <c r="R28" s="91">
        <v>19.37933921813965</v>
      </c>
      <c r="S28" s="108">
        <v>92.22367095947266</v>
      </c>
      <c r="T28" s="108">
        <v>45</v>
      </c>
      <c r="U28" s="108">
        <v>53.449440002441406</v>
      </c>
      <c r="V28" s="108">
        <v>11.24131965637207</v>
      </c>
      <c r="W28" s="108">
        <v>18.75</v>
      </c>
      <c r="X28" s="108">
        <v>0</v>
      </c>
      <c r="Y28" s="108">
        <v>0</v>
      </c>
      <c r="Z28" s="108">
        <v>28.483070373535156</v>
      </c>
      <c r="AA28" s="108">
        <v>58.83246994018555</v>
      </c>
      <c r="AB28" s="108"/>
      <c r="AC28" s="95"/>
      <c r="AD28" s="95">
        <v>0</v>
      </c>
      <c r="AE28" s="95">
        <v>0</v>
      </c>
      <c r="AF28" s="95"/>
      <c r="AG28" s="95">
        <v>0.9259259104728699</v>
      </c>
      <c r="AH28" s="95"/>
      <c r="AI28" s="109"/>
      <c r="AJ28" s="109"/>
      <c r="AK28" s="109"/>
      <c r="AL28" s="109"/>
      <c r="AM28" s="109"/>
      <c r="AN28" s="95">
        <v>69.48784637451172</v>
      </c>
      <c r="AO28" s="96">
        <v>64.81842803955078</v>
      </c>
      <c r="AP28" s="97">
        <v>25.788480758666992</v>
      </c>
      <c r="AQ28" s="98">
        <v>36.25217056274414</v>
      </c>
      <c r="AR28" s="99">
        <v>-88.97569274902344</v>
      </c>
    </row>
    <row r="29" spans="2:44" ht="13.5" customHeight="1" x14ac:dyDescent="0.25">
      <c r="B29" s="14">
        <v>0.125</v>
      </c>
      <c r="C29" s="91">
        <v>-0.2965851128101349</v>
      </c>
      <c r="D29" s="91">
        <v>-0.21701809763908386</v>
      </c>
      <c r="E29" s="91">
        <v>61.765769958496094</v>
      </c>
      <c r="F29" s="91">
        <v>0</v>
      </c>
      <c r="G29" s="91">
        <v>3.2997130006151565E-07</v>
      </c>
      <c r="H29" s="91"/>
      <c r="I29" s="91"/>
      <c r="J29" s="91"/>
      <c r="K29" s="91"/>
      <c r="L29" s="92"/>
      <c r="M29" s="107">
        <v>67.35025787353516</v>
      </c>
      <c r="N29" s="91">
        <v>43.77170181274414</v>
      </c>
      <c r="O29" s="91">
        <v>50</v>
      </c>
      <c r="P29" s="91">
        <v>0</v>
      </c>
      <c r="Q29" s="91">
        <v>2.5</v>
      </c>
      <c r="R29" s="91">
        <v>18.952550888061523</v>
      </c>
      <c r="S29" s="108">
        <v>92.56365966796875</v>
      </c>
      <c r="T29" s="108">
        <v>45</v>
      </c>
      <c r="U29" s="108">
        <v>53.51110076904297</v>
      </c>
      <c r="V29" s="108">
        <v>10.986330032348633</v>
      </c>
      <c r="W29" s="108">
        <v>18.218320846557617</v>
      </c>
      <c r="X29" s="108">
        <v>0</v>
      </c>
      <c r="Y29" s="108">
        <v>0</v>
      </c>
      <c r="Z29" s="108">
        <v>26.42144012451172</v>
      </c>
      <c r="AA29" s="108">
        <v>55.636940002441406</v>
      </c>
      <c r="AB29" s="108"/>
      <c r="AC29" s="95"/>
      <c r="AD29" s="95">
        <v>0</v>
      </c>
      <c r="AE29" s="95">
        <v>0</v>
      </c>
      <c r="AF29" s="95"/>
      <c r="AG29" s="95">
        <v>1.1393229961395264</v>
      </c>
      <c r="AH29" s="95"/>
      <c r="AI29" s="109"/>
      <c r="AJ29" s="109"/>
      <c r="AK29" s="109"/>
      <c r="AL29" s="109"/>
      <c r="AM29" s="109"/>
      <c r="AN29" s="95">
        <v>66.05902862548828</v>
      </c>
      <c r="AO29" s="96">
        <v>62.93764114379883</v>
      </c>
      <c r="AP29" s="97">
        <v>25.815610885620117</v>
      </c>
      <c r="AQ29" s="98">
        <v>36.22684860229492</v>
      </c>
      <c r="AR29" s="99">
        <v>-88.97569274902344</v>
      </c>
    </row>
    <row r="30" spans="2:44" ht="13.5" customHeight="1" x14ac:dyDescent="0.25">
      <c r="B30" s="14">
        <v>0.16666666666666666</v>
      </c>
      <c r="C30" s="91">
        <v>-0.368927001953125</v>
      </c>
      <c r="D30" s="91">
        <v>-0.1953125</v>
      </c>
      <c r="E30" s="91">
        <v>63.08232116699219</v>
      </c>
      <c r="F30" s="91">
        <v>0</v>
      </c>
      <c r="G30" s="91">
        <v>2.3400784243676753E-07</v>
      </c>
      <c r="H30" s="91"/>
      <c r="I30" s="91"/>
      <c r="J30" s="91"/>
      <c r="K30" s="91"/>
      <c r="L30" s="92"/>
      <c r="M30" s="107">
        <v>67.51663970947266</v>
      </c>
      <c r="N30" s="91">
        <v>43.088111877441406</v>
      </c>
      <c r="O30" s="91">
        <v>50</v>
      </c>
      <c r="P30" s="91">
        <v>0</v>
      </c>
      <c r="Q30" s="91">
        <v>2.5</v>
      </c>
      <c r="R30" s="91">
        <v>18.323209762573242</v>
      </c>
      <c r="S30" s="108">
        <v>92.9181137084961</v>
      </c>
      <c r="T30" s="108">
        <v>45</v>
      </c>
      <c r="U30" s="108">
        <v>55.249019622802734</v>
      </c>
      <c r="V30" s="108">
        <v>10.291879653930664</v>
      </c>
      <c r="W30" s="108">
        <v>17.713760375976562</v>
      </c>
      <c r="X30" s="108">
        <v>0</v>
      </c>
      <c r="Y30" s="108">
        <v>0</v>
      </c>
      <c r="Z30" s="108">
        <v>23.603879928588867</v>
      </c>
      <c r="AA30" s="108">
        <v>53.88454818725586</v>
      </c>
      <c r="AB30" s="108"/>
      <c r="AC30" s="95"/>
      <c r="AD30" s="95">
        <v>0</v>
      </c>
      <c r="AE30" s="95">
        <v>0</v>
      </c>
      <c r="AF30" s="95"/>
      <c r="AG30" s="95">
        <v>1.6348379850387573</v>
      </c>
      <c r="AH30" s="95"/>
      <c r="AI30" s="109"/>
      <c r="AJ30" s="109"/>
      <c r="AK30" s="109"/>
      <c r="AL30" s="109"/>
      <c r="AM30" s="109"/>
      <c r="AN30" s="95">
        <v>62.44935989379883</v>
      </c>
      <c r="AO30" s="96">
        <v>60.91579818725586</v>
      </c>
      <c r="AP30" s="97">
        <v>25.978370666503906</v>
      </c>
      <c r="AQ30" s="98">
        <v>35.919410705566406</v>
      </c>
      <c r="AR30" s="99">
        <v>-88.98654174804688</v>
      </c>
    </row>
    <row r="31" spans="2:44" ht="13.5" customHeight="1" x14ac:dyDescent="0.25">
      <c r="B31" s="14">
        <v>0.20833333333333334</v>
      </c>
      <c r="C31" s="91">
        <v>-0.368927001953125</v>
      </c>
      <c r="D31" s="91">
        <v>-0.1880798041820526</v>
      </c>
      <c r="E31" s="91">
        <v>63.25593185424805</v>
      </c>
      <c r="F31" s="91">
        <v>0</v>
      </c>
      <c r="G31" s="91">
        <v>1.9693374042617506E-07</v>
      </c>
      <c r="H31" s="91"/>
      <c r="I31" s="91"/>
      <c r="J31" s="91"/>
      <c r="K31" s="91"/>
      <c r="L31" s="92"/>
      <c r="M31" s="107">
        <v>67.88555908203125</v>
      </c>
      <c r="N31" s="91">
        <v>42.35749053955078</v>
      </c>
      <c r="O31" s="91">
        <v>50</v>
      </c>
      <c r="P31" s="91">
        <v>0</v>
      </c>
      <c r="Q31" s="91">
        <v>2.5</v>
      </c>
      <c r="R31" s="91">
        <v>17.856630325317383</v>
      </c>
      <c r="S31" s="108">
        <v>92.92534637451172</v>
      </c>
      <c r="T31" s="108">
        <v>45</v>
      </c>
      <c r="U31" s="108">
        <v>55.51811981201172</v>
      </c>
      <c r="V31" s="108">
        <v>10.232210159301758</v>
      </c>
      <c r="W31" s="108">
        <v>17.203779220581055</v>
      </c>
      <c r="X31" s="108">
        <v>0</v>
      </c>
      <c r="Y31" s="108">
        <v>0</v>
      </c>
      <c r="Z31" s="108">
        <v>24.875219345092773</v>
      </c>
      <c r="AA31" s="108">
        <v>60.52518081665039</v>
      </c>
      <c r="AB31" s="108"/>
      <c r="AC31" s="95"/>
      <c r="AD31" s="95">
        <v>0</v>
      </c>
      <c r="AE31" s="95">
        <v>0</v>
      </c>
      <c r="AF31" s="95"/>
      <c r="AG31" s="95">
        <v>1.6854749917984009</v>
      </c>
      <c r="AH31" s="95"/>
      <c r="AI31" s="109"/>
      <c r="AJ31" s="109"/>
      <c r="AK31" s="109"/>
      <c r="AL31" s="109"/>
      <c r="AM31" s="109"/>
      <c r="AN31" s="95">
        <v>70.38482666015625</v>
      </c>
      <c r="AO31" s="96">
        <v>58.868629455566406</v>
      </c>
      <c r="AP31" s="97">
        <v>25.77039909362793</v>
      </c>
      <c r="AQ31" s="98">
        <v>36.19430160522461</v>
      </c>
      <c r="AR31" s="99">
        <v>-88.99739837646484</v>
      </c>
    </row>
    <row r="32" spans="2:44" ht="13.5" customHeight="1" x14ac:dyDescent="0.25">
      <c r="B32" s="14">
        <v>0.25</v>
      </c>
      <c r="C32" s="91">
        <v>-0.43402859568595886</v>
      </c>
      <c r="D32" s="91">
        <v>-0.2025451958179474</v>
      </c>
      <c r="E32" s="91">
        <v>64.0625</v>
      </c>
      <c r="F32" s="91">
        <v>0</v>
      </c>
      <c r="G32" s="91">
        <v>1.020431525944332E-07</v>
      </c>
      <c r="H32" s="91"/>
      <c r="I32" s="91"/>
      <c r="J32" s="91"/>
      <c r="K32" s="91"/>
      <c r="L32" s="92"/>
      <c r="M32" s="107">
        <v>68.09896087646484</v>
      </c>
      <c r="N32" s="91">
        <v>41.65943145751953</v>
      </c>
      <c r="O32" s="91">
        <v>50</v>
      </c>
      <c r="P32" s="91">
        <v>0</v>
      </c>
      <c r="Q32" s="91">
        <v>2.5</v>
      </c>
      <c r="R32" s="91">
        <v>17.458770751953125</v>
      </c>
      <c r="S32" s="108">
        <v>92.84577178955078</v>
      </c>
      <c r="T32" s="108">
        <v>45</v>
      </c>
      <c r="U32" s="108">
        <v>55.232200622558594</v>
      </c>
      <c r="V32" s="108">
        <v>9.83615493774414</v>
      </c>
      <c r="W32" s="108">
        <v>16.758899688720703</v>
      </c>
      <c r="X32" s="108">
        <v>0</v>
      </c>
      <c r="Y32" s="108">
        <v>0</v>
      </c>
      <c r="Z32" s="108">
        <v>28.0852108001709</v>
      </c>
      <c r="AA32" s="108">
        <v>62.47829818725586</v>
      </c>
      <c r="AB32" s="108"/>
      <c r="AC32" s="95"/>
      <c r="AD32" s="95">
        <v>0</v>
      </c>
      <c r="AE32" s="95">
        <v>0</v>
      </c>
      <c r="AF32" s="95"/>
      <c r="AG32" s="95">
        <v>1.8518520593643188</v>
      </c>
      <c r="AH32" s="95"/>
      <c r="AI32" s="109"/>
      <c r="AJ32" s="109"/>
      <c r="AK32" s="109"/>
      <c r="AL32" s="109"/>
      <c r="AM32" s="109"/>
      <c r="AN32" s="95">
        <v>74.0017318725586</v>
      </c>
      <c r="AO32" s="96">
        <v>56.74913024902344</v>
      </c>
      <c r="AP32" s="97">
        <v>25.824649810791016</v>
      </c>
      <c r="AQ32" s="98">
        <v>35.94112014770508</v>
      </c>
      <c r="AR32" s="99">
        <v>-89.00824737548828</v>
      </c>
    </row>
    <row r="33" spans="2:44" ht="13.5" customHeight="1" x14ac:dyDescent="0.25">
      <c r="B33" s="14">
        <v>0.29166666666666669</v>
      </c>
      <c r="C33" s="91">
        <v>-0.41956329345703125</v>
      </c>
      <c r="D33" s="91">
        <v>-0.20978550612926483</v>
      </c>
      <c r="E33" s="91">
        <v>65.0896987915039</v>
      </c>
      <c r="F33" s="91">
        <v>0</v>
      </c>
      <c r="G33" s="91">
        <v>8.296966313992016E-08</v>
      </c>
      <c r="H33" s="91"/>
      <c r="I33" s="91"/>
      <c r="J33" s="91"/>
      <c r="K33" s="91"/>
      <c r="L33" s="92"/>
      <c r="M33" s="107">
        <v>68.46064758300781</v>
      </c>
      <c r="N33" s="91">
        <v>41.044559478759766</v>
      </c>
      <c r="O33" s="91">
        <v>50</v>
      </c>
      <c r="P33" s="91">
        <v>0</v>
      </c>
      <c r="Q33" s="91">
        <v>2.5</v>
      </c>
      <c r="R33" s="91">
        <v>16.988569259643555</v>
      </c>
      <c r="S33" s="108">
        <v>92.71195220947266</v>
      </c>
      <c r="T33" s="108">
        <v>45</v>
      </c>
      <c r="U33" s="108">
        <v>55.89934158325195</v>
      </c>
      <c r="V33" s="108">
        <v>9.619140625</v>
      </c>
      <c r="W33" s="108">
        <v>16.357419967651367</v>
      </c>
      <c r="X33" s="108">
        <v>0</v>
      </c>
      <c r="Y33" s="108">
        <v>0</v>
      </c>
      <c r="Z33" s="108">
        <v>26.45941925048828</v>
      </c>
      <c r="AA33" s="108">
        <v>58.669708251953125</v>
      </c>
      <c r="AB33" s="108"/>
      <c r="AC33" s="95"/>
      <c r="AD33" s="95">
        <v>0</v>
      </c>
      <c r="AE33" s="95">
        <v>0</v>
      </c>
      <c r="AF33" s="95"/>
      <c r="AG33" s="95">
        <v>1.9965280294418335</v>
      </c>
      <c r="AH33" s="95"/>
      <c r="AI33" s="109"/>
      <c r="AJ33" s="109"/>
      <c r="AK33" s="109"/>
      <c r="AL33" s="109"/>
      <c r="AM33" s="109"/>
      <c r="AN33" s="95">
        <v>69.98697662353516</v>
      </c>
      <c r="AO33" s="96">
        <v>55.08897018432617</v>
      </c>
      <c r="AP33" s="97">
        <v>26.10495948791504</v>
      </c>
      <c r="AQ33" s="98">
        <v>36.132808685302734</v>
      </c>
      <c r="AR33" s="99">
        <v>-89.00824737548828</v>
      </c>
    </row>
    <row r="34" spans="2:44" ht="13.5" customHeight="1" x14ac:dyDescent="0.25">
      <c r="B34" s="42">
        <v>0.33333333333333331</v>
      </c>
      <c r="C34" s="100">
        <v>-0.368927001953125</v>
      </c>
      <c r="D34" s="100">
        <v>-0.1880798041820526</v>
      </c>
      <c r="E34" s="100">
        <v>65.7009506225586</v>
      </c>
      <c r="F34" s="100">
        <v>0</v>
      </c>
      <c r="G34" s="100">
        <v>1.0704994224397524E-07</v>
      </c>
      <c r="H34" s="100"/>
      <c r="I34" s="100"/>
      <c r="J34" s="100"/>
      <c r="K34" s="100"/>
      <c r="L34" s="101"/>
      <c r="M34" s="110">
        <v>68.417236328125</v>
      </c>
      <c r="N34" s="100">
        <v>40.494789123535156</v>
      </c>
      <c r="O34" s="100">
        <v>50</v>
      </c>
      <c r="P34" s="100">
        <v>0</v>
      </c>
      <c r="Q34" s="100">
        <v>2.5</v>
      </c>
      <c r="R34" s="100">
        <v>16.536460876464844</v>
      </c>
      <c r="S34" s="111">
        <v>92.61067199707031</v>
      </c>
      <c r="T34" s="111">
        <v>45</v>
      </c>
      <c r="U34" s="111">
        <v>55.88813018798828</v>
      </c>
      <c r="V34" s="111">
        <v>9.228515625</v>
      </c>
      <c r="W34" s="111">
        <v>15.869139671325684</v>
      </c>
      <c r="X34" s="111">
        <v>0</v>
      </c>
      <c r="Y34" s="111">
        <v>0</v>
      </c>
      <c r="Z34" s="111">
        <v>24.59309959411621</v>
      </c>
      <c r="AA34" s="111">
        <v>53.35287094116211</v>
      </c>
      <c r="AB34" s="111"/>
      <c r="AC34" s="104"/>
      <c r="AD34" s="104">
        <v>0</v>
      </c>
      <c r="AE34" s="104">
        <v>0</v>
      </c>
      <c r="AF34" s="104"/>
      <c r="AG34" s="104">
        <v>2.2243919372558594</v>
      </c>
      <c r="AH34" s="104"/>
      <c r="AI34" s="112"/>
      <c r="AJ34" s="112"/>
      <c r="AK34" s="112"/>
      <c r="AL34" s="112"/>
      <c r="AM34" s="112"/>
      <c r="AN34" s="104">
        <v>63.093170166015625</v>
      </c>
      <c r="AO34" s="105">
        <v>64.48930358886719</v>
      </c>
      <c r="AP34" s="113">
        <v>25.833690643310547</v>
      </c>
      <c r="AQ34" s="114">
        <v>36.187068939208984</v>
      </c>
      <c r="AR34" s="115">
        <v>-89.00824737548828</v>
      </c>
    </row>
    <row r="35" spans="2:44" ht="15" customHeight="1" x14ac:dyDescent="0.25">
      <c r="B35" s="173" t="s">
        <v>181</v>
      </c>
      <c r="C35" s="174" t="s">
        <v>38</v>
      </c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4" t="s">
        <v>216</v>
      </c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6"/>
      <c r="AK35" s="180" t="s">
        <v>48</v>
      </c>
      <c r="AL35" s="178"/>
      <c r="AM35" s="207" t="s">
        <v>223</v>
      </c>
      <c r="AN35" s="208"/>
      <c r="AO35" s="43"/>
      <c r="AP35" s="43"/>
      <c r="AQ35" s="43"/>
      <c r="AR35" s="44"/>
    </row>
    <row r="36" spans="2:44" ht="20.15" customHeight="1" x14ac:dyDescent="0.25">
      <c r="B36" s="160"/>
      <c r="C36" s="154" t="s">
        <v>32</v>
      </c>
      <c r="D36" s="186"/>
      <c r="E36" s="154" t="s">
        <v>33</v>
      </c>
      <c r="F36" s="215"/>
      <c r="G36" s="186"/>
      <c r="H36" s="209" t="s">
        <v>276</v>
      </c>
      <c r="I36" s="210"/>
      <c r="J36" s="4" t="s">
        <v>27</v>
      </c>
      <c r="K36" s="4" t="s">
        <v>30</v>
      </c>
      <c r="L36" s="4" t="s">
        <v>191</v>
      </c>
      <c r="M36" s="211" t="s">
        <v>192</v>
      </c>
      <c r="N36" s="212"/>
      <c r="O36" s="4" t="s">
        <v>26</v>
      </c>
      <c r="P36" s="4" t="s">
        <v>197</v>
      </c>
      <c r="Q36" s="154" t="s">
        <v>199</v>
      </c>
      <c r="R36" s="216"/>
      <c r="S36" s="154" t="s">
        <v>202</v>
      </c>
      <c r="T36" s="216"/>
      <c r="U36" s="154" t="s">
        <v>201</v>
      </c>
      <c r="V36" s="213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68" t="s">
        <v>46</v>
      </c>
      <c r="AI36" s="214"/>
      <c r="AJ36" s="155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60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60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409</v>
      </c>
      <c r="N38" s="1" t="s">
        <v>410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87">
        <v>0</v>
      </c>
      <c r="D39" s="87"/>
      <c r="E39" s="87">
        <v>13.505499839782715</v>
      </c>
      <c r="F39" s="87"/>
      <c r="G39" s="87"/>
      <c r="H39" s="87">
        <v>43.05916976928711</v>
      </c>
      <c r="I39" s="87"/>
      <c r="J39" s="87">
        <v>43.62882995605469</v>
      </c>
      <c r="K39" s="87">
        <v>0.3953632116317749</v>
      </c>
      <c r="L39" s="87">
        <v>2.83215594291687</v>
      </c>
      <c r="M39" s="87">
        <v>44.13520050048828</v>
      </c>
      <c r="N39" s="87"/>
      <c r="O39" s="87">
        <v>0</v>
      </c>
      <c r="P39" s="87">
        <v>0.00039660700713284314</v>
      </c>
      <c r="Q39" s="87">
        <v>897.3380126953125</v>
      </c>
      <c r="R39" s="87"/>
      <c r="S39" s="87">
        <v>897.3380126953125</v>
      </c>
      <c r="T39" s="87"/>
      <c r="U39" s="88">
        <v>0</v>
      </c>
      <c r="V39" s="89"/>
      <c r="W39" s="90">
        <v>50</v>
      </c>
      <c r="X39" s="88">
        <v>0</v>
      </c>
      <c r="Y39" s="88">
        <v>13.655599594116211</v>
      </c>
      <c r="Z39" s="88">
        <v>20.4589900970459</v>
      </c>
      <c r="AA39" s="88">
        <v>50</v>
      </c>
      <c r="AB39" s="88">
        <v>0</v>
      </c>
      <c r="AC39" s="88">
        <v>30.02206039428711</v>
      </c>
      <c r="AD39" s="88">
        <v>64.95768737792969</v>
      </c>
      <c r="AE39" s="79"/>
      <c r="AF39" s="79">
        <v>0</v>
      </c>
      <c r="AG39" s="79"/>
      <c r="AH39" s="79">
        <v>0.0003950496902689338</v>
      </c>
      <c r="AI39" s="79">
        <v>31.228300094604492</v>
      </c>
      <c r="AJ39" s="79"/>
      <c r="AK39" s="79"/>
      <c r="AL39" s="81"/>
      <c r="AM39" s="83"/>
      <c r="AN39" s="80"/>
      <c r="AO39" s="79"/>
      <c r="AP39" s="79"/>
      <c r="AQ39" s="79"/>
      <c r="AR39" s="82"/>
    </row>
    <row r="40" spans="2:44" ht="13.5" customHeight="1" x14ac:dyDescent="0.25">
      <c r="B40" s="14">
        <v>0.875</v>
      </c>
      <c r="C40" s="91">
        <v>0</v>
      </c>
      <c r="D40" s="91">
        <v>0</v>
      </c>
      <c r="E40" s="91">
        <v>13.541669845581055</v>
      </c>
      <c r="F40" s="91"/>
      <c r="G40" s="91"/>
      <c r="H40" s="91">
        <v>43.04108810424805</v>
      </c>
      <c r="I40" s="91">
        <v>0</v>
      </c>
      <c r="J40" s="91">
        <v>28.83572006225586</v>
      </c>
      <c r="K40" s="91">
        <v>0.06967954337596893</v>
      </c>
      <c r="L40" s="91">
        <v>3.0351810455322266</v>
      </c>
      <c r="M40" s="91">
        <v>39.74066925048828</v>
      </c>
      <c r="N40" s="91">
        <v>4.0489501953125</v>
      </c>
      <c r="O40" s="91">
        <v>0</v>
      </c>
      <c r="P40" s="91">
        <v>0.00039660700713284314</v>
      </c>
      <c r="Q40" s="91">
        <v>0</v>
      </c>
      <c r="R40" s="91">
        <v>0.41780799627304077</v>
      </c>
      <c r="S40" s="91">
        <v>0</v>
      </c>
      <c r="T40" s="91">
        <v>0</v>
      </c>
      <c r="U40" s="108">
        <v>0</v>
      </c>
      <c r="V40" s="116">
        <v>0.00019169044389855117</v>
      </c>
      <c r="W40" s="117">
        <v>50</v>
      </c>
      <c r="X40" s="108">
        <v>0</v>
      </c>
      <c r="Y40" s="108">
        <v>12.771269798278809</v>
      </c>
      <c r="Z40" s="108">
        <v>19.325090408325195</v>
      </c>
      <c r="AA40" s="108">
        <v>50</v>
      </c>
      <c r="AB40" s="108">
        <v>0</v>
      </c>
      <c r="AC40" s="108">
        <v>29.607929229736328</v>
      </c>
      <c r="AD40" s="108">
        <v>60.76932144165039</v>
      </c>
      <c r="AE40" s="95"/>
      <c r="AF40" s="95">
        <v>0</v>
      </c>
      <c r="AG40" s="95"/>
      <c r="AH40" s="95">
        <v>0.0003950496902689338</v>
      </c>
      <c r="AI40" s="95">
        <v>31.2102108001709</v>
      </c>
      <c r="AJ40" s="95">
        <v>-0.0004976902273483574</v>
      </c>
      <c r="AK40" s="95"/>
      <c r="AL40" s="96"/>
      <c r="AM40" s="118"/>
      <c r="AN40" s="109"/>
      <c r="AO40" s="95"/>
      <c r="AP40" s="95"/>
      <c r="AQ40" s="95"/>
      <c r="AR40" s="99"/>
    </row>
    <row r="41" spans="2:44" ht="13.5" customHeight="1" x14ac:dyDescent="0.25">
      <c r="B41" s="41" t="s">
        <v>271</v>
      </c>
      <c r="C41" s="91">
        <v>0</v>
      </c>
      <c r="D41" s="91">
        <v>0</v>
      </c>
      <c r="E41" s="91">
        <v>13.498259544372559</v>
      </c>
      <c r="F41" s="91"/>
      <c r="G41" s="91"/>
      <c r="H41" s="91">
        <v>42.851200103759766</v>
      </c>
      <c r="I41" s="91">
        <v>0</v>
      </c>
      <c r="J41" s="91">
        <v>25.62571907043457</v>
      </c>
      <c r="K41" s="91">
        <v>0.0673285573720932</v>
      </c>
      <c r="L41" s="91">
        <v>3.1038100719451904</v>
      </c>
      <c r="M41" s="91">
        <v>36.2413215637207</v>
      </c>
      <c r="N41" s="91">
        <v>-0.24200439453125</v>
      </c>
      <c r="O41" s="91">
        <v>0</v>
      </c>
      <c r="P41" s="91">
        <v>0.00039660700713284314</v>
      </c>
      <c r="Q41" s="91">
        <v>0</v>
      </c>
      <c r="R41" s="91">
        <v>0</v>
      </c>
      <c r="S41" s="91">
        <v>0</v>
      </c>
      <c r="T41" s="91">
        <v>0</v>
      </c>
      <c r="U41" s="108">
        <v>0</v>
      </c>
      <c r="V41" s="116">
        <v>0.00011935996735701337</v>
      </c>
      <c r="W41" s="117">
        <v>50</v>
      </c>
      <c r="X41" s="108">
        <v>0</v>
      </c>
      <c r="Y41" s="108">
        <v>11.702469825744629</v>
      </c>
      <c r="Z41" s="108">
        <v>17.82769012451172</v>
      </c>
      <c r="AA41" s="108">
        <v>50</v>
      </c>
      <c r="AB41" s="108">
        <v>0</v>
      </c>
      <c r="AC41" s="108">
        <v>28.02372932434082</v>
      </c>
      <c r="AD41" s="108">
        <v>57.66059112548828</v>
      </c>
      <c r="AE41" s="95"/>
      <c r="AF41" s="95">
        <v>0</v>
      </c>
      <c r="AG41" s="95"/>
      <c r="AH41" s="95">
        <v>0.0003950496902689338</v>
      </c>
      <c r="AI41" s="95">
        <v>31.192129135131836</v>
      </c>
      <c r="AJ41" s="95">
        <v>-0.00036168860970065</v>
      </c>
      <c r="AK41" s="95"/>
      <c r="AL41" s="96"/>
      <c r="AM41" s="118"/>
      <c r="AN41" s="109"/>
      <c r="AO41" s="95"/>
      <c r="AP41" s="95"/>
      <c r="AQ41" s="95"/>
      <c r="AR41" s="99"/>
    </row>
    <row r="42" spans="2:44" ht="13.5" customHeight="1" x14ac:dyDescent="0.25">
      <c r="B42" s="14">
        <v>0.95833333333333337</v>
      </c>
      <c r="C42" s="91">
        <v>0</v>
      </c>
      <c r="D42" s="91">
        <v>0.00023371911083813757</v>
      </c>
      <c r="E42" s="91">
        <v>13.47655963897705</v>
      </c>
      <c r="F42" s="91"/>
      <c r="G42" s="91"/>
      <c r="H42" s="91">
        <v>43.52936935424805</v>
      </c>
      <c r="I42" s="91">
        <v>0</v>
      </c>
      <c r="J42" s="91">
        <v>35.45463943481445</v>
      </c>
      <c r="K42" s="91">
        <v>0.16807730495929718</v>
      </c>
      <c r="L42" s="91">
        <v>3.2624239921569824</v>
      </c>
      <c r="M42" s="91">
        <v>44.487850189208984</v>
      </c>
      <c r="N42" s="91">
        <v>-4.011962890625</v>
      </c>
      <c r="O42" s="91">
        <v>0</v>
      </c>
      <c r="P42" s="91">
        <v>0.00039660700713284314</v>
      </c>
      <c r="Q42" s="91">
        <v>573.6978759765625</v>
      </c>
      <c r="R42" s="91">
        <v>0.2861860394477844</v>
      </c>
      <c r="S42" s="91">
        <v>573.6978759765625</v>
      </c>
      <c r="T42" s="91">
        <v>0</v>
      </c>
      <c r="U42" s="108">
        <v>0</v>
      </c>
      <c r="V42" s="116">
        <v>0.00012298011279199272</v>
      </c>
      <c r="W42" s="117">
        <v>50</v>
      </c>
      <c r="X42" s="108">
        <v>0</v>
      </c>
      <c r="Y42" s="108">
        <v>11.881509780883789</v>
      </c>
      <c r="Z42" s="108">
        <v>17.811420440673828</v>
      </c>
      <c r="AA42" s="108">
        <v>50</v>
      </c>
      <c r="AB42" s="108">
        <v>0</v>
      </c>
      <c r="AC42" s="108">
        <v>25.833690643310547</v>
      </c>
      <c r="AD42" s="108">
        <v>54.43251037597656</v>
      </c>
      <c r="AE42" s="95"/>
      <c r="AF42" s="95">
        <v>0</v>
      </c>
      <c r="AG42" s="95"/>
      <c r="AH42" s="95">
        <v>0.0003950496902689338</v>
      </c>
      <c r="AI42" s="95">
        <v>31.141490936279297</v>
      </c>
      <c r="AJ42" s="95">
        <v>-0.0005815906333737075</v>
      </c>
      <c r="AK42" s="95"/>
      <c r="AL42" s="96"/>
      <c r="AM42" s="118"/>
      <c r="AN42" s="109"/>
      <c r="AO42" s="95"/>
      <c r="AP42" s="95"/>
      <c r="AQ42" s="95"/>
      <c r="AR42" s="99"/>
    </row>
    <row r="43" spans="2:44" ht="13.5" customHeight="1" x14ac:dyDescent="0.25">
      <c r="B43" s="41" t="s">
        <v>272</v>
      </c>
      <c r="C43" s="91">
        <v>0</v>
      </c>
      <c r="D43" s="91">
        <v>0.00029858184279873967</v>
      </c>
      <c r="E43" s="91">
        <v>13.35359001159668</v>
      </c>
      <c r="F43" s="91"/>
      <c r="G43" s="91"/>
      <c r="H43" s="91">
        <v>44.533058166503906</v>
      </c>
      <c r="I43" s="91">
        <v>0</v>
      </c>
      <c r="J43" s="91">
        <v>29.088899612426758</v>
      </c>
      <c r="K43" s="91">
        <v>0.14807580411434174</v>
      </c>
      <c r="L43" s="91">
        <v>3.386029005050659</v>
      </c>
      <c r="M43" s="91">
        <v>44.60540008544922</v>
      </c>
      <c r="N43" s="91">
        <v>-5.21600341796875</v>
      </c>
      <c r="O43" s="91">
        <v>0</v>
      </c>
      <c r="P43" s="91">
        <v>0.00039660700713284314</v>
      </c>
      <c r="Q43" s="91">
        <v>106.3656997680664</v>
      </c>
      <c r="R43" s="91">
        <v>0.19342419505119324</v>
      </c>
      <c r="S43" s="91">
        <v>106.3656997680664</v>
      </c>
      <c r="T43" s="91">
        <v>0</v>
      </c>
      <c r="U43" s="108">
        <v>0</v>
      </c>
      <c r="V43" s="116">
        <v>5.4249761888058856E-05</v>
      </c>
      <c r="W43" s="117">
        <v>50</v>
      </c>
      <c r="X43" s="108">
        <v>0</v>
      </c>
      <c r="Y43" s="108">
        <v>11.322699546813965</v>
      </c>
      <c r="Z43" s="108">
        <v>18.728300094604492</v>
      </c>
      <c r="AA43" s="108">
        <v>50</v>
      </c>
      <c r="AB43" s="108">
        <v>0</v>
      </c>
      <c r="AC43" s="108">
        <v>23.730470657348633</v>
      </c>
      <c r="AD43" s="108">
        <v>57.4598503112793</v>
      </c>
      <c r="AE43" s="95"/>
      <c r="AF43" s="95">
        <v>0</v>
      </c>
      <c r="AG43" s="95"/>
      <c r="AH43" s="95">
        <v>0.0003950496902689338</v>
      </c>
      <c r="AI43" s="95">
        <v>31.119789123535156</v>
      </c>
      <c r="AJ43" s="95">
        <v>-0.0003906307101715356</v>
      </c>
      <c r="AK43" s="95"/>
      <c r="AL43" s="96"/>
      <c r="AM43" s="118"/>
      <c r="AN43" s="109"/>
      <c r="AO43" s="95"/>
      <c r="AP43" s="95"/>
      <c r="AQ43" s="95"/>
      <c r="AR43" s="99"/>
    </row>
    <row r="44" spans="2:44" ht="13.5" customHeight="1" x14ac:dyDescent="0.25">
      <c r="B44" s="14">
        <v>4.1666666666666664E-2</v>
      </c>
      <c r="C44" s="91">
        <v>2.2384979724884033</v>
      </c>
      <c r="D44" s="91">
        <v>0.00016825723287183791</v>
      </c>
      <c r="E44" s="91">
        <v>13.295720100402832</v>
      </c>
      <c r="F44" s="91"/>
      <c r="G44" s="91"/>
      <c r="H44" s="91">
        <v>42.09164810180664</v>
      </c>
      <c r="I44" s="91">
        <v>0</v>
      </c>
      <c r="J44" s="91">
        <v>23.410369873046875</v>
      </c>
      <c r="K44" s="91">
        <v>0.06951679289340973</v>
      </c>
      <c r="L44" s="91">
        <v>3.485234022140503</v>
      </c>
      <c r="M44" s="91">
        <v>40.681060791015625</v>
      </c>
      <c r="N44" s="91">
        <v>86.71099853515625</v>
      </c>
      <c r="O44" s="91">
        <v>0</v>
      </c>
      <c r="P44" s="91">
        <v>0.00039660700713284314</v>
      </c>
      <c r="Q44" s="91">
        <v>0</v>
      </c>
      <c r="R44" s="91">
        <v>0.19545073807239532</v>
      </c>
      <c r="S44" s="91">
        <v>0</v>
      </c>
      <c r="T44" s="91">
        <v>0</v>
      </c>
      <c r="U44" s="108">
        <v>0</v>
      </c>
      <c r="V44" s="116">
        <v>0</v>
      </c>
      <c r="W44" s="117">
        <v>50</v>
      </c>
      <c r="X44" s="108">
        <v>0</v>
      </c>
      <c r="Y44" s="108">
        <v>10.59570026397705</v>
      </c>
      <c r="Z44" s="108">
        <v>18.728300094604492</v>
      </c>
      <c r="AA44" s="108">
        <v>50</v>
      </c>
      <c r="AB44" s="108">
        <v>0</v>
      </c>
      <c r="AC44" s="108">
        <v>29.7562198638916</v>
      </c>
      <c r="AD44" s="108">
        <v>62.8526496887207</v>
      </c>
      <c r="AE44" s="95"/>
      <c r="AF44" s="95">
        <v>0</v>
      </c>
      <c r="AG44" s="95"/>
      <c r="AH44" s="95">
        <v>0.0003950496902689338</v>
      </c>
      <c r="AI44" s="95">
        <v>31.08000946044922</v>
      </c>
      <c r="AJ44" s="95">
        <v>-0.0004745387996081263</v>
      </c>
      <c r="AK44" s="95"/>
      <c r="AL44" s="96"/>
      <c r="AM44" s="118"/>
      <c r="AN44" s="109"/>
      <c r="AO44" s="95"/>
      <c r="AP44" s="95"/>
      <c r="AQ44" s="95"/>
      <c r="AR44" s="99"/>
    </row>
    <row r="45" spans="2:44" ht="13.5" customHeight="1" x14ac:dyDescent="0.25">
      <c r="B45" s="41" t="s">
        <v>273</v>
      </c>
      <c r="C45" s="91">
        <v>0</v>
      </c>
      <c r="D45" s="91">
        <v>5.937981768511236E-05</v>
      </c>
      <c r="E45" s="91">
        <v>13.078700065612793</v>
      </c>
      <c r="F45" s="91"/>
      <c r="G45" s="91"/>
      <c r="H45" s="91">
        <v>42.29058074951172</v>
      </c>
      <c r="I45" s="91">
        <v>0</v>
      </c>
      <c r="J45" s="91">
        <v>22.904010772705078</v>
      </c>
      <c r="K45" s="91">
        <v>0.0616861991584301</v>
      </c>
      <c r="L45" s="91">
        <v>3.550196886062622</v>
      </c>
      <c r="M45" s="91">
        <v>42.760780334472656</v>
      </c>
      <c r="N45" s="91">
        <v>-73.2779541015625</v>
      </c>
      <c r="O45" s="91">
        <v>0</v>
      </c>
      <c r="P45" s="91">
        <v>0.00039660700713284314</v>
      </c>
      <c r="Q45" s="91">
        <v>0</v>
      </c>
      <c r="R45" s="91">
        <v>0.01404101587831974</v>
      </c>
      <c r="S45" s="91">
        <v>0</v>
      </c>
      <c r="T45" s="91">
        <v>0</v>
      </c>
      <c r="U45" s="108">
        <v>0</v>
      </c>
      <c r="V45" s="116">
        <v>-5.064010474598035E-05</v>
      </c>
      <c r="W45" s="117">
        <v>50</v>
      </c>
      <c r="X45" s="108">
        <v>0</v>
      </c>
      <c r="Y45" s="108">
        <v>11.24131965637207</v>
      </c>
      <c r="Z45" s="108">
        <v>18.75</v>
      </c>
      <c r="AA45" s="108">
        <v>50</v>
      </c>
      <c r="AB45" s="108">
        <v>0</v>
      </c>
      <c r="AC45" s="108">
        <v>28.483070373535156</v>
      </c>
      <c r="AD45" s="108">
        <v>58.83246994018555</v>
      </c>
      <c r="AE45" s="95"/>
      <c r="AF45" s="95">
        <v>0</v>
      </c>
      <c r="AG45" s="95"/>
      <c r="AH45" s="95">
        <v>0.0003950496902689338</v>
      </c>
      <c r="AI45" s="95">
        <v>31.065540313720703</v>
      </c>
      <c r="AJ45" s="95">
        <v>-0.00040509033715352416</v>
      </c>
      <c r="AK45" s="95"/>
      <c r="AL45" s="96"/>
      <c r="AM45" s="118"/>
      <c r="AN45" s="109"/>
      <c r="AO45" s="95"/>
      <c r="AP45" s="95"/>
      <c r="AQ45" s="95"/>
      <c r="AR45" s="99"/>
    </row>
    <row r="46" spans="2:44" ht="13.5" customHeight="1" x14ac:dyDescent="0.25">
      <c r="B46" s="14">
        <v>0.125</v>
      </c>
      <c r="C46" s="91">
        <v>0</v>
      </c>
      <c r="D46" s="91">
        <v>0</v>
      </c>
      <c r="E46" s="91">
        <v>12.984660148620605</v>
      </c>
      <c r="F46" s="91"/>
      <c r="G46" s="91"/>
      <c r="H46" s="91">
        <v>43.41181945800781</v>
      </c>
      <c r="I46" s="91">
        <v>0</v>
      </c>
      <c r="J46" s="91">
        <v>22.641780853271484</v>
      </c>
      <c r="K46" s="91">
        <v>0.0660264790058136</v>
      </c>
      <c r="L46" s="91">
        <v>3.6140201091766357</v>
      </c>
      <c r="M46" s="91">
        <v>44.27988052368164</v>
      </c>
      <c r="N46" s="91">
        <v>-14.49102783203125</v>
      </c>
      <c r="O46" s="91">
        <v>0</v>
      </c>
      <c r="P46" s="91">
        <v>0.00039660700713284314</v>
      </c>
      <c r="Q46" s="91">
        <v>0</v>
      </c>
      <c r="R46" s="91">
        <v>0.013765014708042145</v>
      </c>
      <c r="S46" s="91">
        <v>0</v>
      </c>
      <c r="T46" s="91">
        <v>0</v>
      </c>
      <c r="U46" s="108">
        <v>0</v>
      </c>
      <c r="V46" s="116">
        <v>-6.509971717605367E-05</v>
      </c>
      <c r="W46" s="117">
        <v>50</v>
      </c>
      <c r="X46" s="108">
        <v>0</v>
      </c>
      <c r="Y46" s="108">
        <v>10.986330032348633</v>
      </c>
      <c r="Z46" s="108">
        <v>18.218320846557617</v>
      </c>
      <c r="AA46" s="108">
        <v>50</v>
      </c>
      <c r="AB46" s="108">
        <v>0</v>
      </c>
      <c r="AC46" s="108">
        <v>26.42144012451172</v>
      </c>
      <c r="AD46" s="108">
        <v>55.636940002441406</v>
      </c>
      <c r="AE46" s="95"/>
      <c r="AF46" s="95">
        <v>0</v>
      </c>
      <c r="AG46" s="95"/>
      <c r="AH46" s="95">
        <v>0.0003950496902689338</v>
      </c>
      <c r="AI46" s="95">
        <v>31.040220260620117</v>
      </c>
      <c r="AJ46" s="95">
        <v>-0.0004079895152244717</v>
      </c>
      <c r="AK46" s="95"/>
      <c r="AL46" s="96"/>
      <c r="AM46" s="118"/>
      <c r="AN46" s="109"/>
      <c r="AO46" s="95"/>
      <c r="AP46" s="95"/>
      <c r="AQ46" s="95"/>
      <c r="AR46" s="99"/>
    </row>
    <row r="47" spans="2:44" ht="13.5" customHeight="1" x14ac:dyDescent="0.25">
      <c r="B47" s="14">
        <v>0.16666666666666666</v>
      </c>
      <c r="C47" s="91">
        <v>0</v>
      </c>
      <c r="D47" s="91">
        <v>0</v>
      </c>
      <c r="E47" s="91">
        <v>12.717009544372559</v>
      </c>
      <c r="F47" s="91"/>
      <c r="G47" s="91"/>
      <c r="H47" s="91">
        <v>43.420860290527344</v>
      </c>
      <c r="I47" s="91">
        <v>0</v>
      </c>
      <c r="J47" s="91">
        <v>22.42477035522461</v>
      </c>
      <c r="K47" s="91">
        <v>0.0649956613779068</v>
      </c>
      <c r="L47" s="91">
        <v>3.67970609664917</v>
      </c>
      <c r="M47" s="91">
        <v>44.334129333496094</v>
      </c>
      <c r="N47" s="91">
        <v>0.24798583984375</v>
      </c>
      <c r="O47" s="91">
        <v>0</v>
      </c>
      <c r="P47" s="91">
        <v>0.00039660700713284314</v>
      </c>
      <c r="Q47" s="91">
        <v>0</v>
      </c>
      <c r="R47" s="91">
        <v>0.03164001554250717</v>
      </c>
      <c r="S47" s="91">
        <v>0</v>
      </c>
      <c r="T47" s="91">
        <v>0</v>
      </c>
      <c r="U47" s="108">
        <v>0</v>
      </c>
      <c r="V47" s="116">
        <v>-7.234000804601237E-05</v>
      </c>
      <c r="W47" s="117">
        <v>50</v>
      </c>
      <c r="X47" s="108">
        <v>0</v>
      </c>
      <c r="Y47" s="108">
        <v>10.291879653930664</v>
      </c>
      <c r="Z47" s="108">
        <v>17.713760375976562</v>
      </c>
      <c r="AA47" s="108">
        <v>50</v>
      </c>
      <c r="AB47" s="108">
        <v>0</v>
      </c>
      <c r="AC47" s="108">
        <v>23.603879928588867</v>
      </c>
      <c r="AD47" s="108">
        <v>53.88454818725586</v>
      </c>
      <c r="AE47" s="95"/>
      <c r="AF47" s="95">
        <v>0</v>
      </c>
      <c r="AG47" s="95"/>
      <c r="AH47" s="95">
        <v>0.0003950496902689338</v>
      </c>
      <c r="AI47" s="95">
        <v>31.00404930114746</v>
      </c>
      <c r="AJ47" s="95">
        <v>-0.00040219115908257663</v>
      </c>
      <c r="AK47" s="95"/>
      <c r="AL47" s="96"/>
      <c r="AM47" s="118"/>
      <c r="AN47" s="109"/>
      <c r="AO47" s="95"/>
      <c r="AP47" s="95"/>
      <c r="AQ47" s="95"/>
      <c r="AR47" s="99"/>
    </row>
    <row r="48" spans="2:44" ht="13.5" customHeight="1" x14ac:dyDescent="0.25">
      <c r="B48" s="14">
        <v>0.20833333333333334</v>
      </c>
      <c r="C48" s="91">
        <v>0</v>
      </c>
      <c r="D48" s="91">
        <v>0</v>
      </c>
      <c r="E48" s="91">
        <v>12.39148998260498</v>
      </c>
      <c r="F48" s="91"/>
      <c r="G48" s="91"/>
      <c r="H48" s="91">
        <v>43.420860290527344</v>
      </c>
      <c r="I48" s="91">
        <v>0</v>
      </c>
      <c r="J48" s="91">
        <v>22.03594970703125</v>
      </c>
      <c r="K48" s="91">
        <v>0.0641818568110466</v>
      </c>
      <c r="L48" s="91">
        <v>3.744966983795166</v>
      </c>
      <c r="M48" s="91">
        <v>44.352210998535156</v>
      </c>
      <c r="N48" s="91">
        <v>0.0250244140625</v>
      </c>
      <c r="O48" s="91">
        <v>0</v>
      </c>
      <c r="P48" s="91">
        <v>0.00039660700713284314</v>
      </c>
      <c r="Q48" s="91">
        <v>0</v>
      </c>
      <c r="R48" s="91">
        <v>0.04244604334235191</v>
      </c>
      <c r="S48" s="91">
        <v>0</v>
      </c>
      <c r="T48" s="91">
        <v>0</v>
      </c>
      <c r="U48" s="108">
        <v>0</v>
      </c>
      <c r="V48" s="116">
        <v>-0.00010127067798748612</v>
      </c>
      <c r="W48" s="117">
        <v>50</v>
      </c>
      <c r="X48" s="108">
        <v>0</v>
      </c>
      <c r="Y48" s="108">
        <v>10.232210159301758</v>
      </c>
      <c r="Z48" s="108">
        <v>17.203779220581055</v>
      </c>
      <c r="AA48" s="108">
        <v>50</v>
      </c>
      <c r="AB48" s="108">
        <v>0</v>
      </c>
      <c r="AC48" s="108">
        <v>24.875219345092773</v>
      </c>
      <c r="AD48" s="108">
        <v>60.52518081665039</v>
      </c>
      <c r="AE48" s="95"/>
      <c r="AF48" s="95">
        <v>0</v>
      </c>
      <c r="AG48" s="95"/>
      <c r="AH48" s="95">
        <v>0.0003950496902689338</v>
      </c>
      <c r="AI48" s="95">
        <v>30.96426010131836</v>
      </c>
      <c r="AJ48" s="95">
        <v>-0.000477428431622684</v>
      </c>
      <c r="AK48" s="95"/>
      <c r="AL48" s="96"/>
      <c r="AM48" s="118"/>
      <c r="AN48" s="109"/>
      <c r="AO48" s="95"/>
      <c r="AP48" s="95"/>
      <c r="AQ48" s="95"/>
      <c r="AR48" s="99"/>
    </row>
    <row r="49" spans="2:44" ht="13.5" customHeight="1" x14ac:dyDescent="0.25">
      <c r="B49" s="14">
        <v>0.25</v>
      </c>
      <c r="C49" s="91">
        <v>0</v>
      </c>
      <c r="D49" s="91">
        <v>0</v>
      </c>
      <c r="E49" s="91">
        <v>12.116609573364258</v>
      </c>
      <c r="F49" s="91"/>
      <c r="G49" s="91"/>
      <c r="H49" s="91">
        <v>43.429901123046875</v>
      </c>
      <c r="I49" s="91">
        <v>0</v>
      </c>
      <c r="J49" s="91">
        <v>21.818939208984375</v>
      </c>
      <c r="K49" s="91">
        <v>0.06432653218507767</v>
      </c>
      <c r="L49" s="91">
        <v>3.809221029281616</v>
      </c>
      <c r="M49" s="91">
        <v>44.39741897583008</v>
      </c>
      <c r="N49" s="91">
        <v>0.02099609375</v>
      </c>
      <c r="O49" s="91">
        <v>0</v>
      </c>
      <c r="P49" s="91">
        <v>0.00039660700713284314</v>
      </c>
      <c r="Q49" s="91">
        <v>0</v>
      </c>
      <c r="R49" s="91">
        <v>0.02813098207116127</v>
      </c>
      <c r="S49" s="91">
        <v>0</v>
      </c>
      <c r="T49" s="91">
        <v>0</v>
      </c>
      <c r="U49" s="108">
        <v>0</v>
      </c>
      <c r="V49" s="116">
        <v>-0.000224249844904989</v>
      </c>
      <c r="W49" s="117">
        <v>50</v>
      </c>
      <c r="X49" s="108">
        <v>0</v>
      </c>
      <c r="Y49" s="108">
        <v>9.83615493774414</v>
      </c>
      <c r="Z49" s="108">
        <v>16.758899688720703</v>
      </c>
      <c r="AA49" s="108">
        <v>50</v>
      </c>
      <c r="AB49" s="108">
        <v>0</v>
      </c>
      <c r="AC49" s="108">
        <v>28.0852108001709</v>
      </c>
      <c r="AD49" s="108">
        <v>62.47829818725586</v>
      </c>
      <c r="AE49" s="95"/>
      <c r="AF49" s="95">
        <v>0</v>
      </c>
      <c r="AG49" s="95"/>
      <c r="AH49" s="95">
        <v>0.0003950496902689338</v>
      </c>
      <c r="AI49" s="95">
        <v>30.957029342651367</v>
      </c>
      <c r="AJ49" s="95">
        <v>-0.0004369201778899878</v>
      </c>
      <c r="AK49" s="95"/>
      <c r="AL49" s="96"/>
      <c r="AM49" s="118"/>
      <c r="AN49" s="109"/>
      <c r="AO49" s="95"/>
      <c r="AP49" s="95"/>
      <c r="AQ49" s="95"/>
      <c r="AR49" s="99"/>
    </row>
    <row r="50" spans="2:44" ht="13.5" customHeight="1" x14ac:dyDescent="0.25">
      <c r="B50" s="14">
        <v>0.29166666666666669</v>
      </c>
      <c r="C50" s="91">
        <v>0</v>
      </c>
      <c r="D50" s="91">
        <v>0</v>
      </c>
      <c r="E50" s="91">
        <v>11.906829833984375</v>
      </c>
      <c r="F50" s="91"/>
      <c r="G50" s="91"/>
      <c r="H50" s="91">
        <v>43.429901123046875</v>
      </c>
      <c r="I50" s="91">
        <v>0</v>
      </c>
      <c r="J50" s="91">
        <v>21.140769958496094</v>
      </c>
      <c r="K50" s="91">
        <v>0.0639105886220932</v>
      </c>
      <c r="L50" s="91">
        <v>3.8731250762939453</v>
      </c>
      <c r="M50" s="91">
        <v>44.46976089477539</v>
      </c>
      <c r="N50" s="91">
        <v>0.12799072265625</v>
      </c>
      <c r="O50" s="91">
        <v>0</v>
      </c>
      <c r="P50" s="91">
        <v>0.00039660700713284314</v>
      </c>
      <c r="Q50" s="91">
        <v>0</v>
      </c>
      <c r="R50" s="91">
        <v>0.02823193371295929</v>
      </c>
      <c r="S50" s="91">
        <v>0</v>
      </c>
      <c r="T50" s="91">
        <v>0</v>
      </c>
      <c r="U50" s="108">
        <v>0</v>
      </c>
      <c r="V50" s="116">
        <v>-0.00021700953948311508</v>
      </c>
      <c r="W50" s="117">
        <v>50</v>
      </c>
      <c r="X50" s="108">
        <v>0</v>
      </c>
      <c r="Y50" s="108">
        <v>9.619140625</v>
      </c>
      <c r="Z50" s="108">
        <v>16.357419967651367</v>
      </c>
      <c r="AA50" s="108">
        <v>50</v>
      </c>
      <c r="AB50" s="108">
        <v>0</v>
      </c>
      <c r="AC50" s="108">
        <v>26.45941925048828</v>
      </c>
      <c r="AD50" s="108">
        <v>58.669708251953125</v>
      </c>
      <c r="AE50" s="95"/>
      <c r="AF50" s="95">
        <v>0</v>
      </c>
      <c r="AG50" s="95"/>
      <c r="AH50" s="95">
        <v>0.0003950496902689338</v>
      </c>
      <c r="AI50" s="95">
        <v>30.93170928955078</v>
      </c>
      <c r="AJ50" s="95">
        <v>-0.00032987023587338626</v>
      </c>
      <c r="AK50" s="95"/>
      <c r="AL50" s="96"/>
      <c r="AM50" s="118"/>
      <c r="AN50" s="109"/>
      <c r="AO50" s="95"/>
      <c r="AP50" s="95"/>
      <c r="AQ50" s="95"/>
      <c r="AR50" s="99"/>
    </row>
    <row r="51" spans="2:44" ht="13.5" customHeight="1" x14ac:dyDescent="0.25">
      <c r="B51" s="42">
        <v>0.33333333333333331</v>
      </c>
      <c r="C51" s="100">
        <v>0</v>
      </c>
      <c r="D51" s="100">
        <v>0</v>
      </c>
      <c r="E51" s="100">
        <v>11.639180183410645</v>
      </c>
      <c r="F51" s="100"/>
      <c r="G51" s="100"/>
      <c r="H51" s="100">
        <v>43.53841018676758</v>
      </c>
      <c r="I51" s="100">
        <v>0</v>
      </c>
      <c r="J51" s="100">
        <v>20.54397964477539</v>
      </c>
      <c r="K51" s="100">
        <v>0.0637478306889534</v>
      </c>
      <c r="L51" s="100">
        <v>3.93733811378479</v>
      </c>
      <c r="M51" s="100">
        <v>44.50593185424805</v>
      </c>
      <c r="N51" s="100">
        <v>-0.0780029296875</v>
      </c>
      <c r="O51" s="100">
        <v>0</v>
      </c>
      <c r="P51" s="100">
        <v>0.00039660700713284314</v>
      </c>
      <c r="Q51" s="100">
        <v>0</v>
      </c>
      <c r="R51" s="100">
        <v>0.02843298390507698</v>
      </c>
      <c r="S51" s="100">
        <v>0</v>
      </c>
      <c r="T51" s="100">
        <v>0</v>
      </c>
      <c r="U51" s="111">
        <v>0</v>
      </c>
      <c r="V51" s="119">
        <v>-0.00028573989402502775</v>
      </c>
      <c r="W51" s="120">
        <v>50</v>
      </c>
      <c r="X51" s="111">
        <v>0</v>
      </c>
      <c r="Y51" s="111">
        <v>9.228515625</v>
      </c>
      <c r="Z51" s="111">
        <v>15.869139671325684</v>
      </c>
      <c r="AA51" s="111">
        <v>50</v>
      </c>
      <c r="AB51" s="111">
        <v>0</v>
      </c>
      <c r="AC51" s="111">
        <v>24.59309959411621</v>
      </c>
      <c r="AD51" s="111">
        <v>53.35287094116211</v>
      </c>
      <c r="AE51" s="104"/>
      <c r="AF51" s="104">
        <v>0</v>
      </c>
      <c r="AG51" s="104"/>
      <c r="AH51" s="104">
        <v>0.0003950496902689338</v>
      </c>
      <c r="AI51" s="104">
        <v>30.902780532836914</v>
      </c>
      <c r="AJ51" s="104">
        <v>-0.0005005798302590847</v>
      </c>
      <c r="AK51" s="104"/>
      <c r="AL51" s="105"/>
      <c r="AM51" s="121"/>
      <c r="AN51" s="112"/>
      <c r="AO51" s="104"/>
      <c r="AP51" s="104"/>
      <c r="AQ51" s="104"/>
      <c r="AR51" s="115"/>
    </row>
    <row r="52" spans="2:44" ht="13.5" customHeight="1" x14ac:dyDescent="0.25">
      <c r="B52" s="184" t="s">
        <v>471</v>
      </c>
      <c r="C52" s="185"/>
      <c r="D52" s="9" t="s">
        <v>274</v>
      </c>
      <c r="E52" s="161" t="s">
        <v>20</v>
      </c>
      <c r="F52" s="164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  <c r="AD52" s="165"/>
      <c r="AE52" s="165"/>
      <c r="AF52" s="165"/>
      <c r="AG52" s="165"/>
      <c r="AH52" s="165"/>
      <c r="AI52" s="165"/>
      <c r="AJ52" s="165"/>
      <c r="AK52" s="165"/>
      <c r="AL52" s="165"/>
      <c r="AM52" s="165"/>
      <c r="AN52" s="165"/>
      <c r="AO52" s="166"/>
      <c r="AP52" s="166"/>
      <c r="AQ52" s="166"/>
      <c r="AR52" s="167"/>
    </row>
    <row r="53" spans="2:44" ht="13.5" customHeight="1" x14ac:dyDescent="0.25">
      <c r="B53" s="160"/>
      <c r="C53" s="162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2"/>
      <c r="AI53" s="162"/>
      <c r="AJ53" s="162"/>
      <c r="AK53" s="162"/>
      <c r="AL53" s="162"/>
      <c r="AM53" s="162"/>
      <c r="AN53" s="162"/>
      <c r="AO53" s="168"/>
      <c r="AP53" s="168"/>
      <c r="AQ53" s="168"/>
      <c r="AR53" s="169"/>
    </row>
    <row r="54" spans="2:44" ht="13.5" customHeight="1" thickBot="1" x14ac:dyDescent="0.3">
      <c r="B54" s="172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70"/>
      <c r="AP54" s="170"/>
      <c r="AQ54" s="170"/>
      <c r="AR54" s="17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7" t="s">
        <v>230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88"/>
    </row>
    <row r="2" spans="2:58" ht="13" customHeight="1" x14ac:dyDescent="0.25">
      <c r="B2" s="234" t="s">
        <v>232</v>
      </c>
      <c r="C2" s="197"/>
      <c r="D2" s="197"/>
      <c r="E2" s="197"/>
      <c r="F2" s="197"/>
      <c r="G2" s="197"/>
      <c r="H2" s="197"/>
      <c r="I2" s="197"/>
      <c r="J2" s="197"/>
      <c r="K2" s="197"/>
      <c r="L2" s="202"/>
      <c r="M2" s="235" t="s">
        <v>231</v>
      </c>
      <c r="N2" s="197"/>
      <c r="O2" s="197"/>
      <c r="P2" s="197"/>
      <c r="Q2" s="197"/>
      <c r="R2" s="197"/>
      <c r="S2" s="197"/>
      <c r="T2" s="197"/>
      <c r="U2" s="197"/>
      <c r="V2" s="197"/>
      <c r="W2" s="202"/>
      <c r="X2" s="147" t="s">
        <v>233</v>
      </c>
      <c r="Y2" s="197"/>
      <c r="Z2" s="197"/>
      <c r="AA2" s="197"/>
      <c r="AB2" s="197"/>
      <c r="AC2" s="197"/>
      <c r="AD2" s="197"/>
      <c r="AE2" s="197"/>
      <c r="AF2" s="197"/>
      <c r="AG2" s="197"/>
      <c r="AH2" s="202"/>
      <c r="AI2" s="235" t="s">
        <v>234</v>
      </c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202"/>
      <c r="AU2" s="147" t="s">
        <v>235</v>
      </c>
      <c r="AV2" s="197"/>
      <c r="AW2" s="197"/>
      <c r="AX2" s="197"/>
      <c r="AY2" s="197"/>
      <c r="AZ2" s="197"/>
      <c r="BA2" s="197"/>
      <c r="BB2" s="197"/>
      <c r="BC2" s="197"/>
      <c r="BD2" s="197"/>
      <c r="BE2" s="197"/>
      <c r="BF2" s="236"/>
    </row>
    <row r="3" spans="2:58" ht="13" customHeight="1" x14ac:dyDescent="0.25">
      <c r="B3" s="238"/>
      <c r="C3" s="222"/>
      <c r="D3" s="222"/>
      <c r="E3" s="222"/>
      <c r="F3" s="222"/>
      <c r="G3" s="222"/>
      <c r="H3" s="222"/>
      <c r="I3" s="222"/>
      <c r="J3" s="222"/>
      <c r="K3" s="222"/>
      <c r="L3" s="223"/>
      <c r="M3" s="241"/>
      <c r="N3" s="222"/>
      <c r="O3" s="222"/>
      <c r="P3" s="222"/>
      <c r="Q3" s="222"/>
      <c r="R3" s="222"/>
      <c r="S3" s="222"/>
      <c r="T3" s="222"/>
      <c r="U3" s="222"/>
      <c r="V3" s="222"/>
      <c r="W3" s="223"/>
      <c r="X3" s="229"/>
      <c r="Y3" s="222"/>
      <c r="Z3" s="222"/>
      <c r="AA3" s="222"/>
      <c r="AB3" s="222"/>
      <c r="AC3" s="222"/>
      <c r="AD3" s="222"/>
      <c r="AE3" s="222"/>
      <c r="AF3" s="222"/>
      <c r="AG3" s="222"/>
      <c r="AH3" s="223"/>
      <c r="AI3" s="251"/>
      <c r="AJ3" s="222"/>
      <c r="AK3" s="222"/>
      <c r="AL3" s="222"/>
      <c r="AM3" s="222"/>
      <c r="AN3" s="222"/>
      <c r="AO3" s="222"/>
      <c r="AP3" s="222"/>
      <c r="AQ3" s="222"/>
      <c r="AR3" s="222"/>
      <c r="AS3" s="222"/>
      <c r="AT3" s="223"/>
      <c r="AU3" s="229"/>
      <c r="AV3" s="222"/>
      <c r="AW3" s="222"/>
      <c r="AX3" s="222"/>
      <c r="AY3" s="222"/>
      <c r="AZ3" s="222"/>
      <c r="BA3" s="222"/>
      <c r="BB3" s="222"/>
      <c r="BC3" s="222"/>
      <c r="BD3" s="222"/>
      <c r="BE3" s="222"/>
      <c r="BF3" s="231"/>
    </row>
    <row r="4" spans="2:58" ht="13" customHeight="1" x14ac:dyDescent="0.25">
      <c r="B4" s="239"/>
      <c r="C4" s="225"/>
      <c r="D4" s="225"/>
      <c r="E4" s="225"/>
      <c r="F4" s="225"/>
      <c r="G4" s="225"/>
      <c r="H4" s="225"/>
      <c r="I4" s="225"/>
      <c r="J4" s="225"/>
      <c r="K4" s="225"/>
      <c r="L4" s="226"/>
      <c r="M4" s="224"/>
      <c r="N4" s="225"/>
      <c r="O4" s="225"/>
      <c r="P4" s="225"/>
      <c r="Q4" s="225"/>
      <c r="R4" s="225"/>
      <c r="S4" s="225"/>
      <c r="T4" s="225"/>
      <c r="U4" s="225"/>
      <c r="V4" s="225"/>
      <c r="W4" s="226"/>
      <c r="X4" s="224"/>
      <c r="Y4" s="225"/>
      <c r="Z4" s="225"/>
      <c r="AA4" s="225"/>
      <c r="AB4" s="225"/>
      <c r="AC4" s="225"/>
      <c r="AD4" s="225"/>
      <c r="AE4" s="225"/>
      <c r="AF4" s="225"/>
      <c r="AG4" s="225"/>
      <c r="AH4" s="226"/>
      <c r="AI4" s="224"/>
      <c r="AJ4" s="225"/>
      <c r="AK4" s="225"/>
      <c r="AL4" s="225"/>
      <c r="AM4" s="225"/>
      <c r="AN4" s="225"/>
      <c r="AO4" s="225"/>
      <c r="AP4" s="225"/>
      <c r="AQ4" s="225"/>
      <c r="AR4" s="225"/>
      <c r="AS4" s="225"/>
      <c r="AT4" s="226"/>
      <c r="AU4" s="224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32"/>
    </row>
    <row r="5" spans="2:58" ht="13" customHeight="1" x14ac:dyDescent="0.25">
      <c r="B5" s="239"/>
      <c r="C5" s="225"/>
      <c r="D5" s="225"/>
      <c r="E5" s="225"/>
      <c r="F5" s="225"/>
      <c r="G5" s="225"/>
      <c r="H5" s="225"/>
      <c r="I5" s="225"/>
      <c r="J5" s="225"/>
      <c r="K5" s="225"/>
      <c r="L5" s="226"/>
      <c r="M5" s="224"/>
      <c r="N5" s="225"/>
      <c r="O5" s="225"/>
      <c r="P5" s="225"/>
      <c r="Q5" s="225"/>
      <c r="R5" s="225"/>
      <c r="S5" s="225"/>
      <c r="T5" s="225"/>
      <c r="U5" s="225"/>
      <c r="V5" s="225"/>
      <c r="W5" s="226"/>
      <c r="X5" s="224"/>
      <c r="Y5" s="225"/>
      <c r="Z5" s="225"/>
      <c r="AA5" s="225"/>
      <c r="AB5" s="225"/>
      <c r="AC5" s="225"/>
      <c r="AD5" s="225"/>
      <c r="AE5" s="225"/>
      <c r="AF5" s="225"/>
      <c r="AG5" s="225"/>
      <c r="AH5" s="226"/>
      <c r="AI5" s="224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6"/>
      <c r="AU5" s="224"/>
      <c r="AV5" s="225"/>
      <c r="AW5" s="225"/>
      <c r="AX5" s="225"/>
      <c r="AY5" s="225"/>
      <c r="AZ5" s="225"/>
      <c r="BA5" s="225"/>
      <c r="BB5" s="225"/>
      <c r="BC5" s="225"/>
      <c r="BD5" s="225"/>
      <c r="BE5" s="225"/>
      <c r="BF5" s="232"/>
    </row>
    <row r="6" spans="2:58" ht="13" customHeight="1" x14ac:dyDescent="0.25">
      <c r="B6" s="239"/>
      <c r="C6" s="225"/>
      <c r="D6" s="225"/>
      <c r="E6" s="225"/>
      <c r="F6" s="225"/>
      <c r="G6" s="225"/>
      <c r="H6" s="225"/>
      <c r="I6" s="225"/>
      <c r="J6" s="225"/>
      <c r="K6" s="225"/>
      <c r="L6" s="226"/>
      <c r="M6" s="224"/>
      <c r="N6" s="225"/>
      <c r="O6" s="225"/>
      <c r="P6" s="225"/>
      <c r="Q6" s="225"/>
      <c r="R6" s="225"/>
      <c r="S6" s="225"/>
      <c r="T6" s="225"/>
      <c r="U6" s="225"/>
      <c r="V6" s="225"/>
      <c r="W6" s="226"/>
      <c r="X6" s="224"/>
      <c r="Y6" s="225"/>
      <c r="Z6" s="225"/>
      <c r="AA6" s="225"/>
      <c r="AB6" s="225"/>
      <c r="AC6" s="225"/>
      <c r="AD6" s="225"/>
      <c r="AE6" s="225"/>
      <c r="AF6" s="225"/>
      <c r="AG6" s="225"/>
      <c r="AH6" s="226"/>
      <c r="AI6" s="224"/>
      <c r="AJ6" s="225"/>
      <c r="AK6" s="225"/>
      <c r="AL6" s="225"/>
      <c r="AM6" s="225"/>
      <c r="AN6" s="225"/>
      <c r="AO6" s="225"/>
      <c r="AP6" s="225"/>
      <c r="AQ6" s="225"/>
      <c r="AR6" s="225"/>
      <c r="AS6" s="225"/>
      <c r="AT6" s="226"/>
      <c r="AU6" s="224"/>
      <c r="AV6" s="225"/>
      <c r="AW6" s="225"/>
      <c r="AX6" s="225"/>
      <c r="AY6" s="225"/>
      <c r="AZ6" s="225"/>
      <c r="BA6" s="225"/>
      <c r="BB6" s="225"/>
      <c r="BC6" s="225"/>
      <c r="BD6" s="225"/>
      <c r="BE6" s="225"/>
      <c r="BF6" s="232"/>
    </row>
    <row r="7" spans="2:58" ht="13" customHeight="1" x14ac:dyDescent="0.25">
      <c r="B7" s="239"/>
      <c r="C7" s="225"/>
      <c r="D7" s="225"/>
      <c r="E7" s="225"/>
      <c r="F7" s="225"/>
      <c r="G7" s="225"/>
      <c r="H7" s="225"/>
      <c r="I7" s="225"/>
      <c r="J7" s="225"/>
      <c r="K7" s="225"/>
      <c r="L7" s="226"/>
      <c r="M7" s="224"/>
      <c r="N7" s="225"/>
      <c r="O7" s="225"/>
      <c r="P7" s="225"/>
      <c r="Q7" s="225"/>
      <c r="R7" s="225"/>
      <c r="S7" s="225"/>
      <c r="T7" s="225"/>
      <c r="U7" s="225"/>
      <c r="V7" s="225"/>
      <c r="W7" s="226"/>
      <c r="X7" s="224"/>
      <c r="Y7" s="225"/>
      <c r="Z7" s="225"/>
      <c r="AA7" s="225"/>
      <c r="AB7" s="225"/>
      <c r="AC7" s="225"/>
      <c r="AD7" s="225"/>
      <c r="AE7" s="225"/>
      <c r="AF7" s="225"/>
      <c r="AG7" s="225"/>
      <c r="AH7" s="226"/>
      <c r="AI7" s="224"/>
      <c r="AJ7" s="225"/>
      <c r="AK7" s="225"/>
      <c r="AL7" s="225"/>
      <c r="AM7" s="225"/>
      <c r="AN7" s="225"/>
      <c r="AO7" s="225"/>
      <c r="AP7" s="225"/>
      <c r="AQ7" s="225"/>
      <c r="AR7" s="225"/>
      <c r="AS7" s="225"/>
      <c r="AT7" s="226"/>
      <c r="AU7" s="224"/>
      <c r="AV7" s="225"/>
      <c r="AW7" s="225"/>
      <c r="AX7" s="225"/>
      <c r="AY7" s="225"/>
      <c r="AZ7" s="225"/>
      <c r="BA7" s="225"/>
      <c r="BB7" s="225"/>
      <c r="BC7" s="225"/>
      <c r="BD7" s="225"/>
      <c r="BE7" s="225"/>
      <c r="BF7" s="232"/>
    </row>
    <row r="8" spans="2:58" ht="13" customHeight="1" x14ac:dyDescent="0.25">
      <c r="B8" s="239"/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24"/>
      <c r="N8" s="225"/>
      <c r="O8" s="225"/>
      <c r="P8" s="225"/>
      <c r="Q8" s="225"/>
      <c r="R8" s="225"/>
      <c r="S8" s="225"/>
      <c r="T8" s="225"/>
      <c r="U8" s="225"/>
      <c r="V8" s="225"/>
      <c r="W8" s="226"/>
      <c r="X8" s="224"/>
      <c r="Y8" s="225"/>
      <c r="Z8" s="225"/>
      <c r="AA8" s="225"/>
      <c r="AB8" s="225"/>
      <c r="AC8" s="225"/>
      <c r="AD8" s="225"/>
      <c r="AE8" s="225"/>
      <c r="AF8" s="225"/>
      <c r="AG8" s="225"/>
      <c r="AH8" s="226"/>
      <c r="AI8" s="224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6"/>
      <c r="AU8" s="224"/>
      <c r="AV8" s="225"/>
      <c r="AW8" s="225"/>
      <c r="AX8" s="225"/>
      <c r="AY8" s="225"/>
      <c r="AZ8" s="225"/>
      <c r="BA8" s="225"/>
      <c r="BB8" s="225"/>
      <c r="BC8" s="225"/>
      <c r="BD8" s="225"/>
      <c r="BE8" s="225"/>
      <c r="BF8" s="232"/>
    </row>
    <row r="9" spans="2:58" ht="13" customHeight="1" x14ac:dyDescent="0.25">
      <c r="B9" s="240"/>
      <c r="C9" s="228"/>
      <c r="D9" s="228"/>
      <c r="E9" s="228"/>
      <c r="F9" s="228"/>
      <c r="G9" s="228"/>
      <c r="H9" s="228"/>
      <c r="I9" s="228"/>
      <c r="J9" s="228"/>
      <c r="K9" s="228"/>
      <c r="L9" s="185"/>
      <c r="M9" s="227"/>
      <c r="N9" s="228"/>
      <c r="O9" s="228"/>
      <c r="P9" s="228"/>
      <c r="Q9" s="228"/>
      <c r="R9" s="228"/>
      <c r="S9" s="228"/>
      <c r="T9" s="228"/>
      <c r="U9" s="228"/>
      <c r="V9" s="228"/>
      <c r="W9" s="185"/>
      <c r="X9" s="227"/>
      <c r="Y9" s="228"/>
      <c r="Z9" s="228"/>
      <c r="AA9" s="228"/>
      <c r="AB9" s="228"/>
      <c r="AC9" s="228"/>
      <c r="AD9" s="228"/>
      <c r="AE9" s="228"/>
      <c r="AF9" s="228"/>
      <c r="AG9" s="228"/>
      <c r="AH9" s="185"/>
      <c r="AI9" s="227"/>
      <c r="AJ9" s="228"/>
      <c r="AK9" s="228"/>
      <c r="AL9" s="228"/>
      <c r="AM9" s="228"/>
      <c r="AN9" s="228"/>
      <c r="AO9" s="228"/>
      <c r="AP9" s="228"/>
      <c r="AQ9" s="228"/>
      <c r="AR9" s="228"/>
      <c r="AS9" s="228"/>
      <c r="AT9" s="185"/>
      <c r="AU9" s="227"/>
      <c r="AV9" s="228"/>
      <c r="AW9" s="228"/>
      <c r="AX9" s="228"/>
      <c r="AY9" s="228"/>
      <c r="AZ9" s="228"/>
      <c r="BA9" s="228"/>
      <c r="BB9" s="228"/>
      <c r="BC9" s="228"/>
      <c r="BD9" s="228"/>
      <c r="BE9" s="228"/>
      <c r="BF9" s="233"/>
    </row>
    <row r="10" spans="2:58" ht="13" customHeight="1" x14ac:dyDescent="0.25">
      <c r="B10" s="217" t="s">
        <v>236</v>
      </c>
      <c r="C10" s="215"/>
      <c r="D10" s="215"/>
      <c r="E10" s="215"/>
      <c r="F10" s="215"/>
      <c r="G10" s="215"/>
      <c r="H10" s="215"/>
      <c r="I10" s="215"/>
      <c r="J10" s="215"/>
      <c r="K10" s="215"/>
      <c r="L10" s="186"/>
      <c r="M10" s="237" t="s">
        <v>237</v>
      </c>
      <c r="N10" s="215"/>
      <c r="O10" s="215"/>
      <c r="P10" s="215"/>
      <c r="Q10" s="215"/>
      <c r="R10" s="215"/>
      <c r="S10" s="215"/>
      <c r="T10" s="215"/>
      <c r="U10" s="215"/>
      <c r="V10" s="215"/>
      <c r="W10" s="186"/>
      <c r="X10" s="192" t="s">
        <v>238</v>
      </c>
      <c r="Y10" s="215"/>
      <c r="Z10" s="215"/>
      <c r="AA10" s="215"/>
      <c r="AB10" s="215"/>
      <c r="AC10" s="215"/>
      <c r="AD10" s="215"/>
      <c r="AE10" s="215"/>
      <c r="AF10" s="215"/>
      <c r="AG10" s="215"/>
      <c r="AH10" s="186"/>
      <c r="AI10" s="192" t="s">
        <v>239</v>
      </c>
      <c r="AJ10" s="215"/>
      <c r="AK10" s="215"/>
      <c r="AL10" s="215"/>
      <c r="AM10" s="215"/>
      <c r="AN10" s="215"/>
      <c r="AO10" s="215"/>
      <c r="AP10" s="215"/>
      <c r="AQ10" s="215"/>
      <c r="AR10" s="215"/>
      <c r="AS10" s="215"/>
      <c r="AT10" s="186"/>
      <c r="AU10" s="168" t="s">
        <v>240</v>
      </c>
      <c r="AV10" s="215"/>
      <c r="AW10" s="215"/>
      <c r="AX10" s="215"/>
      <c r="AY10" s="215"/>
      <c r="AZ10" s="215"/>
      <c r="BA10" s="215"/>
      <c r="BB10" s="215"/>
      <c r="BC10" s="215"/>
      <c r="BD10" s="215"/>
      <c r="BE10" s="215"/>
      <c r="BF10" s="219"/>
    </row>
    <row r="11" spans="2:58" ht="13" customHeight="1" x14ac:dyDescent="0.25">
      <c r="B11" s="238"/>
      <c r="C11" s="222"/>
      <c r="D11" s="222"/>
      <c r="E11" s="222"/>
      <c r="F11" s="222"/>
      <c r="G11" s="222"/>
      <c r="H11" s="222"/>
      <c r="I11" s="222"/>
      <c r="J11" s="222"/>
      <c r="K11" s="222"/>
      <c r="L11" s="223"/>
      <c r="M11" s="241"/>
      <c r="N11" s="222"/>
      <c r="O11" s="222"/>
      <c r="P11" s="222"/>
      <c r="Q11" s="222"/>
      <c r="R11" s="222"/>
      <c r="S11" s="222"/>
      <c r="T11" s="222"/>
      <c r="U11" s="222"/>
      <c r="V11" s="222"/>
      <c r="W11" s="223"/>
      <c r="X11" s="241"/>
      <c r="Y11" s="222"/>
      <c r="Z11" s="222"/>
      <c r="AA11" s="222"/>
      <c r="AB11" s="222"/>
      <c r="AC11" s="222"/>
      <c r="AD11" s="222"/>
      <c r="AE11" s="222"/>
      <c r="AF11" s="222"/>
      <c r="AG11" s="222"/>
      <c r="AH11" s="223"/>
      <c r="AI11" s="241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3"/>
      <c r="AU11" s="230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31"/>
    </row>
    <row r="12" spans="2:58" ht="13" customHeight="1" x14ac:dyDescent="0.25">
      <c r="B12" s="239"/>
      <c r="C12" s="225"/>
      <c r="D12" s="225"/>
      <c r="E12" s="225"/>
      <c r="F12" s="225"/>
      <c r="G12" s="225"/>
      <c r="H12" s="225"/>
      <c r="I12" s="225"/>
      <c r="J12" s="225"/>
      <c r="K12" s="225"/>
      <c r="L12" s="226"/>
      <c r="M12" s="224"/>
      <c r="N12" s="225"/>
      <c r="O12" s="225"/>
      <c r="P12" s="225"/>
      <c r="Q12" s="225"/>
      <c r="R12" s="225"/>
      <c r="S12" s="225"/>
      <c r="T12" s="225"/>
      <c r="U12" s="225"/>
      <c r="V12" s="225"/>
      <c r="W12" s="226"/>
      <c r="X12" s="224"/>
      <c r="Y12" s="225"/>
      <c r="Z12" s="225"/>
      <c r="AA12" s="225"/>
      <c r="AB12" s="225"/>
      <c r="AC12" s="225"/>
      <c r="AD12" s="225"/>
      <c r="AE12" s="225"/>
      <c r="AF12" s="225"/>
      <c r="AG12" s="225"/>
      <c r="AH12" s="226"/>
      <c r="AI12" s="224"/>
      <c r="AJ12" s="225"/>
      <c r="AK12" s="225"/>
      <c r="AL12" s="225"/>
      <c r="AM12" s="225"/>
      <c r="AN12" s="225"/>
      <c r="AO12" s="225"/>
      <c r="AP12" s="225"/>
      <c r="AQ12" s="225"/>
      <c r="AR12" s="225"/>
      <c r="AS12" s="225"/>
      <c r="AT12" s="226"/>
      <c r="AU12" s="224"/>
      <c r="AV12" s="225"/>
      <c r="AW12" s="225"/>
      <c r="AX12" s="225"/>
      <c r="AY12" s="225"/>
      <c r="AZ12" s="225"/>
      <c r="BA12" s="225"/>
      <c r="BB12" s="225"/>
      <c r="BC12" s="225"/>
      <c r="BD12" s="225"/>
      <c r="BE12" s="225"/>
      <c r="BF12" s="232"/>
    </row>
    <row r="13" spans="2:58" ht="13" customHeight="1" x14ac:dyDescent="0.25">
      <c r="B13" s="239"/>
      <c r="C13" s="225"/>
      <c r="D13" s="225"/>
      <c r="E13" s="225"/>
      <c r="F13" s="225"/>
      <c r="G13" s="225"/>
      <c r="H13" s="225"/>
      <c r="I13" s="225"/>
      <c r="J13" s="225"/>
      <c r="K13" s="225"/>
      <c r="L13" s="226"/>
      <c r="M13" s="224"/>
      <c r="N13" s="225"/>
      <c r="O13" s="225"/>
      <c r="P13" s="225"/>
      <c r="Q13" s="225"/>
      <c r="R13" s="225"/>
      <c r="S13" s="225"/>
      <c r="T13" s="225"/>
      <c r="U13" s="225"/>
      <c r="V13" s="225"/>
      <c r="W13" s="226"/>
      <c r="X13" s="224"/>
      <c r="Y13" s="225"/>
      <c r="Z13" s="225"/>
      <c r="AA13" s="225"/>
      <c r="AB13" s="225"/>
      <c r="AC13" s="225"/>
      <c r="AD13" s="225"/>
      <c r="AE13" s="225"/>
      <c r="AF13" s="225"/>
      <c r="AG13" s="225"/>
      <c r="AH13" s="226"/>
      <c r="AI13" s="224"/>
      <c r="AJ13" s="225"/>
      <c r="AK13" s="225"/>
      <c r="AL13" s="225"/>
      <c r="AM13" s="225"/>
      <c r="AN13" s="225"/>
      <c r="AO13" s="225"/>
      <c r="AP13" s="225"/>
      <c r="AQ13" s="225"/>
      <c r="AR13" s="225"/>
      <c r="AS13" s="225"/>
      <c r="AT13" s="226"/>
      <c r="AU13" s="224"/>
      <c r="AV13" s="225"/>
      <c r="AW13" s="225"/>
      <c r="AX13" s="225"/>
      <c r="AY13" s="225"/>
      <c r="AZ13" s="225"/>
      <c r="BA13" s="225"/>
      <c r="BB13" s="225"/>
      <c r="BC13" s="225"/>
      <c r="BD13" s="225"/>
      <c r="BE13" s="225"/>
      <c r="BF13" s="232"/>
    </row>
    <row r="14" spans="2:58" ht="13" customHeight="1" x14ac:dyDescent="0.25">
      <c r="B14" s="239"/>
      <c r="C14" s="225"/>
      <c r="D14" s="225"/>
      <c r="E14" s="225"/>
      <c r="F14" s="225"/>
      <c r="G14" s="225"/>
      <c r="H14" s="225"/>
      <c r="I14" s="225"/>
      <c r="J14" s="225"/>
      <c r="K14" s="225"/>
      <c r="L14" s="226"/>
      <c r="M14" s="224"/>
      <c r="N14" s="225"/>
      <c r="O14" s="225"/>
      <c r="P14" s="225"/>
      <c r="Q14" s="225"/>
      <c r="R14" s="225"/>
      <c r="S14" s="225"/>
      <c r="T14" s="225"/>
      <c r="U14" s="225"/>
      <c r="V14" s="225"/>
      <c r="W14" s="226"/>
      <c r="X14" s="224"/>
      <c r="Y14" s="225"/>
      <c r="Z14" s="225"/>
      <c r="AA14" s="225"/>
      <c r="AB14" s="225"/>
      <c r="AC14" s="225"/>
      <c r="AD14" s="225"/>
      <c r="AE14" s="225"/>
      <c r="AF14" s="225"/>
      <c r="AG14" s="225"/>
      <c r="AH14" s="226"/>
      <c r="AI14" s="224"/>
      <c r="AJ14" s="225"/>
      <c r="AK14" s="225"/>
      <c r="AL14" s="225"/>
      <c r="AM14" s="225"/>
      <c r="AN14" s="225"/>
      <c r="AO14" s="225"/>
      <c r="AP14" s="225"/>
      <c r="AQ14" s="225"/>
      <c r="AR14" s="225"/>
      <c r="AS14" s="225"/>
      <c r="AT14" s="226"/>
      <c r="AU14" s="224"/>
      <c r="AV14" s="225"/>
      <c r="AW14" s="225"/>
      <c r="AX14" s="225"/>
      <c r="AY14" s="225"/>
      <c r="AZ14" s="225"/>
      <c r="BA14" s="225"/>
      <c r="BB14" s="225"/>
      <c r="BC14" s="225"/>
      <c r="BD14" s="225"/>
      <c r="BE14" s="225"/>
      <c r="BF14" s="232"/>
    </row>
    <row r="15" spans="2:58" ht="13" customHeight="1" x14ac:dyDescent="0.25">
      <c r="B15" s="239"/>
      <c r="C15" s="225"/>
      <c r="D15" s="225"/>
      <c r="E15" s="225"/>
      <c r="F15" s="225"/>
      <c r="G15" s="225"/>
      <c r="H15" s="225"/>
      <c r="I15" s="225"/>
      <c r="J15" s="225"/>
      <c r="K15" s="225"/>
      <c r="L15" s="226"/>
      <c r="M15" s="224"/>
      <c r="N15" s="225"/>
      <c r="O15" s="225"/>
      <c r="P15" s="225"/>
      <c r="Q15" s="225"/>
      <c r="R15" s="225"/>
      <c r="S15" s="225"/>
      <c r="T15" s="225"/>
      <c r="U15" s="225"/>
      <c r="V15" s="225"/>
      <c r="W15" s="226"/>
      <c r="X15" s="224"/>
      <c r="Y15" s="225"/>
      <c r="Z15" s="225"/>
      <c r="AA15" s="225"/>
      <c r="AB15" s="225"/>
      <c r="AC15" s="225"/>
      <c r="AD15" s="225"/>
      <c r="AE15" s="225"/>
      <c r="AF15" s="225"/>
      <c r="AG15" s="225"/>
      <c r="AH15" s="226"/>
      <c r="AI15" s="224"/>
      <c r="AJ15" s="225"/>
      <c r="AK15" s="225"/>
      <c r="AL15" s="225"/>
      <c r="AM15" s="225"/>
      <c r="AN15" s="225"/>
      <c r="AO15" s="225"/>
      <c r="AP15" s="225"/>
      <c r="AQ15" s="225"/>
      <c r="AR15" s="225"/>
      <c r="AS15" s="225"/>
      <c r="AT15" s="226"/>
      <c r="AU15" s="224"/>
      <c r="AV15" s="225"/>
      <c r="AW15" s="225"/>
      <c r="AX15" s="225"/>
      <c r="AY15" s="225"/>
      <c r="AZ15" s="225"/>
      <c r="BA15" s="225"/>
      <c r="BB15" s="225"/>
      <c r="BC15" s="225"/>
      <c r="BD15" s="225"/>
      <c r="BE15" s="225"/>
      <c r="BF15" s="232"/>
    </row>
    <row r="16" spans="2:58" ht="13" customHeight="1" x14ac:dyDescent="0.25">
      <c r="B16" s="239"/>
      <c r="C16" s="225"/>
      <c r="D16" s="225"/>
      <c r="E16" s="225"/>
      <c r="F16" s="225"/>
      <c r="G16" s="225"/>
      <c r="H16" s="225"/>
      <c r="I16" s="225"/>
      <c r="J16" s="225"/>
      <c r="K16" s="225"/>
      <c r="L16" s="226"/>
      <c r="M16" s="224"/>
      <c r="N16" s="225"/>
      <c r="O16" s="225"/>
      <c r="P16" s="225"/>
      <c r="Q16" s="225"/>
      <c r="R16" s="225"/>
      <c r="S16" s="225"/>
      <c r="T16" s="225"/>
      <c r="U16" s="225"/>
      <c r="V16" s="225"/>
      <c r="W16" s="226"/>
      <c r="X16" s="224"/>
      <c r="Y16" s="225"/>
      <c r="Z16" s="225"/>
      <c r="AA16" s="225"/>
      <c r="AB16" s="225"/>
      <c r="AC16" s="225"/>
      <c r="AD16" s="225"/>
      <c r="AE16" s="225"/>
      <c r="AF16" s="225"/>
      <c r="AG16" s="225"/>
      <c r="AH16" s="226"/>
      <c r="AI16" s="224"/>
      <c r="AJ16" s="225"/>
      <c r="AK16" s="225"/>
      <c r="AL16" s="225"/>
      <c r="AM16" s="225"/>
      <c r="AN16" s="225"/>
      <c r="AO16" s="225"/>
      <c r="AP16" s="225"/>
      <c r="AQ16" s="225"/>
      <c r="AR16" s="225"/>
      <c r="AS16" s="225"/>
      <c r="AT16" s="226"/>
      <c r="AU16" s="224"/>
      <c r="AV16" s="225"/>
      <c r="AW16" s="225"/>
      <c r="AX16" s="225"/>
      <c r="AY16" s="225"/>
      <c r="AZ16" s="225"/>
      <c r="BA16" s="225"/>
      <c r="BB16" s="225"/>
      <c r="BC16" s="225"/>
      <c r="BD16" s="225"/>
      <c r="BE16" s="225"/>
      <c r="BF16" s="232"/>
    </row>
    <row r="17" spans="2:58" ht="13" customHeight="1" x14ac:dyDescent="0.25">
      <c r="B17" s="240"/>
      <c r="C17" s="228"/>
      <c r="D17" s="228"/>
      <c r="E17" s="228"/>
      <c r="F17" s="228"/>
      <c r="G17" s="228"/>
      <c r="H17" s="228"/>
      <c r="I17" s="228"/>
      <c r="J17" s="228"/>
      <c r="K17" s="228"/>
      <c r="L17" s="185"/>
      <c r="M17" s="227"/>
      <c r="N17" s="228"/>
      <c r="O17" s="228"/>
      <c r="P17" s="228"/>
      <c r="Q17" s="228"/>
      <c r="R17" s="228"/>
      <c r="S17" s="228"/>
      <c r="T17" s="228"/>
      <c r="U17" s="228"/>
      <c r="V17" s="228"/>
      <c r="W17" s="185"/>
      <c r="X17" s="227"/>
      <c r="Y17" s="228"/>
      <c r="Z17" s="228"/>
      <c r="AA17" s="228"/>
      <c r="AB17" s="228"/>
      <c r="AC17" s="228"/>
      <c r="AD17" s="228"/>
      <c r="AE17" s="228"/>
      <c r="AF17" s="228"/>
      <c r="AG17" s="228"/>
      <c r="AH17" s="185"/>
      <c r="AI17" s="227"/>
      <c r="AJ17" s="228"/>
      <c r="AK17" s="228"/>
      <c r="AL17" s="228"/>
      <c r="AM17" s="228"/>
      <c r="AN17" s="228"/>
      <c r="AO17" s="228"/>
      <c r="AP17" s="228"/>
      <c r="AQ17" s="228"/>
      <c r="AR17" s="228"/>
      <c r="AS17" s="228"/>
      <c r="AT17" s="185"/>
      <c r="AU17" s="227"/>
      <c r="AV17" s="228"/>
      <c r="AW17" s="228"/>
      <c r="AX17" s="228"/>
      <c r="AY17" s="228"/>
      <c r="AZ17" s="228"/>
      <c r="BA17" s="228"/>
      <c r="BB17" s="228"/>
      <c r="BC17" s="228"/>
      <c r="BD17" s="228"/>
      <c r="BE17" s="228"/>
      <c r="BF17" s="233"/>
    </row>
    <row r="18" spans="2:58" ht="13" customHeight="1" x14ac:dyDescent="0.25">
      <c r="B18" s="217" t="s">
        <v>241</v>
      </c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50" t="s">
        <v>242</v>
      </c>
      <c r="N18" s="215"/>
      <c r="O18" s="215"/>
      <c r="P18" s="215"/>
      <c r="Q18" s="215"/>
      <c r="R18" s="215"/>
      <c r="S18" s="215"/>
      <c r="T18" s="215"/>
      <c r="U18" s="215"/>
      <c r="V18" s="215"/>
      <c r="W18" s="186"/>
      <c r="X18" s="249" t="s">
        <v>243</v>
      </c>
      <c r="Y18" s="215"/>
      <c r="Z18" s="215"/>
      <c r="AA18" s="215"/>
      <c r="AB18" s="215"/>
      <c r="AC18" s="215"/>
      <c r="AD18" s="215"/>
      <c r="AE18" s="215"/>
      <c r="AF18" s="215"/>
      <c r="AG18" s="215"/>
      <c r="AH18" s="186"/>
      <c r="AI18" s="154" t="s">
        <v>244</v>
      </c>
      <c r="AJ18" s="215"/>
      <c r="AK18" s="215"/>
      <c r="AL18" s="215"/>
      <c r="AM18" s="215"/>
      <c r="AN18" s="215"/>
      <c r="AO18" s="215"/>
      <c r="AP18" s="215"/>
      <c r="AQ18" s="215"/>
      <c r="AR18" s="215"/>
      <c r="AS18" s="215"/>
      <c r="AT18" s="186"/>
      <c r="AU18" s="168" t="s">
        <v>245</v>
      </c>
      <c r="AV18" s="215"/>
      <c r="AW18" s="215"/>
      <c r="AX18" s="215"/>
      <c r="AY18" s="215"/>
      <c r="AZ18" s="215"/>
      <c r="BA18" s="215"/>
      <c r="BB18" s="215"/>
      <c r="BC18" s="215"/>
      <c r="BD18" s="215"/>
      <c r="BE18" s="215"/>
      <c r="BF18" s="219"/>
    </row>
    <row r="19" spans="2:58" ht="13" customHeight="1" x14ac:dyDescent="0.25">
      <c r="B19" s="238"/>
      <c r="C19" s="222"/>
      <c r="D19" s="222"/>
      <c r="E19" s="222"/>
      <c r="F19" s="222"/>
      <c r="G19" s="222"/>
      <c r="H19" s="222"/>
      <c r="I19" s="222"/>
      <c r="J19" s="222"/>
      <c r="K19" s="222"/>
      <c r="L19" s="223"/>
      <c r="M19" s="252"/>
      <c r="N19" s="222"/>
      <c r="O19" s="222"/>
      <c r="P19" s="222"/>
      <c r="Q19" s="222"/>
      <c r="R19" s="222"/>
      <c r="S19" s="222"/>
      <c r="T19" s="222"/>
      <c r="U19" s="222"/>
      <c r="V19" s="222"/>
      <c r="W19" s="223"/>
      <c r="X19" s="221"/>
      <c r="Y19" s="222"/>
      <c r="Z19" s="222"/>
      <c r="AA19" s="222"/>
      <c r="AB19" s="222"/>
      <c r="AC19" s="222"/>
      <c r="AD19" s="222"/>
      <c r="AE19" s="222"/>
      <c r="AF19" s="222"/>
      <c r="AG19" s="222"/>
      <c r="AH19" s="223"/>
      <c r="AI19" s="229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3"/>
      <c r="AU19" s="230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31"/>
    </row>
    <row r="20" spans="2:58" ht="13" customHeight="1" x14ac:dyDescent="0.25">
      <c r="B20" s="239"/>
      <c r="C20" s="225"/>
      <c r="D20" s="225"/>
      <c r="E20" s="225"/>
      <c r="F20" s="225"/>
      <c r="G20" s="225"/>
      <c r="H20" s="225"/>
      <c r="I20" s="225"/>
      <c r="J20" s="225"/>
      <c r="K20" s="225"/>
      <c r="L20" s="226"/>
      <c r="M20" s="224"/>
      <c r="N20" s="225"/>
      <c r="O20" s="225"/>
      <c r="P20" s="225"/>
      <c r="Q20" s="225"/>
      <c r="R20" s="225"/>
      <c r="S20" s="225"/>
      <c r="T20" s="225"/>
      <c r="U20" s="225"/>
      <c r="V20" s="225"/>
      <c r="W20" s="226"/>
      <c r="X20" s="224"/>
      <c r="Y20" s="225"/>
      <c r="Z20" s="225"/>
      <c r="AA20" s="225"/>
      <c r="AB20" s="225"/>
      <c r="AC20" s="225"/>
      <c r="AD20" s="225"/>
      <c r="AE20" s="225"/>
      <c r="AF20" s="225"/>
      <c r="AG20" s="225"/>
      <c r="AH20" s="226"/>
      <c r="AI20" s="224"/>
      <c r="AJ20" s="225"/>
      <c r="AK20" s="225"/>
      <c r="AL20" s="225"/>
      <c r="AM20" s="225"/>
      <c r="AN20" s="225"/>
      <c r="AO20" s="225"/>
      <c r="AP20" s="225"/>
      <c r="AQ20" s="225"/>
      <c r="AR20" s="225"/>
      <c r="AS20" s="225"/>
      <c r="AT20" s="226"/>
      <c r="AU20" s="224"/>
      <c r="AV20" s="225"/>
      <c r="AW20" s="225"/>
      <c r="AX20" s="225"/>
      <c r="AY20" s="225"/>
      <c r="AZ20" s="225"/>
      <c r="BA20" s="225"/>
      <c r="BB20" s="225"/>
      <c r="BC20" s="225"/>
      <c r="BD20" s="225"/>
      <c r="BE20" s="225"/>
      <c r="BF20" s="232"/>
    </row>
    <row r="21" spans="2:58" ht="13" customHeight="1" x14ac:dyDescent="0.25">
      <c r="B21" s="239"/>
      <c r="C21" s="225"/>
      <c r="D21" s="225"/>
      <c r="E21" s="225"/>
      <c r="F21" s="225"/>
      <c r="G21" s="225"/>
      <c r="H21" s="225"/>
      <c r="I21" s="225"/>
      <c r="J21" s="225"/>
      <c r="K21" s="225"/>
      <c r="L21" s="226"/>
      <c r="M21" s="224"/>
      <c r="N21" s="225"/>
      <c r="O21" s="225"/>
      <c r="P21" s="225"/>
      <c r="Q21" s="225"/>
      <c r="R21" s="225"/>
      <c r="S21" s="225"/>
      <c r="T21" s="225"/>
      <c r="U21" s="225"/>
      <c r="V21" s="225"/>
      <c r="W21" s="226"/>
      <c r="X21" s="224"/>
      <c r="Y21" s="225"/>
      <c r="Z21" s="225"/>
      <c r="AA21" s="225"/>
      <c r="AB21" s="225"/>
      <c r="AC21" s="225"/>
      <c r="AD21" s="225"/>
      <c r="AE21" s="225"/>
      <c r="AF21" s="225"/>
      <c r="AG21" s="225"/>
      <c r="AH21" s="226"/>
      <c r="AI21" s="224"/>
      <c r="AJ21" s="225"/>
      <c r="AK21" s="225"/>
      <c r="AL21" s="225"/>
      <c r="AM21" s="225"/>
      <c r="AN21" s="225"/>
      <c r="AO21" s="225"/>
      <c r="AP21" s="225"/>
      <c r="AQ21" s="225"/>
      <c r="AR21" s="225"/>
      <c r="AS21" s="225"/>
      <c r="AT21" s="226"/>
      <c r="AU21" s="224"/>
      <c r="AV21" s="225"/>
      <c r="AW21" s="225"/>
      <c r="AX21" s="225"/>
      <c r="AY21" s="225"/>
      <c r="AZ21" s="225"/>
      <c r="BA21" s="225"/>
      <c r="BB21" s="225"/>
      <c r="BC21" s="225"/>
      <c r="BD21" s="225"/>
      <c r="BE21" s="225"/>
      <c r="BF21" s="232"/>
    </row>
    <row r="22" spans="2:58" ht="13" customHeight="1" x14ac:dyDescent="0.25">
      <c r="B22" s="239"/>
      <c r="C22" s="225"/>
      <c r="D22" s="225"/>
      <c r="E22" s="225"/>
      <c r="F22" s="225"/>
      <c r="G22" s="225"/>
      <c r="H22" s="225"/>
      <c r="I22" s="225"/>
      <c r="J22" s="225"/>
      <c r="K22" s="225"/>
      <c r="L22" s="226"/>
      <c r="M22" s="224"/>
      <c r="N22" s="225"/>
      <c r="O22" s="225"/>
      <c r="P22" s="225"/>
      <c r="Q22" s="225"/>
      <c r="R22" s="225"/>
      <c r="S22" s="225"/>
      <c r="T22" s="225"/>
      <c r="U22" s="225"/>
      <c r="V22" s="225"/>
      <c r="W22" s="226"/>
      <c r="X22" s="224"/>
      <c r="Y22" s="225"/>
      <c r="Z22" s="225"/>
      <c r="AA22" s="225"/>
      <c r="AB22" s="225"/>
      <c r="AC22" s="225"/>
      <c r="AD22" s="225"/>
      <c r="AE22" s="225"/>
      <c r="AF22" s="225"/>
      <c r="AG22" s="225"/>
      <c r="AH22" s="226"/>
      <c r="AI22" s="224"/>
      <c r="AJ22" s="225"/>
      <c r="AK22" s="225"/>
      <c r="AL22" s="225"/>
      <c r="AM22" s="225"/>
      <c r="AN22" s="225"/>
      <c r="AO22" s="225"/>
      <c r="AP22" s="225"/>
      <c r="AQ22" s="225"/>
      <c r="AR22" s="225"/>
      <c r="AS22" s="225"/>
      <c r="AT22" s="226"/>
      <c r="AU22" s="224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32"/>
    </row>
    <row r="23" spans="2:58" ht="13" customHeight="1" x14ac:dyDescent="0.25">
      <c r="B23" s="239"/>
      <c r="C23" s="225"/>
      <c r="D23" s="225"/>
      <c r="E23" s="225"/>
      <c r="F23" s="225"/>
      <c r="G23" s="225"/>
      <c r="H23" s="225"/>
      <c r="I23" s="225"/>
      <c r="J23" s="225"/>
      <c r="K23" s="225"/>
      <c r="L23" s="226"/>
      <c r="M23" s="224"/>
      <c r="N23" s="225"/>
      <c r="O23" s="225"/>
      <c r="P23" s="225"/>
      <c r="Q23" s="225"/>
      <c r="R23" s="225"/>
      <c r="S23" s="225"/>
      <c r="T23" s="225"/>
      <c r="U23" s="225"/>
      <c r="V23" s="225"/>
      <c r="W23" s="226"/>
      <c r="X23" s="224"/>
      <c r="Y23" s="225"/>
      <c r="Z23" s="225"/>
      <c r="AA23" s="225"/>
      <c r="AB23" s="225"/>
      <c r="AC23" s="225"/>
      <c r="AD23" s="225"/>
      <c r="AE23" s="225"/>
      <c r="AF23" s="225"/>
      <c r="AG23" s="225"/>
      <c r="AH23" s="226"/>
      <c r="AI23" s="224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6"/>
      <c r="AU23" s="224"/>
      <c r="AV23" s="225"/>
      <c r="AW23" s="225"/>
      <c r="AX23" s="225"/>
      <c r="AY23" s="225"/>
      <c r="AZ23" s="225"/>
      <c r="BA23" s="225"/>
      <c r="BB23" s="225"/>
      <c r="BC23" s="225"/>
      <c r="BD23" s="225"/>
      <c r="BE23" s="225"/>
      <c r="BF23" s="232"/>
    </row>
    <row r="24" spans="2:58" ht="13" customHeight="1" x14ac:dyDescent="0.25">
      <c r="B24" s="240"/>
      <c r="C24" s="228"/>
      <c r="D24" s="228"/>
      <c r="E24" s="228"/>
      <c r="F24" s="228"/>
      <c r="G24" s="228"/>
      <c r="H24" s="228"/>
      <c r="I24" s="228"/>
      <c r="J24" s="228"/>
      <c r="K24" s="228"/>
      <c r="L24" s="185"/>
      <c r="M24" s="227"/>
      <c r="N24" s="228"/>
      <c r="O24" s="228"/>
      <c r="P24" s="228"/>
      <c r="Q24" s="228"/>
      <c r="R24" s="228"/>
      <c r="S24" s="228"/>
      <c r="T24" s="228"/>
      <c r="U24" s="228"/>
      <c r="V24" s="228"/>
      <c r="W24" s="185"/>
      <c r="X24" s="227"/>
      <c r="Y24" s="228"/>
      <c r="Z24" s="228"/>
      <c r="AA24" s="228"/>
      <c r="AB24" s="228"/>
      <c r="AC24" s="228"/>
      <c r="AD24" s="228"/>
      <c r="AE24" s="228"/>
      <c r="AF24" s="228"/>
      <c r="AG24" s="228"/>
      <c r="AH24" s="185"/>
      <c r="AI24" s="227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185"/>
      <c r="AU24" s="227"/>
      <c r="AV24" s="228"/>
      <c r="AW24" s="228"/>
      <c r="AX24" s="228"/>
      <c r="AY24" s="228"/>
      <c r="AZ24" s="228"/>
      <c r="BA24" s="228"/>
      <c r="BB24" s="228"/>
      <c r="BC24" s="228"/>
      <c r="BD24" s="228"/>
      <c r="BE24" s="228"/>
      <c r="BF24" s="233"/>
    </row>
    <row r="25" spans="2:58" ht="13" customHeight="1" x14ac:dyDescent="0.25">
      <c r="B25" s="217" t="s">
        <v>246</v>
      </c>
      <c r="C25" s="215"/>
      <c r="D25" s="215"/>
      <c r="E25" s="215"/>
      <c r="F25" s="215"/>
      <c r="G25" s="215"/>
      <c r="H25" s="215"/>
      <c r="I25" s="215"/>
      <c r="J25" s="215"/>
      <c r="K25" s="215"/>
      <c r="L25" s="186"/>
      <c r="M25" s="192" t="s">
        <v>247</v>
      </c>
      <c r="N25" s="215"/>
      <c r="O25" s="215"/>
      <c r="P25" s="215"/>
      <c r="Q25" s="215"/>
      <c r="R25" s="215"/>
      <c r="S25" s="215"/>
      <c r="T25" s="215"/>
      <c r="U25" s="215"/>
      <c r="V25" s="215"/>
      <c r="W25" s="186"/>
      <c r="X25" s="218" t="s">
        <v>248</v>
      </c>
      <c r="Y25" s="215"/>
      <c r="Z25" s="215"/>
      <c r="AA25" s="215"/>
      <c r="AB25" s="215"/>
      <c r="AC25" s="215"/>
      <c r="AD25" s="215"/>
      <c r="AE25" s="215"/>
      <c r="AF25" s="215"/>
      <c r="AG25" s="215"/>
      <c r="AH25" s="186"/>
      <c r="AI25" s="168" t="s">
        <v>249</v>
      </c>
      <c r="AJ25" s="215"/>
      <c r="AK25" s="215"/>
      <c r="AL25" s="215"/>
      <c r="AM25" s="215"/>
      <c r="AN25" s="215"/>
      <c r="AO25" s="215"/>
      <c r="AP25" s="215"/>
      <c r="AQ25" s="215"/>
      <c r="AR25" s="215"/>
      <c r="AS25" s="215"/>
      <c r="AT25" s="186"/>
      <c r="AU25" s="168" t="s">
        <v>250</v>
      </c>
      <c r="AV25" s="215"/>
      <c r="AW25" s="215"/>
      <c r="AX25" s="215"/>
      <c r="AY25" s="215"/>
      <c r="AZ25" s="215"/>
      <c r="BA25" s="215"/>
      <c r="BB25" s="215"/>
      <c r="BC25" s="215"/>
      <c r="BD25" s="215"/>
      <c r="BE25" s="215"/>
      <c r="BF25" s="219"/>
    </row>
    <row r="26" spans="2:58" ht="13" customHeight="1" x14ac:dyDescent="0.25">
      <c r="B26" s="238"/>
      <c r="C26" s="222"/>
      <c r="D26" s="222"/>
      <c r="E26" s="222"/>
      <c r="F26" s="222"/>
      <c r="G26" s="222"/>
      <c r="H26" s="222"/>
      <c r="I26" s="222"/>
      <c r="J26" s="222"/>
      <c r="K26" s="222"/>
      <c r="L26" s="223"/>
      <c r="M26" s="246"/>
      <c r="N26" s="222"/>
      <c r="O26" s="222"/>
      <c r="P26" s="222"/>
      <c r="Q26" s="222"/>
      <c r="R26" s="222"/>
      <c r="S26" s="222"/>
      <c r="T26" s="222"/>
      <c r="U26" s="222"/>
      <c r="V26" s="222"/>
      <c r="W26" s="223"/>
      <c r="X26" s="242"/>
      <c r="Y26" s="222"/>
      <c r="Z26" s="222"/>
      <c r="AA26" s="222"/>
      <c r="AB26" s="222"/>
      <c r="AC26" s="222"/>
      <c r="AD26" s="222"/>
      <c r="AE26" s="222"/>
      <c r="AF26" s="222"/>
      <c r="AG26" s="222"/>
      <c r="AH26" s="223"/>
      <c r="AI26" s="230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3"/>
      <c r="AU26" s="230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31"/>
    </row>
    <row r="27" spans="2:58" ht="13" customHeight="1" x14ac:dyDescent="0.25">
      <c r="B27" s="239"/>
      <c r="C27" s="225"/>
      <c r="D27" s="225"/>
      <c r="E27" s="225"/>
      <c r="F27" s="225"/>
      <c r="G27" s="225"/>
      <c r="H27" s="225"/>
      <c r="I27" s="225"/>
      <c r="J27" s="225"/>
      <c r="K27" s="225"/>
      <c r="L27" s="226"/>
      <c r="M27" s="224"/>
      <c r="N27" s="225"/>
      <c r="O27" s="225"/>
      <c r="P27" s="225"/>
      <c r="Q27" s="225"/>
      <c r="R27" s="225"/>
      <c r="S27" s="225"/>
      <c r="T27" s="225"/>
      <c r="U27" s="225"/>
      <c r="V27" s="225"/>
      <c r="W27" s="226"/>
      <c r="X27" s="224"/>
      <c r="Y27" s="225"/>
      <c r="Z27" s="225"/>
      <c r="AA27" s="225"/>
      <c r="AB27" s="225"/>
      <c r="AC27" s="225"/>
      <c r="AD27" s="225"/>
      <c r="AE27" s="225"/>
      <c r="AF27" s="225"/>
      <c r="AG27" s="225"/>
      <c r="AH27" s="226"/>
      <c r="AI27" s="224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6"/>
      <c r="AU27" s="224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32"/>
    </row>
    <row r="28" spans="2:58" ht="13" customHeight="1" x14ac:dyDescent="0.25">
      <c r="B28" s="239"/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M28" s="224"/>
      <c r="N28" s="225"/>
      <c r="O28" s="225"/>
      <c r="P28" s="225"/>
      <c r="Q28" s="225"/>
      <c r="R28" s="225"/>
      <c r="S28" s="225"/>
      <c r="T28" s="225"/>
      <c r="U28" s="225"/>
      <c r="V28" s="225"/>
      <c r="W28" s="226"/>
      <c r="X28" s="224"/>
      <c r="Y28" s="225"/>
      <c r="Z28" s="225"/>
      <c r="AA28" s="225"/>
      <c r="AB28" s="225"/>
      <c r="AC28" s="225"/>
      <c r="AD28" s="225"/>
      <c r="AE28" s="225"/>
      <c r="AF28" s="225"/>
      <c r="AG28" s="225"/>
      <c r="AH28" s="226"/>
      <c r="AI28" s="224"/>
      <c r="AJ28" s="225"/>
      <c r="AK28" s="225"/>
      <c r="AL28" s="225"/>
      <c r="AM28" s="225"/>
      <c r="AN28" s="225"/>
      <c r="AO28" s="225"/>
      <c r="AP28" s="225"/>
      <c r="AQ28" s="225"/>
      <c r="AR28" s="225"/>
      <c r="AS28" s="225"/>
      <c r="AT28" s="226"/>
      <c r="AU28" s="224"/>
      <c r="AV28" s="225"/>
      <c r="AW28" s="225"/>
      <c r="AX28" s="225"/>
      <c r="AY28" s="225"/>
      <c r="AZ28" s="225"/>
      <c r="BA28" s="225"/>
      <c r="BB28" s="225"/>
      <c r="BC28" s="225"/>
      <c r="BD28" s="225"/>
      <c r="BE28" s="225"/>
      <c r="BF28" s="232"/>
    </row>
    <row r="29" spans="2:58" ht="13" customHeight="1" x14ac:dyDescent="0.25">
      <c r="B29" s="239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M29" s="224"/>
      <c r="N29" s="225"/>
      <c r="O29" s="225"/>
      <c r="P29" s="225"/>
      <c r="Q29" s="225"/>
      <c r="R29" s="225"/>
      <c r="S29" s="225"/>
      <c r="T29" s="225"/>
      <c r="U29" s="225"/>
      <c r="V29" s="225"/>
      <c r="W29" s="226"/>
      <c r="X29" s="224"/>
      <c r="Y29" s="225"/>
      <c r="Z29" s="225"/>
      <c r="AA29" s="225"/>
      <c r="AB29" s="225"/>
      <c r="AC29" s="225"/>
      <c r="AD29" s="225"/>
      <c r="AE29" s="225"/>
      <c r="AF29" s="225"/>
      <c r="AG29" s="225"/>
      <c r="AH29" s="226"/>
      <c r="AI29" s="224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6"/>
      <c r="AU29" s="224"/>
      <c r="AV29" s="225"/>
      <c r="AW29" s="225"/>
      <c r="AX29" s="225"/>
      <c r="AY29" s="225"/>
      <c r="AZ29" s="225"/>
      <c r="BA29" s="225"/>
      <c r="BB29" s="225"/>
      <c r="BC29" s="225"/>
      <c r="BD29" s="225"/>
      <c r="BE29" s="225"/>
      <c r="BF29" s="232"/>
    </row>
    <row r="30" spans="2:58" ht="13" customHeight="1" x14ac:dyDescent="0.25">
      <c r="B30" s="239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M30" s="224"/>
      <c r="N30" s="225"/>
      <c r="O30" s="225"/>
      <c r="P30" s="225"/>
      <c r="Q30" s="225"/>
      <c r="R30" s="225"/>
      <c r="S30" s="225"/>
      <c r="T30" s="225"/>
      <c r="U30" s="225"/>
      <c r="V30" s="225"/>
      <c r="W30" s="226"/>
      <c r="X30" s="224"/>
      <c r="Y30" s="225"/>
      <c r="Z30" s="225"/>
      <c r="AA30" s="225"/>
      <c r="AB30" s="225"/>
      <c r="AC30" s="225"/>
      <c r="AD30" s="225"/>
      <c r="AE30" s="225"/>
      <c r="AF30" s="225"/>
      <c r="AG30" s="225"/>
      <c r="AH30" s="226"/>
      <c r="AI30" s="224"/>
      <c r="AJ30" s="225"/>
      <c r="AK30" s="225"/>
      <c r="AL30" s="225"/>
      <c r="AM30" s="225"/>
      <c r="AN30" s="225"/>
      <c r="AO30" s="225"/>
      <c r="AP30" s="225"/>
      <c r="AQ30" s="225"/>
      <c r="AR30" s="225"/>
      <c r="AS30" s="225"/>
      <c r="AT30" s="226"/>
      <c r="AU30" s="224"/>
      <c r="AV30" s="225"/>
      <c r="AW30" s="225"/>
      <c r="AX30" s="225"/>
      <c r="AY30" s="225"/>
      <c r="AZ30" s="225"/>
      <c r="BA30" s="225"/>
      <c r="BB30" s="225"/>
      <c r="BC30" s="225"/>
      <c r="BD30" s="225"/>
      <c r="BE30" s="225"/>
      <c r="BF30" s="232"/>
    </row>
    <row r="31" spans="2:58" ht="13" customHeight="1" x14ac:dyDescent="0.25">
      <c r="B31" s="240"/>
      <c r="C31" s="228"/>
      <c r="D31" s="228"/>
      <c r="E31" s="228"/>
      <c r="F31" s="228"/>
      <c r="G31" s="228"/>
      <c r="H31" s="228"/>
      <c r="I31" s="228"/>
      <c r="J31" s="228"/>
      <c r="K31" s="228"/>
      <c r="L31" s="185"/>
      <c r="M31" s="227"/>
      <c r="N31" s="228"/>
      <c r="O31" s="228"/>
      <c r="P31" s="228"/>
      <c r="Q31" s="228"/>
      <c r="R31" s="228"/>
      <c r="S31" s="228"/>
      <c r="T31" s="228"/>
      <c r="U31" s="228"/>
      <c r="V31" s="228"/>
      <c r="W31" s="185"/>
      <c r="X31" s="227"/>
      <c r="Y31" s="228"/>
      <c r="Z31" s="228"/>
      <c r="AA31" s="228"/>
      <c r="AB31" s="228"/>
      <c r="AC31" s="228"/>
      <c r="AD31" s="228"/>
      <c r="AE31" s="228"/>
      <c r="AF31" s="228"/>
      <c r="AG31" s="228"/>
      <c r="AH31" s="185"/>
      <c r="AI31" s="227"/>
      <c r="AJ31" s="228"/>
      <c r="AK31" s="228"/>
      <c r="AL31" s="228"/>
      <c r="AM31" s="228"/>
      <c r="AN31" s="228"/>
      <c r="AO31" s="228"/>
      <c r="AP31" s="228"/>
      <c r="AQ31" s="228"/>
      <c r="AR31" s="228"/>
      <c r="AS31" s="228"/>
      <c r="AT31" s="185"/>
      <c r="AU31" s="227"/>
      <c r="AV31" s="228"/>
      <c r="AW31" s="228"/>
      <c r="AX31" s="228"/>
      <c r="AY31" s="228"/>
      <c r="AZ31" s="228"/>
      <c r="BA31" s="228"/>
      <c r="BB31" s="228"/>
      <c r="BC31" s="228"/>
      <c r="BD31" s="228"/>
      <c r="BE31" s="228"/>
      <c r="BF31" s="233"/>
    </row>
    <row r="32" spans="2:58" ht="13" customHeight="1" x14ac:dyDescent="0.25">
      <c r="B32" s="217" t="s">
        <v>251</v>
      </c>
      <c r="C32" s="215"/>
      <c r="D32" s="215"/>
      <c r="E32" s="215"/>
      <c r="F32" s="215"/>
      <c r="G32" s="215"/>
      <c r="H32" s="215"/>
      <c r="I32" s="215"/>
      <c r="J32" s="215"/>
      <c r="K32" s="215"/>
      <c r="L32" s="186"/>
      <c r="M32" s="220" t="s">
        <v>252</v>
      </c>
      <c r="N32" s="215"/>
      <c r="O32" s="215"/>
      <c r="P32" s="215"/>
      <c r="Q32" s="215"/>
      <c r="R32" s="215"/>
      <c r="S32" s="215"/>
      <c r="T32" s="215"/>
      <c r="U32" s="215"/>
      <c r="V32" s="215"/>
      <c r="W32" s="186"/>
      <c r="X32" s="218" t="s">
        <v>253</v>
      </c>
      <c r="Y32" s="215"/>
      <c r="Z32" s="215"/>
      <c r="AA32" s="215"/>
      <c r="AB32" s="215"/>
      <c r="AC32" s="215"/>
      <c r="AD32" s="215"/>
      <c r="AE32" s="215"/>
      <c r="AF32" s="215"/>
      <c r="AG32" s="215"/>
      <c r="AH32" s="186"/>
      <c r="AI32" s="168" t="s">
        <v>254</v>
      </c>
      <c r="AJ32" s="215"/>
      <c r="AK32" s="215"/>
      <c r="AL32" s="215"/>
      <c r="AM32" s="215"/>
      <c r="AN32" s="215"/>
      <c r="AO32" s="215"/>
      <c r="AP32" s="215"/>
      <c r="AQ32" s="215"/>
      <c r="AR32" s="215"/>
      <c r="AS32" s="215"/>
      <c r="AT32" s="186"/>
      <c r="AU32" s="168" t="s">
        <v>255</v>
      </c>
      <c r="AV32" s="215"/>
      <c r="AW32" s="215"/>
      <c r="AX32" s="215"/>
      <c r="AY32" s="215"/>
      <c r="AZ32" s="215"/>
      <c r="BA32" s="215"/>
      <c r="BB32" s="215"/>
      <c r="BC32" s="215"/>
      <c r="BD32" s="215"/>
      <c r="BE32" s="215"/>
      <c r="BF32" s="219"/>
    </row>
    <row r="33" spans="2:58" ht="13" customHeight="1" x14ac:dyDescent="0.25">
      <c r="B33" s="238"/>
      <c r="C33" s="222"/>
      <c r="D33" s="222"/>
      <c r="E33" s="222"/>
      <c r="F33" s="222"/>
      <c r="G33" s="222"/>
      <c r="H33" s="222"/>
      <c r="I33" s="222"/>
      <c r="J33" s="222"/>
      <c r="K33" s="222"/>
      <c r="L33" s="223"/>
      <c r="M33" s="241"/>
      <c r="N33" s="222"/>
      <c r="O33" s="222"/>
      <c r="P33" s="222"/>
      <c r="Q33" s="222"/>
      <c r="R33" s="222"/>
      <c r="S33" s="222"/>
      <c r="T33" s="222"/>
      <c r="U33" s="222"/>
      <c r="V33" s="222"/>
      <c r="W33" s="223"/>
      <c r="X33" s="242"/>
      <c r="Y33" s="222"/>
      <c r="Z33" s="222"/>
      <c r="AA33" s="222"/>
      <c r="AB33" s="222"/>
      <c r="AC33" s="222"/>
      <c r="AD33" s="222"/>
      <c r="AE33" s="222"/>
      <c r="AF33" s="222"/>
      <c r="AG33" s="222"/>
      <c r="AH33" s="223"/>
      <c r="AI33" s="230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3"/>
      <c r="AU33" s="230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31"/>
    </row>
    <row r="34" spans="2:58" ht="13" customHeight="1" x14ac:dyDescent="0.25">
      <c r="B34" s="239"/>
      <c r="C34" s="225"/>
      <c r="D34" s="225"/>
      <c r="E34" s="225"/>
      <c r="F34" s="225"/>
      <c r="G34" s="225"/>
      <c r="H34" s="225"/>
      <c r="I34" s="225"/>
      <c r="J34" s="225"/>
      <c r="K34" s="225"/>
      <c r="L34" s="226"/>
      <c r="M34" s="224"/>
      <c r="N34" s="225"/>
      <c r="O34" s="225"/>
      <c r="P34" s="225"/>
      <c r="Q34" s="225"/>
      <c r="R34" s="225"/>
      <c r="S34" s="225"/>
      <c r="T34" s="225"/>
      <c r="U34" s="225"/>
      <c r="V34" s="225"/>
      <c r="W34" s="226"/>
      <c r="X34" s="224"/>
      <c r="Y34" s="225"/>
      <c r="Z34" s="225"/>
      <c r="AA34" s="225"/>
      <c r="AB34" s="225"/>
      <c r="AC34" s="225"/>
      <c r="AD34" s="225"/>
      <c r="AE34" s="225"/>
      <c r="AF34" s="225"/>
      <c r="AG34" s="225"/>
      <c r="AH34" s="226"/>
      <c r="AI34" s="224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6"/>
      <c r="AU34" s="224"/>
      <c r="AV34" s="225"/>
      <c r="AW34" s="225"/>
      <c r="AX34" s="225"/>
      <c r="AY34" s="225"/>
      <c r="AZ34" s="225"/>
      <c r="BA34" s="225"/>
      <c r="BB34" s="225"/>
      <c r="BC34" s="225"/>
      <c r="BD34" s="225"/>
      <c r="BE34" s="225"/>
      <c r="BF34" s="232"/>
    </row>
    <row r="35" spans="2:58" ht="13" customHeight="1" x14ac:dyDescent="0.25">
      <c r="B35" s="239"/>
      <c r="C35" s="225"/>
      <c r="D35" s="225"/>
      <c r="E35" s="225"/>
      <c r="F35" s="225"/>
      <c r="G35" s="225"/>
      <c r="H35" s="225"/>
      <c r="I35" s="225"/>
      <c r="J35" s="225"/>
      <c r="K35" s="225"/>
      <c r="L35" s="226"/>
      <c r="M35" s="224"/>
      <c r="N35" s="225"/>
      <c r="O35" s="225"/>
      <c r="P35" s="225"/>
      <c r="Q35" s="225"/>
      <c r="R35" s="225"/>
      <c r="S35" s="225"/>
      <c r="T35" s="225"/>
      <c r="U35" s="225"/>
      <c r="V35" s="225"/>
      <c r="W35" s="226"/>
      <c r="X35" s="224"/>
      <c r="Y35" s="225"/>
      <c r="Z35" s="225"/>
      <c r="AA35" s="225"/>
      <c r="AB35" s="225"/>
      <c r="AC35" s="225"/>
      <c r="AD35" s="225"/>
      <c r="AE35" s="225"/>
      <c r="AF35" s="225"/>
      <c r="AG35" s="225"/>
      <c r="AH35" s="226"/>
      <c r="AI35" s="224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6"/>
      <c r="AU35" s="224"/>
      <c r="AV35" s="225"/>
      <c r="AW35" s="225"/>
      <c r="AX35" s="225"/>
      <c r="AY35" s="225"/>
      <c r="AZ35" s="225"/>
      <c r="BA35" s="225"/>
      <c r="BB35" s="225"/>
      <c r="BC35" s="225"/>
      <c r="BD35" s="225"/>
      <c r="BE35" s="225"/>
      <c r="BF35" s="232"/>
    </row>
    <row r="36" spans="2:58" ht="13" customHeight="1" x14ac:dyDescent="0.25">
      <c r="B36" s="239"/>
      <c r="C36" s="225"/>
      <c r="D36" s="225"/>
      <c r="E36" s="225"/>
      <c r="F36" s="225"/>
      <c r="G36" s="225"/>
      <c r="H36" s="225"/>
      <c r="I36" s="225"/>
      <c r="J36" s="225"/>
      <c r="K36" s="225"/>
      <c r="L36" s="226"/>
      <c r="M36" s="224"/>
      <c r="N36" s="225"/>
      <c r="O36" s="225"/>
      <c r="P36" s="225"/>
      <c r="Q36" s="225"/>
      <c r="R36" s="225"/>
      <c r="S36" s="225"/>
      <c r="T36" s="225"/>
      <c r="U36" s="225"/>
      <c r="V36" s="225"/>
      <c r="W36" s="226"/>
      <c r="X36" s="224"/>
      <c r="Y36" s="225"/>
      <c r="Z36" s="225"/>
      <c r="AA36" s="225"/>
      <c r="AB36" s="225"/>
      <c r="AC36" s="225"/>
      <c r="AD36" s="225"/>
      <c r="AE36" s="225"/>
      <c r="AF36" s="225"/>
      <c r="AG36" s="225"/>
      <c r="AH36" s="226"/>
      <c r="AI36" s="224"/>
      <c r="AJ36" s="225"/>
      <c r="AK36" s="225"/>
      <c r="AL36" s="225"/>
      <c r="AM36" s="225"/>
      <c r="AN36" s="225"/>
      <c r="AO36" s="225"/>
      <c r="AP36" s="225"/>
      <c r="AQ36" s="225"/>
      <c r="AR36" s="225"/>
      <c r="AS36" s="225"/>
      <c r="AT36" s="226"/>
      <c r="AU36" s="224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32"/>
    </row>
    <row r="37" spans="2:58" ht="13" customHeight="1" x14ac:dyDescent="0.25">
      <c r="B37" s="239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M37" s="224"/>
      <c r="N37" s="225"/>
      <c r="O37" s="225"/>
      <c r="P37" s="225"/>
      <c r="Q37" s="225"/>
      <c r="R37" s="225"/>
      <c r="S37" s="225"/>
      <c r="T37" s="225"/>
      <c r="U37" s="225"/>
      <c r="V37" s="225"/>
      <c r="W37" s="226"/>
      <c r="X37" s="224"/>
      <c r="Y37" s="225"/>
      <c r="Z37" s="225"/>
      <c r="AA37" s="225"/>
      <c r="AB37" s="225"/>
      <c r="AC37" s="225"/>
      <c r="AD37" s="225"/>
      <c r="AE37" s="225"/>
      <c r="AF37" s="225"/>
      <c r="AG37" s="225"/>
      <c r="AH37" s="226"/>
      <c r="AI37" s="224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6"/>
      <c r="AU37" s="224"/>
      <c r="AV37" s="225"/>
      <c r="AW37" s="225"/>
      <c r="AX37" s="225"/>
      <c r="AY37" s="225"/>
      <c r="AZ37" s="225"/>
      <c r="BA37" s="225"/>
      <c r="BB37" s="225"/>
      <c r="BC37" s="225"/>
      <c r="BD37" s="225"/>
      <c r="BE37" s="225"/>
      <c r="BF37" s="232"/>
    </row>
    <row r="38" spans="2:58" ht="13" customHeight="1" x14ac:dyDescent="0.25">
      <c r="B38" s="240"/>
      <c r="C38" s="228"/>
      <c r="D38" s="228"/>
      <c r="E38" s="228"/>
      <c r="F38" s="228"/>
      <c r="G38" s="228"/>
      <c r="H38" s="228"/>
      <c r="I38" s="228"/>
      <c r="J38" s="228"/>
      <c r="K38" s="228"/>
      <c r="L38" s="185"/>
      <c r="M38" s="227"/>
      <c r="N38" s="228"/>
      <c r="O38" s="228"/>
      <c r="P38" s="228"/>
      <c r="Q38" s="228"/>
      <c r="R38" s="228"/>
      <c r="S38" s="228"/>
      <c r="T38" s="228"/>
      <c r="U38" s="228"/>
      <c r="V38" s="228"/>
      <c r="W38" s="185"/>
      <c r="X38" s="227"/>
      <c r="Y38" s="228"/>
      <c r="Z38" s="228"/>
      <c r="AA38" s="228"/>
      <c r="AB38" s="228"/>
      <c r="AC38" s="228"/>
      <c r="AD38" s="228"/>
      <c r="AE38" s="228"/>
      <c r="AF38" s="228"/>
      <c r="AG38" s="228"/>
      <c r="AH38" s="185"/>
      <c r="AI38" s="227"/>
      <c r="AJ38" s="228"/>
      <c r="AK38" s="228"/>
      <c r="AL38" s="228"/>
      <c r="AM38" s="228"/>
      <c r="AN38" s="228"/>
      <c r="AO38" s="228"/>
      <c r="AP38" s="228"/>
      <c r="AQ38" s="228"/>
      <c r="AR38" s="228"/>
      <c r="AS38" s="228"/>
      <c r="AT38" s="185"/>
      <c r="AU38" s="227"/>
      <c r="AV38" s="228"/>
      <c r="AW38" s="228"/>
      <c r="AX38" s="228"/>
      <c r="AY38" s="228"/>
      <c r="AZ38" s="228"/>
      <c r="BA38" s="228"/>
      <c r="BB38" s="228"/>
      <c r="BC38" s="228"/>
      <c r="BD38" s="228"/>
      <c r="BE38" s="228"/>
      <c r="BF38" s="233"/>
    </row>
    <row r="39" spans="2:58" ht="13" customHeight="1" x14ac:dyDescent="0.25">
      <c r="B39" s="217" t="s">
        <v>256</v>
      </c>
      <c r="C39" s="215"/>
      <c r="D39" s="215"/>
      <c r="E39" s="215"/>
      <c r="F39" s="215"/>
      <c r="G39" s="215"/>
      <c r="H39" s="215"/>
      <c r="I39" s="215"/>
      <c r="J39" s="215"/>
      <c r="K39" s="215"/>
      <c r="L39" s="186"/>
      <c r="M39" s="220" t="s">
        <v>257</v>
      </c>
      <c r="N39" s="215"/>
      <c r="O39" s="215"/>
      <c r="P39" s="215"/>
      <c r="Q39" s="215"/>
      <c r="R39" s="215"/>
      <c r="S39" s="215"/>
      <c r="T39" s="215"/>
      <c r="U39" s="215"/>
      <c r="V39" s="215"/>
      <c r="W39" s="186"/>
      <c r="X39" s="218" t="s">
        <v>258</v>
      </c>
      <c r="Y39" s="215"/>
      <c r="Z39" s="215"/>
      <c r="AA39" s="215"/>
      <c r="AB39" s="215"/>
      <c r="AC39" s="215"/>
      <c r="AD39" s="215"/>
      <c r="AE39" s="215"/>
      <c r="AF39" s="215"/>
      <c r="AG39" s="215"/>
      <c r="AH39" s="186"/>
      <c r="AI39" s="168" t="s">
        <v>259</v>
      </c>
      <c r="AJ39" s="215"/>
      <c r="AK39" s="215"/>
      <c r="AL39" s="215"/>
      <c r="AM39" s="215"/>
      <c r="AN39" s="215"/>
      <c r="AO39" s="215"/>
      <c r="AP39" s="215"/>
      <c r="AQ39" s="215"/>
      <c r="AR39" s="215"/>
      <c r="AS39" s="215"/>
      <c r="AT39" s="186"/>
      <c r="AU39" s="168" t="s">
        <v>260</v>
      </c>
      <c r="AV39" s="215"/>
      <c r="AW39" s="215"/>
      <c r="AX39" s="215"/>
      <c r="AY39" s="215"/>
      <c r="AZ39" s="215"/>
      <c r="BA39" s="215"/>
      <c r="BB39" s="215"/>
      <c r="BC39" s="215"/>
      <c r="BD39" s="215"/>
      <c r="BE39" s="215"/>
      <c r="BF39" s="219"/>
    </row>
    <row r="40" spans="2:58" ht="13" customHeight="1" x14ac:dyDescent="0.25">
      <c r="B40" s="238"/>
      <c r="C40" s="222"/>
      <c r="D40" s="222"/>
      <c r="E40" s="222"/>
      <c r="F40" s="222"/>
      <c r="G40" s="222"/>
      <c r="H40" s="222"/>
      <c r="I40" s="222"/>
      <c r="J40" s="222"/>
      <c r="K40" s="222"/>
      <c r="L40" s="223"/>
      <c r="M40" s="241"/>
      <c r="N40" s="222"/>
      <c r="O40" s="222"/>
      <c r="P40" s="222"/>
      <c r="Q40" s="222"/>
      <c r="R40" s="222"/>
      <c r="S40" s="222"/>
      <c r="T40" s="222"/>
      <c r="U40" s="222"/>
      <c r="V40" s="222"/>
      <c r="W40" s="223"/>
      <c r="X40" s="242"/>
      <c r="Y40" s="222"/>
      <c r="Z40" s="222"/>
      <c r="AA40" s="222"/>
      <c r="AB40" s="222"/>
      <c r="AC40" s="222"/>
      <c r="AD40" s="222"/>
      <c r="AE40" s="222"/>
      <c r="AF40" s="222"/>
      <c r="AG40" s="222"/>
      <c r="AH40" s="223"/>
      <c r="AI40" s="230"/>
      <c r="AJ40" s="222"/>
      <c r="AK40" s="222"/>
      <c r="AL40" s="222"/>
      <c r="AM40" s="222"/>
      <c r="AN40" s="222"/>
      <c r="AO40" s="222"/>
      <c r="AP40" s="222"/>
      <c r="AQ40" s="222"/>
      <c r="AR40" s="222"/>
      <c r="AS40" s="222"/>
      <c r="AT40" s="223"/>
      <c r="AU40" s="230"/>
      <c r="AV40" s="222"/>
      <c r="AW40" s="222"/>
      <c r="AX40" s="222"/>
      <c r="AY40" s="222"/>
      <c r="AZ40" s="222"/>
      <c r="BA40" s="222"/>
      <c r="BB40" s="222"/>
      <c r="BC40" s="222"/>
      <c r="BD40" s="222"/>
      <c r="BE40" s="222"/>
      <c r="BF40" s="231"/>
    </row>
    <row r="41" spans="2:58" ht="13" customHeight="1" x14ac:dyDescent="0.25">
      <c r="B41" s="239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24"/>
      <c r="N41" s="225"/>
      <c r="O41" s="225"/>
      <c r="P41" s="225"/>
      <c r="Q41" s="225"/>
      <c r="R41" s="225"/>
      <c r="S41" s="225"/>
      <c r="T41" s="225"/>
      <c r="U41" s="225"/>
      <c r="V41" s="225"/>
      <c r="W41" s="226"/>
      <c r="X41" s="224"/>
      <c r="Y41" s="225"/>
      <c r="Z41" s="225"/>
      <c r="AA41" s="225"/>
      <c r="AB41" s="225"/>
      <c r="AC41" s="225"/>
      <c r="AD41" s="225"/>
      <c r="AE41" s="225"/>
      <c r="AF41" s="225"/>
      <c r="AG41" s="225"/>
      <c r="AH41" s="226"/>
      <c r="AI41" s="224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6"/>
      <c r="AU41" s="224"/>
      <c r="AV41" s="225"/>
      <c r="AW41" s="225"/>
      <c r="AX41" s="225"/>
      <c r="AY41" s="225"/>
      <c r="AZ41" s="225"/>
      <c r="BA41" s="225"/>
      <c r="BB41" s="225"/>
      <c r="BC41" s="225"/>
      <c r="BD41" s="225"/>
      <c r="BE41" s="225"/>
      <c r="BF41" s="232"/>
    </row>
    <row r="42" spans="2:58" ht="13" customHeight="1" x14ac:dyDescent="0.25">
      <c r="B42" s="239"/>
      <c r="C42" s="225"/>
      <c r="D42" s="225"/>
      <c r="E42" s="225"/>
      <c r="F42" s="225"/>
      <c r="G42" s="225"/>
      <c r="H42" s="225"/>
      <c r="I42" s="225"/>
      <c r="J42" s="225"/>
      <c r="K42" s="225"/>
      <c r="L42" s="226"/>
      <c r="M42" s="224"/>
      <c r="N42" s="225"/>
      <c r="O42" s="225"/>
      <c r="P42" s="225"/>
      <c r="Q42" s="225"/>
      <c r="R42" s="225"/>
      <c r="S42" s="225"/>
      <c r="T42" s="225"/>
      <c r="U42" s="225"/>
      <c r="V42" s="225"/>
      <c r="W42" s="226"/>
      <c r="X42" s="224"/>
      <c r="Y42" s="225"/>
      <c r="Z42" s="225"/>
      <c r="AA42" s="225"/>
      <c r="AB42" s="225"/>
      <c r="AC42" s="225"/>
      <c r="AD42" s="225"/>
      <c r="AE42" s="225"/>
      <c r="AF42" s="225"/>
      <c r="AG42" s="225"/>
      <c r="AH42" s="226"/>
      <c r="AI42" s="224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6"/>
      <c r="AU42" s="224"/>
      <c r="AV42" s="225"/>
      <c r="AW42" s="225"/>
      <c r="AX42" s="225"/>
      <c r="AY42" s="225"/>
      <c r="AZ42" s="225"/>
      <c r="BA42" s="225"/>
      <c r="BB42" s="225"/>
      <c r="BC42" s="225"/>
      <c r="BD42" s="225"/>
      <c r="BE42" s="225"/>
      <c r="BF42" s="232"/>
    </row>
    <row r="43" spans="2:58" ht="13" customHeight="1" x14ac:dyDescent="0.25">
      <c r="B43" s="239"/>
      <c r="C43" s="225"/>
      <c r="D43" s="225"/>
      <c r="E43" s="225"/>
      <c r="F43" s="225"/>
      <c r="G43" s="225"/>
      <c r="H43" s="225"/>
      <c r="I43" s="225"/>
      <c r="J43" s="225"/>
      <c r="K43" s="225"/>
      <c r="L43" s="226"/>
      <c r="M43" s="224"/>
      <c r="N43" s="225"/>
      <c r="O43" s="225"/>
      <c r="P43" s="225"/>
      <c r="Q43" s="225"/>
      <c r="R43" s="225"/>
      <c r="S43" s="225"/>
      <c r="T43" s="225"/>
      <c r="U43" s="225"/>
      <c r="V43" s="225"/>
      <c r="W43" s="226"/>
      <c r="X43" s="224"/>
      <c r="Y43" s="225"/>
      <c r="Z43" s="225"/>
      <c r="AA43" s="225"/>
      <c r="AB43" s="225"/>
      <c r="AC43" s="225"/>
      <c r="AD43" s="225"/>
      <c r="AE43" s="225"/>
      <c r="AF43" s="225"/>
      <c r="AG43" s="225"/>
      <c r="AH43" s="226"/>
      <c r="AI43" s="224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6"/>
      <c r="AU43" s="224"/>
      <c r="AV43" s="225"/>
      <c r="AW43" s="225"/>
      <c r="AX43" s="225"/>
      <c r="AY43" s="225"/>
      <c r="AZ43" s="225"/>
      <c r="BA43" s="225"/>
      <c r="BB43" s="225"/>
      <c r="BC43" s="225"/>
      <c r="BD43" s="225"/>
      <c r="BE43" s="225"/>
      <c r="BF43" s="232"/>
    </row>
    <row r="44" spans="2:58" ht="13" customHeight="1" x14ac:dyDescent="0.25">
      <c r="B44" s="239"/>
      <c r="C44" s="225"/>
      <c r="D44" s="225"/>
      <c r="E44" s="225"/>
      <c r="F44" s="225"/>
      <c r="G44" s="225"/>
      <c r="H44" s="225"/>
      <c r="I44" s="225"/>
      <c r="J44" s="225"/>
      <c r="K44" s="225"/>
      <c r="L44" s="226"/>
      <c r="M44" s="224"/>
      <c r="N44" s="225"/>
      <c r="O44" s="225"/>
      <c r="P44" s="225"/>
      <c r="Q44" s="225"/>
      <c r="R44" s="225"/>
      <c r="S44" s="225"/>
      <c r="T44" s="225"/>
      <c r="U44" s="225"/>
      <c r="V44" s="225"/>
      <c r="W44" s="226"/>
      <c r="X44" s="224"/>
      <c r="Y44" s="225"/>
      <c r="Z44" s="225"/>
      <c r="AA44" s="225"/>
      <c r="AB44" s="225"/>
      <c r="AC44" s="225"/>
      <c r="AD44" s="225"/>
      <c r="AE44" s="225"/>
      <c r="AF44" s="225"/>
      <c r="AG44" s="225"/>
      <c r="AH44" s="226"/>
      <c r="AI44" s="224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6"/>
      <c r="AU44" s="224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32"/>
    </row>
    <row r="45" spans="2:58" ht="13" customHeight="1" x14ac:dyDescent="0.25">
      <c r="B45" s="240"/>
      <c r="C45" s="228"/>
      <c r="D45" s="228"/>
      <c r="E45" s="228"/>
      <c r="F45" s="228"/>
      <c r="G45" s="228"/>
      <c r="H45" s="228"/>
      <c r="I45" s="228"/>
      <c r="J45" s="228"/>
      <c r="K45" s="228"/>
      <c r="L45" s="185"/>
      <c r="M45" s="227"/>
      <c r="N45" s="228"/>
      <c r="O45" s="228"/>
      <c r="P45" s="228"/>
      <c r="Q45" s="228"/>
      <c r="R45" s="228"/>
      <c r="S45" s="228"/>
      <c r="T45" s="228"/>
      <c r="U45" s="228"/>
      <c r="V45" s="228"/>
      <c r="W45" s="185"/>
      <c r="X45" s="227"/>
      <c r="Y45" s="228"/>
      <c r="Z45" s="228"/>
      <c r="AA45" s="228"/>
      <c r="AB45" s="228"/>
      <c r="AC45" s="228"/>
      <c r="AD45" s="228"/>
      <c r="AE45" s="228"/>
      <c r="AF45" s="228"/>
      <c r="AG45" s="228"/>
      <c r="AH45" s="185"/>
      <c r="AI45" s="227"/>
      <c r="AJ45" s="228"/>
      <c r="AK45" s="228"/>
      <c r="AL45" s="228"/>
      <c r="AM45" s="228"/>
      <c r="AN45" s="228"/>
      <c r="AO45" s="228"/>
      <c r="AP45" s="228"/>
      <c r="AQ45" s="228"/>
      <c r="AR45" s="228"/>
      <c r="AS45" s="228"/>
      <c r="AT45" s="185"/>
      <c r="AU45" s="227"/>
      <c r="AV45" s="228"/>
      <c r="AW45" s="228"/>
      <c r="AX45" s="228"/>
      <c r="AY45" s="228"/>
      <c r="AZ45" s="228"/>
      <c r="BA45" s="228"/>
      <c r="BB45" s="228"/>
      <c r="BC45" s="228"/>
      <c r="BD45" s="228"/>
      <c r="BE45" s="228"/>
      <c r="BF45" s="233"/>
    </row>
    <row r="46" spans="2:58" ht="13" customHeight="1" x14ac:dyDescent="0.25">
      <c r="B46" s="217" t="s">
        <v>261</v>
      </c>
      <c r="C46" s="215"/>
      <c r="D46" s="215"/>
      <c r="E46" s="215"/>
      <c r="F46" s="215"/>
      <c r="G46" s="215"/>
      <c r="H46" s="215"/>
      <c r="I46" s="215"/>
      <c r="J46" s="215"/>
      <c r="K46" s="215"/>
      <c r="L46" s="186"/>
      <c r="M46" s="192" t="s">
        <v>262</v>
      </c>
      <c r="N46" s="215"/>
      <c r="O46" s="215"/>
      <c r="P46" s="215"/>
      <c r="Q46" s="215"/>
      <c r="R46" s="215"/>
      <c r="S46" s="215"/>
      <c r="T46" s="215"/>
      <c r="U46" s="215"/>
      <c r="V46" s="215"/>
      <c r="W46" s="186"/>
      <c r="X46" s="218" t="s">
        <v>263</v>
      </c>
      <c r="Y46" s="215"/>
      <c r="Z46" s="215"/>
      <c r="AA46" s="215"/>
      <c r="AB46" s="215"/>
      <c r="AC46" s="215"/>
      <c r="AD46" s="215"/>
      <c r="AE46" s="215"/>
      <c r="AF46" s="215"/>
      <c r="AG46" s="215"/>
      <c r="AH46" s="186"/>
      <c r="AI46" s="168" t="s">
        <v>264</v>
      </c>
      <c r="AJ46" s="215"/>
      <c r="AK46" s="215"/>
      <c r="AL46" s="215"/>
      <c r="AM46" s="215"/>
      <c r="AN46" s="215"/>
      <c r="AO46" s="215"/>
      <c r="AP46" s="215"/>
      <c r="AQ46" s="215"/>
      <c r="AR46" s="215"/>
      <c r="AS46" s="215"/>
      <c r="AT46" s="186"/>
      <c r="AU46" s="168" t="s">
        <v>265</v>
      </c>
      <c r="AV46" s="215"/>
      <c r="AW46" s="215"/>
      <c r="AX46" s="215"/>
      <c r="AY46" s="215"/>
      <c r="AZ46" s="215"/>
      <c r="BA46" s="215"/>
      <c r="BB46" s="215"/>
      <c r="BC46" s="215"/>
      <c r="BD46" s="215"/>
      <c r="BE46" s="215"/>
      <c r="BF46" s="219"/>
    </row>
    <row r="47" spans="2:58" ht="13" customHeight="1" x14ac:dyDescent="0.25">
      <c r="B47" s="238"/>
      <c r="C47" s="222"/>
      <c r="D47" s="222"/>
      <c r="E47" s="222"/>
      <c r="F47" s="222"/>
      <c r="G47" s="222"/>
      <c r="H47" s="222"/>
      <c r="I47" s="222"/>
      <c r="J47" s="222"/>
      <c r="K47" s="222"/>
      <c r="L47" s="223"/>
      <c r="M47" s="241"/>
      <c r="N47" s="222"/>
      <c r="O47" s="222"/>
      <c r="P47" s="222"/>
      <c r="Q47" s="222"/>
      <c r="R47" s="222"/>
      <c r="S47" s="222"/>
      <c r="T47" s="222"/>
      <c r="U47" s="222"/>
      <c r="V47" s="222"/>
      <c r="W47" s="223"/>
      <c r="X47" s="242"/>
      <c r="Y47" s="222"/>
      <c r="Z47" s="222"/>
      <c r="AA47" s="222"/>
      <c r="AB47" s="222"/>
      <c r="AC47" s="222"/>
      <c r="AD47" s="222"/>
      <c r="AE47" s="222"/>
      <c r="AF47" s="222"/>
      <c r="AG47" s="222"/>
      <c r="AH47" s="223"/>
      <c r="AI47" s="230"/>
      <c r="AJ47" s="222"/>
      <c r="AK47" s="222"/>
      <c r="AL47" s="222"/>
      <c r="AM47" s="222"/>
      <c r="AN47" s="222"/>
      <c r="AO47" s="222"/>
      <c r="AP47" s="222"/>
      <c r="AQ47" s="222"/>
      <c r="AR47" s="222"/>
      <c r="AS47" s="222"/>
      <c r="AT47" s="223"/>
      <c r="AU47" s="230"/>
      <c r="AV47" s="222"/>
      <c r="AW47" s="222"/>
      <c r="AX47" s="222"/>
      <c r="AY47" s="222"/>
      <c r="AZ47" s="222"/>
      <c r="BA47" s="222"/>
      <c r="BB47" s="222"/>
      <c r="BC47" s="222"/>
      <c r="BD47" s="222"/>
      <c r="BE47" s="222"/>
      <c r="BF47" s="231"/>
    </row>
    <row r="48" spans="2:58" ht="13" customHeight="1" x14ac:dyDescent="0.25">
      <c r="B48" s="239"/>
      <c r="C48" s="225"/>
      <c r="D48" s="225"/>
      <c r="E48" s="225"/>
      <c r="F48" s="225"/>
      <c r="G48" s="225"/>
      <c r="H48" s="225"/>
      <c r="I48" s="225"/>
      <c r="J48" s="225"/>
      <c r="K48" s="225"/>
      <c r="L48" s="226"/>
      <c r="M48" s="224"/>
      <c r="N48" s="225"/>
      <c r="O48" s="225"/>
      <c r="P48" s="225"/>
      <c r="Q48" s="225"/>
      <c r="R48" s="225"/>
      <c r="S48" s="225"/>
      <c r="T48" s="225"/>
      <c r="U48" s="225"/>
      <c r="V48" s="225"/>
      <c r="W48" s="226"/>
      <c r="X48" s="224"/>
      <c r="Y48" s="225"/>
      <c r="Z48" s="225"/>
      <c r="AA48" s="225"/>
      <c r="AB48" s="225"/>
      <c r="AC48" s="225"/>
      <c r="AD48" s="225"/>
      <c r="AE48" s="225"/>
      <c r="AF48" s="225"/>
      <c r="AG48" s="225"/>
      <c r="AH48" s="226"/>
      <c r="AI48" s="224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6"/>
      <c r="AU48" s="224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32"/>
    </row>
    <row r="49" spans="2:58" ht="13" customHeight="1" x14ac:dyDescent="0.25">
      <c r="B49" s="239"/>
      <c r="C49" s="225"/>
      <c r="D49" s="225"/>
      <c r="E49" s="225"/>
      <c r="F49" s="225"/>
      <c r="G49" s="225"/>
      <c r="H49" s="225"/>
      <c r="I49" s="225"/>
      <c r="J49" s="225"/>
      <c r="K49" s="225"/>
      <c r="L49" s="226"/>
      <c r="M49" s="224"/>
      <c r="N49" s="225"/>
      <c r="O49" s="225"/>
      <c r="P49" s="225"/>
      <c r="Q49" s="225"/>
      <c r="R49" s="225"/>
      <c r="S49" s="225"/>
      <c r="T49" s="225"/>
      <c r="U49" s="225"/>
      <c r="V49" s="225"/>
      <c r="W49" s="226"/>
      <c r="X49" s="224"/>
      <c r="Y49" s="225"/>
      <c r="Z49" s="225"/>
      <c r="AA49" s="225"/>
      <c r="AB49" s="225"/>
      <c r="AC49" s="225"/>
      <c r="AD49" s="225"/>
      <c r="AE49" s="225"/>
      <c r="AF49" s="225"/>
      <c r="AG49" s="225"/>
      <c r="AH49" s="226"/>
      <c r="AI49" s="224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6"/>
      <c r="AU49" s="224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32"/>
    </row>
    <row r="50" spans="2:58" ht="13" customHeight="1" x14ac:dyDescent="0.25">
      <c r="B50" s="239"/>
      <c r="C50" s="225"/>
      <c r="D50" s="225"/>
      <c r="E50" s="225"/>
      <c r="F50" s="225"/>
      <c r="G50" s="225"/>
      <c r="H50" s="225"/>
      <c r="I50" s="225"/>
      <c r="J50" s="225"/>
      <c r="K50" s="225"/>
      <c r="L50" s="226"/>
      <c r="M50" s="224"/>
      <c r="N50" s="225"/>
      <c r="O50" s="225"/>
      <c r="P50" s="225"/>
      <c r="Q50" s="225"/>
      <c r="R50" s="225"/>
      <c r="S50" s="225"/>
      <c r="T50" s="225"/>
      <c r="U50" s="225"/>
      <c r="V50" s="225"/>
      <c r="W50" s="226"/>
      <c r="X50" s="224"/>
      <c r="Y50" s="225"/>
      <c r="Z50" s="225"/>
      <c r="AA50" s="225"/>
      <c r="AB50" s="225"/>
      <c r="AC50" s="225"/>
      <c r="AD50" s="225"/>
      <c r="AE50" s="225"/>
      <c r="AF50" s="225"/>
      <c r="AG50" s="225"/>
      <c r="AH50" s="226"/>
      <c r="AI50" s="224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6"/>
      <c r="AU50" s="224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32"/>
    </row>
    <row r="51" spans="2:58" ht="13" customHeight="1" x14ac:dyDescent="0.25">
      <c r="B51" s="239"/>
      <c r="C51" s="225"/>
      <c r="D51" s="225"/>
      <c r="E51" s="225"/>
      <c r="F51" s="225"/>
      <c r="G51" s="225"/>
      <c r="H51" s="225"/>
      <c r="I51" s="225"/>
      <c r="J51" s="225"/>
      <c r="K51" s="225"/>
      <c r="L51" s="226"/>
      <c r="M51" s="224"/>
      <c r="N51" s="225"/>
      <c r="O51" s="225"/>
      <c r="P51" s="225"/>
      <c r="Q51" s="225"/>
      <c r="R51" s="225"/>
      <c r="S51" s="225"/>
      <c r="T51" s="225"/>
      <c r="U51" s="225"/>
      <c r="V51" s="225"/>
      <c r="W51" s="226"/>
      <c r="X51" s="224"/>
      <c r="Y51" s="225"/>
      <c r="Z51" s="225"/>
      <c r="AA51" s="225"/>
      <c r="AB51" s="225"/>
      <c r="AC51" s="225"/>
      <c r="AD51" s="225"/>
      <c r="AE51" s="225"/>
      <c r="AF51" s="225"/>
      <c r="AG51" s="225"/>
      <c r="AH51" s="226"/>
      <c r="AI51" s="224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6"/>
      <c r="AU51" s="224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32"/>
    </row>
    <row r="52" spans="2:58" ht="13" customHeight="1" x14ac:dyDescent="0.25">
      <c r="B52" s="240"/>
      <c r="C52" s="228"/>
      <c r="D52" s="228"/>
      <c r="E52" s="228"/>
      <c r="F52" s="228"/>
      <c r="G52" s="228"/>
      <c r="H52" s="228"/>
      <c r="I52" s="228"/>
      <c r="J52" s="228"/>
      <c r="K52" s="228"/>
      <c r="L52" s="185"/>
      <c r="M52" s="227"/>
      <c r="N52" s="228"/>
      <c r="O52" s="228"/>
      <c r="P52" s="228"/>
      <c r="Q52" s="228"/>
      <c r="R52" s="228"/>
      <c r="S52" s="228"/>
      <c r="T52" s="228"/>
      <c r="U52" s="228"/>
      <c r="V52" s="228"/>
      <c r="W52" s="185"/>
      <c r="X52" s="227"/>
      <c r="Y52" s="228"/>
      <c r="Z52" s="228"/>
      <c r="AA52" s="228"/>
      <c r="AB52" s="228"/>
      <c r="AC52" s="228"/>
      <c r="AD52" s="228"/>
      <c r="AE52" s="228"/>
      <c r="AF52" s="228"/>
      <c r="AG52" s="228"/>
      <c r="AH52" s="185"/>
      <c r="AI52" s="227"/>
      <c r="AJ52" s="228"/>
      <c r="AK52" s="228"/>
      <c r="AL52" s="228"/>
      <c r="AM52" s="228"/>
      <c r="AN52" s="228"/>
      <c r="AO52" s="228"/>
      <c r="AP52" s="228"/>
      <c r="AQ52" s="228"/>
      <c r="AR52" s="228"/>
      <c r="AS52" s="228"/>
      <c r="AT52" s="185"/>
      <c r="AU52" s="227"/>
      <c r="AV52" s="228"/>
      <c r="AW52" s="228"/>
      <c r="AX52" s="228"/>
      <c r="AY52" s="228"/>
      <c r="AZ52" s="228"/>
      <c r="BA52" s="228"/>
      <c r="BB52" s="228"/>
      <c r="BC52" s="228"/>
      <c r="BD52" s="228"/>
      <c r="BE52" s="228"/>
      <c r="BF52" s="233"/>
    </row>
    <row r="53" spans="2:58" ht="13" customHeight="1" x14ac:dyDescent="0.25">
      <c r="B53" s="217" t="s">
        <v>266</v>
      </c>
      <c r="C53" s="215"/>
      <c r="D53" s="215"/>
      <c r="E53" s="215"/>
      <c r="F53" s="215"/>
      <c r="G53" s="215"/>
      <c r="H53" s="215"/>
      <c r="I53" s="215"/>
      <c r="J53" s="215"/>
      <c r="K53" s="215"/>
      <c r="L53" s="186"/>
      <c r="M53" s="220" t="s">
        <v>267</v>
      </c>
      <c r="N53" s="215"/>
      <c r="O53" s="215"/>
      <c r="P53" s="215"/>
      <c r="Q53" s="215"/>
      <c r="R53" s="215"/>
      <c r="S53" s="215"/>
      <c r="T53" s="215"/>
      <c r="U53" s="215"/>
      <c r="V53" s="215"/>
      <c r="W53" s="186"/>
      <c r="X53" s="218" t="s">
        <v>268</v>
      </c>
      <c r="Y53" s="215"/>
      <c r="Z53" s="215"/>
      <c r="AA53" s="215"/>
      <c r="AB53" s="215"/>
      <c r="AC53" s="215"/>
      <c r="AD53" s="215"/>
      <c r="AE53" s="215"/>
      <c r="AF53" s="215"/>
      <c r="AG53" s="215"/>
      <c r="AH53" s="186"/>
      <c r="AI53" s="168" t="s">
        <v>269</v>
      </c>
      <c r="AJ53" s="215"/>
      <c r="AK53" s="215"/>
      <c r="AL53" s="215"/>
      <c r="AM53" s="215"/>
      <c r="AN53" s="215"/>
      <c r="AO53" s="215"/>
      <c r="AP53" s="215"/>
      <c r="AQ53" s="215"/>
      <c r="AR53" s="215"/>
      <c r="AS53" s="215"/>
      <c r="AT53" s="186"/>
      <c r="AU53" s="168" t="s">
        <v>270</v>
      </c>
      <c r="AV53" s="215"/>
      <c r="AW53" s="215"/>
      <c r="AX53" s="215"/>
      <c r="AY53" s="215"/>
      <c r="AZ53" s="215"/>
      <c r="BA53" s="215"/>
      <c r="BB53" s="215"/>
      <c r="BC53" s="215"/>
      <c r="BD53" s="215"/>
      <c r="BE53" s="215"/>
      <c r="BF53" s="219"/>
    </row>
    <row r="54" spans="2:58" ht="13" customHeight="1" x14ac:dyDescent="0.25">
      <c r="B54" s="238"/>
      <c r="C54" s="222"/>
      <c r="D54" s="222"/>
      <c r="E54" s="222"/>
      <c r="F54" s="222"/>
      <c r="G54" s="222"/>
      <c r="H54" s="222"/>
      <c r="I54" s="222"/>
      <c r="J54" s="222"/>
      <c r="K54" s="222"/>
      <c r="L54" s="223"/>
      <c r="M54" s="246"/>
      <c r="N54" s="222"/>
      <c r="O54" s="222"/>
      <c r="P54" s="222"/>
      <c r="Q54" s="222"/>
      <c r="R54" s="222"/>
      <c r="S54" s="222"/>
      <c r="T54" s="222"/>
      <c r="U54" s="222"/>
      <c r="V54" s="222"/>
      <c r="W54" s="223"/>
      <c r="X54" s="242"/>
      <c r="Y54" s="222"/>
      <c r="Z54" s="222"/>
      <c r="AA54" s="222"/>
      <c r="AB54" s="222"/>
      <c r="AC54" s="222"/>
      <c r="AD54" s="222"/>
      <c r="AE54" s="222"/>
      <c r="AF54" s="222"/>
      <c r="AG54" s="222"/>
      <c r="AH54" s="223"/>
      <c r="AI54" s="230"/>
      <c r="AJ54" s="222"/>
      <c r="AK54" s="222"/>
      <c r="AL54" s="222"/>
      <c r="AM54" s="222"/>
      <c r="AN54" s="222"/>
      <c r="AO54" s="222"/>
      <c r="AP54" s="222"/>
      <c r="AQ54" s="222"/>
      <c r="AR54" s="222"/>
      <c r="AS54" s="222"/>
      <c r="AT54" s="223"/>
      <c r="AU54" s="230"/>
      <c r="AV54" s="222"/>
      <c r="AW54" s="222"/>
      <c r="AX54" s="222"/>
      <c r="AY54" s="222"/>
      <c r="AZ54" s="222"/>
      <c r="BA54" s="222"/>
      <c r="BB54" s="222"/>
      <c r="BC54" s="222"/>
      <c r="BD54" s="222"/>
      <c r="BE54" s="222"/>
      <c r="BF54" s="231"/>
    </row>
    <row r="55" spans="2:58" ht="13" customHeight="1" x14ac:dyDescent="0.25">
      <c r="B55" s="239"/>
      <c r="C55" s="225"/>
      <c r="D55" s="225"/>
      <c r="E55" s="225"/>
      <c r="F55" s="225"/>
      <c r="G55" s="225"/>
      <c r="H55" s="225"/>
      <c r="I55" s="225"/>
      <c r="J55" s="225"/>
      <c r="K55" s="225"/>
      <c r="L55" s="226"/>
      <c r="M55" s="224"/>
      <c r="N55" s="225"/>
      <c r="O55" s="225"/>
      <c r="P55" s="225"/>
      <c r="Q55" s="225"/>
      <c r="R55" s="225"/>
      <c r="S55" s="225"/>
      <c r="T55" s="225"/>
      <c r="U55" s="225"/>
      <c r="V55" s="225"/>
      <c r="W55" s="226"/>
      <c r="X55" s="224"/>
      <c r="Y55" s="225"/>
      <c r="Z55" s="225"/>
      <c r="AA55" s="225"/>
      <c r="AB55" s="225"/>
      <c r="AC55" s="225"/>
      <c r="AD55" s="225"/>
      <c r="AE55" s="225"/>
      <c r="AF55" s="225"/>
      <c r="AG55" s="225"/>
      <c r="AH55" s="226"/>
      <c r="AI55" s="224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6"/>
      <c r="AU55" s="224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32"/>
    </row>
    <row r="56" spans="2:58" ht="13" customHeight="1" x14ac:dyDescent="0.25">
      <c r="B56" s="239"/>
      <c r="C56" s="225"/>
      <c r="D56" s="225"/>
      <c r="E56" s="225"/>
      <c r="F56" s="225"/>
      <c r="G56" s="225"/>
      <c r="H56" s="225"/>
      <c r="I56" s="225"/>
      <c r="J56" s="225"/>
      <c r="K56" s="225"/>
      <c r="L56" s="226"/>
      <c r="M56" s="224"/>
      <c r="N56" s="225"/>
      <c r="O56" s="225"/>
      <c r="P56" s="225"/>
      <c r="Q56" s="225"/>
      <c r="R56" s="225"/>
      <c r="S56" s="225"/>
      <c r="T56" s="225"/>
      <c r="U56" s="225"/>
      <c r="V56" s="225"/>
      <c r="W56" s="226"/>
      <c r="X56" s="224"/>
      <c r="Y56" s="225"/>
      <c r="Z56" s="225"/>
      <c r="AA56" s="225"/>
      <c r="AB56" s="225"/>
      <c r="AC56" s="225"/>
      <c r="AD56" s="225"/>
      <c r="AE56" s="225"/>
      <c r="AF56" s="225"/>
      <c r="AG56" s="225"/>
      <c r="AH56" s="226"/>
      <c r="AI56" s="224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6"/>
      <c r="AU56" s="224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32"/>
    </row>
    <row r="57" spans="2:58" ht="13" customHeight="1" x14ac:dyDescent="0.25">
      <c r="B57" s="239"/>
      <c r="C57" s="225"/>
      <c r="D57" s="225"/>
      <c r="E57" s="225"/>
      <c r="F57" s="225"/>
      <c r="G57" s="225"/>
      <c r="H57" s="225"/>
      <c r="I57" s="225"/>
      <c r="J57" s="225"/>
      <c r="K57" s="225"/>
      <c r="L57" s="226"/>
      <c r="M57" s="224"/>
      <c r="N57" s="225"/>
      <c r="O57" s="225"/>
      <c r="P57" s="225"/>
      <c r="Q57" s="225"/>
      <c r="R57" s="225"/>
      <c r="S57" s="225"/>
      <c r="T57" s="225"/>
      <c r="U57" s="225"/>
      <c r="V57" s="225"/>
      <c r="W57" s="226"/>
      <c r="X57" s="224"/>
      <c r="Y57" s="225"/>
      <c r="Z57" s="225"/>
      <c r="AA57" s="225"/>
      <c r="AB57" s="225"/>
      <c r="AC57" s="225"/>
      <c r="AD57" s="225"/>
      <c r="AE57" s="225"/>
      <c r="AF57" s="225"/>
      <c r="AG57" s="225"/>
      <c r="AH57" s="226"/>
      <c r="AI57" s="224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6"/>
      <c r="AU57" s="224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32"/>
    </row>
    <row r="58" spans="2:58" ht="13" customHeight="1" x14ac:dyDescent="0.25">
      <c r="B58" s="239"/>
      <c r="C58" s="225"/>
      <c r="D58" s="225"/>
      <c r="E58" s="225"/>
      <c r="F58" s="225"/>
      <c r="G58" s="225"/>
      <c r="H58" s="225"/>
      <c r="I58" s="225"/>
      <c r="J58" s="225"/>
      <c r="K58" s="225"/>
      <c r="L58" s="226"/>
      <c r="M58" s="224"/>
      <c r="N58" s="225"/>
      <c r="O58" s="225"/>
      <c r="P58" s="225"/>
      <c r="Q58" s="225"/>
      <c r="R58" s="225"/>
      <c r="S58" s="225"/>
      <c r="T58" s="225"/>
      <c r="U58" s="225"/>
      <c r="V58" s="225"/>
      <c r="W58" s="226"/>
      <c r="X58" s="224"/>
      <c r="Y58" s="225"/>
      <c r="Z58" s="225"/>
      <c r="AA58" s="225"/>
      <c r="AB58" s="225"/>
      <c r="AC58" s="225"/>
      <c r="AD58" s="225"/>
      <c r="AE58" s="225"/>
      <c r="AF58" s="225"/>
      <c r="AG58" s="225"/>
      <c r="AH58" s="226"/>
      <c r="AI58" s="224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6"/>
      <c r="AU58" s="224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32"/>
    </row>
    <row r="59" spans="2:58" ht="13" customHeight="1" x14ac:dyDescent="0.25">
      <c r="B59" s="243"/>
      <c r="C59" s="244"/>
      <c r="D59" s="244"/>
      <c r="E59" s="244"/>
      <c r="F59" s="244"/>
      <c r="G59" s="244"/>
      <c r="H59" s="244"/>
      <c r="I59" s="244"/>
      <c r="J59" s="244"/>
      <c r="K59" s="244"/>
      <c r="L59" s="245"/>
      <c r="M59" s="247"/>
      <c r="N59" s="244"/>
      <c r="O59" s="244"/>
      <c r="P59" s="244"/>
      <c r="Q59" s="244"/>
      <c r="R59" s="244"/>
      <c r="S59" s="244"/>
      <c r="T59" s="244"/>
      <c r="U59" s="244"/>
      <c r="V59" s="244"/>
      <c r="W59" s="245"/>
      <c r="X59" s="247"/>
      <c r="Y59" s="244"/>
      <c r="Z59" s="244"/>
      <c r="AA59" s="244"/>
      <c r="AB59" s="244"/>
      <c r="AC59" s="244"/>
      <c r="AD59" s="244"/>
      <c r="AE59" s="244"/>
      <c r="AF59" s="244"/>
      <c r="AG59" s="244"/>
      <c r="AH59" s="245"/>
      <c r="AI59" s="247"/>
      <c r="AJ59" s="244"/>
      <c r="AK59" s="244"/>
      <c r="AL59" s="244"/>
      <c r="AM59" s="244"/>
      <c r="AN59" s="244"/>
      <c r="AO59" s="244"/>
      <c r="AP59" s="244"/>
      <c r="AQ59" s="244"/>
      <c r="AR59" s="244"/>
      <c r="AS59" s="244"/>
      <c r="AT59" s="245"/>
      <c r="AU59" s="247"/>
      <c r="AV59" s="244"/>
      <c r="AW59" s="244"/>
      <c r="AX59" s="244"/>
      <c r="AY59" s="244"/>
      <c r="AZ59" s="244"/>
      <c r="BA59" s="244"/>
      <c r="BB59" s="244"/>
      <c r="BC59" s="244"/>
      <c r="BD59" s="244"/>
      <c r="BE59" s="244"/>
      <c r="BF59" s="248"/>
    </row>
    <row r="60" spans="2:58" ht="13" customHeight="1" x14ac:dyDescent="0.25">
      <c r="B60" s="184" t="s">
        <v>471</v>
      </c>
      <c r="C60" s="185"/>
      <c r="D60" s="9" t="s">
        <v>274</v>
      </c>
      <c r="E60" s="161" t="s">
        <v>20</v>
      </c>
      <c r="F60" s="164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  <c r="AC60" s="165"/>
      <c r="AD60" s="165"/>
      <c r="AE60" s="165"/>
      <c r="AF60" s="165"/>
      <c r="AG60" s="165"/>
      <c r="AH60" s="165"/>
      <c r="AI60" s="165"/>
      <c r="AJ60" s="165"/>
      <c r="AK60" s="165"/>
      <c r="AL60" s="165"/>
      <c r="AM60" s="165"/>
      <c r="AN60" s="165"/>
      <c r="AO60" s="166"/>
      <c r="AP60" s="166"/>
      <c r="AQ60" s="166"/>
      <c r="AR60" s="166"/>
      <c r="AS60" s="166"/>
      <c r="AT60" s="166"/>
      <c r="AU60" s="166"/>
      <c r="AV60" s="166"/>
      <c r="AW60" s="166"/>
      <c r="AX60" s="166"/>
      <c r="AY60" s="166"/>
      <c r="AZ60" s="166"/>
      <c r="BA60" s="166"/>
      <c r="BB60" s="166"/>
      <c r="BC60" s="166"/>
      <c r="BD60" s="166"/>
      <c r="BE60" s="166"/>
      <c r="BF60" s="167"/>
    </row>
    <row r="61" spans="2:58" ht="13" customHeight="1" x14ac:dyDescent="0.25">
      <c r="B61" s="160" t="s">
        <v>275</v>
      </c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  <c r="AH61" s="162"/>
      <c r="AI61" s="162"/>
      <c r="AJ61" s="162"/>
      <c r="AK61" s="162"/>
      <c r="AL61" s="162"/>
      <c r="AM61" s="162"/>
      <c r="AN61" s="162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9"/>
    </row>
    <row r="62" spans="2:58" ht="13" customHeight="1" thickBot="1" x14ac:dyDescent="0.3">
      <c r="B62" s="172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  <c r="AN62" s="163"/>
      <c r="AO62" s="170"/>
      <c r="AP62" s="170"/>
      <c r="AQ62" s="170"/>
      <c r="AR62" s="170"/>
      <c r="AS62" s="170"/>
      <c r="AT62" s="170"/>
      <c r="AU62" s="170"/>
      <c r="AV62" s="170"/>
      <c r="AW62" s="170"/>
      <c r="AX62" s="170"/>
      <c r="AY62" s="170"/>
      <c r="AZ62" s="170"/>
      <c r="BA62" s="170"/>
      <c r="BB62" s="170"/>
      <c r="BC62" s="170"/>
      <c r="BD62" s="170"/>
      <c r="BE62" s="170"/>
      <c r="BF62" s="17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1:AK479"/>
  <sheetViews>
    <sheetView zoomScaleNormal="100" workbookViewId="0">
      <selection activeCell="S12" sqref="S12"/>
    </sheetView>
  </sheetViews>
  <sheetFormatPr defaultRowHeight="11.5" x14ac:dyDescent="0.25"/>
  <cols>
    <col min="1" max="1" width="1.54296875" style="45" customWidth="1"/>
    <col min="2" max="2" width="9" style="45" customWidth="1"/>
    <col min="3" max="3" width="2.54296875" style="45" customWidth="1"/>
    <col min="4" max="36" width="7.08984375" style="45" customWidth="1"/>
    <col min="37" max="37" width="6.453125" style="45" customWidth="1"/>
    <col min="38" max="270" width="8.81640625" style="45"/>
    <col min="271" max="271" width="2.08984375" style="45" customWidth="1"/>
    <col min="272" max="272" width="5.81640625" style="45" customWidth="1"/>
    <col min="273" max="273" width="6.81640625" style="45" customWidth="1"/>
    <col min="274" max="274" width="6.08984375" style="45" customWidth="1"/>
    <col min="275" max="275" width="6.81640625" style="45" customWidth="1"/>
    <col min="276" max="276" width="10.81640625" style="45" customWidth="1"/>
    <col min="277" max="277" width="11.54296875" style="45" customWidth="1"/>
    <col min="278" max="278" width="5.54296875" style="45" customWidth="1"/>
    <col min="279" max="279" width="6" style="45" customWidth="1"/>
    <col min="280" max="280" width="6.54296875" style="45" customWidth="1"/>
    <col min="281" max="281" width="11.08984375" style="45" customWidth="1"/>
    <col min="282" max="282" width="7.08984375" style="45" customWidth="1"/>
    <col min="283" max="284" width="5.81640625" style="45" customWidth="1"/>
    <col min="285" max="285" width="6" style="45" customWidth="1"/>
    <col min="286" max="286" width="6.81640625" style="45" customWidth="1"/>
    <col min="287" max="287" width="6" style="45" customWidth="1"/>
    <col min="288" max="288" width="18.08984375" style="45" customWidth="1"/>
    <col min="289" max="526" width="8.81640625" style="45"/>
    <col min="527" max="527" width="2.08984375" style="45" customWidth="1"/>
    <col min="528" max="528" width="5.81640625" style="45" customWidth="1"/>
    <col min="529" max="529" width="6.81640625" style="45" customWidth="1"/>
    <col min="530" max="530" width="6.08984375" style="45" customWidth="1"/>
    <col min="531" max="531" width="6.81640625" style="45" customWidth="1"/>
    <col min="532" max="532" width="10.81640625" style="45" customWidth="1"/>
    <col min="533" max="533" width="11.54296875" style="45" customWidth="1"/>
    <col min="534" max="534" width="5.54296875" style="45" customWidth="1"/>
    <col min="535" max="535" width="6" style="45" customWidth="1"/>
    <col min="536" max="536" width="6.54296875" style="45" customWidth="1"/>
    <col min="537" max="537" width="11.08984375" style="45" customWidth="1"/>
    <col min="538" max="538" width="7.08984375" style="45" customWidth="1"/>
    <col min="539" max="540" width="5.81640625" style="45" customWidth="1"/>
    <col min="541" max="541" width="6" style="45" customWidth="1"/>
    <col min="542" max="542" width="6.81640625" style="45" customWidth="1"/>
    <col min="543" max="543" width="6" style="45" customWidth="1"/>
    <col min="544" max="544" width="18.08984375" style="45" customWidth="1"/>
    <col min="545" max="782" width="8.81640625" style="45"/>
    <col min="783" max="783" width="2.08984375" style="45" customWidth="1"/>
    <col min="784" max="784" width="5.81640625" style="45" customWidth="1"/>
    <col min="785" max="785" width="6.81640625" style="45" customWidth="1"/>
    <col min="786" max="786" width="6.08984375" style="45" customWidth="1"/>
    <col min="787" max="787" width="6.81640625" style="45" customWidth="1"/>
    <col min="788" max="788" width="10.81640625" style="45" customWidth="1"/>
    <col min="789" max="789" width="11.54296875" style="45" customWidth="1"/>
    <col min="790" max="790" width="5.54296875" style="45" customWidth="1"/>
    <col min="791" max="791" width="6" style="45" customWidth="1"/>
    <col min="792" max="792" width="6.54296875" style="45" customWidth="1"/>
    <col min="793" max="793" width="11.08984375" style="45" customWidth="1"/>
    <col min="794" max="794" width="7.08984375" style="45" customWidth="1"/>
    <col min="795" max="796" width="5.81640625" style="45" customWidth="1"/>
    <col min="797" max="797" width="6" style="45" customWidth="1"/>
    <col min="798" max="798" width="6.81640625" style="45" customWidth="1"/>
    <col min="799" max="799" width="6" style="45" customWidth="1"/>
    <col min="800" max="800" width="18.08984375" style="45" customWidth="1"/>
    <col min="801" max="1038" width="8.81640625" style="45"/>
    <col min="1039" max="1039" width="2.08984375" style="45" customWidth="1"/>
    <col min="1040" max="1040" width="5.81640625" style="45" customWidth="1"/>
    <col min="1041" max="1041" width="6.81640625" style="45" customWidth="1"/>
    <col min="1042" max="1042" width="6.08984375" style="45" customWidth="1"/>
    <col min="1043" max="1043" width="6.81640625" style="45" customWidth="1"/>
    <col min="1044" max="1044" width="10.81640625" style="45" customWidth="1"/>
    <col min="1045" max="1045" width="11.54296875" style="45" customWidth="1"/>
    <col min="1046" max="1046" width="5.54296875" style="45" customWidth="1"/>
    <col min="1047" max="1047" width="6" style="45" customWidth="1"/>
    <col min="1048" max="1048" width="6.54296875" style="45" customWidth="1"/>
    <col min="1049" max="1049" width="11.08984375" style="45" customWidth="1"/>
    <col min="1050" max="1050" width="7.08984375" style="45" customWidth="1"/>
    <col min="1051" max="1052" width="5.81640625" style="45" customWidth="1"/>
    <col min="1053" max="1053" width="6" style="45" customWidth="1"/>
    <col min="1054" max="1054" width="6.81640625" style="45" customWidth="1"/>
    <col min="1055" max="1055" width="6" style="45" customWidth="1"/>
    <col min="1056" max="1056" width="18.08984375" style="45" customWidth="1"/>
    <col min="1057" max="1294" width="8.81640625" style="45"/>
    <col min="1295" max="1295" width="2.08984375" style="45" customWidth="1"/>
    <col min="1296" max="1296" width="5.81640625" style="45" customWidth="1"/>
    <col min="1297" max="1297" width="6.81640625" style="45" customWidth="1"/>
    <col min="1298" max="1298" width="6.08984375" style="45" customWidth="1"/>
    <col min="1299" max="1299" width="6.81640625" style="45" customWidth="1"/>
    <col min="1300" max="1300" width="10.81640625" style="45" customWidth="1"/>
    <col min="1301" max="1301" width="11.54296875" style="45" customWidth="1"/>
    <col min="1302" max="1302" width="5.54296875" style="45" customWidth="1"/>
    <col min="1303" max="1303" width="6" style="45" customWidth="1"/>
    <col min="1304" max="1304" width="6.54296875" style="45" customWidth="1"/>
    <col min="1305" max="1305" width="11.08984375" style="45" customWidth="1"/>
    <col min="1306" max="1306" width="7.08984375" style="45" customWidth="1"/>
    <col min="1307" max="1308" width="5.81640625" style="45" customWidth="1"/>
    <col min="1309" max="1309" width="6" style="45" customWidth="1"/>
    <col min="1310" max="1310" width="6.81640625" style="45" customWidth="1"/>
    <col min="1311" max="1311" width="6" style="45" customWidth="1"/>
    <col min="1312" max="1312" width="18.08984375" style="45" customWidth="1"/>
    <col min="1313" max="1550" width="8.81640625" style="45"/>
    <col min="1551" max="1551" width="2.08984375" style="45" customWidth="1"/>
    <col min="1552" max="1552" width="5.81640625" style="45" customWidth="1"/>
    <col min="1553" max="1553" width="6.81640625" style="45" customWidth="1"/>
    <col min="1554" max="1554" width="6.08984375" style="45" customWidth="1"/>
    <col min="1555" max="1555" width="6.81640625" style="45" customWidth="1"/>
    <col min="1556" max="1556" width="10.81640625" style="45" customWidth="1"/>
    <col min="1557" max="1557" width="11.54296875" style="45" customWidth="1"/>
    <col min="1558" max="1558" width="5.54296875" style="45" customWidth="1"/>
    <col min="1559" max="1559" width="6" style="45" customWidth="1"/>
    <col min="1560" max="1560" width="6.54296875" style="45" customWidth="1"/>
    <col min="1561" max="1561" width="11.08984375" style="45" customWidth="1"/>
    <col min="1562" max="1562" width="7.08984375" style="45" customWidth="1"/>
    <col min="1563" max="1564" width="5.81640625" style="45" customWidth="1"/>
    <col min="1565" max="1565" width="6" style="45" customWidth="1"/>
    <col min="1566" max="1566" width="6.81640625" style="45" customWidth="1"/>
    <col min="1567" max="1567" width="6" style="45" customWidth="1"/>
    <col min="1568" max="1568" width="18.08984375" style="45" customWidth="1"/>
    <col min="1569" max="1806" width="8.81640625" style="45"/>
    <col min="1807" max="1807" width="2.08984375" style="45" customWidth="1"/>
    <col min="1808" max="1808" width="5.81640625" style="45" customWidth="1"/>
    <col min="1809" max="1809" width="6.81640625" style="45" customWidth="1"/>
    <col min="1810" max="1810" width="6.08984375" style="45" customWidth="1"/>
    <col min="1811" max="1811" width="6.81640625" style="45" customWidth="1"/>
    <col min="1812" max="1812" width="10.81640625" style="45" customWidth="1"/>
    <col min="1813" max="1813" width="11.54296875" style="45" customWidth="1"/>
    <col min="1814" max="1814" width="5.54296875" style="45" customWidth="1"/>
    <col min="1815" max="1815" width="6" style="45" customWidth="1"/>
    <col min="1816" max="1816" width="6.54296875" style="45" customWidth="1"/>
    <col min="1817" max="1817" width="11.08984375" style="45" customWidth="1"/>
    <col min="1818" max="1818" width="7.08984375" style="45" customWidth="1"/>
    <col min="1819" max="1820" width="5.81640625" style="45" customWidth="1"/>
    <col min="1821" max="1821" width="6" style="45" customWidth="1"/>
    <col min="1822" max="1822" width="6.81640625" style="45" customWidth="1"/>
    <col min="1823" max="1823" width="6" style="45" customWidth="1"/>
    <col min="1824" max="1824" width="18.08984375" style="45" customWidth="1"/>
    <col min="1825" max="2062" width="8.81640625" style="45"/>
    <col min="2063" max="2063" width="2.08984375" style="45" customWidth="1"/>
    <col min="2064" max="2064" width="5.81640625" style="45" customWidth="1"/>
    <col min="2065" max="2065" width="6.81640625" style="45" customWidth="1"/>
    <col min="2066" max="2066" width="6.08984375" style="45" customWidth="1"/>
    <col min="2067" max="2067" width="6.81640625" style="45" customWidth="1"/>
    <col min="2068" max="2068" width="10.81640625" style="45" customWidth="1"/>
    <col min="2069" max="2069" width="11.54296875" style="45" customWidth="1"/>
    <col min="2070" max="2070" width="5.54296875" style="45" customWidth="1"/>
    <col min="2071" max="2071" width="6" style="45" customWidth="1"/>
    <col min="2072" max="2072" width="6.54296875" style="45" customWidth="1"/>
    <col min="2073" max="2073" width="11.08984375" style="45" customWidth="1"/>
    <col min="2074" max="2074" width="7.08984375" style="45" customWidth="1"/>
    <col min="2075" max="2076" width="5.81640625" style="45" customWidth="1"/>
    <col min="2077" max="2077" width="6" style="45" customWidth="1"/>
    <col min="2078" max="2078" width="6.81640625" style="45" customWidth="1"/>
    <col min="2079" max="2079" width="6" style="45" customWidth="1"/>
    <col min="2080" max="2080" width="18.08984375" style="45" customWidth="1"/>
    <col min="2081" max="2318" width="8.81640625" style="45"/>
    <col min="2319" max="2319" width="2.08984375" style="45" customWidth="1"/>
    <col min="2320" max="2320" width="5.81640625" style="45" customWidth="1"/>
    <col min="2321" max="2321" width="6.81640625" style="45" customWidth="1"/>
    <col min="2322" max="2322" width="6.08984375" style="45" customWidth="1"/>
    <col min="2323" max="2323" width="6.81640625" style="45" customWidth="1"/>
    <col min="2324" max="2324" width="10.81640625" style="45" customWidth="1"/>
    <col min="2325" max="2325" width="11.54296875" style="45" customWidth="1"/>
    <col min="2326" max="2326" width="5.54296875" style="45" customWidth="1"/>
    <col min="2327" max="2327" width="6" style="45" customWidth="1"/>
    <col min="2328" max="2328" width="6.54296875" style="45" customWidth="1"/>
    <col min="2329" max="2329" width="11.08984375" style="45" customWidth="1"/>
    <col min="2330" max="2330" width="7.08984375" style="45" customWidth="1"/>
    <col min="2331" max="2332" width="5.81640625" style="45" customWidth="1"/>
    <col min="2333" max="2333" width="6" style="45" customWidth="1"/>
    <col min="2334" max="2334" width="6.81640625" style="45" customWidth="1"/>
    <col min="2335" max="2335" width="6" style="45" customWidth="1"/>
    <col min="2336" max="2336" width="18.08984375" style="45" customWidth="1"/>
    <col min="2337" max="2574" width="8.81640625" style="45"/>
    <col min="2575" max="2575" width="2.08984375" style="45" customWidth="1"/>
    <col min="2576" max="2576" width="5.81640625" style="45" customWidth="1"/>
    <col min="2577" max="2577" width="6.81640625" style="45" customWidth="1"/>
    <col min="2578" max="2578" width="6.08984375" style="45" customWidth="1"/>
    <col min="2579" max="2579" width="6.81640625" style="45" customWidth="1"/>
    <col min="2580" max="2580" width="10.81640625" style="45" customWidth="1"/>
    <col min="2581" max="2581" width="11.54296875" style="45" customWidth="1"/>
    <col min="2582" max="2582" width="5.54296875" style="45" customWidth="1"/>
    <col min="2583" max="2583" width="6" style="45" customWidth="1"/>
    <col min="2584" max="2584" width="6.54296875" style="45" customWidth="1"/>
    <col min="2585" max="2585" width="11.08984375" style="45" customWidth="1"/>
    <col min="2586" max="2586" width="7.08984375" style="45" customWidth="1"/>
    <col min="2587" max="2588" width="5.81640625" style="45" customWidth="1"/>
    <col min="2589" max="2589" width="6" style="45" customWidth="1"/>
    <col min="2590" max="2590" width="6.81640625" style="45" customWidth="1"/>
    <col min="2591" max="2591" width="6" style="45" customWidth="1"/>
    <col min="2592" max="2592" width="18.08984375" style="45" customWidth="1"/>
    <col min="2593" max="2830" width="8.81640625" style="45"/>
    <col min="2831" max="2831" width="2.08984375" style="45" customWidth="1"/>
    <col min="2832" max="2832" width="5.81640625" style="45" customWidth="1"/>
    <col min="2833" max="2833" width="6.81640625" style="45" customWidth="1"/>
    <col min="2834" max="2834" width="6.08984375" style="45" customWidth="1"/>
    <col min="2835" max="2835" width="6.81640625" style="45" customWidth="1"/>
    <col min="2836" max="2836" width="10.81640625" style="45" customWidth="1"/>
    <col min="2837" max="2837" width="11.54296875" style="45" customWidth="1"/>
    <col min="2838" max="2838" width="5.54296875" style="45" customWidth="1"/>
    <col min="2839" max="2839" width="6" style="45" customWidth="1"/>
    <col min="2840" max="2840" width="6.54296875" style="45" customWidth="1"/>
    <col min="2841" max="2841" width="11.08984375" style="45" customWidth="1"/>
    <col min="2842" max="2842" width="7.08984375" style="45" customWidth="1"/>
    <col min="2843" max="2844" width="5.81640625" style="45" customWidth="1"/>
    <col min="2845" max="2845" width="6" style="45" customWidth="1"/>
    <col min="2846" max="2846" width="6.81640625" style="45" customWidth="1"/>
    <col min="2847" max="2847" width="6" style="45" customWidth="1"/>
    <col min="2848" max="2848" width="18.08984375" style="45" customWidth="1"/>
    <col min="2849" max="3086" width="8.81640625" style="45"/>
    <col min="3087" max="3087" width="2.08984375" style="45" customWidth="1"/>
    <col min="3088" max="3088" width="5.81640625" style="45" customWidth="1"/>
    <col min="3089" max="3089" width="6.81640625" style="45" customWidth="1"/>
    <col min="3090" max="3090" width="6.08984375" style="45" customWidth="1"/>
    <col min="3091" max="3091" width="6.81640625" style="45" customWidth="1"/>
    <col min="3092" max="3092" width="10.81640625" style="45" customWidth="1"/>
    <col min="3093" max="3093" width="11.54296875" style="45" customWidth="1"/>
    <col min="3094" max="3094" width="5.54296875" style="45" customWidth="1"/>
    <col min="3095" max="3095" width="6" style="45" customWidth="1"/>
    <col min="3096" max="3096" width="6.54296875" style="45" customWidth="1"/>
    <col min="3097" max="3097" width="11.08984375" style="45" customWidth="1"/>
    <col min="3098" max="3098" width="7.08984375" style="45" customWidth="1"/>
    <col min="3099" max="3100" width="5.81640625" style="45" customWidth="1"/>
    <col min="3101" max="3101" width="6" style="45" customWidth="1"/>
    <col min="3102" max="3102" width="6.81640625" style="45" customWidth="1"/>
    <col min="3103" max="3103" width="6" style="45" customWidth="1"/>
    <col min="3104" max="3104" width="18.08984375" style="45" customWidth="1"/>
    <col min="3105" max="3342" width="8.81640625" style="45"/>
    <col min="3343" max="3343" width="2.08984375" style="45" customWidth="1"/>
    <col min="3344" max="3344" width="5.81640625" style="45" customWidth="1"/>
    <col min="3345" max="3345" width="6.81640625" style="45" customWidth="1"/>
    <col min="3346" max="3346" width="6.08984375" style="45" customWidth="1"/>
    <col min="3347" max="3347" width="6.81640625" style="45" customWidth="1"/>
    <col min="3348" max="3348" width="10.81640625" style="45" customWidth="1"/>
    <col min="3349" max="3349" width="11.54296875" style="45" customWidth="1"/>
    <col min="3350" max="3350" width="5.54296875" style="45" customWidth="1"/>
    <col min="3351" max="3351" width="6" style="45" customWidth="1"/>
    <col min="3352" max="3352" width="6.54296875" style="45" customWidth="1"/>
    <col min="3353" max="3353" width="11.08984375" style="45" customWidth="1"/>
    <col min="3354" max="3354" width="7.08984375" style="45" customWidth="1"/>
    <col min="3355" max="3356" width="5.81640625" style="45" customWidth="1"/>
    <col min="3357" max="3357" width="6" style="45" customWidth="1"/>
    <col min="3358" max="3358" width="6.81640625" style="45" customWidth="1"/>
    <col min="3359" max="3359" width="6" style="45" customWidth="1"/>
    <col min="3360" max="3360" width="18.08984375" style="45" customWidth="1"/>
    <col min="3361" max="3598" width="8.81640625" style="45"/>
    <col min="3599" max="3599" width="2.08984375" style="45" customWidth="1"/>
    <col min="3600" max="3600" width="5.81640625" style="45" customWidth="1"/>
    <col min="3601" max="3601" width="6.81640625" style="45" customWidth="1"/>
    <col min="3602" max="3602" width="6.08984375" style="45" customWidth="1"/>
    <col min="3603" max="3603" width="6.81640625" style="45" customWidth="1"/>
    <col min="3604" max="3604" width="10.81640625" style="45" customWidth="1"/>
    <col min="3605" max="3605" width="11.54296875" style="45" customWidth="1"/>
    <col min="3606" max="3606" width="5.54296875" style="45" customWidth="1"/>
    <col min="3607" max="3607" width="6" style="45" customWidth="1"/>
    <col min="3608" max="3608" width="6.54296875" style="45" customWidth="1"/>
    <col min="3609" max="3609" width="11.08984375" style="45" customWidth="1"/>
    <col min="3610" max="3610" width="7.08984375" style="45" customWidth="1"/>
    <col min="3611" max="3612" width="5.81640625" style="45" customWidth="1"/>
    <col min="3613" max="3613" width="6" style="45" customWidth="1"/>
    <col min="3614" max="3614" width="6.81640625" style="45" customWidth="1"/>
    <col min="3615" max="3615" width="6" style="45" customWidth="1"/>
    <col min="3616" max="3616" width="18.08984375" style="45" customWidth="1"/>
    <col min="3617" max="3854" width="8.81640625" style="45"/>
    <col min="3855" max="3855" width="2.08984375" style="45" customWidth="1"/>
    <col min="3856" max="3856" width="5.81640625" style="45" customWidth="1"/>
    <col min="3857" max="3857" width="6.81640625" style="45" customWidth="1"/>
    <col min="3858" max="3858" width="6.08984375" style="45" customWidth="1"/>
    <col min="3859" max="3859" width="6.81640625" style="45" customWidth="1"/>
    <col min="3860" max="3860" width="10.81640625" style="45" customWidth="1"/>
    <col min="3861" max="3861" width="11.54296875" style="45" customWidth="1"/>
    <col min="3862" max="3862" width="5.54296875" style="45" customWidth="1"/>
    <col min="3863" max="3863" width="6" style="45" customWidth="1"/>
    <col min="3864" max="3864" width="6.54296875" style="45" customWidth="1"/>
    <col min="3865" max="3865" width="11.08984375" style="45" customWidth="1"/>
    <col min="3866" max="3866" width="7.08984375" style="45" customWidth="1"/>
    <col min="3867" max="3868" width="5.81640625" style="45" customWidth="1"/>
    <col min="3869" max="3869" width="6" style="45" customWidth="1"/>
    <col min="3870" max="3870" width="6.81640625" style="45" customWidth="1"/>
    <col min="3871" max="3871" width="6" style="45" customWidth="1"/>
    <col min="3872" max="3872" width="18.08984375" style="45" customWidth="1"/>
    <col min="3873" max="4110" width="8.81640625" style="45"/>
    <col min="4111" max="4111" width="2.08984375" style="45" customWidth="1"/>
    <col min="4112" max="4112" width="5.81640625" style="45" customWidth="1"/>
    <col min="4113" max="4113" width="6.81640625" style="45" customWidth="1"/>
    <col min="4114" max="4114" width="6.08984375" style="45" customWidth="1"/>
    <col min="4115" max="4115" width="6.81640625" style="45" customWidth="1"/>
    <col min="4116" max="4116" width="10.81640625" style="45" customWidth="1"/>
    <col min="4117" max="4117" width="11.54296875" style="45" customWidth="1"/>
    <col min="4118" max="4118" width="5.54296875" style="45" customWidth="1"/>
    <col min="4119" max="4119" width="6" style="45" customWidth="1"/>
    <col min="4120" max="4120" width="6.54296875" style="45" customWidth="1"/>
    <col min="4121" max="4121" width="11.08984375" style="45" customWidth="1"/>
    <col min="4122" max="4122" width="7.08984375" style="45" customWidth="1"/>
    <col min="4123" max="4124" width="5.81640625" style="45" customWidth="1"/>
    <col min="4125" max="4125" width="6" style="45" customWidth="1"/>
    <col min="4126" max="4126" width="6.81640625" style="45" customWidth="1"/>
    <col min="4127" max="4127" width="6" style="45" customWidth="1"/>
    <col min="4128" max="4128" width="18.08984375" style="45" customWidth="1"/>
    <col min="4129" max="4366" width="8.81640625" style="45"/>
    <col min="4367" max="4367" width="2.08984375" style="45" customWidth="1"/>
    <col min="4368" max="4368" width="5.81640625" style="45" customWidth="1"/>
    <col min="4369" max="4369" width="6.81640625" style="45" customWidth="1"/>
    <col min="4370" max="4370" width="6.08984375" style="45" customWidth="1"/>
    <col min="4371" max="4371" width="6.81640625" style="45" customWidth="1"/>
    <col min="4372" max="4372" width="10.81640625" style="45" customWidth="1"/>
    <col min="4373" max="4373" width="11.54296875" style="45" customWidth="1"/>
    <col min="4374" max="4374" width="5.54296875" style="45" customWidth="1"/>
    <col min="4375" max="4375" width="6" style="45" customWidth="1"/>
    <col min="4376" max="4376" width="6.54296875" style="45" customWidth="1"/>
    <col min="4377" max="4377" width="11.08984375" style="45" customWidth="1"/>
    <col min="4378" max="4378" width="7.08984375" style="45" customWidth="1"/>
    <col min="4379" max="4380" width="5.81640625" style="45" customWidth="1"/>
    <col min="4381" max="4381" width="6" style="45" customWidth="1"/>
    <col min="4382" max="4382" width="6.81640625" style="45" customWidth="1"/>
    <col min="4383" max="4383" width="6" style="45" customWidth="1"/>
    <col min="4384" max="4384" width="18.08984375" style="45" customWidth="1"/>
    <col min="4385" max="4622" width="8.81640625" style="45"/>
    <col min="4623" max="4623" width="2.08984375" style="45" customWidth="1"/>
    <col min="4624" max="4624" width="5.81640625" style="45" customWidth="1"/>
    <col min="4625" max="4625" width="6.81640625" style="45" customWidth="1"/>
    <col min="4626" max="4626" width="6.08984375" style="45" customWidth="1"/>
    <col min="4627" max="4627" width="6.81640625" style="45" customWidth="1"/>
    <col min="4628" max="4628" width="10.81640625" style="45" customWidth="1"/>
    <col min="4629" max="4629" width="11.54296875" style="45" customWidth="1"/>
    <col min="4630" max="4630" width="5.54296875" style="45" customWidth="1"/>
    <col min="4631" max="4631" width="6" style="45" customWidth="1"/>
    <col min="4632" max="4632" width="6.54296875" style="45" customWidth="1"/>
    <col min="4633" max="4633" width="11.08984375" style="45" customWidth="1"/>
    <col min="4634" max="4634" width="7.08984375" style="45" customWidth="1"/>
    <col min="4635" max="4636" width="5.81640625" style="45" customWidth="1"/>
    <col min="4637" max="4637" width="6" style="45" customWidth="1"/>
    <col min="4638" max="4638" width="6.81640625" style="45" customWidth="1"/>
    <col min="4639" max="4639" width="6" style="45" customWidth="1"/>
    <col min="4640" max="4640" width="18.08984375" style="45" customWidth="1"/>
    <col min="4641" max="4878" width="8.81640625" style="45"/>
    <col min="4879" max="4879" width="2.08984375" style="45" customWidth="1"/>
    <col min="4880" max="4880" width="5.81640625" style="45" customWidth="1"/>
    <col min="4881" max="4881" width="6.81640625" style="45" customWidth="1"/>
    <col min="4882" max="4882" width="6.08984375" style="45" customWidth="1"/>
    <col min="4883" max="4883" width="6.81640625" style="45" customWidth="1"/>
    <col min="4884" max="4884" width="10.81640625" style="45" customWidth="1"/>
    <col min="4885" max="4885" width="11.54296875" style="45" customWidth="1"/>
    <col min="4886" max="4886" width="5.54296875" style="45" customWidth="1"/>
    <col min="4887" max="4887" width="6" style="45" customWidth="1"/>
    <col min="4888" max="4888" width="6.54296875" style="45" customWidth="1"/>
    <col min="4889" max="4889" width="11.08984375" style="45" customWidth="1"/>
    <col min="4890" max="4890" width="7.08984375" style="45" customWidth="1"/>
    <col min="4891" max="4892" width="5.81640625" style="45" customWidth="1"/>
    <col min="4893" max="4893" width="6" style="45" customWidth="1"/>
    <col min="4894" max="4894" width="6.81640625" style="45" customWidth="1"/>
    <col min="4895" max="4895" width="6" style="45" customWidth="1"/>
    <col min="4896" max="4896" width="18.08984375" style="45" customWidth="1"/>
    <col min="4897" max="5134" width="8.81640625" style="45"/>
    <col min="5135" max="5135" width="2.08984375" style="45" customWidth="1"/>
    <col min="5136" max="5136" width="5.81640625" style="45" customWidth="1"/>
    <col min="5137" max="5137" width="6.81640625" style="45" customWidth="1"/>
    <col min="5138" max="5138" width="6.08984375" style="45" customWidth="1"/>
    <col min="5139" max="5139" width="6.81640625" style="45" customWidth="1"/>
    <col min="5140" max="5140" width="10.81640625" style="45" customWidth="1"/>
    <col min="5141" max="5141" width="11.54296875" style="45" customWidth="1"/>
    <col min="5142" max="5142" width="5.54296875" style="45" customWidth="1"/>
    <col min="5143" max="5143" width="6" style="45" customWidth="1"/>
    <col min="5144" max="5144" width="6.54296875" style="45" customWidth="1"/>
    <col min="5145" max="5145" width="11.08984375" style="45" customWidth="1"/>
    <col min="5146" max="5146" width="7.08984375" style="45" customWidth="1"/>
    <col min="5147" max="5148" width="5.81640625" style="45" customWidth="1"/>
    <col min="5149" max="5149" width="6" style="45" customWidth="1"/>
    <col min="5150" max="5150" width="6.81640625" style="45" customWidth="1"/>
    <col min="5151" max="5151" width="6" style="45" customWidth="1"/>
    <col min="5152" max="5152" width="18.08984375" style="45" customWidth="1"/>
    <col min="5153" max="5390" width="8.81640625" style="45"/>
    <col min="5391" max="5391" width="2.08984375" style="45" customWidth="1"/>
    <col min="5392" max="5392" width="5.81640625" style="45" customWidth="1"/>
    <col min="5393" max="5393" width="6.81640625" style="45" customWidth="1"/>
    <col min="5394" max="5394" width="6.08984375" style="45" customWidth="1"/>
    <col min="5395" max="5395" width="6.81640625" style="45" customWidth="1"/>
    <col min="5396" max="5396" width="10.81640625" style="45" customWidth="1"/>
    <col min="5397" max="5397" width="11.54296875" style="45" customWidth="1"/>
    <col min="5398" max="5398" width="5.54296875" style="45" customWidth="1"/>
    <col min="5399" max="5399" width="6" style="45" customWidth="1"/>
    <col min="5400" max="5400" width="6.54296875" style="45" customWidth="1"/>
    <col min="5401" max="5401" width="11.08984375" style="45" customWidth="1"/>
    <col min="5402" max="5402" width="7.08984375" style="45" customWidth="1"/>
    <col min="5403" max="5404" width="5.81640625" style="45" customWidth="1"/>
    <col min="5405" max="5405" width="6" style="45" customWidth="1"/>
    <col min="5406" max="5406" width="6.81640625" style="45" customWidth="1"/>
    <col min="5407" max="5407" width="6" style="45" customWidth="1"/>
    <col min="5408" max="5408" width="18.08984375" style="45" customWidth="1"/>
    <col min="5409" max="5646" width="8.81640625" style="45"/>
    <col min="5647" max="5647" width="2.08984375" style="45" customWidth="1"/>
    <col min="5648" max="5648" width="5.81640625" style="45" customWidth="1"/>
    <col min="5649" max="5649" width="6.81640625" style="45" customWidth="1"/>
    <col min="5650" max="5650" width="6.08984375" style="45" customWidth="1"/>
    <col min="5651" max="5651" width="6.81640625" style="45" customWidth="1"/>
    <col min="5652" max="5652" width="10.81640625" style="45" customWidth="1"/>
    <col min="5653" max="5653" width="11.54296875" style="45" customWidth="1"/>
    <col min="5654" max="5654" width="5.54296875" style="45" customWidth="1"/>
    <col min="5655" max="5655" width="6" style="45" customWidth="1"/>
    <col min="5656" max="5656" width="6.54296875" style="45" customWidth="1"/>
    <col min="5657" max="5657" width="11.08984375" style="45" customWidth="1"/>
    <col min="5658" max="5658" width="7.08984375" style="45" customWidth="1"/>
    <col min="5659" max="5660" width="5.81640625" style="45" customWidth="1"/>
    <col min="5661" max="5661" width="6" style="45" customWidth="1"/>
    <col min="5662" max="5662" width="6.81640625" style="45" customWidth="1"/>
    <col min="5663" max="5663" width="6" style="45" customWidth="1"/>
    <col min="5664" max="5664" width="18.08984375" style="45" customWidth="1"/>
    <col min="5665" max="5902" width="8.81640625" style="45"/>
    <col min="5903" max="5903" width="2.08984375" style="45" customWidth="1"/>
    <col min="5904" max="5904" width="5.81640625" style="45" customWidth="1"/>
    <col min="5905" max="5905" width="6.81640625" style="45" customWidth="1"/>
    <col min="5906" max="5906" width="6.08984375" style="45" customWidth="1"/>
    <col min="5907" max="5907" width="6.81640625" style="45" customWidth="1"/>
    <col min="5908" max="5908" width="10.81640625" style="45" customWidth="1"/>
    <col min="5909" max="5909" width="11.54296875" style="45" customWidth="1"/>
    <col min="5910" max="5910" width="5.54296875" style="45" customWidth="1"/>
    <col min="5911" max="5911" width="6" style="45" customWidth="1"/>
    <col min="5912" max="5912" width="6.54296875" style="45" customWidth="1"/>
    <col min="5913" max="5913" width="11.08984375" style="45" customWidth="1"/>
    <col min="5914" max="5914" width="7.08984375" style="45" customWidth="1"/>
    <col min="5915" max="5916" width="5.81640625" style="45" customWidth="1"/>
    <col min="5917" max="5917" width="6" style="45" customWidth="1"/>
    <col min="5918" max="5918" width="6.81640625" style="45" customWidth="1"/>
    <col min="5919" max="5919" width="6" style="45" customWidth="1"/>
    <col min="5920" max="5920" width="18.08984375" style="45" customWidth="1"/>
    <col min="5921" max="6158" width="8.81640625" style="45"/>
    <col min="6159" max="6159" width="2.08984375" style="45" customWidth="1"/>
    <col min="6160" max="6160" width="5.81640625" style="45" customWidth="1"/>
    <col min="6161" max="6161" width="6.81640625" style="45" customWidth="1"/>
    <col min="6162" max="6162" width="6.08984375" style="45" customWidth="1"/>
    <col min="6163" max="6163" width="6.81640625" style="45" customWidth="1"/>
    <col min="6164" max="6164" width="10.81640625" style="45" customWidth="1"/>
    <col min="6165" max="6165" width="11.54296875" style="45" customWidth="1"/>
    <col min="6166" max="6166" width="5.54296875" style="45" customWidth="1"/>
    <col min="6167" max="6167" width="6" style="45" customWidth="1"/>
    <col min="6168" max="6168" width="6.54296875" style="45" customWidth="1"/>
    <col min="6169" max="6169" width="11.08984375" style="45" customWidth="1"/>
    <col min="6170" max="6170" width="7.08984375" style="45" customWidth="1"/>
    <col min="6171" max="6172" width="5.81640625" style="45" customWidth="1"/>
    <col min="6173" max="6173" width="6" style="45" customWidth="1"/>
    <col min="6174" max="6174" width="6.81640625" style="45" customWidth="1"/>
    <col min="6175" max="6175" width="6" style="45" customWidth="1"/>
    <col min="6176" max="6176" width="18.08984375" style="45" customWidth="1"/>
    <col min="6177" max="6414" width="8.81640625" style="45"/>
    <col min="6415" max="6415" width="2.08984375" style="45" customWidth="1"/>
    <col min="6416" max="6416" width="5.81640625" style="45" customWidth="1"/>
    <col min="6417" max="6417" width="6.81640625" style="45" customWidth="1"/>
    <col min="6418" max="6418" width="6.08984375" style="45" customWidth="1"/>
    <col min="6419" max="6419" width="6.81640625" style="45" customWidth="1"/>
    <col min="6420" max="6420" width="10.81640625" style="45" customWidth="1"/>
    <col min="6421" max="6421" width="11.54296875" style="45" customWidth="1"/>
    <col min="6422" max="6422" width="5.54296875" style="45" customWidth="1"/>
    <col min="6423" max="6423" width="6" style="45" customWidth="1"/>
    <col min="6424" max="6424" width="6.54296875" style="45" customWidth="1"/>
    <col min="6425" max="6425" width="11.08984375" style="45" customWidth="1"/>
    <col min="6426" max="6426" width="7.08984375" style="45" customWidth="1"/>
    <col min="6427" max="6428" width="5.81640625" style="45" customWidth="1"/>
    <col min="6429" max="6429" width="6" style="45" customWidth="1"/>
    <col min="6430" max="6430" width="6.81640625" style="45" customWidth="1"/>
    <col min="6431" max="6431" width="6" style="45" customWidth="1"/>
    <col min="6432" max="6432" width="18.08984375" style="45" customWidth="1"/>
    <col min="6433" max="6670" width="8.81640625" style="45"/>
    <col min="6671" max="6671" width="2.08984375" style="45" customWidth="1"/>
    <col min="6672" max="6672" width="5.81640625" style="45" customWidth="1"/>
    <col min="6673" max="6673" width="6.81640625" style="45" customWidth="1"/>
    <col min="6674" max="6674" width="6.08984375" style="45" customWidth="1"/>
    <col min="6675" max="6675" width="6.81640625" style="45" customWidth="1"/>
    <col min="6676" max="6676" width="10.81640625" style="45" customWidth="1"/>
    <col min="6677" max="6677" width="11.54296875" style="45" customWidth="1"/>
    <col min="6678" max="6678" width="5.54296875" style="45" customWidth="1"/>
    <col min="6679" max="6679" width="6" style="45" customWidth="1"/>
    <col min="6680" max="6680" width="6.54296875" style="45" customWidth="1"/>
    <col min="6681" max="6681" width="11.08984375" style="45" customWidth="1"/>
    <col min="6682" max="6682" width="7.08984375" style="45" customWidth="1"/>
    <col min="6683" max="6684" width="5.81640625" style="45" customWidth="1"/>
    <col min="6685" max="6685" width="6" style="45" customWidth="1"/>
    <col min="6686" max="6686" width="6.81640625" style="45" customWidth="1"/>
    <col min="6687" max="6687" width="6" style="45" customWidth="1"/>
    <col min="6688" max="6688" width="18.08984375" style="45" customWidth="1"/>
    <col min="6689" max="6926" width="8.81640625" style="45"/>
    <col min="6927" max="6927" width="2.08984375" style="45" customWidth="1"/>
    <col min="6928" max="6928" width="5.81640625" style="45" customWidth="1"/>
    <col min="6929" max="6929" width="6.81640625" style="45" customWidth="1"/>
    <col min="6930" max="6930" width="6.08984375" style="45" customWidth="1"/>
    <col min="6931" max="6931" width="6.81640625" style="45" customWidth="1"/>
    <col min="6932" max="6932" width="10.81640625" style="45" customWidth="1"/>
    <col min="6933" max="6933" width="11.54296875" style="45" customWidth="1"/>
    <col min="6934" max="6934" width="5.54296875" style="45" customWidth="1"/>
    <col min="6935" max="6935" width="6" style="45" customWidth="1"/>
    <col min="6936" max="6936" width="6.54296875" style="45" customWidth="1"/>
    <col min="6937" max="6937" width="11.08984375" style="45" customWidth="1"/>
    <col min="6938" max="6938" width="7.08984375" style="45" customWidth="1"/>
    <col min="6939" max="6940" width="5.81640625" style="45" customWidth="1"/>
    <col min="6941" max="6941" width="6" style="45" customWidth="1"/>
    <col min="6942" max="6942" width="6.81640625" style="45" customWidth="1"/>
    <col min="6943" max="6943" width="6" style="45" customWidth="1"/>
    <col min="6944" max="6944" width="18.08984375" style="45" customWidth="1"/>
    <col min="6945" max="7182" width="8.81640625" style="45"/>
    <col min="7183" max="7183" width="2.08984375" style="45" customWidth="1"/>
    <col min="7184" max="7184" width="5.81640625" style="45" customWidth="1"/>
    <col min="7185" max="7185" width="6.81640625" style="45" customWidth="1"/>
    <col min="7186" max="7186" width="6.08984375" style="45" customWidth="1"/>
    <col min="7187" max="7187" width="6.81640625" style="45" customWidth="1"/>
    <col min="7188" max="7188" width="10.81640625" style="45" customWidth="1"/>
    <col min="7189" max="7189" width="11.54296875" style="45" customWidth="1"/>
    <col min="7190" max="7190" width="5.54296875" style="45" customWidth="1"/>
    <col min="7191" max="7191" width="6" style="45" customWidth="1"/>
    <col min="7192" max="7192" width="6.54296875" style="45" customWidth="1"/>
    <col min="7193" max="7193" width="11.08984375" style="45" customWidth="1"/>
    <col min="7194" max="7194" width="7.08984375" style="45" customWidth="1"/>
    <col min="7195" max="7196" width="5.81640625" style="45" customWidth="1"/>
    <col min="7197" max="7197" width="6" style="45" customWidth="1"/>
    <col min="7198" max="7198" width="6.81640625" style="45" customWidth="1"/>
    <col min="7199" max="7199" width="6" style="45" customWidth="1"/>
    <col min="7200" max="7200" width="18.08984375" style="45" customWidth="1"/>
    <col min="7201" max="7438" width="8.81640625" style="45"/>
    <col min="7439" max="7439" width="2.08984375" style="45" customWidth="1"/>
    <col min="7440" max="7440" width="5.81640625" style="45" customWidth="1"/>
    <col min="7441" max="7441" width="6.81640625" style="45" customWidth="1"/>
    <col min="7442" max="7442" width="6.08984375" style="45" customWidth="1"/>
    <col min="7443" max="7443" width="6.81640625" style="45" customWidth="1"/>
    <col min="7444" max="7444" width="10.81640625" style="45" customWidth="1"/>
    <col min="7445" max="7445" width="11.54296875" style="45" customWidth="1"/>
    <col min="7446" max="7446" width="5.54296875" style="45" customWidth="1"/>
    <col min="7447" max="7447" width="6" style="45" customWidth="1"/>
    <col min="7448" max="7448" width="6.54296875" style="45" customWidth="1"/>
    <col min="7449" max="7449" width="11.08984375" style="45" customWidth="1"/>
    <col min="7450" max="7450" width="7.08984375" style="45" customWidth="1"/>
    <col min="7451" max="7452" width="5.81640625" style="45" customWidth="1"/>
    <col min="7453" max="7453" width="6" style="45" customWidth="1"/>
    <col min="7454" max="7454" width="6.81640625" style="45" customWidth="1"/>
    <col min="7455" max="7455" width="6" style="45" customWidth="1"/>
    <col min="7456" max="7456" width="18.08984375" style="45" customWidth="1"/>
    <col min="7457" max="7694" width="8.81640625" style="45"/>
    <col min="7695" max="7695" width="2.08984375" style="45" customWidth="1"/>
    <col min="7696" max="7696" width="5.81640625" style="45" customWidth="1"/>
    <col min="7697" max="7697" width="6.81640625" style="45" customWidth="1"/>
    <col min="7698" max="7698" width="6.08984375" style="45" customWidth="1"/>
    <col min="7699" max="7699" width="6.81640625" style="45" customWidth="1"/>
    <col min="7700" max="7700" width="10.81640625" style="45" customWidth="1"/>
    <col min="7701" max="7701" width="11.54296875" style="45" customWidth="1"/>
    <col min="7702" max="7702" width="5.54296875" style="45" customWidth="1"/>
    <col min="7703" max="7703" width="6" style="45" customWidth="1"/>
    <col min="7704" max="7704" width="6.54296875" style="45" customWidth="1"/>
    <col min="7705" max="7705" width="11.08984375" style="45" customWidth="1"/>
    <col min="7706" max="7706" width="7.08984375" style="45" customWidth="1"/>
    <col min="7707" max="7708" width="5.81640625" style="45" customWidth="1"/>
    <col min="7709" max="7709" width="6" style="45" customWidth="1"/>
    <col min="7710" max="7710" width="6.81640625" style="45" customWidth="1"/>
    <col min="7711" max="7711" width="6" style="45" customWidth="1"/>
    <col min="7712" max="7712" width="18.08984375" style="45" customWidth="1"/>
    <col min="7713" max="7950" width="8.81640625" style="45"/>
    <col min="7951" max="7951" width="2.08984375" style="45" customWidth="1"/>
    <col min="7952" max="7952" width="5.81640625" style="45" customWidth="1"/>
    <col min="7953" max="7953" width="6.81640625" style="45" customWidth="1"/>
    <col min="7954" max="7954" width="6.08984375" style="45" customWidth="1"/>
    <col min="7955" max="7955" width="6.81640625" style="45" customWidth="1"/>
    <col min="7956" max="7956" width="10.81640625" style="45" customWidth="1"/>
    <col min="7957" max="7957" width="11.54296875" style="45" customWidth="1"/>
    <col min="7958" max="7958" width="5.54296875" style="45" customWidth="1"/>
    <col min="7959" max="7959" width="6" style="45" customWidth="1"/>
    <col min="7960" max="7960" width="6.54296875" style="45" customWidth="1"/>
    <col min="7961" max="7961" width="11.08984375" style="45" customWidth="1"/>
    <col min="7962" max="7962" width="7.08984375" style="45" customWidth="1"/>
    <col min="7963" max="7964" width="5.81640625" style="45" customWidth="1"/>
    <col min="7965" max="7965" width="6" style="45" customWidth="1"/>
    <col min="7966" max="7966" width="6.81640625" style="45" customWidth="1"/>
    <col min="7967" max="7967" width="6" style="45" customWidth="1"/>
    <col min="7968" max="7968" width="18.08984375" style="45" customWidth="1"/>
    <col min="7969" max="8206" width="8.81640625" style="45"/>
    <col min="8207" max="8207" width="2.08984375" style="45" customWidth="1"/>
    <col min="8208" max="8208" width="5.81640625" style="45" customWidth="1"/>
    <col min="8209" max="8209" width="6.81640625" style="45" customWidth="1"/>
    <col min="8210" max="8210" width="6.08984375" style="45" customWidth="1"/>
    <col min="8211" max="8211" width="6.81640625" style="45" customWidth="1"/>
    <col min="8212" max="8212" width="10.81640625" style="45" customWidth="1"/>
    <col min="8213" max="8213" width="11.54296875" style="45" customWidth="1"/>
    <col min="8214" max="8214" width="5.54296875" style="45" customWidth="1"/>
    <col min="8215" max="8215" width="6" style="45" customWidth="1"/>
    <col min="8216" max="8216" width="6.54296875" style="45" customWidth="1"/>
    <col min="8217" max="8217" width="11.08984375" style="45" customWidth="1"/>
    <col min="8218" max="8218" width="7.08984375" style="45" customWidth="1"/>
    <col min="8219" max="8220" width="5.81640625" style="45" customWidth="1"/>
    <col min="8221" max="8221" width="6" style="45" customWidth="1"/>
    <col min="8222" max="8222" width="6.81640625" style="45" customWidth="1"/>
    <col min="8223" max="8223" width="6" style="45" customWidth="1"/>
    <col min="8224" max="8224" width="18.08984375" style="45" customWidth="1"/>
    <col min="8225" max="8462" width="8.81640625" style="45"/>
    <col min="8463" max="8463" width="2.08984375" style="45" customWidth="1"/>
    <col min="8464" max="8464" width="5.81640625" style="45" customWidth="1"/>
    <col min="8465" max="8465" width="6.81640625" style="45" customWidth="1"/>
    <col min="8466" max="8466" width="6.08984375" style="45" customWidth="1"/>
    <col min="8467" max="8467" width="6.81640625" style="45" customWidth="1"/>
    <col min="8468" max="8468" width="10.81640625" style="45" customWidth="1"/>
    <col min="8469" max="8469" width="11.54296875" style="45" customWidth="1"/>
    <col min="8470" max="8470" width="5.54296875" style="45" customWidth="1"/>
    <col min="8471" max="8471" width="6" style="45" customWidth="1"/>
    <col min="8472" max="8472" width="6.54296875" style="45" customWidth="1"/>
    <col min="8473" max="8473" width="11.08984375" style="45" customWidth="1"/>
    <col min="8474" max="8474" width="7.08984375" style="45" customWidth="1"/>
    <col min="8475" max="8476" width="5.81640625" style="45" customWidth="1"/>
    <col min="8477" max="8477" width="6" style="45" customWidth="1"/>
    <col min="8478" max="8478" width="6.81640625" style="45" customWidth="1"/>
    <col min="8479" max="8479" width="6" style="45" customWidth="1"/>
    <col min="8480" max="8480" width="18.08984375" style="45" customWidth="1"/>
    <col min="8481" max="8718" width="8.81640625" style="45"/>
    <col min="8719" max="8719" width="2.08984375" style="45" customWidth="1"/>
    <col min="8720" max="8720" width="5.81640625" style="45" customWidth="1"/>
    <col min="8721" max="8721" width="6.81640625" style="45" customWidth="1"/>
    <col min="8722" max="8722" width="6.08984375" style="45" customWidth="1"/>
    <col min="8723" max="8723" width="6.81640625" style="45" customWidth="1"/>
    <col min="8724" max="8724" width="10.81640625" style="45" customWidth="1"/>
    <col min="8725" max="8725" width="11.54296875" style="45" customWidth="1"/>
    <col min="8726" max="8726" width="5.54296875" style="45" customWidth="1"/>
    <col min="8727" max="8727" width="6" style="45" customWidth="1"/>
    <col min="8728" max="8728" width="6.54296875" style="45" customWidth="1"/>
    <col min="8729" max="8729" width="11.08984375" style="45" customWidth="1"/>
    <col min="8730" max="8730" width="7.08984375" style="45" customWidth="1"/>
    <col min="8731" max="8732" width="5.81640625" style="45" customWidth="1"/>
    <col min="8733" max="8733" width="6" style="45" customWidth="1"/>
    <col min="8734" max="8734" width="6.81640625" style="45" customWidth="1"/>
    <col min="8735" max="8735" width="6" style="45" customWidth="1"/>
    <col min="8736" max="8736" width="18.08984375" style="45" customWidth="1"/>
    <col min="8737" max="8974" width="8.81640625" style="45"/>
    <col min="8975" max="8975" width="2.08984375" style="45" customWidth="1"/>
    <col min="8976" max="8976" width="5.81640625" style="45" customWidth="1"/>
    <col min="8977" max="8977" width="6.81640625" style="45" customWidth="1"/>
    <col min="8978" max="8978" width="6.08984375" style="45" customWidth="1"/>
    <col min="8979" max="8979" width="6.81640625" style="45" customWidth="1"/>
    <col min="8980" max="8980" width="10.81640625" style="45" customWidth="1"/>
    <col min="8981" max="8981" width="11.54296875" style="45" customWidth="1"/>
    <col min="8982" max="8982" width="5.54296875" style="45" customWidth="1"/>
    <col min="8983" max="8983" width="6" style="45" customWidth="1"/>
    <col min="8984" max="8984" width="6.54296875" style="45" customWidth="1"/>
    <col min="8985" max="8985" width="11.08984375" style="45" customWidth="1"/>
    <col min="8986" max="8986" width="7.08984375" style="45" customWidth="1"/>
    <col min="8987" max="8988" width="5.81640625" style="45" customWidth="1"/>
    <col min="8989" max="8989" width="6" style="45" customWidth="1"/>
    <col min="8990" max="8990" width="6.81640625" style="45" customWidth="1"/>
    <col min="8991" max="8991" width="6" style="45" customWidth="1"/>
    <col min="8992" max="8992" width="18.08984375" style="45" customWidth="1"/>
    <col min="8993" max="9230" width="8.81640625" style="45"/>
    <col min="9231" max="9231" width="2.08984375" style="45" customWidth="1"/>
    <col min="9232" max="9232" width="5.81640625" style="45" customWidth="1"/>
    <col min="9233" max="9233" width="6.81640625" style="45" customWidth="1"/>
    <col min="9234" max="9234" width="6.08984375" style="45" customWidth="1"/>
    <col min="9235" max="9235" width="6.81640625" style="45" customWidth="1"/>
    <col min="9236" max="9236" width="10.81640625" style="45" customWidth="1"/>
    <col min="9237" max="9237" width="11.54296875" style="45" customWidth="1"/>
    <col min="9238" max="9238" width="5.54296875" style="45" customWidth="1"/>
    <col min="9239" max="9239" width="6" style="45" customWidth="1"/>
    <col min="9240" max="9240" width="6.54296875" style="45" customWidth="1"/>
    <col min="9241" max="9241" width="11.08984375" style="45" customWidth="1"/>
    <col min="9242" max="9242" width="7.08984375" style="45" customWidth="1"/>
    <col min="9243" max="9244" width="5.81640625" style="45" customWidth="1"/>
    <col min="9245" max="9245" width="6" style="45" customWidth="1"/>
    <col min="9246" max="9246" width="6.81640625" style="45" customWidth="1"/>
    <col min="9247" max="9247" width="6" style="45" customWidth="1"/>
    <col min="9248" max="9248" width="18.08984375" style="45" customWidth="1"/>
    <col min="9249" max="9486" width="8.81640625" style="45"/>
    <col min="9487" max="9487" width="2.08984375" style="45" customWidth="1"/>
    <col min="9488" max="9488" width="5.81640625" style="45" customWidth="1"/>
    <col min="9489" max="9489" width="6.81640625" style="45" customWidth="1"/>
    <col min="9490" max="9490" width="6.08984375" style="45" customWidth="1"/>
    <col min="9491" max="9491" width="6.81640625" style="45" customWidth="1"/>
    <col min="9492" max="9492" width="10.81640625" style="45" customWidth="1"/>
    <col min="9493" max="9493" width="11.54296875" style="45" customWidth="1"/>
    <col min="9494" max="9494" width="5.54296875" style="45" customWidth="1"/>
    <col min="9495" max="9495" width="6" style="45" customWidth="1"/>
    <col min="9496" max="9496" width="6.54296875" style="45" customWidth="1"/>
    <col min="9497" max="9497" width="11.08984375" style="45" customWidth="1"/>
    <col min="9498" max="9498" width="7.08984375" style="45" customWidth="1"/>
    <col min="9499" max="9500" width="5.81640625" style="45" customWidth="1"/>
    <col min="9501" max="9501" width="6" style="45" customWidth="1"/>
    <col min="9502" max="9502" width="6.81640625" style="45" customWidth="1"/>
    <col min="9503" max="9503" width="6" style="45" customWidth="1"/>
    <col min="9504" max="9504" width="18.08984375" style="45" customWidth="1"/>
    <col min="9505" max="9742" width="8.81640625" style="45"/>
    <col min="9743" max="9743" width="2.08984375" style="45" customWidth="1"/>
    <col min="9744" max="9744" width="5.81640625" style="45" customWidth="1"/>
    <col min="9745" max="9745" width="6.81640625" style="45" customWidth="1"/>
    <col min="9746" max="9746" width="6.08984375" style="45" customWidth="1"/>
    <col min="9747" max="9747" width="6.81640625" style="45" customWidth="1"/>
    <col min="9748" max="9748" width="10.81640625" style="45" customWidth="1"/>
    <col min="9749" max="9749" width="11.54296875" style="45" customWidth="1"/>
    <col min="9750" max="9750" width="5.54296875" style="45" customWidth="1"/>
    <col min="9751" max="9751" width="6" style="45" customWidth="1"/>
    <col min="9752" max="9752" width="6.54296875" style="45" customWidth="1"/>
    <col min="9753" max="9753" width="11.08984375" style="45" customWidth="1"/>
    <col min="9754" max="9754" width="7.08984375" style="45" customWidth="1"/>
    <col min="9755" max="9756" width="5.81640625" style="45" customWidth="1"/>
    <col min="9757" max="9757" width="6" style="45" customWidth="1"/>
    <col min="9758" max="9758" width="6.81640625" style="45" customWidth="1"/>
    <col min="9759" max="9759" width="6" style="45" customWidth="1"/>
    <col min="9760" max="9760" width="18.08984375" style="45" customWidth="1"/>
    <col min="9761" max="9998" width="8.81640625" style="45"/>
    <col min="9999" max="9999" width="2.08984375" style="45" customWidth="1"/>
    <col min="10000" max="10000" width="5.81640625" style="45" customWidth="1"/>
    <col min="10001" max="10001" width="6.81640625" style="45" customWidth="1"/>
    <col min="10002" max="10002" width="6.08984375" style="45" customWidth="1"/>
    <col min="10003" max="10003" width="6.81640625" style="45" customWidth="1"/>
    <col min="10004" max="10004" width="10.81640625" style="45" customWidth="1"/>
    <col min="10005" max="10005" width="11.54296875" style="45" customWidth="1"/>
    <col min="10006" max="10006" width="5.54296875" style="45" customWidth="1"/>
    <col min="10007" max="10007" width="6" style="45" customWidth="1"/>
    <col min="10008" max="10008" width="6.54296875" style="45" customWidth="1"/>
    <col min="10009" max="10009" width="11.08984375" style="45" customWidth="1"/>
    <col min="10010" max="10010" width="7.08984375" style="45" customWidth="1"/>
    <col min="10011" max="10012" width="5.81640625" style="45" customWidth="1"/>
    <col min="10013" max="10013" width="6" style="45" customWidth="1"/>
    <col min="10014" max="10014" width="6.81640625" style="45" customWidth="1"/>
    <col min="10015" max="10015" width="6" style="45" customWidth="1"/>
    <col min="10016" max="10016" width="18.08984375" style="45" customWidth="1"/>
    <col min="10017" max="10254" width="8.81640625" style="45"/>
    <col min="10255" max="10255" width="2.08984375" style="45" customWidth="1"/>
    <col min="10256" max="10256" width="5.81640625" style="45" customWidth="1"/>
    <col min="10257" max="10257" width="6.81640625" style="45" customWidth="1"/>
    <col min="10258" max="10258" width="6.08984375" style="45" customWidth="1"/>
    <col min="10259" max="10259" width="6.81640625" style="45" customWidth="1"/>
    <col min="10260" max="10260" width="10.81640625" style="45" customWidth="1"/>
    <col min="10261" max="10261" width="11.54296875" style="45" customWidth="1"/>
    <col min="10262" max="10262" width="5.54296875" style="45" customWidth="1"/>
    <col min="10263" max="10263" width="6" style="45" customWidth="1"/>
    <col min="10264" max="10264" width="6.54296875" style="45" customWidth="1"/>
    <col min="10265" max="10265" width="11.08984375" style="45" customWidth="1"/>
    <col min="10266" max="10266" width="7.08984375" style="45" customWidth="1"/>
    <col min="10267" max="10268" width="5.81640625" style="45" customWidth="1"/>
    <col min="10269" max="10269" width="6" style="45" customWidth="1"/>
    <col min="10270" max="10270" width="6.81640625" style="45" customWidth="1"/>
    <col min="10271" max="10271" width="6" style="45" customWidth="1"/>
    <col min="10272" max="10272" width="18.08984375" style="45" customWidth="1"/>
    <col min="10273" max="10510" width="8.81640625" style="45"/>
    <col min="10511" max="10511" width="2.08984375" style="45" customWidth="1"/>
    <col min="10512" max="10512" width="5.81640625" style="45" customWidth="1"/>
    <col min="10513" max="10513" width="6.81640625" style="45" customWidth="1"/>
    <col min="10514" max="10514" width="6.08984375" style="45" customWidth="1"/>
    <col min="10515" max="10515" width="6.81640625" style="45" customWidth="1"/>
    <col min="10516" max="10516" width="10.81640625" style="45" customWidth="1"/>
    <col min="10517" max="10517" width="11.54296875" style="45" customWidth="1"/>
    <col min="10518" max="10518" width="5.54296875" style="45" customWidth="1"/>
    <col min="10519" max="10519" width="6" style="45" customWidth="1"/>
    <col min="10520" max="10520" width="6.54296875" style="45" customWidth="1"/>
    <col min="10521" max="10521" width="11.08984375" style="45" customWidth="1"/>
    <col min="10522" max="10522" width="7.08984375" style="45" customWidth="1"/>
    <col min="10523" max="10524" width="5.81640625" style="45" customWidth="1"/>
    <col min="10525" max="10525" width="6" style="45" customWidth="1"/>
    <col min="10526" max="10526" width="6.81640625" style="45" customWidth="1"/>
    <col min="10527" max="10527" width="6" style="45" customWidth="1"/>
    <col min="10528" max="10528" width="18.08984375" style="45" customWidth="1"/>
    <col min="10529" max="10766" width="8.81640625" style="45"/>
    <col min="10767" max="10767" width="2.08984375" style="45" customWidth="1"/>
    <col min="10768" max="10768" width="5.81640625" style="45" customWidth="1"/>
    <col min="10769" max="10769" width="6.81640625" style="45" customWidth="1"/>
    <col min="10770" max="10770" width="6.08984375" style="45" customWidth="1"/>
    <col min="10771" max="10771" width="6.81640625" style="45" customWidth="1"/>
    <col min="10772" max="10772" width="10.81640625" style="45" customWidth="1"/>
    <col min="10773" max="10773" width="11.54296875" style="45" customWidth="1"/>
    <col min="10774" max="10774" width="5.54296875" style="45" customWidth="1"/>
    <col min="10775" max="10775" width="6" style="45" customWidth="1"/>
    <col min="10776" max="10776" width="6.54296875" style="45" customWidth="1"/>
    <col min="10777" max="10777" width="11.08984375" style="45" customWidth="1"/>
    <col min="10778" max="10778" width="7.08984375" style="45" customWidth="1"/>
    <col min="10779" max="10780" width="5.81640625" style="45" customWidth="1"/>
    <col min="10781" max="10781" width="6" style="45" customWidth="1"/>
    <col min="10782" max="10782" width="6.81640625" style="45" customWidth="1"/>
    <col min="10783" max="10783" width="6" style="45" customWidth="1"/>
    <col min="10784" max="10784" width="18.08984375" style="45" customWidth="1"/>
    <col min="10785" max="11022" width="8.81640625" style="45"/>
    <col min="11023" max="11023" width="2.08984375" style="45" customWidth="1"/>
    <col min="11024" max="11024" width="5.81640625" style="45" customWidth="1"/>
    <col min="11025" max="11025" width="6.81640625" style="45" customWidth="1"/>
    <col min="11026" max="11026" width="6.08984375" style="45" customWidth="1"/>
    <col min="11027" max="11027" width="6.81640625" style="45" customWidth="1"/>
    <col min="11028" max="11028" width="10.81640625" style="45" customWidth="1"/>
    <col min="11029" max="11029" width="11.54296875" style="45" customWidth="1"/>
    <col min="11030" max="11030" width="5.54296875" style="45" customWidth="1"/>
    <col min="11031" max="11031" width="6" style="45" customWidth="1"/>
    <col min="11032" max="11032" width="6.54296875" style="45" customWidth="1"/>
    <col min="11033" max="11033" width="11.08984375" style="45" customWidth="1"/>
    <col min="11034" max="11034" width="7.08984375" style="45" customWidth="1"/>
    <col min="11035" max="11036" width="5.81640625" style="45" customWidth="1"/>
    <col min="11037" max="11037" width="6" style="45" customWidth="1"/>
    <col min="11038" max="11038" width="6.81640625" style="45" customWidth="1"/>
    <col min="11039" max="11039" width="6" style="45" customWidth="1"/>
    <col min="11040" max="11040" width="18.08984375" style="45" customWidth="1"/>
    <col min="11041" max="11278" width="8.81640625" style="45"/>
    <col min="11279" max="11279" width="2.08984375" style="45" customWidth="1"/>
    <col min="11280" max="11280" width="5.81640625" style="45" customWidth="1"/>
    <col min="11281" max="11281" width="6.81640625" style="45" customWidth="1"/>
    <col min="11282" max="11282" width="6.08984375" style="45" customWidth="1"/>
    <col min="11283" max="11283" width="6.81640625" style="45" customWidth="1"/>
    <col min="11284" max="11284" width="10.81640625" style="45" customWidth="1"/>
    <col min="11285" max="11285" width="11.54296875" style="45" customWidth="1"/>
    <col min="11286" max="11286" width="5.54296875" style="45" customWidth="1"/>
    <col min="11287" max="11287" width="6" style="45" customWidth="1"/>
    <col min="11288" max="11288" width="6.54296875" style="45" customWidth="1"/>
    <col min="11289" max="11289" width="11.08984375" style="45" customWidth="1"/>
    <col min="11290" max="11290" width="7.08984375" style="45" customWidth="1"/>
    <col min="11291" max="11292" width="5.81640625" style="45" customWidth="1"/>
    <col min="11293" max="11293" width="6" style="45" customWidth="1"/>
    <col min="11294" max="11294" width="6.81640625" style="45" customWidth="1"/>
    <col min="11295" max="11295" width="6" style="45" customWidth="1"/>
    <col min="11296" max="11296" width="18.08984375" style="45" customWidth="1"/>
    <col min="11297" max="11534" width="8.81640625" style="45"/>
    <col min="11535" max="11535" width="2.08984375" style="45" customWidth="1"/>
    <col min="11536" max="11536" width="5.81640625" style="45" customWidth="1"/>
    <col min="11537" max="11537" width="6.81640625" style="45" customWidth="1"/>
    <col min="11538" max="11538" width="6.08984375" style="45" customWidth="1"/>
    <col min="11539" max="11539" width="6.81640625" style="45" customWidth="1"/>
    <col min="11540" max="11540" width="10.81640625" style="45" customWidth="1"/>
    <col min="11541" max="11541" width="11.54296875" style="45" customWidth="1"/>
    <col min="11542" max="11542" width="5.54296875" style="45" customWidth="1"/>
    <col min="11543" max="11543" width="6" style="45" customWidth="1"/>
    <col min="11544" max="11544" width="6.54296875" style="45" customWidth="1"/>
    <col min="11545" max="11545" width="11.08984375" style="45" customWidth="1"/>
    <col min="11546" max="11546" width="7.08984375" style="45" customWidth="1"/>
    <col min="11547" max="11548" width="5.81640625" style="45" customWidth="1"/>
    <col min="11549" max="11549" width="6" style="45" customWidth="1"/>
    <col min="11550" max="11550" width="6.81640625" style="45" customWidth="1"/>
    <col min="11551" max="11551" width="6" style="45" customWidth="1"/>
    <col min="11552" max="11552" width="18.08984375" style="45" customWidth="1"/>
    <col min="11553" max="11790" width="8.81640625" style="45"/>
    <col min="11791" max="11791" width="2.08984375" style="45" customWidth="1"/>
    <col min="11792" max="11792" width="5.81640625" style="45" customWidth="1"/>
    <col min="11793" max="11793" width="6.81640625" style="45" customWidth="1"/>
    <col min="11794" max="11794" width="6.08984375" style="45" customWidth="1"/>
    <col min="11795" max="11795" width="6.81640625" style="45" customWidth="1"/>
    <col min="11796" max="11796" width="10.81640625" style="45" customWidth="1"/>
    <col min="11797" max="11797" width="11.54296875" style="45" customWidth="1"/>
    <col min="11798" max="11798" width="5.54296875" style="45" customWidth="1"/>
    <col min="11799" max="11799" width="6" style="45" customWidth="1"/>
    <col min="11800" max="11800" width="6.54296875" style="45" customWidth="1"/>
    <col min="11801" max="11801" width="11.08984375" style="45" customWidth="1"/>
    <col min="11802" max="11802" width="7.08984375" style="45" customWidth="1"/>
    <col min="11803" max="11804" width="5.81640625" style="45" customWidth="1"/>
    <col min="11805" max="11805" width="6" style="45" customWidth="1"/>
    <col min="11806" max="11806" width="6.81640625" style="45" customWidth="1"/>
    <col min="11807" max="11807" width="6" style="45" customWidth="1"/>
    <col min="11808" max="11808" width="18.08984375" style="45" customWidth="1"/>
    <col min="11809" max="12046" width="8.81640625" style="45"/>
    <col min="12047" max="12047" width="2.08984375" style="45" customWidth="1"/>
    <col min="12048" max="12048" width="5.81640625" style="45" customWidth="1"/>
    <col min="12049" max="12049" width="6.81640625" style="45" customWidth="1"/>
    <col min="12050" max="12050" width="6.08984375" style="45" customWidth="1"/>
    <col min="12051" max="12051" width="6.81640625" style="45" customWidth="1"/>
    <col min="12052" max="12052" width="10.81640625" style="45" customWidth="1"/>
    <col min="12053" max="12053" width="11.54296875" style="45" customWidth="1"/>
    <col min="12054" max="12054" width="5.54296875" style="45" customWidth="1"/>
    <col min="12055" max="12055" width="6" style="45" customWidth="1"/>
    <col min="12056" max="12056" width="6.54296875" style="45" customWidth="1"/>
    <col min="12057" max="12057" width="11.08984375" style="45" customWidth="1"/>
    <col min="12058" max="12058" width="7.08984375" style="45" customWidth="1"/>
    <col min="12059" max="12060" width="5.81640625" style="45" customWidth="1"/>
    <col min="12061" max="12061" width="6" style="45" customWidth="1"/>
    <col min="12062" max="12062" width="6.81640625" style="45" customWidth="1"/>
    <col min="12063" max="12063" width="6" style="45" customWidth="1"/>
    <col min="12064" max="12064" width="18.08984375" style="45" customWidth="1"/>
    <col min="12065" max="12302" width="8.81640625" style="45"/>
    <col min="12303" max="12303" width="2.08984375" style="45" customWidth="1"/>
    <col min="12304" max="12304" width="5.81640625" style="45" customWidth="1"/>
    <col min="12305" max="12305" width="6.81640625" style="45" customWidth="1"/>
    <col min="12306" max="12306" width="6.08984375" style="45" customWidth="1"/>
    <col min="12307" max="12307" width="6.81640625" style="45" customWidth="1"/>
    <col min="12308" max="12308" width="10.81640625" style="45" customWidth="1"/>
    <col min="12309" max="12309" width="11.54296875" style="45" customWidth="1"/>
    <col min="12310" max="12310" width="5.54296875" style="45" customWidth="1"/>
    <col min="12311" max="12311" width="6" style="45" customWidth="1"/>
    <col min="12312" max="12312" width="6.54296875" style="45" customWidth="1"/>
    <col min="12313" max="12313" width="11.08984375" style="45" customWidth="1"/>
    <col min="12314" max="12314" width="7.08984375" style="45" customWidth="1"/>
    <col min="12315" max="12316" width="5.81640625" style="45" customWidth="1"/>
    <col min="12317" max="12317" width="6" style="45" customWidth="1"/>
    <col min="12318" max="12318" width="6.81640625" style="45" customWidth="1"/>
    <col min="12319" max="12319" width="6" style="45" customWidth="1"/>
    <col min="12320" max="12320" width="18.08984375" style="45" customWidth="1"/>
    <col min="12321" max="12558" width="8.81640625" style="45"/>
    <col min="12559" max="12559" width="2.08984375" style="45" customWidth="1"/>
    <col min="12560" max="12560" width="5.81640625" style="45" customWidth="1"/>
    <col min="12561" max="12561" width="6.81640625" style="45" customWidth="1"/>
    <col min="12562" max="12562" width="6.08984375" style="45" customWidth="1"/>
    <col min="12563" max="12563" width="6.81640625" style="45" customWidth="1"/>
    <col min="12564" max="12564" width="10.81640625" style="45" customWidth="1"/>
    <col min="12565" max="12565" width="11.54296875" style="45" customWidth="1"/>
    <col min="12566" max="12566" width="5.54296875" style="45" customWidth="1"/>
    <col min="12567" max="12567" width="6" style="45" customWidth="1"/>
    <col min="12568" max="12568" width="6.54296875" style="45" customWidth="1"/>
    <col min="12569" max="12569" width="11.08984375" style="45" customWidth="1"/>
    <col min="12570" max="12570" width="7.08984375" style="45" customWidth="1"/>
    <col min="12571" max="12572" width="5.81640625" style="45" customWidth="1"/>
    <col min="12573" max="12573" width="6" style="45" customWidth="1"/>
    <col min="12574" max="12574" width="6.81640625" style="45" customWidth="1"/>
    <col min="12575" max="12575" width="6" style="45" customWidth="1"/>
    <col min="12576" max="12576" width="18.08984375" style="45" customWidth="1"/>
    <col min="12577" max="12814" width="8.81640625" style="45"/>
    <col min="12815" max="12815" width="2.08984375" style="45" customWidth="1"/>
    <col min="12816" max="12816" width="5.81640625" style="45" customWidth="1"/>
    <col min="12817" max="12817" width="6.81640625" style="45" customWidth="1"/>
    <col min="12818" max="12818" width="6.08984375" style="45" customWidth="1"/>
    <col min="12819" max="12819" width="6.81640625" style="45" customWidth="1"/>
    <col min="12820" max="12820" width="10.81640625" style="45" customWidth="1"/>
    <col min="12821" max="12821" width="11.54296875" style="45" customWidth="1"/>
    <col min="12822" max="12822" width="5.54296875" style="45" customWidth="1"/>
    <col min="12823" max="12823" width="6" style="45" customWidth="1"/>
    <col min="12824" max="12824" width="6.54296875" style="45" customWidth="1"/>
    <col min="12825" max="12825" width="11.08984375" style="45" customWidth="1"/>
    <col min="12826" max="12826" width="7.08984375" style="45" customWidth="1"/>
    <col min="12827" max="12828" width="5.81640625" style="45" customWidth="1"/>
    <col min="12829" max="12829" width="6" style="45" customWidth="1"/>
    <col min="12830" max="12830" width="6.81640625" style="45" customWidth="1"/>
    <col min="12831" max="12831" width="6" style="45" customWidth="1"/>
    <col min="12832" max="12832" width="18.08984375" style="45" customWidth="1"/>
    <col min="12833" max="13070" width="8.81640625" style="45"/>
    <col min="13071" max="13071" width="2.08984375" style="45" customWidth="1"/>
    <col min="13072" max="13072" width="5.81640625" style="45" customWidth="1"/>
    <col min="13073" max="13073" width="6.81640625" style="45" customWidth="1"/>
    <col min="13074" max="13074" width="6.08984375" style="45" customWidth="1"/>
    <col min="13075" max="13075" width="6.81640625" style="45" customWidth="1"/>
    <col min="13076" max="13076" width="10.81640625" style="45" customWidth="1"/>
    <col min="13077" max="13077" width="11.54296875" style="45" customWidth="1"/>
    <col min="13078" max="13078" width="5.54296875" style="45" customWidth="1"/>
    <col min="13079" max="13079" width="6" style="45" customWidth="1"/>
    <col min="13080" max="13080" width="6.54296875" style="45" customWidth="1"/>
    <col min="13081" max="13081" width="11.08984375" style="45" customWidth="1"/>
    <col min="13082" max="13082" width="7.08984375" style="45" customWidth="1"/>
    <col min="13083" max="13084" width="5.81640625" style="45" customWidth="1"/>
    <col min="13085" max="13085" width="6" style="45" customWidth="1"/>
    <col min="13086" max="13086" width="6.81640625" style="45" customWidth="1"/>
    <col min="13087" max="13087" width="6" style="45" customWidth="1"/>
    <col min="13088" max="13088" width="18.08984375" style="45" customWidth="1"/>
    <col min="13089" max="13326" width="8.81640625" style="45"/>
    <col min="13327" max="13327" width="2.08984375" style="45" customWidth="1"/>
    <col min="13328" max="13328" width="5.81640625" style="45" customWidth="1"/>
    <col min="13329" max="13329" width="6.81640625" style="45" customWidth="1"/>
    <col min="13330" max="13330" width="6.08984375" style="45" customWidth="1"/>
    <col min="13331" max="13331" width="6.81640625" style="45" customWidth="1"/>
    <col min="13332" max="13332" width="10.81640625" style="45" customWidth="1"/>
    <col min="13333" max="13333" width="11.54296875" style="45" customWidth="1"/>
    <col min="13334" max="13334" width="5.54296875" style="45" customWidth="1"/>
    <col min="13335" max="13335" width="6" style="45" customWidth="1"/>
    <col min="13336" max="13336" width="6.54296875" style="45" customWidth="1"/>
    <col min="13337" max="13337" width="11.08984375" style="45" customWidth="1"/>
    <col min="13338" max="13338" width="7.08984375" style="45" customWidth="1"/>
    <col min="13339" max="13340" width="5.81640625" style="45" customWidth="1"/>
    <col min="13341" max="13341" width="6" style="45" customWidth="1"/>
    <col min="13342" max="13342" width="6.81640625" style="45" customWidth="1"/>
    <col min="13343" max="13343" width="6" style="45" customWidth="1"/>
    <col min="13344" max="13344" width="18.08984375" style="45" customWidth="1"/>
    <col min="13345" max="13582" width="8.81640625" style="45"/>
    <col min="13583" max="13583" width="2.08984375" style="45" customWidth="1"/>
    <col min="13584" max="13584" width="5.81640625" style="45" customWidth="1"/>
    <col min="13585" max="13585" width="6.81640625" style="45" customWidth="1"/>
    <col min="13586" max="13586" width="6.08984375" style="45" customWidth="1"/>
    <col min="13587" max="13587" width="6.81640625" style="45" customWidth="1"/>
    <col min="13588" max="13588" width="10.81640625" style="45" customWidth="1"/>
    <col min="13589" max="13589" width="11.54296875" style="45" customWidth="1"/>
    <col min="13590" max="13590" width="5.54296875" style="45" customWidth="1"/>
    <col min="13591" max="13591" width="6" style="45" customWidth="1"/>
    <col min="13592" max="13592" width="6.54296875" style="45" customWidth="1"/>
    <col min="13593" max="13593" width="11.08984375" style="45" customWidth="1"/>
    <col min="13594" max="13594" width="7.08984375" style="45" customWidth="1"/>
    <col min="13595" max="13596" width="5.81640625" style="45" customWidth="1"/>
    <col min="13597" max="13597" width="6" style="45" customWidth="1"/>
    <col min="13598" max="13598" width="6.81640625" style="45" customWidth="1"/>
    <col min="13599" max="13599" width="6" style="45" customWidth="1"/>
    <col min="13600" max="13600" width="18.08984375" style="45" customWidth="1"/>
    <col min="13601" max="13838" width="8.81640625" style="45"/>
    <col min="13839" max="13839" width="2.08984375" style="45" customWidth="1"/>
    <col min="13840" max="13840" width="5.81640625" style="45" customWidth="1"/>
    <col min="13841" max="13841" width="6.81640625" style="45" customWidth="1"/>
    <col min="13842" max="13842" width="6.08984375" style="45" customWidth="1"/>
    <col min="13843" max="13843" width="6.81640625" style="45" customWidth="1"/>
    <col min="13844" max="13844" width="10.81640625" style="45" customWidth="1"/>
    <col min="13845" max="13845" width="11.54296875" style="45" customWidth="1"/>
    <col min="13846" max="13846" width="5.54296875" style="45" customWidth="1"/>
    <col min="13847" max="13847" width="6" style="45" customWidth="1"/>
    <col min="13848" max="13848" width="6.54296875" style="45" customWidth="1"/>
    <col min="13849" max="13849" width="11.08984375" style="45" customWidth="1"/>
    <col min="13850" max="13850" width="7.08984375" style="45" customWidth="1"/>
    <col min="13851" max="13852" width="5.81640625" style="45" customWidth="1"/>
    <col min="13853" max="13853" width="6" style="45" customWidth="1"/>
    <col min="13854" max="13854" width="6.81640625" style="45" customWidth="1"/>
    <col min="13855" max="13855" width="6" style="45" customWidth="1"/>
    <col min="13856" max="13856" width="18.08984375" style="45" customWidth="1"/>
    <col min="13857" max="14094" width="8.81640625" style="45"/>
    <col min="14095" max="14095" width="2.08984375" style="45" customWidth="1"/>
    <col min="14096" max="14096" width="5.81640625" style="45" customWidth="1"/>
    <col min="14097" max="14097" width="6.81640625" style="45" customWidth="1"/>
    <col min="14098" max="14098" width="6.08984375" style="45" customWidth="1"/>
    <col min="14099" max="14099" width="6.81640625" style="45" customWidth="1"/>
    <col min="14100" max="14100" width="10.81640625" style="45" customWidth="1"/>
    <col min="14101" max="14101" width="11.54296875" style="45" customWidth="1"/>
    <col min="14102" max="14102" width="5.54296875" style="45" customWidth="1"/>
    <col min="14103" max="14103" width="6" style="45" customWidth="1"/>
    <col min="14104" max="14104" width="6.54296875" style="45" customWidth="1"/>
    <col min="14105" max="14105" width="11.08984375" style="45" customWidth="1"/>
    <col min="14106" max="14106" width="7.08984375" style="45" customWidth="1"/>
    <col min="14107" max="14108" width="5.81640625" style="45" customWidth="1"/>
    <col min="14109" max="14109" width="6" style="45" customWidth="1"/>
    <col min="14110" max="14110" width="6.81640625" style="45" customWidth="1"/>
    <col min="14111" max="14111" width="6" style="45" customWidth="1"/>
    <col min="14112" max="14112" width="18.08984375" style="45" customWidth="1"/>
    <col min="14113" max="14350" width="8.81640625" style="45"/>
    <col min="14351" max="14351" width="2.08984375" style="45" customWidth="1"/>
    <col min="14352" max="14352" width="5.81640625" style="45" customWidth="1"/>
    <col min="14353" max="14353" width="6.81640625" style="45" customWidth="1"/>
    <col min="14354" max="14354" width="6.08984375" style="45" customWidth="1"/>
    <col min="14355" max="14355" width="6.81640625" style="45" customWidth="1"/>
    <col min="14356" max="14356" width="10.81640625" style="45" customWidth="1"/>
    <col min="14357" max="14357" width="11.54296875" style="45" customWidth="1"/>
    <col min="14358" max="14358" width="5.54296875" style="45" customWidth="1"/>
    <col min="14359" max="14359" width="6" style="45" customWidth="1"/>
    <col min="14360" max="14360" width="6.54296875" style="45" customWidth="1"/>
    <col min="14361" max="14361" width="11.08984375" style="45" customWidth="1"/>
    <col min="14362" max="14362" width="7.08984375" style="45" customWidth="1"/>
    <col min="14363" max="14364" width="5.81640625" style="45" customWidth="1"/>
    <col min="14365" max="14365" width="6" style="45" customWidth="1"/>
    <col min="14366" max="14366" width="6.81640625" style="45" customWidth="1"/>
    <col min="14367" max="14367" width="6" style="45" customWidth="1"/>
    <col min="14368" max="14368" width="18.08984375" style="45" customWidth="1"/>
    <col min="14369" max="14606" width="8.81640625" style="45"/>
    <col min="14607" max="14607" width="2.08984375" style="45" customWidth="1"/>
    <col min="14608" max="14608" width="5.81640625" style="45" customWidth="1"/>
    <col min="14609" max="14609" width="6.81640625" style="45" customWidth="1"/>
    <col min="14610" max="14610" width="6.08984375" style="45" customWidth="1"/>
    <col min="14611" max="14611" width="6.81640625" style="45" customWidth="1"/>
    <col min="14612" max="14612" width="10.81640625" style="45" customWidth="1"/>
    <col min="14613" max="14613" width="11.54296875" style="45" customWidth="1"/>
    <col min="14614" max="14614" width="5.54296875" style="45" customWidth="1"/>
    <col min="14615" max="14615" width="6" style="45" customWidth="1"/>
    <col min="14616" max="14616" width="6.54296875" style="45" customWidth="1"/>
    <col min="14617" max="14617" width="11.08984375" style="45" customWidth="1"/>
    <col min="14618" max="14618" width="7.08984375" style="45" customWidth="1"/>
    <col min="14619" max="14620" width="5.81640625" style="45" customWidth="1"/>
    <col min="14621" max="14621" width="6" style="45" customWidth="1"/>
    <col min="14622" max="14622" width="6.81640625" style="45" customWidth="1"/>
    <col min="14623" max="14623" width="6" style="45" customWidth="1"/>
    <col min="14624" max="14624" width="18.08984375" style="45" customWidth="1"/>
    <col min="14625" max="14862" width="8.81640625" style="45"/>
    <col min="14863" max="14863" width="2.08984375" style="45" customWidth="1"/>
    <col min="14864" max="14864" width="5.81640625" style="45" customWidth="1"/>
    <col min="14865" max="14865" width="6.81640625" style="45" customWidth="1"/>
    <col min="14866" max="14866" width="6.08984375" style="45" customWidth="1"/>
    <col min="14867" max="14867" width="6.81640625" style="45" customWidth="1"/>
    <col min="14868" max="14868" width="10.81640625" style="45" customWidth="1"/>
    <col min="14869" max="14869" width="11.54296875" style="45" customWidth="1"/>
    <col min="14870" max="14870" width="5.54296875" style="45" customWidth="1"/>
    <col min="14871" max="14871" width="6" style="45" customWidth="1"/>
    <col min="14872" max="14872" width="6.54296875" style="45" customWidth="1"/>
    <col min="14873" max="14873" width="11.08984375" style="45" customWidth="1"/>
    <col min="14874" max="14874" width="7.08984375" style="45" customWidth="1"/>
    <col min="14875" max="14876" width="5.81640625" style="45" customWidth="1"/>
    <col min="14877" max="14877" width="6" style="45" customWidth="1"/>
    <col min="14878" max="14878" width="6.81640625" style="45" customWidth="1"/>
    <col min="14879" max="14879" width="6" style="45" customWidth="1"/>
    <col min="14880" max="14880" width="18.08984375" style="45" customWidth="1"/>
    <col min="14881" max="15118" width="8.81640625" style="45"/>
    <col min="15119" max="15119" width="2.08984375" style="45" customWidth="1"/>
    <col min="15120" max="15120" width="5.81640625" style="45" customWidth="1"/>
    <col min="15121" max="15121" width="6.81640625" style="45" customWidth="1"/>
    <col min="15122" max="15122" width="6.08984375" style="45" customWidth="1"/>
    <col min="15123" max="15123" width="6.81640625" style="45" customWidth="1"/>
    <col min="15124" max="15124" width="10.81640625" style="45" customWidth="1"/>
    <col min="15125" max="15125" width="11.54296875" style="45" customWidth="1"/>
    <col min="15126" max="15126" width="5.54296875" style="45" customWidth="1"/>
    <col min="15127" max="15127" width="6" style="45" customWidth="1"/>
    <col min="15128" max="15128" width="6.54296875" style="45" customWidth="1"/>
    <col min="15129" max="15129" width="11.08984375" style="45" customWidth="1"/>
    <col min="15130" max="15130" width="7.08984375" style="45" customWidth="1"/>
    <col min="15131" max="15132" width="5.81640625" style="45" customWidth="1"/>
    <col min="15133" max="15133" width="6" style="45" customWidth="1"/>
    <col min="15134" max="15134" width="6.81640625" style="45" customWidth="1"/>
    <col min="15135" max="15135" width="6" style="45" customWidth="1"/>
    <col min="15136" max="15136" width="18.08984375" style="45" customWidth="1"/>
    <col min="15137" max="15374" width="8.81640625" style="45"/>
    <col min="15375" max="15375" width="2.08984375" style="45" customWidth="1"/>
    <col min="15376" max="15376" width="5.81640625" style="45" customWidth="1"/>
    <col min="15377" max="15377" width="6.81640625" style="45" customWidth="1"/>
    <col min="15378" max="15378" width="6.08984375" style="45" customWidth="1"/>
    <col min="15379" max="15379" width="6.81640625" style="45" customWidth="1"/>
    <col min="15380" max="15380" width="10.81640625" style="45" customWidth="1"/>
    <col min="15381" max="15381" width="11.54296875" style="45" customWidth="1"/>
    <col min="15382" max="15382" width="5.54296875" style="45" customWidth="1"/>
    <col min="15383" max="15383" width="6" style="45" customWidth="1"/>
    <col min="15384" max="15384" width="6.54296875" style="45" customWidth="1"/>
    <col min="15385" max="15385" width="11.08984375" style="45" customWidth="1"/>
    <col min="15386" max="15386" width="7.08984375" style="45" customWidth="1"/>
    <col min="15387" max="15388" width="5.81640625" style="45" customWidth="1"/>
    <col min="15389" max="15389" width="6" style="45" customWidth="1"/>
    <col min="15390" max="15390" width="6.81640625" style="45" customWidth="1"/>
    <col min="15391" max="15391" width="6" style="45" customWidth="1"/>
    <col min="15392" max="15392" width="18.08984375" style="45" customWidth="1"/>
    <col min="15393" max="15630" width="8.81640625" style="45"/>
    <col min="15631" max="15631" width="2.08984375" style="45" customWidth="1"/>
    <col min="15632" max="15632" width="5.81640625" style="45" customWidth="1"/>
    <col min="15633" max="15633" width="6.81640625" style="45" customWidth="1"/>
    <col min="15634" max="15634" width="6.08984375" style="45" customWidth="1"/>
    <col min="15635" max="15635" width="6.81640625" style="45" customWidth="1"/>
    <col min="15636" max="15636" width="10.81640625" style="45" customWidth="1"/>
    <col min="15637" max="15637" width="11.54296875" style="45" customWidth="1"/>
    <col min="15638" max="15638" width="5.54296875" style="45" customWidth="1"/>
    <col min="15639" max="15639" width="6" style="45" customWidth="1"/>
    <col min="15640" max="15640" width="6.54296875" style="45" customWidth="1"/>
    <col min="15641" max="15641" width="11.08984375" style="45" customWidth="1"/>
    <col min="15642" max="15642" width="7.08984375" style="45" customWidth="1"/>
    <col min="15643" max="15644" width="5.81640625" style="45" customWidth="1"/>
    <col min="15645" max="15645" width="6" style="45" customWidth="1"/>
    <col min="15646" max="15646" width="6.81640625" style="45" customWidth="1"/>
    <col min="15647" max="15647" width="6" style="45" customWidth="1"/>
    <col min="15648" max="15648" width="18.08984375" style="45" customWidth="1"/>
    <col min="15649" max="15886" width="8.81640625" style="45"/>
    <col min="15887" max="15887" width="2.08984375" style="45" customWidth="1"/>
    <col min="15888" max="15888" width="5.81640625" style="45" customWidth="1"/>
    <col min="15889" max="15889" width="6.81640625" style="45" customWidth="1"/>
    <col min="15890" max="15890" width="6.08984375" style="45" customWidth="1"/>
    <col min="15891" max="15891" width="6.81640625" style="45" customWidth="1"/>
    <col min="15892" max="15892" width="10.81640625" style="45" customWidth="1"/>
    <col min="15893" max="15893" width="11.54296875" style="45" customWidth="1"/>
    <col min="15894" max="15894" width="5.54296875" style="45" customWidth="1"/>
    <col min="15895" max="15895" width="6" style="45" customWidth="1"/>
    <col min="15896" max="15896" width="6.54296875" style="45" customWidth="1"/>
    <col min="15897" max="15897" width="11.08984375" style="45" customWidth="1"/>
    <col min="15898" max="15898" width="7.08984375" style="45" customWidth="1"/>
    <col min="15899" max="15900" width="5.81640625" style="45" customWidth="1"/>
    <col min="15901" max="15901" width="6" style="45" customWidth="1"/>
    <col min="15902" max="15902" width="6.81640625" style="45" customWidth="1"/>
    <col min="15903" max="15903" width="6" style="45" customWidth="1"/>
    <col min="15904" max="15904" width="18.08984375" style="45" customWidth="1"/>
    <col min="15905" max="16142" width="8.81640625" style="45"/>
    <col min="16143" max="16143" width="2.08984375" style="45" customWidth="1"/>
    <col min="16144" max="16144" width="5.81640625" style="45" customWidth="1"/>
    <col min="16145" max="16145" width="6.81640625" style="45" customWidth="1"/>
    <col min="16146" max="16146" width="6.08984375" style="45" customWidth="1"/>
    <col min="16147" max="16147" width="6.81640625" style="45" customWidth="1"/>
    <col min="16148" max="16148" width="10.81640625" style="45" customWidth="1"/>
    <col min="16149" max="16149" width="11.54296875" style="45" customWidth="1"/>
    <col min="16150" max="16150" width="5.54296875" style="45" customWidth="1"/>
    <col min="16151" max="16151" width="6" style="45" customWidth="1"/>
    <col min="16152" max="16152" width="6.54296875" style="45" customWidth="1"/>
    <col min="16153" max="16153" width="11.08984375" style="45" customWidth="1"/>
    <col min="16154" max="16154" width="7.08984375" style="45" customWidth="1"/>
    <col min="16155" max="16156" width="5.81640625" style="45" customWidth="1"/>
    <col min="16157" max="16157" width="6" style="45" customWidth="1"/>
    <col min="16158" max="16158" width="6.81640625" style="45" customWidth="1"/>
    <col min="16159" max="16159" width="6" style="45" customWidth="1"/>
    <col min="16160" max="16160" width="18.08984375" style="45" customWidth="1"/>
  </cols>
  <sheetData>
    <row r="1" spans="2:36" ht="10" customHeight="1" x14ac:dyDescent="0.25"/>
    <row r="2" spans="2:36" ht="35.4" customHeight="1" thickBot="1" x14ac:dyDescent="0.3">
      <c r="B2" s="253" t="s">
        <v>411</v>
      </c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  <c r="AA2" s="254"/>
      <c r="AB2" s="254"/>
      <c r="AC2" s="254"/>
      <c r="AD2" s="254"/>
      <c r="AE2" s="254"/>
      <c r="AF2" s="254"/>
      <c r="AG2" s="254"/>
      <c r="AH2" s="254"/>
      <c r="AI2" s="254"/>
      <c r="AJ2" s="255"/>
    </row>
    <row r="3" spans="2:36" s="46" customFormat="1" ht="17.5" customHeight="1" x14ac:dyDescent="0.25">
      <c r="B3" s="256" t="s">
        <v>406</v>
      </c>
      <c r="C3" s="259" t="s">
        <v>405</v>
      </c>
      <c r="D3" s="262" t="s">
        <v>404</v>
      </c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2"/>
      <c r="X3" s="262"/>
      <c r="Y3" s="262"/>
      <c r="Z3" s="262"/>
      <c r="AA3" s="263" t="s">
        <v>403</v>
      </c>
      <c r="AB3" s="264"/>
      <c r="AC3" s="264"/>
      <c r="AD3" s="264"/>
      <c r="AE3" s="264"/>
      <c r="AF3" s="264"/>
      <c r="AG3" s="264"/>
      <c r="AH3" s="264"/>
      <c r="AI3" s="264"/>
      <c r="AJ3" s="265"/>
    </row>
    <row r="4" spans="2:36" s="46" customFormat="1" ht="17.5" customHeight="1" x14ac:dyDescent="0.25">
      <c r="B4" s="257"/>
      <c r="C4" s="260"/>
      <c r="D4" s="266" t="s">
        <v>402</v>
      </c>
      <c r="E4" s="267"/>
      <c r="F4" s="267"/>
      <c r="G4" s="267"/>
      <c r="H4" s="267"/>
      <c r="I4" s="267"/>
      <c r="J4" s="268" t="s">
        <v>401</v>
      </c>
      <c r="K4" s="269"/>
      <c r="L4" s="269"/>
      <c r="M4" s="269"/>
      <c r="N4" s="269"/>
      <c r="O4" s="269"/>
      <c r="P4" s="269"/>
      <c r="Q4" s="269"/>
      <c r="R4" s="269"/>
      <c r="S4" s="269"/>
      <c r="T4" s="270"/>
      <c r="U4" s="271" t="s">
        <v>400</v>
      </c>
      <c r="V4" s="272"/>
      <c r="W4" s="272"/>
      <c r="X4" s="272"/>
      <c r="Y4" s="272"/>
      <c r="Z4" s="273"/>
      <c r="AA4" s="271" t="s">
        <v>399</v>
      </c>
      <c r="AB4" s="275" t="s">
        <v>398</v>
      </c>
      <c r="AC4" s="277" t="s">
        <v>397</v>
      </c>
      <c r="AD4" s="277" t="s">
        <v>306</v>
      </c>
      <c r="AE4" s="277" t="s">
        <v>396</v>
      </c>
      <c r="AF4" s="279" t="s">
        <v>395</v>
      </c>
      <c r="AG4" s="277" t="s">
        <v>394</v>
      </c>
      <c r="AH4" s="279" t="s">
        <v>393</v>
      </c>
      <c r="AI4" s="277" t="s">
        <v>392</v>
      </c>
      <c r="AJ4" s="280" t="s">
        <v>391</v>
      </c>
    </row>
    <row r="5" spans="2:36" s="46" customFormat="1" ht="37.5" customHeight="1" x14ac:dyDescent="0.25">
      <c r="B5" s="258"/>
      <c r="C5" s="261"/>
      <c r="D5" s="77" t="s">
        <v>390</v>
      </c>
      <c r="E5" s="74" t="s">
        <v>389</v>
      </c>
      <c r="F5" s="74" t="s">
        <v>388</v>
      </c>
      <c r="G5" s="74" t="s">
        <v>387</v>
      </c>
      <c r="H5" s="74" t="s">
        <v>378</v>
      </c>
      <c r="I5" s="66" t="s">
        <v>377</v>
      </c>
      <c r="J5" s="77" t="s">
        <v>381</v>
      </c>
      <c r="K5" s="74" t="s">
        <v>380</v>
      </c>
      <c r="L5" s="74" t="s">
        <v>379</v>
      </c>
      <c r="M5" s="74" t="s">
        <v>386</v>
      </c>
      <c r="N5" s="74" t="s">
        <v>386</v>
      </c>
      <c r="O5" s="74" t="s">
        <v>378</v>
      </c>
      <c r="P5" s="74" t="s">
        <v>385</v>
      </c>
      <c r="Q5" s="74" t="s">
        <v>384</v>
      </c>
      <c r="R5" s="74" t="s">
        <v>377</v>
      </c>
      <c r="S5" s="74" t="s">
        <v>383</v>
      </c>
      <c r="T5" s="76" t="s">
        <v>382</v>
      </c>
      <c r="U5" s="77" t="s">
        <v>381</v>
      </c>
      <c r="V5" s="65" t="s">
        <v>380</v>
      </c>
      <c r="W5" s="74" t="s">
        <v>379</v>
      </c>
      <c r="X5" s="74" t="s">
        <v>378</v>
      </c>
      <c r="Y5" s="74" t="s">
        <v>377</v>
      </c>
      <c r="Z5" s="76" t="s">
        <v>376</v>
      </c>
      <c r="AA5" s="274"/>
      <c r="AB5" s="276"/>
      <c r="AC5" s="278"/>
      <c r="AD5" s="278"/>
      <c r="AE5" s="278"/>
      <c r="AF5" s="278"/>
      <c r="AG5" s="278"/>
      <c r="AH5" s="278"/>
      <c r="AI5" s="278"/>
      <c r="AJ5" s="281"/>
    </row>
    <row r="6" spans="2:36" s="46" customFormat="1" ht="17.5" customHeight="1" x14ac:dyDescent="0.25">
      <c r="B6" s="282"/>
      <c r="C6" s="283" t="s">
        <v>407</v>
      </c>
      <c r="D6" s="50" t="s">
        <v>281</v>
      </c>
      <c r="E6" s="49" t="s">
        <v>281</v>
      </c>
      <c r="F6" s="49" t="s">
        <v>4</v>
      </c>
      <c r="G6" s="49" t="s">
        <v>281</v>
      </c>
      <c r="H6" s="49" t="s">
        <v>284</v>
      </c>
      <c r="I6" s="64" t="s">
        <v>284</v>
      </c>
      <c r="J6" s="50" t="s">
        <v>281</v>
      </c>
      <c r="K6" s="49" t="s">
        <v>281</v>
      </c>
      <c r="L6" s="49" t="s">
        <v>284</v>
      </c>
      <c r="M6" s="49" t="s">
        <v>284</v>
      </c>
      <c r="N6" s="49" t="s">
        <v>284</v>
      </c>
      <c r="O6" s="49" t="s">
        <v>284</v>
      </c>
      <c r="P6" s="49" t="s">
        <v>284</v>
      </c>
      <c r="Q6" s="49" t="s">
        <v>284</v>
      </c>
      <c r="R6" s="49" t="s">
        <v>284</v>
      </c>
      <c r="S6" s="49" t="s">
        <v>284</v>
      </c>
      <c r="T6" s="57" t="s">
        <v>284</v>
      </c>
      <c r="U6" s="50" t="s">
        <v>281</v>
      </c>
      <c r="V6" s="63" t="s">
        <v>281</v>
      </c>
      <c r="W6" s="49" t="s">
        <v>284</v>
      </c>
      <c r="X6" s="49" t="s">
        <v>284</v>
      </c>
      <c r="Y6" s="49" t="s">
        <v>284</v>
      </c>
      <c r="Z6" s="57" t="s">
        <v>284</v>
      </c>
      <c r="AA6" s="50" t="s">
        <v>297</v>
      </c>
      <c r="AB6" s="49" t="s">
        <v>297</v>
      </c>
      <c r="AC6" s="49" t="s">
        <v>372</v>
      </c>
      <c r="AD6" s="49" t="s">
        <v>297</v>
      </c>
      <c r="AE6" s="48" t="s">
        <v>372</v>
      </c>
      <c r="AF6" s="47" t="s">
        <v>374</v>
      </c>
      <c r="AG6" s="49" t="s">
        <v>297</v>
      </c>
      <c r="AH6" s="47" t="s">
        <v>373</v>
      </c>
      <c r="AI6" s="48" t="s">
        <v>372</v>
      </c>
      <c r="AJ6" s="61" t="s">
        <v>372</v>
      </c>
    </row>
    <row r="7" spans="2:36" s="133" customFormat="1" ht="24" customHeight="1" x14ac:dyDescent="0.25">
      <c r="B7" s="257"/>
      <c r="C7" s="260"/>
      <c r="D7" s="122"/>
      <c r="E7" s="123">
        <f>K7+V7</f>
        <v>0</v>
      </c>
      <c r="F7" s="140" t="str">
        <f>IF(D7="","",IF(D28="","",IF(D7=(D7+D28)/2,"--",IF(D7&gt;=(D7+D28)/2,"↑","↓"))))</f>
        <v/>
      </c>
      <c r="G7" s="123"/>
      <c r="H7" s="123"/>
      <c r="I7" s="124"/>
      <c r="J7" s="125"/>
      <c r="K7" s="126"/>
      <c r="L7" s="126"/>
      <c r="M7" s="126"/>
      <c r="N7" s="126"/>
      <c r="O7" s="126"/>
      <c r="P7" s="126"/>
      <c r="Q7" s="126"/>
      <c r="R7" s="126"/>
      <c r="S7" s="126"/>
      <c r="T7" s="127"/>
      <c r="U7" s="125"/>
      <c r="V7" s="128"/>
      <c r="W7" s="123"/>
      <c r="X7" s="123"/>
      <c r="Y7" s="123"/>
      <c r="Z7" s="129" t="e">
        <f>U7/D7</f>
        <v>#DIV/0!</v>
      </c>
      <c r="AA7" s="130"/>
      <c r="AB7" s="123"/>
      <c r="AC7" s="123"/>
      <c r="AD7" s="123"/>
      <c r="AE7" s="131"/>
      <c r="AF7" s="131"/>
      <c r="AG7" s="131"/>
      <c r="AH7" s="131"/>
      <c r="AI7" s="131"/>
      <c r="AJ7" s="132"/>
    </row>
    <row r="8" spans="2:36" s="46" customFormat="1" ht="17.5" customHeight="1" x14ac:dyDescent="0.25">
      <c r="B8" s="257"/>
      <c r="C8" s="260"/>
      <c r="D8" s="271" t="s">
        <v>371</v>
      </c>
      <c r="E8" s="272"/>
      <c r="F8" s="273"/>
      <c r="G8" s="271" t="s">
        <v>370</v>
      </c>
      <c r="H8" s="272"/>
      <c r="I8" s="272"/>
      <c r="J8" s="272"/>
      <c r="K8" s="272"/>
      <c r="L8" s="272"/>
      <c r="M8" s="272"/>
      <c r="N8" s="272"/>
      <c r="O8" s="273"/>
      <c r="P8" s="271" t="s">
        <v>369</v>
      </c>
      <c r="Q8" s="272"/>
      <c r="R8" s="272"/>
      <c r="S8" s="272"/>
      <c r="T8" s="272"/>
      <c r="U8" s="272"/>
      <c r="V8" s="272"/>
      <c r="W8" s="272"/>
      <c r="X8" s="272"/>
      <c r="Y8" s="272"/>
      <c r="Z8" s="272"/>
      <c r="AA8" s="272"/>
      <c r="AB8" s="272"/>
      <c r="AC8" s="272"/>
      <c r="AD8" s="273"/>
      <c r="AE8" s="284" t="s">
        <v>336</v>
      </c>
      <c r="AF8" s="272"/>
      <c r="AG8" s="272"/>
      <c r="AH8" s="272"/>
      <c r="AI8" s="272"/>
      <c r="AJ8" s="273"/>
    </row>
    <row r="9" spans="2:36" s="46" customFormat="1" ht="15" customHeight="1" x14ac:dyDescent="0.25">
      <c r="B9" s="257"/>
      <c r="C9" s="260"/>
      <c r="D9" s="285" t="s">
        <v>368</v>
      </c>
      <c r="E9" s="286" t="s">
        <v>367</v>
      </c>
      <c r="F9" s="287" t="s">
        <v>366</v>
      </c>
      <c r="G9" s="285" t="s">
        <v>365</v>
      </c>
      <c r="H9" s="278"/>
      <c r="I9" s="288" t="s">
        <v>364</v>
      </c>
      <c r="J9" s="288" t="s">
        <v>363</v>
      </c>
      <c r="K9" s="288" t="s">
        <v>362</v>
      </c>
      <c r="L9" s="288" t="s">
        <v>361</v>
      </c>
      <c r="M9" s="288" t="s">
        <v>360</v>
      </c>
      <c r="N9" s="288" t="s">
        <v>359</v>
      </c>
      <c r="O9" s="290" t="s">
        <v>358</v>
      </c>
      <c r="P9" s="285" t="s">
        <v>357</v>
      </c>
      <c r="Q9" s="278"/>
      <c r="R9" s="286" t="s">
        <v>356</v>
      </c>
      <c r="S9" s="278"/>
      <c r="T9" s="278"/>
      <c r="U9" s="286" t="s">
        <v>355</v>
      </c>
      <c r="V9" s="292" t="s">
        <v>354</v>
      </c>
      <c r="W9" s="278"/>
      <c r="X9" s="292" t="s">
        <v>353</v>
      </c>
      <c r="Y9" s="278"/>
      <c r="Z9" s="278"/>
      <c r="AA9" s="292" t="s">
        <v>352</v>
      </c>
      <c r="AB9" s="286" t="s">
        <v>351</v>
      </c>
      <c r="AC9" s="289" t="s">
        <v>350</v>
      </c>
      <c r="AD9" s="287" t="s">
        <v>349</v>
      </c>
      <c r="AE9" s="291" t="s">
        <v>348</v>
      </c>
      <c r="AF9" s="278"/>
      <c r="AG9" s="278"/>
      <c r="AH9" s="288" t="s">
        <v>332</v>
      </c>
      <c r="AI9" s="278"/>
      <c r="AJ9" s="281"/>
    </row>
    <row r="10" spans="2:36" s="46" customFormat="1" ht="15" customHeight="1" x14ac:dyDescent="0.25">
      <c r="B10" s="257"/>
      <c r="C10" s="260"/>
      <c r="D10" s="274"/>
      <c r="E10" s="278"/>
      <c r="F10" s="281"/>
      <c r="G10" s="75" t="s">
        <v>347</v>
      </c>
      <c r="H10" s="72" t="s">
        <v>346</v>
      </c>
      <c r="I10" s="278"/>
      <c r="J10" s="278"/>
      <c r="K10" s="278"/>
      <c r="L10" s="278"/>
      <c r="M10" s="278"/>
      <c r="N10" s="278"/>
      <c r="O10" s="281"/>
      <c r="P10" s="75" t="s">
        <v>345</v>
      </c>
      <c r="Q10" s="72" t="s">
        <v>344</v>
      </c>
      <c r="R10" s="72" t="s">
        <v>344</v>
      </c>
      <c r="S10" s="72" t="s">
        <v>343</v>
      </c>
      <c r="T10" s="71" t="s">
        <v>342</v>
      </c>
      <c r="U10" s="278"/>
      <c r="V10" s="71" t="s">
        <v>345</v>
      </c>
      <c r="W10" s="72" t="s">
        <v>344</v>
      </c>
      <c r="X10" s="71" t="s">
        <v>344</v>
      </c>
      <c r="Y10" s="72" t="s">
        <v>343</v>
      </c>
      <c r="Z10" s="71" t="s">
        <v>342</v>
      </c>
      <c r="AA10" s="278"/>
      <c r="AB10" s="278"/>
      <c r="AC10" s="278"/>
      <c r="AD10" s="281"/>
      <c r="AE10" s="77" t="s">
        <v>1</v>
      </c>
      <c r="AF10" s="74" t="s">
        <v>12</v>
      </c>
      <c r="AG10" s="74" t="s">
        <v>15</v>
      </c>
      <c r="AH10" s="52" t="s">
        <v>103</v>
      </c>
      <c r="AI10" s="74" t="s">
        <v>341</v>
      </c>
      <c r="AJ10" s="73" t="s">
        <v>340</v>
      </c>
    </row>
    <row r="11" spans="2:36" s="46" customFormat="1" ht="17.5" customHeight="1" x14ac:dyDescent="0.25">
      <c r="B11" s="257"/>
      <c r="C11" s="260"/>
      <c r="D11" s="75" t="s">
        <v>4</v>
      </c>
      <c r="E11" s="72" t="s">
        <v>4</v>
      </c>
      <c r="F11" s="73" t="s">
        <v>4</v>
      </c>
      <c r="G11" s="50" t="s">
        <v>299</v>
      </c>
      <c r="H11" s="49" t="s">
        <v>283</v>
      </c>
      <c r="I11" s="49" t="s">
        <v>339</v>
      </c>
      <c r="J11" s="49" t="s">
        <v>299</v>
      </c>
      <c r="K11" s="58" t="s">
        <v>302</v>
      </c>
      <c r="L11" s="49" t="s">
        <v>301</v>
      </c>
      <c r="M11" s="58" t="s">
        <v>302</v>
      </c>
      <c r="N11" s="58" t="s">
        <v>302</v>
      </c>
      <c r="O11" s="57" t="s">
        <v>301</v>
      </c>
      <c r="P11" s="50" t="s">
        <v>284</v>
      </c>
      <c r="Q11" s="48" t="s">
        <v>284</v>
      </c>
      <c r="R11" s="49" t="s">
        <v>284</v>
      </c>
      <c r="S11" s="48" t="s">
        <v>284</v>
      </c>
      <c r="T11" s="47" t="s">
        <v>4</v>
      </c>
      <c r="U11" s="48" t="s">
        <v>283</v>
      </c>
      <c r="V11" s="47" t="s">
        <v>284</v>
      </c>
      <c r="W11" s="48" t="s">
        <v>283</v>
      </c>
      <c r="X11" s="47" t="s">
        <v>283</v>
      </c>
      <c r="Y11" s="48" t="s">
        <v>283</v>
      </c>
      <c r="Z11" s="62" t="s">
        <v>4</v>
      </c>
      <c r="AA11" s="62" t="s">
        <v>339</v>
      </c>
      <c r="AB11" s="58" t="s">
        <v>338</v>
      </c>
      <c r="AC11" s="58" t="s">
        <v>338</v>
      </c>
      <c r="AD11" s="61" t="s">
        <v>4</v>
      </c>
      <c r="AE11" s="60" t="s">
        <v>301</v>
      </c>
      <c r="AF11" s="53" t="s">
        <v>302</v>
      </c>
      <c r="AG11" s="52" t="s">
        <v>284</v>
      </c>
      <c r="AH11" s="52" t="s">
        <v>303</v>
      </c>
      <c r="AI11" s="52" t="s">
        <v>303</v>
      </c>
      <c r="AJ11" s="51" t="s">
        <v>303</v>
      </c>
    </row>
    <row r="12" spans="2:36" s="133" customFormat="1" ht="24" customHeight="1" x14ac:dyDescent="0.25">
      <c r="B12" s="257"/>
      <c r="C12" s="260"/>
      <c r="D12" s="141">
        <v>0.53</v>
      </c>
      <c r="E12" s="134"/>
      <c r="F12" s="146" t="str">
        <f>IF(E12="","",IF(AND(E12&gt;=0.525,E12&lt;=0.53),"合格","不合格"))</f>
        <v/>
      </c>
      <c r="G12" s="122"/>
      <c r="H12" s="123"/>
      <c r="I12" s="123"/>
      <c r="J12" s="123"/>
      <c r="K12" s="123"/>
      <c r="L12" s="123"/>
      <c r="M12" s="123"/>
      <c r="N12" s="123"/>
      <c r="O12" s="129"/>
      <c r="P12" s="142">
        <v>29.1</v>
      </c>
      <c r="Q12" s="143" t="s">
        <v>337</v>
      </c>
      <c r="R12" s="123"/>
      <c r="S12" s="123">
        <f>R12-Q12</f>
        <v>-33.1</v>
      </c>
      <c r="T12" s="140" t="str">
        <f>IF(S12&gt;=0,"↑","↓")</f>
        <v>↓</v>
      </c>
      <c r="U12" s="131" t="s">
        <v>82</v>
      </c>
      <c r="V12" s="143">
        <v>1.6</v>
      </c>
      <c r="W12" s="143">
        <v>17.600000000000001</v>
      </c>
      <c r="X12" s="123"/>
      <c r="Y12" s="123">
        <f>X12-W12</f>
        <v>-17.600000000000001</v>
      </c>
      <c r="Z12" s="140" t="str">
        <f>IF(Y12&gt;=0,"↑","↓")</f>
        <v>↓</v>
      </c>
      <c r="AA12" s="143">
        <v>6.28</v>
      </c>
      <c r="AB12" s="123"/>
      <c r="AC12" s="123">
        <f>AB12-AA12</f>
        <v>-6.28</v>
      </c>
      <c r="AD12" s="140" t="str">
        <f>IF(AC12&gt;=0,"↑","↓")</f>
        <v>↓</v>
      </c>
      <c r="AE12" s="135"/>
      <c r="AF12" s="123"/>
      <c r="AG12" s="131"/>
      <c r="AH12" s="131"/>
      <c r="AI12" s="131"/>
      <c r="AJ12" s="132"/>
    </row>
    <row r="13" spans="2:36" s="46" customFormat="1" ht="15" customHeight="1" x14ac:dyDescent="0.25">
      <c r="B13" s="257"/>
      <c r="C13" s="260"/>
      <c r="D13" s="271" t="s">
        <v>336</v>
      </c>
      <c r="E13" s="273"/>
      <c r="F13" s="271" t="s">
        <v>335</v>
      </c>
      <c r="G13" s="272"/>
      <c r="H13" s="272"/>
      <c r="I13" s="272"/>
      <c r="J13" s="272"/>
      <c r="K13" s="272"/>
      <c r="L13" s="272"/>
      <c r="M13" s="273"/>
      <c r="N13" s="271" t="s">
        <v>334</v>
      </c>
      <c r="O13" s="272"/>
      <c r="P13" s="272"/>
      <c r="Q13" s="272"/>
      <c r="R13" s="272"/>
      <c r="S13" s="272"/>
      <c r="T13" s="272"/>
      <c r="U13" s="273"/>
      <c r="V13" s="284" t="s">
        <v>333</v>
      </c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3"/>
    </row>
    <row r="14" spans="2:36" s="46" customFormat="1" ht="15" customHeight="1" x14ac:dyDescent="0.25">
      <c r="B14" s="257"/>
      <c r="C14" s="260"/>
      <c r="D14" s="285" t="s">
        <v>332</v>
      </c>
      <c r="E14" s="281"/>
      <c r="F14" s="285" t="s">
        <v>331</v>
      </c>
      <c r="G14" s="278"/>
      <c r="H14" s="278"/>
      <c r="I14" s="278"/>
      <c r="J14" s="278"/>
      <c r="K14" s="288" t="s">
        <v>330</v>
      </c>
      <c r="L14" s="278"/>
      <c r="M14" s="281"/>
      <c r="N14" s="285" t="s">
        <v>329</v>
      </c>
      <c r="O14" s="278"/>
      <c r="P14" s="278"/>
      <c r="Q14" s="278"/>
      <c r="R14" s="278"/>
      <c r="S14" s="286" t="s">
        <v>328</v>
      </c>
      <c r="T14" s="278"/>
      <c r="U14" s="281"/>
      <c r="V14" s="291" t="s">
        <v>327</v>
      </c>
      <c r="W14" s="278"/>
      <c r="X14" s="278"/>
      <c r="Y14" s="278"/>
      <c r="Z14" s="288" t="s">
        <v>326</v>
      </c>
      <c r="AA14" s="278"/>
      <c r="AB14" s="278"/>
      <c r="AC14" s="278"/>
      <c r="AD14" s="278"/>
      <c r="AE14" s="278"/>
      <c r="AF14" s="278"/>
      <c r="AG14" s="278"/>
      <c r="AH14" s="278"/>
      <c r="AI14" s="278"/>
      <c r="AJ14" s="281"/>
    </row>
    <row r="15" spans="2:36" s="46" customFormat="1" ht="25" customHeight="1" x14ac:dyDescent="0.25">
      <c r="B15" s="257"/>
      <c r="C15" s="260"/>
      <c r="D15" s="75" t="s">
        <v>325</v>
      </c>
      <c r="E15" s="73" t="s">
        <v>322</v>
      </c>
      <c r="F15" s="75" t="s">
        <v>324</v>
      </c>
      <c r="G15" s="72" t="s">
        <v>317</v>
      </c>
      <c r="H15" s="72" t="s">
        <v>323</v>
      </c>
      <c r="I15" s="74" t="s">
        <v>15</v>
      </c>
      <c r="J15" s="52" t="s">
        <v>322</v>
      </c>
      <c r="K15" s="74" t="s">
        <v>321</v>
      </c>
      <c r="L15" s="74" t="s">
        <v>320</v>
      </c>
      <c r="M15" s="73" t="s">
        <v>319</v>
      </c>
      <c r="N15" s="75" t="s">
        <v>324</v>
      </c>
      <c r="O15" s="72" t="s">
        <v>317</v>
      </c>
      <c r="P15" s="72" t="s">
        <v>323</v>
      </c>
      <c r="Q15" s="72" t="s">
        <v>15</v>
      </c>
      <c r="R15" s="71" t="s">
        <v>322</v>
      </c>
      <c r="S15" s="74" t="s">
        <v>321</v>
      </c>
      <c r="T15" s="74" t="s">
        <v>320</v>
      </c>
      <c r="U15" s="73" t="s">
        <v>319</v>
      </c>
      <c r="V15" s="77" t="s">
        <v>318</v>
      </c>
      <c r="W15" s="74" t="s">
        <v>317</v>
      </c>
      <c r="X15" s="74" t="s">
        <v>316</v>
      </c>
      <c r="Y15" s="74" t="s">
        <v>315</v>
      </c>
      <c r="Z15" s="74" t="s">
        <v>314</v>
      </c>
      <c r="AA15" s="74" t="s">
        <v>313</v>
      </c>
      <c r="AB15" s="74" t="s">
        <v>312</v>
      </c>
      <c r="AC15" s="74" t="s">
        <v>311</v>
      </c>
      <c r="AD15" s="74" t="s">
        <v>310</v>
      </c>
      <c r="AE15" s="74" t="s">
        <v>309</v>
      </c>
      <c r="AF15" s="74" t="s">
        <v>308</v>
      </c>
      <c r="AG15" s="74" t="s">
        <v>307</v>
      </c>
      <c r="AH15" s="74" t="s">
        <v>306</v>
      </c>
      <c r="AI15" s="74" t="s">
        <v>305</v>
      </c>
      <c r="AJ15" s="76" t="s">
        <v>304</v>
      </c>
    </row>
    <row r="16" spans="2:36" s="46" customFormat="1" ht="15" customHeight="1" x14ac:dyDescent="0.25">
      <c r="B16" s="257"/>
      <c r="C16" s="260"/>
      <c r="D16" s="60" t="s">
        <v>303</v>
      </c>
      <c r="E16" s="51" t="s">
        <v>4</v>
      </c>
      <c r="F16" s="54" t="s">
        <v>302</v>
      </c>
      <c r="G16" s="53" t="s">
        <v>302</v>
      </c>
      <c r="H16" s="53" t="s">
        <v>302</v>
      </c>
      <c r="I16" s="52" t="s">
        <v>284</v>
      </c>
      <c r="J16" s="52" t="s">
        <v>4</v>
      </c>
      <c r="K16" s="52" t="s">
        <v>284</v>
      </c>
      <c r="L16" s="52" t="s">
        <v>284</v>
      </c>
      <c r="M16" s="57" t="s">
        <v>284</v>
      </c>
      <c r="N16" s="59" t="s">
        <v>302</v>
      </c>
      <c r="O16" s="72" t="s">
        <v>302</v>
      </c>
      <c r="P16" s="58" t="s">
        <v>302</v>
      </c>
      <c r="Q16" s="49" t="s">
        <v>284</v>
      </c>
      <c r="R16" s="49" t="s">
        <v>4</v>
      </c>
      <c r="S16" s="52" t="s">
        <v>284</v>
      </c>
      <c r="T16" s="52" t="s">
        <v>284</v>
      </c>
      <c r="U16" s="57" t="s">
        <v>284</v>
      </c>
      <c r="V16" s="54" t="s">
        <v>302</v>
      </c>
      <c r="W16" s="53" t="s">
        <v>302</v>
      </c>
      <c r="X16" s="52" t="s">
        <v>301</v>
      </c>
      <c r="Y16" s="52" t="s">
        <v>284</v>
      </c>
      <c r="Z16" s="52" t="s">
        <v>300</v>
      </c>
      <c r="AA16" s="52" t="s">
        <v>299</v>
      </c>
      <c r="AB16" s="52" t="s">
        <v>300</v>
      </c>
      <c r="AC16" s="53" t="s">
        <v>299</v>
      </c>
      <c r="AD16" s="53" t="s">
        <v>283</v>
      </c>
      <c r="AE16" s="53" t="s">
        <v>4</v>
      </c>
      <c r="AF16" s="52" t="s">
        <v>282</v>
      </c>
      <c r="AG16" s="52" t="s">
        <v>298</v>
      </c>
      <c r="AH16" s="52" t="s">
        <v>297</v>
      </c>
      <c r="AI16" s="52" t="s">
        <v>297</v>
      </c>
      <c r="AJ16" s="51" t="s">
        <v>4</v>
      </c>
    </row>
    <row r="17" spans="2:36" s="133" customFormat="1" ht="24" customHeight="1" x14ac:dyDescent="0.25">
      <c r="B17" s="257"/>
      <c r="C17" s="260"/>
      <c r="D17" s="135"/>
      <c r="E17" s="129"/>
      <c r="F17" s="135"/>
      <c r="G17" s="131"/>
      <c r="H17" s="131"/>
      <c r="I17" s="123"/>
      <c r="J17" s="123"/>
      <c r="K17" s="123"/>
      <c r="L17" s="123"/>
      <c r="M17" s="129"/>
      <c r="N17" s="122"/>
      <c r="O17" s="123"/>
      <c r="P17" s="123"/>
      <c r="Q17" s="123"/>
      <c r="R17" s="123"/>
      <c r="S17" s="123"/>
      <c r="T17" s="123"/>
      <c r="U17" s="129"/>
      <c r="V17" s="122"/>
      <c r="W17" s="123"/>
      <c r="X17" s="123"/>
      <c r="Y17" s="123"/>
      <c r="Z17" s="123"/>
      <c r="AA17" s="123"/>
      <c r="AB17" s="123"/>
      <c r="AC17" s="123"/>
      <c r="AD17" s="123"/>
      <c r="AE17" s="123" t="e">
        <f>Z17/AB17</f>
        <v>#DIV/0!</v>
      </c>
      <c r="AF17" s="123"/>
      <c r="AG17" s="123"/>
      <c r="AH17" s="123" t="e">
        <f>AF17/(Z17-AB17)</f>
        <v>#DIV/0!</v>
      </c>
      <c r="AI17" s="143" t="s">
        <v>296</v>
      </c>
      <c r="AJ17" s="140" t="e">
        <f>IF((AH17-AI17)&gt;=0,"↑","↓")</f>
        <v>#DIV/0!</v>
      </c>
    </row>
    <row r="18" spans="2:36" s="46" customFormat="1" ht="15" customHeight="1" x14ac:dyDescent="0.25">
      <c r="B18" s="257"/>
      <c r="C18" s="260"/>
      <c r="D18" s="284" t="s">
        <v>295</v>
      </c>
      <c r="E18" s="272"/>
      <c r="F18" s="272"/>
      <c r="G18" s="272"/>
      <c r="H18" s="272"/>
      <c r="I18" s="272"/>
      <c r="J18" s="272"/>
      <c r="K18" s="272"/>
      <c r="L18" s="272"/>
      <c r="M18" s="272"/>
      <c r="N18" s="272"/>
      <c r="O18" s="272"/>
      <c r="P18" s="272"/>
      <c r="Q18" s="273"/>
      <c r="R18" s="78" t="s">
        <v>4</v>
      </c>
      <c r="S18" s="56" t="s">
        <v>4</v>
      </c>
      <c r="T18" s="56" t="s">
        <v>4</v>
      </c>
      <c r="U18" s="56" t="s">
        <v>4</v>
      </c>
      <c r="V18" s="56" t="s">
        <v>82</v>
      </c>
      <c r="W18" s="56" t="s">
        <v>82</v>
      </c>
      <c r="X18" s="56" t="s">
        <v>82</v>
      </c>
      <c r="Y18" s="56" t="s">
        <v>82</v>
      </c>
      <c r="Z18" s="56" t="s">
        <v>82</v>
      </c>
      <c r="AA18" s="56" t="s">
        <v>82</v>
      </c>
      <c r="AB18" s="56" t="s">
        <v>82</v>
      </c>
      <c r="AC18" s="56" t="s">
        <v>82</v>
      </c>
      <c r="AD18" s="56" t="s">
        <v>82</v>
      </c>
      <c r="AE18" s="56" t="s">
        <v>82</v>
      </c>
      <c r="AF18" s="55" t="s">
        <v>82</v>
      </c>
      <c r="AG18" s="55" t="s">
        <v>82</v>
      </c>
      <c r="AH18" s="55" t="s">
        <v>82</v>
      </c>
      <c r="AI18" s="55" t="s">
        <v>82</v>
      </c>
      <c r="AJ18" s="84" t="s">
        <v>82</v>
      </c>
    </row>
    <row r="19" spans="2:36" s="46" customFormat="1" ht="15" customHeight="1" x14ac:dyDescent="0.25">
      <c r="B19" s="257"/>
      <c r="C19" s="260"/>
      <c r="D19" s="291" t="s">
        <v>294</v>
      </c>
      <c r="E19" s="278"/>
      <c r="F19" s="278"/>
      <c r="G19" s="288" t="s">
        <v>293</v>
      </c>
      <c r="H19" s="278"/>
      <c r="I19" s="278"/>
      <c r="J19" s="288" t="s">
        <v>292</v>
      </c>
      <c r="K19" s="278"/>
      <c r="L19" s="278"/>
      <c r="M19" s="288" t="s">
        <v>291</v>
      </c>
      <c r="N19" s="288" t="s">
        <v>290</v>
      </c>
      <c r="O19" s="288" t="s">
        <v>289</v>
      </c>
      <c r="P19" s="288" t="s">
        <v>225</v>
      </c>
      <c r="Q19" s="290" t="s">
        <v>288</v>
      </c>
      <c r="R19" s="50" t="s">
        <v>4</v>
      </c>
      <c r="S19" s="49" t="s">
        <v>4</v>
      </c>
      <c r="T19" s="49" t="s">
        <v>4</v>
      </c>
      <c r="U19" s="49" t="s">
        <v>82</v>
      </c>
      <c r="V19" s="49" t="s">
        <v>82</v>
      </c>
      <c r="W19" s="49" t="s">
        <v>82</v>
      </c>
      <c r="X19" s="49" t="s">
        <v>82</v>
      </c>
      <c r="Y19" s="49" t="s">
        <v>82</v>
      </c>
      <c r="Z19" s="49" t="s">
        <v>82</v>
      </c>
      <c r="AA19" s="49" t="s">
        <v>82</v>
      </c>
      <c r="AB19" s="49" t="s">
        <v>82</v>
      </c>
      <c r="AC19" s="49" t="s">
        <v>412</v>
      </c>
      <c r="AD19" s="49" t="s">
        <v>82</v>
      </c>
      <c r="AE19" s="49" t="s">
        <v>82</v>
      </c>
      <c r="AF19" s="47" t="s">
        <v>82</v>
      </c>
      <c r="AG19" s="47" t="s">
        <v>82</v>
      </c>
      <c r="AH19" s="47" t="s">
        <v>82</v>
      </c>
      <c r="AI19" s="47" t="s">
        <v>82</v>
      </c>
      <c r="AJ19" s="61" t="s">
        <v>82</v>
      </c>
    </row>
    <row r="20" spans="2:36" s="46" customFormat="1" ht="25" customHeight="1" x14ac:dyDescent="0.25">
      <c r="B20" s="257"/>
      <c r="C20" s="260"/>
      <c r="D20" s="77" t="s">
        <v>287</v>
      </c>
      <c r="E20" s="74" t="s">
        <v>286</v>
      </c>
      <c r="F20" s="74" t="s">
        <v>285</v>
      </c>
      <c r="G20" s="74" t="s">
        <v>287</v>
      </c>
      <c r="H20" s="74" t="s">
        <v>286</v>
      </c>
      <c r="I20" s="74" t="s">
        <v>285</v>
      </c>
      <c r="J20" s="74" t="s">
        <v>287</v>
      </c>
      <c r="K20" s="74" t="s">
        <v>286</v>
      </c>
      <c r="L20" s="74" t="s">
        <v>285</v>
      </c>
      <c r="M20" s="278"/>
      <c r="N20" s="278"/>
      <c r="O20" s="278"/>
      <c r="P20" s="278"/>
      <c r="Q20" s="281"/>
      <c r="R20" s="75" t="s">
        <v>4</v>
      </c>
      <c r="S20" s="72" t="s">
        <v>4</v>
      </c>
      <c r="T20" s="72" t="s">
        <v>4</v>
      </c>
      <c r="U20" s="72" t="s">
        <v>82</v>
      </c>
      <c r="V20" s="72" t="s">
        <v>82</v>
      </c>
      <c r="W20" s="74" t="s">
        <v>82</v>
      </c>
      <c r="X20" s="72" t="s">
        <v>82</v>
      </c>
      <c r="Y20" s="72" t="s">
        <v>82</v>
      </c>
      <c r="Z20" s="74" t="s">
        <v>82</v>
      </c>
      <c r="AA20" s="49" t="s">
        <v>82</v>
      </c>
      <c r="AB20" s="49" t="s">
        <v>82</v>
      </c>
      <c r="AC20" s="49" t="s">
        <v>82</v>
      </c>
      <c r="AD20" s="49" t="s">
        <v>82</v>
      </c>
      <c r="AE20" s="49" t="s">
        <v>82</v>
      </c>
      <c r="AF20" s="47" t="s">
        <v>82</v>
      </c>
      <c r="AG20" s="47" t="s">
        <v>82</v>
      </c>
      <c r="AH20" s="47" t="s">
        <v>82</v>
      </c>
      <c r="AI20" s="47" t="s">
        <v>82</v>
      </c>
      <c r="AJ20" s="61" t="s">
        <v>82</v>
      </c>
    </row>
    <row r="21" spans="2:36" s="46" customFormat="1" ht="15" customHeight="1" x14ac:dyDescent="0.25">
      <c r="B21" s="257"/>
      <c r="C21" s="260"/>
      <c r="D21" s="54" t="s">
        <v>284</v>
      </c>
      <c r="E21" s="53" t="s">
        <v>284</v>
      </c>
      <c r="F21" s="52" t="s">
        <v>284</v>
      </c>
      <c r="G21" s="52" t="s">
        <v>283</v>
      </c>
      <c r="H21" s="49" t="s">
        <v>283</v>
      </c>
      <c r="I21" s="49" t="s">
        <v>283</v>
      </c>
      <c r="J21" s="52" t="s">
        <v>283</v>
      </c>
      <c r="K21" s="49" t="s">
        <v>283</v>
      </c>
      <c r="L21" s="49" t="s">
        <v>283</v>
      </c>
      <c r="M21" s="49" t="s">
        <v>282</v>
      </c>
      <c r="N21" s="49" t="s">
        <v>281</v>
      </c>
      <c r="O21" s="52" t="s">
        <v>280</v>
      </c>
      <c r="P21" s="52" t="s">
        <v>4</v>
      </c>
      <c r="Q21" s="51" t="s">
        <v>4</v>
      </c>
      <c r="R21" s="50" t="s">
        <v>4</v>
      </c>
      <c r="S21" s="49" t="s">
        <v>4</v>
      </c>
      <c r="T21" s="49" t="s">
        <v>4</v>
      </c>
      <c r="U21" s="49" t="s">
        <v>82</v>
      </c>
      <c r="V21" s="49" t="s">
        <v>82</v>
      </c>
      <c r="W21" s="49" t="s">
        <v>82</v>
      </c>
      <c r="X21" s="49" t="s">
        <v>82</v>
      </c>
      <c r="Y21" s="49" t="s">
        <v>82</v>
      </c>
      <c r="Z21" s="49" t="s">
        <v>82</v>
      </c>
      <c r="AA21" s="49" t="s">
        <v>82</v>
      </c>
      <c r="AB21" s="49" t="s">
        <v>82</v>
      </c>
      <c r="AC21" s="49" t="s">
        <v>82</v>
      </c>
      <c r="AD21" s="49" t="s">
        <v>82</v>
      </c>
      <c r="AE21" s="48" t="s">
        <v>82</v>
      </c>
      <c r="AF21" s="47" t="s">
        <v>82</v>
      </c>
      <c r="AG21" s="47" t="s">
        <v>82</v>
      </c>
      <c r="AH21" s="47" t="s">
        <v>82</v>
      </c>
      <c r="AI21" s="47" t="s">
        <v>82</v>
      </c>
      <c r="AJ21" s="61" t="s">
        <v>82</v>
      </c>
    </row>
    <row r="22" spans="2:36" s="133" customFormat="1" ht="24" customHeight="1" x14ac:dyDescent="0.25">
      <c r="B22" s="257"/>
      <c r="C22" s="260"/>
      <c r="D22" s="136"/>
      <c r="E22" s="137"/>
      <c r="F22" s="137">
        <f>D22-E22</f>
        <v>0</v>
      </c>
      <c r="G22" s="137"/>
      <c r="H22" s="137"/>
      <c r="I22" s="137">
        <f>G22-H22</f>
        <v>0</v>
      </c>
      <c r="J22" s="137"/>
      <c r="K22" s="137"/>
      <c r="L22" s="137">
        <f>J22-K22</f>
        <v>0</v>
      </c>
      <c r="M22" s="137"/>
      <c r="N22" s="137"/>
      <c r="O22" s="137" t="e">
        <f>N22/M22</f>
        <v>#DIV/0!</v>
      </c>
      <c r="P22" s="137"/>
      <c r="Q22" s="144">
        <v>301</v>
      </c>
      <c r="R22" s="136" t="s">
        <v>4</v>
      </c>
      <c r="S22" s="137" t="s">
        <v>4</v>
      </c>
      <c r="T22" s="137" t="s">
        <v>4</v>
      </c>
      <c r="U22" s="137" t="s">
        <v>82</v>
      </c>
      <c r="V22" s="137" t="s">
        <v>82</v>
      </c>
      <c r="W22" s="137" t="s">
        <v>82</v>
      </c>
      <c r="X22" s="137" t="s">
        <v>82</v>
      </c>
      <c r="Y22" s="137" t="s">
        <v>82</v>
      </c>
      <c r="Z22" s="137" t="s">
        <v>82</v>
      </c>
      <c r="AA22" s="137" t="s">
        <v>82</v>
      </c>
      <c r="AB22" s="137" t="s">
        <v>82</v>
      </c>
      <c r="AC22" s="137" t="s">
        <v>82</v>
      </c>
      <c r="AD22" s="137" t="s">
        <v>82</v>
      </c>
      <c r="AE22" s="138" t="s">
        <v>82</v>
      </c>
      <c r="AF22" s="138" t="s">
        <v>82</v>
      </c>
      <c r="AG22" s="138" t="s">
        <v>82</v>
      </c>
      <c r="AH22" s="138" t="s">
        <v>82</v>
      </c>
      <c r="AI22" s="138" t="s">
        <v>82</v>
      </c>
      <c r="AJ22" s="139" t="s">
        <v>82</v>
      </c>
    </row>
    <row r="23" spans="2:36" s="46" customFormat="1" ht="7.5" customHeight="1" x14ac:dyDescent="0.25">
      <c r="B23" s="85"/>
      <c r="C23" s="70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8"/>
      <c r="AF23" s="67"/>
      <c r="AG23" s="68"/>
      <c r="AH23" s="67"/>
      <c r="AI23" s="67"/>
      <c r="AJ23" s="86"/>
    </row>
    <row r="24" spans="2:36" s="46" customFormat="1" ht="17.5" customHeight="1" x14ac:dyDescent="0.25">
      <c r="B24" s="293" t="s">
        <v>406</v>
      </c>
      <c r="C24" s="294" t="s">
        <v>405</v>
      </c>
      <c r="D24" s="295" t="s">
        <v>404</v>
      </c>
      <c r="E24" s="296"/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7"/>
      <c r="AA24" s="298" t="s">
        <v>403</v>
      </c>
      <c r="AB24" s="299"/>
      <c r="AC24" s="299"/>
      <c r="AD24" s="299"/>
      <c r="AE24" s="299"/>
      <c r="AF24" s="299"/>
      <c r="AG24" s="299"/>
      <c r="AH24" s="299"/>
      <c r="AI24" s="299"/>
      <c r="AJ24" s="300"/>
    </row>
    <row r="25" spans="2:36" s="46" customFormat="1" ht="17.5" customHeight="1" x14ac:dyDescent="0.25">
      <c r="B25" s="257"/>
      <c r="C25" s="260"/>
      <c r="D25" s="266" t="s">
        <v>402</v>
      </c>
      <c r="E25" s="267"/>
      <c r="F25" s="267"/>
      <c r="G25" s="267"/>
      <c r="H25" s="267"/>
      <c r="I25" s="267"/>
      <c r="J25" s="268" t="s">
        <v>401</v>
      </c>
      <c r="K25" s="269"/>
      <c r="L25" s="269"/>
      <c r="M25" s="269"/>
      <c r="N25" s="269"/>
      <c r="O25" s="269"/>
      <c r="P25" s="269"/>
      <c r="Q25" s="269"/>
      <c r="R25" s="269"/>
      <c r="S25" s="269"/>
      <c r="T25" s="270"/>
      <c r="U25" s="271" t="s">
        <v>400</v>
      </c>
      <c r="V25" s="272"/>
      <c r="W25" s="272"/>
      <c r="X25" s="272"/>
      <c r="Y25" s="272"/>
      <c r="Z25" s="273"/>
      <c r="AA25" s="271" t="s">
        <v>399</v>
      </c>
      <c r="AB25" s="275" t="s">
        <v>398</v>
      </c>
      <c r="AC25" s="277" t="s">
        <v>397</v>
      </c>
      <c r="AD25" s="277" t="s">
        <v>306</v>
      </c>
      <c r="AE25" s="277" t="s">
        <v>396</v>
      </c>
      <c r="AF25" s="279" t="s">
        <v>395</v>
      </c>
      <c r="AG25" s="277" t="s">
        <v>394</v>
      </c>
      <c r="AH25" s="279" t="s">
        <v>393</v>
      </c>
      <c r="AI25" s="277" t="s">
        <v>392</v>
      </c>
      <c r="AJ25" s="280" t="s">
        <v>391</v>
      </c>
    </row>
    <row r="26" spans="2:36" s="46" customFormat="1" ht="37.5" customHeight="1" x14ac:dyDescent="0.25">
      <c r="B26" s="258"/>
      <c r="C26" s="261"/>
      <c r="D26" s="77" t="s">
        <v>390</v>
      </c>
      <c r="E26" s="74" t="s">
        <v>389</v>
      </c>
      <c r="F26" s="74" t="s">
        <v>388</v>
      </c>
      <c r="G26" s="74" t="s">
        <v>387</v>
      </c>
      <c r="H26" s="74" t="s">
        <v>378</v>
      </c>
      <c r="I26" s="66" t="s">
        <v>377</v>
      </c>
      <c r="J26" s="77" t="s">
        <v>381</v>
      </c>
      <c r="K26" s="74" t="s">
        <v>380</v>
      </c>
      <c r="L26" s="74" t="s">
        <v>379</v>
      </c>
      <c r="M26" s="74" t="s">
        <v>386</v>
      </c>
      <c r="N26" s="74" t="s">
        <v>386</v>
      </c>
      <c r="O26" s="74" t="s">
        <v>378</v>
      </c>
      <c r="P26" s="74" t="s">
        <v>385</v>
      </c>
      <c r="Q26" s="74" t="s">
        <v>384</v>
      </c>
      <c r="R26" s="74" t="s">
        <v>377</v>
      </c>
      <c r="S26" s="74" t="s">
        <v>383</v>
      </c>
      <c r="T26" s="76" t="s">
        <v>382</v>
      </c>
      <c r="U26" s="77" t="s">
        <v>381</v>
      </c>
      <c r="V26" s="65" t="s">
        <v>380</v>
      </c>
      <c r="W26" s="74" t="s">
        <v>379</v>
      </c>
      <c r="X26" s="74" t="s">
        <v>378</v>
      </c>
      <c r="Y26" s="74" t="s">
        <v>377</v>
      </c>
      <c r="Z26" s="76" t="s">
        <v>376</v>
      </c>
      <c r="AA26" s="274"/>
      <c r="AB26" s="276"/>
      <c r="AC26" s="278"/>
      <c r="AD26" s="278"/>
      <c r="AE26" s="278"/>
      <c r="AF26" s="278"/>
      <c r="AG26" s="278"/>
      <c r="AH26" s="278"/>
      <c r="AI26" s="278"/>
      <c r="AJ26" s="281"/>
    </row>
    <row r="27" spans="2:36" s="46" customFormat="1" ht="17.5" customHeight="1" x14ac:dyDescent="0.25">
      <c r="B27" s="282"/>
      <c r="C27" s="283" t="s">
        <v>375</v>
      </c>
      <c r="D27" s="50" t="s">
        <v>281</v>
      </c>
      <c r="E27" s="49" t="s">
        <v>281</v>
      </c>
      <c r="F27" s="49" t="s">
        <v>4</v>
      </c>
      <c r="G27" s="49" t="s">
        <v>281</v>
      </c>
      <c r="H27" s="49" t="s">
        <v>284</v>
      </c>
      <c r="I27" s="64" t="s">
        <v>284</v>
      </c>
      <c r="J27" s="50" t="s">
        <v>281</v>
      </c>
      <c r="K27" s="49" t="s">
        <v>281</v>
      </c>
      <c r="L27" s="49" t="s">
        <v>284</v>
      </c>
      <c r="M27" s="49" t="s">
        <v>284</v>
      </c>
      <c r="N27" s="49" t="s">
        <v>284</v>
      </c>
      <c r="O27" s="49" t="s">
        <v>284</v>
      </c>
      <c r="P27" s="49" t="s">
        <v>284</v>
      </c>
      <c r="Q27" s="49" t="s">
        <v>284</v>
      </c>
      <c r="R27" s="49" t="s">
        <v>284</v>
      </c>
      <c r="S27" s="49" t="s">
        <v>284</v>
      </c>
      <c r="T27" s="57" t="s">
        <v>284</v>
      </c>
      <c r="U27" s="50" t="s">
        <v>281</v>
      </c>
      <c r="V27" s="63" t="s">
        <v>281</v>
      </c>
      <c r="W27" s="49" t="s">
        <v>284</v>
      </c>
      <c r="X27" s="49" t="s">
        <v>284</v>
      </c>
      <c r="Y27" s="49" t="s">
        <v>284</v>
      </c>
      <c r="Z27" s="57" t="s">
        <v>284</v>
      </c>
      <c r="AA27" s="50" t="s">
        <v>297</v>
      </c>
      <c r="AB27" s="49" t="s">
        <v>297</v>
      </c>
      <c r="AC27" s="49" t="s">
        <v>372</v>
      </c>
      <c r="AD27" s="49" t="s">
        <v>297</v>
      </c>
      <c r="AE27" s="48" t="s">
        <v>372</v>
      </c>
      <c r="AF27" s="47" t="s">
        <v>374</v>
      </c>
      <c r="AG27" s="49" t="s">
        <v>297</v>
      </c>
      <c r="AH27" s="47" t="s">
        <v>373</v>
      </c>
      <c r="AI27" s="48" t="s">
        <v>372</v>
      </c>
      <c r="AJ27" s="61" t="s">
        <v>372</v>
      </c>
    </row>
    <row r="28" spans="2:36" s="133" customFormat="1" ht="24" customHeight="1" x14ac:dyDescent="0.25">
      <c r="B28" s="257"/>
      <c r="C28" s="260"/>
      <c r="D28" s="122"/>
      <c r="E28" s="123">
        <f>K28+V28</f>
        <v>0</v>
      </c>
      <c r="F28" s="140" t="str">
        <f>IF(D28="","",IF(D7="","",IF(D28=(D7+D28)/2,"--",IF(D28&gt;=(D7+D28)/2,"↑","↓"))))</f>
        <v/>
      </c>
      <c r="G28" s="123"/>
      <c r="H28" s="123"/>
      <c r="I28" s="124"/>
      <c r="J28" s="125"/>
      <c r="K28" s="126"/>
      <c r="L28" s="126"/>
      <c r="M28" s="126"/>
      <c r="N28" s="126"/>
      <c r="O28" s="126"/>
      <c r="P28" s="126"/>
      <c r="Q28" s="126"/>
      <c r="R28" s="126"/>
      <c r="S28" s="126"/>
      <c r="T28" s="127"/>
      <c r="U28" s="125"/>
      <c r="V28" s="128"/>
      <c r="W28" s="123"/>
      <c r="X28" s="123"/>
      <c r="Y28" s="123"/>
      <c r="Z28" s="129" t="e">
        <f>U28/D28</f>
        <v>#DIV/0!</v>
      </c>
      <c r="AA28" s="130"/>
      <c r="AB28" s="123"/>
      <c r="AC28" s="123"/>
      <c r="AD28" s="123"/>
      <c r="AE28" s="131"/>
      <c r="AF28" s="131"/>
      <c r="AG28" s="131"/>
      <c r="AH28" s="131"/>
      <c r="AI28" s="131"/>
      <c r="AJ28" s="132"/>
    </row>
    <row r="29" spans="2:36" s="46" customFormat="1" ht="17.5" customHeight="1" x14ac:dyDescent="0.25">
      <c r="B29" s="257"/>
      <c r="C29" s="260"/>
      <c r="D29" s="271" t="s">
        <v>371</v>
      </c>
      <c r="E29" s="272"/>
      <c r="F29" s="273"/>
      <c r="G29" s="271" t="s">
        <v>370</v>
      </c>
      <c r="H29" s="272"/>
      <c r="I29" s="272"/>
      <c r="J29" s="272"/>
      <c r="K29" s="272"/>
      <c r="L29" s="272"/>
      <c r="M29" s="272"/>
      <c r="N29" s="272"/>
      <c r="O29" s="273"/>
      <c r="P29" s="271" t="s">
        <v>369</v>
      </c>
      <c r="Q29" s="272"/>
      <c r="R29" s="272"/>
      <c r="S29" s="272"/>
      <c r="T29" s="272"/>
      <c r="U29" s="272"/>
      <c r="V29" s="272"/>
      <c r="W29" s="272"/>
      <c r="X29" s="272"/>
      <c r="Y29" s="272"/>
      <c r="Z29" s="272"/>
      <c r="AA29" s="272"/>
      <c r="AB29" s="272"/>
      <c r="AC29" s="272"/>
      <c r="AD29" s="273"/>
      <c r="AE29" s="284" t="s">
        <v>336</v>
      </c>
      <c r="AF29" s="272"/>
      <c r="AG29" s="272"/>
      <c r="AH29" s="272"/>
      <c r="AI29" s="272"/>
      <c r="AJ29" s="273"/>
    </row>
    <row r="30" spans="2:36" s="46" customFormat="1" ht="15" customHeight="1" x14ac:dyDescent="0.25">
      <c r="B30" s="257"/>
      <c r="C30" s="260"/>
      <c r="D30" s="285" t="s">
        <v>368</v>
      </c>
      <c r="E30" s="286" t="s">
        <v>367</v>
      </c>
      <c r="F30" s="287" t="s">
        <v>366</v>
      </c>
      <c r="G30" s="285" t="s">
        <v>365</v>
      </c>
      <c r="H30" s="278"/>
      <c r="I30" s="288" t="s">
        <v>364</v>
      </c>
      <c r="J30" s="288" t="s">
        <v>363</v>
      </c>
      <c r="K30" s="288" t="s">
        <v>362</v>
      </c>
      <c r="L30" s="288" t="s">
        <v>361</v>
      </c>
      <c r="M30" s="288" t="s">
        <v>360</v>
      </c>
      <c r="N30" s="288" t="s">
        <v>359</v>
      </c>
      <c r="O30" s="290" t="s">
        <v>358</v>
      </c>
      <c r="P30" s="285" t="s">
        <v>357</v>
      </c>
      <c r="Q30" s="278"/>
      <c r="R30" s="286" t="s">
        <v>356</v>
      </c>
      <c r="S30" s="278"/>
      <c r="T30" s="278"/>
      <c r="U30" s="286" t="s">
        <v>355</v>
      </c>
      <c r="V30" s="292" t="s">
        <v>354</v>
      </c>
      <c r="W30" s="278"/>
      <c r="X30" s="292" t="s">
        <v>353</v>
      </c>
      <c r="Y30" s="278"/>
      <c r="Z30" s="278"/>
      <c r="AA30" s="292" t="s">
        <v>352</v>
      </c>
      <c r="AB30" s="286" t="s">
        <v>351</v>
      </c>
      <c r="AC30" s="289" t="s">
        <v>350</v>
      </c>
      <c r="AD30" s="287" t="s">
        <v>349</v>
      </c>
      <c r="AE30" s="291" t="s">
        <v>348</v>
      </c>
      <c r="AF30" s="278"/>
      <c r="AG30" s="278"/>
      <c r="AH30" s="288" t="s">
        <v>332</v>
      </c>
      <c r="AI30" s="278"/>
      <c r="AJ30" s="281"/>
    </row>
    <row r="31" spans="2:36" s="46" customFormat="1" ht="15" customHeight="1" x14ac:dyDescent="0.25">
      <c r="B31" s="257"/>
      <c r="C31" s="260"/>
      <c r="D31" s="274"/>
      <c r="E31" s="278"/>
      <c r="F31" s="281"/>
      <c r="G31" s="75" t="s">
        <v>347</v>
      </c>
      <c r="H31" s="72" t="s">
        <v>346</v>
      </c>
      <c r="I31" s="278"/>
      <c r="J31" s="278"/>
      <c r="K31" s="278"/>
      <c r="L31" s="278"/>
      <c r="M31" s="278"/>
      <c r="N31" s="278"/>
      <c r="O31" s="281"/>
      <c r="P31" s="75" t="s">
        <v>345</v>
      </c>
      <c r="Q31" s="72" t="s">
        <v>344</v>
      </c>
      <c r="R31" s="72" t="s">
        <v>344</v>
      </c>
      <c r="S31" s="72" t="s">
        <v>343</v>
      </c>
      <c r="T31" s="71" t="s">
        <v>342</v>
      </c>
      <c r="U31" s="278"/>
      <c r="V31" s="71" t="s">
        <v>345</v>
      </c>
      <c r="W31" s="72" t="s">
        <v>344</v>
      </c>
      <c r="X31" s="71" t="s">
        <v>344</v>
      </c>
      <c r="Y31" s="72" t="s">
        <v>343</v>
      </c>
      <c r="Z31" s="71" t="s">
        <v>342</v>
      </c>
      <c r="AA31" s="278"/>
      <c r="AB31" s="278"/>
      <c r="AC31" s="278"/>
      <c r="AD31" s="281"/>
      <c r="AE31" s="77" t="s">
        <v>1</v>
      </c>
      <c r="AF31" s="74" t="s">
        <v>12</v>
      </c>
      <c r="AG31" s="74" t="s">
        <v>15</v>
      </c>
      <c r="AH31" s="52" t="s">
        <v>103</v>
      </c>
      <c r="AI31" s="74" t="s">
        <v>341</v>
      </c>
      <c r="AJ31" s="73" t="s">
        <v>340</v>
      </c>
    </row>
    <row r="32" spans="2:36" s="46" customFormat="1" ht="17.5" customHeight="1" x14ac:dyDescent="0.25">
      <c r="B32" s="257"/>
      <c r="C32" s="260"/>
      <c r="D32" s="75" t="s">
        <v>4</v>
      </c>
      <c r="E32" s="72" t="s">
        <v>4</v>
      </c>
      <c r="F32" s="73" t="s">
        <v>4</v>
      </c>
      <c r="G32" s="50" t="s">
        <v>299</v>
      </c>
      <c r="H32" s="49" t="s">
        <v>283</v>
      </c>
      <c r="I32" s="49" t="s">
        <v>339</v>
      </c>
      <c r="J32" s="49" t="s">
        <v>299</v>
      </c>
      <c r="K32" s="58" t="s">
        <v>302</v>
      </c>
      <c r="L32" s="49" t="s">
        <v>301</v>
      </c>
      <c r="M32" s="58" t="s">
        <v>302</v>
      </c>
      <c r="N32" s="58" t="s">
        <v>302</v>
      </c>
      <c r="O32" s="57" t="s">
        <v>301</v>
      </c>
      <c r="P32" s="50" t="s">
        <v>284</v>
      </c>
      <c r="Q32" s="48" t="s">
        <v>284</v>
      </c>
      <c r="R32" s="49" t="s">
        <v>284</v>
      </c>
      <c r="S32" s="48" t="s">
        <v>284</v>
      </c>
      <c r="T32" s="47" t="s">
        <v>4</v>
      </c>
      <c r="U32" s="48" t="s">
        <v>283</v>
      </c>
      <c r="V32" s="47" t="s">
        <v>284</v>
      </c>
      <c r="W32" s="48" t="s">
        <v>283</v>
      </c>
      <c r="X32" s="47" t="s">
        <v>283</v>
      </c>
      <c r="Y32" s="48" t="s">
        <v>283</v>
      </c>
      <c r="Z32" s="62" t="s">
        <v>4</v>
      </c>
      <c r="AA32" s="62" t="s">
        <v>339</v>
      </c>
      <c r="AB32" s="58" t="s">
        <v>338</v>
      </c>
      <c r="AC32" s="58" t="s">
        <v>338</v>
      </c>
      <c r="AD32" s="61" t="s">
        <v>4</v>
      </c>
      <c r="AE32" s="60" t="s">
        <v>301</v>
      </c>
      <c r="AF32" s="53" t="s">
        <v>302</v>
      </c>
      <c r="AG32" s="52" t="s">
        <v>284</v>
      </c>
      <c r="AH32" s="52" t="s">
        <v>303</v>
      </c>
      <c r="AI32" s="52" t="s">
        <v>303</v>
      </c>
      <c r="AJ32" s="51" t="s">
        <v>303</v>
      </c>
    </row>
    <row r="33" spans="2:36" s="133" customFormat="1" ht="24" customHeight="1" x14ac:dyDescent="0.25">
      <c r="B33" s="257"/>
      <c r="C33" s="260"/>
      <c r="D33" s="141">
        <v>0.53</v>
      </c>
      <c r="E33" s="134"/>
      <c r="F33" s="146" t="str">
        <f>IF(E33="","",IF(AND(E33&gt;=0.525,E33&lt;=0.53),"合格","不合格"))</f>
        <v/>
      </c>
      <c r="G33" s="122"/>
      <c r="H33" s="123"/>
      <c r="I33" s="123"/>
      <c r="J33" s="123"/>
      <c r="K33" s="123"/>
      <c r="L33" s="123"/>
      <c r="M33" s="123"/>
      <c r="N33" s="123"/>
      <c r="O33" s="129"/>
      <c r="P33" s="142">
        <v>29.1</v>
      </c>
      <c r="Q33" s="143" t="s">
        <v>337</v>
      </c>
      <c r="R33" s="123"/>
      <c r="S33" s="123">
        <f>R33-33.1</f>
        <v>-33.1</v>
      </c>
      <c r="T33" s="140" t="str">
        <f>IF(S33&gt;=0,"↑","↓")</f>
        <v>↓</v>
      </c>
      <c r="U33" s="131" t="s">
        <v>82</v>
      </c>
      <c r="V33" s="143">
        <v>1.6</v>
      </c>
      <c r="W33" s="143">
        <v>17.600000000000001</v>
      </c>
      <c r="X33" s="123"/>
      <c r="Y33" s="123">
        <f>X33-W33</f>
        <v>-17.600000000000001</v>
      </c>
      <c r="Z33" s="140" t="str">
        <f>IF(Y33&gt;=0,"↑","↓")</f>
        <v>↓</v>
      </c>
      <c r="AA33" s="143">
        <v>6.28</v>
      </c>
      <c r="AB33" s="123"/>
      <c r="AC33" s="123">
        <f>AB33-AA33</f>
        <v>-6.28</v>
      </c>
      <c r="AD33" s="140" t="str">
        <f>IF(AC33&gt;=0,"↑","↓")</f>
        <v>↓</v>
      </c>
      <c r="AE33" s="135"/>
      <c r="AF33" s="123"/>
      <c r="AG33" s="131"/>
      <c r="AH33" s="131"/>
      <c r="AI33" s="131"/>
      <c r="AJ33" s="132"/>
    </row>
    <row r="34" spans="2:36" s="46" customFormat="1" ht="15" customHeight="1" x14ac:dyDescent="0.25">
      <c r="B34" s="257"/>
      <c r="C34" s="260"/>
      <c r="D34" s="271" t="s">
        <v>336</v>
      </c>
      <c r="E34" s="273"/>
      <c r="F34" s="271" t="s">
        <v>335</v>
      </c>
      <c r="G34" s="272"/>
      <c r="H34" s="272"/>
      <c r="I34" s="272"/>
      <c r="J34" s="272"/>
      <c r="K34" s="272"/>
      <c r="L34" s="272"/>
      <c r="M34" s="273"/>
      <c r="N34" s="271" t="s">
        <v>334</v>
      </c>
      <c r="O34" s="272"/>
      <c r="P34" s="272"/>
      <c r="Q34" s="272"/>
      <c r="R34" s="272"/>
      <c r="S34" s="272"/>
      <c r="T34" s="272"/>
      <c r="U34" s="273"/>
      <c r="V34" s="284" t="s">
        <v>333</v>
      </c>
      <c r="W34" s="272"/>
      <c r="X34" s="272"/>
      <c r="Y34" s="272"/>
      <c r="Z34" s="272"/>
      <c r="AA34" s="272"/>
      <c r="AB34" s="272"/>
      <c r="AC34" s="272"/>
      <c r="AD34" s="272"/>
      <c r="AE34" s="272"/>
      <c r="AF34" s="272"/>
      <c r="AG34" s="272"/>
      <c r="AH34" s="272"/>
      <c r="AI34" s="272"/>
      <c r="AJ34" s="273"/>
    </row>
    <row r="35" spans="2:36" s="46" customFormat="1" ht="15" customHeight="1" x14ac:dyDescent="0.25">
      <c r="B35" s="257"/>
      <c r="C35" s="260"/>
      <c r="D35" s="285" t="s">
        <v>332</v>
      </c>
      <c r="E35" s="281"/>
      <c r="F35" s="285" t="s">
        <v>331</v>
      </c>
      <c r="G35" s="278"/>
      <c r="H35" s="278"/>
      <c r="I35" s="278"/>
      <c r="J35" s="278"/>
      <c r="K35" s="288" t="s">
        <v>330</v>
      </c>
      <c r="L35" s="278"/>
      <c r="M35" s="281"/>
      <c r="N35" s="285" t="s">
        <v>329</v>
      </c>
      <c r="O35" s="278"/>
      <c r="P35" s="278"/>
      <c r="Q35" s="278"/>
      <c r="R35" s="278"/>
      <c r="S35" s="286" t="s">
        <v>328</v>
      </c>
      <c r="T35" s="278"/>
      <c r="U35" s="281"/>
      <c r="V35" s="291" t="s">
        <v>327</v>
      </c>
      <c r="W35" s="278"/>
      <c r="X35" s="278"/>
      <c r="Y35" s="278"/>
      <c r="Z35" s="288" t="s">
        <v>326</v>
      </c>
      <c r="AA35" s="278"/>
      <c r="AB35" s="278"/>
      <c r="AC35" s="278"/>
      <c r="AD35" s="278"/>
      <c r="AE35" s="278"/>
      <c r="AF35" s="278"/>
      <c r="AG35" s="278"/>
      <c r="AH35" s="278"/>
      <c r="AI35" s="278"/>
      <c r="AJ35" s="281"/>
    </row>
    <row r="36" spans="2:36" s="46" customFormat="1" ht="25" customHeight="1" x14ac:dyDescent="0.25">
      <c r="B36" s="257"/>
      <c r="C36" s="260"/>
      <c r="D36" s="75" t="s">
        <v>325</v>
      </c>
      <c r="E36" s="73" t="s">
        <v>322</v>
      </c>
      <c r="F36" s="75" t="s">
        <v>324</v>
      </c>
      <c r="G36" s="72" t="s">
        <v>317</v>
      </c>
      <c r="H36" s="72" t="s">
        <v>323</v>
      </c>
      <c r="I36" s="74" t="s">
        <v>15</v>
      </c>
      <c r="J36" s="52" t="s">
        <v>322</v>
      </c>
      <c r="K36" s="74" t="s">
        <v>321</v>
      </c>
      <c r="L36" s="74" t="s">
        <v>320</v>
      </c>
      <c r="M36" s="73" t="s">
        <v>319</v>
      </c>
      <c r="N36" s="75" t="s">
        <v>324</v>
      </c>
      <c r="O36" s="72" t="s">
        <v>317</v>
      </c>
      <c r="P36" s="72" t="s">
        <v>323</v>
      </c>
      <c r="Q36" s="72" t="s">
        <v>15</v>
      </c>
      <c r="R36" s="71" t="s">
        <v>322</v>
      </c>
      <c r="S36" s="74" t="s">
        <v>321</v>
      </c>
      <c r="T36" s="74" t="s">
        <v>320</v>
      </c>
      <c r="U36" s="73" t="s">
        <v>319</v>
      </c>
      <c r="V36" s="77" t="s">
        <v>318</v>
      </c>
      <c r="W36" s="74" t="s">
        <v>317</v>
      </c>
      <c r="X36" s="74" t="s">
        <v>316</v>
      </c>
      <c r="Y36" s="74" t="s">
        <v>315</v>
      </c>
      <c r="Z36" s="74" t="s">
        <v>314</v>
      </c>
      <c r="AA36" s="74" t="s">
        <v>313</v>
      </c>
      <c r="AB36" s="74" t="s">
        <v>312</v>
      </c>
      <c r="AC36" s="74" t="s">
        <v>311</v>
      </c>
      <c r="AD36" s="74" t="s">
        <v>310</v>
      </c>
      <c r="AE36" s="74" t="s">
        <v>309</v>
      </c>
      <c r="AF36" s="74" t="s">
        <v>308</v>
      </c>
      <c r="AG36" s="74" t="s">
        <v>307</v>
      </c>
      <c r="AH36" s="74" t="s">
        <v>306</v>
      </c>
      <c r="AI36" s="74" t="s">
        <v>305</v>
      </c>
      <c r="AJ36" s="76" t="s">
        <v>304</v>
      </c>
    </row>
    <row r="37" spans="2:36" s="46" customFormat="1" ht="15" customHeight="1" x14ac:dyDescent="0.25">
      <c r="B37" s="257"/>
      <c r="C37" s="260"/>
      <c r="D37" s="60" t="s">
        <v>303</v>
      </c>
      <c r="E37" s="51" t="s">
        <v>4</v>
      </c>
      <c r="F37" s="54" t="s">
        <v>302</v>
      </c>
      <c r="G37" s="53" t="s">
        <v>302</v>
      </c>
      <c r="H37" s="53" t="s">
        <v>302</v>
      </c>
      <c r="I37" s="52" t="s">
        <v>284</v>
      </c>
      <c r="J37" s="52" t="s">
        <v>4</v>
      </c>
      <c r="K37" s="52" t="s">
        <v>284</v>
      </c>
      <c r="L37" s="52" t="s">
        <v>284</v>
      </c>
      <c r="M37" s="57" t="s">
        <v>284</v>
      </c>
      <c r="N37" s="59" t="s">
        <v>302</v>
      </c>
      <c r="O37" s="72" t="s">
        <v>302</v>
      </c>
      <c r="P37" s="58" t="s">
        <v>302</v>
      </c>
      <c r="Q37" s="49" t="s">
        <v>284</v>
      </c>
      <c r="R37" s="49" t="s">
        <v>4</v>
      </c>
      <c r="S37" s="52" t="s">
        <v>284</v>
      </c>
      <c r="T37" s="52" t="s">
        <v>284</v>
      </c>
      <c r="U37" s="57" t="s">
        <v>284</v>
      </c>
      <c r="V37" s="54" t="s">
        <v>302</v>
      </c>
      <c r="W37" s="53" t="s">
        <v>302</v>
      </c>
      <c r="X37" s="52" t="s">
        <v>301</v>
      </c>
      <c r="Y37" s="52" t="s">
        <v>284</v>
      </c>
      <c r="Z37" s="52" t="s">
        <v>300</v>
      </c>
      <c r="AA37" s="52" t="s">
        <v>299</v>
      </c>
      <c r="AB37" s="52" t="s">
        <v>300</v>
      </c>
      <c r="AC37" s="53" t="s">
        <v>299</v>
      </c>
      <c r="AD37" s="53" t="s">
        <v>283</v>
      </c>
      <c r="AE37" s="53" t="s">
        <v>4</v>
      </c>
      <c r="AF37" s="52" t="s">
        <v>282</v>
      </c>
      <c r="AG37" s="52" t="s">
        <v>298</v>
      </c>
      <c r="AH37" s="52" t="s">
        <v>297</v>
      </c>
      <c r="AI37" s="52" t="s">
        <v>297</v>
      </c>
      <c r="AJ37" s="51" t="s">
        <v>4</v>
      </c>
    </row>
    <row r="38" spans="2:36" s="133" customFormat="1" ht="24" customHeight="1" x14ac:dyDescent="0.25">
      <c r="B38" s="257"/>
      <c r="C38" s="260"/>
      <c r="D38" s="135"/>
      <c r="E38" s="129"/>
      <c r="F38" s="135"/>
      <c r="G38" s="131"/>
      <c r="H38" s="131"/>
      <c r="I38" s="123"/>
      <c r="J38" s="123"/>
      <c r="K38" s="123"/>
      <c r="L38" s="123"/>
      <c r="M38" s="129"/>
      <c r="N38" s="122"/>
      <c r="O38" s="123"/>
      <c r="P38" s="123"/>
      <c r="Q38" s="123"/>
      <c r="R38" s="123"/>
      <c r="S38" s="123"/>
      <c r="T38" s="123"/>
      <c r="U38" s="129"/>
      <c r="V38" s="122"/>
      <c r="W38" s="123"/>
      <c r="X38" s="123"/>
      <c r="Y38" s="123"/>
      <c r="Z38" s="123"/>
      <c r="AA38" s="123"/>
      <c r="AB38" s="123"/>
      <c r="AC38" s="123"/>
      <c r="AD38" s="123"/>
      <c r="AE38" s="123" t="e">
        <f>Z38/AB38</f>
        <v>#DIV/0!</v>
      </c>
      <c r="AF38" s="123"/>
      <c r="AG38" s="123"/>
      <c r="AH38" s="123" t="e">
        <f>AF38/(Z38-AB38)</f>
        <v>#DIV/0!</v>
      </c>
      <c r="AI38" s="143" t="s">
        <v>296</v>
      </c>
      <c r="AJ38" s="140" t="e">
        <f>IF((AH38-AI38)&gt;=0,"↑","↓")</f>
        <v>#DIV/0!</v>
      </c>
    </row>
    <row r="39" spans="2:36" s="46" customFormat="1" ht="15" customHeight="1" x14ac:dyDescent="0.25">
      <c r="B39" s="257"/>
      <c r="C39" s="260"/>
      <c r="D39" s="284" t="s">
        <v>295</v>
      </c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3"/>
      <c r="R39" s="78" t="s">
        <v>4</v>
      </c>
      <c r="S39" s="56" t="s">
        <v>4</v>
      </c>
      <c r="T39" s="56" t="s">
        <v>4</v>
      </c>
      <c r="U39" s="56" t="s">
        <v>82</v>
      </c>
      <c r="V39" s="56" t="s">
        <v>82</v>
      </c>
      <c r="W39" s="56" t="s">
        <v>82</v>
      </c>
      <c r="X39" s="56" t="s">
        <v>82</v>
      </c>
      <c r="Y39" s="56" t="s">
        <v>82</v>
      </c>
      <c r="Z39" s="56" t="s">
        <v>82</v>
      </c>
      <c r="AA39" s="56" t="s">
        <v>82</v>
      </c>
      <c r="AB39" s="56" t="s">
        <v>82</v>
      </c>
      <c r="AC39" s="56" t="s">
        <v>82</v>
      </c>
      <c r="AD39" s="56" t="s">
        <v>82</v>
      </c>
      <c r="AE39" s="56" t="s">
        <v>82</v>
      </c>
      <c r="AF39" s="55" t="s">
        <v>82</v>
      </c>
      <c r="AG39" s="55" t="s">
        <v>82</v>
      </c>
      <c r="AH39" s="55" t="s">
        <v>82</v>
      </c>
      <c r="AI39" s="55" t="s">
        <v>82</v>
      </c>
      <c r="AJ39" s="84" t="s">
        <v>82</v>
      </c>
    </row>
    <row r="40" spans="2:36" s="46" customFormat="1" ht="15" customHeight="1" x14ac:dyDescent="0.25">
      <c r="B40" s="257"/>
      <c r="C40" s="260"/>
      <c r="D40" s="291" t="s">
        <v>294</v>
      </c>
      <c r="E40" s="278"/>
      <c r="F40" s="278"/>
      <c r="G40" s="288" t="s">
        <v>293</v>
      </c>
      <c r="H40" s="278"/>
      <c r="I40" s="278"/>
      <c r="J40" s="288" t="s">
        <v>292</v>
      </c>
      <c r="K40" s="278"/>
      <c r="L40" s="278"/>
      <c r="M40" s="288" t="s">
        <v>291</v>
      </c>
      <c r="N40" s="288" t="s">
        <v>290</v>
      </c>
      <c r="O40" s="288" t="s">
        <v>289</v>
      </c>
      <c r="P40" s="288" t="s">
        <v>225</v>
      </c>
      <c r="Q40" s="290" t="s">
        <v>288</v>
      </c>
      <c r="R40" s="50" t="s">
        <v>4</v>
      </c>
      <c r="S40" s="49" t="s">
        <v>4</v>
      </c>
      <c r="T40" s="49" t="s">
        <v>4</v>
      </c>
      <c r="U40" s="49" t="s">
        <v>82</v>
      </c>
      <c r="V40" s="49" t="s">
        <v>82</v>
      </c>
      <c r="W40" s="49" t="s">
        <v>82</v>
      </c>
      <c r="X40" s="49" t="s">
        <v>82</v>
      </c>
      <c r="Y40" s="49" t="s">
        <v>82</v>
      </c>
      <c r="Z40" s="49" t="s">
        <v>82</v>
      </c>
      <c r="AA40" s="49" t="s">
        <v>82</v>
      </c>
      <c r="AB40" s="49" t="s">
        <v>82</v>
      </c>
      <c r="AC40" s="49" t="s">
        <v>82</v>
      </c>
      <c r="AD40" s="49" t="s">
        <v>82</v>
      </c>
      <c r="AE40" s="49" t="s">
        <v>82</v>
      </c>
      <c r="AF40" s="47" t="s">
        <v>82</v>
      </c>
      <c r="AG40" s="47" t="s">
        <v>82</v>
      </c>
      <c r="AH40" s="47" t="s">
        <v>82</v>
      </c>
      <c r="AI40" s="47" t="s">
        <v>82</v>
      </c>
      <c r="AJ40" s="61" t="s">
        <v>82</v>
      </c>
    </row>
    <row r="41" spans="2:36" s="46" customFormat="1" ht="25" customHeight="1" x14ac:dyDescent="0.25">
      <c r="B41" s="257"/>
      <c r="C41" s="260"/>
      <c r="D41" s="77" t="s">
        <v>287</v>
      </c>
      <c r="E41" s="74" t="s">
        <v>286</v>
      </c>
      <c r="F41" s="74" t="s">
        <v>285</v>
      </c>
      <c r="G41" s="74" t="s">
        <v>287</v>
      </c>
      <c r="H41" s="74" t="s">
        <v>286</v>
      </c>
      <c r="I41" s="74" t="s">
        <v>285</v>
      </c>
      <c r="J41" s="74" t="s">
        <v>287</v>
      </c>
      <c r="K41" s="74" t="s">
        <v>286</v>
      </c>
      <c r="L41" s="74" t="s">
        <v>285</v>
      </c>
      <c r="M41" s="278"/>
      <c r="N41" s="278"/>
      <c r="O41" s="278"/>
      <c r="P41" s="278"/>
      <c r="Q41" s="281"/>
      <c r="R41" s="75" t="s">
        <v>4</v>
      </c>
      <c r="S41" s="72" t="s">
        <v>4</v>
      </c>
      <c r="T41" s="72" t="s">
        <v>4</v>
      </c>
      <c r="U41" s="72" t="s">
        <v>82</v>
      </c>
      <c r="V41" s="72" t="s">
        <v>82</v>
      </c>
      <c r="W41" s="74" t="s">
        <v>82</v>
      </c>
      <c r="X41" s="72" t="s">
        <v>82</v>
      </c>
      <c r="Y41" s="72" t="s">
        <v>82</v>
      </c>
      <c r="Z41" s="74" t="s">
        <v>82</v>
      </c>
      <c r="AA41" s="49" t="s">
        <v>82</v>
      </c>
      <c r="AB41" s="49" t="s">
        <v>82</v>
      </c>
      <c r="AC41" s="49" t="s">
        <v>82</v>
      </c>
      <c r="AD41" s="49" t="s">
        <v>82</v>
      </c>
      <c r="AE41" s="49" t="s">
        <v>82</v>
      </c>
      <c r="AF41" s="47" t="s">
        <v>82</v>
      </c>
      <c r="AG41" s="47" t="s">
        <v>82</v>
      </c>
      <c r="AH41" s="47" t="s">
        <v>82</v>
      </c>
      <c r="AI41" s="47" t="s">
        <v>82</v>
      </c>
      <c r="AJ41" s="61" t="s">
        <v>82</v>
      </c>
    </row>
    <row r="42" spans="2:36" s="46" customFormat="1" ht="22.5" customHeight="1" x14ac:dyDescent="0.25">
      <c r="B42" s="257"/>
      <c r="C42" s="260"/>
      <c r="D42" s="54" t="s">
        <v>284</v>
      </c>
      <c r="E42" s="53" t="s">
        <v>284</v>
      </c>
      <c r="F42" s="52" t="s">
        <v>284</v>
      </c>
      <c r="G42" s="52" t="s">
        <v>283</v>
      </c>
      <c r="H42" s="49" t="s">
        <v>283</v>
      </c>
      <c r="I42" s="49" t="s">
        <v>283</v>
      </c>
      <c r="J42" s="52" t="s">
        <v>283</v>
      </c>
      <c r="K42" s="49" t="s">
        <v>283</v>
      </c>
      <c r="L42" s="49" t="s">
        <v>283</v>
      </c>
      <c r="M42" s="49" t="s">
        <v>282</v>
      </c>
      <c r="N42" s="49" t="s">
        <v>281</v>
      </c>
      <c r="O42" s="52" t="s">
        <v>280</v>
      </c>
      <c r="P42" s="52" t="s">
        <v>4</v>
      </c>
      <c r="Q42" s="51" t="s">
        <v>4</v>
      </c>
      <c r="R42" s="50" t="s">
        <v>4</v>
      </c>
      <c r="S42" s="49" t="s">
        <v>4</v>
      </c>
      <c r="T42" s="49" t="s">
        <v>4</v>
      </c>
      <c r="U42" s="49" t="s">
        <v>82</v>
      </c>
      <c r="V42" s="49" t="s">
        <v>82</v>
      </c>
      <c r="W42" s="49" t="s">
        <v>82</v>
      </c>
      <c r="X42" s="49" t="s">
        <v>82</v>
      </c>
      <c r="Y42" s="49" t="s">
        <v>82</v>
      </c>
      <c r="Z42" s="49" t="s">
        <v>82</v>
      </c>
      <c r="AA42" s="49" t="s">
        <v>82</v>
      </c>
      <c r="AB42" s="49" t="s">
        <v>82</v>
      </c>
      <c r="AC42" s="49" t="s">
        <v>82</v>
      </c>
      <c r="AD42" s="49" t="s">
        <v>82</v>
      </c>
      <c r="AE42" s="48" t="s">
        <v>82</v>
      </c>
      <c r="AF42" s="47" t="s">
        <v>82</v>
      </c>
      <c r="AG42" s="47" t="s">
        <v>82</v>
      </c>
      <c r="AH42" s="47" t="s">
        <v>82</v>
      </c>
      <c r="AI42" s="47" t="s">
        <v>82</v>
      </c>
      <c r="AJ42" s="61" t="s">
        <v>82</v>
      </c>
    </row>
    <row r="43" spans="2:36" s="133" customFormat="1" ht="24" customHeight="1" x14ac:dyDescent="0.25">
      <c r="B43" s="301"/>
      <c r="C43" s="302"/>
      <c r="D43" s="122"/>
      <c r="E43" s="123"/>
      <c r="F43" s="123">
        <f>D43-E43</f>
        <v>0</v>
      </c>
      <c r="G43" s="123"/>
      <c r="H43" s="123"/>
      <c r="I43" s="123">
        <f>G43-H43</f>
        <v>0</v>
      </c>
      <c r="J43" s="123"/>
      <c r="K43" s="123"/>
      <c r="L43" s="123">
        <f>J43-K43</f>
        <v>0</v>
      </c>
      <c r="M43" s="123"/>
      <c r="N43" s="123"/>
      <c r="O43" s="123" t="e">
        <f>N43/M43</f>
        <v>#DIV/0!</v>
      </c>
      <c r="P43" s="123"/>
      <c r="Q43" s="145">
        <v>301</v>
      </c>
      <c r="R43" s="122" t="s">
        <v>4</v>
      </c>
      <c r="S43" s="123" t="s">
        <v>4</v>
      </c>
      <c r="T43" s="123" t="s">
        <v>4</v>
      </c>
      <c r="U43" s="123" t="s">
        <v>82</v>
      </c>
      <c r="V43" s="123" t="s">
        <v>82</v>
      </c>
      <c r="W43" s="123" t="s">
        <v>82</v>
      </c>
      <c r="X43" s="123" t="s">
        <v>82</v>
      </c>
      <c r="Y43" s="123" t="s">
        <v>82</v>
      </c>
      <c r="Z43" s="123" t="s">
        <v>82</v>
      </c>
      <c r="AA43" s="123" t="s">
        <v>82</v>
      </c>
      <c r="AB43" s="123" t="s">
        <v>82</v>
      </c>
      <c r="AC43" s="123" t="s">
        <v>82</v>
      </c>
      <c r="AD43" s="123" t="s">
        <v>82</v>
      </c>
      <c r="AE43" s="131" t="s">
        <v>82</v>
      </c>
      <c r="AF43" s="131" t="s">
        <v>82</v>
      </c>
      <c r="AG43" s="131" t="s">
        <v>82</v>
      </c>
      <c r="AH43" s="131" t="s">
        <v>82</v>
      </c>
      <c r="AI43" s="131" t="s">
        <v>82</v>
      </c>
      <c r="AJ43" s="132" t="s">
        <v>82</v>
      </c>
    </row>
    <row r="44" spans="2:36" ht="15" customHeight="1" x14ac:dyDescent="0.25"/>
    <row r="45" spans="2:36" ht="18" customHeight="1" x14ac:dyDescent="0.25"/>
    <row r="46" spans="2:36" ht="18" customHeight="1" x14ac:dyDescent="0.25"/>
    <row r="47" spans="2:36" ht="18" customHeight="1" x14ac:dyDescent="0.25"/>
    <row r="48" spans="2:36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F7">
    <cfRule type="cellIs" dxfId="39" priority="25" aboveAverage="1" operator="equal">
      <formula>"↓"</formula>
    </cfRule>
    <cfRule type="cellIs" dxfId="38" priority="26" aboveAverage="1" operator="equal">
      <formula>"↑"</formula>
    </cfRule>
  </conditionalFormatting>
  <conditionalFormatting sqref="F12">
    <cfRule type="cellIs" dxfId="37" priority="5" aboveAverage="1" operator="equal">
      <formula>"↓"</formula>
    </cfRule>
    <cfRule type="cellIs" dxfId="36" priority="6" aboveAverage="1" operator="equal">
      <formula>"↑"</formula>
    </cfRule>
  </conditionalFormatting>
  <conditionalFormatting sqref="F28">
    <cfRule type="cellIs" dxfId="35" priority="23" aboveAverage="1" operator="equal">
      <formula>"↓"</formula>
    </cfRule>
    <cfRule type="cellIs" dxfId="34" priority="24" aboveAverage="1" operator="equal">
      <formula>"↑"</formula>
    </cfRule>
  </conditionalFormatting>
  <conditionalFormatting sqref="F33">
    <cfRule type="cellIs" dxfId="33" priority="1" aboveAverage="1" operator="equal">
      <formula>"↓"</formula>
    </cfRule>
    <cfRule type="cellIs" dxfId="32" priority="2" aboveAverage="1" operator="equal">
      <formula>"↑"</formula>
    </cfRule>
  </conditionalFormatting>
  <conditionalFormatting sqref="T12">
    <cfRule type="cellIs" dxfId="31" priority="21" aboveAverage="1" operator="equal">
      <formula>"↓"</formula>
    </cfRule>
    <cfRule type="cellIs" dxfId="30" priority="22" aboveAverage="1" operator="equal">
      <formula>"↑"</formula>
    </cfRule>
  </conditionalFormatting>
  <conditionalFormatting sqref="T33">
    <cfRule type="cellIs" dxfId="29" priority="19" aboveAverage="1" operator="equal">
      <formula>"↓"</formula>
    </cfRule>
    <cfRule type="cellIs" dxfId="28" priority="20" aboveAverage="1" operator="equal">
      <formula>"↑"</formula>
    </cfRule>
  </conditionalFormatting>
  <conditionalFormatting sqref="Z12">
    <cfRule type="cellIs" dxfId="27" priority="17" aboveAverage="1" operator="equal">
      <formula>"↓"</formula>
    </cfRule>
    <cfRule type="cellIs" dxfId="26" priority="18" aboveAverage="1" operator="equal">
      <formula>"↑"</formula>
    </cfRule>
  </conditionalFormatting>
  <conditionalFormatting sqref="Z33">
    <cfRule type="cellIs" dxfId="25" priority="15" aboveAverage="1" operator="equal">
      <formula>"↓"</formula>
    </cfRule>
    <cfRule type="cellIs" dxfId="24" priority="16" aboveAverage="1" operator="equal">
      <formula>"↑"</formula>
    </cfRule>
  </conditionalFormatting>
  <conditionalFormatting sqref="AD12">
    <cfRule type="cellIs" dxfId="23" priority="13" aboveAverage="1" operator="equal">
      <formula>"↓"</formula>
    </cfRule>
    <cfRule type="cellIs" dxfId="22" priority="14" aboveAverage="1" operator="equal">
      <formula>"↑"</formula>
    </cfRule>
  </conditionalFormatting>
  <conditionalFormatting sqref="AD33">
    <cfRule type="cellIs" dxfId="21" priority="11" aboveAverage="1" operator="equal">
      <formula>"↓"</formula>
    </cfRule>
    <cfRule type="cellIs" dxfId="20" priority="12" aboveAverage="1" operator="equal">
      <formula>"↑"</formula>
    </cfRule>
  </conditionalFormatting>
  <conditionalFormatting sqref="AJ17">
    <cfRule type="cellIs" dxfId="19" priority="9" aboveAverage="1" operator="equal">
      <formula>"↓"</formula>
    </cfRule>
    <cfRule type="cellIs" dxfId="18" priority="10" aboveAverage="1" operator="equal">
      <formula>"↑"</formula>
    </cfRule>
  </conditionalFormatting>
  <conditionalFormatting sqref="AJ38">
    <cfRule type="cellIs" dxfId="17" priority="7" aboveAverage="1" operator="equal">
      <formula>"↓"</formula>
    </cfRule>
    <cfRule type="cellIs" dxfId="16" priority="8" aboveAverage="1" operator="equal">
      <formula>"↑"</formula>
    </cfRule>
  </conditionalFormatting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35"/>
  <sheetViews>
    <sheetView tabSelected="1" zoomScaleNormal="100" workbookViewId="0">
      <selection activeCell="N6" sqref="N6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03" t="s">
        <v>470</v>
      </c>
      <c r="C2" s="304"/>
      <c r="D2" s="304"/>
      <c r="E2" s="304"/>
      <c r="F2" s="304"/>
      <c r="G2" s="304"/>
      <c r="H2" s="304"/>
      <c r="I2" s="304"/>
      <c r="J2" s="305"/>
    </row>
    <row r="3" spans="2:10" ht="20.15" customHeight="1" x14ac:dyDescent="0.25">
      <c r="B3" s="306"/>
      <c r="C3" s="307"/>
      <c r="D3" s="307"/>
      <c r="E3" s="307"/>
      <c r="F3" s="307"/>
      <c r="G3" s="308"/>
      <c r="H3" s="309"/>
      <c r="I3" s="309"/>
      <c r="J3" s="310"/>
    </row>
    <row r="4" spans="2:10" ht="21" x14ac:dyDescent="0.25">
      <c r="B4" s="311" t="s">
        <v>413</v>
      </c>
      <c r="C4" s="312"/>
      <c r="D4" s="313"/>
      <c r="E4" s="314" t="s">
        <v>414</v>
      </c>
      <c r="F4" s="314" t="s">
        <v>415</v>
      </c>
      <c r="G4" s="314" t="s">
        <v>416</v>
      </c>
      <c r="H4" s="315" t="s">
        <v>417</v>
      </c>
      <c r="I4" s="313"/>
      <c r="J4" s="316" t="s">
        <v>418</v>
      </c>
    </row>
    <row r="5" spans="2:10" x14ac:dyDescent="0.25">
      <c r="B5" s="317" t="s">
        <v>419</v>
      </c>
      <c r="C5" s="318" t="s">
        <v>420</v>
      </c>
      <c r="D5" s="318"/>
      <c r="E5" s="319" t="s">
        <v>284</v>
      </c>
      <c r="F5" s="320">
        <v>90</v>
      </c>
      <c r="G5" s="321">
        <v>0</v>
      </c>
      <c r="H5" s="322">
        <f>(G5-F5)/F5*100</f>
        <v>-100</v>
      </c>
      <c r="I5" s="323" t="s">
        <v>284</v>
      </c>
      <c r="J5" s="324"/>
    </row>
    <row r="6" spans="2:10" x14ac:dyDescent="0.25">
      <c r="B6" s="325" t="s">
        <v>421</v>
      </c>
      <c r="C6" s="318" t="s">
        <v>422</v>
      </c>
      <c r="D6" s="318"/>
      <c r="E6" s="319" t="s">
        <v>280</v>
      </c>
      <c r="F6" s="320" t="s">
        <v>423</v>
      </c>
      <c r="G6" s="321">
        <v>0</v>
      </c>
      <c r="H6" s="326" t="str">
        <f>IF($G6="","",IF(AND($G6&gt;=0,$G6&lt;=1427),"合格","不合格"))</f>
        <v/>
      </c>
      <c r="I6" s="327" t="s">
        <v>4</v>
      </c>
      <c r="J6" s="324"/>
    </row>
    <row r="7" spans="2:10" x14ac:dyDescent="0.25">
      <c r="B7" s="328"/>
      <c r="C7" s="318" t="s">
        <v>424</v>
      </c>
      <c r="D7" s="318"/>
      <c r="E7" s="319" t="s">
        <v>280</v>
      </c>
      <c r="F7" s="320" t="s">
        <v>425</v>
      </c>
      <c r="G7" s="321">
        <v>0</v>
      </c>
      <c r="H7" s="326" t="str">
        <f>IF($G7="","",IF(AND($G7&gt;=210,$G7&lt;=220),"合格","不合格"))</f>
        <v/>
      </c>
      <c r="I7" s="327" t="s">
        <v>4</v>
      </c>
      <c r="J7" s="324"/>
    </row>
    <row r="8" spans="2:10" x14ac:dyDescent="0.25">
      <c r="B8" s="329"/>
      <c r="C8" s="318" t="s">
        <v>426</v>
      </c>
      <c r="D8" s="318"/>
      <c r="E8" s="319" t="s">
        <v>280</v>
      </c>
      <c r="F8" s="320" t="s">
        <v>427</v>
      </c>
      <c r="G8" s="321">
        <v>0</v>
      </c>
      <c r="H8" s="326" t="str">
        <f>IF($G8="","",IF(AND($G8&gt;=190,$G8&lt;=210),"合格","不合格"))</f>
        <v/>
      </c>
      <c r="I8" s="327" t="s">
        <v>4</v>
      </c>
      <c r="J8" s="324"/>
    </row>
    <row r="9" spans="2:10" x14ac:dyDescent="0.25">
      <c r="B9" s="325" t="s">
        <v>428</v>
      </c>
      <c r="C9" s="319" t="s">
        <v>429</v>
      </c>
      <c r="D9" s="319" t="s">
        <v>430</v>
      </c>
      <c r="E9" s="319" t="s">
        <v>431</v>
      </c>
      <c r="F9" s="320" t="s">
        <v>432</v>
      </c>
      <c r="G9" s="321">
        <v>328.9545593261719</v>
      </c>
      <c r="H9" s="326" t="str">
        <f>IF($G9="","",IF(AND($G9&gt;=412,$G9&lt;=422),"合格","不合格"))</f>
        <v/>
      </c>
      <c r="I9" s="327" t="s">
        <v>4</v>
      </c>
      <c r="J9" s="324"/>
    </row>
    <row r="10" spans="2:10" x14ac:dyDescent="0.25">
      <c r="B10" s="328"/>
      <c r="C10" s="318" t="s">
        <v>433</v>
      </c>
      <c r="D10" s="319" t="s">
        <v>434</v>
      </c>
      <c r="E10" s="327" t="s">
        <v>4</v>
      </c>
      <c r="F10" s="320" t="s">
        <v>435</v>
      </c>
      <c r="G10" s="321">
        <v>0.5287914276123047</v>
      </c>
      <c r="H10" s="326" t="str">
        <f>IF($G10="","",IF(AND($G10&gt;=0.525,$G10&lt;=0.5357),"合格","不合格"))</f>
        <v/>
      </c>
      <c r="I10" s="327" t="s">
        <v>4</v>
      </c>
      <c r="J10" s="324"/>
    </row>
    <row r="11" spans="2:10" x14ac:dyDescent="0.25">
      <c r="B11" s="328"/>
      <c r="C11" s="318"/>
      <c r="D11" s="319" t="s">
        <v>436</v>
      </c>
      <c r="E11" s="319" t="s">
        <v>437</v>
      </c>
      <c r="F11" s="320">
        <v>46.63</v>
      </c>
      <c r="G11" s="321">
        <v>46.65299987792969</v>
      </c>
      <c r="H11" s="326" t="s">
        <v>438</v>
      </c>
      <c r="I11" s="327" t="s">
        <v>4</v>
      </c>
      <c r="J11" s="324"/>
    </row>
    <row r="12" spans="2:10" x14ac:dyDescent="0.25">
      <c r="B12" s="328"/>
      <c r="C12" s="318"/>
      <c r="D12" s="319" t="s">
        <v>439</v>
      </c>
      <c r="E12" s="319" t="s">
        <v>301</v>
      </c>
      <c r="F12" s="320" t="s">
        <v>440</v>
      </c>
      <c r="G12" s="321">
        <v>0.45910975337028503</v>
      </c>
      <c r="H12" s="326" t="str">
        <f>IF($G12="","",IF(AND($G12&gt;=0.745,$G12&lt;=0.755),"合格","不合格"))</f>
        <v/>
      </c>
      <c r="I12" s="327" t="s">
        <v>4</v>
      </c>
      <c r="J12" s="324"/>
    </row>
    <row r="13" spans="2:10" x14ac:dyDescent="0.25">
      <c r="B13" s="328"/>
      <c r="C13" s="318"/>
      <c r="D13" s="319" t="s">
        <v>441</v>
      </c>
      <c r="E13" s="319" t="s">
        <v>302</v>
      </c>
      <c r="F13" s="320" t="s">
        <v>442</v>
      </c>
      <c r="G13" s="321">
        <v>64.13665008544922</v>
      </c>
      <c r="H13" s="326" t="str">
        <f>IF($G13="","",IF(AND($G13&gt;=88,$G13&lt;=92),"合格","不合格"))</f>
        <v/>
      </c>
      <c r="I13" s="327" t="s">
        <v>4</v>
      </c>
      <c r="J13" s="324"/>
    </row>
    <row r="14" spans="2:10" x14ac:dyDescent="0.25">
      <c r="B14" s="328"/>
      <c r="C14" s="318"/>
      <c r="D14" s="319" t="s">
        <v>443</v>
      </c>
      <c r="E14" s="319" t="s">
        <v>302</v>
      </c>
      <c r="F14" s="320" t="s">
        <v>444</v>
      </c>
      <c r="G14" s="321">
        <v>99.5530014038086</v>
      </c>
      <c r="H14" s="326" t="str">
        <f>IF($G14="","",IF(AND($G14&gt;=143,$G14&lt;=147),"合格","不合格"))</f>
        <v/>
      </c>
      <c r="I14" s="327" t="s">
        <v>4</v>
      </c>
      <c r="J14" s="324"/>
    </row>
    <row r="15" spans="2:10" x14ac:dyDescent="0.25">
      <c r="B15" s="328"/>
      <c r="C15" s="318"/>
      <c r="D15" s="319" t="s">
        <v>445</v>
      </c>
      <c r="E15" s="319" t="s">
        <v>302</v>
      </c>
      <c r="F15" s="320" t="s">
        <v>446</v>
      </c>
      <c r="G15" s="321">
        <v>118.24031829833984</v>
      </c>
      <c r="H15" s="326" t="str">
        <f>IF($G15="","",IF(AND($G15&gt;=166,$G15&lt;=170),"合格","不合格"))</f>
        <v/>
      </c>
      <c r="I15" s="327" t="s">
        <v>4</v>
      </c>
      <c r="J15" s="324"/>
    </row>
    <row r="16" spans="2:10" x14ac:dyDescent="0.25">
      <c r="B16" s="328"/>
      <c r="C16" s="318" t="s">
        <v>447</v>
      </c>
      <c r="D16" s="319" t="s">
        <v>448</v>
      </c>
      <c r="E16" s="319" t="s">
        <v>302</v>
      </c>
      <c r="F16" s="320" t="s">
        <v>449</v>
      </c>
      <c r="G16" s="321">
        <v>44.69581604003906</v>
      </c>
      <c r="H16" s="326" t="str">
        <f>IF($G16="","",IF(AND($G16&gt;=0,$G16&lt;=45),"合格","不合格"))</f>
        <v/>
      </c>
      <c r="I16" s="327" t="s">
        <v>4</v>
      </c>
      <c r="J16" s="324"/>
    </row>
    <row r="17" spans="2:10" x14ac:dyDescent="0.25">
      <c r="B17" s="328"/>
      <c r="C17" s="318"/>
      <c r="D17" s="319" t="s">
        <v>450</v>
      </c>
      <c r="E17" s="319" t="s">
        <v>302</v>
      </c>
      <c r="F17" s="320" t="s">
        <v>451</v>
      </c>
      <c r="G17" s="321">
        <v>19.203166961669922</v>
      </c>
      <c r="H17" s="326" t="str">
        <f>IF($G17="","",IF(AND($G17&gt;=0,$G17&lt;=20),"合格","不合格"))</f>
        <v/>
      </c>
      <c r="I17" s="327" t="s">
        <v>4</v>
      </c>
      <c r="J17" s="324"/>
    </row>
    <row r="18" spans="2:10" x14ac:dyDescent="0.25">
      <c r="B18" s="328"/>
      <c r="C18" s="318"/>
      <c r="D18" s="319" t="s">
        <v>452</v>
      </c>
      <c r="E18" s="319" t="s">
        <v>302</v>
      </c>
      <c r="F18" s="320" t="s">
        <v>453</v>
      </c>
      <c r="G18" s="321">
        <v>0</v>
      </c>
      <c r="H18" s="326" t="str">
        <f>IF($G18="","",IF(AND($G18&gt;=46,$G18&lt;=50),"合格","不合格"))</f>
        <v/>
      </c>
      <c r="I18" s="327" t="s">
        <v>4</v>
      </c>
      <c r="J18" s="324"/>
    </row>
    <row r="19" spans="2:10" x14ac:dyDescent="0.25">
      <c r="B19" s="328"/>
      <c r="C19" s="318"/>
      <c r="D19" s="319" t="s">
        <v>454</v>
      </c>
      <c r="E19" s="319" t="s">
        <v>302</v>
      </c>
      <c r="F19" s="320" t="s">
        <v>455</v>
      </c>
      <c r="G19" s="321">
        <v>0</v>
      </c>
      <c r="H19" s="326" t="str">
        <f>IF($G19="","",IF(AND($G19&gt;=0,$G19&lt;=20),"合格","不合格"))</f>
        <v/>
      </c>
      <c r="I19" s="327" t="s">
        <v>4</v>
      </c>
      <c r="J19" s="324"/>
    </row>
    <row r="20" spans="2:10" x14ac:dyDescent="0.25">
      <c r="B20" s="328"/>
      <c r="C20" s="318" t="s">
        <v>456</v>
      </c>
      <c r="D20" s="319" t="s">
        <v>89</v>
      </c>
      <c r="E20" s="319" t="s">
        <v>284</v>
      </c>
      <c r="F20" s="330" t="s">
        <v>82</v>
      </c>
      <c r="G20" s="321">
        <v>20508</v>
      </c>
      <c r="H20" s="331" t="s">
        <v>457</v>
      </c>
      <c r="I20" s="327" t="s">
        <v>4</v>
      </c>
      <c r="J20" s="324"/>
    </row>
    <row r="21" spans="2:10" x14ac:dyDescent="0.25">
      <c r="B21" s="328"/>
      <c r="C21" s="318"/>
      <c r="D21" s="319" t="s">
        <v>92</v>
      </c>
      <c r="E21" s="319" t="s">
        <v>284</v>
      </c>
      <c r="F21" s="330" t="s">
        <v>82</v>
      </c>
      <c r="G21" s="321"/>
      <c r="H21" s="331" t="s">
        <v>457</v>
      </c>
      <c r="I21" s="327" t="s">
        <v>4</v>
      </c>
      <c r="J21" s="324"/>
    </row>
    <row r="22" spans="2:10" x14ac:dyDescent="0.25">
      <c r="B22" s="328"/>
      <c r="C22" s="318"/>
      <c r="D22" s="319" t="s">
        <v>458</v>
      </c>
      <c r="E22" s="327" t="s">
        <v>4</v>
      </c>
      <c r="F22" s="330" t="s">
        <v>82</v>
      </c>
      <c r="G22" s="321">
        <v>6.894999980926514</v>
      </c>
      <c r="H22" s="331" t="s">
        <v>457</v>
      </c>
      <c r="I22" s="327" t="s">
        <v>4</v>
      </c>
      <c r="J22" s="324"/>
    </row>
    <row r="23" spans="2:10" x14ac:dyDescent="0.25">
      <c r="B23" s="328"/>
      <c r="C23" s="318"/>
      <c r="D23" s="319" t="s">
        <v>166</v>
      </c>
      <c r="E23" s="319" t="s">
        <v>431</v>
      </c>
      <c r="F23" s="330" t="s">
        <v>82</v>
      </c>
      <c r="G23" s="321"/>
      <c r="H23" s="331" t="s">
        <v>457</v>
      </c>
      <c r="I23" s="327" t="s">
        <v>4</v>
      </c>
      <c r="J23" s="324"/>
    </row>
    <row r="24" spans="2:10" x14ac:dyDescent="0.25">
      <c r="B24" s="329"/>
      <c r="C24" s="318"/>
      <c r="D24" s="319" t="s">
        <v>167</v>
      </c>
      <c r="E24" s="319" t="s">
        <v>431</v>
      </c>
      <c r="F24" s="330" t="s">
        <v>82</v>
      </c>
      <c r="G24" s="321">
        <v>33.63999938964844</v>
      </c>
      <c r="H24" s="331" t="s">
        <v>457</v>
      </c>
      <c r="I24" s="327" t="s">
        <v>4</v>
      </c>
      <c r="J24" s="324"/>
    </row>
    <row r="25" spans="2:10" x14ac:dyDescent="0.25">
      <c r="B25" s="332" t="s">
        <v>459</v>
      </c>
      <c r="C25" s="319" t="s">
        <v>460</v>
      </c>
      <c r="D25" s="319" t="s">
        <v>461</v>
      </c>
      <c r="E25" s="319" t="s">
        <v>462</v>
      </c>
      <c r="F25" s="320" t="s">
        <v>463</v>
      </c>
      <c r="G25" s="321">
        <v>0</v>
      </c>
      <c r="H25" s="326" t="str">
        <f>IF($G25="","",IF(AND($G25&gt;=0,$G25&lt;=0.38),"合格","不合格"))</f>
        <v/>
      </c>
      <c r="I25" s="327" t="s">
        <v>4</v>
      </c>
      <c r="J25" s="324"/>
    </row>
    <row r="26" spans="2:10" x14ac:dyDescent="0.25">
      <c r="B26" s="332"/>
      <c r="C26" s="318" t="s">
        <v>464</v>
      </c>
      <c r="D26" s="319" t="s">
        <v>10</v>
      </c>
      <c r="E26" s="319" t="s">
        <v>284</v>
      </c>
      <c r="F26" s="320">
        <v>7</v>
      </c>
      <c r="G26" s="321"/>
      <c r="H26" s="322">
        <f>(G26-F26)</f>
        <v>-7</v>
      </c>
      <c r="I26" s="327" t="s">
        <v>284</v>
      </c>
      <c r="J26" s="324"/>
    </row>
    <row r="27" spans="2:10" x14ac:dyDescent="0.25">
      <c r="B27" s="332"/>
      <c r="C27" s="318"/>
      <c r="D27" s="319" t="s">
        <v>465</v>
      </c>
      <c r="E27" s="319" t="s">
        <v>284</v>
      </c>
      <c r="F27" s="320">
        <v>15</v>
      </c>
      <c r="G27" s="321"/>
      <c r="H27" s="322">
        <f t="shared" ref="H27:H31" si="0">(G27-F27)</f>
        <v>-15</v>
      </c>
      <c r="I27" s="327" t="s">
        <v>284</v>
      </c>
      <c r="J27" s="324"/>
    </row>
    <row r="28" spans="2:10" x14ac:dyDescent="0.25">
      <c r="B28" s="332"/>
      <c r="C28" s="318"/>
      <c r="D28" s="319" t="s">
        <v>466</v>
      </c>
      <c r="E28" s="319" t="s">
        <v>284</v>
      </c>
      <c r="F28" s="320">
        <v>4</v>
      </c>
      <c r="G28" s="321"/>
      <c r="H28" s="322">
        <f t="shared" si="0"/>
        <v>-4</v>
      </c>
      <c r="I28" s="327" t="s">
        <v>284</v>
      </c>
      <c r="J28" s="324"/>
    </row>
    <row r="29" spans="2:10" x14ac:dyDescent="0.25">
      <c r="B29" s="332"/>
      <c r="C29" s="318"/>
      <c r="D29" s="319" t="s">
        <v>166</v>
      </c>
      <c r="E29" s="319" t="s">
        <v>284</v>
      </c>
      <c r="F29" s="320">
        <v>7</v>
      </c>
      <c r="G29" s="321"/>
      <c r="H29" s="322">
        <f t="shared" si="0"/>
        <v>-7</v>
      </c>
      <c r="I29" s="327" t="s">
        <v>284</v>
      </c>
      <c r="J29" s="324"/>
    </row>
    <row r="30" spans="2:10" x14ac:dyDescent="0.25">
      <c r="B30" s="332"/>
      <c r="C30" s="318"/>
      <c r="D30" s="319" t="s">
        <v>167</v>
      </c>
      <c r="E30" s="319" t="s">
        <v>284</v>
      </c>
      <c r="F30" s="320">
        <v>7</v>
      </c>
      <c r="G30" s="321"/>
      <c r="H30" s="322">
        <f t="shared" si="0"/>
        <v>-7</v>
      </c>
      <c r="I30" s="327" t="s">
        <v>284</v>
      </c>
      <c r="J30" s="324"/>
    </row>
    <row r="31" spans="2:10" x14ac:dyDescent="0.25">
      <c r="B31" s="332"/>
      <c r="C31" s="318"/>
      <c r="D31" s="319" t="s">
        <v>467</v>
      </c>
      <c r="E31" s="319" t="s">
        <v>468</v>
      </c>
      <c r="F31" s="320">
        <v>10</v>
      </c>
      <c r="G31" s="321"/>
      <c r="H31" s="322">
        <f t="shared" si="0"/>
        <v>-10</v>
      </c>
      <c r="I31" s="327" t="s">
        <v>284</v>
      </c>
      <c r="J31" s="324"/>
    </row>
    <row r="32" spans="2:10" ht="14.5" thickBot="1" x14ac:dyDescent="0.3">
      <c r="B32" s="325"/>
      <c r="C32" s="333"/>
      <c r="D32" s="334" t="s">
        <v>320</v>
      </c>
      <c r="E32" s="334" t="s">
        <v>284</v>
      </c>
      <c r="F32" s="335">
        <v>50</v>
      </c>
      <c r="G32" s="336"/>
      <c r="H32" s="322">
        <f>(G32-F32)</f>
        <v>-50</v>
      </c>
      <c r="I32" s="327" t="s">
        <v>284</v>
      </c>
      <c r="J32" s="337"/>
    </row>
    <row r="33" spans="2:10" x14ac:dyDescent="0.25">
      <c r="B33" s="338" t="s">
        <v>469</v>
      </c>
      <c r="C33" s="339"/>
      <c r="D33" s="340"/>
      <c r="E33" s="340"/>
      <c r="F33" s="340"/>
      <c r="G33" s="340"/>
      <c r="H33" s="340"/>
      <c r="I33" s="340"/>
      <c r="J33" s="341"/>
    </row>
    <row r="34" spans="2:10" x14ac:dyDescent="0.25">
      <c r="B34" s="342"/>
      <c r="C34" s="343"/>
      <c r="D34" s="344"/>
      <c r="E34" s="344"/>
      <c r="F34" s="344"/>
      <c r="G34" s="344"/>
      <c r="H34" s="344"/>
      <c r="I34" s="344"/>
      <c r="J34" s="345"/>
    </row>
    <row r="35" spans="2:10" ht="14.5" thickBot="1" x14ac:dyDescent="0.3">
      <c r="B35" s="346"/>
      <c r="C35" s="347"/>
      <c r="D35" s="348"/>
      <c r="E35" s="348"/>
      <c r="F35" s="348"/>
      <c r="G35" s="348"/>
      <c r="H35" s="348"/>
      <c r="I35" s="348"/>
      <c r="J35" s="349"/>
    </row>
  </sheetData>
  <sheetCalcPr fullCalcOnLoad="1"/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2026-05-27T10:43:07Z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