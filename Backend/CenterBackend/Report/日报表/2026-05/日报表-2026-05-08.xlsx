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bookViews>
    <workbookView xWindow="-120" yWindow="-16320" windowWidth="29040" windowHeight="15720" activeTab="5"/>
  </bookViews>
  <sheets>
    <sheet name="白班过程记录" sheetId="4" r:id="rId1"/>
    <sheet name="白班曲线" sheetId="8" r:id="rId2"/>
    <sheet name="夜班过程记录" sheetId="9" r:id="rId3"/>
    <sheet name="夜班曲线" sheetId="10" r:id="rId4"/>
    <sheet name="班组＆日生产过程运行质量考评表" sheetId="11" r:id="rId5"/>
    <sheet name="日报表" sheetId="12" r:id="rId6"/>
  </sheets>
  <definedNames>
    <definedName name="_xlnm.Print_Area" localSheetId="4"><![CDATA['班组＆日生产过程运行质量考评表'!$A$1:$AK$44]]></definedName>
  </definedNames>
  <calcPr calcId="191029"/>
</workbook>
</file>

<file path=xl/calcChain.xml><?xml version="1.0" encoding="utf-8"?>
<calcChain xmlns="http://schemas.openxmlformats.org/spreadsheetml/2006/main">
  <c r="H32" i="12" l="1"/>
  <c r="H31" i="12"/>
  <c r="H30" i="12"/>
  <c r="H29" i="12"/>
  <c r="H28" i="12"/>
  <c r="H27" i="12"/>
  <c r="H26" i="12"/>
  <c r="H25" i="12"/>
  <c r="H19" i="12"/>
  <c r="H18" i="12"/>
  <c r="H17" i="12"/>
  <c r="H16" i="12"/>
  <c r="H15" i="12"/>
  <c r="H14" i="12"/>
  <c r="H13" i="12"/>
  <c r="H12" i="12"/>
  <c r="H10" i="12"/>
  <c r="H9" i="12"/>
  <c r="H8" i="12"/>
  <c r="H7" i="12"/>
  <c r="H6" i="12"/>
  <c r="H5" i="12"/>
  <c r="F33" i="11" l="1"/>
  <c r="F12" i="11"/>
  <c r="AJ38" i="11"/>
  <c r="AH17" i="11"/>
  <c r="AJ17" i="11" s="1"/>
  <c r="Y33" i="11"/>
  <c r="Z33" i="11" s="1"/>
  <c r="Y12" i="11"/>
  <c r="Z12" i="11" s="1"/>
  <c r="S12" i="11"/>
  <c r="T12" i="11" s="1"/>
  <c r="F28" i="11"/>
  <c r="F7" i="11"/>
  <c r="E7" i="11"/>
  <c r="Z7" i="11"/>
  <c r="AC12" i="11" l="1"/>
  <c r="AD12" i="11" s="1"/>
  <c r="AE17" i="11"/>
  <c r="F22" i="11"/>
  <c r="I22" i="11"/>
  <c r="L22" i="11"/>
  <c r="O22" i="11"/>
  <c r="Z28" i="11"/>
  <c r="E28" i="11"/>
  <c r="S33" i="11"/>
  <c r="T33" i="11" s="1"/>
  <c r="AC33" i="11"/>
  <c r="AD33" i="11" s="1"/>
  <c r="AE38" i="11"/>
  <c r="AH38" i="11"/>
  <c r="F43" i="11"/>
  <c r="I43" i="11"/>
  <c r="L43" i="11"/>
  <c r="O43" i="11"/>
</calcChain>
</file>

<file path=xl/comments1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Y4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累计配比= 3.3498×气氨班累计质量÷（羟基乙腈班累计量×羟基乙腈平均浓度）
气氨班累计质量 --- FT-05141班累计量（kg）
羟基乙腈班累计量 --- FT-05213班累计量（m3）
羟基乙腈平均浓度 --- AT-04212平均值（kg/m3),或者采用一种方法算出羟基乙腈的累计质量。</t>
        </r>
      </text>
    </comment>
    <comment ref="AH20" authorId="0">
      <text>
        <r>
          <rPr>
            <sz val="6"/>
            <color indexed="81"/>
            <rFont val="宋体"/>
            <family val="3"/>
            <charset val="134"/>
            <b/>
          </rPr>
          <t xml:space="preserve">作者:</t>
        </r>
        <r>
          <rPr>
            <sz val="6"/>
            <color indexed="81"/>
            <rFont val="宋体"/>
            <family val="3"/>
            <charset val="134"/>
          </rPr>
          <t xml:space="preserve">
从“日常手写记录报表”中自动读取汇总的产量。</t>
        </r>
      </text>
    </comment>
    <comment ref="AM35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手工录入</t>
        </r>
      </text>
    </comment>
    <comment ref="B53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comments4.xml><?xml version="1.0" encoding="utf-8"?>
<comments xmlns="http://schemas.openxmlformats.org/spreadsheetml/2006/main">
  <authors>
    <author>作者</author>
  </authors>
  <commentList>
    <comment ref="X18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加设定值，与波动曲线整合在一起</t>
        </r>
      </text>
    </comment>
    <comment ref="B61" authorId="0">
      <text>
        <r>
          <rPr>
            <sz val="9"/>
            <color indexed="81"/>
            <rFont val="宋体"/>
            <family val="3"/>
            <charset val="134"/>
            <b/>
          </rPr>
          <t xml:space="preserve">作者:</t>
        </r>
        <r>
          <rPr>
            <sz val="9"/>
            <color indexed="81"/>
            <rFont val="宋体"/>
            <family val="3"/>
            <charset val="134"/>
          </rPr>
          <t xml:space="preserve">
分甲乙丙三班，并录入班长姓名</t>
        </r>
      </text>
    </comment>
  </commentList>
</comments>
</file>

<file path=xl/sharedStrings.xml><?xml version="1.0" encoding="utf-8"?>
<sst xmlns="http://schemas.openxmlformats.org/spreadsheetml/2006/main" count="1556" uniqueCount="472">
  <si>
    <t xml:space="preserve">LT-04441
(%)</t>
    <phoneticPr fontId="1" type="noConversion"/>
  </si>
  <si>
    <t xml:space="preserve">压力</t>
    <phoneticPr fontId="1" type="noConversion"/>
  </si>
  <si>
    <t xml:space="preserve">瞬时流量</t>
    <phoneticPr fontId="1" type="noConversion"/>
  </si>
  <si>
    <t xml:space="preserve">累计量</t>
    <phoneticPr fontId="1" type="noConversion"/>
  </si>
  <si>
    <t xml:space="preserve">/</t>
    <phoneticPr fontId="1" type="noConversion"/>
  </si>
  <si>
    <t xml:space="preserve">8:00</t>
    <phoneticPr fontId="1" type="noConversion"/>
  </si>
  <si>
    <t xml:space="preserve">气化温度</t>
    <phoneticPr fontId="1" type="noConversion"/>
  </si>
  <si>
    <t xml:space="preserve">气氨流量
FT-05141</t>
    <phoneticPr fontId="1" type="noConversion"/>
  </si>
  <si>
    <t xml:space="preserve">液氨气化</t>
    <phoneticPr fontId="1" type="noConversion"/>
  </si>
  <si>
    <t xml:space="preserve">预热后
温度</t>
    <phoneticPr fontId="1" type="noConversion"/>
  </si>
  <si>
    <t xml:space="preserve">羟基乙腈</t>
    <phoneticPr fontId="1" type="noConversion"/>
  </si>
  <si>
    <t xml:space="preserve">反应前</t>
    <phoneticPr fontId="1" type="noConversion"/>
  </si>
  <si>
    <t xml:space="preserve">温度</t>
    <phoneticPr fontId="1" type="noConversion"/>
  </si>
  <si>
    <t xml:space="preserve">反应中</t>
    <phoneticPr fontId="1" type="noConversion"/>
  </si>
  <si>
    <t xml:space="preserve">反应后</t>
    <phoneticPr fontId="1" type="noConversion"/>
  </si>
  <si>
    <t xml:space="preserve">液位</t>
    <phoneticPr fontId="1" type="noConversion"/>
  </si>
  <si>
    <t xml:space="preserve">闪发器</t>
    <phoneticPr fontId="1" type="noConversion"/>
  </si>
  <si>
    <t xml:space="preserve">冷凝液罐</t>
    <phoneticPr fontId="1" type="noConversion"/>
  </si>
  <si>
    <t xml:space="preserve">稀硫酸中和</t>
    <phoneticPr fontId="1" type="noConversion"/>
  </si>
  <si>
    <t xml:space="preserve">白班</t>
    <phoneticPr fontId="1" type="noConversion"/>
  </si>
  <si>
    <t xml:space="preserve">特殊
情况
说明</t>
    <phoneticPr fontId="1" type="noConversion"/>
  </si>
  <si>
    <t xml:space="preserve">AT-06111</t>
    <phoneticPr fontId="1" type="noConversion"/>
  </si>
  <si>
    <t xml:space="preserve">TT-06125</t>
    <phoneticPr fontId="1" type="noConversion"/>
  </si>
  <si>
    <t xml:space="preserve">TT-06126</t>
    <phoneticPr fontId="1" type="noConversion"/>
  </si>
  <si>
    <t xml:space="preserve">一次结晶分离</t>
    <phoneticPr fontId="1" type="noConversion"/>
  </si>
  <si>
    <t xml:space="preserve">TT-07152</t>
    <phoneticPr fontId="1" type="noConversion"/>
  </si>
  <si>
    <t xml:space="preserve">气相温度</t>
    <phoneticPr fontId="1" type="noConversion"/>
  </si>
  <si>
    <t xml:space="preserve">液相温度</t>
    <phoneticPr fontId="1" type="noConversion"/>
  </si>
  <si>
    <t xml:space="preserve">TT-07151</t>
    <phoneticPr fontId="1" type="noConversion"/>
  </si>
  <si>
    <t xml:space="preserve">TT-07126</t>
    <phoneticPr fontId="1" type="noConversion"/>
  </si>
  <si>
    <t xml:space="preserve">循环频率</t>
    <phoneticPr fontId="1" type="noConversion"/>
  </si>
  <si>
    <t xml:space="preserve">SIC-07P01</t>
    <phoneticPr fontId="1" type="noConversion"/>
  </si>
  <si>
    <t xml:space="preserve">一次母液进料</t>
    <phoneticPr fontId="1" type="noConversion"/>
  </si>
  <si>
    <t xml:space="preserve">脱色液进料</t>
    <phoneticPr fontId="1" type="noConversion"/>
  </si>
  <si>
    <t xml:space="preserve">温度
TT-09171</t>
    <phoneticPr fontId="1" type="noConversion"/>
  </si>
  <si>
    <t xml:space="preserve">真空水箱
液位</t>
    <phoneticPr fontId="1" type="noConversion"/>
  </si>
  <si>
    <t xml:space="preserve">真空泵
水温</t>
    <phoneticPr fontId="1" type="noConversion"/>
  </si>
  <si>
    <t xml:space="preserve">FT-07137</t>
    <phoneticPr fontId="1" type="noConversion"/>
  </si>
  <si>
    <t xml:space="preserve">低蒸结晶器</t>
    <phoneticPr fontId="1" type="noConversion"/>
  </si>
  <si>
    <t xml:space="preserve">LT-08181</t>
    <phoneticPr fontId="1" type="noConversion"/>
  </si>
  <si>
    <t xml:space="preserve">TT-08171</t>
    <phoneticPr fontId="1" type="noConversion"/>
  </si>
  <si>
    <t xml:space="preserve">SIC-08P01</t>
    <phoneticPr fontId="1" type="noConversion"/>
  </si>
  <si>
    <t xml:space="preserve">FT-08122</t>
    <phoneticPr fontId="1" type="noConversion"/>
  </si>
  <si>
    <t xml:space="preserve">FT-08132</t>
    <phoneticPr fontId="1" type="noConversion"/>
  </si>
  <si>
    <t xml:space="preserve">TT-06135</t>
    <phoneticPr fontId="1" type="noConversion"/>
  </si>
  <si>
    <t xml:space="preserve">TT-06136</t>
    <phoneticPr fontId="1" type="noConversion"/>
  </si>
  <si>
    <t xml:space="preserve">废液槽</t>
    <phoneticPr fontId="1" type="noConversion"/>
  </si>
  <si>
    <t xml:space="preserve">一次清洗水箱</t>
    <phoneticPr fontId="1" type="noConversion"/>
  </si>
  <si>
    <t xml:space="preserve">二次清洗水箱</t>
    <phoneticPr fontId="1" type="noConversion"/>
  </si>
  <si>
    <t xml:space="preserve">2025-11-12</t>
    <phoneticPr fontId="1" type="noConversion"/>
  </si>
  <si>
    <t xml:space="preserve">20:00</t>
    <phoneticPr fontId="1" type="noConversion"/>
  </si>
  <si>
    <t xml:space="preserve">氨+汽
混合温度</t>
    <phoneticPr fontId="1" type="noConversion"/>
  </si>
  <si>
    <t xml:space="preserve">配料罐
液位</t>
    <phoneticPr fontId="1" type="noConversion"/>
  </si>
  <si>
    <t xml:space="preserve">羟基乙腈
温度</t>
    <phoneticPr fontId="1" type="noConversion"/>
  </si>
  <si>
    <r>
      <t xml:space="preserve">TT-04751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</si>
  <si>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AT-04112
(g/L)</t>
    <phoneticPr fontId="1" type="noConversion"/>
  </si>
  <si>
    <t xml:space="preserve">原料
浓度</t>
    <phoneticPr fontId="1" type="noConversion"/>
  </si>
  <si>
    <t xml:space="preserve">原料
累计</t>
    <phoneticPr fontId="1" type="noConversion"/>
  </si>
  <si>
    <t xml:space="preserve">FQ-04111
(m3)</t>
    <phoneticPr fontId="1" type="noConversion"/>
  </si>
  <si>
    <t xml:space="preserve">脱盐水
累计</t>
    <phoneticPr fontId="1" type="noConversion"/>
  </si>
  <si>
    <t xml:space="preserve">FQ-04113
(m3)</t>
    <phoneticPr fontId="1" type="noConversion"/>
  </si>
  <si>
    <t xml:space="preserve">AT-04212
(g/L)</t>
    <phoneticPr fontId="1" type="noConversion"/>
  </si>
  <si>
    <r>
      <rPr>
        <sz val="6"/>
        <rFont val="宋体"/>
        <family val="1"/>
        <charset val="134"/>
      </rPr>
      <t xml:space="preserve">液氨流量
</t>
    </r>
    <r>
      <rPr>
        <sz val="6"/>
        <rFont val="Times New Roman"/>
        <family val="1"/>
      </rPr>
      <t xml:space="preserve">FT-05112</t>
    </r>
    <phoneticPr fontId="1" type="noConversion"/>
  </si>
  <si>
    <r>
      <rPr>
        <sz val="6"/>
        <rFont val="宋体"/>
        <family val="1"/>
        <charset val="134"/>
      </rPr>
      <t xml:space="preserve">瞬时流量（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</si>
  <si>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kg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</si>
  <si>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TT-05151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</si>
  <si>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气化压力</t>
    <phoneticPr fontId="1" type="noConversion"/>
  </si>
  <si>
    <t xml:space="preserve">PT-05115
(Mpa)</t>
    <phoneticPr fontId="1" type="noConversion"/>
  </si>
  <si>
    <r>
      <t xml:space="preserve">TT-05121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</si>
  <si>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TT-05131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</si>
  <si>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kg/h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</si>
  <si>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配料蒸汽流量
（</t>
    </r>
    <r>
      <rPr>
        <sz val="6"/>
        <rFont val="Times New Roman"/>
        <family val="1"/>
      </rPr>
      <t xml:space="preserve">FT-05142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</si>
  <si>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</si>
  <si>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累计量
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</si>
  <si>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TT-05143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</si>
  <si>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羟基乙腈
进料压力</t>
    <phoneticPr fontId="1" type="noConversion"/>
  </si>
  <si>
    <t xml:space="preserve">PT-05212
(Mpa)</t>
    <phoneticPr fontId="1" type="noConversion"/>
  </si>
  <si>
    <t xml:space="preserve">（氨+汽）混合</t>
    <phoneticPr fontId="1" type="noConversion"/>
  </si>
  <si>
    <r>
      <rPr>
        <sz val="6"/>
        <rFont val="宋体"/>
        <family val="1"/>
        <charset val="134"/>
      </rPr>
      <t xml:space="preserve">羟基乙腈进料流量
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</si>
  <si>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t xml:space="preserve">TT-05214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</si>
  <si>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摩尔比
（气氨/羟基乙腈）</t>
    <phoneticPr fontId="1" type="noConversion"/>
  </si>
  <si>
    <t xml:space="preserve">AT-05140</t>
    <phoneticPr fontId="1" type="noConversion"/>
  </si>
  <si>
    <t xml:space="preserve">/</t>
  </si>
  <si>
    <t xml:space="preserve">PT-05311
(Mpa)</t>
    <phoneticPr fontId="1" type="noConversion"/>
  </si>
  <si>
    <r>
      <t xml:space="preserve">TT-05312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</si>
  <si>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r>
      <t xml:space="preserve">TT-05300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</si>
  <si>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PT-05317
(Mpa)</t>
    <phoneticPr fontId="1" type="noConversion"/>
  </si>
  <si>
    <r>
      <t xml:space="preserve">TT-05316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</rPr>
      <t xml:space="preserve">)</t>
    </r>
    <phoneticPr fontId="1" type="noConversion"/>
  </si>
  <si>
    <t xml:space="preserve">反应液检测数据</t>
    <phoneticPr fontId="1" type="noConversion"/>
  </si>
  <si>
    <t xml:space="preserve">二乙腈含量</t>
    <phoneticPr fontId="1" type="noConversion"/>
  </si>
  <si>
    <t xml:space="preserve">化分
（%）</t>
    <phoneticPr fontId="1" type="noConversion"/>
  </si>
  <si>
    <t xml:space="preserve">色谱
（%）</t>
    <phoneticPr fontId="1" type="noConversion"/>
  </si>
  <si>
    <t xml:space="preserve">羟基乙腈残余</t>
    <phoneticPr fontId="1" type="noConversion"/>
  </si>
  <si>
    <t xml:space="preserve">（%）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</si>
  <si>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g/L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</si>
  <si>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瞬时流量
（</t>
    </r>
    <r>
      <rPr>
        <sz val="6"/>
        <rFont val="Times New Roman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</si>
  <si>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TT-05324
(℃)</t>
    <phoneticPr fontId="1" type="noConversion"/>
  </si>
  <si>
    <t xml:space="preserve">PT-05325
(MPA)</t>
    <phoneticPr fontId="1" type="noConversion"/>
  </si>
  <si>
    <t xml:space="preserve">瞬时流量
(L/h)</t>
    <phoneticPr fontId="1" type="noConversion"/>
  </si>
  <si>
    <t xml:space="preserve">LT-05344
(%)</t>
    <phoneticPr fontId="1" type="noConversion"/>
  </si>
  <si>
    <t xml:space="preserve">采出流量
FT-05343</t>
    <phoneticPr fontId="1" type="noConversion"/>
  </si>
  <si>
    <t xml:space="preserve">瞬时流量
（L/h）</t>
    <phoneticPr fontId="1" type="noConversion"/>
  </si>
  <si>
    <t xml:space="preserve">累积量
(m3)</t>
    <phoneticPr fontId="1" type="noConversion"/>
  </si>
  <si>
    <t xml:space="preserve">COD</t>
    <phoneticPr fontId="1" type="noConversion"/>
  </si>
  <si>
    <t xml:space="preserve">(mg/L)</t>
    <phoneticPr fontId="1" type="noConversion"/>
  </si>
  <si>
    <t xml:space="preserve">TCN/总腈</t>
    <phoneticPr fontId="1" type="noConversion"/>
  </si>
  <si>
    <r>
      <t xml:space="preserve">NH3-N
</t>
    </r>
    <r>
      <rPr>
        <sz val="6"/>
        <rFont val="宋体"/>
        <family val="1"/>
        <charset val="134"/>
      </rPr>
      <t xml:space="preserve">氨氮</t>
    </r>
    <phoneticPr fontId="1" type="noConversion"/>
  </si>
  <si>
    <r>
      <t xml:space="preserve">HCHO
</t>
    </r>
    <r>
      <rPr>
        <sz val="6"/>
        <rFont val="宋体"/>
        <family val="1"/>
        <charset val="134"/>
      </rPr>
      <t xml:space="preserve">甲醛</t>
    </r>
    <phoneticPr fontId="1" type="noConversion"/>
  </si>
  <si>
    <t xml:space="preserve">闪发器冷凝液检测数据记录</t>
    <phoneticPr fontId="1" type="noConversion"/>
  </si>
  <si>
    <t xml:space="preserve">累计量
（L）</t>
    <phoneticPr fontId="1" type="noConversion"/>
  </si>
  <si>
    <r>
      <rPr>
        <sz val="6"/>
        <rFont val="宋体"/>
        <family val="1"/>
        <charset val="134"/>
      </rPr>
      <t xml:space="preserve">硫酸流量
</t>
    </r>
    <r>
      <rPr>
        <sz val="6"/>
        <rFont val="Times New Roman"/>
        <family val="1"/>
      </rPr>
      <t xml:space="preserve">FT-05411</t>
    </r>
    <phoneticPr fontId="1" type="noConversion"/>
  </si>
  <si>
    <t xml:space="preserve">硫酸桶
液位</t>
  </si>
  <si>
    <t xml:space="preserve">LT-05417
（%）</t>
  </si>
  <si>
    <t xml:space="preserve">真空度</t>
  </si>
  <si>
    <t xml:space="preserve">PT-05332
(Mpa)</t>
  </si>
  <si>
    <t xml:space="preserve">pH</t>
  </si>
  <si>
    <t xml:space="preserve">预冷器
液位</t>
    <phoneticPr fontId="1" type="noConversion"/>
  </si>
  <si>
    <t xml:space="preserve">LT-06945
(%)</t>
    <phoneticPr fontId="1" type="noConversion"/>
  </si>
  <si>
    <t xml:space="preserve">预冷器
温度</t>
    <phoneticPr fontId="1" type="noConversion"/>
  </si>
  <si>
    <t xml:space="preserve">TT-06971
(℃)</t>
    <phoneticPr fontId="1" type="noConversion"/>
  </si>
  <si>
    <t xml:space="preserve">SIC-06P01
(HZ)</t>
    <phoneticPr fontId="1" type="noConversion"/>
  </si>
  <si>
    <t xml:space="preserve">SIC-06P02
(HZ)</t>
    <phoneticPr fontId="1" type="noConversion"/>
  </si>
  <si>
    <t xml:space="preserve">料液pH</t>
    <phoneticPr fontId="1" type="noConversion"/>
  </si>
  <si>
    <t xml:space="preserve">预冷器</t>
    <phoneticPr fontId="1" type="noConversion"/>
  </si>
  <si>
    <t xml:space="preserve">结晶器
温度</t>
    <phoneticPr fontId="1" type="noConversion"/>
  </si>
  <si>
    <t xml:space="preserve">TT-06171
(℃)</t>
    <phoneticPr fontId="1" type="noConversion"/>
  </si>
  <si>
    <t xml:space="preserve">结晶器
液位</t>
    <phoneticPr fontId="1" type="noConversion"/>
  </si>
  <si>
    <t xml:space="preserve">LT-06181
(%)</t>
    <phoneticPr fontId="1" type="noConversion"/>
  </si>
  <si>
    <t xml:space="preserve">FT-06122
(m3/h)</t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</si>
  <si>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</si>
  <si>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</si>
  <si>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</si>
  <si>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t xml:space="preserve">TT-06125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</si>
  <si>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rPr>
        <sz val="6"/>
        <rFont val="宋体"/>
        <family val="1"/>
        <charset val="134"/>
      </rPr>
      <t xml:space="preserve">冷冻水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</si>
  <si>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降温后
温度</t>
    </r>
    <r>
      <rPr>
        <sz val="6"/>
        <rFont val="Times New Roman"/>
        <family val="1"/>
        <charset val="134"/>
      </rPr>
      <t xml:space="preserve">B</t>
    </r>
    <phoneticPr fontId="1" type="noConversion"/>
  </si>
  <si>
    <t xml:space="preserve">SIC-06P03
(HZ)</t>
    <phoneticPr fontId="1" type="noConversion"/>
  </si>
  <si>
    <t xml:space="preserve">FT-06132
(m3/h)</t>
    <phoneticPr fontId="1" type="noConversion"/>
  </si>
  <si>
    <r>
      <t xml:space="preserve">TT-06135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</si>
  <si>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r>
      <t xml:space="preserve">TT-06136
(</t>
    </r>
    <r>
      <rPr>
        <sz val="6"/>
        <rFont val="Segoe UI Symbol"/>
        <family val="1"/>
      </rPr>
      <t xml:space="preserve">℃</t>
    </r>
    <r>
      <rPr>
        <sz val="6"/>
        <rFont val="Times New Roman"/>
        <family val="1"/>
        <charset val="134"/>
      </rPr>
      <t xml:space="preserve">)</t>
    </r>
    <phoneticPr fontId="1" type="noConversion"/>
  </si>
  <si>
    <t xml:space="preserve">结晶液
密度</t>
    <phoneticPr fontId="1" type="noConversion"/>
  </si>
  <si>
    <t xml:space="preserve">AT-06149
(Kg/m3)</t>
    <phoneticPr fontId="1" type="noConversion"/>
  </si>
  <si>
    <t xml:space="preserve">冷却循环频率A</t>
    <phoneticPr fontId="1" type="noConversion"/>
  </si>
  <si>
    <t xml:space="preserve">冷却循环频率B</t>
    <phoneticPr fontId="1" type="noConversion"/>
  </si>
  <si>
    <t xml:space="preserve">冷却循环流量B</t>
    <phoneticPr fontId="1" type="noConversion"/>
  </si>
  <si>
    <t xml:space="preserve">冷却循环流量A</t>
    <phoneticPr fontId="1" type="noConversion"/>
  </si>
  <si>
    <t xml:space="preserve">物料循环
流量</t>
    <phoneticPr fontId="1" type="noConversion"/>
  </si>
  <si>
    <t xml:space="preserve">AT-06149
(m3/h)</t>
    <phoneticPr fontId="1" type="noConversion"/>
  </si>
  <si>
    <t xml:space="preserve">一次结晶器</t>
    <phoneticPr fontId="1" type="noConversion"/>
  </si>
  <si>
    <t xml:space="preserve">排料流量
FT-06149</t>
    <phoneticPr fontId="1" type="noConversion"/>
  </si>
  <si>
    <t xml:space="preserve">即时流量
（L/h）</t>
    <phoneticPr fontId="1" type="noConversion"/>
  </si>
  <si>
    <t xml:space="preserve">累计量
（m3）</t>
    <phoneticPr fontId="1" type="noConversion"/>
  </si>
  <si>
    <t xml:space="preserve">溢流槽
液位</t>
    <phoneticPr fontId="1" type="noConversion"/>
  </si>
  <si>
    <t xml:space="preserve">LT-06471
(%)</t>
    <phoneticPr fontId="1" type="noConversion"/>
  </si>
  <si>
    <t xml:space="preserve">母液槽
液位</t>
    <phoneticPr fontId="1" type="noConversion"/>
  </si>
  <si>
    <t xml:space="preserve">LT-06524
(%)</t>
    <phoneticPr fontId="1" type="noConversion"/>
  </si>
  <si>
    <t xml:space="preserve">一次分离
产量</t>
    <phoneticPr fontId="1" type="noConversion"/>
  </si>
  <si>
    <t xml:space="preserve">（Kg）</t>
    <phoneticPr fontId="1" type="noConversion"/>
  </si>
  <si>
    <t xml:space="preserve">瞬时
配比</t>
    <phoneticPr fontId="1" type="noConversion"/>
  </si>
  <si>
    <t xml:space="preserve">累计
配比</t>
    <phoneticPr fontId="1" type="noConversion"/>
  </si>
  <si>
    <t xml:space="preserve">热点
温度</t>
    <phoneticPr fontId="1" type="noConversion"/>
  </si>
  <si>
    <t xml:space="preserve">累计量
(m3)</t>
  </si>
  <si>
    <t xml:space="preserve">采出流量
FT-05323</t>
    <phoneticPr fontId="1" type="noConversion"/>
  </si>
  <si>
    <t xml:space="preserve">配后
浓度</t>
    <phoneticPr fontId="1" type="noConversion"/>
  </si>
  <si>
    <t xml:space="preserve">羟基乙腈配料</t>
    <phoneticPr fontId="1" type="noConversion"/>
  </si>
  <si>
    <t xml:space="preserve">一级     加热器
温度</t>
    <phoneticPr fontId="1" type="noConversion"/>
  </si>
  <si>
    <t xml:space="preserve">二级       加热器
温度</t>
    <phoneticPr fontId="1" type="noConversion"/>
  </si>
  <si>
    <t xml:space="preserve">甘氨腈</t>
    <phoneticPr fontId="1" type="noConversion"/>
  </si>
  <si>
    <t xml:space="preserve">三乙腈</t>
    <phoneticPr fontId="1" type="noConversion"/>
  </si>
  <si>
    <t xml:space="preserve">高效
分离器</t>
  </si>
  <si>
    <t xml:space="preserve">压力</t>
  </si>
  <si>
    <t xml:space="preserve">PT-05327
(Mpa)</t>
  </si>
  <si>
    <t xml:space="preserve">真空
系统</t>
    <phoneticPr fontId="1" type="noConversion"/>
  </si>
  <si>
    <t xml:space="preserve">硫铵
含量</t>
    <phoneticPr fontId="1" type="noConversion"/>
  </si>
  <si>
    <t xml:space="preserve">一次母液分析数据</t>
    <phoneticPr fontId="1" type="noConversion"/>
  </si>
  <si>
    <t xml:space="preserve">TT-06311
(℃)</t>
    <phoneticPr fontId="1" type="noConversion"/>
  </si>
  <si>
    <t xml:space="preserve">LT-06315
(%)</t>
    <phoneticPr fontId="1" type="noConversion"/>
  </si>
  <si>
    <t xml:space="preserve">TT-07143
(℃)</t>
    <phoneticPr fontId="1" type="noConversion"/>
  </si>
  <si>
    <t xml:space="preserve">LT-07144
(%)</t>
    <phoneticPr fontId="1" type="noConversion"/>
  </si>
  <si>
    <t xml:space="preserve">真空度
PT-07145</t>
    <phoneticPr fontId="1" type="noConversion"/>
  </si>
  <si>
    <t xml:space="preserve">PT-07145
(Mpa)</t>
    <phoneticPr fontId="1" type="noConversion"/>
  </si>
  <si>
    <t xml:space="preserve">低蒸真空系统</t>
    <phoneticPr fontId="1" type="noConversion"/>
  </si>
  <si>
    <t xml:space="preserve">时
间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</si>
  <si>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L/h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</si>
  <si>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Times New Roman"/>
        <family val="1"/>
      </rPr>
      <t xml:space="preserve">m3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</si>
  <si>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（℃）</t>
  </si>
  <si>
    <t xml:space="preserve">（℃）</t>
    <phoneticPr fontId="1" type="noConversion"/>
  </si>
  <si>
    <t xml:space="preserve">瞬时流量
FT-06611</t>
    <phoneticPr fontId="1" type="noConversion"/>
  </si>
  <si>
    <t xml:space="preserve">累计量
FQ-06611</t>
    <phoneticPr fontId="1" type="noConversion"/>
  </si>
  <si>
    <t xml:space="preserve">瞬时流量
FT-06524</t>
    <phoneticPr fontId="1" type="noConversion"/>
  </si>
  <si>
    <t xml:space="preserve">累计量
FQ-06524</t>
    <phoneticPr fontId="1" type="noConversion"/>
  </si>
  <si>
    <t xml:space="preserve">(HZ)</t>
    <phoneticPr fontId="1" type="noConversion"/>
  </si>
  <si>
    <t xml:space="preserve">加热温度</t>
    <phoneticPr fontId="1" type="noConversion"/>
  </si>
  <si>
    <t xml:space="preserve">蒸汽流量</t>
    <phoneticPr fontId="1" type="noConversion"/>
  </si>
  <si>
    <r>
      <rPr>
        <sz val="6"/>
        <rFont val="宋体"/>
        <family val="1"/>
        <charset val="134"/>
      </rPr>
      <t xml:space="preserve">瞬时流量
</t>
    </r>
    <r>
      <rPr>
        <sz val="6"/>
        <rFont val="Times New Roman"/>
        <family val="1"/>
      </rPr>
      <t xml:space="preserve">FT-07126</t>
    </r>
    <phoneticPr fontId="1" type="noConversion"/>
  </si>
  <si>
    <r>
      <rPr>
        <sz val="6"/>
        <rFont val="宋体"/>
        <family val="1"/>
        <charset val="134"/>
      </rPr>
      <t xml:space="preserve">累计量
</t>
    </r>
    <r>
      <rPr>
        <sz val="6"/>
        <rFont val="Times New Roman"/>
        <family val="1"/>
      </rPr>
      <t xml:space="preserve">FQ-07126</t>
    </r>
    <phoneticPr fontId="1" type="noConversion"/>
  </si>
  <si>
    <t xml:space="preserve">(m3/h)</t>
    <phoneticPr fontId="1" type="noConversion"/>
  </si>
  <si>
    <t xml:space="preserve">(m3)</t>
    <phoneticPr fontId="1" type="noConversion"/>
  </si>
  <si>
    <t xml:space="preserve">浓缩液
密度</t>
    <phoneticPr fontId="1" type="noConversion"/>
  </si>
  <si>
    <t xml:space="preserve">(kg/m3)</t>
    <phoneticPr fontId="1" type="noConversion"/>
  </si>
  <si>
    <t xml:space="preserve">低蒸出料
FT-07122</t>
    <phoneticPr fontId="1" type="noConversion"/>
  </si>
  <si>
    <t xml:space="preserve">（m3/h）</t>
    <phoneticPr fontId="1" type="noConversion"/>
  </si>
  <si>
    <t xml:space="preserve">冷凝水采出
FT-07174-2</t>
    <phoneticPr fontId="1" type="noConversion"/>
  </si>
  <si>
    <t xml:space="preserve">冷凝液采出
FT-07174-1</t>
    <phoneticPr fontId="1" type="noConversion"/>
  </si>
  <si>
    <t xml:space="preserve">(%)</t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</si>
  <si>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</si>
  <si>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</si>
  <si>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</si>
  <si>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  <charset val="134"/>
      </rPr>
      <t xml:space="preserve">A</t>
    </r>
    <phoneticPr fontId="1" type="noConversion"/>
  </si>
  <si>
    <r>
      <rPr>
        <sz val="6"/>
        <rFont val="宋体"/>
        <family val="1"/>
        <charset val="134"/>
      </rPr>
      <t xml:space="preserve">外循环
频率</t>
    </r>
    <r>
      <rPr>
        <sz val="6"/>
        <rFont val="Times New Roman"/>
        <family val="1"/>
      </rPr>
      <t xml:space="preserve">B</t>
    </r>
    <phoneticPr fontId="1" type="noConversion"/>
  </si>
  <si>
    <t xml:space="preserve">SIC-08P03</t>
    <phoneticPr fontId="1" type="noConversion"/>
  </si>
  <si>
    <r>
      <rPr>
        <sz val="6"/>
        <rFont val="宋体"/>
        <family val="1"/>
        <charset val="134"/>
      </rPr>
      <t xml:space="preserve">外循环
流量</t>
    </r>
    <r>
      <rPr>
        <sz val="6"/>
        <rFont val="Times New Roman"/>
        <family val="1"/>
        <charset val="134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</si>
  <si>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冷却水
温度</t>
    </r>
    <r>
      <rPr>
        <sz val="6"/>
        <rFont val="Times New Roman"/>
        <family val="1"/>
      </rPr>
      <t xml:space="preserve">B</t>
    </r>
    <phoneticPr fontId="1" type="noConversion"/>
  </si>
  <si>
    <r>
      <rPr>
        <sz val="6"/>
        <rFont val="宋体"/>
        <family val="1"/>
        <charset val="134"/>
      </rPr>
      <t xml:space="preserve">冷却后
温度</t>
    </r>
    <r>
      <rPr>
        <sz val="6"/>
        <rFont val="Times New Roman"/>
        <family val="1"/>
      </rPr>
      <t xml:space="preserve">B</t>
    </r>
    <phoneticPr fontId="1" type="noConversion"/>
  </si>
  <si>
    <t xml:space="preserve">二次
分离</t>
    <phoneticPr fontId="1" type="noConversion"/>
  </si>
  <si>
    <t xml:space="preserve">累计
产量</t>
    <phoneticPr fontId="1" type="noConversion"/>
  </si>
  <si>
    <t xml:space="preserve">(kg)</t>
    <phoneticPr fontId="1" type="noConversion"/>
  </si>
  <si>
    <t xml:space="preserve">二次结晶器/分离</t>
    <phoneticPr fontId="1" type="noConversion"/>
  </si>
  <si>
    <t xml:space="preserve">液位
LT-08522</t>
    <phoneticPr fontId="1" type="noConversion"/>
  </si>
  <si>
    <t xml:space="preserve">排放流量
FT-08523</t>
    <phoneticPr fontId="1" type="noConversion"/>
  </si>
  <si>
    <t xml:space="preserve">排放累计
FQ-08523</t>
    <phoneticPr fontId="1" type="noConversion"/>
  </si>
  <si>
    <t xml:space="preserve">(℃)</t>
    <phoneticPr fontId="1" type="noConversion"/>
  </si>
  <si>
    <t xml:space="preserve">LT-08315</t>
    <phoneticPr fontId="1" type="noConversion"/>
  </si>
  <si>
    <t xml:space="preserve">TT-08311</t>
    <phoneticPr fontId="1" type="noConversion"/>
  </si>
  <si>
    <t xml:space="preserve">脱色数据记录</t>
    <phoneticPr fontId="1" type="noConversion"/>
  </si>
  <si>
    <t xml:space="preserve">脱色前
透光率</t>
    <phoneticPr fontId="1" type="noConversion"/>
  </si>
  <si>
    <t xml:space="preserve">脱色后
透光率</t>
    <phoneticPr fontId="1" type="noConversion"/>
  </si>
  <si>
    <t xml:space="preserve">甲班：熊茂盛</t>
    <phoneticPr fontId="1" type="noConversion"/>
  </si>
  <si>
    <t xml:space="preserve">二乙腈中试生产过程记录表</t>
    <phoneticPr fontId="1" type="noConversion"/>
  </si>
  <si>
    <t xml:space="preserve">循环
频率A</t>
    <phoneticPr fontId="1" type="noConversion"/>
  </si>
  <si>
    <t xml:space="preserve">循环
频率B</t>
    <phoneticPr fontId="1" type="noConversion"/>
  </si>
  <si>
    <t xml:space="preserve">二乙腈中试生产过程曲线</t>
    <phoneticPr fontId="1" type="noConversion"/>
  </si>
  <si>
    <r>
      <rPr>
        <sz val="6"/>
        <rFont val="宋体"/>
        <family val="1"/>
        <charset val="134"/>
      </rPr>
      <t xml:space="preserve">曲线02： 羟基乙腈浓度曲线（</t>
    </r>
    <r>
      <rPr>
        <sz val="6"/>
        <rFont val="Times New Roman"/>
        <family val="1"/>
      </rPr>
      <t xml:space="preserve">AT-04112 + AT-04212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</si>
  <si>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曲线01： 羟基乙腈配料罐温度曲线（</t>
    </r>
    <r>
      <rPr>
        <sz val="6"/>
        <rFont val="Times New Roman"/>
        <family val="1"/>
      </rPr>
      <t xml:space="preserve">TT-04751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</si>
  <si>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曲线03： 液氨汽化器液位曲线（LT-05113）</t>
    <phoneticPr fontId="1" type="noConversion"/>
  </si>
  <si>
    <r>
      <rPr>
        <sz val="6"/>
        <rFont val="宋体"/>
        <family val="1"/>
        <charset val="134"/>
      </rPr>
      <t xml:space="preserve">曲线04： 液氨汽化器温度曲线（</t>
    </r>
    <r>
      <rPr>
        <sz val="6"/>
        <rFont val="Times New Roman"/>
        <family val="1"/>
      </rPr>
      <t xml:space="preserve">TT-05151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</si>
  <si>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曲线05： 液氨汽化器压力曲线（PT-05115）</t>
    <phoneticPr fontId="1" type="noConversion"/>
  </si>
  <si>
    <r>
      <rPr>
        <sz val="6"/>
        <rFont val="宋体"/>
        <family val="1"/>
        <charset val="134"/>
      </rPr>
      <t xml:space="preserve">曲线06： 气氨一级加热器温度曲线（</t>
    </r>
    <r>
      <rPr>
        <sz val="6"/>
        <rFont val="Times New Roman"/>
        <family val="1"/>
      </rPr>
      <t xml:space="preserve">TT-05121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</si>
  <si>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3"/>
        <charset val="134"/>
      </rPr>
      <t xml:space="preserve">曲线07： 气氨流量曲线（</t>
    </r>
    <r>
      <rPr>
        <sz val="6"/>
        <rFont val="Times New Roman"/>
        <family val="1"/>
      </rPr>
      <t xml:space="preserve">FT-05141</t>
    </r>
    <r>
      <rPr>
        <sz val="6"/>
        <rFont val="宋体"/>
        <family val="3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</si>
  <si>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曲线08： 气氨二级加热器温度曲线（</t>
    </r>
    <r>
      <rPr>
        <sz val="6"/>
        <rFont val="Times New Roman"/>
        <family val="1"/>
      </rPr>
      <t xml:space="preserve">TT-05131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</si>
  <si>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曲线09： 气氨配汽后温度曲线（</t>
    </r>
    <r>
      <rPr>
        <sz val="6"/>
        <rFont val="Times New Roman"/>
        <family val="1"/>
      </rPr>
      <t xml:space="preserve">TT-05143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</si>
  <si>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曲线10： 气氨配汽蒸汽流量曲线（FT-05142）</t>
    <phoneticPr fontId="1" type="noConversion"/>
  </si>
  <si>
    <r>
      <rPr>
        <sz val="6"/>
        <rFont val="宋体"/>
        <family val="1"/>
        <charset val="134"/>
      </rPr>
      <t xml:space="preserve">曲线11： 羟基乙腈温度曲线（</t>
    </r>
    <r>
      <rPr>
        <sz val="6"/>
        <rFont val="Times New Roman"/>
        <family val="1"/>
      </rPr>
      <t xml:space="preserve">FT-05214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</si>
  <si>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曲线12： 羟基乙腈流量曲线（</t>
    </r>
    <r>
      <rPr>
        <sz val="6"/>
        <rFont val="Times New Roman"/>
        <family val="1"/>
      </rPr>
      <t xml:space="preserve">FT-05213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</si>
  <si>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曲线13： 气氨/羟基乙腈摩尔比曲线（</t>
    </r>
    <r>
      <rPr>
        <sz val="6"/>
        <rFont val="Times New Roman"/>
        <family val="1"/>
      </rPr>
      <t xml:space="preserve">AT-05140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</si>
  <si>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曲线14： 反应前压力曲线（PT-05311）</t>
    <phoneticPr fontId="1" type="noConversion"/>
  </si>
  <si>
    <t xml:space="preserve">曲线15：反应前温度曲线（TT-05312）</t>
    <phoneticPr fontId="1" type="noConversion"/>
  </si>
  <si>
    <r>
      <rPr>
        <sz val="6"/>
        <rFont val="宋体"/>
        <family val="1"/>
        <charset val="134"/>
      </rPr>
      <t xml:space="preserve">曲线16： 反应温度曲线（</t>
    </r>
    <r>
      <rPr>
        <sz val="6"/>
        <rFont val="Times New Roman"/>
        <family val="1"/>
      </rPr>
      <t xml:space="preserve">TT-05300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</si>
  <si>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曲线17： 反应后压力曲线（</t>
    </r>
    <r>
      <rPr>
        <sz val="6"/>
        <rFont val="Times New Roman"/>
        <family val="1"/>
      </rPr>
      <t xml:space="preserve">PT-05317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</si>
  <si>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曲线18： 稀硫酸流量曲线（</t>
    </r>
    <r>
      <rPr>
        <sz val="6"/>
        <rFont val="Times New Roman"/>
        <family val="1"/>
      </rPr>
      <t xml:space="preserve">FT-05411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</si>
  <si>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曲线19： 闪发器pH曲线（AT-05411）</t>
    <phoneticPr fontId="1" type="noConversion"/>
  </si>
  <si>
    <t xml:space="preserve">曲线20： 闪发器温度曲线（TT-05352）</t>
    <phoneticPr fontId="1" type="noConversion"/>
  </si>
  <si>
    <r>
      <rPr>
        <sz val="6"/>
        <rFont val="宋体"/>
        <family val="1"/>
        <charset val="134"/>
      </rPr>
      <t xml:space="preserve">曲线21： 闪发器真空度曲线（</t>
    </r>
    <r>
      <rPr>
        <sz val="6"/>
        <rFont val="Times New Roman"/>
        <family val="1"/>
      </rPr>
      <t xml:space="preserve">PT-05325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</si>
  <si>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曲线22： 预冷器</t>
    </r>
    <r>
      <rPr>
        <sz val="6"/>
        <rFont val="Times New Roman"/>
        <family val="1"/>
      </rPr>
      <t xml:space="preserve">pH</t>
    </r>
    <r>
      <rPr>
        <sz val="6"/>
        <rFont val="宋体"/>
        <family val="1"/>
        <charset val="134"/>
      </rPr>
      <t xml:space="preserve">曲线（</t>
    </r>
    <r>
      <rPr>
        <sz val="6"/>
        <rFont val="Times New Roman"/>
        <family val="1"/>
      </rPr>
      <t xml:space="preserve">AT-06111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</si>
  <si>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曲线23： 预冷器温度曲线（</t>
    </r>
    <r>
      <rPr>
        <sz val="6"/>
        <rFont val="Times New Roman"/>
        <family val="1"/>
      </rPr>
      <t xml:space="preserve">TT-06971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</si>
  <si>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曲线24： 一次结晶器温度曲线（TT-06171）</t>
    <phoneticPr fontId="1" type="noConversion"/>
  </si>
  <si>
    <t xml:space="preserve">曲线25： 一次结晶器间壁温差曲线（TT-06171-TT-06125或TT-06171-TT-06135）</t>
    <phoneticPr fontId="1" type="noConversion"/>
  </si>
  <si>
    <r>
      <rPr>
        <sz val="6"/>
        <rFont val="宋体"/>
        <family val="1"/>
        <charset val="134"/>
      </rPr>
      <t xml:space="preserve">曲线26： 一次结晶外冷器温差曲线（</t>
    </r>
    <r>
      <rPr>
        <sz val="6"/>
        <rFont val="Times New Roman"/>
        <family val="1"/>
      </rPr>
      <t xml:space="preserve">TT-06171-06126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TT-06171-TT-06136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</si>
  <si>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曲线27： 一次结晶外循环流量曲线（</t>
    </r>
    <r>
      <rPr>
        <sz val="6"/>
        <rFont val="Times New Roman"/>
        <family val="1"/>
      </rPr>
      <t xml:space="preserve">FT-06122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FT-06132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</si>
  <si>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曲线28： 一次结晶固液比曲线（密度：</t>
    </r>
    <r>
      <rPr>
        <sz val="6"/>
        <rFont val="Times New Roman"/>
        <family val="1"/>
      </rPr>
      <t xml:space="preserve">FT-06149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</si>
  <si>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曲线29： 一次清洗水箱液位曲线（LT-06315）</t>
    <phoneticPr fontId="1" type="noConversion"/>
  </si>
  <si>
    <t xml:space="preserve">曲线30： 一次清洗水箱温度曲线（TT-06311）</t>
    <phoneticPr fontId="1" type="noConversion"/>
  </si>
  <si>
    <r>
      <rPr>
        <sz val="6"/>
        <rFont val="宋体"/>
        <family val="1"/>
        <charset val="134"/>
      </rPr>
      <t xml:space="preserve">曲线31： 低蒸结晶器液位曲线（</t>
    </r>
    <r>
      <rPr>
        <sz val="6"/>
        <rFont val="Times New Roman"/>
        <family val="1"/>
      </rPr>
      <t xml:space="preserve">LT-07171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</si>
  <si>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曲线32： 低蒸结晶器温度曲线（</t>
    </r>
    <r>
      <rPr>
        <sz val="6"/>
        <rFont val="Times New Roman"/>
        <family val="1"/>
      </rPr>
      <t xml:space="preserve">TT-07152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</si>
  <si>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曲线33： 低蒸结晶器真空度曲线（</t>
    </r>
    <r>
      <rPr>
        <sz val="6"/>
        <rFont val="Times New Roman"/>
        <family val="1"/>
      </rPr>
      <t xml:space="preserve">PT-07145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</si>
  <si>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曲线34： 低蒸结晶器浓度曲线（密度：AT-07137）</t>
    <phoneticPr fontId="1" type="noConversion"/>
  </si>
  <si>
    <t xml:space="preserve">曲线35： 二次结晶器温度曲线（TT-08171）</t>
    <phoneticPr fontId="1" type="noConversion"/>
  </si>
  <si>
    <r>
      <rPr>
        <sz val="6"/>
        <rFont val="宋体"/>
        <family val="1"/>
        <charset val="134"/>
      </rPr>
      <t xml:space="preserve">曲线36： 二次结晶器间壁温差曲线（</t>
    </r>
    <r>
      <rPr>
        <sz val="6"/>
        <rFont val="Times New Roman"/>
        <family val="1"/>
      </rPr>
      <t xml:space="preserve">TT-08171-TT-08125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TT-08171-TT-08135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</si>
  <si>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曲线37： 二次结晶外冷器温差曲线（</t>
    </r>
    <r>
      <rPr>
        <sz val="6"/>
        <rFont val="Times New Roman"/>
        <family val="1"/>
      </rPr>
      <t xml:space="preserve">TT-08171-TT-08126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TT-08171-TT-08136</t>
    </r>
    <r>
      <rPr>
        <sz val="6"/>
        <rFont val="宋体"/>
        <family val="1"/>
        <charset val="134"/>
      </rPr>
      <t xml:space="preserve">）</t>
    </r>
    <phoneticPr fontId="1" type="noConversion"/>
  </si>
  <si>
    <r>
      <rPr>
        <sz val="6"/>
        <rFont val="宋体"/>
        <family val="1"/>
        <charset val="134"/>
      </rPr>
      <t xml:space="preserve">曲线38： 二次结晶器外循环流量曲线（</t>
    </r>
    <r>
      <rPr>
        <sz val="6"/>
        <rFont val="Times New Roman"/>
        <family val="1"/>
      </rPr>
      <t xml:space="preserve">FT-08122</t>
    </r>
    <r>
      <rPr>
        <sz val="6"/>
        <rFont val="宋体"/>
        <family val="1"/>
        <charset val="134"/>
      </rPr>
      <t xml:space="preserve">或</t>
    </r>
    <r>
      <rPr>
        <sz val="6"/>
        <rFont val="Times New Roman"/>
        <family val="1"/>
      </rPr>
      <t xml:space="preserve">FT-08132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</si>
  <si>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曲线39： 二次清洗水箱液位曲线（LT-08315）</t>
    <phoneticPr fontId="1" type="noConversion"/>
  </si>
  <si>
    <t xml:space="preserve">曲线40： 二次清洗水箱温度曲线（TT-08311）</t>
    <phoneticPr fontId="1" type="noConversion"/>
  </si>
  <si>
    <t xml:space="preserve">22:00</t>
    <phoneticPr fontId="1" type="noConversion"/>
  </si>
  <si>
    <t xml:space="preserve">0:00</t>
    <phoneticPr fontId="1" type="noConversion"/>
  </si>
  <si>
    <t xml:space="preserve">2:00</t>
    <phoneticPr fontId="1" type="noConversion"/>
  </si>
  <si>
    <t xml:space="preserve">夜班</t>
    <phoneticPr fontId="1" type="noConversion"/>
  </si>
  <si>
    <t xml:space="preserve">乙班：曹平</t>
    <phoneticPr fontId="1" type="noConversion"/>
  </si>
  <si>
    <t xml:space="preserve">低蒸进料</t>
    <phoneticPr fontId="1" type="noConversion"/>
  </si>
  <si>
    <t xml:space="preserve">瞬时流量
FT-07111</t>
    <phoneticPr fontId="1" type="noConversion"/>
  </si>
  <si>
    <t xml:space="preserve">累计量
FQ-07111</t>
    <phoneticPr fontId="1" type="noConversion"/>
  </si>
  <si>
    <r>
      <rPr>
        <sz val="6"/>
        <rFont val="宋体"/>
        <family val="1"/>
        <charset val="134"/>
      </rPr>
      <t xml:space="preserve">（</t>
    </r>
    <r>
      <rPr>
        <sz val="6"/>
        <rFont val="Segoe UI Symbol"/>
        <family val="1"/>
      </rPr>
      <t xml:space="preserve">m3/h</t>
    </r>
    <r>
      <rPr>
        <sz val="6"/>
        <rFont val="宋体"/>
        <family val="1"/>
        <charset val="134"/>
      </rPr>
      <t xml:space="preserve">）</t>
    </r>
    <phoneticPr fontId="1" type="noConversion"/>
  </si>
  <si>
    <t xml:space="preserve">kg/t</t>
    <phoneticPr fontId="1" type="noConversion"/>
  </si>
  <si>
    <t xml:space="preserve">kg</t>
    <phoneticPr fontId="1" type="noConversion"/>
  </si>
  <si>
    <t xml:space="preserve">t</t>
    <phoneticPr fontId="1" type="noConversion"/>
  </si>
  <si>
    <t xml:space="preserve">g/L</t>
    <phoneticPr fontId="1" type="noConversion"/>
  </si>
  <si>
    <t xml:space="preserve">%</t>
    <phoneticPr fontId="1" type="noConversion"/>
  </si>
  <si>
    <t xml:space="preserve">脱色前后
差值</t>
    <phoneticPr fontId="1" type="noConversion"/>
  </si>
  <si>
    <t xml:space="preserve">脱色后
含量</t>
    <phoneticPr fontId="1" type="noConversion"/>
  </si>
  <si>
    <t xml:space="preserve">脱色前
含量</t>
    <phoneticPr fontId="1" type="noConversion"/>
  </si>
  <si>
    <t xml:space="preserve">活性炭
型号</t>
    <phoneticPr fontId="1" type="noConversion"/>
  </si>
  <si>
    <t xml:space="preserve">活性炭
单耗</t>
    <phoneticPr fontId="1" type="noConversion"/>
  </si>
  <si>
    <t xml:space="preserve">活性炭
消耗</t>
    <phoneticPr fontId="1" type="noConversion"/>
  </si>
  <si>
    <t xml:space="preserve">脱色液
产量</t>
    <phoneticPr fontId="1" type="noConversion"/>
  </si>
  <si>
    <t xml:space="preserve">脱色前后硫铵含量变化</t>
    <phoneticPr fontId="1" type="noConversion"/>
  </si>
  <si>
    <t xml:space="preserve">脱色前后羟基乙腈变化</t>
    <phoneticPr fontId="1" type="noConversion"/>
  </si>
  <si>
    <t xml:space="preserve">脱色前后二乙腈变化</t>
    <phoneticPr fontId="1" type="noConversion"/>
  </si>
  <si>
    <t xml:space="preserve">脱色系统</t>
    <phoneticPr fontId="1" type="noConversion"/>
  </si>
  <si>
    <t xml:space="preserve">0.8</t>
    <phoneticPr fontId="1" type="noConversion"/>
  </si>
  <si>
    <t xml:space="preserve">t/t</t>
    <phoneticPr fontId="1" type="noConversion"/>
  </si>
  <si>
    <t xml:space="preserve">t/h</t>
    <phoneticPr fontId="1" type="noConversion"/>
  </si>
  <si>
    <t xml:space="preserve">m3/h</t>
    <phoneticPr fontId="1" type="noConversion"/>
  </si>
  <si>
    <t xml:space="preserve">m3</t>
    <phoneticPr fontId="1" type="noConversion"/>
  </si>
  <si>
    <t xml:space="preserve">Mpa</t>
    <phoneticPr fontId="1" type="noConversion"/>
  </si>
  <si>
    <t xml:space="preserve">℃</t>
    <phoneticPr fontId="1" type="noConversion"/>
  </si>
  <si>
    <t xml:space="preserve">mg/L</t>
    <phoneticPr fontId="1" type="noConversion"/>
  </si>
  <si>
    <t xml:space="preserve">蒸汽单耗
评价</t>
    <phoneticPr fontId="1" type="noConversion"/>
  </si>
  <si>
    <t xml:space="preserve">蒸汽单耗
理论值</t>
    <phoneticPr fontId="1" type="noConversion"/>
  </si>
  <si>
    <t xml:space="preserve">蒸汽
单耗</t>
    <phoneticPr fontId="1" type="noConversion"/>
  </si>
  <si>
    <t xml:space="preserve">蒸汽
平均流量</t>
    <phoneticPr fontId="1" type="noConversion"/>
  </si>
  <si>
    <t xml:space="preserve">蒸汽
消耗</t>
    <phoneticPr fontId="1" type="noConversion"/>
  </si>
  <si>
    <t xml:space="preserve">浓缩比</t>
    <phoneticPr fontId="1" type="noConversion"/>
  </si>
  <si>
    <t xml:space="preserve">出料
比重</t>
    <phoneticPr fontId="1" type="noConversion"/>
  </si>
  <si>
    <t xml:space="preserve">出料
平均流量</t>
    <phoneticPr fontId="1" type="noConversion"/>
  </si>
  <si>
    <t xml:space="preserve">出料
总量</t>
    <phoneticPr fontId="1" type="noConversion"/>
  </si>
  <si>
    <t xml:space="preserve">进料
平均流量</t>
    <phoneticPr fontId="1" type="noConversion"/>
  </si>
  <si>
    <t xml:space="preserve">进料
总量</t>
    <phoneticPr fontId="1" type="noConversion"/>
  </si>
  <si>
    <t xml:space="preserve">物料
液位</t>
    <phoneticPr fontId="1" type="noConversion"/>
  </si>
  <si>
    <t xml:space="preserve">低蒸
压力</t>
    <phoneticPr fontId="1" type="noConversion"/>
  </si>
  <si>
    <t xml:space="preserve">物料
温度</t>
    <phoneticPr fontId="1" type="noConversion"/>
  </si>
  <si>
    <t xml:space="preserve">加热
温度</t>
    <phoneticPr fontId="1" type="noConversion"/>
  </si>
  <si>
    <t xml:space="preserve">综合
含量</t>
    <phoneticPr fontId="1" type="noConversion"/>
  </si>
  <si>
    <t xml:space="preserve">水分</t>
    <phoneticPr fontId="1" type="noConversion"/>
  </si>
  <si>
    <t xml:space="preserve">二乙腈
折干含量</t>
    <phoneticPr fontId="1" type="noConversion"/>
  </si>
  <si>
    <t xml:space="preserve">pH</t>
    <phoneticPr fontId="1" type="noConversion"/>
  </si>
  <si>
    <t xml:space="preserve">降温
温差</t>
    <phoneticPr fontId="1" type="noConversion"/>
  </si>
  <si>
    <t xml:space="preserve">冷却水
温度</t>
    <phoneticPr fontId="1" type="noConversion"/>
  </si>
  <si>
    <t xml:space="preserve">甲醛</t>
    <phoneticPr fontId="1" type="noConversion"/>
  </si>
  <si>
    <t xml:space="preserve">低蒸数据分析</t>
    <phoneticPr fontId="1" type="noConversion"/>
  </si>
  <si>
    <t xml:space="preserve">低蒸过程数据</t>
    <phoneticPr fontId="1" type="noConversion"/>
  </si>
  <si>
    <t xml:space="preserve">二次结晶物分析数据</t>
    <phoneticPr fontId="1" type="noConversion"/>
  </si>
  <si>
    <t xml:space="preserve">二次结晶过程数据</t>
    <phoneticPr fontId="1" type="noConversion"/>
  </si>
  <si>
    <t xml:space="preserve">一次结晶物分析数据</t>
    <phoneticPr fontId="1" type="noConversion"/>
  </si>
  <si>
    <t xml:space="preserve">一次结晶过程数据</t>
    <phoneticPr fontId="1" type="noConversion"/>
  </si>
  <si>
    <t xml:space="preserve">废水分析数据</t>
    <phoneticPr fontId="1" type="noConversion"/>
  </si>
  <si>
    <t xml:space="preserve">低蒸系统</t>
    <phoneticPr fontId="1" type="noConversion"/>
  </si>
  <si>
    <t xml:space="preserve">二次结晶系统</t>
    <phoneticPr fontId="1" type="noConversion"/>
  </si>
  <si>
    <t xml:space="preserve">一次结晶系统</t>
    <phoneticPr fontId="1" type="noConversion"/>
  </si>
  <si>
    <t xml:space="preserve">闪蒸系统</t>
    <phoneticPr fontId="1" type="noConversion"/>
  </si>
  <si>
    <t xml:space="preserve">33.1</t>
    <phoneticPr fontId="1" type="noConversion"/>
  </si>
  <si>
    <t xml:space="preserve">kg/h</t>
  </si>
  <si>
    <t xml:space="preserve">kg/h</t>
    <phoneticPr fontId="1" type="noConversion"/>
  </si>
  <si>
    <t xml:space="preserve">氨氮</t>
    <phoneticPr fontId="1" type="noConversion"/>
  </si>
  <si>
    <t xml:space="preserve">总腈</t>
    <phoneticPr fontId="1" type="noConversion"/>
  </si>
  <si>
    <t xml:space="preserve">含量评价</t>
    <phoneticPr fontId="1" type="noConversion"/>
  </si>
  <si>
    <t xml:space="preserve">差值</t>
    <phoneticPr fontId="1" type="noConversion"/>
  </si>
  <si>
    <t xml:space="preserve">化分</t>
    <phoneticPr fontId="1" type="noConversion"/>
  </si>
  <si>
    <t xml:space="preserve">色谱</t>
    <phoneticPr fontId="1" type="noConversion"/>
  </si>
  <si>
    <t xml:space="preserve">浓度</t>
    <phoneticPr fontId="1" type="noConversion"/>
  </si>
  <si>
    <t xml:space="preserve">流量</t>
    <phoneticPr fontId="1" type="noConversion"/>
  </si>
  <si>
    <t xml:space="preserve">闪蒸过程参数</t>
    <phoneticPr fontId="1" type="noConversion"/>
  </si>
  <si>
    <t xml:space="preserve">稀硫酸
消耗
评价</t>
    <phoneticPr fontId="1" type="noConversion"/>
  </si>
  <si>
    <r>
      <rPr>
        <sz val="8"/>
        <rFont val="宋体"/>
        <family val="1"/>
        <charset val="134"/>
      </rPr>
      <t xml:space="preserve">稀硫酸</t>
    </r>
    <r>
      <rPr>
        <sz val="8"/>
        <rFont val="Segoe UI Symbol"/>
        <family val="1"/>
      </rPr>
      <t xml:space="preserve">
</t>
    </r>
    <r>
      <rPr>
        <sz val="8"/>
        <rFont val="宋体"/>
        <family val="1"/>
        <charset val="134"/>
      </rPr>
      <t xml:space="preserve">差值</t>
    </r>
    <phoneticPr fontId="1" type="noConversion"/>
  </si>
  <si>
    <t xml:space="preserve">稀硫酸
实际耗量</t>
    <phoneticPr fontId="1" type="noConversion"/>
  </si>
  <si>
    <t xml:space="preserve">稀硫酸
设计耗量</t>
    <phoneticPr fontId="1" type="noConversion"/>
  </si>
  <si>
    <t xml:space="preserve">羟基乙腈实测含量</t>
    <phoneticPr fontId="1" type="noConversion"/>
  </si>
  <si>
    <t xml:space="preserve">羟基乙腈设计含量</t>
    <phoneticPr fontId="1" type="noConversion"/>
  </si>
  <si>
    <t xml:space="preserve">反应液
比重</t>
    <phoneticPr fontId="1" type="noConversion"/>
  </si>
  <si>
    <t xml:space="preserve">二乙腈实测含量</t>
    <phoneticPr fontId="1" type="noConversion"/>
  </si>
  <si>
    <t xml:space="preserve">二乙腈设计含量</t>
    <phoneticPr fontId="1" type="noConversion"/>
  </si>
  <si>
    <t xml:space="preserve">反应器
出口压力</t>
    <phoneticPr fontId="1" type="noConversion"/>
  </si>
  <si>
    <t xml:space="preserve">反应器
出口温度</t>
    <phoneticPr fontId="1" type="noConversion"/>
  </si>
  <si>
    <t xml:space="preserve">反应器
热点温度</t>
    <phoneticPr fontId="1" type="noConversion"/>
  </si>
  <si>
    <t xml:space="preserve">反应器
入口压力</t>
    <phoneticPr fontId="1" type="noConversion"/>
  </si>
  <si>
    <t xml:space="preserve">反应器
入口温度</t>
    <phoneticPr fontId="1" type="noConversion"/>
  </si>
  <si>
    <t xml:space="preserve">配比蒸汽
流量</t>
    <phoneticPr fontId="1" type="noConversion"/>
  </si>
  <si>
    <t xml:space="preserve">气氨
流量</t>
    <phoneticPr fontId="1" type="noConversion"/>
  </si>
  <si>
    <t xml:space="preserve">羟基流量</t>
    <phoneticPr fontId="1" type="noConversion"/>
  </si>
  <si>
    <t xml:space="preserve">摩尔比
评价</t>
    <phoneticPr fontId="1" type="noConversion"/>
  </si>
  <si>
    <t xml:space="preserve">实际
摩尔比</t>
    <phoneticPr fontId="1" type="noConversion"/>
  </si>
  <si>
    <t xml:space="preserve">理论
摩尔比</t>
    <phoneticPr fontId="1" type="noConversion"/>
  </si>
  <si>
    <t xml:space="preserve">反应液分析数据</t>
    <phoneticPr fontId="1" type="noConversion"/>
  </si>
  <si>
    <t xml:space="preserve">氨化反应过程数据</t>
    <phoneticPr fontId="1" type="noConversion"/>
  </si>
  <si>
    <t xml:space="preserve">摩尔比情况</t>
    <phoneticPr fontId="1" type="noConversion"/>
  </si>
  <si>
    <t xml:space="preserve">m3/t</t>
    <phoneticPr fontId="1" type="noConversion"/>
  </si>
  <si>
    <t xml:space="preserve">kwh/t</t>
    <phoneticPr fontId="1" type="noConversion"/>
  </si>
  <si>
    <t xml:space="preserve">m3/t</t>
  </si>
  <si>
    <t xml:space="preserve">夜
班</t>
    <phoneticPr fontId="1" type="noConversion"/>
  </si>
  <si>
    <t xml:space="preserve">二次产品
占比率</t>
    <phoneticPr fontId="1" type="noConversion"/>
  </si>
  <si>
    <t xml:space="preserve">未知物
平均含量</t>
    <phoneticPr fontId="1" type="noConversion"/>
  </si>
  <si>
    <t xml:space="preserve">平均
含水率</t>
    <phoneticPr fontId="1" type="noConversion"/>
  </si>
  <si>
    <t xml:space="preserve">二乙腈
平均含量</t>
    <phoneticPr fontId="1" type="noConversion"/>
  </si>
  <si>
    <t xml:space="preserve">折百
产量</t>
    <phoneticPr fontId="1" type="noConversion"/>
  </si>
  <si>
    <t xml:space="preserve">产量</t>
    <phoneticPr fontId="1" type="noConversion"/>
  </si>
  <si>
    <t xml:space="preserve">第二袋
未知物含量</t>
    <phoneticPr fontId="1" type="noConversion"/>
  </si>
  <si>
    <t xml:space="preserve">第一袋
未知物含量</t>
    <phoneticPr fontId="1" type="noConversion"/>
  </si>
  <si>
    <t xml:space="preserve">第二袋
含水率</t>
    <phoneticPr fontId="1" type="noConversion"/>
  </si>
  <si>
    <t xml:space="preserve">第一袋
含水率</t>
    <phoneticPr fontId="1" type="noConversion"/>
  </si>
  <si>
    <t xml:space="preserve">第一袋
二乙腈
含量</t>
    <phoneticPr fontId="1" type="noConversion"/>
  </si>
  <si>
    <t xml:space="preserve">差额</t>
    <phoneticPr fontId="1" type="noConversion"/>
  </si>
  <si>
    <t xml:space="preserve">产量
评价</t>
    <phoneticPr fontId="1" type="noConversion"/>
  </si>
  <si>
    <t xml:space="preserve">折百</t>
    <phoneticPr fontId="1" type="noConversion"/>
  </si>
  <si>
    <t xml:space="preserve">总产量</t>
    <phoneticPr fontId="1" type="noConversion"/>
  </si>
  <si>
    <t xml:space="preserve">废液
单位排放</t>
    <phoneticPr fontId="1" type="noConversion"/>
  </si>
  <si>
    <t xml:space="preserve">废水
单位排放</t>
    <phoneticPr fontId="1" type="noConversion"/>
  </si>
  <si>
    <t xml:space="preserve">电
单耗</t>
    <phoneticPr fontId="1" type="noConversion"/>
  </si>
  <si>
    <t xml:space="preserve">脱盐水
单耗</t>
    <phoneticPr fontId="1" type="noConversion"/>
  </si>
  <si>
    <t xml:space="preserve">低蒸蒸汽
单耗</t>
    <phoneticPr fontId="1" type="noConversion"/>
  </si>
  <si>
    <t xml:space="preserve">反应蒸汽
单耗</t>
    <phoneticPr fontId="1" type="noConversion"/>
  </si>
  <si>
    <t xml:space="preserve">稀硫酸
单耗</t>
    <phoneticPr fontId="1" type="noConversion"/>
  </si>
  <si>
    <t xml:space="preserve">液氨
单耗</t>
    <phoneticPr fontId="1" type="noConversion"/>
  </si>
  <si>
    <t xml:space="preserve">羟基乙腈单耗</t>
    <phoneticPr fontId="1" type="noConversion"/>
  </si>
  <si>
    <t xml:space="preserve">二次产品情况</t>
    <phoneticPr fontId="1" type="noConversion"/>
  </si>
  <si>
    <t xml:space="preserve">一次产品（一次分离）情况</t>
    <phoneticPr fontId="1" type="noConversion"/>
  </si>
  <si>
    <r>
      <rPr>
        <sz val="8"/>
        <rFont val="宋体"/>
        <family val="1"/>
        <charset val="134"/>
      </rPr>
      <t xml:space="preserve">产量</t>
    </r>
    <r>
      <rPr>
        <sz val="8"/>
        <rFont val="Times New Roman"/>
        <family val="1"/>
      </rPr>
      <t xml:space="preserve">/</t>
    </r>
    <r>
      <rPr>
        <sz val="8"/>
        <rFont val="宋体"/>
        <family val="1"/>
        <charset val="134"/>
      </rPr>
      <t xml:space="preserve">质量情况汇总</t>
    </r>
    <phoneticPr fontId="1" type="noConversion"/>
  </si>
  <si>
    <t xml:space="preserve">原料消耗＆废液排放</t>
    <phoneticPr fontId="1" type="noConversion"/>
  </si>
  <si>
    <t xml:space="preserve">产量/质量情况汇总</t>
    <phoneticPr fontId="1" type="noConversion"/>
  </si>
  <si>
    <t xml:space="preserve">班
次</t>
    <phoneticPr fontId="1" type="noConversion"/>
  </si>
  <si>
    <t xml:space="preserve">日
期</t>
    <phoneticPr fontId="1" type="noConversion"/>
  </si>
  <si>
    <t xml:space="preserve">白
班</t>
    <phoneticPr fontId="1" type="noConversion"/>
  </si>
  <si>
    <t xml:space="preserve">累计量
(m³)</t>
    <phoneticPr fontId="1" type="noConversion"/>
  </si>
  <si>
    <t xml:space="preserve">(t/h)</t>
    <phoneticPr fontId="1" type="noConversion"/>
  </si>
  <si>
    <t xml:space="preserve">(t)</t>
    <phoneticPr fontId="1" type="noConversion"/>
  </si>
  <si>
    <t xml:space="preserve">文件编号：                                                                           班组＆日---生产过程运行质量考评表</t>
    <phoneticPr fontId="1" type="noConversion"/>
  </si>
  <si>
    <t xml:space="preserve">/</t>
    <phoneticPr fontId="1" type="noConversion"/>
  </si>
  <si>
    <t xml:space="preserve">项目</t>
    <phoneticPr fontId="1" type="noConversion"/>
  </si>
  <si>
    <t xml:space="preserve">单位</t>
    <phoneticPr fontId="1" type="noConversion"/>
  </si>
  <si>
    <t xml:space="preserve">中试标准指标</t>
    <phoneticPr fontId="1" type="noConversion"/>
  </si>
  <si>
    <t xml:space="preserve">实际运行数据</t>
    <phoneticPr fontId="1" type="noConversion"/>
  </si>
  <si>
    <t xml:space="preserve">评价</t>
    <phoneticPr fontId="1" type="noConversion"/>
  </si>
  <si>
    <t xml:space="preserve">备注</t>
    <phoneticPr fontId="1" type="noConversion"/>
  </si>
  <si>
    <t xml:space="preserve">一、产品</t>
    <phoneticPr fontId="1" type="noConversion"/>
  </si>
  <si>
    <t xml:space="preserve">收率</t>
    <phoneticPr fontId="1" type="noConversion"/>
  </si>
  <si>
    <t xml:space="preserve">二、原料消耗</t>
    <phoneticPr fontId="1" type="noConversion"/>
  </si>
  <si>
    <t xml:space="preserve">羟基消耗</t>
  </si>
  <si>
    <t xml:space="preserve">≤1427</t>
    <phoneticPr fontId="1" type="noConversion"/>
  </si>
  <si>
    <t xml:space="preserve">氨消耗</t>
    <phoneticPr fontId="1" type="noConversion"/>
  </si>
  <si>
    <t xml:space="preserve">215±5</t>
  </si>
  <si>
    <t xml:space="preserve">硫酸消耗</t>
    <phoneticPr fontId="1" type="noConversion"/>
  </si>
  <si>
    <t xml:space="preserve">200±10</t>
  </si>
  <si>
    <t xml:space="preserve">三、工艺指标</t>
    <phoneticPr fontId="1" type="noConversion"/>
  </si>
  <si>
    <t xml:space="preserve">配料单元</t>
    <phoneticPr fontId="1" type="noConversion"/>
  </si>
  <si>
    <t xml:space="preserve">羟基浓度 </t>
    <phoneticPr fontId="1" type="noConversion"/>
  </si>
  <si>
    <t xml:space="preserve">g/l</t>
    <phoneticPr fontId="1" type="noConversion"/>
  </si>
  <si>
    <t xml:space="preserve">417±5</t>
  </si>
  <si>
    <t xml:space="preserve">反应单元</t>
    <phoneticPr fontId="1" type="noConversion"/>
  </si>
  <si>
    <t xml:space="preserve">氨腈摩尔比</t>
    <phoneticPr fontId="1" type="noConversion"/>
  </si>
  <si>
    <t xml:space="preserve">(0.530±0.005):1</t>
  </si>
  <si>
    <t xml:space="preserve">反应时间</t>
    <phoneticPr fontId="1" type="noConversion"/>
  </si>
  <si>
    <t xml:space="preserve">s</t>
    <phoneticPr fontId="1" type="noConversion"/>
  </si>
  <si>
    <t xml:space="preserve">合格</t>
    <phoneticPr fontId="1" type="noConversion"/>
  </si>
  <si>
    <t xml:space="preserve">反应压力</t>
    <phoneticPr fontId="1" type="noConversion"/>
  </si>
  <si>
    <t xml:space="preserve">0.75±0.05</t>
  </si>
  <si>
    <t xml:space="preserve">羟基加热温度</t>
    <phoneticPr fontId="1" type="noConversion"/>
  </si>
  <si>
    <t xml:space="preserve">90±2</t>
  </si>
  <si>
    <t xml:space="preserve">氨汽混合温度</t>
  </si>
  <si>
    <t xml:space="preserve">145±2</t>
  </si>
  <si>
    <t xml:space="preserve">管反热点温度</t>
  </si>
  <si>
    <t xml:space="preserve">168±2</t>
  </si>
  <si>
    <t xml:space="preserve">结晶单元</t>
    <phoneticPr fontId="1" type="noConversion"/>
  </si>
  <si>
    <t xml:space="preserve">预冷器结晶温度</t>
  </si>
  <si>
    <t xml:space="preserve">≤45</t>
    <phoneticPr fontId="1" type="noConversion"/>
  </si>
  <si>
    <t xml:space="preserve">一次结晶温度</t>
  </si>
  <si>
    <t xml:space="preserve">≤20</t>
    <phoneticPr fontId="1" type="noConversion"/>
  </si>
  <si>
    <t xml:space="preserve">降膜蒸发温度</t>
  </si>
  <si>
    <t xml:space="preserve">48±2</t>
  </si>
  <si>
    <t xml:space="preserve">二次结晶温度</t>
  </si>
  <si>
    <t xml:space="preserve">≤20</t>
  </si>
  <si>
    <t xml:space="preserve">反应液组成</t>
    <phoneticPr fontId="1" type="noConversion"/>
  </si>
  <si>
    <t xml:space="preserve">--</t>
    <phoneticPr fontId="1" type="noConversion"/>
  </si>
  <si>
    <t xml:space="preserve">pH值</t>
    <phoneticPr fontId="1" type="noConversion"/>
  </si>
  <si>
    <t xml:space="preserve">四、废液</t>
    <phoneticPr fontId="1" type="noConversion"/>
  </si>
  <si>
    <t xml:space="preserve">废液排放</t>
    <phoneticPr fontId="1" type="noConversion"/>
  </si>
  <si>
    <t xml:space="preserve">单位产品排放量</t>
    <phoneticPr fontId="1" type="noConversion"/>
  </si>
  <si>
    <t xml:space="preserve">m³/t</t>
    <phoneticPr fontId="1" type="noConversion"/>
  </si>
  <si>
    <t xml:space="preserve">≤0.38</t>
  </si>
  <si>
    <t xml:space="preserve">废液组成</t>
    <phoneticPr fontId="1" type="noConversion"/>
  </si>
  <si>
    <t xml:space="preserve">硫铵</t>
    <phoneticPr fontId="1" type="noConversion"/>
  </si>
  <si>
    <t xml:space="preserve">二乙腈</t>
    <phoneticPr fontId="1" type="noConversion"/>
  </si>
  <si>
    <t xml:space="preserve">其它</t>
    <phoneticPr fontId="1" type="noConversion"/>
  </si>
  <si>
    <t xml:space="preserve">%</t>
  </si>
  <si>
    <t xml:space="preserve">五、其他</t>
    <phoneticPr fontId="1" type="noConversion"/>
  </si>
  <si>
    <t xml:space="preserve">二乙睛中试车间日报</t>
    <phoneticPr fontId="1" type="noConversion"/>
  </si>
  <si>
    <t xml:space="preserve">2026-05-08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</si>
</sst>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_);[Red]\(0.000\)"/>
    <numFmt numFmtId="177" formatCode="0.000_ "/>
    <numFmt numFmtId="178" formatCode="0.00_ "/>
  </numFmts>
  <fonts count="3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6"/>
      <name val="Times New Roman"/>
      <family val="1"/>
    </font>
    <font>
      <sz val="6"/>
      <name val="宋体"/>
      <family val="1"/>
      <charset val="134"/>
    </font>
    <font>
      <sz val="6"/>
      <color theme="1"/>
      <name val="宋体"/>
      <family val="2"/>
      <scheme val="minor"/>
    </font>
    <font>
      <sz val="6"/>
      <name val="Times New Roman"/>
      <family val="1"/>
      <charset val="134"/>
    </font>
    <font>
      <sz val="6"/>
      <name val="宋体"/>
      <family val="3"/>
      <charset val="134"/>
    </font>
    <font>
      <sz val="6"/>
      <name val="Times New Roman"/>
      <family val="3"/>
      <charset val="134"/>
    </font>
    <font>
      <sz val="6"/>
      <name val="Segoe UI Symbol"/>
      <family val="1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6"/>
      <color rgb="FFFF0000"/>
      <name val="宋体"/>
      <family val="1"/>
      <charset val="134"/>
    </font>
    <font>
      <sz val="6"/>
      <color indexed="81"/>
      <name val="宋体"/>
      <family val="3"/>
      <charset val="134"/>
    </font>
    <font>
      <b/>
      <sz val="6"/>
      <color indexed="81"/>
      <name val="宋体"/>
      <family val="3"/>
      <charset val="134"/>
    </font>
    <font>
      <sz val="6"/>
      <name val="Segoe UI Symbol"/>
      <family val="1"/>
      <charset val="134"/>
    </font>
    <font>
      <b/>
      <sz val="1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sz val="9"/>
      <name val="Times New Roman"/>
      <family val="1"/>
    </font>
    <font>
      <sz val="8"/>
      <name val="Times New Roman"/>
      <family val="1"/>
    </font>
    <font>
      <sz val="8"/>
      <name val="Times New Roman"/>
      <family val="1"/>
      <charset val="134"/>
    </font>
    <font>
      <sz val="8"/>
      <name val="Segoe UI Symbol"/>
      <family val="1"/>
    </font>
    <font>
      <sz val="8"/>
      <name val="宋体"/>
      <family val="1"/>
      <charset val="134"/>
    </font>
    <font>
      <sz val="8"/>
      <name val="Segoe UI Symbol"/>
      <family val="1"/>
      <charset val="134"/>
    </font>
    <font>
      <b/>
      <sz val="12"/>
      <name val="Times New Roman"/>
      <family val="1"/>
    </font>
    <font>
      <b/>
      <sz val="12"/>
      <name val="宋体"/>
      <family val="3"/>
      <charset val="134"/>
    </font>
    <font>
      <sz val="11"/>
      <name val="宋体"/>
      <family val="2"/>
      <scheme val="minor"/>
    </font>
    <font>
      <sz val="8"/>
      <name val="宋体"/>
      <family val="3"/>
      <charset val="134"/>
    </font>
    <font>
      <sz val="11"/>
      <name val="宋体"/>
      <family val="3"/>
      <charset val="134"/>
      <scheme val="minor"/>
    </font>
    <font>
      <sz val="6"/>
      <color theme="1"/>
      <name val="Times New Roman"/>
      <family val="1"/>
    </font>
    <font>
      <sz val="6"/>
      <color theme="1"/>
      <name val="Times New Roman"/>
      <family val="1"/>
      <charset val="134"/>
    </font>
    <font>
      <b/>
      <sz val="8"/>
      <color rgb="FF00B050"/>
      <name val="宋体"/>
      <family val="1"/>
      <charset val="134"/>
    </font>
    <font>
      <b/>
      <sz val="8"/>
      <color rgb="FF00B050"/>
      <name val="Times New Roman"/>
      <family val="1"/>
    </font>
    <font>
      <sz val="11"/>
      <name val="Times New Roman"/>
      <family val="1"/>
    </font>
    <font>
      <b/>
      <sz val="16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sz val="10"/>
      <color theme="1"/>
      <name val="仿宋"/>
      <family val="3"/>
      <charset val="134"/>
    </font>
    <font>
      <sz val="10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"/>
        <bgColor indexed="64"/>
      </patternFill>
    </fill>
  </fills>
  <borders count="1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dotted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/>
      <diagonal/>
    </border>
    <border>
      <left style="medium">
        <color indexed="64"/>
      </left>
      <right style="dotted">
        <color indexed="64"/>
      </right>
      <top/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dotted">
        <color indexed="64"/>
      </bottom>
      <diagonal/>
    </border>
    <border>
      <left style="dotted">
        <color indexed="64"/>
      </left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medium">
        <color indexed="64"/>
      </right>
      <top style="dotted">
        <color indexed="64"/>
      </top>
      <bottom/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dotted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 style="medium">
        <color theme="1"/>
      </top>
      <bottom/>
      <diagonal/>
    </border>
    <border>
      <left style="thin">
        <color indexed="64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</borders>
  <cellStyleXfs count="1">
    <xf numFmtId="0" fontId="0" fillId="0" borderId="0"/>
  </cellStyleXfs>
  <cellXfs count="350">
    <xf numFmtId="0" fontId="0" fillId="0" borderId="0" xfId="0"/>
    <xf numFmtId="2" fontId="2" fillId="0" borderId="4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2" fontId="3" fillId="0" borderId="4" xfId="0" applyNumberFormat="1" applyFont="1" applyBorder="1" applyAlignment="1">
      <alignment horizontal="center" vertical="center" wrapText="1"/>
    </xf>
    <xf numFmtId="49" fontId="3" fillId="0" borderId="4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2" fontId="3" fillId="2" borderId="4" xfId="0" applyNumberFormat="1" applyFont="1" applyFill="1" applyBorder="1" applyAlignment="1">
      <alignment horizontal="center" vertical="center" wrapText="1"/>
    </xf>
    <xf numFmtId="2" fontId="2" fillId="2" borderId="4" xfId="0" applyNumberFormat="1" applyFont="1" applyFill="1" applyBorder="1" applyAlignment="1">
      <alignment horizontal="center" vertical="center" wrapText="1"/>
    </xf>
    <xf numFmtId="2" fontId="5" fillId="2" borderId="4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Border="1" applyAlignment="1">
      <alignment horizontal="center" vertical="center" wrapText="1"/>
    </xf>
    <xf numFmtId="20" fontId="2" fillId="0" borderId="3" xfId="0" applyNumberFormat="1" applyFont="1" applyBorder="1" applyAlignment="1">
      <alignment horizontal="center" vertical="center" wrapText="1"/>
    </xf>
    <xf numFmtId="20" fontId="2" fillId="0" borderId="29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2" fontId="3" fillId="0" borderId="5" xfId="0" applyNumberFormat="1" applyFont="1" applyBorder="1" applyAlignment="1">
      <alignment horizontal="center" vertical="center" wrapText="1"/>
    </xf>
    <xf numFmtId="2" fontId="5" fillId="0" borderId="4" xfId="0" applyNumberFormat="1" applyFont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2" fontId="14" fillId="0" borderId="4" xfId="0" applyNumberFormat="1" applyFont="1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2" fontId="5" fillId="0" borderId="51" xfId="0" applyNumberFormat="1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3" fillId="0" borderId="51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8" fillId="0" borderId="51" xfId="0" applyFont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2" fontId="3" fillId="0" borderId="47" xfId="0" applyNumberFormat="1" applyFont="1" applyBorder="1" applyAlignment="1">
      <alignment horizontal="center" vertical="center" wrapText="1"/>
    </xf>
    <xf numFmtId="2" fontId="5" fillId="0" borderId="47" xfId="0" applyNumberFormat="1" applyFont="1" applyBorder="1" applyAlignment="1">
      <alignment horizontal="center" vertical="center" wrapText="1"/>
    </xf>
    <xf numFmtId="2" fontId="3" fillId="0" borderId="28" xfId="0" applyNumberFormat="1" applyFont="1" applyBorder="1" applyAlignment="1">
      <alignment horizontal="center" vertical="center" wrapText="1"/>
    </xf>
    <xf numFmtId="49" fontId="3" fillId="0" borderId="47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2" fillId="0" borderId="47" xfId="0" applyNumberFormat="1" applyFont="1" applyBorder="1" applyAlignment="1">
      <alignment horizontal="center" vertical="center" wrapText="1"/>
    </xf>
    <xf numFmtId="2" fontId="11" fillId="0" borderId="4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20" fontId="2" fillId="0" borderId="34" xfId="0" applyNumberFormat="1" applyFont="1" applyBorder="1" applyAlignment="1">
      <alignment horizontal="center" vertical="center" wrapText="1"/>
    </xf>
    <xf numFmtId="0" fontId="3" fillId="0" borderId="37" xfId="0" applyFont="1" applyBorder="1" applyAlignment="1">
      <alignment vertical="center" wrapText="1"/>
    </xf>
    <xf numFmtId="0" fontId="3" fillId="0" borderId="43" xfId="0" applyFont="1" applyBorder="1" applyAlignment="1">
      <alignment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49" fontId="19" fillId="0" borderId="4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2" fontId="18" fillId="0" borderId="47" xfId="0" applyNumberFormat="1" applyFont="1" applyBorder="1" applyAlignment="1">
      <alignment horizontal="center" vertical="center" wrapText="1"/>
    </xf>
    <xf numFmtId="2" fontId="18" fillId="0" borderId="4" xfId="0" applyNumberFormat="1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51" xfId="0" applyNumberFormat="1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7" xfId="0" applyNumberFormat="1" applyFont="1" applyBorder="1" applyAlignment="1">
      <alignment horizontal="center" vertical="center" wrapText="1"/>
    </xf>
    <xf numFmtId="49" fontId="20" fillId="0" borderId="4" xfId="0" applyNumberFormat="1" applyFont="1" applyBorder="1" applyAlignment="1">
      <alignment horizontal="center" vertical="center" wrapText="1"/>
    </xf>
    <xf numFmtId="49" fontId="20" fillId="0" borderId="51" xfId="0" applyNumberFormat="1" applyFont="1" applyBorder="1" applyAlignment="1">
      <alignment horizontal="center" vertical="center" wrapText="1"/>
    </xf>
    <xf numFmtId="2" fontId="18" fillId="0" borderId="51" xfId="0" applyNumberFormat="1" applyFont="1" applyBorder="1" applyAlignment="1">
      <alignment horizontal="center" vertical="center" wrapText="1"/>
    </xf>
    <xf numFmtId="49" fontId="19" fillId="0" borderId="47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49" fontId="18" fillId="0" borderId="12" xfId="0" applyNumberFormat="1" applyFont="1" applyBorder="1" applyAlignment="1">
      <alignment horizontal="center" vertical="center" wrapText="1"/>
    </xf>
    <xf numFmtId="49" fontId="18" fillId="0" borderId="11" xfId="0" applyNumberFormat="1" applyFont="1" applyBorder="1" applyAlignment="1">
      <alignment horizontal="center" vertical="center" wrapText="1"/>
    </xf>
    <xf numFmtId="2" fontId="21" fillId="0" borderId="12" xfId="0" applyNumberFormat="1" applyFont="1" applyBorder="1" applyAlignment="1">
      <alignment horizontal="center" vertical="center" wrapText="1"/>
    </xf>
    <xf numFmtId="2" fontId="21" fillId="0" borderId="11" xfId="0" applyNumberFormat="1" applyFont="1" applyBorder="1" applyAlignment="1">
      <alignment horizontal="center" vertical="center" wrapText="1"/>
    </xf>
    <xf numFmtId="0" fontId="19" fillId="4" borderId="73" xfId="0" applyFont="1" applyFill="1" applyBorder="1" applyAlignment="1">
      <alignment horizontal="center" vertical="center" wrapText="1"/>
    </xf>
    <xf numFmtId="49" fontId="19" fillId="4" borderId="73" xfId="0" applyNumberFormat="1" applyFont="1" applyFill="1" applyBorder="1" applyAlignment="1">
      <alignment horizontal="center" vertical="center" wrapText="1"/>
    </xf>
    <xf numFmtId="49" fontId="18" fillId="4" borderId="73" xfId="0" applyNumberFormat="1" applyFont="1" applyFill="1" applyBorder="1" applyAlignment="1">
      <alignment horizontal="center" vertical="center" wrapText="1"/>
    </xf>
    <xf numFmtId="0" fontId="18" fillId="4" borderId="73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49" fontId="18" fillId="0" borderId="68" xfId="0" applyNumberFormat="1" applyFont="1" applyBorder="1" applyAlignment="1">
      <alignment horizontal="center" vertical="center" wrapText="1"/>
    </xf>
    <xf numFmtId="176" fontId="4" fillId="0" borderId="4" xfId="0" applyNumberFormat="1" applyFont="1" applyBorder="1" applyAlignment="1">
      <alignment horizontal="center" vertical="center" wrapText="1"/>
    </xf>
    <xf numFmtId="176" fontId="4" fillId="2" borderId="4" xfId="0" applyNumberFormat="1" applyFont="1" applyFill="1" applyBorder="1" applyAlignment="1">
      <alignment horizontal="center" vertical="center" wrapText="1"/>
    </xf>
    <xf numFmtId="176" fontId="4" fillId="0" borderId="47" xfId="0" applyNumberFormat="1" applyFont="1" applyBorder="1" applyAlignment="1">
      <alignment horizontal="center" vertical="center" wrapText="1"/>
    </xf>
    <xf numFmtId="176" fontId="4" fillId="0" borderId="5" xfId="0" applyNumberFormat="1" applyFont="1" applyBorder="1" applyAlignment="1">
      <alignment horizontal="center" vertical="center" wrapText="1"/>
    </xf>
    <xf numFmtId="176" fontId="4" fillId="2" borderId="12" xfId="0" applyNumberFormat="1" applyFont="1" applyFill="1" applyBorder="1" applyAlignment="1">
      <alignment horizontal="center" vertical="center" wrapText="1"/>
    </xf>
    <xf numFmtId="49" fontId="19" fillId="0" borderId="69" xfId="0" applyNumberFormat="1" applyFont="1" applyBorder="1" applyAlignment="1">
      <alignment horizontal="center" vertical="center" wrapText="1"/>
    </xf>
    <xf numFmtId="0" fontId="18" fillId="4" borderId="89" xfId="0" applyFont="1" applyFill="1" applyBorder="1" applyAlignment="1">
      <alignment horizontal="center" vertical="center"/>
    </xf>
    <xf numFmtId="49" fontId="19" fillId="4" borderId="90" xfId="0" applyNumberFormat="1" applyFont="1" applyFill="1" applyBorder="1" applyAlignment="1">
      <alignment horizontal="center" vertical="center" wrapText="1"/>
    </xf>
    <xf numFmtId="176" fontId="28" fillId="0" borderId="4" xfId="0" applyNumberFormat="1" applyFont="1" applyBorder="1" applyAlignment="1">
      <alignment horizontal="center" vertical="center" wrapText="1"/>
    </xf>
    <xf numFmtId="176" fontId="29" fillId="0" borderId="4" xfId="0" applyNumberFormat="1" applyFont="1" applyBorder="1" applyAlignment="1">
      <alignment horizontal="center" vertical="center" wrapText="1"/>
    </xf>
    <xf numFmtId="176" fontId="29" fillId="0" borderId="47" xfId="0" applyNumberFormat="1" applyFont="1" applyBorder="1" applyAlignment="1">
      <alignment horizontal="center" vertical="center" wrapText="1"/>
    </xf>
    <xf numFmtId="176" fontId="29" fillId="0" borderId="51" xfId="0" applyNumberFormat="1" applyFont="1" applyBorder="1" applyAlignment="1">
      <alignment horizontal="center" vertical="center" wrapText="1"/>
    </xf>
    <xf numFmtId="177" fontId="28" fillId="0" borderId="4" xfId="0" applyNumberFormat="1" applyFont="1" applyBorder="1" applyAlignment="1">
      <alignment horizontal="center" vertical="center" wrapText="1"/>
    </xf>
    <xf numFmtId="177" fontId="28" fillId="0" borderId="47" xfId="0" applyNumberFormat="1" applyFont="1" applyBorder="1" applyAlignment="1">
      <alignment horizontal="center" vertical="center" wrapText="1"/>
    </xf>
    <xf numFmtId="177" fontId="28" fillId="0" borderId="51" xfId="0" applyNumberFormat="1" applyFont="1" applyBorder="1" applyAlignment="1">
      <alignment horizontal="center" vertical="center" wrapText="1"/>
    </xf>
    <xf numFmtId="177" fontId="28" fillId="2" borderId="4" xfId="0" applyNumberFormat="1" applyFont="1" applyFill="1" applyBorder="1" applyAlignment="1">
      <alignment horizontal="center" vertical="center" wrapText="1"/>
    </xf>
    <xf numFmtId="177" fontId="4" fillId="0" borderId="4" xfId="0" applyNumberFormat="1" applyFont="1" applyBorder="1" applyAlignment="1">
      <alignment horizontal="center" vertical="center" wrapText="1"/>
    </xf>
    <xf numFmtId="177" fontId="4" fillId="0" borderId="47" xfId="0" applyNumberFormat="1" applyFont="1" applyBorder="1" applyAlignment="1">
      <alignment horizontal="center" vertical="center" wrapText="1"/>
    </xf>
    <xf numFmtId="177" fontId="4" fillId="0" borderId="41" xfId="0" applyNumberFormat="1" applyFont="1" applyBorder="1" applyAlignment="1">
      <alignment horizontal="center" vertical="center" wrapText="1"/>
    </xf>
    <xf numFmtId="177" fontId="4" fillId="0" borderId="11" xfId="0" applyNumberFormat="1" applyFont="1" applyBorder="1" applyAlignment="1">
      <alignment horizontal="center" vertical="center" wrapText="1"/>
    </xf>
    <xf numFmtId="177" fontId="4" fillId="0" borderId="5" xfId="0" applyNumberFormat="1" applyFont="1" applyBorder="1" applyAlignment="1">
      <alignment horizontal="center" vertical="center" wrapText="1"/>
    </xf>
    <xf numFmtId="177" fontId="28" fillId="0" borderId="30" xfId="0" applyNumberFormat="1" applyFont="1" applyBorder="1" applyAlignment="1">
      <alignment horizontal="center" vertical="center" wrapText="1"/>
    </xf>
    <xf numFmtId="177" fontId="28" fillId="0" borderId="48" xfId="0" applyNumberFormat="1" applyFont="1" applyBorder="1" applyAlignment="1">
      <alignment horizontal="center" vertical="center" wrapText="1"/>
    </xf>
    <xf numFmtId="177" fontId="28" fillId="0" borderId="52" xfId="0" applyNumberFormat="1" applyFont="1" applyBorder="1" applyAlignment="1">
      <alignment horizontal="center" vertical="center" wrapText="1"/>
    </xf>
    <xf numFmtId="177" fontId="28" fillId="2" borderId="30" xfId="0" applyNumberFormat="1" applyFont="1" applyFill="1" applyBorder="1" applyAlignment="1">
      <alignment horizontal="center" vertical="center" wrapText="1"/>
    </xf>
    <xf numFmtId="177" fontId="4" fillId="0" borderId="30" xfId="0" applyNumberFormat="1" applyFont="1" applyBorder="1" applyAlignment="1">
      <alignment horizontal="center" vertical="center" wrapText="1"/>
    </xf>
    <xf numFmtId="177" fontId="4" fillId="0" borderId="48" xfId="0" applyNumberFormat="1" applyFont="1" applyBorder="1" applyAlignment="1">
      <alignment horizontal="center" vertical="center" wrapText="1"/>
    </xf>
    <xf numFmtId="177" fontId="4" fillId="0" borderId="35" xfId="0" applyNumberFormat="1" applyFont="1" applyBorder="1" applyAlignment="1">
      <alignment horizontal="center" vertical="center" wrapText="1"/>
    </xf>
    <xf numFmtId="177" fontId="28" fillId="0" borderId="12" xfId="0" applyNumberFormat="1" applyFont="1" applyBorder="1" applyAlignment="1">
      <alignment horizontal="center" vertical="center" wrapText="1"/>
    </xf>
    <xf numFmtId="177" fontId="29" fillId="0" borderId="4" xfId="0" applyNumberFormat="1" applyFont="1" applyBorder="1" applyAlignment="1">
      <alignment horizontal="center" vertical="center" wrapText="1"/>
    </xf>
    <xf numFmtId="177" fontId="4" fillId="2" borderId="4" xfId="0" applyNumberFormat="1" applyFont="1" applyFill="1" applyBorder="1" applyAlignment="1">
      <alignment horizontal="center" vertical="center" wrapText="1"/>
    </xf>
    <xf numFmtId="177" fontId="28" fillId="0" borderId="45" xfId="0" applyNumberFormat="1" applyFont="1" applyBorder="1" applyAlignment="1">
      <alignment horizontal="center" vertical="center" wrapText="1"/>
    </xf>
    <xf numFmtId="177" fontId="29" fillId="0" borderId="30" xfId="0" applyNumberFormat="1" applyFont="1" applyBorder="1" applyAlignment="1">
      <alignment horizontal="center" vertical="center" wrapText="1"/>
    </xf>
    <xf numFmtId="177" fontId="4" fillId="2" borderId="30" xfId="0" applyNumberFormat="1" applyFont="1" applyFill="1" applyBorder="1" applyAlignment="1">
      <alignment horizontal="center" vertical="center" wrapText="1"/>
    </xf>
    <xf numFmtId="177" fontId="4" fillId="0" borderId="57" xfId="0" applyNumberFormat="1" applyFont="1" applyBorder="1" applyAlignment="1">
      <alignment horizontal="center" vertical="center" wrapText="1"/>
    </xf>
    <xf numFmtId="177" fontId="4" fillId="0" borderId="39" xfId="0" applyNumberFormat="1" applyFont="1" applyBorder="1" applyAlignment="1">
      <alignment horizontal="center" vertical="center" wrapText="1"/>
    </xf>
    <xf numFmtId="177" fontId="4" fillId="0" borderId="31" xfId="0" applyNumberFormat="1" applyFont="1" applyBorder="1" applyAlignment="1">
      <alignment horizontal="center" vertical="center" wrapText="1"/>
    </xf>
    <xf numFmtId="177" fontId="29" fillId="0" borderId="47" xfId="0" applyNumberFormat="1" applyFont="1" applyBorder="1" applyAlignment="1">
      <alignment horizontal="center" vertical="center" wrapText="1"/>
    </xf>
    <xf numFmtId="177" fontId="29" fillId="0" borderId="51" xfId="0" applyNumberFormat="1" applyFont="1" applyBorder="1" applyAlignment="1">
      <alignment horizontal="center" vertical="center" wrapText="1"/>
    </xf>
    <xf numFmtId="177" fontId="4" fillId="2" borderId="12" xfId="0" applyNumberFormat="1" applyFont="1" applyFill="1" applyBorder="1" applyAlignment="1">
      <alignment horizontal="center" vertical="center" wrapText="1"/>
    </xf>
    <xf numFmtId="177" fontId="29" fillId="0" borderId="48" xfId="0" applyNumberFormat="1" applyFont="1" applyBorder="1" applyAlignment="1">
      <alignment horizontal="center" vertical="center" wrapText="1"/>
    </xf>
    <xf numFmtId="177" fontId="29" fillId="0" borderId="52" xfId="0" applyNumberFormat="1" applyFont="1" applyBorder="1" applyAlignment="1">
      <alignment horizontal="center" vertical="center" wrapText="1"/>
    </xf>
    <xf numFmtId="177" fontId="4" fillId="2" borderId="45" xfId="0" applyNumberFormat="1" applyFont="1" applyFill="1" applyBorder="1" applyAlignment="1">
      <alignment horizontal="center" vertical="center" wrapText="1"/>
    </xf>
    <xf numFmtId="177" fontId="18" fillId="0" borderId="52" xfId="0" applyNumberFormat="1" applyFont="1" applyBorder="1" applyAlignment="1">
      <alignment horizontal="center" vertical="center" wrapText="1"/>
    </xf>
    <xf numFmtId="177" fontId="18" fillId="0" borderId="30" xfId="0" applyNumberFormat="1" applyFont="1" applyBorder="1" applyAlignment="1">
      <alignment horizontal="center" vertical="center" wrapText="1"/>
    </xf>
    <xf numFmtId="177" fontId="18" fillId="0" borderId="39" xfId="0" applyNumberFormat="1" applyFont="1" applyBorder="1" applyAlignment="1">
      <alignment horizontal="center" vertical="center" wrapText="1"/>
    </xf>
    <xf numFmtId="177" fontId="18" fillId="3" borderId="52" xfId="0" applyNumberFormat="1" applyFont="1" applyFill="1" applyBorder="1" applyAlignment="1">
      <alignment horizontal="center" vertical="center" wrapText="1"/>
    </xf>
    <xf numFmtId="177" fontId="18" fillId="3" borderId="30" xfId="0" applyNumberFormat="1" applyFont="1" applyFill="1" applyBorder="1" applyAlignment="1">
      <alignment horizontal="center" vertical="center" wrapText="1"/>
    </xf>
    <xf numFmtId="177" fontId="18" fillId="3" borderId="48" xfId="0" applyNumberFormat="1" applyFont="1" applyFill="1" applyBorder="1" applyAlignment="1">
      <alignment horizontal="center" vertical="center" wrapText="1"/>
    </xf>
    <xf numFmtId="177" fontId="18" fillId="0" borderId="45" xfId="0" applyNumberFormat="1" applyFont="1" applyBorder="1" applyAlignment="1">
      <alignment horizontal="center" vertical="center" wrapText="1"/>
    </xf>
    <xf numFmtId="177" fontId="18" fillId="0" borderId="48" xfId="0" applyNumberFormat="1" applyFont="1" applyBorder="1" applyAlignment="1">
      <alignment horizontal="center" vertical="center" wrapText="1"/>
    </xf>
    <xf numFmtId="177" fontId="21" fillId="0" borderId="52" xfId="0" applyNumberFormat="1" applyFont="1" applyBorder="1" applyAlignment="1">
      <alignment horizontal="center" vertical="center" wrapText="1"/>
    </xf>
    <xf numFmtId="177" fontId="19" fillId="0" borderId="30" xfId="0" applyNumberFormat="1" applyFont="1" applyBorder="1" applyAlignment="1">
      <alignment horizontal="center" vertical="center" wrapText="1"/>
    </xf>
    <xf numFmtId="177" fontId="19" fillId="0" borderId="48" xfId="0" applyNumberFormat="1" applyFont="1" applyBorder="1" applyAlignment="1">
      <alignment horizontal="center" vertical="center" wrapText="1"/>
    </xf>
    <xf numFmtId="177" fontId="18" fillId="0" borderId="0" xfId="0" applyNumberFormat="1" applyFont="1" applyAlignment="1">
      <alignment horizontal="center" vertical="center"/>
    </xf>
    <xf numFmtId="177" fontId="21" fillId="0" borderId="30" xfId="0" applyNumberFormat="1" applyFont="1" applyBorder="1" applyAlignment="1">
      <alignment horizontal="center" vertical="center" wrapText="1"/>
    </xf>
    <xf numFmtId="177" fontId="19" fillId="0" borderId="52" xfId="0" applyNumberFormat="1" applyFont="1" applyBorder="1" applyAlignment="1">
      <alignment horizontal="center" vertical="center" wrapText="1"/>
    </xf>
    <xf numFmtId="177" fontId="18" fillId="0" borderId="75" xfId="0" applyNumberFormat="1" applyFont="1" applyBorder="1" applyAlignment="1">
      <alignment horizontal="center" vertical="center" wrapText="1"/>
    </xf>
    <xf numFmtId="177" fontId="18" fillId="0" borderId="74" xfId="0" applyNumberFormat="1" applyFont="1" applyBorder="1" applyAlignment="1">
      <alignment horizontal="center" vertical="center" wrapText="1"/>
    </xf>
    <xf numFmtId="177" fontId="19" fillId="0" borderId="74" xfId="0" applyNumberFormat="1" applyFont="1" applyBorder="1" applyAlignment="1">
      <alignment horizontal="center" vertical="center" wrapText="1"/>
    </xf>
    <xf numFmtId="177" fontId="19" fillId="0" borderId="76" xfId="0" applyNumberFormat="1" applyFont="1" applyBorder="1" applyAlignment="1">
      <alignment horizontal="center" vertical="center" wrapText="1"/>
    </xf>
    <xf numFmtId="177" fontId="23" fillId="0" borderId="30" xfId="0" applyNumberFormat="1" applyFont="1" applyBorder="1" applyAlignment="1">
      <alignment horizontal="center" vertical="center" wrapText="1"/>
    </xf>
    <xf numFmtId="177" fontId="30" fillId="0" borderId="52" xfId="0" applyNumberFormat="1" applyFont="1" applyBorder="1" applyAlignment="1">
      <alignment horizontal="center" vertical="center" wrapText="1"/>
    </xf>
    <xf numFmtId="177" fontId="31" fillId="0" borderId="52" xfId="0" applyNumberFormat="1" applyFont="1" applyBorder="1" applyAlignment="1">
      <alignment horizontal="center" vertical="center" wrapText="1"/>
    </xf>
    <xf numFmtId="177" fontId="31" fillId="0" borderId="30" xfId="0" applyNumberFormat="1" applyFont="1" applyBorder="1" applyAlignment="1">
      <alignment horizontal="center" vertical="center" wrapText="1"/>
    </xf>
    <xf numFmtId="177" fontId="31" fillId="0" borderId="76" xfId="0" applyNumberFormat="1" applyFont="1" applyBorder="1" applyAlignment="1">
      <alignment horizontal="center" vertical="center" wrapText="1"/>
    </xf>
    <xf numFmtId="177" fontId="31" fillId="0" borderId="48" xfId="0" applyNumberFormat="1" applyFont="1" applyBorder="1" applyAlignment="1">
      <alignment horizontal="center" vertical="center" wrapText="1"/>
    </xf>
    <xf numFmtId="177" fontId="32" fillId="0" borderId="30" xfId="0" applyNumberFormat="1" applyFont="1" applyBorder="1" applyAlignment="1">
      <alignment horizontal="center" vertical="center" wrapText="1"/>
    </xf>
    <xf numFmtId="2" fontId="3" fillId="0" borderId="9" xfId="0" applyNumberFormat="1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2" fontId="3" fillId="2" borderId="11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2" fontId="3" fillId="2" borderId="9" xfId="0" applyNumberFormat="1" applyFont="1" applyFill="1" applyBorder="1" applyAlignment="1">
      <alignment horizontal="center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2" fontId="3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2" borderId="38" xfId="0" applyFill="1" applyBorder="1" applyAlignment="1">
      <alignment horizontal="center" vertical="center" wrapText="1"/>
    </xf>
    <xf numFmtId="20" fontId="3" fillId="0" borderId="27" xfId="0" applyNumberFormat="1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2" fontId="3" fillId="0" borderId="22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2" fontId="2" fillId="0" borderId="22" xfId="0" applyNumberFormat="1" applyFont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33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20" fontId="3" fillId="0" borderId="32" xfId="0" applyNumberFormat="1" applyFont="1" applyBorder="1" applyAlignment="1">
      <alignment horizontal="center" vertical="center" wrapText="1"/>
    </xf>
    <xf numFmtId="49" fontId="3" fillId="0" borderId="36" xfId="0" applyNumberFormat="1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 wrapText="1"/>
    </xf>
    <xf numFmtId="0" fontId="4" fillId="0" borderId="38" xfId="0" applyFont="1" applyBorder="1" applyAlignment="1">
      <alignment horizontal="center" vertical="center" wrapText="1"/>
    </xf>
    <xf numFmtId="2" fontId="3" fillId="0" borderId="36" xfId="0" applyNumberFormat="1" applyFont="1" applyBorder="1" applyAlignment="1">
      <alignment horizontal="center" vertical="center" wrapText="1"/>
    </xf>
    <xf numFmtId="0" fontId="4" fillId="0" borderId="53" xfId="0" applyFont="1" applyBorder="1" applyAlignment="1">
      <alignment horizontal="center" vertical="center" wrapText="1"/>
    </xf>
    <xf numFmtId="2" fontId="3" fillId="0" borderId="37" xfId="0" applyNumberFormat="1" applyFont="1" applyBorder="1" applyAlignment="1">
      <alignment horizontal="center" vertical="center" wrapText="1"/>
    </xf>
    <xf numFmtId="0" fontId="4" fillId="0" borderId="36" xfId="0" applyFont="1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2" fontId="5" fillId="0" borderId="11" xfId="0" applyNumberFormat="1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42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2" fontId="5" fillId="0" borderId="50" xfId="0" applyNumberFormat="1" applyFont="1" applyBorder="1" applyAlignment="1">
      <alignment horizontal="center" vertical="center" wrapText="1"/>
    </xf>
    <xf numFmtId="2" fontId="5" fillId="0" borderId="12" xfId="0" applyNumberFormat="1" applyFont="1" applyBorder="1" applyAlignment="1">
      <alignment horizontal="center" vertical="center" wrapText="1"/>
    </xf>
    <xf numFmtId="2" fontId="3" fillId="0" borderId="49" xfId="0" applyNumberFormat="1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49" fontId="3" fillId="0" borderId="37" xfId="0" applyNumberFormat="1" applyFont="1" applyBorder="1" applyAlignment="1">
      <alignment horizontal="center" vertical="center" wrapText="1"/>
    </xf>
    <xf numFmtId="0" fontId="3" fillId="0" borderId="58" xfId="0" applyFont="1" applyBorder="1" applyAlignment="1">
      <alignment horizontal="center" vertical="center" wrapText="1"/>
    </xf>
    <xf numFmtId="0" fontId="3" fillId="0" borderId="37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 vertical="center" wrapText="1"/>
    </xf>
    <xf numFmtId="0" fontId="4" fillId="2" borderId="58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49" fontId="3" fillId="0" borderId="11" xfId="0" applyNumberFormat="1" applyFont="1" applyBorder="1" applyAlignment="1">
      <alignment horizontal="center" vertical="center" wrapText="1"/>
    </xf>
    <xf numFmtId="49" fontId="3" fillId="0" borderId="12" xfId="0" applyNumberFormat="1" applyFont="1" applyBorder="1" applyAlignment="1">
      <alignment horizontal="center" vertical="center" wrapText="1"/>
    </xf>
    <xf numFmtId="2" fontId="3" fillId="0" borderId="54" xfId="0" applyNumberFormat="1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2" fontId="3" fillId="0" borderId="12" xfId="0" applyNumberFormat="1" applyFont="1" applyBorder="1" applyAlignment="1">
      <alignment horizontal="center" vertical="center" wrapText="1"/>
    </xf>
    <xf numFmtId="20" fontId="5" fillId="0" borderId="67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0" fillId="0" borderId="42" xfId="0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2" fontId="3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20" fontId="5" fillId="0" borderId="66" xfId="0" applyNumberFormat="1" applyFont="1" applyBorder="1" applyAlignment="1">
      <alignment horizontal="center" vertical="center" wrapText="1"/>
    </xf>
    <xf numFmtId="2" fontId="5" fillId="0" borderId="9" xfId="0" applyNumberFormat="1" applyFont="1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2" fontId="7" fillId="0" borderId="11" xfId="0" applyNumberFormat="1" applyFont="1" applyBorder="1" applyAlignment="1">
      <alignment horizontal="center" vertical="center" wrapText="1"/>
    </xf>
    <xf numFmtId="20" fontId="2" fillId="0" borderId="60" xfId="0" applyNumberFormat="1" applyFont="1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2" fontId="2" fillId="0" borderId="13" xfId="0" applyNumberFormat="1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2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0" fontId="0" fillId="0" borderId="64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20" fontId="5" fillId="0" borderId="41" xfId="0" applyNumberFormat="1" applyFont="1" applyBorder="1" applyAlignment="1">
      <alignment horizontal="center" vertical="center" wrapText="1"/>
    </xf>
    <xf numFmtId="20" fontId="5" fillId="0" borderId="11" xfId="0" applyNumberFormat="1" applyFont="1" applyBorder="1" applyAlignment="1">
      <alignment horizontal="center" vertical="center" wrapText="1"/>
    </xf>
    <xf numFmtId="2" fontId="5" fillId="0" borderId="13" xfId="0" applyNumberFormat="1" applyFont="1" applyBorder="1" applyAlignment="1">
      <alignment horizontal="center" vertical="center" wrapText="1"/>
    </xf>
    <xf numFmtId="49" fontId="3" fillId="0" borderId="13" xfId="0" applyNumberFormat="1" applyFont="1" applyBorder="1" applyAlignment="1">
      <alignment horizontal="center" vertical="center" wrapText="1"/>
    </xf>
    <xf numFmtId="0" fontId="24" fillId="0" borderId="82" xfId="0" applyFont="1" applyBorder="1" applyAlignment="1">
      <alignment horizontal="left" vertical="center"/>
    </xf>
    <xf numFmtId="0" fontId="24" fillId="0" borderId="83" xfId="0" applyFont="1" applyBorder="1" applyAlignment="1">
      <alignment horizontal="left" vertical="center"/>
    </xf>
    <xf numFmtId="0" fontId="24" fillId="0" borderId="84" xfId="0" applyFont="1" applyBorder="1" applyAlignment="1">
      <alignment horizontal="left" vertical="center"/>
    </xf>
    <xf numFmtId="0" fontId="21" fillId="0" borderId="85" xfId="0" applyFont="1" applyBorder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21" fillId="0" borderId="80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21" fillId="0" borderId="79" xfId="0" applyNumberFormat="1" applyFont="1" applyBorder="1" applyAlignment="1">
      <alignment horizontal="center" vertical="center" wrapText="1"/>
    </xf>
    <xf numFmtId="2" fontId="21" fillId="0" borderId="78" xfId="0" applyNumberFormat="1" applyFont="1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49" fontId="19" fillId="0" borderId="58" xfId="0" applyNumberFormat="1" applyFont="1" applyBorder="1" applyAlignment="1">
      <alignment horizontal="center" vertical="center" wrapText="1"/>
    </xf>
    <xf numFmtId="0" fontId="25" fillId="0" borderId="37" xfId="0" applyFont="1" applyBorder="1" applyAlignment="1">
      <alignment horizontal="center" vertical="center" wrapText="1"/>
    </xf>
    <xf numFmtId="49" fontId="21" fillId="0" borderId="58" xfId="0" applyNumberFormat="1" applyFont="1" applyBorder="1" applyAlignment="1">
      <alignment horizontal="center" vertical="center" wrapText="1"/>
    </xf>
    <xf numFmtId="49" fontId="21" fillId="0" borderId="37" xfId="0" applyNumberFormat="1" applyFont="1" applyBorder="1" applyAlignment="1">
      <alignment horizontal="center" vertical="center" wrapText="1"/>
    </xf>
    <xf numFmtId="49" fontId="21" fillId="0" borderId="53" xfId="0" applyNumberFormat="1" applyFont="1" applyBorder="1" applyAlignment="1">
      <alignment horizontal="center" vertical="center" wrapText="1"/>
    </xf>
    <xf numFmtId="49" fontId="21" fillId="0" borderId="68" xfId="0" applyNumberFormat="1" applyFont="1" applyBorder="1" applyAlignment="1">
      <alignment horizontal="center" vertical="center" wrapText="1"/>
    </xf>
    <xf numFmtId="0" fontId="25" fillId="0" borderId="28" xfId="0" applyFont="1" applyBorder="1" applyAlignment="1">
      <alignment horizontal="center" vertical="center" wrapText="1"/>
    </xf>
    <xf numFmtId="0" fontId="25" fillId="0" borderId="69" xfId="0" applyFont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49" fontId="21" fillId="0" borderId="70" xfId="0" applyNumberFormat="1" applyFont="1" applyBorder="1" applyAlignment="1">
      <alignment horizontal="center" vertical="center" wrapText="1"/>
    </xf>
    <xf numFmtId="49" fontId="21" fillId="0" borderId="22" xfId="0" applyNumberFormat="1" applyFont="1" applyBorder="1" applyAlignment="1">
      <alignment horizontal="center" vertical="center" wrapText="1"/>
    </xf>
    <xf numFmtId="49" fontId="21" fillId="0" borderId="28" xfId="0" applyNumberFormat="1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1" fillId="0" borderId="28" xfId="0" applyFont="1" applyBorder="1" applyAlignment="1">
      <alignment horizontal="center" vertical="center" wrapText="1"/>
    </xf>
    <xf numFmtId="49" fontId="21" fillId="0" borderId="69" xfId="0" applyNumberFormat="1" applyFont="1" applyBorder="1" applyAlignment="1">
      <alignment horizontal="center" vertical="center" wrapText="1"/>
    </xf>
    <xf numFmtId="0" fontId="25" fillId="0" borderId="47" xfId="0" applyFont="1" applyBorder="1" applyAlignment="1">
      <alignment horizontal="center" vertical="center" wrapText="1"/>
    </xf>
    <xf numFmtId="0" fontId="18" fillId="0" borderId="75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center" wrapText="1"/>
    </xf>
    <xf numFmtId="2" fontId="21" fillId="0" borderId="68" xfId="0" applyNumberFormat="1" applyFont="1" applyBorder="1" applyAlignment="1">
      <alignment horizontal="center" vertical="center" wrapText="1"/>
    </xf>
    <xf numFmtId="49" fontId="21" fillId="0" borderId="51" xfId="0" applyNumberFormat="1" applyFont="1" applyBorder="1" applyAlignment="1">
      <alignment horizontal="center" vertical="center" wrapText="1"/>
    </xf>
    <xf numFmtId="49" fontId="21" fillId="0" borderId="4" xfId="0" applyNumberFormat="1" applyFont="1" applyBorder="1" applyAlignment="1">
      <alignment horizontal="center" vertical="center" wrapText="1"/>
    </xf>
    <xf numFmtId="49" fontId="21" fillId="0" borderId="47" xfId="0" applyNumberFormat="1" applyFont="1" applyBorder="1" applyAlignment="1">
      <alignment horizontal="center" vertical="center" wrapText="1"/>
    </xf>
    <xf numFmtId="2" fontId="21" fillId="0" borderId="4" xfId="0" applyNumberFormat="1" applyFont="1" applyBorder="1" applyAlignment="1">
      <alignment horizontal="center" vertical="center" wrapText="1"/>
    </xf>
    <xf numFmtId="0" fontId="22" fillId="0" borderId="4" xfId="0" applyFont="1" applyBorder="1" applyAlignment="1">
      <alignment horizontal="center" vertical="center" wrapText="1"/>
    </xf>
    <xf numFmtId="2" fontId="21" fillId="0" borderId="47" xfId="0" applyNumberFormat="1" applyFont="1" applyBorder="1" applyAlignment="1">
      <alignment horizontal="center" vertical="center" wrapText="1"/>
    </xf>
    <xf numFmtId="2" fontId="21" fillId="0" borderId="51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 wrapText="1"/>
    </xf>
    <xf numFmtId="0" fontId="21" fillId="0" borderId="87" xfId="0" applyFont="1" applyBorder="1" applyAlignment="1">
      <alignment horizontal="center" vertical="center" wrapText="1"/>
    </xf>
    <xf numFmtId="0" fontId="21" fillId="0" borderId="19" xfId="0" applyFont="1" applyBorder="1" applyAlignment="1">
      <alignment horizontal="center" vertical="center" wrapText="1"/>
    </xf>
    <xf numFmtId="49" fontId="26" fillId="0" borderId="72" xfId="0" applyNumberFormat="1" applyFont="1" applyBorder="1" applyAlignment="1">
      <alignment horizontal="center" vertical="center" wrapText="1"/>
    </xf>
    <xf numFmtId="0" fontId="27" fillId="0" borderId="62" xfId="0" applyFont="1" applyBorder="1" applyAlignment="1">
      <alignment horizontal="center" vertical="center" wrapText="1"/>
    </xf>
    <xf numFmtId="0" fontId="27" fillId="0" borderId="71" xfId="0" applyFont="1" applyBorder="1" applyAlignment="1">
      <alignment horizontal="center" vertical="center" wrapText="1"/>
    </xf>
    <xf numFmtId="2" fontId="21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25" fillId="0" borderId="91" xfId="0" applyFont="1" applyBorder="1" applyAlignment="1">
      <alignment horizontal="center" vertical="center" wrapText="1"/>
    </xf>
    <xf numFmtId="0" fontId="0" fillId="0" borderId="92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33" fillId="3" borderId="81" xfId="0" applyFont="1" applyFill="1" applyBorder="1" applyAlignment="1">
      <alignment horizontal="center" vertical="center"/>
    </xf>
    <xf numFmtId="0" fontId="33" fillId="3" borderId="78" xfId="0" applyFont="1" applyFill="1" applyBorder="1" applyAlignment="1">
      <alignment horizontal="center" vertical="center"/>
    </xf>
    <xf numFmtId="0" fontId="33" fillId="3" borderId="77" xfId="0" applyFont="1" applyFill="1" applyBorder="1" applyAlignment="1">
      <alignment horizontal="center" vertical="center"/>
    </xf>
    <xf numFmtId="0" fontId="34" fillId="3" borderId="61" xfId="0" applyFont="1" applyFill="1" applyBorder="1" applyAlignment="1">
      <alignment vertical="center"/>
    </xf>
    <xf numFmtId="0" fontId="34" fillId="3" borderId="62" xfId="0" applyFont="1" applyFill="1" applyBorder="1" applyAlignment="1">
      <alignment vertical="center"/>
    </xf>
    <xf numFmtId="0" fontId="34" fillId="3" borderId="62" xfId="0" applyFont="1" applyFill="1" applyBorder="1" applyAlignment="1">
      <alignment horizontal="right" vertical="center"/>
    </xf>
    <xf numFmtId="0" fontId="34" fillId="3" borderId="62" xfId="0" applyFont="1" applyFill="1" applyBorder="1" applyAlignment="1">
      <alignment horizontal="center" vertical="center"/>
    </xf>
    <xf numFmtId="0" fontId="34" fillId="3" borderId="65" xfId="0" applyFont="1" applyFill="1" applyBorder="1" applyAlignment="1">
      <alignment horizontal="center" vertical="center"/>
    </xf>
    <xf numFmtId="0" fontId="33" fillId="0" borderId="93" xfId="0" applyFont="1" applyBorder="1" applyAlignment="1">
      <alignment horizontal="center" vertical="center"/>
    </xf>
    <xf numFmtId="0" fontId="33" fillId="0" borderId="73" xfId="0" applyFont="1" applyBorder="1" applyAlignment="1">
      <alignment horizontal="center" vertical="center"/>
    </xf>
    <xf numFmtId="0" fontId="33" fillId="0" borderId="90" xfId="0" applyFont="1" applyBorder="1" applyAlignment="1">
      <alignment horizontal="center" vertical="center"/>
    </xf>
    <xf numFmtId="0" fontId="33" fillId="0" borderId="94" xfId="0" applyFont="1" applyBorder="1" applyAlignment="1">
      <alignment horizontal="center" vertical="center"/>
    </xf>
    <xf numFmtId="0" fontId="33" fillId="0" borderId="89" xfId="0" applyFont="1" applyBorder="1" applyAlignment="1">
      <alignment horizontal="center" vertical="center"/>
    </xf>
    <xf numFmtId="0" fontId="33" fillId="0" borderId="95" xfId="0" applyFont="1" applyBorder="1" applyAlignment="1">
      <alignment horizontal="center" vertical="center"/>
    </xf>
    <xf numFmtId="0" fontId="35" fillId="0" borderId="96" xfId="0" applyFont="1" applyBorder="1" applyAlignment="1">
      <alignment horizontal="left" vertical="center"/>
    </xf>
    <xf numFmtId="0" fontId="35" fillId="0" borderId="94" xfId="0" applyFont="1" applyBorder="1" applyAlignment="1">
      <alignment horizontal="center" vertical="center"/>
    </xf>
    <xf numFmtId="0" fontId="35" fillId="0" borderId="94" xfId="0" applyFont="1" applyBorder="1" applyAlignment="1">
      <alignment horizontal="center" vertical="center"/>
    </xf>
    <xf numFmtId="177" fontId="36" fillId="0" borderId="94" xfId="0" applyNumberFormat="1" applyFont="1" applyBorder="1" applyAlignment="1">
      <alignment horizontal="center" vertical="center"/>
    </xf>
    <xf numFmtId="177" fontId="16" fillId="0" borderId="94" xfId="0" applyNumberFormat="1" applyFont="1" applyBorder="1" applyAlignment="1">
      <alignment horizontal="center" vertical="center"/>
    </xf>
    <xf numFmtId="178" fontId="36" fillId="0" borderId="94" xfId="0" applyNumberFormat="1" applyFont="1" applyBorder="1" applyAlignment="1">
      <alignment horizontal="center" vertical="center"/>
    </xf>
    <xf numFmtId="178" fontId="36" fillId="0" borderId="89" xfId="0" applyNumberFormat="1" applyFont="1" applyBorder="1" applyAlignment="1">
      <alignment horizontal="center" vertical="center"/>
    </xf>
    <xf numFmtId="0" fontId="36" fillId="0" borderId="95" xfId="0" applyFont="1" applyBorder="1" applyAlignment="1">
      <alignment horizontal="center" vertical="center"/>
    </xf>
    <xf numFmtId="0" fontId="35" fillId="0" borderId="97" xfId="0" applyFont="1" applyBorder="1" applyAlignment="1">
      <alignment horizontal="center" vertical="center"/>
    </xf>
    <xf numFmtId="0" fontId="36" fillId="0" borderId="94" xfId="0" applyFont="1" applyBorder="1" applyAlignment="1">
      <alignment horizontal="center" vertical="center"/>
    </xf>
    <xf numFmtId="0" fontId="35" fillId="0" borderId="94" xfId="0" quotePrefix="1" applyFont="1" applyBorder="1" applyAlignment="1">
      <alignment horizontal="center" vertical="center"/>
    </xf>
    <xf numFmtId="0" fontId="35" fillId="0" borderId="98" xfId="0" applyFont="1" applyBorder="1" applyAlignment="1">
      <alignment horizontal="center" vertical="center"/>
    </xf>
    <xf numFmtId="0" fontId="35" fillId="0" borderId="99" xfId="0" applyFont="1" applyBorder="1" applyAlignment="1">
      <alignment horizontal="center" vertical="center"/>
    </xf>
    <xf numFmtId="177" fontId="35" fillId="0" borderId="94" xfId="0" quotePrefix="1" applyNumberFormat="1" applyFont="1" applyBorder="1" applyAlignment="1">
      <alignment horizontal="center" vertical="center"/>
    </xf>
    <xf numFmtId="0" fontId="36" fillId="0" borderId="94" xfId="0" quotePrefix="1" applyFont="1" applyBorder="1" applyAlignment="1">
      <alignment horizontal="center" vertical="center"/>
    </xf>
    <xf numFmtId="0" fontId="35" fillId="0" borderId="96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0" fontId="35" fillId="0" borderId="100" xfId="0" applyFont="1" applyBorder="1" applyAlignment="1">
      <alignment horizontal="center" vertical="center"/>
    </xf>
    <xf numFmtId="177" fontId="36" fillId="0" borderId="100" xfId="0" applyNumberFormat="1" applyFont="1" applyBorder="1" applyAlignment="1">
      <alignment horizontal="center" vertical="center"/>
    </xf>
    <xf numFmtId="177" fontId="16" fillId="0" borderId="100" xfId="0" applyNumberFormat="1" applyFont="1" applyBorder="1" applyAlignment="1">
      <alignment horizontal="center" vertical="center"/>
    </xf>
    <xf numFmtId="0" fontId="36" fillId="0" borderId="101" xfId="0" applyFont="1" applyBorder="1" applyAlignment="1">
      <alignment horizontal="center" vertical="center"/>
    </xf>
    <xf numFmtId="0" fontId="35" fillId="0" borderId="102" xfId="0" applyFont="1" applyBorder="1" applyAlignment="1">
      <alignment horizontal="center" vertical="center"/>
    </xf>
    <xf numFmtId="0" fontId="35" fillId="0" borderId="103" xfId="0" applyFont="1" applyBorder="1" applyAlignment="1">
      <alignment horizontal="center" vertical="center"/>
    </xf>
    <xf numFmtId="0" fontId="35" fillId="0" borderId="104" xfId="0" applyFont="1" applyBorder="1" applyAlignment="1">
      <alignment horizontal="center" vertical="center"/>
    </xf>
    <xf numFmtId="0" fontId="35" fillId="0" borderId="105" xfId="0" applyFont="1" applyBorder="1" applyAlignment="1">
      <alignment horizontal="center" vertical="center"/>
    </xf>
    <xf numFmtId="0" fontId="35" fillId="0" borderId="106" xfId="0" applyFont="1" applyBorder="1" applyAlignment="1">
      <alignment horizontal="center" vertical="center"/>
    </xf>
    <xf numFmtId="0" fontId="35" fillId="0" borderId="107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08" xfId="0" applyFont="1" applyBorder="1" applyAlignment="1">
      <alignment horizontal="center" vertical="center"/>
    </xf>
    <xf numFmtId="0" fontId="35" fillId="0" borderId="109" xfId="0" applyFont="1" applyBorder="1" applyAlignment="1">
      <alignment horizontal="center" vertical="center"/>
    </xf>
    <xf numFmtId="0" fontId="35" fillId="0" borderId="110" xfId="0" applyFont="1" applyBorder="1" applyAlignment="1">
      <alignment horizontal="center" vertical="center"/>
    </xf>
    <xf numFmtId="0" fontId="35" fillId="0" borderId="111" xfId="0" applyFont="1" applyBorder="1" applyAlignment="1">
      <alignment horizontal="center" vertical="center"/>
    </xf>
    <xf numFmtId="0" fontId="35" fillId="0" borderId="112" xfId="0" applyFont="1" applyBorder="1" applyAlignment="1">
      <alignment horizontal="center" vertical="center"/>
    </xf>
  </cellXfs>
  <cellStyles count="1">
    <cellStyle name="常规" xfId="0" builtinId="0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10" Type="http://schemas.openxmlformats.org/officeDocument/2006/relationships/calcChain" Target="calcChain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9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 prstMaterial="warmMatte"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vmlDrawing" Target="../drawings/vmlDrawing1.vml" /><Relationship Id="rId3" Type="http://schemas.openxmlformats.org/officeDocument/2006/relationships/comments" Target="../comments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Relationship Id="rId2" Type="http://schemas.openxmlformats.org/officeDocument/2006/relationships/vmlDrawing" Target="../drawings/vmlDrawing2.vml" /><Relationship Id="rId3" Type="http://schemas.openxmlformats.org/officeDocument/2006/relationships/comments" Target="../comments2.xml" /></Relationships>
</file>

<file path=xl/worksheets/_rels/sheet3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3.bin" /><Relationship Id="rId2" Type="http://schemas.openxmlformats.org/officeDocument/2006/relationships/vmlDrawing" Target="../drawings/vmlDrawing3.vml" /><Relationship Id="rId3" Type="http://schemas.openxmlformats.org/officeDocument/2006/relationships/comments" Target="../comments3.xml" /></Relationships>
</file>

<file path=xl/worksheets/_rels/sheet4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4.bin" /><Relationship Id="rId2" Type="http://schemas.openxmlformats.org/officeDocument/2006/relationships/vmlDrawing" Target="../drawings/vmlDrawing4.vml" /><Relationship Id="rId3" Type="http://schemas.openxmlformats.org/officeDocument/2006/relationships/comments" Target="../comments4.xml" /></Relationships>
</file>

<file path=xl/worksheets/_rels/sheet5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B2" sqref="B2:AR2"/>
    </sheetView>
  </sheetViews>
  <sheetFormatPr defaultRowHeight="8" x14ac:dyDescent="0.25"/>
  <cols>
    <col min="1" max="1" width="0.453125" style="6" customWidth="1"/>
    <col min="2" max="2" width="3.453125" style="6" bestFit="1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</v>
      </c>
      <c r="C6" s="91">
        <v>5.475983619689941</v>
      </c>
      <c r="D6" s="91">
        <v>18.815105438232422</v>
      </c>
      <c r="E6" s="91">
        <v>418.180908203125</v>
      </c>
      <c r="F6" s="91"/>
      <c r="G6" s="91"/>
      <c r="H6" s="92">
        <v>420.0624694824219</v>
      </c>
      <c r="I6" s="93">
        <v>27.03993034362793</v>
      </c>
      <c r="J6" s="91"/>
      <c r="K6" s="91">
        <v>42.67939758300781</v>
      </c>
      <c r="L6" s="91">
        <v>1.3262262344360352</v>
      </c>
      <c r="M6" s="91">
        <v>109.72765350341797</v>
      </c>
      <c r="N6" s="91">
        <v>111.06047058105469</v>
      </c>
      <c r="O6" s="91">
        <v>20.217660903930664</v>
      </c>
      <c r="P6" s="91"/>
      <c r="Q6" s="91"/>
      <c r="R6" s="91"/>
      <c r="S6" s="91">
        <v>140.12586975097656</v>
      </c>
      <c r="T6" s="91">
        <v>1.5083369016647339</v>
      </c>
      <c r="U6" s="91">
        <v>0.29994526505470276</v>
      </c>
      <c r="V6" s="91"/>
      <c r="W6" s="91">
        <v>90.74073791503906</v>
      </c>
      <c r="X6" s="91">
        <v>0.5325557589530945</v>
      </c>
      <c r="Y6" s="91"/>
      <c r="Z6" s="91">
        <v>0.7344907522201538</v>
      </c>
      <c r="AA6" s="91">
        <v>149.6817169189453</v>
      </c>
      <c r="AB6" s="91">
        <v>162.35531616210938</v>
      </c>
      <c r="AC6" s="91">
        <v>0.33101850748062134</v>
      </c>
      <c r="AD6" s="91">
        <v>154.30410766601562</v>
      </c>
      <c r="AE6" s="94">
        <v>32.33000183105469</v>
      </c>
      <c r="AF6" s="94"/>
      <c r="AG6" s="94"/>
      <c r="AH6" s="94">
        <v>16.459999084472656</v>
      </c>
      <c r="AI6" s="94">
        <v>32.08000183105469</v>
      </c>
      <c r="AJ6" s="94">
        <v>11.5600004196167</v>
      </c>
      <c r="AK6" s="94">
        <v>6.989999771118164</v>
      </c>
      <c r="AL6" s="91">
        <v>10.398582458496094</v>
      </c>
      <c r="AM6" s="95"/>
      <c r="AN6" s="96">
        <v>51.77227783203125</v>
      </c>
      <c r="AO6" s="97"/>
      <c r="AP6" s="98">
        <v>-79.74536895751953</v>
      </c>
      <c r="AQ6" s="98">
        <v>0.31647858023643494</v>
      </c>
      <c r="AR6" s="99"/>
    </row>
    <row r="7" spans="2:47" ht="13.5" customHeight="1" x14ac:dyDescent="0.25">
      <c r="B7" s="14">
        <v>0.375</v>
      </c>
      <c r="C7" s="91">
        <v>6.4380784034729</v>
      </c>
      <c r="D7" s="91">
        <v>18.863933563232422</v>
      </c>
      <c r="E7" s="91">
        <v>418.166259765625</v>
      </c>
      <c r="F7" s="91">
        <v>0.3361796736717224</v>
      </c>
      <c r="G7" s="91">
        <v>0</v>
      </c>
      <c r="H7" s="92">
        <v>420.988037109375</v>
      </c>
      <c r="I7" s="93">
        <v>0</v>
      </c>
      <c r="J7" s="91">
        <v>0.019868163391947746</v>
      </c>
      <c r="K7" s="91">
        <v>40.010128021240234</v>
      </c>
      <c r="L7" s="91">
        <v>1.2534360885620117</v>
      </c>
      <c r="M7" s="91">
        <v>110.21051025390625</v>
      </c>
      <c r="N7" s="91">
        <v>111.46556854248047</v>
      </c>
      <c r="O7" s="91">
        <v>20.011430740356445</v>
      </c>
      <c r="P7" s="91">
        <v>20.16650390625</v>
      </c>
      <c r="Q7" s="91"/>
      <c r="R7" s="91">
        <v>2.8209228515625</v>
      </c>
      <c r="S7" s="91">
        <v>140.1114044189453</v>
      </c>
      <c r="T7" s="91">
        <v>1.5063114166259766</v>
      </c>
      <c r="U7" s="91">
        <v>0.29753658175468445</v>
      </c>
      <c r="V7" s="91">
        <v>0.2999531328678131</v>
      </c>
      <c r="W7" s="91">
        <v>90.54542541503906</v>
      </c>
      <c r="X7" s="91">
        <v>0.531927764415741</v>
      </c>
      <c r="Y7" s="91" t="s">
        <v>82</v>
      </c>
      <c r="Z7" s="91">
        <v>0.732754647731781</v>
      </c>
      <c r="AA7" s="91">
        <v>150.1012725830078</v>
      </c>
      <c r="AB7" s="91">
        <v>162.0731964111328</v>
      </c>
      <c r="AC7" s="91">
        <v>0.5407263040542603</v>
      </c>
      <c r="AD7" s="91">
        <v>153.79051208496094</v>
      </c>
      <c r="AE7" s="94"/>
      <c r="AF7" s="94"/>
      <c r="AG7" s="94"/>
      <c r="AH7" s="94"/>
      <c r="AI7" s="94"/>
      <c r="AJ7" s="94"/>
      <c r="AK7" s="94"/>
      <c r="AL7" s="91">
        <v>3.8592302799224854</v>
      </c>
      <c r="AM7" s="95">
        <v>0.014876464381814003</v>
      </c>
      <c r="AN7" s="96">
        <v>60.57942581176758</v>
      </c>
      <c r="AO7" s="97"/>
      <c r="AP7" s="98">
        <v>-79.65132904052734</v>
      </c>
      <c r="AQ7" s="98">
        <v>0.3038194477558136</v>
      </c>
      <c r="AR7" s="99">
        <v>0.0002937698445748538</v>
      </c>
    </row>
    <row r="8" spans="2:47" ht="13.5" customHeight="1" x14ac:dyDescent="0.25">
      <c r="B8" s="14">
        <v>0.41666666666666669</v>
      </c>
      <c r="C8" s="91">
        <v>5.714698791503906</v>
      </c>
      <c r="D8" s="91">
        <v>19.16232681274414</v>
      </c>
      <c r="E8" s="91">
        <v>418.0546875</v>
      </c>
      <c r="F8" s="91">
        <v>0.2708437442779541</v>
      </c>
      <c r="G8" s="91">
        <v>0</v>
      </c>
      <c r="H8" s="92">
        <v>421.4844055175781</v>
      </c>
      <c r="I8" s="93">
        <v>23.216869354248047</v>
      </c>
      <c r="J8" s="91">
        <v>0.019642578437924385</v>
      </c>
      <c r="K8" s="91">
        <v>43.76446533203125</v>
      </c>
      <c r="L8" s="91">
        <v>1.383644461631775</v>
      </c>
      <c r="M8" s="91">
        <v>108.59918212890625</v>
      </c>
      <c r="N8" s="91">
        <v>110.07667541503906</v>
      </c>
      <c r="O8" s="91">
        <v>20.095693588256836</v>
      </c>
      <c r="P8" s="91">
        <v>20.1826171875</v>
      </c>
      <c r="Q8" s="91"/>
      <c r="R8" s="91">
        <v>2.82208251953125</v>
      </c>
      <c r="S8" s="91">
        <v>139.89437866210938</v>
      </c>
      <c r="T8" s="91">
        <v>1.5075774192810059</v>
      </c>
      <c r="U8" s="91">
        <v>0.29858678579330444</v>
      </c>
      <c r="V8" s="91">
        <v>0.3000546991825104</v>
      </c>
      <c r="W8" s="91">
        <v>91.13136291503906</v>
      </c>
      <c r="X8" s="91">
        <v>0.5304274559020996</v>
      </c>
      <c r="Y8" s="91" t="s">
        <v>82</v>
      </c>
      <c r="Z8" s="91">
        <v>0.7332175970077515</v>
      </c>
      <c r="AA8" s="91">
        <v>150.14466857910156</v>
      </c>
      <c r="AB8" s="91">
        <v>161.97915649414062</v>
      </c>
      <c r="AC8" s="91">
        <v>0.5024956464767456</v>
      </c>
      <c r="AD8" s="91">
        <v>153.71817016601562</v>
      </c>
      <c r="AE8" s="94"/>
      <c r="AF8" s="94"/>
      <c r="AG8" s="94"/>
      <c r="AH8" s="94"/>
      <c r="AI8" s="94"/>
      <c r="AJ8" s="94"/>
      <c r="AK8" s="94"/>
      <c r="AL8" s="91">
        <v>0</v>
      </c>
      <c r="AM8" s="95">
        <v>0.011553711257874966</v>
      </c>
      <c r="AN8" s="96">
        <v>58.41651916503906</v>
      </c>
      <c r="AO8" s="97"/>
      <c r="AP8" s="98">
        <v>-79.69473266601562</v>
      </c>
      <c r="AQ8" s="98">
        <v>0.302734375</v>
      </c>
      <c r="AR8" s="99">
        <v>0.00029524232377298176</v>
      </c>
    </row>
    <row r="9" spans="2:47" ht="13.5" customHeight="1" x14ac:dyDescent="0.25">
      <c r="B9" s="14">
        <v>0.45833333333333298</v>
      </c>
      <c r="C9" s="91">
        <v>6.763599395751953</v>
      </c>
      <c r="D9" s="91">
        <v>19.47699737548828</v>
      </c>
      <c r="E9" s="91">
        <v>416.94781494140625</v>
      </c>
      <c r="F9" s="91">
        <v>0.3365468680858612</v>
      </c>
      <c r="G9" s="91">
        <v>0</v>
      </c>
      <c r="H9" s="92">
        <v>420.98150634765625</v>
      </c>
      <c r="I9" s="93">
        <v>20.12803840637207</v>
      </c>
      <c r="J9" s="91">
        <v>0.02045019529759884</v>
      </c>
      <c r="K9" s="91">
        <v>46.52054214477539</v>
      </c>
      <c r="L9" s="91">
        <v>1.4730722904205322</v>
      </c>
      <c r="M9" s="91">
        <v>106.60807800292969</v>
      </c>
      <c r="N9" s="91">
        <v>108.8686294555664</v>
      </c>
      <c r="O9" s="91">
        <v>20.063047409057617</v>
      </c>
      <c r="P9" s="91">
        <v>20.1728515625</v>
      </c>
      <c r="Q9" s="91"/>
      <c r="R9" s="91">
        <v>2.69677734375</v>
      </c>
      <c r="S9" s="91">
        <v>139.3229217529297</v>
      </c>
      <c r="T9" s="91">
        <v>1.4649161100387573</v>
      </c>
      <c r="U9" s="91">
        <v>0.29846084117889404</v>
      </c>
      <c r="V9" s="91">
        <v>0.2999531328678131</v>
      </c>
      <c r="W9" s="91">
        <v>90.75520324707031</v>
      </c>
      <c r="X9" s="91">
        <v>0.5299604535102844</v>
      </c>
      <c r="Y9" s="91" t="s">
        <v>82</v>
      </c>
      <c r="Z9" s="91">
        <v>0.7402778267860413</v>
      </c>
      <c r="AA9" s="91">
        <v>148.3940887451172</v>
      </c>
      <c r="AB9" s="91">
        <v>162.15277099609375</v>
      </c>
      <c r="AC9" s="91">
        <v>0.36429399251937866</v>
      </c>
      <c r="AD9" s="91">
        <v>154.6151580810547</v>
      </c>
      <c r="AE9" s="94"/>
      <c r="AF9" s="94"/>
      <c r="AG9" s="94"/>
      <c r="AH9" s="94"/>
      <c r="AI9" s="94"/>
      <c r="AJ9" s="94"/>
      <c r="AK9" s="94"/>
      <c r="AL9" s="91">
        <v>6.995080947875977</v>
      </c>
      <c r="AM9" s="95">
        <v>0.01618017628788948</v>
      </c>
      <c r="AN9" s="96">
        <v>59.736690521240234</v>
      </c>
      <c r="AO9" s="97"/>
      <c r="AP9" s="98">
        <v>-79.77430725097656</v>
      </c>
      <c r="AQ9" s="98">
        <v>0.3104022145271301</v>
      </c>
      <c r="AR9" s="99">
        <v>0.00029330444522202015</v>
      </c>
    </row>
    <row r="10" spans="2:47" ht="13.5" customHeight="1" x14ac:dyDescent="0.25">
      <c r="B10" s="14">
        <v>0.5</v>
      </c>
      <c r="C10" s="91">
        <v>5.928095817565918</v>
      </c>
      <c r="D10" s="91">
        <v>19.82964515686035</v>
      </c>
      <c r="E10" s="91">
        <v>416.8353271484375</v>
      </c>
      <c r="F10" s="91">
        <v>0.26592186093330383</v>
      </c>
      <c r="G10" s="91">
        <v>0</v>
      </c>
      <c r="H10" s="92">
        <v>420.5306091308594</v>
      </c>
      <c r="I10" s="93">
        <v>7.13975715637207</v>
      </c>
      <c r="J10" s="91">
        <v>0.019762206822633743</v>
      </c>
      <c r="K10" s="91">
        <v>44.00318145751953</v>
      </c>
      <c r="L10" s="91">
        <v>1.388979434967041</v>
      </c>
      <c r="M10" s="91">
        <v>106.4670181274414</v>
      </c>
      <c r="N10" s="91">
        <v>107.50868225097656</v>
      </c>
      <c r="O10" s="91">
        <v>20.36728286743164</v>
      </c>
      <c r="P10" s="91">
        <v>20.16552734375</v>
      </c>
      <c r="Q10" s="91"/>
      <c r="R10" s="91">
        <v>2.67657470703125</v>
      </c>
      <c r="S10" s="91">
        <v>139.40248107910156</v>
      </c>
      <c r="T10" s="91">
        <v>1.4070637226104736</v>
      </c>
      <c r="U10" s="91">
        <v>0.30066439509391785</v>
      </c>
      <c r="V10" s="91">
        <v>0.29991406202316284</v>
      </c>
      <c r="W10" s="91">
        <v>90.53819274902344</v>
      </c>
      <c r="X10" s="91">
        <v>0.5312710404396057</v>
      </c>
      <c r="Y10" s="91" t="s">
        <v>82</v>
      </c>
      <c r="Z10" s="91">
        <v>0.7285301089286804</v>
      </c>
      <c r="AA10" s="91">
        <v>148.47366333007812</v>
      </c>
      <c r="AB10" s="91">
        <v>162.09490966796875</v>
      </c>
      <c r="AC10" s="91">
        <v>0.46173322200775146</v>
      </c>
      <c r="AD10" s="91">
        <v>154.09432983398438</v>
      </c>
      <c r="AE10" s="94"/>
      <c r="AF10" s="94"/>
      <c r="AG10" s="94"/>
      <c r="AH10" s="94"/>
      <c r="AI10" s="94"/>
      <c r="AJ10" s="94"/>
      <c r="AK10" s="94"/>
      <c r="AL10" s="91">
        <v>0</v>
      </c>
      <c r="AM10" s="95">
        <v>0.016508789733052254</v>
      </c>
      <c r="AN10" s="96">
        <v>57.42549133300781</v>
      </c>
      <c r="AO10" s="97"/>
      <c r="AP10" s="98">
        <v>-79.80323791503906</v>
      </c>
      <c r="AQ10" s="98">
        <v>0.27112269401550293</v>
      </c>
      <c r="AR10" s="99">
        <v>0.000295036326861009</v>
      </c>
    </row>
    <row r="11" spans="2:47" ht="13.5" customHeight="1" x14ac:dyDescent="0.25">
      <c r="B11" s="14">
        <v>0.54166666666666696</v>
      </c>
      <c r="C11" s="91">
        <v>6.5357346534729</v>
      </c>
      <c r="D11" s="91">
        <v>19.986980438232422</v>
      </c>
      <c r="E11" s="91">
        <v>415.9673767089844</v>
      </c>
      <c r="F11" s="91">
        <v>0.3251015543937683</v>
      </c>
      <c r="G11" s="91">
        <v>0</v>
      </c>
      <c r="H11" s="92">
        <v>420.1509094238281</v>
      </c>
      <c r="I11" s="93">
        <v>1.291232705116272</v>
      </c>
      <c r="J11" s="91">
        <v>0.020198242738842964</v>
      </c>
      <c r="K11" s="91">
        <v>43.1640625</v>
      </c>
      <c r="L11" s="91">
        <v>1.3357205390930176</v>
      </c>
      <c r="M11" s="91">
        <v>105.51216125488281</v>
      </c>
      <c r="N11" s="91">
        <v>106.64785766601562</v>
      </c>
      <c r="O11" s="91">
        <v>20.290637969970703</v>
      </c>
      <c r="P11" s="91">
        <v>20.16357421875</v>
      </c>
      <c r="Q11" s="91"/>
      <c r="R11" s="91">
        <v>2.70916748046875</v>
      </c>
      <c r="S11" s="91">
        <v>139.46759033203125</v>
      </c>
      <c r="T11" s="91">
        <v>1.4050383567810059</v>
      </c>
      <c r="U11" s="91">
        <v>0.3003651797771454</v>
      </c>
      <c r="V11" s="91">
        <v>0.29984375834465027</v>
      </c>
      <c r="W11" s="91">
        <v>90.24884033203125</v>
      </c>
      <c r="X11" s="91">
        <v>0.5286086201667786</v>
      </c>
      <c r="Y11" s="91" t="s">
        <v>82</v>
      </c>
      <c r="Z11" s="91">
        <v>0.7309027910232544</v>
      </c>
      <c r="AA11" s="91">
        <v>148.12644958496094</v>
      </c>
      <c r="AB11" s="91">
        <v>161.86341857910156</v>
      </c>
      <c r="AC11" s="91">
        <v>0.37438511848449707</v>
      </c>
      <c r="AD11" s="91">
        <v>153.99305725097656</v>
      </c>
      <c r="AE11" s="94">
        <v>33.970001220703125</v>
      </c>
      <c r="AF11" s="94"/>
      <c r="AG11" s="94"/>
      <c r="AH11" s="94">
        <v>17.010000228881836</v>
      </c>
      <c r="AI11" s="94">
        <v>20.280000686645508</v>
      </c>
      <c r="AJ11" s="94">
        <v>8.0600004196167</v>
      </c>
      <c r="AK11" s="94">
        <v>6.760000228881836</v>
      </c>
      <c r="AL11" s="91">
        <v>53.02010726928711</v>
      </c>
      <c r="AM11" s="95">
        <v>0.014915527775883675</v>
      </c>
      <c r="AN11" s="96">
        <v>56.376590728759766</v>
      </c>
      <c r="AO11" s="97"/>
      <c r="AP11" s="98">
        <v>-79.87557983398438</v>
      </c>
      <c r="AQ11" s="98">
        <v>0.3036024272441864</v>
      </c>
      <c r="AR11" s="99">
        <v>0.00029509735759347677</v>
      </c>
    </row>
    <row r="12" spans="2:47" ht="13.5" customHeight="1" x14ac:dyDescent="0.25">
      <c r="B12" s="14">
        <v>0.58333333333333304</v>
      </c>
      <c r="C12" s="91">
        <v>5.826822757720947</v>
      </c>
      <c r="D12" s="91">
        <v>20.22027015686035</v>
      </c>
      <c r="E12" s="91">
        <v>415.30670166015625</v>
      </c>
      <c r="F12" s="91">
        <v>0.2794453203678131</v>
      </c>
      <c r="G12" s="91">
        <v>0</v>
      </c>
      <c r="H12" s="92">
        <v>419.4111022949219</v>
      </c>
      <c r="I12" s="93">
        <v>30.027488708496094</v>
      </c>
      <c r="J12" s="91">
        <v>0.019505860283970833</v>
      </c>
      <c r="K12" s="91">
        <v>41.92708206176758</v>
      </c>
      <c r="L12" s="91">
        <v>1.301450490951538</v>
      </c>
      <c r="M12" s="91">
        <v>107.20486450195312</v>
      </c>
      <c r="N12" s="91">
        <v>107.4725112915039</v>
      </c>
      <c r="O12" s="91">
        <v>19.929615020751953</v>
      </c>
      <c r="P12" s="91">
        <v>20.181640625</v>
      </c>
      <c r="Q12" s="91"/>
      <c r="R12" s="91">
        <v>2.69720458984375</v>
      </c>
      <c r="S12" s="91">
        <v>139.46035766601562</v>
      </c>
      <c r="T12" s="91">
        <v>1.4079499244689941</v>
      </c>
      <c r="U12" s="91">
        <v>0.29818159341812134</v>
      </c>
      <c r="V12" s="91">
        <v>0.30012500286102295</v>
      </c>
      <c r="W12" s="91">
        <v>90.02459716796875</v>
      </c>
      <c r="X12" s="91">
        <v>0.529950737953186</v>
      </c>
      <c r="Y12" s="91" t="s">
        <v>82</v>
      </c>
      <c r="Z12" s="91">
        <v>0.7334491014480591</v>
      </c>
      <c r="AA12" s="91">
        <v>148.25665283203125</v>
      </c>
      <c r="AB12" s="91">
        <v>161.8851318359375</v>
      </c>
      <c r="AC12" s="91">
        <v>0.42769819498062134</v>
      </c>
      <c r="AD12" s="91">
        <v>153.92794799804688</v>
      </c>
      <c r="AE12" s="94"/>
      <c r="AF12" s="94"/>
      <c r="AG12" s="94"/>
      <c r="AH12" s="94"/>
      <c r="AI12" s="94"/>
      <c r="AJ12" s="94"/>
      <c r="AK12" s="94"/>
      <c r="AL12" s="91">
        <v>0</v>
      </c>
      <c r="AM12" s="95">
        <v>0.014753906056284904</v>
      </c>
      <c r="AN12" s="96">
        <v>54.130496978759766</v>
      </c>
      <c r="AO12" s="97"/>
      <c r="AP12" s="98">
        <v>-79.99131774902344</v>
      </c>
      <c r="AQ12" s="98">
        <v>0.30049189925193787</v>
      </c>
      <c r="AR12" s="99">
        <v>0.0002952804497908801</v>
      </c>
    </row>
    <row r="13" spans="2:47" ht="13.5" customHeight="1" x14ac:dyDescent="0.25">
      <c r="B13" s="14">
        <v>0.625</v>
      </c>
      <c r="C13" s="91">
        <v>7.016782283782959</v>
      </c>
      <c r="D13" s="91">
        <v>20.301651000976562</v>
      </c>
      <c r="E13" s="91">
        <v>415.5210876464844</v>
      </c>
      <c r="F13" s="91">
        <v>0.3370703160762787</v>
      </c>
      <c r="G13" s="91">
        <v>0</v>
      </c>
      <c r="H13" s="92">
        <v>418.7784729003906</v>
      </c>
      <c r="I13" s="93">
        <v>23.064960479736328</v>
      </c>
      <c r="J13" s="91">
        <v>0.01943408139050007</v>
      </c>
      <c r="K13" s="91">
        <v>42.975982666015625</v>
      </c>
      <c r="L13" s="91">
        <v>1.3406033515930176</v>
      </c>
      <c r="M13" s="91">
        <v>106.35851287841797</v>
      </c>
      <c r="N13" s="91">
        <v>107.04571533203125</v>
      </c>
      <c r="O13" s="91">
        <v>20.099363327026367</v>
      </c>
      <c r="P13" s="91">
        <v>20.15234375</v>
      </c>
      <c r="Q13" s="91"/>
      <c r="R13" s="91">
        <v>2.68585205078125</v>
      </c>
      <c r="S13" s="91">
        <v>139.5760955810547</v>
      </c>
      <c r="T13" s="91">
        <v>1.404658555984497</v>
      </c>
      <c r="U13" s="91">
        <v>0.2993505895137787</v>
      </c>
      <c r="V13" s="91">
        <v>0.2996562421321869</v>
      </c>
      <c r="W13" s="91">
        <v>90.91435241699219</v>
      </c>
      <c r="X13" s="91">
        <v>0.5287795066833496</v>
      </c>
      <c r="Y13" s="91" t="s">
        <v>82</v>
      </c>
      <c r="Z13" s="91">
        <v>0.7239004969596863</v>
      </c>
      <c r="AA13" s="91">
        <v>149.10301208496094</v>
      </c>
      <c r="AB13" s="91">
        <v>161.96469116210938</v>
      </c>
      <c r="AC13" s="91">
        <v>0.6374059915542603</v>
      </c>
      <c r="AD13" s="91">
        <v>153.73263549804688</v>
      </c>
      <c r="AE13" s="94"/>
      <c r="AF13" s="94"/>
      <c r="AG13" s="94"/>
      <c r="AH13" s="94"/>
      <c r="AI13" s="94"/>
      <c r="AJ13" s="94"/>
      <c r="AK13" s="94"/>
      <c r="AL13" s="91">
        <v>0</v>
      </c>
      <c r="AM13" s="95">
        <v>0.00917968712747097</v>
      </c>
      <c r="AN13" s="96">
        <v>52.32204818725586</v>
      </c>
      <c r="AO13" s="97"/>
      <c r="AP13" s="98">
        <v>-80.04195404052734</v>
      </c>
      <c r="AQ13" s="98">
        <v>0.28566262125968933</v>
      </c>
      <c r="AR13" s="99">
        <v>0.0002954788214992732</v>
      </c>
    </row>
    <row r="14" spans="2:47" ht="13.5" customHeight="1" x14ac:dyDescent="0.25">
      <c r="B14" s="14">
        <v>0.66666666666666696</v>
      </c>
      <c r="C14" s="91">
        <v>5.65321159362793</v>
      </c>
      <c r="D14" s="91">
        <v>20.12261390686035</v>
      </c>
      <c r="E14" s="91">
        <v>416.70751953125</v>
      </c>
      <c r="F14" s="91">
        <v>0.2652187645435333</v>
      </c>
      <c r="G14" s="91">
        <v>0</v>
      </c>
      <c r="H14" s="92">
        <v>418.41107177734375</v>
      </c>
      <c r="I14" s="93">
        <v>28.812210083007812</v>
      </c>
      <c r="J14" s="91">
        <v>0.0200190432369709</v>
      </c>
      <c r="K14" s="91">
        <v>42.628761291503906</v>
      </c>
      <c r="L14" s="91">
        <v>1.313205361366272</v>
      </c>
      <c r="M14" s="91">
        <v>108.19227600097656</v>
      </c>
      <c r="N14" s="91">
        <v>107.78356170654297</v>
      </c>
      <c r="O14" s="91">
        <v>20.130048751831055</v>
      </c>
      <c r="P14" s="91">
        <v>20.17578125</v>
      </c>
      <c r="Q14" s="91"/>
      <c r="R14" s="91">
        <v>2.70758056640625</v>
      </c>
      <c r="S14" s="91">
        <v>139.46759033203125</v>
      </c>
      <c r="T14" s="91">
        <v>1.4035191535949707</v>
      </c>
      <c r="U14" s="91">
        <v>0.3000417947769165</v>
      </c>
      <c r="V14" s="91">
        <v>0.3000234365463257</v>
      </c>
      <c r="W14" s="91">
        <v>90.39351654052734</v>
      </c>
      <c r="X14" s="91">
        <v>0.5295165777206421</v>
      </c>
      <c r="Y14" s="91" t="s">
        <v>82</v>
      </c>
      <c r="Z14" s="91">
        <v>0.7322338223457336</v>
      </c>
      <c r="AA14" s="91">
        <v>148.4664306640625</v>
      </c>
      <c r="AB14" s="91">
        <v>161.90682983398438</v>
      </c>
      <c r="AC14" s="91">
        <v>0.6102792024612427</v>
      </c>
      <c r="AD14" s="91">
        <v>154.0726318359375</v>
      </c>
      <c r="AE14" s="94"/>
      <c r="AF14" s="94"/>
      <c r="AG14" s="94"/>
      <c r="AH14" s="94"/>
      <c r="AI14" s="94"/>
      <c r="AJ14" s="94"/>
      <c r="AK14" s="94"/>
      <c r="AL14" s="91">
        <v>0</v>
      </c>
      <c r="AM14" s="95">
        <v>0.008625488728284836</v>
      </c>
      <c r="AN14" s="96">
        <v>50.49913024902344</v>
      </c>
      <c r="AO14" s="97"/>
      <c r="AP14" s="98">
        <v>-80.078125</v>
      </c>
      <c r="AQ14" s="98">
        <v>0.28638598322868347</v>
      </c>
      <c r="AR14" s="99">
        <v>0.00029512785840779543</v>
      </c>
    </row>
    <row r="15" spans="2:47" ht="13.5" customHeight="1" x14ac:dyDescent="0.25">
      <c r="B15" s="14">
        <v>0.70833333333333304</v>
      </c>
      <c r="C15" s="91">
        <v>6.647858619689941</v>
      </c>
      <c r="D15" s="91">
        <v>19.87847328186035</v>
      </c>
      <c r="E15" s="91">
        <v>417.0018310546875</v>
      </c>
      <c r="F15" s="91">
        <v>0.3367656171321869</v>
      </c>
      <c r="G15" s="91">
        <v>0</v>
      </c>
      <c r="H15" s="92">
        <v>418.3797302246094</v>
      </c>
      <c r="I15" s="93">
        <v>26.913339614868164</v>
      </c>
      <c r="J15" s="91">
        <v>0.019634276628494263</v>
      </c>
      <c r="K15" s="91">
        <v>41.9921875</v>
      </c>
      <c r="L15" s="91">
        <v>1.3071470260620117</v>
      </c>
      <c r="M15" s="91">
        <v>107.26997375488281</v>
      </c>
      <c r="N15" s="91">
        <v>109.24478912353516</v>
      </c>
      <c r="O15" s="91">
        <v>19.749372482299805</v>
      </c>
      <c r="P15" s="91">
        <v>20.16162109375</v>
      </c>
      <c r="Q15" s="91"/>
      <c r="R15" s="91">
        <v>2.6893310546875</v>
      </c>
      <c r="S15" s="91">
        <v>139.5182342529297</v>
      </c>
      <c r="T15" s="91">
        <v>1.4057978391647339</v>
      </c>
      <c r="U15" s="91">
        <v>0.293824702501297</v>
      </c>
      <c r="V15" s="91">
        <v>0.2998046875</v>
      </c>
      <c r="W15" s="91">
        <v>90.29947662353516</v>
      </c>
      <c r="X15" s="91">
        <v>0.5320150852203369</v>
      </c>
      <c r="Y15" s="91" t="s">
        <v>82</v>
      </c>
      <c r="Z15" s="91">
        <v>0.7369791865348816</v>
      </c>
      <c r="AA15" s="91">
        <v>149.3417205810547</v>
      </c>
      <c r="AB15" s="91">
        <v>161.90682983398438</v>
      </c>
      <c r="AC15" s="91">
        <v>0.34780094027519226</v>
      </c>
      <c r="AD15" s="91">
        <v>153.964111328125</v>
      </c>
      <c r="AE15" s="94"/>
      <c r="AF15" s="94"/>
      <c r="AG15" s="94"/>
      <c r="AH15" s="94"/>
      <c r="AI15" s="94"/>
      <c r="AJ15" s="94"/>
      <c r="AK15" s="94"/>
      <c r="AL15" s="91">
        <v>4.864727973937988</v>
      </c>
      <c r="AM15" s="95">
        <v>0.006457031238824129</v>
      </c>
      <c r="AN15" s="96">
        <v>48.466434478759766</v>
      </c>
      <c r="AO15" s="97"/>
      <c r="AP15" s="98">
        <v>-80.06365966796875</v>
      </c>
      <c r="AQ15" s="98">
        <v>0.29564526677131653</v>
      </c>
      <c r="AR15" s="99">
        <v>0.0002936401288025081</v>
      </c>
    </row>
    <row r="16" spans="2:47" ht="13.5" customHeight="1" x14ac:dyDescent="0.25">
      <c r="B16" s="14">
        <v>0.75</v>
      </c>
      <c r="C16" s="91">
        <v>6.723813533782959</v>
      </c>
      <c r="D16" s="91">
        <v>19.715713500976562</v>
      </c>
      <c r="E16" s="91">
        <v>416.6768798828125</v>
      </c>
      <c r="F16" s="91">
        <v>0.30458593368530273</v>
      </c>
      <c r="G16" s="91">
        <v>0</v>
      </c>
      <c r="H16" s="92">
        <v>418.43670654296875</v>
      </c>
      <c r="I16" s="93">
        <v>23.47005271911621</v>
      </c>
      <c r="J16" s="91">
        <v>0.019971679896116257</v>
      </c>
      <c r="K16" s="91">
        <v>42.954280853271484</v>
      </c>
      <c r="L16" s="91">
        <v>1.3364439010620117</v>
      </c>
      <c r="M16" s="91">
        <v>110.9592056274414</v>
      </c>
      <c r="N16" s="91">
        <v>109.5486068725586</v>
      </c>
      <c r="O16" s="91">
        <v>20.264585494995117</v>
      </c>
      <c r="P16" s="91">
        <v>20.18115234375</v>
      </c>
      <c r="Q16" s="91"/>
      <c r="R16" s="91">
        <v>2.71429443359375</v>
      </c>
      <c r="S16" s="91">
        <v>139.47482299804688</v>
      </c>
      <c r="T16" s="91">
        <v>1.42529296875</v>
      </c>
      <c r="U16" s="91">
        <v>0.2974029779434204</v>
      </c>
      <c r="V16" s="91">
        <v>0.30009374022483826</v>
      </c>
      <c r="W16" s="91">
        <v>90.17650604248047</v>
      </c>
      <c r="X16" s="91">
        <v>0.527409553527832</v>
      </c>
      <c r="Y16" s="91" t="s">
        <v>82</v>
      </c>
      <c r="Z16" s="91">
        <v>0.7235532999038696</v>
      </c>
      <c r="AA16" s="91">
        <v>149.1174774169922</v>
      </c>
      <c r="AB16" s="91">
        <v>161.73321533203125</v>
      </c>
      <c r="AC16" s="91">
        <v>0.5265480279922485</v>
      </c>
      <c r="AD16" s="91">
        <v>153.53009033203125</v>
      </c>
      <c r="AE16" s="94"/>
      <c r="AF16" s="94"/>
      <c r="AG16" s="94"/>
      <c r="AH16" s="94"/>
      <c r="AI16" s="94"/>
      <c r="AJ16" s="94"/>
      <c r="AK16" s="94"/>
      <c r="AL16" s="91">
        <v>0</v>
      </c>
      <c r="AM16" s="95">
        <v>0.009973633103072643</v>
      </c>
      <c r="AN16" s="96">
        <v>61.08940887451172</v>
      </c>
      <c r="AO16" s="97"/>
      <c r="AP16" s="98">
        <v>-80.0491943359375</v>
      </c>
      <c r="AQ16" s="98">
        <v>0.30302372574806213</v>
      </c>
      <c r="AR16" s="99">
        <v>0.0002959670964628458</v>
      </c>
    </row>
    <row r="17" spans="2:44" ht="13.5" customHeight="1" x14ac:dyDescent="0.25">
      <c r="B17" s="14">
        <v>0.79166666666666696</v>
      </c>
      <c r="C17" s="91">
        <v>7.505063533782959</v>
      </c>
      <c r="D17" s="91">
        <v>19.547527313232422</v>
      </c>
      <c r="E17" s="91">
        <v>418.0868225097656</v>
      </c>
      <c r="F17" s="91">
        <v>0.3363359272480011</v>
      </c>
      <c r="G17" s="91">
        <v>0</v>
      </c>
      <c r="H17" s="92">
        <v>419.4523010253906</v>
      </c>
      <c r="I17" s="93">
        <v>16.10243034362793</v>
      </c>
      <c r="J17" s="91">
        <v>0.019755858927965164</v>
      </c>
      <c r="K17" s="91">
        <v>42.31047439575195</v>
      </c>
      <c r="L17" s="91">
        <v>1.3073278665542603</v>
      </c>
      <c r="M17" s="91">
        <v>101.71441650390625</v>
      </c>
      <c r="N17" s="91">
        <v>103.24797058105469</v>
      </c>
      <c r="O17" s="91">
        <v>20.114351272583008</v>
      </c>
      <c r="P17" s="91">
        <v>20.16064453125</v>
      </c>
      <c r="Q17" s="91"/>
      <c r="R17" s="91">
        <v>2.70379638671875</v>
      </c>
      <c r="S17" s="91">
        <v>139.48928833007812</v>
      </c>
      <c r="T17" s="91">
        <v>1.418583631515503</v>
      </c>
      <c r="U17" s="91">
        <v>0.2976078391075134</v>
      </c>
      <c r="V17" s="91">
        <v>0.29982811212539673</v>
      </c>
      <c r="W17" s="91">
        <v>90.55989074707031</v>
      </c>
      <c r="X17" s="91">
        <v>0.5319479703903198</v>
      </c>
      <c r="Y17" s="91" t="s">
        <v>82</v>
      </c>
      <c r="Z17" s="91">
        <v>0.726446807384491</v>
      </c>
      <c r="AA17" s="91">
        <v>149.081298828125</v>
      </c>
      <c r="AB17" s="91">
        <v>162.0659637451172</v>
      </c>
      <c r="AC17" s="91">
        <v>0.3255208432674408</v>
      </c>
      <c r="AD17" s="91">
        <v>154.31857299804688</v>
      </c>
      <c r="AE17" s="94"/>
      <c r="AF17" s="94"/>
      <c r="AG17" s="94"/>
      <c r="AH17" s="94"/>
      <c r="AI17" s="94"/>
      <c r="AJ17" s="94"/>
      <c r="AK17" s="94"/>
      <c r="AL17" s="91">
        <v>0</v>
      </c>
      <c r="AM17" s="95">
        <v>0.01868554763495922</v>
      </c>
      <c r="AN17" s="96">
        <v>59.72583770751953</v>
      </c>
      <c r="AO17" s="97"/>
      <c r="AP17" s="98">
        <v>-80.1287612915039</v>
      </c>
      <c r="AQ17" s="98">
        <v>0.29521122574806213</v>
      </c>
      <c r="AR17" s="99">
        <v>0.00029773713322356343</v>
      </c>
    </row>
    <row r="18" spans="2:44" ht="13.5" customHeight="1" x14ac:dyDescent="0.25">
      <c r="B18" s="42">
        <v>0.83333333333333404</v>
      </c>
      <c r="C18" s="100">
        <v>6.615306377410889</v>
      </c>
      <c r="D18" s="100">
        <v>19.53667640686035</v>
      </c>
      <c r="E18" s="100">
        <v>417.41595458984375</v>
      </c>
      <c r="F18" s="100">
        <v>0.265500009059906</v>
      </c>
      <c r="G18" s="100">
        <v>0</v>
      </c>
      <c r="H18" s="101">
        <v>419.6911926269531</v>
      </c>
      <c r="I18" s="102">
        <v>23.951099395751953</v>
      </c>
      <c r="J18" s="100">
        <v>0.019866211339831352</v>
      </c>
      <c r="K18" s="100">
        <v>44.089988708496094</v>
      </c>
      <c r="L18" s="100">
        <v>1.4027235507965088</v>
      </c>
      <c r="M18" s="100">
        <v>108.18685150146484</v>
      </c>
      <c r="N18" s="100">
        <v>107.97164154052734</v>
      </c>
      <c r="O18" s="100">
        <v>19.966327667236328</v>
      </c>
      <c r="P18" s="100">
        <v>20.1865234375</v>
      </c>
      <c r="Q18" s="100"/>
      <c r="R18" s="100">
        <v>2.7420654296875</v>
      </c>
      <c r="S18" s="100">
        <v>139.69906616210938</v>
      </c>
      <c r="T18" s="100">
        <v>1.4255461692810059</v>
      </c>
      <c r="U18" s="100">
        <v>0.3020279109477997</v>
      </c>
      <c r="V18" s="100">
        <v>0.3001328110694885</v>
      </c>
      <c r="W18" s="100">
        <v>90.39351654052734</v>
      </c>
      <c r="X18" s="100">
        <v>0.5305831432342529</v>
      </c>
      <c r="Y18" s="100">
        <v>0.530258297920227</v>
      </c>
      <c r="Z18" s="100">
        <v>0.7244791984558105</v>
      </c>
      <c r="AA18" s="100">
        <v>149.6383056640625</v>
      </c>
      <c r="AB18" s="100">
        <v>162.2395782470703</v>
      </c>
      <c r="AC18" s="100">
        <v>0.47974538803100586</v>
      </c>
      <c r="AD18" s="100">
        <v>154.50665283203125</v>
      </c>
      <c r="AE18" s="103">
        <v>33.7400016784668</v>
      </c>
      <c r="AF18" s="103"/>
      <c r="AG18" s="103"/>
      <c r="AH18" s="103">
        <v>15.539999961853027</v>
      </c>
      <c r="AI18" s="103"/>
      <c r="AJ18" s="103"/>
      <c r="AK18" s="103">
        <v>7.300000190734863</v>
      </c>
      <c r="AL18" s="100">
        <v>89.97395324707031</v>
      </c>
      <c r="AM18" s="104">
        <v>0.01559619139879942</v>
      </c>
      <c r="AN18" s="105">
        <v>57.34230041503906</v>
      </c>
      <c r="AO18" s="97"/>
      <c r="AP18" s="98">
        <v>-79.96238708496094</v>
      </c>
      <c r="AQ18" s="98">
        <v>0.28848379850387573</v>
      </c>
      <c r="AR18" s="106">
        <v>0.0002996368275489658</v>
      </c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14">
        <v>0.33333333333333331</v>
      </c>
      <c r="C22" s="91">
        <v>-79.74536895751953</v>
      </c>
      <c r="D22" s="91">
        <v>-80.79427337646484</v>
      </c>
      <c r="E22" s="91">
        <v>103.125</v>
      </c>
      <c r="F22" s="91">
        <v>0.08369502425193787</v>
      </c>
      <c r="G22" s="91"/>
      <c r="H22" s="91"/>
      <c r="I22" s="91"/>
      <c r="J22" s="91"/>
      <c r="K22" s="91"/>
      <c r="L22" s="92"/>
      <c r="M22" s="107">
        <v>78.41796875</v>
      </c>
      <c r="N22" s="91">
        <v>47.22222137451172</v>
      </c>
      <c r="O22" s="91">
        <v>39.5</v>
      </c>
      <c r="P22" s="91">
        <v>22</v>
      </c>
      <c r="Q22" s="91">
        <v>3.4479167461395264</v>
      </c>
      <c r="R22" s="91">
        <v>18.797019958496094</v>
      </c>
      <c r="S22" s="108">
        <v>91.38092803955078</v>
      </c>
      <c r="T22" s="108">
        <v>15</v>
      </c>
      <c r="U22" s="108">
        <v>0</v>
      </c>
      <c r="V22" s="108">
        <v>66.60699462890625</v>
      </c>
      <c r="W22" s="108">
        <v>103.88997650146484</v>
      </c>
      <c r="X22" s="108">
        <v>27</v>
      </c>
      <c r="Y22" s="108">
        <v>71.58546447753906</v>
      </c>
      <c r="Z22" s="108">
        <v>13.547091484069824</v>
      </c>
      <c r="AA22" s="108">
        <v>17.97960090637207</v>
      </c>
      <c r="AB22" s="108"/>
      <c r="AC22" s="95"/>
      <c r="AD22" s="95">
        <v>0</v>
      </c>
      <c r="AE22" s="95"/>
      <c r="AF22" s="95">
        <v>22.64539909362793</v>
      </c>
      <c r="AG22" s="95">
        <v>15.534577369689941</v>
      </c>
      <c r="AH22" s="95"/>
      <c r="AI22" s="109"/>
      <c r="AJ22" s="109"/>
      <c r="AK22" s="109"/>
      <c r="AL22" s="109"/>
      <c r="AM22" s="109"/>
      <c r="AN22" s="95">
        <v>44.39380645751953</v>
      </c>
      <c r="AO22" s="96">
        <v>50</v>
      </c>
      <c r="AP22" s="97">
        <v>23.672597885131836</v>
      </c>
      <c r="AQ22" s="98">
        <v>39.713539123535156</v>
      </c>
      <c r="AR22" s="99">
        <v>0.0868072509765625</v>
      </c>
    </row>
    <row r="23" spans="2:44" ht="13.5" customHeight="1" x14ac:dyDescent="0.25">
      <c r="B23" s="14">
        <v>0.375</v>
      </c>
      <c r="C23" s="91">
        <v>-79.65132904052734</v>
      </c>
      <c r="D23" s="91">
        <v>-80.85214233398438</v>
      </c>
      <c r="E23" s="91">
        <v>103.12861633300781</v>
      </c>
      <c r="F23" s="91">
        <v>0.0783420130610466</v>
      </c>
      <c r="G23" s="91">
        <v>8.756446914048865E-05</v>
      </c>
      <c r="H23" s="91"/>
      <c r="I23" s="91"/>
      <c r="J23" s="91"/>
      <c r="K23" s="91"/>
      <c r="L23" s="92"/>
      <c r="M23" s="107">
        <v>78.09606170654297</v>
      </c>
      <c r="N23" s="91">
        <v>48.12644577026367</v>
      </c>
      <c r="O23" s="91">
        <v>39.5</v>
      </c>
      <c r="P23" s="91">
        <v>22</v>
      </c>
      <c r="Q23" s="91">
        <v>3.6892361640930176</v>
      </c>
      <c r="R23" s="91">
        <v>19.440826416015625</v>
      </c>
      <c r="S23" s="108">
        <v>95.63801574707031</v>
      </c>
      <c r="T23" s="108">
        <v>35</v>
      </c>
      <c r="U23" s="108">
        <v>71.04166412353516</v>
      </c>
      <c r="V23" s="108">
        <v>17.18207550048828</v>
      </c>
      <c r="W23" s="108">
        <v>19.24913215637207</v>
      </c>
      <c r="X23" s="108">
        <v>0</v>
      </c>
      <c r="Y23" s="108">
        <v>18.831199645996094</v>
      </c>
      <c r="Z23" s="108">
        <v>14.751519203186035</v>
      </c>
      <c r="AA23" s="108">
        <v>131.23915100097656</v>
      </c>
      <c r="AB23" s="108"/>
      <c r="AC23" s="95"/>
      <c r="AD23" s="95">
        <v>1.5482856035232544</v>
      </c>
      <c r="AE23" s="95">
        <v>0.001264831516891718</v>
      </c>
      <c r="AF23" s="95">
        <v>22.562210083007812</v>
      </c>
      <c r="AG23" s="95">
        <v>16.597946166992188</v>
      </c>
      <c r="AH23" s="95"/>
      <c r="AI23" s="109"/>
      <c r="AJ23" s="109"/>
      <c r="AK23" s="109"/>
      <c r="AL23" s="109"/>
      <c r="AM23" s="109"/>
      <c r="AN23" s="95">
        <v>48.206016540527344</v>
      </c>
      <c r="AO23" s="96">
        <v>50</v>
      </c>
      <c r="AP23" s="97">
        <v>23.726852416992188</v>
      </c>
      <c r="AQ23" s="98">
        <v>39.58333206176758</v>
      </c>
      <c r="AR23" s="99">
        <v>0.0868072509765625</v>
      </c>
    </row>
    <row r="24" spans="2:44" ht="13.5" customHeight="1" x14ac:dyDescent="0.25">
      <c r="B24" s="14">
        <v>0.41666666666666702</v>
      </c>
      <c r="C24" s="91">
        <v>-79.69473266601562</v>
      </c>
      <c r="D24" s="91">
        <v>-80.94618225097656</v>
      </c>
      <c r="E24" s="91">
        <v>103.12861633300781</v>
      </c>
      <c r="F24" s="91">
        <v>0.09997106343507767</v>
      </c>
      <c r="G24" s="91">
        <v>9.597587632015347E-05</v>
      </c>
      <c r="H24" s="91"/>
      <c r="I24" s="91"/>
      <c r="J24" s="91"/>
      <c r="K24" s="91"/>
      <c r="L24" s="92"/>
      <c r="M24" s="107">
        <v>79.41622924804688</v>
      </c>
      <c r="N24" s="91">
        <v>47.29817581176758</v>
      </c>
      <c r="O24" s="91">
        <v>39.5</v>
      </c>
      <c r="P24" s="91">
        <v>22</v>
      </c>
      <c r="Q24" s="91">
        <v>3.620225667953491</v>
      </c>
      <c r="R24" s="91">
        <v>19.87847137451172</v>
      </c>
      <c r="S24" s="108">
        <v>95.2944107055664</v>
      </c>
      <c r="T24" s="108">
        <v>35</v>
      </c>
      <c r="U24" s="108">
        <v>70.7781753540039</v>
      </c>
      <c r="V24" s="108">
        <v>17.333984375</v>
      </c>
      <c r="W24" s="108">
        <v>19.41731834411621</v>
      </c>
      <c r="X24" s="108">
        <v>0</v>
      </c>
      <c r="Y24" s="108">
        <v>0</v>
      </c>
      <c r="Z24" s="108">
        <v>47.224029541015625</v>
      </c>
      <c r="AA24" s="108">
        <v>104.21007537841797</v>
      </c>
      <c r="AB24" s="108"/>
      <c r="AC24" s="95"/>
      <c r="AD24" s="95">
        <v>1.5483940839767456</v>
      </c>
      <c r="AE24" s="95">
        <v>0.0014491577167063951</v>
      </c>
      <c r="AF24" s="95">
        <v>22.641782760620117</v>
      </c>
      <c r="AG24" s="95">
        <v>31.799768447875977</v>
      </c>
      <c r="AH24" s="95"/>
      <c r="AI24" s="109"/>
      <c r="AJ24" s="109"/>
      <c r="AK24" s="109"/>
      <c r="AL24" s="109"/>
      <c r="AM24" s="109"/>
      <c r="AN24" s="95">
        <v>46.18778991699219</v>
      </c>
      <c r="AO24" s="96">
        <v>50</v>
      </c>
      <c r="AP24" s="97">
        <v>23.961950302124023</v>
      </c>
      <c r="AQ24" s="98">
        <v>39.56524658203125</v>
      </c>
      <c r="AR24" s="99">
        <v>0.0868072509765625</v>
      </c>
    </row>
    <row r="25" spans="2:44" ht="13.5" customHeight="1" x14ac:dyDescent="0.25">
      <c r="B25" s="14">
        <v>0.45833333333333298</v>
      </c>
      <c r="C25" s="91">
        <v>-79.77430725097656</v>
      </c>
      <c r="D25" s="91">
        <v>-80.98958587646484</v>
      </c>
      <c r="E25" s="91">
        <v>103.125</v>
      </c>
      <c r="F25" s="91">
        <v>0.103515625</v>
      </c>
      <c r="G25" s="91">
        <v>8.905410504667088E-05</v>
      </c>
      <c r="H25" s="91"/>
      <c r="I25" s="91"/>
      <c r="J25" s="91"/>
      <c r="K25" s="91"/>
      <c r="L25" s="92"/>
      <c r="M25" s="107">
        <v>78.33839416503906</v>
      </c>
      <c r="N25" s="91">
        <v>46.83159637451172</v>
      </c>
      <c r="O25" s="91">
        <v>39.5</v>
      </c>
      <c r="P25" s="91">
        <v>22</v>
      </c>
      <c r="Q25" s="91">
        <v>3.499131917953491</v>
      </c>
      <c r="R25" s="91">
        <v>20.189525604248047</v>
      </c>
      <c r="S25" s="108">
        <v>93.85488891601562</v>
      </c>
      <c r="T25" s="108">
        <v>35</v>
      </c>
      <c r="U25" s="108">
        <v>70.48104858398438</v>
      </c>
      <c r="V25" s="108">
        <v>17.34483528137207</v>
      </c>
      <c r="W25" s="108">
        <v>19.704862594604492</v>
      </c>
      <c r="X25" s="108">
        <v>0</v>
      </c>
      <c r="Y25" s="108">
        <v>0</v>
      </c>
      <c r="Z25" s="108">
        <v>41.36827087402344</v>
      </c>
      <c r="AA25" s="108">
        <v>74.8046875</v>
      </c>
      <c r="AB25" s="108"/>
      <c r="AC25" s="95"/>
      <c r="AD25" s="95">
        <v>1.5483940839767456</v>
      </c>
      <c r="AE25" s="95">
        <v>0.0015415954403579235</v>
      </c>
      <c r="AF25" s="95">
        <v>22.019676208496094</v>
      </c>
      <c r="AG25" s="95">
        <v>26.576967239379883</v>
      </c>
      <c r="AH25" s="95"/>
      <c r="AI25" s="109"/>
      <c r="AJ25" s="109"/>
      <c r="AK25" s="109"/>
      <c r="AL25" s="109"/>
      <c r="AM25" s="109"/>
      <c r="AN25" s="95">
        <v>53.776039123535156</v>
      </c>
      <c r="AO25" s="96">
        <v>50</v>
      </c>
      <c r="AP25" s="97">
        <v>24.27842903137207</v>
      </c>
      <c r="AQ25" s="98">
        <v>39.438655853271484</v>
      </c>
      <c r="AR25" s="99">
        <v>0.0868072509765625</v>
      </c>
    </row>
    <row r="26" spans="2:44" ht="13.5" customHeight="1" x14ac:dyDescent="0.25">
      <c r="B26" s="14">
        <v>0.5</v>
      </c>
      <c r="C26" s="91">
        <v>-79.80323791503906</v>
      </c>
      <c r="D26" s="91">
        <v>-81.0040512084961</v>
      </c>
      <c r="E26" s="91">
        <v>103.125</v>
      </c>
      <c r="F26" s="91">
        <v>0.08260995149612427</v>
      </c>
      <c r="G26" s="91">
        <v>9.596061863703653E-05</v>
      </c>
      <c r="H26" s="91"/>
      <c r="I26" s="91"/>
      <c r="J26" s="91"/>
      <c r="K26" s="91"/>
      <c r="L26" s="92"/>
      <c r="M26" s="107">
        <v>77.88628387451172</v>
      </c>
      <c r="N26" s="91">
        <v>47.08477783203125</v>
      </c>
      <c r="O26" s="91">
        <v>39.5</v>
      </c>
      <c r="P26" s="91">
        <v>22</v>
      </c>
      <c r="Q26" s="91">
        <v>3.358506917953491</v>
      </c>
      <c r="R26" s="91">
        <v>20.36675262451172</v>
      </c>
      <c r="S26" s="108">
        <v>93.94892883300781</v>
      </c>
      <c r="T26" s="108">
        <v>35</v>
      </c>
      <c r="U26" s="108">
        <v>71.2939453125</v>
      </c>
      <c r="V26" s="108">
        <v>17.17122459411621</v>
      </c>
      <c r="W26" s="108">
        <v>20.008682250976562</v>
      </c>
      <c r="X26" s="108">
        <v>0</v>
      </c>
      <c r="Y26" s="108">
        <v>0</v>
      </c>
      <c r="Z26" s="108">
        <v>40.024593353271484</v>
      </c>
      <c r="AA26" s="108">
        <v>66.27604675292969</v>
      </c>
      <c r="AB26" s="108"/>
      <c r="AC26" s="95"/>
      <c r="AD26" s="95">
        <v>1.5483940839767456</v>
      </c>
      <c r="AE26" s="95">
        <v>0.0014685058267787099</v>
      </c>
      <c r="AF26" s="95">
        <v>22.395832061767578</v>
      </c>
      <c r="AG26" s="95">
        <v>16.11328125</v>
      </c>
      <c r="AH26" s="95"/>
      <c r="AI26" s="109"/>
      <c r="AJ26" s="109"/>
      <c r="AK26" s="109"/>
      <c r="AL26" s="109"/>
      <c r="AM26" s="109"/>
      <c r="AN26" s="95">
        <v>54.91897964477539</v>
      </c>
      <c r="AO26" s="96">
        <v>50</v>
      </c>
      <c r="AP26" s="97">
        <v>24.567781448364258</v>
      </c>
      <c r="AQ26" s="98">
        <v>39.46759033203125</v>
      </c>
      <c r="AR26" s="99">
        <v>0.0868072509765625</v>
      </c>
    </row>
    <row r="27" spans="2:44" ht="13.5" customHeight="1" x14ac:dyDescent="0.25">
      <c r="B27" s="14">
        <v>0.54166666666666596</v>
      </c>
      <c r="C27" s="91">
        <v>-79.87557983398438</v>
      </c>
      <c r="D27" s="91">
        <v>-80.97511291503906</v>
      </c>
      <c r="E27" s="91">
        <v>103.12861633300781</v>
      </c>
      <c r="F27" s="91">
        <v>0.08065682649612427</v>
      </c>
      <c r="G27" s="91">
        <v>9.033775131683797E-05</v>
      </c>
      <c r="H27" s="91"/>
      <c r="I27" s="91"/>
      <c r="J27" s="91"/>
      <c r="K27" s="91"/>
      <c r="L27" s="92"/>
      <c r="M27" s="107">
        <v>77.7813949584961</v>
      </c>
      <c r="N27" s="91">
        <v>46.87861633300781</v>
      </c>
      <c r="O27" s="91">
        <v>39.5</v>
      </c>
      <c r="P27" s="91">
        <v>22</v>
      </c>
      <c r="Q27" s="91">
        <v>3.625434160232544</v>
      </c>
      <c r="R27" s="91">
        <v>20.62717056274414</v>
      </c>
      <c r="S27" s="108">
        <v>96.2420425415039</v>
      </c>
      <c r="T27" s="108">
        <v>35</v>
      </c>
      <c r="U27" s="108">
        <v>70.80059814453125</v>
      </c>
      <c r="V27" s="108">
        <v>17.19835090637207</v>
      </c>
      <c r="W27" s="108">
        <v>20.20941925048828</v>
      </c>
      <c r="X27" s="108">
        <v>0</v>
      </c>
      <c r="Y27" s="108">
        <v>0</v>
      </c>
      <c r="Z27" s="108">
        <v>38.30837631225586</v>
      </c>
      <c r="AA27" s="108">
        <v>62.61393356323242</v>
      </c>
      <c r="AB27" s="108"/>
      <c r="AC27" s="95"/>
      <c r="AD27" s="95">
        <v>1.5484483242034912</v>
      </c>
      <c r="AE27" s="95">
        <v>0.0015387573512271047</v>
      </c>
      <c r="AF27" s="95">
        <v>22.771989822387695</v>
      </c>
      <c r="AG27" s="95">
        <v>19.220195770263672</v>
      </c>
      <c r="AH27" s="95"/>
      <c r="AI27" s="109"/>
      <c r="AJ27" s="109"/>
      <c r="AK27" s="109"/>
      <c r="AL27" s="109"/>
      <c r="AM27" s="109"/>
      <c r="AN27" s="95">
        <v>53.682003021240234</v>
      </c>
      <c r="AO27" s="96">
        <v>50</v>
      </c>
      <c r="AP27" s="97">
        <v>24.84809112548828</v>
      </c>
      <c r="AQ27" s="98">
        <v>39.7858772277832</v>
      </c>
      <c r="AR27" s="99">
        <v>0.0868072509765625</v>
      </c>
    </row>
    <row r="28" spans="2:44" ht="13.5" customHeight="1" x14ac:dyDescent="0.25">
      <c r="B28" s="14">
        <v>0.58333333333333304</v>
      </c>
      <c r="C28" s="91">
        <v>-79.99131774902344</v>
      </c>
      <c r="D28" s="91">
        <v>-81.01851654052734</v>
      </c>
      <c r="E28" s="91">
        <v>103.12861633300781</v>
      </c>
      <c r="F28" s="91">
        <v>0.07327836006879807</v>
      </c>
      <c r="G28" s="91">
        <v>9.503364708507434E-05</v>
      </c>
      <c r="H28" s="91"/>
      <c r="I28" s="91"/>
      <c r="J28" s="91"/>
      <c r="K28" s="91"/>
      <c r="L28" s="92"/>
      <c r="M28" s="107">
        <v>77.59693145751953</v>
      </c>
      <c r="N28" s="91">
        <v>47.47902297973633</v>
      </c>
      <c r="O28" s="91">
        <v>39.5</v>
      </c>
      <c r="P28" s="91">
        <v>22</v>
      </c>
      <c r="Q28" s="91">
        <v>3.471788167953491</v>
      </c>
      <c r="R28" s="91">
        <v>21.307146072387695</v>
      </c>
      <c r="S28" s="108">
        <v>96.01055908203125</v>
      </c>
      <c r="T28" s="108">
        <v>35</v>
      </c>
      <c r="U28" s="108">
        <v>0</v>
      </c>
      <c r="V28" s="108">
        <v>17.44249153137207</v>
      </c>
      <c r="W28" s="108">
        <v>134.3858642578125</v>
      </c>
      <c r="X28" s="108">
        <v>26</v>
      </c>
      <c r="Y28" s="108">
        <v>71.2939453125</v>
      </c>
      <c r="Z28" s="108">
        <v>18.15321159362793</v>
      </c>
      <c r="AA28" s="108">
        <v>21.09917640686035</v>
      </c>
      <c r="AB28" s="108"/>
      <c r="AC28" s="95"/>
      <c r="AD28" s="95">
        <v>1.5482856035232544</v>
      </c>
      <c r="AE28" s="95">
        <v>0.0012287597637623549</v>
      </c>
      <c r="AF28" s="95">
        <v>23.097511291503906</v>
      </c>
      <c r="AG28" s="95">
        <v>18.28342056274414</v>
      </c>
      <c r="AH28" s="95"/>
      <c r="AI28" s="109"/>
      <c r="AJ28" s="109"/>
      <c r="AK28" s="109"/>
      <c r="AL28" s="109"/>
      <c r="AM28" s="109"/>
      <c r="AN28" s="95">
        <v>52.9296875</v>
      </c>
      <c r="AO28" s="96">
        <v>50</v>
      </c>
      <c r="AP28" s="97">
        <v>24.567781448364258</v>
      </c>
      <c r="AQ28" s="98">
        <v>40.219905853271484</v>
      </c>
      <c r="AR28" s="99">
        <v>0.0868072509765625</v>
      </c>
    </row>
    <row r="29" spans="2:44" ht="13.5" customHeight="1" x14ac:dyDescent="0.25">
      <c r="B29" s="14">
        <v>0.625</v>
      </c>
      <c r="C29" s="91">
        <v>-80.04195404052734</v>
      </c>
      <c r="D29" s="91">
        <v>-81.0040512084961</v>
      </c>
      <c r="E29" s="91">
        <v>103.13946533203125</v>
      </c>
      <c r="F29" s="91">
        <v>0.0785590261220932</v>
      </c>
      <c r="G29" s="91">
        <v>9.252166637452319E-05</v>
      </c>
      <c r="H29" s="91"/>
      <c r="I29" s="91"/>
      <c r="J29" s="91"/>
      <c r="K29" s="91"/>
      <c r="L29" s="92"/>
      <c r="M29" s="107">
        <v>77.74522399902344</v>
      </c>
      <c r="N29" s="91">
        <v>47.22583770751953</v>
      </c>
      <c r="O29" s="91">
        <v>39.5</v>
      </c>
      <c r="P29" s="91">
        <v>22</v>
      </c>
      <c r="Q29" s="91">
        <v>3.4869792461395264</v>
      </c>
      <c r="R29" s="91">
        <v>21.068431854248047</v>
      </c>
      <c r="S29" s="108">
        <v>95.27271270751953</v>
      </c>
      <c r="T29" s="108">
        <v>35</v>
      </c>
      <c r="U29" s="108">
        <v>0</v>
      </c>
      <c r="V29" s="108">
        <v>16.31944465637207</v>
      </c>
      <c r="W29" s="108">
        <v>81.14691925048828</v>
      </c>
      <c r="X29" s="108">
        <v>26</v>
      </c>
      <c r="Y29" s="108">
        <v>72.00593566894531</v>
      </c>
      <c r="Z29" s="108">
        <v>17.2562198638916</v>
      </c>
      <c r="AA29" s="108">
        <v>20.22569465637207</v>
      </c>
      <c r="AB29" s="108"/>
      <c r="AC29" s="95"/>
      <c r="AD29" s="95">
        <v>1.5483940839767456</v>
      </c>
      <c r="AE29" s="95">
        <v>0.0015320739476010203</v>
      </c>
      <c r="AF29" s="95">
        <v>22.345195770263672</v>
      </c>
      <c r="AG29" s="95">
        <v>16.42795181274414</v>
      </c>
      <c r="AH29" s="95"/>
      <c r="AI29" s="109"/>
      <c r="AJ29" s="109"/>
      <c r="AK29" s="109"/>
      <c r="AL29" s="109"/>
      <c r="AM29" s="109"/>
      <c r="AN29" s="95">
        <v>52.61863327026367</v>
      </c>
      <c r="AO29" s="96">
        <v>50</v>
      </c>
      <c r="AP29" s="97">
        <v>24.341724395751953</v>
      </c>
      <c r="AQ29" s="98">
        <v>40.60691452026367</v>
      </c>
      <c r="AR29" s="99">
        <v>0.09766387939453125</v>
      </c>
    </row>
    <row r="30" spans="2:44" ht="13.5" customHeight="1" x14ac:dyDescent="0.25">
      <c r="B30" s="14">
        <v>0.66666666666666596</v>
      </c>
      <c r="C30" s="91">
        <v>-80.078125</v>
      </c>
      <c r="D30" s="91">
        <v>-80.98958587646484</v>
      </c>
      <c r="E30" s="91">
        <v>103.12861633300781</v>
      </c>
      <c r="F30" s="91">
        <v>0.09382233768701553</v>
      </c>
      <c r="G30" s="91">
        <v>9.441185102332383E-05</v>
      </c>
      <c r="H30" s="91"/>
      <c r="I30" s="91"/>
      <c r="J30" s="91"/>
      <c r="K30" s="91"/>
      <c r="L30" s="92"/>
      <c r="M30" s="107">
        <v>77.89713287353516</v>
      </c>
      <c r="N30" s="91">
        <v>47.294559478759766</v>
      </c>
      <c r="O30" s="91">
        <v>39.5</v>
      </c>
      <c r="P30" s="91">
        <v>22</v>
      </c>
      <c r="Q30" s="91">
        <v>3.51171875</v>
      </c>
      <c r="R30" s="91">
        <v>20.36675262451172</v>
      </c>
      <c r="S30" s="108">
        <v>97.4898681640625</v>
      </c>
      <c r="T30" s="108">
        <v>35</v>
      </c>
      <c r="U30" s="108">
        <v>0</v>
      </c>
      <c r="V30" s="108">
        <v>17.567276000976562</v>
      </c>
      <c r="W30" s="108">
        <v>65.37543487548828</v>
      </c>
      <c r="X30" s="108">
        <v>25.75</v>
      </c>
      <c r="Y30" s="108">
        <v>69.89800262451172</v>
      </c>
      <c r="Z30" s="108">
        <v>16.47135353088379</v>
      </c>
      <c r="AA30" s="108">
        <v>19.401042938232422</v>
      </c>
      <c r="AB30" s="108"/>
      <c r="AC30" s="95"/>
      <c r="AD30" s="95">
        <v>1.5483940839767456</v>
      </c>
      <c r="AE30" s="95">
        <v>0.0014918212546035647</v>
      </c>
      <c r="AF30" s="95">
        <v>23.245803833007812</v>
      </c>
      <c r="AG30" s="95">
        <v>14.0480318069458</v>
      </c>
      <c r="AH30" s="95"/>
      <c r="AI30" s="109"/>
      <c r="AJ30" s="109"/>
      <c r="AK30" s="109"/>
      <c r="AL30" s="109"/>
      <c r="AM30" s="109"/>
      <c r="AN30" s="95">
        <v>53.4577522277832</v>
      </c>
      <c r="AO30" s="96">
        <v>50</v>
      </c>
      <c r="AP30" s="97">
        <v>24.27842903137207</v>
      </c>
      <c r="AQ30" s="98">
        <v>40.01374435424805</v>
      </c>
      <c r="AR30" s="99">
        <v>0.0868072509765625</v>
      </c>
    </row>
    <row r="31" spans="2:44" ht="13.5" customHeight="1" x14ac:dyDescent="0.25">
      <c r="B31" s="14">
        <v>0.70833333333333304</v>
      </c>
      <c r="C31" s="91">
        <v>-80.06365966796875</v>
      </c>
      <c r="D31" s="91">
        <v>-80.99681854248047</v>
      </c>
      <c r="E31" s="91">
        <v>103.13223266601562</v>
      </c>
      <c r="F31" s="91">
        <v>0.09816261380910873</v>
      </c>
      <c r="G31" s="91">
        <v>0.00010012054553953931</v>
      </c>
      <c r="H31" s="91"/>
      <c r="I31" s="91"/>
      <c r="J31" s="91"/>
      <c r="K31" s="91"/>
      <c r="L31" s="92"/>
      <c r="M31" s="107">
        <v>77.69820404052734</v>
      </c>
      <c r="N31" s="91">
        <v>47.507957458496094</v>
      </c>
      <c r="O31" s="91">
        <v>39.5</v>
      </c>
      <c r="P31" s="91">
        <v>22</v>
      </c>
      <c r="Q31" s="91">
        <v>3.4275174140930176</v>
      </c>
      <c r="R31" s="91">
        <v>20.091869354248047</v>
      </c>
      <c r="S31" s="108">
        <v>91.53645324707031</v>
      </c>
      <c r="T31" s="108">
        <v>35</v>
      </c>
      <c r="U31" s="108">
        <v>0</v>
      </c>
      <c r="V31" s="108">
        <v>18.093534469604492</v>
      </c>
      <c r="W31" s="108">
        <v>60.54145431518555</v>
      </c>
      <c r="X31" s="108">
        <v>31.5</v>
      </c>
      <c r="Y31" s="108">
        <v>81.44115447998047</v>
      </c>
      <c r="Z31" s="108">
        <v>16.219980239868164</v>
      </c>
      <c r="AA31" s="108">
        <v>19.17317771911621</v>
      </c>
      <c r="AB31" s="108"/>
      <c r="AC31" s="95"/>
      <c r="AD31" s="95">
        <v>0</v>
      </c>
      <c r="AE31" s="95">
        <v>0.0013226318405941129</v>
      </c>
      <c r="AF31" s="95">
        <v>22.967302322387695</v>
      </c>
      <c r="AG31" s="95">
        <v>22.952835083007812</v>
      </c>
      <c r="AH31" s="95"/>
      <c r="AI31" s="109"/>
      <c r="AJ31" s="109"/>
      <c r="AK31" s="109"/>
      <c r="AL31" s="109"/>
      <c r="AM31" s="109"/>
      <c r="AN31" s="95">
        <v>52.69097137451172</v>
      </c>
      <c r="AO31" s="96">
        <v>50</v>
      </c>
      <c r="AP31" s="97">
        <v>24.450231552124023</v>
      </c>
      <c r="AQ31" s="98">
        <v>40.498409271240234</v>
      </c>
      <c r="AR31" s="99">
        <v>0.10851287841796875</v>
      </c>
    </row>
    <row r="32" spans="2:44" ht="13.5" customHeight="1" x14ac:dyDescent="0.25">
      <c r="B32" s="14">
        <v>0.75</v>
      </c>
      <c r="C32" s="91">
        <v>-80.0491943359375</v>
      </c>
      <c r="D32" s="91">
        <v>-80.98234558105469</v>
      </c>
      <c r="E32" s="91">
        <v>103.125</v>
      </c>
      <c r="F32" s="91">
        <v>0.0993923619389534</v>
      </c>
      <c r="G32" s="91">
        <v>9.152603161055595E-05</v>
      </c>
      <c r="H32" s="91"/>
      <c r="I32" s="91"/>
      <c r="J32" s="91"/>
      <c r="K32" s="91"/>
      <c r="L32" s="92"/>
      <c r="M32" s="107">
        <v>77.7813949584961</v>
      </c>
      <c r="N32" s="91">
        <v>47.51880645751953</v>
      </c>
      <c r="O32" s="91">
        <v>39.5</v>
      </c>
      <c r="P32" s="91">
        <v>22</v>
      </c>
      <c r="Q32" s="91">
        <v>3.355034828186035</v>
      </c>
      <c r="R32" s="91">
        <v>20.044849395751953</v>
      </c>
      <c r="S32" s="108">
        <v>98.4375</v>
      </c>
      <c r="T32" s="108">
        <v>35</v>
      </c>
      <c r="U32" s="108">
        <v>0</v>
      </c>
      <c r="V32" s="108">
        <v>17.80599021911621</v>
      </c>
      <c r="W32" s="108">
        <v>57.036678314208984</v>
      </c>
      <c r="X32" s="108">
        <v>31.5</v>
      </c>
      <c r="Y32" s="108">
        <v>81.89525604248047</v>
      </c>
      <c r="Z32" s="108">
        <v>16.03732681274414</v>
      </c>
      <c r="AA32" s="108">
        <v>19.39561653137207</v>
      </c>
      <c r="AB32" s="108"/>
      <c r="AC32" s="95"/>
      <c r="AD32" s="95">
        <v>1.54833984375</v>
      </c>
      <c r="AE32" s="95">
        <v>0.0015238646883517504</v>
      </c>
      <c r="AF32" s="95">
        <v>22.42838478088379</v>
      </c>
      <c r="AG32" s="95">
        <v>16.941551208496094</v>
      </c>
      <c r="AH32" s="95">
        <v>562.0999755859375</v>
      </c>
      <c r="AI32" s="109"/>
      <c r="AJ32" s="109"/>
      <c r="AK32" s="109"/>
      <c r="AL32" s="109"/>
      <c r="AM32" s="109"/>
      <c r="AN32" s="95">
        <v>51.121238708496094</v>
      </c>
      <c r="AO32" s="96">
        <v>50</v>
      </c>
      <c r="AP32" s="97">
        <v>24.296512603759766</v>
      </c>
      <c r="AQ32" s="98">
        <v>39.94140625</v>
      </c>
      <c r="AR32" s="99">
        <v>0.11936187744140625</v>
      </c>
    </row>
    <row r="33" spans="2:44" ht="13.5" customHeight="1" x14ac:dyDescent="0.25">
      <c r="B33" s="14">
        <v>0.79166666666666696</v>
      </c>
      <c r="C33" s="91">
        <v>-80.1287612915039</v>
      </c>
      <c r="D33" s="91">
        <v>-80.98234558105469</v>
      </c>
      <c r="E33" s="91">
        <v>103.13223266601562</v>
      </c>
      <c r="F33" s="91">
        <v>0.011791087687015533</v>
      </c>
      <c r="G33" s="91">
        <v>9.823989967117086E-05</v>
      </c>
      <c r="H33" s="91"/>
      <c r="I33" s="91"/>
      <c r="J33" s="91"/>
      <c r="K33" s="91"/>
      <c r="L33" s="92"/>
      <c r="M33" s="107">
        <v>77.70182037353516</v>
      </c>
      <c r="N33" s="91">
        <v>47.31987762451172</v>
      </c>
      <c r="O33" s="91">
        <v>39.5</v>
      </c>
      <c r="P33" s="91">
        <v>22</v>
      </c>
      <c r="Q33" s="91">
        <v>3.5607638359069824</v>
      </c>
      <c r="R33" s="91">
        <v>19.864004135131836</v>
      </c>
      <c r="S33" s="108">
        <v>98.6111068725586</v>
      </c>
      <c r="T33" s="108">
        <v>35</v>
      </c>
      <c r="U33" s="108">
        <v>0</v>
      </c>
      <c r="V33" s="108">
        <v>17.431640625</v>
      </c>
      <c r="W33" s="108">
        <v>54.052738189697266</v>
      </c>
      <c r="X33" s="108">
        <v>31.5</v>
      </c>
      <c r="Y33" s="108">
        <v>81.02069091796875</v>
      </c>
      <c r="Z33" s="108">
        <v>15.744357109069824</v>
      </c>
      <c r="AA33" s="108">
        <v>19.15147590637207</v>
      </c>
      <c r="AB33" s="108"/>
      <c r="AC33" s="95"/>
      <c r="AD33" s="95">
        <v>1.54833984375</v>
      </c>
      <c r="AE33" s="95">
        <v>0.0015386657323688269</v>
      </c>
      <c r="AF33" s="95">
        <v>23.386863708496094</v>
      </c>
      <c r="AG33" s="95">
        <v>19.578269958496094</v>
      </c>
      <c r="AH33" s="95">
        <v>612.0999755859375</v>
      </c>
      <c r="AI33" s="109"/>
      <c r="AJ33" s="109"/>
      <c r="AK33" s="109"/>
      <c r="AL33" s="109"/>
      <c r="AM33" s="109"/>
      <c r="AN33" s="95">
        <v>49.95659637451172</v>
      </c>
      <c r="AO33" s="96">
        <v>50</v>
      </c>
      <c r="AP33" s="97">
        <v>24.395977020263672</v>
      </c>
      <c r="AQ33" s="98">
        <v>39.84736633300781</v>
      </c>
      <c r="AR33" s="99">
        <v>0.11936187744140625</v>
      </c>
    </row>
    <row r="34" spans="2:44" ht="13.5" customHeight="1" x14ac:dyDescent="0.25">
      <c r="B34" s="15">
        <v>0.83333333333333304</v>
      </c>
      <c r="C34" s="100">
        <v>-79.96238708496094</v>
      </c>
      <c r="D34" s="100">
        <v>-81.0040512084961</v>
      </c>
      <c r="E34" s="100">
        <v>103.12861633300781</v>
      </c>
      <c r="F34" s="100">
        <v>0.08434606343507767</v>
      </c>
      <c r="G34" s="100">
        <v>8.686637738719583E-05</v>
      </c>
      <c r="H34" s="100"/>
      <c r="I34" s="100"/>
      <c r="J34" s="100"/>
      <c r="K34" s="100"/>
      <c r="L34" s="101"/>
      <c r="M34" s="110">
        <v>77.9803237915039</v>
      </c>
      <c r="N34" s="100">
        <v>47.4030647277832</v>
      </c>
      <c r="O34" s="100">
        <v>39.5</v>
      </c>
      <c r="P34" s="100">
        <v>22</v>
      </c>
      <c r="Q34" s="100">
        <v>3.3984375</v>
      </c>
      <c r="R34" s="100">
        <v>19.30338478088379</v>
      </c>
      <c r="S34" s="111">
        <v>94.19849395751953</v>
      </c>
      <c r="T34" s="111">
        <v>35</v>
      </c>
      <c r="U34" s="111">
        <v>0</v>
      </c>
      <c r="V34" s="111">
        <v>18.15863800048828</v>
      </c>
      <c r="W34" s="111">
        <v>51.562503814697266</v>
      </c>
      <c r="X34" s="111">
        <v>29</v>
      </c>
      <c r="Y34" s="111">
        <v>73.28414154052734</v>
      </c>
      <c r="Z34" s="111">
        <v>15.181929588317871</v>
      </c>
      <c r="AA34" s="111">
        <v>18.80967903137207</v>
      </c>
      <c r="AB34" s="111"/>
      <c r="AC34" s="104"/>
      <c r="AD34" s="104">
        <v>1.5482313632965088</v>
      </c>
      <c r="AE34" s="104">
        <v>0.001151947071775794</v>
      </c>
      <c r="AF34" s="104">
        <v>22.858795166015625</v>
      </c>
      <c r="AG34" s="104">
        <v>21.379484176635742</v>
      </c>
      <c r="AH34" s="104"/>
      <c r="AI34" s="112"/>
      <c r="AJ34" s="112"/>
      <c r="AK34" s="112"/>
      <c r="AL34" s="112"/>
      <c r="AM34" s="112"/>
      <c r="AN34" s="104">
        <v>48.53877258300781</v>
      </c>
      <c r="AO34" s="105">
        <v>50</v>
      </c>
      <c r="AP34" s="113">
        <v>23.62738800048828</v>
      </c>
      <c r="AQ34" s="114">
        <v>39.503761291503906</v>
      </c>
      <c r="AR34" s="115">
        <v>0.0868072509765625</v>
      </c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14">
        <v>0.33333333333333331</v>
      </c>
      <c r="C39" s="91">
        <v>0</v>
      </c>
      <c r="D39" s="91"/>
      <c r="E39" s="91">
        <v>51.142940521240234</v>
      </c>
      <c r="F39" s="91"/>
      <c r="G39" s="91"/>
      <c r="H39" s="91">
        <v>0</v>
      </c>
      <c r="I39" s="91"/>
      <c r="J39" s="91">
        <v>24.043331146240234</v>
      </c>
      <c r="K39" s="91">
        <v>40</v>
      </c>
      <c r="L39" s="91">
        <v>46.37767791748047</v>
      </c>
      <c r="M39" s="91">
        <v>0</v>
      </c>
      <c r="N39" s="91"/>
      <c r="O39" s="91">
        <v>25.725187301635742</v>
      </c>
      <c r="P39" s="91">
        <v>0.05000000074505806</v>
      </c>
      <c r="Q39" s="91">
        <v>0.125</v>
      </c>
      <c r="R39" s="91"/>
      <c r="S39" s="91">
        <v>0</v>
      </c>
      <c r="T39" s="91"/>
      <c r="U39" s="108">
        <v>0</v>
      </c>
      <c r="V39" s="116"/>
      <c r="W39" s="117">
        <v>96.4373550415039</v>
      </c>
      <c r="X39" s="108">
        <v>15.104166030883789</v>
      </c>
      <c r="Y39" s="108">
        <v>0</v>
      </c>
      <c r="Z39" s="108">
        <v>0</v>
      </c>
      <c r="AA39" s="108">
        <v>66.60699462890625</v>
      </c>
      <c r="AB39" s="108">
        <v>103.88997650146484</v>
      </c>
      <c r="AC39" s="108">
        <v>28</v>
      </c>
      <c r="AD39" s="108">
        <v>72.68229675292969</v>
      </c>
      <c r="AE39" s="95">
        <v>13.547091484069824</v>
      </c>
      <c r="AF39" s="95">
        <v>17.97960090637207</v>
      </c>
      <c r="AG39" s="95"/>
      <c r="AH39" s="95">
        <v>0</v>
      </c>
      <c r="AI39" s="95">
        <v>0</v>
      </c>
      <c r="AJ39" s="95"/>
      <c r="AK39" s="95">
        <v>90.82754516601562</v>
      </c>
      <c r="AL39" s="96">
        <v>34.9797477722168</v>
      </c>
      <c r="AM39" s="118"/>
      <c r="AN39" s="109"/>
      <c r="AO39" s="95"/>
      <c r="AP39" s="95"/>
      <c r="AQ39" s="95"/>
      <c r="AR39" s="99"/>
    </row>
    <row r="40" spans="2:44" ht="13.5" customHeight="1" x14ac:dyDescent="0.25">
      <c r="B40" s="14">
        <v>0.375</v>
      </c>
      <c r="C40" s="91">
        <v>0</v>
      </c>
      <c r="D40" s="91">
        <v>6.389618079083448E-08</v>
      </c>
      <c r="E40" s="91">
        <v>48.93663024902344</v>
      </c>
      <c r="F40" s="91"/>
      <c r="G40" s="91"/>
      <c r="H40" s="91">
        <v>0</v>
      </c>
      <c r="I40" s="91">
        <v>0</v>
      </c>
      <c r="J40" s="91">
        <v>23.934823989868164</v>
      </c>
      <c r="K40" s="91">
        <v>40</v>
      </c>
      <c r="L40" s="91">
        <v>46.142578125</v>
      </c>
      <c r="M40" s="91">
        <v>0</v>
      </c>
      <c r="N40" s="91">
        <v>0</v>
      </c>
      <c r="O40" s="91">
        <v>25.761356353759766</v>
      </c>
      <c r="P40" s="91">
        <v>0.05000000074505806</v>
      </c>
      <c r="Q40" s="91">
        <v>0.14554397761821747</v>
      </c>
      <c r="R40" s="91">
        <v>0.00011706924124155194</v>
      </c>
      <c r="S40" s="91">
        <v>0</v>
      </c>
      <c r="T40" s="91">
        <v>0</v>
      </c>
      <c r="U40" s="108">
        <v>0</v>
      </c>
      <c r="V40" s="116">
        <v>0</v>
      </c>
      <c r="W40" s="117">
        <v>94.74102783203125</v>
      </c>
      <c r="X40" s="108">
        <v>18.334056854248047</v>
      </c>
      <c r="Y40" s="108">
        <v>30</v>
      </c>
      <c r="Z40" s="108">
        <v>0</v>
      </c>
      <c r="AA40" s="108">
        <v>17.18207550048828</v>
      </c>
      <c r="AB40" s="108">
        <v>19.24913215637207</v>
      </c>
      <c r="AC40" s="108">
        <v>28</v>
      </c>
      <c r="AD40" s="108">
        <v>72.60417175292969</v>
      </c>
      <c r="AE40" s="95">
        <v>14.751519203186035</v>
      </c>
      <c r="AF40" s="95">
        <v>131.23915100097656</v>
      </c>
      <c r="AG40" s="95"/>
      <c r="AH40" s="95">
        <v>0</v>
      </c>
      <c r="AI40" s="95">
        <v>0</v>
      </c>
      <c r="AJ40" s="95">
        <v>0.0002165141049772501</v>
      </c>
      <c r="AK40" s="95">
        <v>88.75868225097656</v>
      </c>
      <c r="AL40" s="96">
        <v>43.842594146728516</v>
      </c>
      <c r="AM40" s="118"/>
      <c r="AN40" s="109"/>
      <c r="AO40" s="95"/>
      <c r="AP40" s="95"/>
      <c r="AQ40" s="95"/>
      <c r="AR40" s="99"/>
    </row>
    <row r="41" spans="2:44" ht="13.5" customHeight="1" x14ac:dyDescent="0.25">
      <c r="B41" s="14">
        <v>0.41666666666666702</v>
      </c>
      <c r="C41" s="91">
        <v>0</v>
      </c>
      <c r="D41" s="91">
        <v>5.060911007603863E-06</v>
      </c>
      <c r="E41" s="91">
        <v>42.838539123535156</v>
      </c>
      <c r="F41" s="91"/>
      <c r="G41" s="91"/>
      <c r="H41" s="91">
        <v>0</v>
      </c>
      <c r="I41" s="91">
        <v>0</v>
      </c>
      <c r="J41" s="91">
        <v>23.880569458007812</v>
      </c>
      <c r="K41" s="91">
        <v>40</v>
      </c>
      <c r="L41" s="91">
        <v>46.31438064575195</v>
      </c>
      <c r="M41" s="91">
        <v>0</v>
      </c>
      <c r="N41" s="91">
        <v>0</v>
      </c>
      <c r="O41" s="91">
        <v>25.996456146240234</v>
      </c>
      <c r="P41" s="91">
        <v>0.05000000074505806</v>
      </c>
      <c r="Q41" s="91">
        <v>0.1356336772441864</v>
      </c>
      <c r="R41" s="91">
        <v>0.00015153121785260737</v>
      </c>
      <c r="S41" s="91">
        <v>0</v>
      </c>
      <c r="T41" s="91">
        <v>0</v>
      </c>
      <c r="U41" s="108">
        <v>0</v>
      </c>
      <c r="V41" s="116">
        <v>0</v>
      </c>
      <c r="W41" s="117">
        <v>98.41217803955078</v>
      </c>
      <c r="X41" s="108">
        <v>20.760995864868164</v>
      </c>
      <c r="Y41" s="108">
        <v>0</v>
      </c>
      <c r="Z41" s="108">
        <v>0</v>
      </c>
      <c r="AA41" s="108">
        <v>17.333984375</v>
      </c>
      <c r="AB41" s="108">
        <v>19.41731834411621</v>
      </c>
      <c r="AC41" s="108">
        <v>15</v>
      </c>
      <c r="AD41" s="108">
        <v>0</v>
      </c>
      <c r="AE41" s="95">
        <v>47.224029541015625</v>
      </c>
      <c r="AF41" s="95">
        <v>104.21007537841797</v>
      </c>
      <c r="AG41" s="95"/>
      <c r="AH41" s="95">
        <v>0</v>
      </c>
      <c r="AI41" s="95">
        <v>0</v>
      </c>
      <c r="AJ41" s="95">
        <v>0</v>
      </c>
      <c r="AK41" s="95">
        <v>104.18474578857422</v>
      </c>
      <c r="AL41" s="96">
        <v>43.451969146728516</v>
      </c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0.45833333333333298</v>
      </c>
      <c r="C42" s="91">
        <v>0</v>
      </c>
      <c r="D42" s="91">
        <v>5.6951043916342314E-06</v>
      </c>
      <c r="E42" s="91">
        <v>47.12818145751953</v>
      </c>
      <c r="F42" s="91"/>
      <c r="G42" s="91"/>
      <c r="H42" s="91">
        <v>0</v>
      </c>
      <c r="I42" s="91">
        <v>0</v>
      </c>
      <c r="J42" s="91">
        <v>23.934823989868164</v>
      </c>
      <c r="K42" s="91">
        <v>40</v>
      </c>
      <c r="L42" s="91">
        <v>46.76649475097656</v>
      </c>
      <c r="M42" s="91">
        <v>0</v>
      </c>
      <c r="N42" s="91">
        <v>0</v>
      </c>
      <c r="O42" s="91">
        <v>26.44856834411621</v>
      </c>
      <c r="P42" s="91">
        <v>0.05000000074505806</v>
      </c>
      <c r="Q42" s="91">
        <v>0.1302083283662796</v>
      </c>
      <c r="R42" s="91">
        <v>0.00013745117757935077</v>
      </c>
      <c r="S42" s="91">
        <v>0</v>
      </c>
      <c r="T42" s="91">
        <v>0</v>
      </c>
      <c r="U42" s="108">
        <v>0</v>
      </c>
      <c r="V42" s="116">
        <v>0</v>
      </c>
      <c r="W42" s="117">
        <v>90.10054779052734</v>
      </c>
      <c r="X42" s="108">
        <v>20.178674697875977</v>
      </c>
      <c r="Y42" s="108">
        <v>50</v>
      </c>
      <c r="Z42" s="108">
        <v>123.8758773803711</v>
      </c>
      <c r="AA42" s="108">
        <v>17.34483528137207</v>
      </c>
      <c r="AB42" s="108">
        <v>19.704862594604492</v>
      </c>
      <c r="AC42" s="108">
        <v>50</v>
      </c>
      <c r="AD42" s="108">
        <v>123.78472900390625</v>
      </c>
      <c r="AE42" s="95">
        <v>41.36827087402344</v>
      </c>
      <c r="AF42" s="95">
        <v>74.8046875</v>
      </c>
      <c r="AG42" s="95"/>
      <c r="AH42" s="95">
        <v>0</v>
      </c>
      <c r="AI42" s="95">
        <v>0</v>
      </c>
      <c r="AJ42" s="95">
        <v>0</v>
      </c>
      <c r="AK42" s="95">
        <v>103.72901916503906</v>
      </c>
      <c r="AL42" s="96">
        <v>42.67650604248047</v>
      </c>
      <c r="AM42" s="118"/>
      <c r="AN42" s="109"/>
      <c r="AO42" s="95"/>
      <c r="AP42" s="95"/>
      <c r="AQ42" s="95"/>
      <c r="AR42" s="99"/>
    </row>
    <row r="43" spans="2:44" ht="13.5" customHeight="1" x14ac:dyDescent="0.25">
      <c r="B43" s="14">
        <v>0.5</v>
      </c>
      <c r="C43" s="91">
        <v>0</v>
      </c>
      <c r="D43" s="91">
        <v>3.901958280039253E-06</v>
      </c>
      <c r="E43" s="91">
        <v>53.501155853271484</v>
      </c>
      <c r="F43" s="91"/>
      <c r="G43" s="91"/>
      <c r="H43" s="91">
        <v>0</v>
      </c>
      <c r="I43" s="91">
        <v>0</v>
      </c>
      <c r="J43" s="91">
        <v>24.11566925048828</v>
      </c>
      <c r="K43" s="91">
        <v>40</v>
      </c>
      <c r="L43" s="91">
        <v>47.39040756225586</v>
      </c>
      <c r="M43" s="91">
        <v>0</v>
      </c>
      <c r="N43" s="91">
        <v>0</v>
      </c>
      <c r="O43" s="91">
        <v>26.783130645751953</v>
      </c>
      <c r="P43" s="91">
        <v>0.05000000074505806</v>
      </c>
      <c r="Q43" s="91">
        <v>0.1295572966337204</v>
      </c>
      <c r="R43" s="91">
        <v>0.00013524627138394862</v>
      </c>
      <c r="S43" s="91">
        <v>0</v>
      </c>
      <c r="T43" s="91">
        <v>0</v>
      </c>
      <c r="U43" s="108">
        <v>0</v>
      </c>
      <c r="V43" s="116">
        <v>0</v>
      </c>
      <c r="W43" s="117">
        <v>93.91275787353516</v>
      </c>
      <c r="X43" s="108">
        <v>17.73003387451172</v>
      </c>
      <c r="Y43" s="108">
        <v>50</v>
      </c>
      <c r="Z43" s="108">
        <v>123.8758773803711</v>
      </c>
      <c r="AA43" s="108">
        <v>17.17122459411621</v>
      </c>
      <c r="AB43" s="108">
        <v>20.008682250976562</v>
      </c>
      <c r="AC43" s="108">
        <v>50</v>
      </c>
      <c r="AD43" s="108">
        <v>123.79341125488281</v>
      </c>
      <c r="AE43" s="95">
        <v>40.024593353271484</v>
      </c>
      <c r="AF43" s="95">
        <v>66.27604675292969</v>
      </c>
      <c r="AG43" s="95"/>
      <c r="AH43" s="95">
        <v>0</v>
      </c>
      <c r="AI43" s="95">
        <v>0</v>
      </c>
      <c r="AJ43" s="95">
        <v>0</v>
      </c>
      <c r="AK43" s="95">
        <v>103.67838287353516</v>
      </c>
      <c r="AL43" s="96">
        <v>42.690975189208984</v>
      </c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0.54166666666666596</v>
      </c>
      <c r="C44" s="91">
        <v>0</v>
      </c>
      <c r="D44" s="91">
        <v>6.985664668945901E-08</v>
      </c>
      <c r="E44" s="91">
        <v>68.98148345947266</v>
      </c>
      <c r="F44" s="91"/>
      <c r="G44" s="91"/>
      <c r="H44" s="91">
        <v>0</v>
      </c>
      <c r="I44" s="91">
        <v>0</v>
      </c>
      <c r="J44" s="91">
        <v>24.341724395751953</v>
      </c>
      <c r="K44" s="91">
        <v>40</v>
      </c>
      <c r="L44" s="91">
        <v>48.12282943725586</v>
      </c>
      <c r="M44" s="91">
        <v>0</v>
      </c>
      <c r="N44" s="91">
        <v>0</v>
      </c>
      <c r="O44" s="91">
        <v>27.009187698364258</v>
      </c>
      <c r="P44" s="91">
        <v>0.05000000074505806</v>
      </c>
      <c r="Q44" s="91">
        <v>0.1827256977558136</v>
      </c>
      <c r="R44" s="91">
        <v>0.0001640205446165055</v>
      </c>
      <c r="S44" s="91">
        <v>0</v>
      </c>
      <c r="T44" s="91">
        <v>0</v>
      </c>
      <c r="U44" s="108">
        <v>0</v>
      </c>
      <c r="V44" s="116">
        <v>0</v>
      </c>
      <c r="W44" s="117">
        <v>89.74609375</v>
      </c>
      <c r="X44" s="108">
        <v>16.901763916015625</v>
      </c>
      <c r="Y44" s="108">
        <v>30</v>
      </c>
      <c r="Z44" s="108">
        <v>75.90711975097656</v>
      </c>
      <c r="AA44" s="108">
        <v>17.19835090637207</v>
      </c>
      <c r="AB44" s="108">
        <v>20.20941925048828</v>
      </c>
      <c r="AC44" s="108">
        <v>30</v>
      </c>
      <c r="AD44" s="108">
        <v>75.65538787841797</v>
      </c>
      <c r="AE44" s="95">
        <v>38.30837631225586</v>
      </c>
      <c r="AF44" s="95">
        <v>62.61393356323242</v>
      </c>
      <c r="AG44" s="95"/>
      <c r="AH44" s="95">
        <v>0</v>
      </c>
      <c r="AI44" s="95">
        <v>0</v>
      </c>
      <c r="AJ44" s="95">
        <v>0</v>
      </c>
      <c r="AK44" s="95">
        <v>103.6422119140625</v>
      </c>
      <c r="AL44" s="96">
        <v>42.50868225097656</v>
      </c>
      <c r="AM44" s="118"/>
      <c r="AN44" s="109">
        <v>0.07000000029802322</v>
      </c>
      <c r="AO44" s="95"/>
      <c r="AP44" s="95"/>
      <c r="AQ44" s="95"/>
      <c r="AR44" s="99"/>
    </row>
    <row r="45" spans="2:44" ht="13.5" customHeight="1" x14ac:dyDescent="0.25">
      <c r="B45" s="14">
        <v>0.58333333333333304</v>
      </c>
      <c r="C45" s="91">
        <v>0</v>
      </c>
      <c r="D45" s="91">
        <v>1.3616085198009387E-05</v>
      </c>
      <c r="E45" s="91">
        <v>67.12963104248047</v>
      </c>
      <c r="F45" s="91"/>
      <c r="G45" s="91"/>
      <c r="H45" s="91">
        <v>0</v>
      </c>
      <c r="I45" s="91">
        <v>0</v>
      </c>
      <c r="J45" s="91">
        <v>24.52256965637207</v>
      </c>
      <c r="K45" s="91">
        <v>40</v>
      </c>
      <c r="L45" s="91">
        <v>48.39409637451172</v>
      </c>
      <c r="M45" s="91">
        <v>0</v>
      </c>
      <c r="N45" s="91">
        <v>0</v>
      </c>
      <c r="O45" s="91">
        <v>27.217159271240234</v>
      </c>
      <c r="P45" s="91">
        <v>0.05000000074505806</v>
      </c>
      <c r="Q45" s="91">
        <v>0.21231192350387573</v>
      </c>
      <c r="R45" s="91">
        <v>0.00019268035248387605</v>
      </c>
      <c r="S45" s="91">
        <v>0</v>
      </c>
      <c r="T45" s="91">
        <v>0</v>
      </c>
      <c r="U45" s="108">
        <v>0</v>
      </c>
      <c r="V45" s="116">
        <v>0</v>
      </c>
      <c r="W45" s="117">
        <v>92.32494354248047</v>
      </c>
      <c r="X45" s="108">
        <v>17.787904739379883</v>
      </c>
      <c r="Y45" s="108">
        <v>25</v>
      </c>
      <c r="Z45" s="108">
        <v>63.671878814697266</v>
      </c>
      <c r="AA45" s="108">
        <v>17.44249153137207</v>
      </c>
      <c r="AB45" s="108">
        <v>134.3858642578125</v>
      </c>
      <c r="AC45" s="108">
        <v>25</v>
      </c>
      <c r="AD45" s="108">
        <v>63.1163215637207</v>
      </c>
      <c r="AE45" s="95">
        <v>18.15321159362793</v>
      </c>
      <c r="AF45" s="95">
        <v>21.09917640686035</v>
      </c>
      <c r="AG45" s="95"/>
      <c r="AH45" s="95">
        <v>0</v>
      </c>
      <c r="AI45" s="95">
        <v>0</v>
      </c>
      <c r="AJ45" s="95">
        <v>0</v>
      </c>
      <c r="AK45" s="95">
        <v>68.0953369140625</v>
      </c>
      <c r="AL45" s="96">
        <v>64.99421691894531</v>
      </c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0.625</v>
      </c>
      <c r="C46" s="91">
        <v>0</v>
      </c>
      <c r="D46" s="91">
        <v>0</v>
      </c>
      <c r="E46" s="91">
        <v>72.13541412353516</v>
      </c>
      <c r="F46" s="91"/>
      <c r="G46" s="91"/>
      <c r="H46" s="91">
        <v>0</v>
      </c>
      <c r="I46" s="91">
        <v>0</v>
      </c>
      <c r="J46" s="91">
        <v>24.622034072875977</v>
      </c>
      <c r="K46" s="91">
        <v>40</v>
      </c>
      <c r="L46" s="91">
        <v>47.28190231323242</v>
      </c>
      <c r="M46" s="91">
        <v>0</v>
      </c>
      <c r="N46" s="91">
        <v>0</v>
      </c>
      <c r="O46" s="91">
        <v>27.379919052124023</v>
      </c>
      <c r="P46" s="91">
        <v>0.05000000074505806</v>
      </c>
      <c r="Q46" s="91">
        <v>0.19697627425193787</v>
      </c>
      <c r="R46" s="91">
        <v>0.0002123146114172414</v>
      </c>
      <c r="S46" s="91">
        <v>0</v>
      </c>
      <c r="T46" s="91">
        <v>0</v>
      </c>
      <c r="U46" s="108">
        <v>0</v>
      </c>
      <c r="V46" s="116">
        <v>0</v>
      </c>
      <c r="W46" s="117">
        <v>90.78052520751953</v>
      </c>
      <c r="X46" s="108">
        <v>18.04470443725586</v>
      </c>
      <c r="Y46" s="108">
        <v>25</v>
      </c>
      <c r="Z46" s="108">
        <v>63.454864501953125</v>
      </c>
      <c r="AA46" s="108">
        <v>16.31944465637207</v>
      </c>
      <c r="AB46" s="108">
        <v>81.14691925048828</v>
      </c>
      <c r="AC46" s="108">
        <v>25</v>
      </c>
      <c r="AD46" s="108">
        <v>63.42448043823242</v>
      </c>
      <c r="AE46" s="95">
        <v>17.2562198638916</v>
      </c>
      <c r="AF46" s="95">
        <v>20.22569465637207</v>
      </c>
      <c r="AG46" s="95"/>
      <c r="AH46" s="95">
        <v>0</v>
      </c>
      <c r="AI46" s="95">
        <v>0</v>
      </c>
      <c r="AJ46" s="95">
        <v>0</v>
      </c>
      <c r="AK46" s="95">
        <v>67.91088104248047</v>
      </c>
      <c r="AL46" s="96">
        <v>60.91435623168945</v>
      </c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0.66666666666666596</v>
      </c>
      <c r="C47" s="91">
        <v>0</v>
      </c>
      <c r="D47" s="91">
        <v>1.1397838534321636E-05</v>
      </c>
      <c r="E47" s="91">
        <v>48.9149284362793</v>
      </c>
      <c r="F47" s="91"/>
      <c r="G47" s="91"/>
      <c r="H47" s="91">
        <v>0</v>
      </c>
      <c r="I47" s="91">
        <v>0</v>
      </c>
      <c r="J47" s="91">
        <v>24.784793853759766</v>
      </c>
      <c r="K47" s="91">
        <v>40</v>
      </c>
      <c r="L47" s="91">
        <v>46.25108337402344</v>
      </c>
      <c r="M47" s="91">
        <v>0</v>
      </c>
      <c r="N47" s="91">
        <v>0</v>
      </c>
      <c r="O47" s="91">
        <v>27.388961791992188</v>
      </c>
      <c r="P47" s="91">
        <v>0.05000000074505806</v>
      </c>
      <c r="Q47" s="91">
        <v>0.21607349812984467</v>
      </c>
      <c r="R47" s="91">
        <v>0.0002095871022902429</v>
      </c>
      <c r="S47" s="91">
        <v>0</v>
      </c>
      <c r="T47" s="91">
        <v>0</v>
      </c>
      <c r="U47" s="108">
        <v>0</v>
      </c>
      <c r="V47" s="116">
        <v>0</v>
      </c>
      <c r="W47" s="117">
        <v>94.3648681640625</v>
      </c>
      <c r="X47" s="108">
        <v>17.722801208496094</v>
      </c>
      <c r="Y47" s="108">
        <v>50</v>
      </c>
      <c r="Z47" s="108">
        <v>123.87153625488281</v>
      </c>
      <c r="AA47" s="108">
        <v>17.567276000976562</v>
      </c>
      <c r="AB47" s="108">
        <v>65.37543487548828</v>
      </c>
      <c r="AC47" s="108">
        <v>50</v>
      </c>
      <c r="AD47" s="108">
        <v>123.79341125488281</v>
      </c>
      <c r="AE47" s="95">
        <v>16.47135353088379</v>
      </c>
      <c r="AF47" s="95">
        <v>19.401042938232422</v>
      </c>
      <c r="AG47" s="95"/>
      <c r="AH47" s="95">
        <v>0</v>
      </c>
      <c r="AI47" s="95">
        <v>0</v>
      </c>
      <c r="AJ47" s="95">
        <v>0</v>
      </c>
      <c r="AK47" s="95">
        <v>67.89640808105469</v>
      </c>
      <c r="AL47" s="96">
        <v>58.83102035522461</v>
      </c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0.70833333333333304</v>
      </c>
      <c r="C48" s="91">
        <v>0</v>
      </c>
      <c r="D48" s="91">
        <v>1.5144348708417965E-06</v>
      </c>
      <c r="E48" s="91">
        <v>43.113426208496094</v>
      </c>
      <c r="F48" s="91"/>
      <c r="G48" s="91"/>
      <c r="H48" s="91">
        <v>0</v>
      </c>
      <c r="I48" s="91">
        <v>0</v>
      </c>
      <c r="J48" s="91">
        <v>24.90234375</v>
      </c>
      <c r="K48" s="91">
        <v>40</v>
      </c>
      <c r="L48" s="91">
        <v>45.69950866699219</v>
      </c>
      <c r="M48" s="91">
        <v>0</v>
      </c>
      <c r="N48" s="91">
        <v>0</v>
      </c>
      <c r="O48" s="91">
        <v>27.334707260131836</v>
      </c>
      <c r="P48" s="91">
        <v>0.05000000074505806</v>
      </c>
      <c r="Q48" s="91">
        <v>0.20782697200775146</v>
      </c>
      <c r="R48" s="91">
        <v>0.00021104431652929634</v>
      </c>
      <c r="S48" s="91">
        <v>0</v>
      </c>
      <c r="T48" s="91">
        <v>0</v>
      </c>
      <c r="U48" s="108">
        <v>0</v>
      </c>
      <c r="V48" s="116">
        <v>0</v>
      </c>
      <c r="W48" s="117">
        <v>94.4625244140625</v>
      </c>
      <c r="X48" s="108">
        <v>18.76085090637207</v>
      </c>
      <c r="Y48" s="108">
        <v>20</v>
      </c>
      <c r="Z48" s="108">
        <v>50.442710876464844</v>
      </c>
      <c r="AA48" s="108">
        <v>18.093534469604492</v>
      </c>
      <c r="AB48" s="108">
        <v>60.54145431518555</v>
      </c>
      <c r="AC48" s="108">
        <v>20</v>
      </c>
      <c r="AD48" s="108">
        <v>49.943580627441406</v>
      </c>
      <c r="AE48" s="95">
        <v>16.219980239868164</v>
      </c>
      <c r="AF48" s="95">
        <v>19.17317771911621</v>
      </c>
      <c r="AG48" s="95"/>
      <c r="AH48" s="95">
        <v>0</v>
      </c>
      <c r="AI48" s="95">
        <v>0</v>
      </c>
      <c r="AJ48" s="95">
        <v>0</v>
      </c>
      <c r="AK48" s="95">
        <v>67.87109375</v>
      </c>
      <c r="AL48" s="96">
        <v>57.27430725097656</v>
      </c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0.75</v>
      </c>
      <c r="C49" s="91">
        <v>0</v>
      </c>
      <c r="D49" s="91">
        <v>1.3780594088075304E-07</v>
      </c>
      <c r="E49" s="91">
        <v>47.996238708496094</v>
      </c>
      <c r="F49" s="91"/>
      <c r="G49" s="91"/>
      <c r="H49" s="91">
        <v>0</v>
      </c>
      <c r="I49" s="91">
        <v>0</v>
      </c>
      <c r="J49" s="91">
        <v>24.84809112548828</v>
      </c>
      <c r="K49" s="91">
        <v>40</v>
      </c>
      <c r="L49" s="91">
        <v>45.473453521728516</v>
      </c>
      <c r="M49" s="91">
        <v>0</v>
      </c>
      <c r="N49" s="91">
        <v>0</v>
      </c>
      <c r="O49" s="91">
        <v>26.548032760620117</v>
      </c>
      <c r="P49" s="91">
        <v>0.05000000074505806</v>
      </c>
      <c r="Q49" s="91">
        <v>0.20500579476356506</v>
      </c>
      <c r="R49" s="91">
        <v>0.00020928573212586343</v>
      </c>
      <c r="S49" s="91">
        <v>0</v>
      </c>
      <c r="T49" s="91">
        <v>0</v>
      </c>
      <c r="U49" s="108">
        <v>0</v>
      </c>
      <c r="V49" s="116">
        <v>0</v>
      </c>
      <c r="W49" s="117">
        <v>88.7478256225586</v>
      </c>
      <c r="X49" s="108">
        <v>18.862123489379883</v>
      </c>
      <c r="Y49" s="108">
        <v>10</v>
      </c>
      <c r="Z49" s="108">
        <v>23.914932250976562</v>
      </c>
      <c r="AA49" s="108">
        <v>17.80599021911621</v>
      </c>
      <c r="AB49" s="108">
        <v>57.036678314208984</v>
      </c>
      <c r="AC49" s="108">
        <v>15</v>
      </c>
      <c r="AD49" s="108">
        <v>30.75520896911621</v>
      </c>
      <c r="AE49" s="95">
        <v>16.03732681274414</v>
      </c>
      <c r="AF49" s="95">
        <v>19.39561653137207</v>
      </c>
      <c r="AG49" s="95"/>
      <c r="AH49" s="95">
        <v>0</v>
      </c>
      <c r="AI49" s="95">
        <v>0</v>
      </c>
      <c r="AJ49" s="95">
        <v>0</v>
      </c>
      <c r="AK49" s="95">
        <v>67.7228012084961</v>
      </c>
      <c r="AL49" s="96">
        <v>55.833335876464844</v>
      </c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0.79166666666666696</v>
      </c>
      <c r="C50" s="91">
        <v>0</v>
      </c>
      <c r="D50" s="91">
        <v>4.975318915967364E-06</v>
      </c>
      <c r="E50" s="91">
        <v>43.41724395751953</v>
      </c>
      <c r="F50" s="91"/>
      <c r="G50" s="91"/>
      <c r="H50" s="91">
        <v>0</v>
      </c>
      <c r="I50" s="91">
        <v>0</v>
      </c>
      <c r="J50" s="91">
        <v>24.676286697387695</v>
      </c>
      <c r="K50" s="91">
        <v>40</v>
      </c>
      <c r="L50" s="91">
        <v>46.486183166503906</v>
      </c>
      <c r="M50" s="91">
        <v>0</v>
      </c>
      <c r="N50" s="91">
        <v>0</v>
      </c>
      <c r="O50" s="91">
        <v>25.87890625</v>
      </c>
      <c r="P50" s="91">
        <v>0.05000000074505806</v>
      </c>
      <c r="Q50" s="91">
        <v>0.140407994389534</v>
      </c>
      <c r="R50" s="91">
        <v>0.00014722060586791486</v>
      </c>
      <c r="S50" s="91">
        <v>0</v>
      </c>
      <c r="T50" s="91">
        <v>0</v>
      </c>
      <c r="U50" s="108">
        <v>0</v>
      </c>
      <c r="V50" s="116">
        <v>0</v>
      </c>
      <c r="W50" s="117">
        <v>92.01388549804688</v>
      </c>
      <c r="X50" s="108">
        <v>18.073638916015625</v>
      </c>
      <c r="Y50" s="108">
        <v>50</v>
      </c>
      <c r="Z50" s="108">
        <v>123.8758773803711</v>
      </c>
      <c r="AA50" s="108">
        <v>17.431640625</v>
      </c>
      <c r="AB50" s="108">
        <v>54.052738189697266</v>
      </c>
      <c r="AC50" s="108">
        <v>50</v>
      </c>
      <c r="AD50" s="108">
        <v>123.80208587646484</v>
      </c>
      <c r="AE50" s="95">
        <v>15.744357109069824</v>
      </c>
      <c r="AF50" s="95">
        <v>19.15147590637207</v>
      </c>
      <c r="AG50" s="95"/>
      <c r="AH50" s="95">
        <v>0</v>
      </c>
      <c r="AI50" s="95">
        <v>0</v>
      </c>
      <c r="AJ50" s="95">
        <v>0</v>
      </c>
      <c r="AK50" s="95">
        <v>67.73365020751953</v>
      </c>
      <c r="AL50" s="96">
        <v>54.609378814697266</v>
      </c>
      <c r="AM50" s="118"/>
      <c r="AN50" s="109"/>
      <c r="AO50" s="95"/>
      <c r="AP50" s="95"/>
      <c r="AQ50" s="95"/>
      <c r="AR50" s="99"/>
    </row>
    <row r="51" spans="2:44" ht="13.5" customHeight="1" x14ac:dyDescent="0.25">
      <c r="B51" s="14">
        <v>0.83333333333333304</v>
      </c>
      <c r="C51" s="100">
        <v>0</v>
      </c>
      <c r="D51" s="100">
        <v>1.5936137060634792E-05</v>
      </c>
      <c r="E51" s="100">
        <v>35.322628021240234</v>
      </c>
      <c r="F51" s="100"/>
      <c r="G51" s="100"/>
      <c r="H51" s="100">
        <v>0</v>
      </c>
      <c r="I51" s="100">
        <v>0</v>
      </c>
      <c r="J51" s="100">
        <v>24.27842903137207</v>
      </c>
      <c r="K51" s="100">
        <v>40</v>
      </c>
      <c r="L51" s="100">
        <v>49.008968353271484</v>
      </c>
      <c r="M51" s="100">
        <v>0</v>
      </c>
      <c r="N51" s="100">
        <v>0</v>
      </c>
      <c r="O51" s="100">
        <v>25.146484375</v>
      </c>
      <c r="P51" s="100">
        <v>0.05000000074505806</v>
      </c>
      <c r="Q51" s="100">
        <v>0.20283564925193787</v>
      </c>
      <c r="R51" s="100">
        <v>0.00017741775081958622</v>
      </c>
      <c r="S51" s="100">
        <v>0</v>
      </c>
      <c r="T51" s="100">
        <v>0</v>
      </c>
      <c r="U51" s="111">
        <v>0</v>
      </c>
      <c r="V51" s="119">
        <v>0</v>
      </c>
      <c r="W51" s="120">
        <v>92.46961975097656</v>
      </c>
      <c r="X51" s="111">
        <v>18.742765426635742</v>
      </c>
      <c r="Y51" s="111">
        <v>50</v>
      </c>
      <c r="Z51" s="111">
        <v>123.87153625488281</v>
      </c>
      <c r="AA51" s="111">
        <v>18.15863800048828</v>
      </c>
      <c r="AB51" s="111">
        <v>51.562503814697266</v>
      </c>
      <c r="AC51" s="111">
        <v>50</v>
      </c>
      <c r="AD51" s="111">
        <v>123.80208587646484</v>
      </c>
      <c r="AE51" s="104">
        <v>15.181929588317871</v>
      </c>
      <c r="AF51" s="104">
        <v>18.80967903137207</v>
      </c>
      <c r="AG51" s="104">
        <v>199.3000030517578</v>
      </c>
      <c r="AH51" s="104">
        <v>0</v>
      </c>
      <c r="AI51" s="104">
        <v>0</v>
      </c>
      <c r="AJ51" s="104">
        <v>0</v>
      </c>
      <c r="AK51" s="104">
        <v>67.63961029052734</v>
      </c>
      <c r="AL51" s="105">
        <v>53.36227035522461</v>
      </c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19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C35:V35"/>
    <mergeCell ref="W35:AJ35"/>
    <mergeCell ref="AM35:AN35"/>
    <mergeCell ref="H36:I36"/>
    <mergeCell ref="M36:N36"/>
    <mergeCell ref="U36:V36"/>
    <mergeCell ref="AH36:AJ36"/>
    <mergeCell ref="E36:G36"/>
    <mergeCell ref="Q36:R36"/>
    <mergeCell ref="S36:T36"/>
    <mergeCell ref="AK35:AL35"/>
    <mergeCell ref="B2:AR2"/>
    <mergeCell ref="Z3:AA3"/>
    <mergeCell ref="B3:B5"/>
    <mergeCell ref="Q4:R4"/>
    <mergeCell ref="AG4:AH4"/>
    <mergeCell ref="AL4:AM4"/>
    <mergeCell ref="AL3:AN3"/>
    <mergeCell ref="AQ4:AR4"/>
    <mergeCell ref="AO3:AR3"/>
    <mergeCell ref="C3:H3"/>
    <mergeCell ref="I4:J4"/>
    <mergeCell ref="I3:P3"/>
    <mergeCell ref="Q3:S3"/>
    <mergeCell ref="U4:V4"/>
    <mergeCell ref="T3:W3"/>
    <mergeCell ref="X3:Y3"/>
    <mergeCell ref="B19:B21"/>
    <mergeCell ref="E52:E54"/>
    <mergeCell ref="F52:AR54"/>
    <mergeCell ref="B53:D54"/>
    <mergeCell ref="B35:B38"/>
    <mergeCell ref="E19:G19"/>
    <mergeCell ref="F20:G20"/>
    <mergeCell ref="H19:L19"/>
    <mergeCell ref="M19:Q19"/>
    <mergeCell ref="AD20:AE20"/>
    <mergeCell ref="R19:AF19"/>
    <mergeCell ref="AG19:AH19"/>
    <mergeCell ref="AN19:AO19"/>
    <mergeCell ref="AP19:AR19"/>
    <mergeCell ref="B52:C52"/>
    <mergeCell ref="C36:D36"/>
    <mergeCell ref="AC3:AD3"/>
    <mergeCell ref="AE4:AF4"/>
    <mergeCell ref="AE3:AK3"/>
    <mergeCell ref="O4:P4"/>
    <mergeCell ref="AI20:AJ20"/>
    <mergeCell ref="AK20:AL20"/>
    <mergeCell ref="AI19:AM19"/>
  </mergeCells>
  <phoneticPr fontId="1" type="noConversion"/>
  <printOptions horizontalCentered="1" verticalCentered="1"/>
  <pageMargins left="0" right="0" top="0" bottom="0" header="0" footer="0"/>
  <pageSetup paperSize="8" orientation="landscape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Normal="100" workbookViewId="0">
      <selection activeCell="B19" sqref="B19:L24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19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226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60:C60"/>
    <mergeCell ref="E60:E62"/>
    <mergeCell ref="F60:BF62"/>
    <mergeCell ref="B61:D62"/>
    <mergeCell ref="B33:L38"/>
    <mergeCell ref="M33:W38"/>
    <mergeCell ref="X33:AH38"/>
    <mergeCell ref="B3:L9"/>
    <mergeCell ref="M3:W9"/>
    <mergeCell ref="X3:AH9"/>
    <mergeCell ref="AI3:AT9"/>
    <mergeCell ref="AU3:BF9"/>
    <mergeCell ref="AU11:BF17"/>
    <mergeCell ref="B19:L24"/>
    <mergeCell ref="M19:W24"/>
    <mergeCell ref="B11:L17"/>
    <mergeCell ref="M11:W17"/>
    <mergeCell ref="X11:AH17"/>
    <mergeCell ref="AI11:AT17"/>
    <mergeCell ref="X18:AH18"/>
    <mergeCell ref="B18:L18"/>
    <mergeCell ref="M18:W18"/>
    <mergeCell ref="B26:L31"/>
    <mergeCell ref="M26:W31"/>
    <mergeCell ref="X26:AH31"/>
    <mergeCell ref="AI26:AT31"/>
    <mergeCell ref="AU26:BF31"/>
    <mergeCell ref="AI33:AT38"/>
    <mergeCell ref="AU33:BF38"/>
    <mergeCell ref="B40:L45"/>
    <mergeCell ref="M40:W45"/>
    <mergeCell ref="X40:AH45"/>
    <mergeCell ref="AI40:AT45"/>
    <mergeCell ref="AU40:BF45"/>
    <mergeCell ref="B39:L39"/>
    <mergeCell ref="M39:W39"/>
    <mergeCell ref="X39:AH39"/>
    <mergeCell ref="AI39:AT39"/>
    <mergeCell ref="AU39:BF39"/>
    <mergeCell ref="B54:L59"/>
    <mergeCell ref="M54:W59"/>
    <mergeCell ref="X54:AH59"/>
    <mergeCell ref="AI54:AT59"/>
    <mergeCell ref="AU54:BF59"/>
    <mergeCell ref="B47:L52"/>
    <mergeCell ref="M47:W52"/>
    <mergeCell ref="X47:AH52"/>
    <mergeCell ref="AI47:AT52"/>
    <mergeCell ref="AU47:BF52"/>
    <mergeCell ref="B10:L10"/>
    <mergeCell ref="M10:W10"/>
    <mergeCell ref="X10:AH10"/>
    <mergeCell ref="AI10:AT10"/>
    <mergeCell ref="AU10:BF10"/>
    <mergeCell ref="B2:L2"/>
    <mergeCell ref="M2:W2"/>
    <mergeCell ref="X2:AH2"/>
    <mergeCell ref="AI2:AT2"/>
    <mergeCell ref="AU2:BF2"/>
    <mergeCell ref="M25:W25"/>
    <mergeCell ref="AI18:AT18"/>
    <mergeCell ref="AU18:BF18"/>
    <mergeCell ref="B25:L25"/>
    <mergeCell ref="X25:AH25"/>
    <mergeCell ref="AI25:AT25"/>
    <mergeCell ref="AU25:BF25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53:L53"/>
    <mergeCell ref="M53:W53"/>
    <mergeCell ref="X53:AH53"/>
    <mergeCell ref="AI53:AT53"/>
    <mergeCell ref="AU53:BF53"/>
    <mergeCell ref="B46:L46"/>
    <mergeCell ref="M46:W46"/>
    <mergeCell ref="X46:AH46"/>
    <mergeCell ref="AI46:AT46"/>
    <mergeCell ref="AU46:BF4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AV541"/>
  <sheetViews>
    <sheetView zoomScaleNormal="100" workbookViewId="0">
      <selection activeCell="O23" sqref="O23"/>
    </sheetView>
  </sheetViews>
  <sheetFormatPr defaultRowHeight="8" x14ac:dyDescent="0.25"/>
  <cols>
    <col min="1" max="1" width="0.453125" style="6" customWidth="1"/>
    <col min="2" max="2" width="3.453125" style="6" customWidth="1"/>
    <col min="3" max="44" width="5.26953125" style="6" customWidth="1"/>
    <col min="45" max="279" width="9" style="6"/>
    <col min="280" max="280" width="2.08984375" style="6" customWidth="1"/>
    <col min="281" max="281" width="5.81640625" style="6" customWidth="1"/>
    <col min="282" max="282" width="6.81640625" style="6" customWidth="1"/>
    <col min="283" max="283" width="6.08984375" style="6" customWidth="1"/>
    <col min="284" max="284" width="6.81640625" style="6" customWidth="1"/>
    <col min="285" max="285" width="10.81640625" style="6" customWidth="1"/>
    <col min="286" max="286" width="11.54296875" style="6" customWidth="1"/>
    <col min="287" max="287" width="5.54296875" style="6" customWidth="1"/>
    <col min="288" max="288" width="6" style="6" customWidth="1"/>
    <col min="289" max="289" width="6.54296875" style="6" customWidth="1"/>
    <col min="290" max="290" width="11.08984375" style="6" customWidth="1"/>
    <col min="291" max="291" width="7.08984375" style="6" customWidth="1"/>
    <col min="292" max="293" width="5.81640625" style="6" customWidth="1"/>
    <col min="294" max="294" width="6" style="6" customWidth="1"/>
    <col min="295" max="295" width="6.81640625" style="6" customWidth="1"/>
    <col min="296" max="296" width="6" style="6" customWidth="1"/>
    <col min="297" max="297" width="18.08984375" style="6" customWidth="1"/>
    <col min="298" max="535" width="9" style="6"/>
    <col min="536" max="536" width="2.08984375" style="6" customWidth="1"/>
    <col min="537" max="537" width="5.81640625" style="6" customWidth="1"/>
    <col min="538" max="538" width="6.81640625" style="6" customWidth="1"/>
    <col min="539" max="539" width="6.08984375" style="6" customWidth="1"/>
    <col min="540" max="540" width="6.81640625" style="6" customWidth="1"/>
    <col min="541" max="541" width="10.81640625" style="6" customWidth="1"/>
    <col min="542" max="542" width="11.54296875" style="6" customWidth="1"/>
    <col min="543" max="543" width="5.54296875" style="6" customWidth="1"/>
    <col min="544" max="544" width="6" style="6" customWidth="1"/>
    <col min="545" max="545" width="6.54296875" style="6" customWidth="1"/>
    <col min="546" max="546" width="11.08984375" style="6" customWidth="1"/>
    <col min="547" max="547" width="7.08984375" style="6" customWidth="1"/>
    <col min="548" max="549" width="5.81640625" style="6" customWidth="1"/>
    <col min="550" max="550" width="6" style="6" customWidth="1"/>
    <col min="551" max="551" width="6.81640625" style="6" customWidth="1"/>
    <col min="552" max="552" width="6" style="6" customWidth="1"/>
    <col min="553" max="553" width="18.08984375" style="6" customWidth="1"/>
    <col min="554" max="791" width="9" style="6"/>
    <col min="792" max="792" width="2.08984375" style="6" customWidth="1"/>
    <col min="793" max="793" width="5.81640625" style="6" customWidth="1"/>
    <col min="794" max="794" width="6.81640625" style="6" customWidth="1"/>
    <col min="795" max="795" width="6.08984375" style="6" customWidth="1"/>
    <col min="796" max="796" width="6.81640625" style="6" customWidth="1"/>
    <col min="797" max="797" width="10.81640625" style="6" customWidth="1"/>
    <col min="798" max="798" width="11.54296875" style="6" customWidth="1"/>
    <col min="799" max="799" width="5.54296875" style="6" customWidth="1"/>
    <col min="800" max="800" width="6" style="6" customWidth="1"/>
    <col min="801" max="801" width="6.54296875" style="6" customWidth="1"/>
    <col min="802" max="802" width="11.08984375" style="6" customWidth="1"/>
    <col min="803" max="803" width="7.08984375" style="6" customWidth="1"/>
    <col min="804" max="805" width="5.81640625" style="6" customWidth="1"/>
    <col min="806" max="806" width="6" style="6" customWidth="1"/>
    <col min="807" max="807" width="6.81640625" style="6" customWidth="1"/>
    <col min="808" max="808" width="6" style="6" customWidth="1"/>
    <col min="809" max="809" width="18.08984375" style="6" customWidth="1"/>
    <col min="810" max="1047" width="9" style="6"/>
    <col min="1048" max="1048" width="2.08984375" style="6" customWidth="1"/>
    <col min="1049" max="1049" width="5.81640625" style="6" customWidth="1"/>
    <col min="1050" max="1050" width="6.81640625" style="6" customWidth="1"/>
    <col min="1051" max="1051" width="6.08984375" style="6" customWidth="1"/>
    <col min="1052" max="1052" width="6.81640625" style="6" customWidth="1"/>
    <col min="1053" max="1053" width="10.81640625" style="6" customWidth="1"/>
    <col min="1054" max="1054" width="11.54296875" style="6" customWidth="1"/>
    <col min="1055" max="1055" width="5.54296875" style="6" customWidth="1"/>
    <col min="1056" max="1056" width="6" style="6" customWidth="1"/>
    <col min="1057" max="1057" width="6.54296875" style="6" customWidth="1"/>
    <col min="1058" max="1058" width="11.08984375" style="6" customWidth="1"/>
    <col min="1059" max="1059" width="7.08984375" style="6" customWidth="1"/>
    <col min="1060" max="1061" width="5.81640625" style="6" customWidth="1"/>
    <col min="1062" max="1062" width="6" style="6" customWidth="1"/>
    <col min="1063" max="1063" width="6.81640625" style="6" customWidth="1"/>
    <col min="1064" max="1064" width="6" style="6" customWidth="1"/>
    <col min="1065" max="1065" width="18.08984375" style="6" customWidth="1"/>
    <col min="1066" max="1303" width="9" style="6"/>
    <col min="1304" max="1304" width="2.08984375" style="6" customWidth="1"/>
    <col min="1305" max="1305" width="5.81640625" style="6" customWidth="1"/>
    <col min="1306" max="1306" width="6.81640625" style="6" customWidth="1"/>
    <col min="1307" max="1307" width="6.08984375" style="6" customWidth="1"/>
    <col min="1308" max="1308" width="6.81640625" style="6" customWidth="1"/>
    <col min="1309" max="1309" width="10.81640625" style="6" customWidth="1"/>
    <col min="1310" max="1310" width="11.54296875" style="6" customWidth="1"/>
    <col min="1311" max="1311" width="5.54296875" style="6" customWidth="1"/>
    <col min="1312" max="1312" width="6" style="6" customWidth="1"/>
    <col min="1313" max="1313" width="6.54296875" style="6" customWidth="1"/>
    <col min="1314" max="1314" width="11.08984375" style="6" customWidth="1"/>
    <col min="1315" max="1315" width="7.08984375" style="6" customWidth="1"/>
    <col min="1316" max="1317" width="5.81640625" style="6" customWidth="1"/>
    <col min="1318" max="1318" width="6" style="6" customWidth="1"/>
    <col min="1319" max="1319" width="6.81640625" style="6" customWidth="1"/>
    <col min="1320" max="1320" width="6" style="6" customWidth="1"/>
    <col min="1321" max="1321" width="18.08984375" style="6" customWidth="1"/>
    <col min="1322" max="1559" width="9" style="6"/>
    <col min="1560" max="1560" width="2.08984375" style="6" customWidth="1"/>
    <col min="1561" max="1561" width="5.81640625" style="6" customWidth="1"/>
    <col min="1562" max="1562" width="6.81640625" style="6" customWidth="1"/>
    <col min="1563" max="1563" width="6.08984375" style="6" customWidth="1"/>
    <col min="1564" max="1564" width="6.81640625" style="6" customWidth="1"/>
    <col min="1565" max="1565" width="10.81640625" style="6" customWidth="1"/>
    <col min="1566" max="1566" width="11.54296875" style="6" customWidth="1"/>
    <col min="1567" max="1567" width="5.54296875" style="6" customWidth="1"/>
    <col min="1568" max="1568" width="6" style="6" customWidth="1"/>
    <col min="1569" max="1569" width="6.54296875" style="6" customWidth="1"/>
    <col min="1570" max="1570" width="11.08984375" style="6" customWidth="1"/>
    <col min="1571" max="1571" width="7.08984375" style="6" customWidth="1"/>
    <col min="1572" max="1573" width="5.81640625" style="6" customWidth="1"/>
    <col min="1574" max="1574" width="6" style="6" customWidth="1"/>
    <col min="1575" max="1575" width="6.81640625" style="6" customWidth="1"/>
    <col min="1576" max="1576" width="6" style="6" customWidth="1"/>
    <col min="1577" max="1577" width="18.08984375" style="6" customWidth="1"/>
    <col min="1578" max="1815" width="9" style="6"/>
    <col min="1816" max="1816" width="2.08984375" style="6" customWidth="1"/>
    <col min="1817" max="1817" width="5.81640625" style="6" customWidth="1"/>
    <col min="1818" max="1818" width="6.81640625" style="6" customWidth="1"/>
    <col min="1819" max="1819" width="6.08984375" style="6" customWidth="1"/>
    <col min="1820" max="1820" width="6.81640625" style="6" customWidth="1"/>
    <col min="1821" max="1821" width="10.81640625" style="6" customWidth="1"/>
    <col min="1822" max="1822" width="11.54296875" style="6" customWidth="1"/>
    <col min="1823" max="1823" width="5.54296875" style="6" customWidth="1"/>
    <col min="1824" max="1824" width="6" style="6" customWidth="1"/>
    <col min="1825" max="1825" width="6.54296875" style="6" customWidth="1"/>
    <col min="1826" max="1826" width="11.08984375" style="6" customWidth="1"/>
    <col min="1827" max="1827" width="7.08984375" style="6" customWidth="1"/>
    <col min="1828" max="1829" width="5.81640625" style="6" customWidth="1"/>
    <col min="1830" max="1830" width="6" style="6" customWidth="1"/>
    <col min="1831" max="1831" width="6.81640625" style="6" customWidth="1"/>
    <col min="1832" max="1832" width="6" style="6" customWidth="1"/>
    <col min="1833" max="1833" width="18.08984375" style="6" customWidth="1"/>
    <col min="1834" max="2071" width="9" style="6"/>
    <col min="2072" max="2072" width="2.08984375" style="6" customWidth="1"/>
    <col min="2073" max="2073" width="5.81640625" style="6" customWidth="1"/>
    <col min="2074" max="2074" width="6.81640625" style="6" customWidth="1"/>
    <col min="2075" max="2075" width="6.08984375" style="6" customWidth="1"/>
    <col min="2076" max="2076" width="6.81640625" style="6" customWidth="1"/>
    <col min="2077" max="2077" width="10.81640625" style="6" customWidth="1"/>
    <col min="2078" max="2078" width="11.54296875" style="6" customWidth="1"/>
    <col min="2079" max="2079" width="5.54296875" style="6" customWidth="1"/>
    <col min="2080" max="2080" width="6" style="6" customWidth="1"/>
    <col min="2081" max="2081" width="6.54296875" style="6" customWidth="1"/>
    <col min="2082" max="2082" width="11.08984375" style="6" customWidth="1"/>
    <col min="2083" max="2083" width="7.08984375" style="6" customWidth="1"/>
    <col min="2084" max="2085" width="5.81640625" style="6" customWidth="1"/>
    <col min="2086" max="2086" width="6" style="6" customWidth="1"/>
    <col min="2087" max="2087" width="6.81640625" style="6" customWidth="1"/>
    <col min="2088" max="2088" width="6" style="6" customWidth="1"/>
    <col min="2089" max="2089" width="18.08984375" style="6" customWidth="1"/>
    <col min="2090" max="2327" width="9" style="6"/>
    <col min="2328" max="2328" width="2.08984375" style="6" customWidth="1"/>
    <col min="2329" max="2329" width="5.81640625" style="6" customWidth="1"/>
    <col min="2330" max="2330" width="6.81640625" style="6" customWidth="1"/>
    <col min="2331" max="2331" width="6.08984375" style="6" customWidth="1"/>
    <col min="2332" max="2332" width="6.81640625" style="6" customWidth="1"/>
    <col min="2333" max="2333" width="10.81640625" style="6" customWidth="1"/>
    <col min="2334" max="2334" width="11.54296875" style="6" customWidth="1"/>
    <col min="2335" max="2335" width="5.54296875" style="6" customWidth="1"/>
    <col min="2336" max="2336" width="6" style="6" customWidth="1"/>
    <col min="2337" max="2337" width="6.54296875" style="6" customWidth="1"/>
    <col min="2338" max="2338" width="11.08984375" style="6" customWidth="1"/>
    <col min="2339" max="2339" width="7.08984375" style="6" customWidth="1"/>
    <col min="2340" max="2341" width="5.81640625" style="6" customWidth="1"/>
    <col min="2342" max="2342" width="6" style="6" customWidth="1"/>
    <col min="2343" max="2343" width="6.81640625" style="6" customWidth="1"/>
    <col min="2344" max="2344" width="6" style="6" customWidth="1"/>
    <col min="2345" max="2345" width="18.08984375" style="6" customWidth="1"/>
    <col min="2346" max="2583" width="9" style="6"/>
    <col min="2584" max="2584" width="2.08984375" style="6" customWidth="1"/>
    <col min="2585" max="2585" width="5.81640625" style="6" customWidth="1"/>
    <col min="2586" max="2586" width="6.81640625" style="6" customWidth="1"/>
    <col min="2587" max="2587" width="6.08984375" style="6" customWidth="1"/>
    <col min="2588" max="2588" width="6.81640625" style="6" customWidth="1"/>
    <col min="2589" max="2589" width="10.81640625" style="6" customWidth="1"/>
    <col min="2590" max="2590" width="11.54296875" style="6" customWidth="1"/>
    <col min="2591" max="2591" width="5.54296875" style="6" customWidth="1"/>
    <col min="2592" max="2592" width="6" style="6" customWidth="1"/>
    <col min="2593" max="2593" width="6.54296875" style="6" customWidth="1"/>
    <col min="2594" max="2594" width="11.08984375" style="6" customWidth="1"/>
    <col min="2595" max="2595" width="7.08984375" style="6" customWidth="1"/>
    <col min="2596" max="2597" width="5.81640625" style="6" customWidth="1"/>
    <col min="2598" max="2598" width="6" style="6" customWidth="1"/>
    <col min="2599" max="2599" width="6.81640625" style="6" customWidth="1"/>
    <col min="2600" max="2600" width="6" style="6" customWidth="1"/>
    <col min="2601" max="2601" width="18.08984375" style="6" customWidth="1"/>
    <col min="2602" max="2839" width="9" style="6"/>
    <col min="2840" max="2840" width="2.08984375" style="6" customWidth="1"/>
    <col min="2841" max="2841" width="5.81640625" style="6" customWidth="1"/>
    <col min="2842" max="2842" width="6.81640625" style="6" customWidth="1"/>
    <col min="2843" max="2843" width="6.08984375" style="6" customWidth="1"/>
    <col min="2844" max="2844" width="6.81640625" style="6" customWidth="1"/>
    <col min="2845" max="2845" width="10.81640625" style="6" customWidth="1"/>
    <col min="2846" max="2846" width="11.54296875" style="6" customWidth="1"/>
    <col min="2847" max="2847" width="5.54296875" style="6" customWidth="1"/>
    <col min="2848" max="2848" width="6" style="6" customWidth="1"/>
    <col min="2849" max="2849" width="6.54296875" style="6" customWidth="1"/>
    <col min="2850" max="2850" width="11.08984375" style="6" customWidth="1"/>
    <col min="2851" max="2851" width="7.08984375" style="6" customWidth="1"/>
    <col min="2852" max="2853" width="5.81640625" style="6" customWidth="1"/>
    <col min="2854" max="2854" width="6" style="6" customWidth="1"/>
    <col min="2855" max="2855" width="6.81640625" style="6" customWidth="1"/>
    <col min="2856" max="2856" width="6" style="6" customWidth="1"/>
    <col min="2857" max="2857" width="18.08984375" style="6" customWidth="1"/>
    <col min="2858" max="3095" width="9" style="6"/>
    <col min="3096" max="3096" width="2.08984375" style="6" customWidth="1"/>
    <col min="3097" max="3097" width="5.81640625" style="6" customWidth="1"/>
    <col min="3098" max="3098" width="6.81640625" style="6" customWidth="1"/>
    <col min="3099" max="3099" width="6.08984375" style="6" customWidth="1"/>
    <col min="3100" max="3100" width="6.81640625" style="6" customWidth="1"/>
    <col min="3101" max="3101" width="10.81640625" style="6" customWidth="1"/>
    <col min="3102" max="3102" width="11.54296875" style="6" customWidth="1"/>
    <col min="3103" max="3103" width="5.54296875" style="6" customWidth="1"/>
    <col min="3104" max="3104" width="6" style="6" customWidth="1"/>
    <col min="3105" max="3105" width="6.54296875" style="6" customWidth="1"/>
    <col min="3106" max="3106" width="11.08984375" style="6" customWidth="1"/>
    <col min="3107" max="3107" width="7.08984375" style="6" customWidth="1"/>
    <col min="3108" max="3109" width="5.81640625" style="6" customWidth="1"/>
    <col min="3110" max="3110" width="6" style="6" customWidth="1"/>
    <col min="3111" max="3111" width="6.81640625" style="6" customWidth="1"/>
    <col min="3112" max="3112" width="6" style="6" customWidth="1"/>
    <col min="3113" max="3113" width="18.08984375" style="6" customWidth="1"/>
    <col min="3114" max="3351" width="9" style="6"/>
    <col min="3352" max="3352" width="2.08984375" style="6" customWidth="1"/>
    <col min="3353" max="3353" width="5.81640625" style="6" customWidth="1"/>
    <col min="3354" max="3354" width="6.81640625" style="6" customWidth="1"/>
    <col min="3355" max="3355" width="6.08984375" style="6" customWidth="1"/>
    <col min="3356" max="3356" width="6.81640625" style="6" customWidth="1"/>
    <col min="3357" max="3357" width="10.81640625" style="6" customWidth="1"/>
    <col min="3358" max="3358" width="11.54296875" style="6" customWidth="1"/>
    <col min="3359" max="3359" width="5.54296875" style="6" customWidth="1"/>
    <col min="3360" max="3360" width="6" style="6" customWidth="1"/>
    <col min="3361" max="3361" width="6.54296875" style="6" customWidth="1"/>
    <col min="3362" max="3362" width="11.08984375" style="6" customWidth="1"/>
    <col min="3363" max="3363" width="7.08984375" style="6" customWidth="1"/>
    <col min="3364" max="3365" width="5.81640625" style="6" customWidth="1"/>
    <col min="3366" max="3366" width="6" style="6" customWidth="1"/>
    <col min="3367" max="3367" width="6.81640625" style="6" customWidth="1"/>
    <col min="3368" max="3368" width="6" style="6" customWidth="1"/>
    <col min="3369" max="3369" width="18.08984375" style="6" customWidth="1"/>
    <col min="3370" max="3607" width="9" style="6"/>
    <col min="3608" max="3608" width="2.08984375" style="6" customWidth="1"/>
    <col min="3609" max="3609" width="5.81640625" style="6" customWidth="1"/>
    <col min="3610" max="3610" width="6.81640625" style="6" customWidth="1"/>
    <col min="3611" max="3611" width="6.08984375" style="6" customWidth="1"/>
    <col min="3612" max="3612" width="6.81640625" style="6" customWidth="1"/>
    <col min="3613" max="3613" width="10.81640625" style="6" customWidth="1"/>
    <col min="3614" max="3614" width="11.54296875" style="6" customWidth="1"/>
    <col min="3615" max="3615" width="5.54296875" style="6" customWidth="1"/>
    <col min="3616" max="3616" width="6" style="6" customWidth="1"/>
    <col min="3617" max="3617" width="6.54296875" style="6" customWidth="1"/>
    <col min="3618" max="3618" width="11.08984375" style="6" customWidth="1"/>
    <col min="3619" max="3619" width="7.08984375" style="6" customWidth="1"/>
    <col min="3620" max="3621" width="5.81640625" style="6" customWidth="1"/>
    <col min="3622" max="3622" width="6" style="6" customWidth="1"/>
    <col min="3623" max="3623" width="6.81640625" style="6" customWidth="1"/>
    <col min="3624" max="3624" width="6" style="6" customWidth="1"/>
    <col min="3625" max="3625" width="18.08984375" style="6" customWidth="1"/>
    <col min="3626" max="3863" width="9" style="6"/>
    <col min="3864" max="3864" width="2.08984375" style="6" customWidth="1"/>
    <col min="3865" max="3865" width="5.81640625" style="6" customWidth="1"/>
    <col min="3866" max="3866" width="6.81640625" style="6" customWidth="1"/>
    <col min="3867" max="3867" width="6.08984375" style="6" customWidth="1"/>
    <col min="3868" max="3868" width="6.81640625" style="6" customWidth="1"/>
    <col min="3869" max="3869" width="10.81640625" style="6" customWidth="1"/>
    <col min="3870" max="3870" width="11.54296875" style="6" customWidth="1"/>
    <col min="3871" max="3871" width="5.54296875" style="6" customWidth="1"/>
    <col min="3872" max="3872" width="6" style="6" customWidth="1"/>
    <col min="3873" max="3873" width="6.54296875" style="6" customWidth="1"/>
    <col min="3874" max="3874" width="11.08984375" style="6" customWidth="1"/>
    <col min="3875" max="3875" width="7.08984375" style="6" customWidth="1"/>
    <col min="3876" max="3877" width="5.81640625" style="6" customWidth="1"/>
    <col min="3878" max="3878" width="6" style="6" customWidth="1"/>
    <col min="3879" max="3879" width="6.81640625" style="6" customWidth="1"/>
    <col min="3880" max="3880" width="6" style="6" customWidth="1"/>
    <col min="3881" max="3881" width="18.08984375" style="6" customWidth="1"/>
    <col min="3882" max="4119" width="9" style="6"/>
    <col min="4120" max="4120" width="2.08984375" style="6" customWidth="1"/>
    <col min="4121" max="4121" width="5.81640625" style="6" customWidth="1"/>
    <col min="4122" max="4122" width="6.81640625" style="6" customWidth="1"/>
    <col min="4123" max="4123" width="6.08984375" style="6" customWidth="1"/>
    <col min="4124" max="4124" width="6.81640625" style="6" customWidth="1"/>
    <col min="4125" max="4125" width="10.81640625" style="6" customWidth="1"/>
    <col min="4126" max="4126" width="11.54296875" style="6" customWidth="1"/>
    <col min="4127" max="4127" width="5.54296875" style="6" customWidth="1"/>
    <col min="4128" max="4128" width="6" style="6" customWidth="1"/>
    <col min="4129" max="4129" width="6.54296875" style="6" customWidth="1"/>
    <col min="4130" max="4130" width="11.08984375" style="6" customWidth="1"/>
    <col min="4131" max="4131" width="7.08984375" style="6" customWidth="1"/>
    <col min="4132" max="4133" width="5.81640625" style="6" customWidth="1"/>
    <col min="4134" max="4134" width="6" style="6" customWidth="1"/>
    <col min="4135" max="4135" width="6.81640625" style="6" customWidth="1"/>
    <col min="4136" max="4136" width="6" style="6" customWidth="1"/>
    <col min="4137" max="4137" width="18.08984375" style="6" customWidth="1"/>
    <col min="4138" max="4375" width="9" style="6"/>
    <col min="4376" max="4376" width="2.08984375" style="6" customWidth="1"/>
    <col min="4377" max="4377" width="5.81640625" style="6" customWidth="1"/>
    <col min="4378" max="4378" width="6.81640625" style="6" customWidth="1"/>
    <col min="4379" max="4379" width="6.08984375" style="6" customWidth="1"/>
    <col min="4380" max="4380" width="6.81640625" style="6" customWidth="1"/>
    <col min="4381" max="4381" width="10.81640625" style="6" customWidth="1"/>
    <col min="4382" max="4382" width="11.54296875" style="6" customWidth="1"/>
    <col min="4383" max="4383" width="5.54296875" style="6" customWidth="1"/>
    <col min="4384" max="4384" width="6" style="6" customWidth="1"/>
    <col min="4385" max="4385" width="6.54296875" style="6" customWidth="1"/>
    <col min="4386" max="4386" width="11.08984375" style="6" customWidth="1"/>
    <col min="4387" max="4387" width="7.08984375" style="6" customWidth="1"/>
    <col min="4388" max="4389" width="5.81640625" style="6" customWidth="1"/>
    <col min="4390" max="4390" width="6" style="6" customWidth="1"/>
    <col min="4391" max="4391" width="6.81640625" style="6" customWidth="1"/>
    <col min="4392" max="4392" width="6" style="6" customWidth="1"/>
    <col min="4393" max="4393" width="18.08984375" style="6" customWidth="1"/>
    <col min="4394" max="4631" width="9" style="6"/>
    <col min="4632" max="4632" width="2.08984375" style="6" customWidth="1"/>
    <col min="4633" max="4633" width="5.81640625" style="6" customWidth="1"/>
    <col min="4634" max="4634" width="6.81640625" style="6" customWidth="1"/>
    <col min="4635" max="4635" width="6.08984375" style="6" customWidth="1"/>
    <col min="4636" max="4636" width="6.81640625" style="6" customWidth="1"/>
    <col min="4637" max="4637" width="10.81640625" style="6" customWidth="1"/>
    <col min="4638" max="4638" width="11.54296875" style="6" customWidth="1"/>
    <col min="4639" max="4639" width="5.54296875" style="6" customWidth="1"/>
    <col min="4640" max="4640" width="6" style="6" customWidth="1"/>
    <col min="4641" max="4641" width="6.54296875" style="6" customWidth="1"/>
    <col min="4642" max="4642" width="11.08984375" style="6" customWidth="1"/>
    <col min="4643" max="4643" width="7.08984375" style="6" customWidth="1"/>
    <col min="4644" max="4645" width="5.81640625" style="6" customWidth="1"/>
    <col min="4646" max="4646" width="6" style="6" customWidth="1"/>
    <col min="4647" max="4647" width="6.81640625" style="6" customWidth="1"/>
    <col min="4648" max="4648" width="6" style="6" customWidth="1"/>
    <col min="4649" max="4649" width="18.08984375" style="6" customWidth="1"/>
    <col min="4650" max="4887" width="9" style="6"/>
    <col min="4888" max="4888" width="2.08984375" style="6" customWidth="1"/>
    <col min="4889" max="4889" width="5.81640625" style="6" customWidth="1"/>
    <col min="4890" max="4890" width="6.81640625" style="6" customWidth="1"/>
    <col min="4891" max="4891" width="6.08984375" style="6" customWidth="1"/>
    <col min="4892" max="4892" width="6.81640625" style="6" customWidth="1"/>
    <col min="4893" max="4893" width="10.81640625" style="6" customWidth="1"/>
    <col min="4894" max="4894" width="11.54296875" style="6" customWidth="1"/>
    <col min="4895" max="4895" width="5.54296875" style="6" customWidth="1"/>
    <col min="4896" max="4896" width="6" style="6" customWidth="1"/>
    <col min="4897" max="4897" width="6.54296875" style="6" customWidth="1"/>
    <col min="4898" max="4898" width="11.08984375" style="6" customWidth="1"/>
    <col min="4899" max="4899" width="7.08984375" style="6" customWidth="1"/>
    <col min="4900" max="4901" width="5.81640625" style="6" customWidth="1"/>
    <col min="4902" max="4902" width="6" style="6" customWidth="1"/>
    <col min="4903" max="4903" width="6.81640625" style="6" customWidth="1"/>
    <col min="4904" max="4904" width="6" style="6" customWidth="1"/>
    <col min="4905" max="4905" width="18.08984375" style="6" customWidth="1"/>
    <col min="4906" max="5143" width="9" style="6"/>
    <col min="5144" max="5144" width="2.08984375" style="6" customWidth="1"/>
    <col min="5145" max="5145" width="5.81640625" style="6" customWidth="1"/>
    <col min="5146" max="5146" width="6.81640625" style="6" customWidth="1"/>
    <col min="5147" max="5147" width="6.08984375" style="6" customWidth="1"/>
    <col min="5148" max="5148" width="6.81640625" style="6" customWidth="1"/>
    <col min="5149" max="5149" width="10.81640625" style="6" customWidth="1"/>
    <col min="5150" max="5150" width="11.54296875" style="6" customWidth="1"/>
    <col min="5151" max="5151" width="5.54296875" style="6" customWidth="1"/>
    <col min="5152" max="5152" width="6" style="6" customWidth="1"/>
    <col min="5153" max="5153" width="6.54296875" style="6" customWidth="1"/>
    <col min="5154" max="5154" width="11.08984375" style="6" customWidth="1"/>
    <col min="5155" max="5155" width="7.08984375" style="6" customWidth="1"/>
    <col min="5156" max="5157" width="5.81640625" style="6" customWidth="1"/>
    <col min="5158" max="5158" width="6" style="6" customWidth="1"/>
    <col min="5159" max="5159" width="6.81640625" style="6" customWidth="1"/>
    <col min="5160" max="5160" width="6" style="6" customWidth="1"/>
    <col min="5161" max="5161" width="18.08984375" style="6" customWidth="1"/>
    <col min="5162" max="5399" width="9" style="6"/>
    <col min="5400" max="5400" width="2.08984375" style="6" customWidth="1"/>
    <col min="5401" max="5401" width="5.81640625" style="6" customWidth="1"/>
    <col min="5402" max="5402" width="6.81640625" style="6" customWidth="1"/>
    <col min="5403" max="5403" width="6.08984375" style="6" customWidth="1"/>
    <col min="5404" max="5404" width="6.81640625" style="6" customWidth="1"/>
    <col min="5405" max="5405" width="10.81640625" style="6" customWidth="1"/>
    <col min="5406" max="5406" width="11.54296875" style="6" customWidth="1"/>
    <col min="5407" max="5407" width="5.54296875" style="6" customWidth="1"/>
    <col min="5408" max="5408" width="6" style="6" customWidth="1"/>
    <col min="5409" max="5409" width="6.54296875" style="6" customWidth="1"/>
    <col min="5410" max="5410" width="11.08984375" style="6" customWidth="1"/>
    <col min="5411" max="5411" width="7.08984375" style="6" customWidth="1"/>
    <col min="5412" max="5413" width="5.81640625" style="6" customWidth="1"/>
    <col min="5414" max="5414" width="6" style="6" customWidth="1"/>
    <col min="5415" max="5415" width="6.81640625" style="6" customWidth="1"/>
    <col min="5416" max="5416" width="6" style="6" customWidth="1"/>
    <col min="5417" max="5417" width="18.08984375" style="6" customWidth="1"/>
    <col min="5418" max="5655" width="9" style="6"/>
    <col min="5656" max="5656" width="2.08984375" style="6" customWidth="1"/>
    <col min="5657" max="5657" width="5.81640625" style="6" customWidth="1"/>
    <col min="5658" max="5658" width="6.81640625" style="6" customWidth="1"/>
    <col min="5659" max="5659" width="6.08984375" style="6" customWidth="1"/>
    <col min="5660" max="5660" width="6.81640625" style="6" customWidth="1"/>
    <col min="5661" max="5661" width="10.81640625" style="6" customWidth="1"/>
    <col min="5662" max="5662" width="11.54296875" style="6" customWidth="1"/>
    <col min="5663" max="5663" width="5.54296875" style="6" customWidth="1"/>
    <col min="5664" max="5664" width="6" style="6" customWidth="1"/>
    <col min="5665" max="5665" width="6.54296875" style="6" customWidth="1"/>
    <col min="5666" max="5666" width="11.08984375" style="6" customWidth="1"/>
    <col min="5667" max="5667" width="7.08984375" style="6" customWidth="1"/>
    <col min="5668" max="5669" width="5.81640625" style="6" customWidth="1"/>
    <col min="5670" max="5670" width="6" style="6" customWidth="1"/>
    <col min="5671" max="5671" width="6.81640625" style="6" customWidth="1"/>
    <col min="5672" max="5672" width="6" style="6" customWidth="1"/>
    <col min="5673" max="5673" width="18.08984375" style="6" customWidth="1"/>
    <col min="5674" max="5911" width="9" style="6"/>
    <col min="5912" max="5912" width="2.08984375" style="6" customWidth="1"/>
    <col min="5913" max="5913" width="5.81640625" style="6" customWidth="1"/>
    <col min="5914" max="5914" width="6.81640625" style="6" customWidth="1"/>
    <col min="5915" max="5915" width="6.08984375" style="6" customWidth="1"/>
    <col min="5916" max="5916" width="6.81640625" style="6" customWidth="1"/>
    <col min="5917" max="5917" width="10.81640625" style="6" customWidth="1"/>
    <col min="5918" max="5918" width="11.54296875" style="6" customWidth="1"/>
    <col min="5919" max="5919" width="5.54296875" style="6" customWidth="1"/>
    <col min="5920" max="5920" width="6" style="6" customWidth="1"/>
    <col min="5921" max="5921" width="6.54296875" style="6" customWidth="1"/>
    <col min="5922" max="5922" width="11.08984375" style="6" customWidth="1"/>
    <col min="5923" max="5923" width="7.08984375" style="6" customWidth="1"/>
    <col min="5924" max="5925" width="5.81640625" style="6" customWidth="1"/>
    <col min="5926" max="5926" width="6" style="6" customWidth="1"/>
    <col min="5927" max="5927" width="6.81640625" style="6" customWidth="1"/>
    <col min="5928" max="5928" width="6" style="6" customWidth="1"/>
    <col min="5929" max="5929" width="18.08984375" style="6" customWidth="1"/>
    <col min="5930" max="6167" width="9" style="6"/>
    <col min="6168" max="6168" width="2.08984375" style="6" customWidth="1"/>
    <col min="6169" max="6169" width="5.81640625" style="6" customWidth="1"/>
    <col min="6170" max="6170" width="6.81640625" style="6" customWidth="1"/>
    <col min="6171" max="6171" width="6.08984375" style="6" customWidth="1"/>
    <col min="6172" max="6172" width="6.81640625" style="6" customWidth="1"/>
    <col min="6173" max="6173" width="10.81640625" style="6" customWidth="1"/>
    <col min="6174" max="6174" width="11.54296875" style="6" customWidth="1"/>
    <col min="6175" max="6175" width="5.54296875" style="6" customWidth="1"/>
    <col min="6176" max="6176" width="6" style="6" customWidth="1"/>
    <col min="6177" max="6177" width="6.54296875" style="6" customWidth="1"/>
    <col min="6178" max="6178" width="11.08984375" style="6" customWidth="1"/>
    <col min="6179" max="6179" width="7.08984375" style="6" customWidth="1"/>
    <col min="6180" max="6181" width="5.81640625" style="6" customWidth="1"/>
    <col min="6182" max="6182" width="6" style="6" customWidth="1"/>
    <col min="6183" max="6183" width="6.81640625" style="6" customWidth="1"/>
    <col min="6184" max="6184" width="6" style="6" customWidth="1"/>
    <col min="6185" max="6185" width="18.08984375" style="6" customWidth="1"/>
    <col min="6186" max="6423" width="9" style="6"/>
    <col min="6424" max="6424" width="2.08984375" style="6" customWidth="1"/>
    <col min="6425" max="6425" width="5.81640625" style="6" customWidth="1"/>
    <col min="6426" max="6426" width="6.81640625" style="6" customWidth="1"/>
    <col min="6427" max="6427" width="6.08984375" style="6" customWidth="1"/>
    <col min="6428" max="6428" width="6.81640625" style="6" customWidth="1"/>
    <col min="6429" max="6429" width="10.81640625" style="6" customWidth="1"/>
    <col min="6430" max="6430" width="11.54296875" style="6" customWidth="1"/>
    <col min="6431" max="6431" width="5.54296875" style="6" customWidth="1"/>
    <col min="6432" max="6432" width="6" style="6" customWidth="1"/>
    <col min="6433" max="6433" width="6.54296875" style="6" customWidth="1"/>
    <col min="6434" max="6434" width="11.08984375" style="6" customWidth="1"/>
    <col min="6435" max="6435" width="7.08984375" style="6" customWidth="1"/>
    <col min="6436" max="6437" width="5.81640625" style="6" customWidth="1"/>
    <col min="6438" max="6438" width="6" style="6" customWidth="1"/>
    <col min="6439" max="6439" width="6.81640625" style="6" customWidth="1"/>
    <col min="6440" max="6440" width="6" style="6" customWidth="1"/>
    <col min="6441" max="6441" width="18.08984375" style="6" customWidth="1"/>
    <col min="6442" max="6679" width="9" style="6"/>
    <col min="6680" max="6680" width="2.08984375" style="6" customWidth="1"/>
    <col min="6681" max="6681" width="5.81640625" style="6" customWidth="1"/>
    <col min="6682" max="6682" width="6.81640625" style="6" customWidth="1"/>
    <col min="6683" max="6683" width="6.08984375" style="6" customWidth="1"/>
    <col min="6684" max="6684" width="6.81640625" style="6" customWidth="1"/>
    <col min="6685" max="6685" width="10.81640625" style="6" customWidth="1"/>
    <col min="6686" max="6686" width="11.54296875" style="6" customWidth="1"/>
    <col min="6687" max="6687" width="5.54296875" style="6" customWidth="1"/>
    <col min="6688" max="6688" width="6" style="6" customWidth="1"/>
    <col min="6689" max="6689" width="6.54296875" style="6" customWidth="1"/>
    <col min="6690" max="6690" width="11.08984375" style="6" customWidth="1"/>
    <col min="6691" max="6691" width="7.08984375" style="6" customWidth="1"/>
    <col min="6692" max="6693" width="5.81640625" style="6" customWidth="1"/>
    <col min="6694" max="6694" width="6" style="6" customWidth="1"/>
    <col min="6695" max="6695" width="6.81640625" style="6" customWidth="1"/>
    <col min="6696" max="6696" width="6" style="6" customWidth="1"/>
    <col min="6697" max="6697" width="18.08984375" style="6" customWidth="1"/>
    <col min="6698" max="6935" width="9" style="6"/>
    <col min="6936" max="6936" width="2.08984375" style="6" customWidth="1"/>
    <col min="6937" max="6937" width="5.81640625" style="6" customWidth="1"/>
    <col min="6938" max="6938" width="6.81640625" style="6" customWidth="1"/>
    <col min="6939" max="6939" width="6.08984375" style="6" customWidth="1"/>
    <col min="6940" max="6940" width="6.81640625" style="6" customWidth="1"/>
    <col min="6941" max="6941" width="10.81640625" style="6" customWidth="1"/>
    <col min="6942" max="6942" width="11.54296875" style="6" customWidth="1"/>
    <col min="6943" max="6943" width="5.54296875" style="6" customWidth="1"/>
    <col min="6944" max="6944" width="6" style="6" customWidth="1"/>
    <col min="6945" max="6945" width="6.54296875" style="6" customWidth="1"/>
    <col min="6946" max="6946" width="11.08984375" style="6" customWidth="1"/>
    <col min="6947" max="6947" width="7.08984375" style="6" customWidth="1"/>
    <col min="6948" max="6949" width="5.81640625" style="6" customWidth="1"/>
    <col min="6950" max="6950" width="6" style="6" customWidth="1"/>
    <col min="6951" max="6951" width="6.81640625" style="6" customWidth="1"/>
    <col min="6952" max="6952" width="6" style="6" customWidth="1"/>
    <col min="6953" max="6953" width="18.08984375" style="6" customWidth="1"/>
    <col min="6954" max="7191" width="9" style="6"/>
    <col min="7192" max="7192" width="2.08984375" style="6" customWidth="1"/>
    <col min="7193" max="7193" width="5.81640625" style="6" customWidth="1"/>
    <col min="7194" max="7194" width="6.81640625" style="6" customWidth="1"/>
    <col min="7195" max="7195" width="6.08984375" style="6" customWidth="1"/>
    <col min="7196" max="7196" width="6.81640625" style="6" customWidth="1"/>
    <col min="7197" max="7197" width="10.81640625" style="6" customWidth="1"/>
    <col min="7198" max="7198" width="11.54296875" style="6" customWidth="1"/>
    <col min="7199" max="7199" width="5.54296875" style="6" customWidth="1"/>
    <col min="7200" max="7200" width="6" style="6" customWidth="1"/>
    <col min="7201" max="7201" width="6.54296875" style="6" customWidth="1"/>
    <col min="7202" max="7202" width="11.08984375" style="6" customWidth="1"/>
    <col min="7203" max="7203" width="7.08984375" style="6" customWidth="1"/>
    <col min="7204" max="7205" width="5.81640625" style="6" customWidth="1"/>
    <col min="7206" max="7206" width="6" style="6" customWidth="1"/>
    <col min="7207" max="7207" width="6.81640625" style="6" customWidth="1"/>
    <col min="7208" max="7208" width="6" style="6" customWidth="1"/>
    <col min="7209" max="7209" width="18.08984375" style="6" customWidth="1"/>
    <col min="7210" max="7447" width="9" style="6"/>
    <col min="7448" max="7448" width="2.08984375" style="6" customWidth="1"/>
    <col min="7449" max="7449" width="5.81640625" style="6" customWidth="1"/>
    <col min="7450" max="7450" width="6.81640625" style="6" customWidth="1"/>
    <col min="7451" max="7451" width="6.08984375" style="6" customWidth="1"/>
    <col min="7452" max="7452" width="6.81640625" style="6" customWidth="1"/>
    <col min="7453" max="7453" width="10.81640625" style="6" customWidth="1"/>
    <col min="7454" max="7454" width="11.54296875" style="6" customWidth="1"/>
    <col min="7455" max="7455" width="5.54296875" style="6" customWidth="1"/>
    <col min="7456" max="7456" width="6" style="6" customWidth="1"/>
    <col min="7457" max="7457" width="6.54296875" style="6" customWidth="1"/>
    <col min="7458" max="7458" width="11.08984375" style="6" customWidth="1"/>
    <col min="7459" max="7459" width="7.08984375" style="6" customWidth="1"/>
    <col min="7460" max="7461" width="5.81640625" style="6" customWidth="1"/>
    <col min="7462" max="7462" width="6" style="6" customWidth="1"/>
    <col min="7463" max="7463" width="6.81640625" style="6" customWidth="1"/>
    <col min="7464" max="7464" width="6" style="6" customWidth="1"/>
    <col min="7465" max="7465" width="18.08984375" style="6" customWidth="1"/>
    <col min="7466" max="7703" width="9" style="6"/>
    <col min="7704" max="7704" width="2.08984375" style="6" customWidth="1"/>
    <col min="7705" max="7705" width="5.81640625" style="6" customWidth="1"/>
    <col min="7706" max="7706" width="6.81640625" style="6" customWidth="1"/>
    <col min="7707" max="7707" width="6.08984375" style="6" customWidth="1"/>
    <col min="7708" max="7708" width="6.81640625" style="6" customWidth="1"/>
    <col min="7709" max="7709" width="10.81640625" style="6" customWidth="1"/>
    <col min="7710" max="7710" width="11.54296875" style="6" customWidth="1"/>
    <col min="7711" max="7711" width="5.54296875" style="6" customWidth="1"/>
    <col min="7712" max="7712" width="6" style="6" customWidth="1"/>
    <col min="7713" max="7713" width="6.54296875" style="6" customWidth="1"/>
    <col min="7714" max="7714" width="11.08984375" style="6" customWidth="1"/>
    <col min="7715" max="7715" width="7.08984375" style="6" customWidth="1"/>
    <col min="7716" max="7717" width="5.81640625" style="6" customWidth="1"/>
    <col min="7718" max="7718" width="6" style="6" customWidth="1"/>
    <col min="7719" max="7719" width="6.81640625" style="6" customWidth="1"/>
    <col min="7720" max="7720" width="6" style="6" customWidth="1"/>
    <col min="7721" max="7721" width="18.08984375" style="6" customWidth="1"/>
    <col min="7722" max="7959" width="9" style="6"/>
    <col min="7960" max="7960" width="2.08984375" style="6" customWidth="1"/>
    <col min="7961" max="7961" width="5.81640625" style="6" customWidth="1"/>
    <col min="7962" max="7962" width="6.81640625" style="6" customWidth="1"/>
    <col min="7963" max="7963" width="6.08984375" style="6" customWidth="1"/>
    <col min="7964" max="7964" width="6.81640625" style="6" customWidth="1"/>
    <col min="7965" max="7965" width="10.81640625" style="6" customWidth="1"/>
    <col min="7966" max="7966" width="11.54296875" style="6" customWidth="1"/>
    <col min="7967" max="7967" width="5.54296875" style="6" customWidth="1"/>
    <col min="7968" max="7968" width="6" style="6" customWidth="1"/>
    <col min="7969" max="7969" width="6.54296875" style="6" customWidth="1"/>
    <col min="7970" max="7970" width="11.08984375" style="6" customWidth="1"/>
    <col min="7971" max="7971" width="7.08984375" style="6" customWidth="1"/>
    <col min="7972" max="7973" width="5.81640625" style="6" customWidth="1"/>
    <col min="7974" max="7974" width="6" style="6" customWidth="1"/>
    <col min="7975" max="7975" width="6.81640625" style="6" customWidth="1"/>
    <col min="7976" max="7976" width="6" style="6" customWidth="1"/>
    <col min="7977" max="7977" width="18.08984375" style="6" customWidth="1"/>
    <col min="7978" max="8215" width="9" style="6"/>
    <col min="8216" max="8216" width="2.08984375" style="6" customWidth="1"/>
    <col min="8217" max="8217" width="5.81640625" style="6" customWidth="1"/>
    <col min="8218" max="8218" width="6.81640625" style="6" customWidth="1"/>
    <col min="8219" max="8219" width="6.08984375" style="6" customWidth="1"/>
    <col min="8220" max="8220" width="6.81640625" style="6" customWidth="1"/>
    <col min="8221" max="8221" width="10.81640625" style="6" customWidth="1"/>
    <col min="8222" max="8222" width="11.54296875" style="6" customWidth="1"/>
    <col min="8223" max="8223" width="5.54296875" style="6" customWidth="1"/>
    <col min="8224" max="8224" width="6" style="6" customWidth="1"/>
    <col min="8225" max="8225" width="6.54296875" style="6" customWidth="1"/>
    <col min="8226" max="8226" width="11.08984375" style="6" customWidth="1"/>
    <col min="8227" max="8227" width="7.08984375" style="6" customWidth="1"/>
    <col min="8228" max="8229" width="5.81640625" style="6" customWidth="1"/>
    <col min="8230" max="8230" width="6" style="6" customWidth="1"/>
    <col min="8231" max="8231" width="6.81640625" style="6" customWidth="1"/>
    <col min="8232" max="8232" width="6" style="6" customWidth="1"/>
    <col min="8233" max="8233" width="18.08984375" style="6" customWidth="1"/>
    <col min="8234" max="8471" width="9" style="6"/>
    <col min="8472" max="8472" width="2.08984375" style="6" customWidth="1"/>
    <col min="8473" max="8473" width="5.81640625" style="6" customWidth="1"/>
    <col min="8474" max="8474" width="6.81640625" style="6" customWidth="1"/>
    <col min="8475" max="8475" width="6.08984375" style="6" customWidth="1"/>
    <col min="8476" max="8476" width="6.81640625" style="6" customWidth="1"/>
    <col min="8477" max="8477" width="10.81640625" style="6" customWidth="1"/>
    <col min="8478" max="8478" width="11.54296875" style="6" customWidth="1"/>
    <col min="8479" max="8479" width="5.54296875" style="6" customWidth="1"/>
    <col min="8480" max="8480" width="6" style="6" customWidth="1"/>
    <col min="8481" max="8481" width="6.54296875" style="6" customWidth="1"/>
    <col min="8482" max="8482" width="11.08984375" style="6" customWidth="1"/>
    <col min="8483" max="8483" width="7.08984375" style="6" customWidth="1"/>
    <col min="8484" max="8485" width="5.81640625" style="6" customWidth="1"/>
    <col min="8486" max="8486" width="6" style="6" customWidth="1"/>
    <col min="8487" max="8487" width="6.81640625" style="6" customWidth="1"/>
    <col min="8488" max="8488" width="6" style="6" customWidth="1"/>
    <col min="8489" max="8489" width="18.08984375" style="6" customWidth="1"/>
    <col min="8490" max="8727" width="9" style="6"/>
    <col min="8728" max="8728" width="2.08984375" style="6" customWidth="1"/>
    <col min="8729" max="8729" width="5.81640625" style="6" customWidth="1"/>
    <col min="8730" max="8730" width="6.81640625" style="6" customWidth="1"/>
    <col min="8731" max="8731" width="6.08984375" style="6" customWidth="1"/>
    <col min="8732" max="8732" width="6.81640625" style="6" customWidth="1"/>
    <col min="8733" max="8733" width="10.81640625" style="6" customWidth="1"/>
    <col min="8734" max="8734" width="11.54296875" style="6" customWidth="1"/>
    <col min="8735" max="8735" width="5.54296875" style="6" customWidth="1"/>
    <col min="8736" max="8736" width="6" style="6" customWidth="1"/>
    <col min="8737" max="8737" width="6.54296875" style="6" customWidth="1"/>
    <col min="8738" max="8738" width="11.08984375" style="6" customWidth="1"/>
    <col min="8739" max="8739" width="7.08984375" style="6" customWidth="1"/>
    <col min="8740" max="8741" width="5.81640625" style="6" customWidth="1"/>
    <col min="8742" max="8742" width="6" style="6" customWidth="1"/>
    <col min="8743" max="8743" width="6.81640625" style="6" customWidth="1"/>
    <col min="8744" max="8744" width="6" style="6" customWidth="1"/>
    <col min="8745" max="8745" width="18.08984375" style="6" customWidth="1"/>
    <col min="8746" max="8983" width="9" style="6"/>
    <col min="8984" max="8984" width="2.08984375" style="6" customWidth="1"/>
    <col min="8985" max="8985" width="5.81640625" style="6" customWidth="1"/>
    <col min="8986" max="8986" width="6.81640625" style="6" customWidth="1"/>
    <col min="8987" max="8987" width="6.08984375" style="6" customWidth="1"/>
    <col min="8988" max="8988" width="6.81640625" style="6" customWidth="1"/>
    <col min="8989" max="8989" width="10.81640625" style="6" customWidth="1"/>
    <col min="8990" max="8990" width="11.54296875" style="6" customWidth="1"/>
    <col min="8991" max="8991" width="5.54296875" style="6" customWidth="1"/>
    <col min="8992" max="8992" width="6" style="6" customWidth="1"/>
    <col min="8993" max="8993" width="6.54296875" style="6" customWidth="1"/>
    <col min="8994" max="8994" width="11.08984375" style="6" customWidth="1"/>
    <col min="8995" max="8995" width="7.08984375" style="6" customWidth="1"/>
    <col min="8996" max="8997" width="5.81640625" style="6" customWidth="1"/>
    <col min="8998" max="8998" width="6" style="6" customWidth="1"/>
    <col min="8999" max="8999" width="6.81640625" style="6" customWidth="1"/>
    <col min="9000" max="9000" width="6" style="6" customWidth="1"/>
    <col min="9001" max="9001" width="18.08984375" style="6" customWidth="1"/>
    <col min="9002" max="9239" width="9" style="6"/>
    <col min="9240" max="9240" width="2.08984375" style="6" customWidth="1"/>
    <col min="9241" max="9241" width="5.81640625" style="6" customWidth="1"/>
    <col min="9242" max="9242" width="6.81640625" style="6" customWidth="1"/>
    <col min="9243" max="9243" width="6.08984375" style="6" customWidth="1"/>
    <col min="9244" max="9244" width="6.81640625" style="6" customWidth="1"/>
    <col min="9245" max="9245" width="10.81640625" style="6" customWidth="1"/>
    <col min="9246" max="9246" width="11.54296875" style="6" customWidth="1"/>
    <col min="9247" max="9247" width="5.54296875" style="6" customWidth="1"/>
    <col min="9248" max="9248" width="6" style="6" customWidth="1"/>
    <col min="9249" max="9249" width="6.54296875" style="6" customWidth="1"/>
    <col min="9250" max="9250" width="11.08984375" style="6" customWidth="1"/>
    <col min="9251" max="9251" width="7.08984375" style="6" customWidth="1"/>
    <col min="9252" max="9253" width="5.81640625" style="6" customWidth="1"/>
    <col min="9254" max="9254" width="6" style="6" customWidth="1"/>
    <col min="9255" max="9255" width="6.81640625" style="6" customWidth="1"/>
    <col min="9256" max="9256" width="6" style="6" customWidth="1"/>
    <col min="9257" max="9257" width="18.08984375" style="6" customWidth="1"/>
    <col min="9258" max="9495" width="9" style="6"/>
    <col min="9496" max="9496" width="2.08984375" style="6" customWidth="1"/>
    <col min="9497" max="9497" width="5.81640625" style="6" customWidth="1"/>
    <col min="9498" max="9498" width="6.81640625" style="6" customWidth="1"/>
    <col min="9499" max="9499" width="6.08984375" style="6" customWidth="1"/>
    <col min="9500" max="9500" width="6.81640625" style="6" customWidth="1"/>
    <col min="9501" max="9501" width="10.81640625" style="6" customWidth="1"/>
    <col min="9502" max="9502" width="11.54296875" style="6" customWidth="1"/>
    <col min="9503" max="9503" width="5.54296875" style="6" customWidth="1"/>
    <col min="9504" max="9504" width="6" style="6" customWidth="1"/>
    <col min="9505" max="9505" width="6.54296875" style="6" customWidth="1"/>
    <col min="9506" max="9506" width="11.08984375" style="6" customWidth="1"/>
    <col min="9507" max="9507" width="7.08984375" style="6" customWidth="1"/>
    <col min="9508" max="9509" width="5.81640625" style="6" customWidth="1"/>
    <col min="9510" max="9510" width="6" style="6" customWidth="1"/>
    <col min="9511" max="9511" width="6.81640625" style="6" customWidth="1"/>
    <col min="9512" max="9512" width="6" style="6" customWidth="1"/>
    <col min="9513" max="9513" width="18.08984375" style="6" customWidth="1"/>
    <col min="9514" max="9751" width="9" style="6"/>
    <col min="9752" max="9752" width="2.08984375" style="6" customWidth="1"/>
    <col min="9753" max="9753" width="5.81640625" style="6" customWidth="1"/>
    <col min="9754" max="9754" width="6.81640625" style="6" customWidth="1"/>
    <col min="9755" max="9755" width="6.08984375" style="6" customWidth="1"/>
    <col min="9756" max="9756" width="6.81640625" style="6" customWidth="1"/>
    <col min="9757" max="9757" width="10.81640625" style="6" customWidth="1"/>
    <col min="9758" max="9758" width="11.54296875" style="6" customWidth="1"/>
    <col min="9759" max="9759" width="5.54296875" style="6" customWidth="1"/>
    <col min="9760" max="9760" width="6" style="6" customWidth="1"/>
    <col min="9761" max="9761" width="6.54296875" style="6" customWidth="1"/>
    <col min="9762" max="9762" width="11.08984375" style="6" customWidth="1"/>
    <col min="9763" max="9763" width="7.08984375" style="6" customWidth="1"/>
    <col min="9764" max="9765" width="5.81640625" style="6" customWidth="1"/>
    <col min="9766" max="9766" width="6" style="6" customWidth="1"/>
    <col min="9767" max="9767" width="6.81640625" style="6" customWidth="1"/>
    <col min="9768" max="9768" width="6" style="6" customWidth="1"/>
    <col min="9769" max="9769" width="18.08984375" style="6" customWidth="1"/>
    <col min="9770" max="10007" width="9" style="6"/>
    <col min="10008" max="10008" width="2.08984375" style="6" customWidth="1"/>
    <col min="10009" max="10009" width="5.81640625" style="6" customWidth="1"/>
    <col min="10010" max="10010" width="6.81640625" style="6" customWidth="1"/>
    <col min="10011" max="10011" width="6.08984375" style="6" customWidth="1"/>
    <col min="10012" max="10012" width="6.81640625" style="6" customWidth="1"/>
    <col min="10013" max="10013" width="10.81640625" style="6" customWidth="1"/>
    <col min="10014" max="10014" width="11.54296875" style="6" customWidth="1"/>
    <col min="10015" max="10015" width="5.54296875" style="6" customWidth="1"/>
    <col min="10016" max="10016" width="6" style="6" customWidth="1"/>
    <col min="10017" max="10017" width="6.54296875" style="6" customWidth="1"/>
    <col min="10018" max="10018" width="11.08984375" style="6" customWidth="1"/>
    <col min="10019" max="10019" width="7.08984375" style="6" customWidth="1"/>
    <col min="10020" max="10021" width="5.81640625" style="6" customWidth="1"/>
    <col min="10022" max="10022" width="6" style="6" customWidth="1"/>
    <col min="10023" max="10023" width="6.81640625" style="6" customWidth="1"/>
    <col min="10024" max="10024" width="6" style="6" customWidth="1"/>
    <col min="10025" max="10025" width="18.08984375" style="6" customWidth="1"/>
    <col min="10026" max="10263" width="9" style="6"/>
    <col min="10264" max="10264" width="2.08984375" style="6" customWidth="1"/>
    <col min="10265" max="10265" width="5.81640625" style="6" customWidth="1"/>
    <col min="10266" max="10266" width="6.81640625" style="6" customWidth="1"/>
    <col min="10267" max="10267" width="6.08984375" style="6" customWidth="1"/>
    <col min="10268" max="10268" width="6.81640625" style="6" customWidth="1"/>
    <col min="10269" max="10269" width="10.81640625" style="6" customWidth="1"/>
    <col min="10270" max="10270" width="11.54296875" style="6" customWidth="1"/>
    <col min="10271" max="10271" width="5.54296875" style="6" customWidth="1"/>
    <col min="10272" max="10272" width="6" style="6" customWidth="1"/>
    <col min="10273" max="10273" width="6.54296875" style="6" customWidth="1"/>
    <col min="10274" max="10274" width="11.08984375" style="6" customWidth="1"/>
    <col min="10275" max="10275" width="7.08984375" style="6" customWidth="1"/>
    <col min="10276" max="10277" width="5.81640625" style="6" customWidth="1"/>
    <col min="10278" max="10278" width="6" style="6" customWidth="1"/>
    <col min="10279" max="10279" width="6.81640625" style="6" customWidth="1"/>
    <col min="10280" max="10280" width="6" style="6" customWidth="1"/>
    <col min="10281" max="10281" width="18.08984375" style="6" customWidth="1"/>
    <col min="10282" max="10519" width="9" style="6"/>
    <col min="10520" max="10520" width="2.08984375" style="6" customWidth="1"/>
    <col min="10521" max="10521" width="5.81640625" style="6" customWidth="1"/>
    <col min="10522" max="10522" width="6.81640625" style="6" customWidth="1"/>
    <col min="10523" max="10523" width="6.08984375" style="6" customWidth="1"/>
    <col min="10524" max="10524" width="6.81640625" style="6" customWidth="1"/>
    <col min="10525" max="10525" width="10.81640625" style="6" customWidth="1"/>
    <col min="10526" max="10526" width="11.54296875" style="6" customWidth="1"/>
    <col min="10527" max="10527" width="5.54296875" style="6" customWidth="1"/>
    <col min="10528" max="10528" width="6" style="6" customWidth="1"/>
    <col min="10529" max="10529" width="6.54296875" style="6" customWidth="1"/>
    <col min="10530" max="10530" width="11.08984375" style="6" customWidth="1"/>
    <col min="10531" max="10531" width="7.08984375" style="6" customWidth="1"/>
    <col min="10532" max="10533" width="5.81640625" style="6" customWidth="1"/>
    <col min="10534" max="10534" width="6" style="6" customWidth="1"/>
    <col min="10535" max="10535" width="6.81640625" style="6" customWidth="1"/>
    <col min="10536" max="10536" width="6" style="6" customWidth="1"/>
    <col min="10537" max="10537" width="18.08984375" style="6" customWidth="1"/>
    <col min="10538" max="10775" width="9" style="6"/>
    <col min="10776" max="10776" width="2.08984375" style="6" customWidth="1"/>
    <col min="10777" max="10777" width="5.81640625" style="6" customWidth="1"/>
    <col min="10778" max="10778" width="6.81640625" style="6" customWidth="1"/>
    <col min="10779" max="10779" width="6.08984375" style="6" customWidth="1"/>
    <col min="10780" max="10780" width="6.81640625" style="6" customWidth="1"/>
    <col min="10781" max="10781" width="10.81640625" style="6" customWidth="1"/>
    <col min="10782" max="10782" width="11.54296875" style="6" customWidth="1"/>
    <col min="10783" max="10783" width="5.54296875" style="6" customWidth="1"/>
    <col min="10784" max="10784" width="6" style="6" customWidth="1"/>
    <col min="10785" max="10785" width="6.54296875" style="6" customWidth="1"/>
    <col min="10786" max="10786" width="11.08984375" style="6" customWidth="1"/>
    <col min="10787" max="10787" width="7.08984375" style="6" customWidth="1"/>
    <col min="10788" max="10789" width="5.81640625" style="6" customWidth="1"/>
    <col min="10790" max="10790" width="6" style="6" customWidth="1"/>
    <col min="10791" max="10791" width="6.81640625" style="6" customWidth="1"/>
    <col min="10792" max="10792" width="6" style="6" customWidth="1"/>
    <col min="10793" max="10793" width="18.08984375" style="6" customWidth="1"/>
    <col min="10794" max="11031" width="9" style="6"/>
    <col min="11032" max="11032" width="2.08984375" style="6" customWidth="1"/>
    <col min="11033" max="11033" width="5.81640625" style="6" customWidth="1"/>
    <col min="11034" max="11034" width="6.81640625" style="6" customWidth="1"/>
    <col min="11035" max="11035" width="6.08984375" style="6" customWidth="1"/>
    <col min="11036" max="11036" width="6.81640625" style="6" customWidth="1"/>
    <col min="11037" max="11037" width="10.81640625" style="6" customWidth="1"/>
    <col min="11038" max="11038" width="11.54296875" style="6" customWidth="1"/>
    <col min="11039" max="11039" width="5.54296875" style="6" customWidth="1"/>
    <col min="11040" max="11040" width="6" style="6" customWidth="1"/>
    <col min="11041" max="11041" width="6.54296875" style="6" customWidth="1"/>
    <col min="11042" max="11042" width="11.08984375" style="6" customWidth="1"/>
    <col min="11043" max="11043" width="7.08984375" style="6" customWidth="1"/>
    <col min="11044" max="11045" width="5.81640625" style="6" customWidth="1"/>
    <col min="11046" max="11046" width="6" style="6" customWidth="1"/>
    <col min="11047" max="11047" width="6.81640625" style="6" customWidth="1"/>
    <col min="11048" max="11048" width="6" style="6" customWidth="1"/>
    <col min="11049" max="11049" width="18.08984375" style="6" customWidth="1"/>
    <col min="11050" max="11287" width="9" style="6"/>
    <col min="11288" max="11288" width="2.08984375" style="6" customWidth="1"/>
    <col min="11289" max="11289" width="5.81640625" style="6" customWidth="1"/>
    <col min="11290" max="11290" width="6.81640625" style="6" customWidth="1"/>
    <col min="11291" max="11291" width="6.08984375" style="6" customWidth="1"/>
    <col min="11292" max="11292" width="6.81640625" style="6" customWidth="1"/>
    <col min="11293" max="11293" width="10.81640625" style="6" customWidth="1"/>
    <col min="11294" max="11294" width="11.54296875" style="6" customWidth="1"/>
    <col min="11295" max="11295" width="5.54296875" style="6" customWidth="1"/>
    <col min="11296" max="11296" width="6" style="6" customWidth="1"/>
    <col min="11297" max="11297" width="6.54296875" style="6" customWidth="1"/>
    <col min="11298" max="11298" width="11.08984375" style="6" customWidth="1"/>
    <col min="11299" max="11299" width="7.08984375" style="6" customWidth="1"/>
    <col min="11300" max="11301" width="5.81640625" style="6" customWidth="1"/>
    <col min="11302" max="11302" width="6" style="6" customWidth="1"/>
    <col min="11303" max="11303" width="6.81640625" style="6" customWidth="1"/>
    <col min="11304" max="11304" width="6" style="6" customWidth="1"/>
    <col min="11305" max="11305" width="18.08984375" style="6" customWidth="1"/>
    <col min="11306" max="11543" width="9" style="6"/>
    <col min="11544" max="11544" width="2.08984375" style="6" customWidth="1"/>
    <col min="11545" max="11545" width="5.81640625" style="6" customWidth="1"/>
    <col min="11546" max="11546" width="6.81640625" style="6" customWidth="1"/>
    <col min="11547" max="11547" width="6.08984375" style="6" customWidth="1"/>
    <col min="11548" max="11548" width="6.81640625" style="6" customWidth="1"/>
    <col min="11549" max="11549" width="10.81640625" style="6" customWidth="1"/>
    <col min="11550" max="11550" width="11.54296875" style="6" customWidth="1"/>
    <col min="11551" max="11551" width="5.54296875" style="6" customWidth="1"/>
    <col min="11552" max="11552" width="6" style="6" customWidth="1"/>
    <col min="11553" max="11553" width="6.54296875" style="6" customWidth="1"/>
    <col min="11554" max="11554" width="11.08984375" style="6" customWidth="1"/>
    <col min="11555" max="11555" width="7.08984375" style="6" customWidth="1"/>
    <col min="11556" max="11557" width="5.81640625" style="6" customWidth="1"/>
    <col min="11558" max="11558" width="6" style="6" customWidth="1"/>
    <col min="11559" max="11559" width="6.81640625" style="6" customWidth="1"/>
    <col min="11560" max="11560" width="6" style="6" customWidth="1"/>
    <col min="11561" max="11561" width="18.08984375" style="6" customWidth="1"/>
    <col min="11562" max="11799" width="9" style="6"/>
    <col min="11800" max="11800" width="2.08984375" style="6" customWidth="1"/>
    <col min="11801" max="11801" width="5.81640625" style="6" customWidth="1"/>
    <col min="11802" max="11802" width="6.81640625" style="6" customWidth="1"/>
    <col min="11803" max="11803" width="6.08984375" style="6" customWidth="1"/>
    <col min="11804" max="11804" width="6.81640625" style="6" customWidth="1"/>
    <col min="11805" max="11805" width="10.81640625" style="6" customWidth="1"/>
    <col min="11806" max="11806" width="11.54296875" style="6" customWidth="1"/>
    <col min="11807" max="11807" width="5.54296875" style="6" customWidth="1"/>
    <col min="11808" max="11808" width="6" style="6" customWidth="1"/>
    <col min="11809" max="11809" width="6.54296875" style="6" customWidth="1"/>
    <col min="11810" max="11810" width="11.08984375" style="6" customWidth="1"/>
    <col min="11811" max="11811" width="7.08984375" style="6" customWidth="1"/>
    <col min="11812" max="11813" width="5.81640625" style="6" customWidth="1"/>
    <col min="11814" max="11814" width="6" style="6" customWidth="1"/>
    <col min="11815" max="11815" width="6.81640625" style="6" customWidth="1"/>
    <col min="11816" max="11816" width="6" style="6" customWidth="1"/>
    <col min="11817" max="11817" width="18.08984375" style="6" customWidth="1"/>
    <col min="11818" max="12055" width="9" style="6"/>
    <col min="12056" max="12056" width="2.08984375" style="6" customWidth="1"/>
    <col min="12057" max="12057" width="5.81640625" style="6" customWidth="1"/>
    <col min="12058" max="12058" width="6.81640625" style="6" customWidth="1"/>
    <col min="12059" max="12059" width="6.08984375" style="6" customWidth="1"/>
    <col min="12060" max="12060" width="6.81640625" style="6" customWidth="1"/>
    <col min="12061" max="12061" width="10.81640625" style="6" customWidth="1"/>
    <col min="12062" max="12062" width="11.54296875" style="6" customWidth="1"/>
    <col min="12063" max="12063" width="5.54296875" style="6" customWidth="1"/>
    <col min="12064" max="12064" width="6" style="6" customWidth="1"/>
    <col min="12065" max="12065" width="6.54296875" style="6" customWidth="1"/>
    <col min="12066" max="12066" width="11.08984375" style="6" customWidth="1"/>
    <col min="12067" max="12067" width="7.08984375" style="6" customWidth="1"/>
    <col min="12068" max="12069" width="5.81640625" style="6" customWidth="1"/>
    <col min="12070" max="12070" width="6" style="6" customWidth="1"/>
    <col min="12071" max="12071" width="6.81640625" style="6" customWidth="1"/>
    <col min="12072" max="12072" width="6" style="6" customWidth="1"/>
    <col min="12073" max="12073" width="18.08984375" style="6" customWidth="1"/>
    <col min="12074" max="12311" width="9" style="6"/>
    <col min="12312" max="12312" width="2.08984375" style="6" customWidth="1"/>
    <col min="12313" max="12313" width="5.81640625" style="6" customWidth="1"/>
    <col min="12314" max="12314" width="6.81640625" style="6" customWidth="1"/>
    <col min="12315" max="12315" width="6.08984375" style="6" customWidth="1"/>
    <col min="12316" max="12316" width="6.81640625" style="6" customWidth="1"/>
    <col min="12317" max="12317" width="10.81640625" style="6" customWidth="1"/>
    <col min="12318" max="12318" width="11.54296875" style="6" customWidth="1"/>
    <col min="12319" max="12319" width="5.54296875" style="6" customWidth="1"/>
    <col min="12320" max="12320" width="6" style="6" customWidth="1"/>
    <col min="12321" max="12321" width="6.54296875" style="6" customWidth="1"/>
    <col min="12322" max="12322" width="11.08984375" style="6" customWidth="1"/>
    <col min="12323" max="12323" width="7.08984375" style="6" customWidth="1"/>
    <col min="12324" max="12325" width="5.81640625" style="6" customWidth="1"/>
    <col min="12326" max="12326" width="6" style="6" customWidth="1"/>
    <col min="12327" max="12327" width="6.81640625" style="6" customWidth="1"/>
    <col min="12328" max="12328" width="6" style="6" customWidth="1"/>
    <col min="12329" max="12329" width="18.08984375" style="6" customWidth="1"/>
    <col min="12330" max="12567" width="9" style="6"/>
    <col min="12568" max="12568" width="2.08984375" style="6" customWidth="1"/>
    <col min="12569" max="12569" width="5.81640625" style="6" customWidth="1"/>
    <col min="12570" max="12570" width="6.81640625" style="6" customWidth="1"/>
    <col min="12571" max="12571" width="6.08984375" style="6" customWidth="1"/>
    <col min="12572" max="12572" width="6.81640625" style="6" customWidth="1"/>
    <col min="12573" max="12573" width="10.81640625" style="6" customWidth="1"/>
    <col min="12574" max="12574" width="11.54296875" style="6" customWidth="1"/>
    <col min="12575" max="12575" width="5.54296875" style="6" customWidth="1"/>
    <col min="12576" max="12576" width="6" style="6" customWidth="1"/>
    <col min="12577" max="12577" width="6.54296875" style="6" customWidth="1"/>
    <col min="12578" max="12578" width="11.08984375" style="6" customWidth="1"/>
    <col min="12579" max="12579" width="7.08984375" style="6" customWidth="1"/>
    <col min="12580" max="12581" width="5.81640625" style="6" customWidth="1"/>
    <col min="12582" max="12582" width="6" style="6" customWidth="1"/>
    <col min="12583" max="12583" width="6.81640625" style="6" customWidth="1"/>
    <col min="12584" max="12584" width="6" style="6" customWidth="1"/>
    <col min="12585" max="12585" width="18.08984375" style="6" customWidth="1"/>
    <col min="12586" max="12823" width="9" style="6"/>
    <col min="12824" max="12824" width="2.08984375" style="6" customWidth="1"/>
    <col min="12825" max="12825" width="5.81640625" style="6" customWidth="1"/>
    <col min="12826" max="12826" width="6.81640625" style="6" customWidth="1"/>
    <col min="12827" max="12827" width="6.08984375" style="6" customWidth="1"/>
    <col min="12828" max="12828" width="6.81640625" style="6" customWidth="1"/>
    <col min="12829" max="12829" width="10.81640625" style="6" customWidth="1"/>
    <col min="12830" max="12830" width="11.54296875" style="6" customWidth="1"/>
    <col min="12831" max="12831" width="5.54296875" style="6" customWidth="1"/>
    <col min="12832" max="12832" width="6" style="6" customWidth="1"/>
    <col min="12833" max="12833" width="6.54296875" style="6" customWidth="1"/>
    <col min="12834" max="12834" width="11.08984375" style="6" customWidth="1"/>
    <col min="12835" max="12835" width="7.08984375" style="6" customWidth="1"/>
    <col min="12836" max="12837" width="5.81640625" style="6" customWidth="1"/>
    <col min="12838" max="12838" width="6" style="6" customWidth="1"/>
    <col min="12839" max="12839" width="6.81640625" style="6" customWidth="1"/>
    <col min="12840" max="12840" width="6" style="6" customWidth="1"/>
    <col min="12841" max="12841" width="18.08984375" style="6" customWidth="1"/>
    <col min="12842" max="13079" width="9" style="6"/>
    <col min="13080" max="13080" width="2.08984375" style="6" customWidth="1"/>
    <col min="13081" max="13081" width="5.81640625" style="6" customWidth="1"/>
    <col min="13082" max="13082" width="6.81640625" style="6" customWidth="1"/>
    <col min="13083" max="13083" width="6.08984375" style="6" customWidth="1"/>
    <col min="13084" max="13084" width="6.81640625" style="6" customWidth="1"/>
    <col min="13085" max="13085" width="10.81640625" style="6" customWidth="1"/>
    <col min="13086" max="13086" width="11.54296875" style="6" customWidth="1"/>
    <col min="13087" max="13087" width="5.54296875" style="6" customWidth="1"/>
    <col min="13088" max="13088" width="6" style="6" customWidth="1"/>
    <col min="13089" max="13089" width="6.54296875" style="6" customWidth="1"/>
    <col min="13090" max="13090" width="11.08984375" style="6" customWidth="1"/>
    <col min="13091" max="13091" width="7.08984375" style="6" customWidth="1"/>
    <col min="13092" max="13093" width="5.81640625" style="6" customWidth="1"/>
    <col min="13094" max="13094" width="6" style="6" customWidth="1"/>
    <col min="13095" max="13095" width="6.81640625" style="6" customWidth="1"/>
    <col min="13096" max="13096" width="6" style="6" customWidth="1"/>
    <col min="13097" max="13097" width="18.08984375" style="6" customWidth="1"/>
    <col min="13098" max="13335" width="9" style="6"/>
    <col min="13336" max="13336" width="2.08984375" style="6" customWidth="1"/>
    <col min="13337" max="13337" width="5.81640625" style="6" customWidth="1"/>
    <col min="13338" max="13338" width="6.81640625" style="6" customWidth="1"/>
    <col min="13339" max="13339" width="6.08984375" style="6" customWidth="1"/>
    <col min="13340" max="13340" width="6.81640625" style="6" customWidth="1"/>
    <col min="13341" max="13341" width="10.81640625" style="6" customWidth="1"/>
    <col min="13342" max="13342" width="11.54296875" style="6" customWidth="1"/>
    <col min="13343" max="13343" width="5.54296875" style="6" customWidth="1"/>
    <col min="13344" max="13344" width="6" style="6" customWidth="1"/>
    <col min="13345" max="13345" width="6.54296875" style="6" customWidth="1"/>
    <col min="13346" max="13346" width="11.08984375" style="6" customWidth="1"/>
    <col min="13347" max="13347" width="7.08984375" style="6" customWidth="1"/>
    <col min="13348" max="13349" width="5.81640625" style="6" customWidth="1"/>
    <col min="13350" max="13350" width="6" style="6" customWidth="1"/>
    <col min="13351" max="13351" width="6.81640625" style="6" customWidth="1"/>
    <col min="13352" max="13352" width="6" style="6" customWidth="1"/>
    <col min="13353" max="13353" width="18.08984375" style="6" customWidth="1"/>
    <col min="13354" max="13591" width="9" style="6"/>
    <col min="13592" max="13592" width="2.08984375" style="6" customWidth="1"/>
    <col min="13593" max="13593" width="5.81640625" style="6" customWidth="1"/>
    <col min="13594" max="13594" width="6.81640625" style="6" customWidth="1"/>
    <col min="13595" max="13595" width="6.08984375" style="6" customWidth="1"/>
    <col min="13596" max="13596" width="6.81640625" style="6" customWidth="1"/>
    <col min="13597" max="13597" width="10.81640625" style="6" customWidth="1"/>
    <col min="13598" max="13598" width="11.54296875" style="6" customWidth="1"/>
    <col min="13599" max="13599" width="5.54296875" style="6" customWidth="1"/>
    <col min="13600" max="13600" width="6" style="6" customWidth="1"/>
    <col min="13601" max="13601" width="6.54296875" style="6" customWidth="1"/>
    <col min="13602" max="13602" width="11.08984375" style="6" customWidth="1"/>
    <col min="13603" max="13603" width="7.08984375" style="6" customWidth="1"/>
    <col min="13604" max="13605" width="5.81640625" style="6" customWidth="1"/>
    <col min="13606" max="13606" width="6" style="6" customWidth="1"/>
    <col min="13607" max="13607" width="6.81640625" style="6" customWidth="1"/>
    <col min="13608" max="13608" width="6" style="6" customWidth="1"/>
    <col min="13609" max="13609" width="18.08984375" style="6" customWidth="1"/>
    <col min="13610" max="13847" width="9" style="6"/>
    <col min="13848" max="13848" width="2.08984375" style="6" customWidth="1"/>
    <col min="13849" max="13849" width="5.81640625" style="6" customWidth="1"/>
    <col min="13850" max="13850" width="6.81640625" style="6" customWidth="1"/>
    <col min="13851" max="13851" width="6.08984375" style="6" customWidth="1"/>
    <col min="13852" max="13852" width="6.81640625" style="6" customWidth="1"/>
    <col min="13853" max="13853" width="10.81640625" style="6" customWidth="1"/>
    <col min="13854" max="13854" width="11.54296875" style="6" customWidth="1"/>
    <col min="13855" max="13855" width="5.54296875" style="6" customWidth="1"/>
    <col min="13856" max="13856" width="6" style="6" customWidth="1"/>
    <col min="13857" max="13857" width="6.54296875" style="6" customWidth="1"/>
    <col min="13858" max="13858" width="11.08984375" style="6" customWidth="1"/>
    <col min="13859" max="13859" width="7.08984375" style="6" customWidth="1"/>
    <col min="13860" max="13861" width="5.81640625" style="6" customWidth="1"/>
    <col min="13862" max="13862" width="6" style="6" customWidth="1"/>
    <col min="13863" max="13863" width="6.81640625" style="6" customWidth="1"/>
    <col min="13864" max="13864" width="6" style="6" customWidth="1"/>
    <col min="13865" max="13865" width="18.08984375" style="6" customWidth="1"/>
    <col min="13866" max="14103" width="9" style="6"/>
    <col min="14104" max="14104" width="2.08984375" style="6" customWidth="1"/>
    <col min="14105" max="14105" width="5.81640625" style="6" customWidth="1"/>
    <col min="14106" max="14106" width="6.81640625" style="6" customWidth="1"/>
    <col min="14107" max="14107" width="6.08984375" style="6" customWidth="1"/>
    <col min="14108" max="14108" width="6.81640625" style="6" customWidth="1"/>
    <col min="14109" max="14109" width="10.81640625" style="6" customWidth="1"/>
    <col min="14110" max="14110" width="11.54296875" style="6" customWidth="1"/>
    <col min="14111" max="14111" width="5.54296875" style="6" customWidth="1"/>
    <col min="14112" max="14112" width="6" style="6" customWidth="1"/>
    <col min="14113" max="14113" width="6.54296875" style="6" customWidth="1"/>
    <col min="14114" max="14114" width="11.08984375" style="6" customWidth="1"/>
    <col min="14115" max="14115" width="7.08984375" style="6" customWidth="1"/>
    <col min="14116" max="14117" width="5.81640625" style="6" customWidth="1"/>
    <col min="14118" max="14118" width="6" style="6" customWidth="1"/>
    <col min="14119" max="14119" width="6.81640625" style="6" customWidth="1"/>
    <col min="14120" max="14120" width="6" style="6" customWidth="1"/>
    <col min="14121" max="14121" width="18.08984375" style="6" customWidth="1"/>
    <col min="14122" max="14359" width="9" style="6"/>
    <col min="14360" max="14360" width="2.08984375" style="6" customWidth="1"/>
    <col min="14361" max="14361" width="5.81640625" style="6" customWidth="1"/>
    <col min="14362" max="14362" width="6.81640625" style="6" customWidth="1"/>
    <col min="14363" max="14363" width="6.08984375" style="6" customWidth="1"/>
    <col min="14364" max="14364" width="6.81640625" style="6" customWidth="1"/>
    <col min="14365" max="14365" width="10.81640625" style="6" customWidth="1"/>
    <col min="14366" max="14366" width="11.54296875" style="6" customWidth="1"/>
    <col min="14367" max="14367" width="5.54296875" style="6" customWidth="1"/>
    <col min="14368" max="14368" width="6" style="6" customWidth="1"/>
    <col min="14369" max="14369" width="6.54296875" style="6" customWidth="1"/>
    <col min="14370" max="14370" width="11.08984375" style="6" customWidth="1"/>
    <col min="14371" max="14371" width="7.08984375" style="6" customWidth="1"/>
    <col min="14372" max="14373" width="5.81640625" style="6" customWidth="1"/>
    <col min="14374" max="14374" width="6" style="6" customWidth="1"/>
    <col min="14375" max="14375" width="6.81640625" style="6" customWidth="1"/>
    <col min="14376" max="14376" width="6" style="6" customWidth="1"/>
    <col min="14377" max="14377" width="18.08984375" style="6" customWidth="1"/>
    <col min="14378" max="14615" width="9" style="6"/>
    <col min="14616" max="14616" width="2.08984375" style="6" customWidth="1"/>
    <col min="14617" max="14617" width="5.81640625" style="6" customWidth="1"/>
    <col min="14618" max="14618" width="6.81640625" style="6" customWidth="1"/>
    <col min="14619" max="14619" width="6.08984375" style="6" customWidth="1"/>
    <col min="14620" max="14620" width="6.81640625" style="6" customWidth="1"/>
    <col min="14621" max="14621" width="10.81640625" style="6" customWidth="1"/>
    <col min="14622" max="14622" width="11.54296875" style="6" customWidth="1"/>
    <col min="14623" max="14623" width="5.54296875" style="6" customWidth="1"/>
    <col min="14624" max="14624" width="6" style="6" customWidth="1"/>
    <col min="14625" max="14625" width="6.54296875" style="6" customWidth="1"/>
    <col min="14626" max="14626" width="11.08984375" style="6" customWidth="1"/>
    <col min="14627" max="14627" width="7.08984375" style="6" customWidth="1"/>
    <col min="14628" max="14629" width="5.81640625" style="6" customWidth="1"/>
    <col min="14630" max="14630" width="6" style="6" customWidth="1"/>
    <col min="14631" max="14631" width="6.81640625" style="6" customWidth="1"/>
    <col min="14632" max="14632" width="6" style="6" customWidth="1"/>
    <col min="14633" max="14633" width="18.08984375" style="6" customWidth="1"/>
    <col min="14634" max="14871" width="9" style="6"/>
    <col min="14872" max="14872" width="2.08984375" style="6" customWidth="1"/>
    <col min="14873" max="14873" width="5.81640625" style="6" customWidth="1"/>
    <col min="14874" max="14874" width="6.81640625" style="6" customWidth="1"/>
    <col min="14875" max="14875" width="6.08984375" style="6" customWidth="1"/>
    <col min="14876" max="14876" width="6.81640625" style="6" customWidth="1"/>
    <col min="14877" max="14877" width="10.81640625" style="6" customWidth="1"/>
    <col min="14878" max="14878" width="11.54296875" style="6" customWidth="1"/>
    <col min="14879" max="14879" width="5.54296875" style="6" customWidth="1"/>
    <col min="14880" max="14880" width="6" style="6" customWidth="1"/>
    <col min="14881" max="14881" width="6.54296875" style="6" customWidth="1"/>
    <col min="14882" max="14882" width="11.08984375" style="6" customWidth="1"/>
    <col min="14883" max="14883" width="7.08984375" style="6" customWidth="1"/>
    <col min="14884" max="14885" width="5.81640625" style="6" customWidth="1"/>
    <col min="14886" max="14886" width="6" style="6" customWidth="1"/>
    <col min="14887" max="14887" width="6.81640625" style="6" customWidth="1"/>
    <col min="14888" max="14888" width="6" style="6" customWidth="1"/>
    <col min="14889" max="14889" width="18.08984375" style="6" customWidth="1"/>
    <col min="14890" max="15127" width="9" style="6"/>
    <col min="15128" max="15128" width="2.08984375" style="6" customWidth="1"/>
    <col min="15129" max="15129" width="5.81640625" style="6" customWidth="1"/>
    <col min="15130" max="15130" width="6.81640625" style="6" customWidth="1"/>
    <col min="15131" max="15131" width="6.08984375" style="6" customWidth="1"/>
    <col min="15132" max="15132" width="6.81640625" style="6" customWidth="1"/>
    <col min="15133" max="15133" width="10.81640625" style="6" customWidth="1"/>
    <col min="15134" max="15134" width="11.54296875" style="6" customWidth="1"/>
    <col min="15135" max="15135" width="5.54296875" style="6" customWidth="1"/>
    <col min="15136" max="15136" width="6" style="6" customWidth="1"/>
    <col min="15137" max="15137" width="6.54296875" style="6" customWidth="1"/>
    <col min="15138" max="15138" width="11.08984375" style="6" customWidth="1"/>
    <col min="15139" max="15139" width="7.08984375" style="6" customWidth="1"/>
    <col min="15140" max="15141" width="5.81640625" style="6" customWidth="1"/>
    <col min="15142" max="15142" width="6" style="6" customWidth="1"/>
    <col min="15143" max="15143" width="6.81640625" style="6" customWidth="1"/>
    <col min="15144" max="15144" width="6" style="6" customWidth="1"/>
    <col min="15145" max="15145" width="18.08984375" style="6" customWidth="1"/>
    <col min="15146" max="15383" width="9" style="6"/>
    <col min="15384" max="15384" width="2.08984375" style="6" customWidth="1"/>
    <col min="15385" max="15385" width="5.81640625" style="6" customWidth="1"/>
    <col min="15386" max="15386" width="6.81640625" style="6" customWidth="1"/>
    <col min="15387" max="15387" width="6.08984375" style="6" customWidth="1"/>
    <col min="15388" max="15388" width="6.81640625" style="6" customWidth="1"/>
    <col min="15389" max="15389" width="10.81640625" style="6" customWidth="1"/>
    <col min="15390" max="15390" width="11.54296875" style="6" customWidth="1"/>
    <col min="15391" max="15391" width="5.54296875" style="6" customWidth="1"/>
    <col min="15392" max="15392" width="6" style="6" customWidth="1"/>
    <col min="15393" max="15393" width="6.54296875" style="6" customWidth="1"/>
    <col min="15394" max="15394" width="11.08984375" style="6" customWidth="1"/>
    <col min="15395" max="15395" width="7.08984375" style="6" customWidth="1"/>
    <col min="15396" max="15397" width="5.81640625" style="6" customWidth="1"/>
    <col min="15398" max="15398" width="6" style="6" customWidth="1"/>
    <col min="15399" max="15399" width="6.81640625" style="6" customWidth="1"/>
    <col min="15400" max="15400" width="6" style="6" customWidth="1"/>
    <col min="15401" max="15401" width="18.08984375" style="6" customWidth="1"/>
    <col min="15402" max="15639" width="9" style="6"/>
    <col min="15640" max="15640" width="2.08984375" style="6" customWidth="1"/>
    <col min="15641" max="15641" width="5.81640625" style="6" customWidth="1"/>
    <col min="15642" max="15642" width="6.81640625" style="6" customWidth="1"/>
    <col min="15643" max="15643" width="6.08984375" style="6" customWidth="1"/>
    <col min="15644" max="15644" width="6.81640625" style="6" customWidth="1"/>
    <col min="15645" max="15645" width="10.81640625" style="6" customWidth="1"/>
    <col min="15646" max="15646" width="11.54296875" style="6" customWidth="1"/>
    <col min="15647" max="15647" width="5.54296875" style="6" customWidth="1"/>
    <col min="15648" max="15648" width="6" style="6" customWidth="1"/>
    <col min="15649" max="15649" width="6.54296875" style="6" customWidth="1"/>
    <col min="15650" max="15650" width="11.08984375" style="6" customWidth="1"/>
    <col min="15651" max="15651" width="7.08984375" style="6" customWidth="1"/>
    <col min="15652" max="15653" width="5.81640625" style="6" customWidth="1"/>
    <col min="15654" max="15654" width="6" style="6" customWidth="1"/>
    <col min="15655" max="15655" width="6.81640625" style="6" customWidth="1"/>
    <col min="15656" max="15656" width="6" style="6" customWidth="1"/>
    <col min="15657" max="15657" width="18.08984375" style="6" customWidth="1"/>
    <col min="15658" max="15895" width="9" style="6"/>
    <col min="15896" max="15896" width="2.08984375" style="6" customWidth="1"/>
    <col min="15897" max="15897" width="5.81640625" style="6" customWidth="1"/>
    <col min="15898" max="15898" width="6.81640625" style="6" customWidth="1"/>
    <col min="15899" max="15899" width="6.08984375" style="6" customWidth="1"/>
    <col min="15900" max="15900" width="6.81640625" style="6" customWidth="1"/>
    <col min="15901" max="15901" width="10.81640625" style="6" customWidth="1"/>
    <col min="15902" max="15902" width="11.54296875" style="6" customWidth="1"/>
    <col min="15903" max="15903" width="5.54296875" style="6" customWidth="1"/>
    <col min="15904" max="15904" width="6" style="6" customWidth="1"/>
    <col min="15905" max="15905" width="6.54296875" style="6" customWidth="1"/>
    <col min="15906" max="15906" width="11.08984375" style="6" customWidth="1"/>
    <col min="15907" max="15907" width="7.08984375" style="6" customWidth="1"/>
    <col min="15908" max="15909" width="5.81640625" style="6" customWidth="1"/>
    <col min="15910" max="15910" width="6" style="6" customWidth="1"/>
    <col min="15911" max="15911" width="6.81640625" style="6" customWidth="1"/>
    <col min="15912" max="15912" width="6" style="6" customWidth="1"/>
    <col min="15913" max="15913" width="18.08984375" style="6" customWidth="1"/>
    <col min="15914" max="16151" width="9" style="6"/>
    <col min="16152" max="16152" width="2.08984375" style="6" customWidth="1"/>
    <col min="16153" max="16153" width="5.81640625" style="6" customWidth="1"/>
    <col min="16154" max="16154" width="6.81640625" style="6" customWidth="1"/>
    <col min="16155" max="16155" width="6.08984375" style="6" customWidth="1"/>
    <col min="16156" max="16156" width="6.81640625" style="6" customWidth="1"/>
    <col min="16157" max="16157" width="10.81640625" style="6" customWidth="1"/>
    <col min="16158" max="16158" width="11.54296875" style="6" customWidth="1"/>
    <col min="16159" max="16159" width="5.54296875" style="6" customWidth="1"/>
    <col min="16160" max="16160" width="6" style="6" customWidth="1"/>
    <col min="16161" max="16161" width="6.54296875" style="6" customWidth="1"/>
    <col min="16162" max="16162" width="11.08984375" style="6" customWidth="1"/>
    <col min="16163" max="16163" width="7.08984375" style="6" customWidth="1"/>
    <col min="16164" max="16165" width="5.81640625" style="6" customWidth="1"/>
    <col min="16166" max="16166" width="6" style="6" customWidth="1"/>
    <col min="16167" max="16167" width="6.81640625" style="6" customWidth="1"/>
    <col min="16168" max="16168" width="6" style="6" customWidth="1"/>
    <col min="16169" max="16169" width="18.08984375" style="6" customWidth="1"/>
  </cols>
  <sheetData>
    <row r="1" spans="2:47" ht="5.15" customHeight="1" x14ac:dyDescent="0.25"/>
    <row r="2" spans="2:47" ht="17.5" customHeight="1" thickBot="1" x14ac:dyDescent="0.3">
      <c r="B2" s="187" t="s">
        <v>227</v>
      </c>
      <c r="C2" s="188"/>
      <c r="D2" s="188"/>
      <c r="E2" s="188"/>
      <c r="F2" s="188"/>
      <c r="G2" s="188"/>
      <c r="H2" s="188"/>
      <c r="I2" s="188"/>
      <c r="J2" s="188"/>
      <c r="K2" s="188"/>
      <c r="L2" s="188"/>
      <c r="M2" s="188"/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188"/>
      <c r="AA2" s="188"/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  <c r="AN2" s="188"/>
      <c r="AO2" s="188"/>
      <c r="AP2" s="188"/>
      <c r="AQ2" s="188"/>
      <c r="AR2" s="188"/>
    </row>
    <row r="3" spans="2:47" ht="20.15" customHeight="1" x14ac:dyDescent="0.25">
      <c r="B3" s="189" t="s">
        <v>181</v>
      </c>
      <c r="C3" s="147" t="s">
        <v>163</v>
      </c>
      <c r="D3" s="197"/>
      <c r="E3" s="197"/>
      <c r="F3" s="197"/>
      <c r="G3" s="197"/>
      <c r="H3" s="198"/>
      <c r="I3" s="201" t="s">
        <v>8</v>
      </c>
      <c r="J3" s="197"/>
      <c r="K3" s="197"/>
      <c r="L3" s="197"/>
      <c r="M3" s="197"/>
      <c r="N3" s="197"/>
      <c r="O3" s="197"/>
      <c r="P3" s="202"/>
      <c r="Q3" s="147" t="s">
        <v>77</v>
      </c>
      <c r="R3" s="197"/>
      <c r="S3" s="202"/>
      <c r="T3" s="147" t="s">
        <v>10</v>
      </c>
      <c r="U3" s="197"/>
      <c r="V3" s="197"/>
      <c r="W3" s="202"/>
      <c r="X3" s="147" t="s">
        <v>80</v>
      </c>
      <c r="Y3" s="148"/>
      <c r="Z3" s="147" t="s">
        <v>11</v>
      </c>
      <c r="AA3" s="148"/>
      <c r="AB3" s="13" t="s">
        <v>13</v>
      </c>
      <c r="AC3" s="147" t="s">
        <v>14</v>
      </c>
      <c r="AD3" s="148"/>
      <c r="AE3" s="151" t="s">
        <v>88</v>
      </c>
      <c r="AF3" s="152"/>
      <c r="AG3" s="152"/>
      <c r="AH3" s="152"/>
      <c r="AI3" s="152"/>
      <c r="AJ3" s="152"/>
      <c r="AK3" s="153"/>
      <c r="AL3" s="147" t="s">
        <v>18</v>
      </c>
      <c r="AM3" s="193"/>
      <c r="AN3" s="194"/>
      <c r="AO3" s="193" t="s">
        <v>16</v>
      </c>
      <c r="AP3" s="193"/>
      <c r="AQ3" s="193"/>
      <c r="AR3" s="196"/>
    </row>
    <row r="4" spans="2:47" ht="30" customHeight="1" x14ac:dyDescent="0.25">
      <c r="B4" s="190"/>
      <c r="C4" s="3" t="s">
        <v>52</v>
      </c>
      <c r="D4" s="3" t="s">
        <v>53</v>
      </c>
      <c r="E4" s="3" t="s">
        <v>56</v>
      </c>
      <c r="F4" s="3" t="s">
        <v>57</v>
      </c>
      <c r="G4" s="3" t="s">
        <v>59</v>
      </c>
      <c r="H4" s="34" t="s">
        <v>162</v>
      </c>
      <c r="I4" s="199" t="s">
        <v>62</v>
      </c>
      <c r="J4" s="200"/>
      <c r="K4" s="3" t="s">
        <v>6</v>
      </c>
      <c r="L4" s="3" t="s">
        <v>66</v>
      </c>
      <c r="M4" s="3" t="s">
        <v>164</v>
      </c>
      <c r="N4" s="3" t="s">
        <v>165</v>
      </c>
      <c r="O4" s="154" t="s">
        <v>7</v>
      </c>
      <c r="P4" s="155"/>
      <c r="Q4" s="192" t="s">
        <v>71</v>
      </c>
      <c r="R4" s="155"/>
      <c r="S4" s="3" t="s">
        <v>51</v>
      </c>
      <c r="T4" s="3" t="s">
        <v>75</v>
      </c>
      <c r="U4" s="192" t="s">
        <v>78</v>
      </c>
      <c r="V4" s="155"/>
      <c r="W4" s="3" t="s">
        <v>9</v>
      </c>
      <c r="X4" s="3" t="s">
        <v>157</v>
      </c>
      <c r="Y4" s="3" t="s">
        <v>158</v>
      </c>
      <c r="Z4" s="3" t="s">
        <v>1</v>
      </c>
      <c r="AA4" s="3" t="s">
        <v>12</v>
      </c>
      <c r="AB4" s="3" t="s">
        <v>159</v>
      </c>
      <c r="AC4" s="3" t="s">
        <v>1</v>
      </c>
      <c r="AD4" s="3" t="s">
        <v>12</v>
      </c>
      <c r="AE4" s="149" t="s">
        <v>89</v>
      </c>
      <c r="AF4" s="150"/>
      <c r="AG4" s="149" t="s">
        <v>92</v>
      </c>
      <c r="AH4" s="150"/>
      <c r="AI4" s="10" t="s">
        <v>166</v>
      </c>
      <c r="AJ4" s="10" t="s">
        <v>167</v>
      </c>
      <c r="AK4" s="11" t="s">
        <v>115</v>
      </c>
      <c r="AL4" s="192" t="s">
        <v>110</v>
      </c>
      <c r="AM4" s="155"/>
      <c r="AN4" s="29" t="s">
        <v>111</v>
      </c>
      <c r="AO4" s="26" t="s">
        <v>12</v>
      </c>
      <c r="AP4" s="3" t="s">
        <v>1</v>
      </c>
      <c r="AQ4" s="168" t="s">
        <v>161</v>
      </c>
      <c r="AR4" s="195"/>
      <c r="AU4" s="20"/>
    </row>
    <row r="5" spans="2:47" ht="20.15" customHeight="1" x14ac:dyDescent="0.25">
      <c r="B5" s="191"/>
      <c r="C5" s="1" t="s">
        <v>0</v>
      </c>
      <c r="D5" s="1" t="s">
        <v>54</v>
      </c>
      <c r="E5" s="1" t="s">
        <v>55</v>
      </c>
      <c r="F5" s="1" t="s">
        <v>58</v>
      </c>
      <c r="G5" s="1" t="s">
        <v>60</v>
      </c>
      <c r="H5" s="39" t="s">
        <v>61</v>
      </c>
      <c r="I5" s="28" t="s">
        <v>63</v>
      </c>
      <c r="J5" s="22" t="s">
        <v>64</v>
      </c>
      <c r="K5" s="1" t="s">
        <v>65</v>
      </c>
      <c r="L5" s="1" t="s">
        <v>67</v>
      </c>
      <c r="M5" s="1" t="s">
        <v>68</v>
      </c>
      <c r="N5" s="1" t="s">
        <v>69</v>
      </c>
      <c r="O5" s="22" t="s">
        <v>70</v>
      </c>
      <c r="P5" s="22" t="s">
        <v>64</v>
      </c>
      <c r="Q5" s="22" t="s">
        <v>72</v>
      </c>
      <c r="R5" s="22" t="s">
        <v>73</v>
      </c>
      <c r="S5" s="1" t="s">
        <v>74</v>
      </c>
      <c r="T5" s="1" t="s">
        <v>76</v>
      </c>
      <c r="U5" s="3" t="s">
        <v>101</v>
      </c>
      <c r="V5" s="3" t="s">
        <v>408</v>
      </c>
      <c r="W5" s="1" t="s">
        <v>79</v>
      </c>
      <c r="X5" s="3" t="s">
        <v>81</v>
      </c>
      <c r="Y5" s="40" t="s">
        <v>4</v>
      </c>
      <c r="Z5" s="1" t="s">
        <v>83</v>
      </c>
      <c r="AA5" s="1" t="s">
        <v>84</v>
      </c>
      <c r="AB5" s="1" t="s">
        <v>85</v>
      </c>
      <c r="AC5" s="1" t="s">
        <v>86</v>
      </c>
      <c r="AD5" s="1" t="s">
        <v>87</v>
      </c>
      <c r="AE5" s="10" t="s">
        <v>90</v>
      </c>
      <c r="AF5" s="10" t="s">
        <v>91</v>
      </c>
      <c r="AG5" s="10" t="s">
        <v>93</v>
      </c>
      <c r="AH5" s="12" t="s">
        <v>94</v>
      </c>
      <c r="AI5" s="12" t="s">
        <v>94</v>
      </c>
      <c r="AJ5" s="12" t="s">
        <v>94</v>
      </c>
      <c r="AK5" s="11" t="s">
        <v>82</v>
      </c>
      <c r="AL5" s="22" t="s">
        <v>95</v>
      </c>
      <c r="AM5" s="17" t="s">
        <v>109</v>
      </c>
      <c r="AN5" s="29" t="s">
        <v>112</v>
      </c>
      <c r="AO5" s="26" t="s">
        <v>96</v>
      </c>
      <c r="AP5" s="3" t="s">
        <v>97</v>
      </c>
      <c r="AQ5" s="3" t="s">
        <v>98</v>
      </c>
      <c r="AR5" s="21" t="s">
        <v>160</v>
      </c>
    </row>
    <row r="6" spans="2:47" ht="13.5" customHeight="1" x14ac:dyDescent="0.25">
      <c r="B6" s="41" t="s">
        <v>50</v>
      </c>
      <c r="C6" s="91">
        <v>6.615306377410889</v>
      </c>
      <c r="D6" s="91">
        <v>19.53667640686035</v>
      </c>
      <c r="E6" s="91">
        <v>417.41595458984375</v>
      </c>
      <c r="F6" s="91"/>
      <c r="G6" s="91"/>
      <c r="H6" s="92">
        <v>419.6911926269531</v>
      </c>
      <c r="I6" s="93">
        <v>23.951099395751953</v>
      </c>
      <c r="J6" s="91"/>
      <c r="K6" s="91">
        <v>44.089988708496094</v>
      </c>
      <c r="L6" s="91">
        <v>1.4027235507965088</v>
      </c>
      <c r="M6" s="91">
        <v>108.18685150146484</v>
      </c>
      <c r="N6" s="91">
        <v>107.97164154052734</v>
      </c>
      <c r="O6" s="91">
        <v>19.966327667236328</v>
      </c>
      <c r="P6" s="91"/>
      <c r="Q6" s="91"/>
      <c r="R6" s="91"/>
      <c r="S6" s="91">
        <v>139.69906616210938</v>
      </c>
      <c r="T6" s="91">
        <v>1.4255461692810059</v>
      </c>
      <c r="U6" s="91">
        <v>0.3020279109477997</v>
      </c>
      <c r="V6" s="91"/>
      <c r="W6" s="91">
        <v>90.39351654052734</v>
      </c>
      <c r="X6" s="91">
        <v>0.5305831432342529</v>
      </c>
      <c r="Y6" s="91" t="s">
        <v>4</v>
      </c>
      <c r="Z6" s="91">
        <v>0.7244791984558105</v>
      </c>
      <c r="AA6" s="91">
        <v>149.6383056640625</v>
      </c>
      <c r="AB6" s="91">
        <v>162.2395782470703</v>
      </c>
      <c r="AC6" s="91">
        <v>0.47974538803100586</v>
      </c>
      <c r="AD6" s="91">
        <v>154.50665283203125</v>
      </c>
      <c r="AE6" s="94">
        <v>33.7400016784668</v>
      </c>
      <c r="AF6" s="94"/>
      <c r="AG6" s="94"/>
      <c r="AH6" s="94">
        <v>15.539999961853027</v>
      </c>
      <c r="AI6" s="94"/>
      <c r="AJ6" s="94"/>
      <c r="AK6" s="94">
        <v>7.300000190734863</v>
      </c>
      <c r="AL6" s="91">
        <v>89.97395324707031</v>
      </c>
      <c r="AM6" s="95"/>
      <c r="AN6" s="96">
        <v>57.34230041503906</v>
      </c>
      <c r="AO6" s="97"/>
      <c r="AP6" s="98">
        <v>-79.96238708496094</v>
      </c>
      <c r="AQ6" s="98">
        <v>0.28848379850387573</v>
      </c>
      <c r="AR6" s="99"/>
    </row>
    <row r="7" spans="2:47" ht="13.5" customHeight="1" x14ac:dyDescent="0.25">
      <c r="B7" s="14">
        <v>0.875</v>
      </c>
      <c r="C7" s="91">
        <v>7.562933921813965</v>
      </c>
      <c r="D7" s="91">
        <v>19.39561653137207</v>
      </c>
      <c r="E7" s="91">
        <v>417.48663330078125</v>
      </c>
      <c r="F7" s="91">
        <v>0.3360937535762787</v>
      </c>
      <c r="G7" s="91">
        <v>0</v>
      </c>
      <c r="H7" s="92">
        <v>419.6509704589844</v>
      </c>
      <c r="I7" s="93">
        <v>24.330873489379883</v>
      </c>
      <c r="J7" s="91">
        <v>0.02063916064798832</v>
      </c>
      <c r="K7" s="91">
        <v>46.252891540527344</v>
      </c>
      <c r="L7" s="91">
        <v>1.4974863529205322</v>
      </c>
      <c r="M7" s="91">
        <v>102.9513931274414</v>
      </c>
      <c r="N7" s="91">
        <v>108.6443862915039</v>
      </c>
      <c r="O7" s="91">
        <v>20.21857452392578</v>
      </c>
      <c r="P7" s="91">
        <v>20.16552734375</v>
      </c>
      <c r="Q7" s="91"/>
      <c r="R7" s="91">
        <v>2.72662353515625</v>
      </c>
      <c r="S7" s="91">
        <v>139.47482299804688</v>
      </c>
      <c r="T7" s="91">
        <v>1.4270652532577515</v>
      </c>
      <c r="U7" s="91">
        <v>0.29940566420555115</v>
      </c>
      <c r="V7" s="91">
        <v>0.29984375834465027</v>
      </c>
      <c r="W7" s="91">
        <v>91.08072662353516</v>
      </c>
      <c r="X7" s="91">
        <v>0.5301858186721802</v>
      </c>
      <c r="Y7" s="91" t="s">
        <v>82</v>
      </c>
      <c r="Z7" s="91">
        <v>0.7330440282821655</v>
      </c>
      <c r="AA7" s="91">
        <v>149.862548828125</v>
      </c>
      <c r="AB7" s="91">
        <v>162.4348907470703</v>
      </c>
      <c r="AC7" s="91">
        <v>0.6546947360038757</v>
      </c>
      <c r="AD7" s="91">
        <v>154.33303833007812</v>
      </c>
      <c r="AE7" s="94"/>
      <c r="AF7" s="94"/>
      <c r="AG7" s="94"/>
      <c r="AH7" s="94"/>
      <c r="AI7" s="94"/>
      <c r="AJ7" s="94"/>
      <c r="AK7" s="94"/>
      <c r="AL7" s="91">
        <v>0</v>
      </c>
      <c r="AM7" s="95">
        <v>0.020039062947034836</v>
      </c>
      <c r="AN7" s="96">
        <v>59.45095443725586</v>
      </c>
      <c r="AO7" s="97"/>
      <c r="AP7" s="98">
        <v>-79.86834716796875</v>
      </c>
      <c r="AQ7" s="98">
        <v>0.29506656527519226</v>
      </c>
      <c r="AR7" s="99">
        <v>0.0002942047140095383</v>
      </c>
    </row>
    <row r="8" spans="2:47" ht="13.5" customHeight="1" x14ac:dyDescent="0.25">
      <c r="B8" s="41" t="s">
        <v>271</v>
      </c>
      <c r="C8" s="91">
        <v>6.264467716217041</v>
      </c>
      <c r="D8" s="91">
        <v>19.558378219604492</v>
      </c>
      <c r="E8" s="91">
        <v>414.636962890625</v>
      </c>
      <c r="F8" s="91">
        <v>0.2595546841621399</v>
      </c>
      <c r="G8" s="91">
        <v>0</v>
      </c>
      <c r="H8" s="92">
        <v>419.2349548339844</v>
      </c>
      <c r="I8" s="93">
        <v>21.49522590637207</v>
      </c>
      <c r="J8" s="91">
        <v>0.019539061933755875</v>
      </c>
      <c r="K8" s="91">
        <v>46.86776351928711</v>
      </c>
      <c r="L8" s="91">
        <v>1.4984809160232544</v>
      </c>
      <c r="M8" s="91">
        <v>107.17231750488281</v>
      </c>
      <c r="N8" s="91">
        <v>110.28645324707031</v>
      </c>
      <c r="O8" s="91">
        <v>20.27637481689453</v>
      </c>
      <c r="P8" s="91">
        <v>20.173828125</v>
      </c>
      <c r="Q8" s="91"/>
      <c r="R8" s="91">
        <v>2.72119140625</v>
      </c>
      <c r="S8" s="91">
        <v>139.56886291503906</v>
      </c>
      <c r="T8" s="91">
        <v>1.4264322519302368</v>
      </c>
      <c r="U8" s="91">
        <v>0.30061087012290955</v>
      </c>
      <c r="V8" s="91">
        <v>0.3000156283378601</v>
      </c>
      <c r="W8" s="91">
        <v>90.38628387451172</v>
      </c>
      <c r="X8" s="91">
        <v>0.5292896032333374</v>
      </c>
      <c r="Y8" s="91" t="s">
        <v>82</v>
      </c>
      <c r="Z8" s="91">
        <v>0.7261574268341064</v>
      </c>
      <c r="AA8" s="91">
        <v>149.04513549804688</v>
      </c>
      <c r="AB8" s="91">
        <v>162.4348907470703</v>
      </c>
      <c r="AC8" s="91">
        <v>0.4488932192325592</v>
      </c>
      <c r="AD8" s="91">
        <v>154.31134033203125</v>
      </c>
      <c r="AE8" s="94"/>
      <c r="AF8" s="94"/>
      <c r="AG8" s="94"/>
      <c r="AH8" s="94"/>
      <c r="AI8" s="94"/>
      <c r="AJ8" s="94"/>
      <c r="AK8" s="94"/>
      <c r="AL8" s="91">
        <v>20.981626510620117</v>
      </c>
      <c r="AM8" s="95">
        <v>0.01336962915956974</v>
      </c>
      <c r="AN8" s="96">
        <v>60.64091491699219</v>
      </c>
      <c r="AO8" s="97"/>
      <c r="AP8" s="98">
        <v>-79.86834716796875</v>
      </c>
      <c r="AQ8" s="98">
        <v>0.2947048544883728</v>
      </c>
      <c r="AR8" s="99">
        <v>0.00029430389986373484</v>
      </c>
    </row>
    <row r="9" spans="2:47" ht="13.5" customHeight="1" x14ac:dyDescent="0.25">
      <c r="B9" s="14">
        <v>0.95833333333333337</v>
      </c>
      <c r="C9" s="91">
        <v>7.425491809844971</v>
      </c>
      <c r="D9" s="91">
        <v>19.373916625976562</v>
      </c>
      <c r="E9" s="91">
        <v>414.7542419433594</v>
      </c>
      <c r="F9" s="91">
        <v>0.33610156178474426</v>
      </c>
      <c r="G9" s="91">
        <v>0</v>
      </c>
      <c r="H9" s="92">
        <v>418.375244140625</v>
      </c>
      <c r="I9" s="93">
        <v>21.014179229736328</v>
      </c>
      <c r="J9" s="91">
        <v>0.020154785364866257</v>
      </c>
      <c r="K9" s="91">
        <v>45.124420166015625</v>
      </c>
      <c r="L9" s="91">
        <v>1.4312067031860352</v>
      </c>
      <c r="M9" s="91">
        <v>107.60091400146484</v>
      </c>
      <c r="N9" s="91">
        <v>110.25752258300781</v>
      </c>
      <c r="O9" s="91">
        <v>20.08852767944336</v>
      </c>
      <c r="P9" s="91">
        <v>20.15478515625</v>
      </c>
      <c r="Q9" s="91"/>
      <c r="R9" s="91">
        <v>2.68695068359375</v>
      </c>
      <c r="S9" s="91">
        <v>139.53993225097656</v>
      </c>
      <c r="T9" s="91">
        <v>1.4278247356414795</v>
      </c>
      <c r="U9" s="91">
        <v>0.29865989089012146</v>
      </c>
      <c r="V9" s="91">
        <v>0.299742192029953</v>
      </c>
      <c r="W9" s="91">
        <v>90.17650604248047</v>
      </c>
      <c r="X9" s="91">
        <v>0.5297856330871582</v>
      </c>
      <c r="Y9" s="91" t="s">
        <v>82</v>
      </c>
      <c r="Z9" s="91">
        <v>0.7278356552124023</v>
      </c>
      <c r="AA9" s="91">
        <v>148.55323791503906</v>
      </c>
      <c r="AB9" s="91">
        <v>162.3987274169922</v>
      </c>
      <c r="AC9" s="91">
        <v>0.47724971175193787</v>
      </c>
      <c r="AD9" s="91">
        <v>154.4487762451172</v>
      </c>
      <c r="AE9" s="94"/>
      <c r="AF9" s="94"/>
      <c r="AG9" s="94"/>
      <c r="AH9" s="94"/>
      <c r="AI9" s="94"/>
      <c r="AJ9" s="94"/>
      <c r="AK9" s="94"/>
      <c r="AL9" s="91">
        <v>14.435040473937988</v>
      </c>
      <c r="AM9" s="95">
        <v>0.015557128936052322</v>
      </c>
      <c r="AN9" s="96">
        <v>58.564815521240234</v>
      </c>
      <c r="AO9" s="97"/>
      <c r="AP9" s="98">
        <v>-79.79600524902344</v>
      </c>
      <c r="AQ9" s="98">
        <v>0.30888310074806213</v>
      </c>
      <c r="AR9" s="99">
        <v>0.0002947006141766906</v>
      </c>
    </row>
    <row r="10" spans="2:47" ht="13.5" customHeight="1" x14ac:dyDescent="0.25">
      <c r="B10" s="41" t="s">
        <v>272</v>
      </c>
      <c r="C10" s="91">
        <v>6.3802080154418945</v>
      </c>
      <c r="D10" s="91">
        <v>19.46614646911621</v>
      </c>
      <c r="E10" s="91">
        <v>414.7310485839844</v>
      </c>
      <c r="F10" s="91">
        <v>0.2638203203678131</v>
      </c>
      <c r="G10" s="91">
        <v>0</v>
      </c>
      <c r="H10" s="92">
        <v>417.6583251953125</v>
      </c>
      <c r="I10" s="93">
        <v>21.41927146911621</v>
      </c>
      <c r="J10" s="91">
        <v>0.02024511806666851</v>
      </c>
      <c r="K10" s="91">
        <v>45.8405647277832</v>
      </c>
      <c r="L10" s="91">
        <v>1.457338809967041</v>
      </c>
      <c r="M10" s="91">
        <v>110.19422912597656</v>
      </c>
      <c r="N10" s="91">
        <v>111.77661895751953</v>
      </c>
      <c r="O10" s="91">
        <v>20.19886589050293</v>
      </c>
      <c r="P10" s="91">
        <v>20.1884765625</v>
      </c>
      <c r="Q10" s="91"/>
      <c r="R10" s="91">
        <v>2.7034912109375</v>
      </c>
      <c r="S10" s="91">
        <v>139.56886291503906</v>
      </c>
      <c r="T10" s="91">
        <v>1.4274449348449707</v>
      </c>
      <c r="U10" s="91">
        <v>0.298336386680603</v>
      </c>
      <c r="V10" s="91">
        <v>0.3002031147480011</v>
      </c>
      <c r="W10" s="91">
        <v>90.73350524902344</v>
      </c>
      <c r="X10" s="91">
        <v>0.5320975184440613</v>
      </c>
      <c r="Y10" s="91" t="s">
        <v>82</v>
      </c>
      <c r="Z10" s="91">
        <v>0.7350115776062012</v>
      </c>
      <c r="AA10" s="91">
        <v>149.32725524902344</v>
      </c>
      <c r="AB10" s="91">
        <v>162.4710693359375</v>
      </c>
      <c r="AC10" s="91">
        <v>0.5467665195465088</v>
      </c>
      <c r="AD10" s="91">
        <v>154.4921875</v>
      </c>
      <c r="AE10" s="94"/>
      <c r="AF10" s="94"/>
      <c r="AG10" s="94"/>
      <c r="AH10" s="94"/>
      <c r="AI10" s="94"/>
      <c r="AJ10" s="94"/>
      <c r="AK10" s="94"/>
      <c r="AL10" s="91">
        <v>3.237123727798462</v>
      </c>
      <c r="AM10" s="95">
        <v>0.015314941294491291</v>
      </c>
      <c r="AN10" s="96">
        <v>61.942996978759766</v>
      </c>
      <c r="AO10" s="97"/>
      <c r="AP10" s="98">
        <v>-79.8321762084961</v>
      </c>
      <c r="AQ10" s="98">
        <v>0.31264469027519226</v>
      </c>
      <c r="AR10" s="99">
        <v>0.00029490661108866334</v>
      </c>
    </row>
    <row r="11" spans="2:47" ht="13.5" customHeight="1" x14ac:dyDescent="0.25">
      <c r="B11" s="14">
        <v>4.1666666666666664E-2</v>
      </c>
      <c r="C11" s="91">
        <v>7.248263835906982</v>
      </c>
      <c r="D11" s="91">
        <v>19.411893844604492</v>
      </c>
      <c r="E11" s="91">
        <v>417.0575256347656</v>
      </c>
      <c r="F11" s="91">
        <v>0.33613282442092896</v>
      </c>
      <c r="G11" s="91">
        <v>0</v>
      </c>
      <c r="H11" s="92">
        <v>417.6788330078125</v>
      </c>
      <c r="I11" s="93">
        <v>9.975404739379883</v>
      </c>
      <c r="J11" s="91">
        <v>0.020052246749401093</v>
      </c>
      <c r="K11" s="91">
        <v>44.66145706176758</v>
      </c>
      <c r="L11" s="91">
        <v>1.4017289876937866</v>
      </c>
      <c r="M11" s="91">
        <v>109.68424987792969</v>
      </c>
      <c r="N11" s="91">
        <v>110.5251693725586</v>
      </c>
      <c r="O11" s="91">
        <v>20.139236450195312</v>
      </c>
      <c r="P11" s="91">
        <v>20.162109375</v>
      </c>
      <c r="Q11" s="91"/>
      <c r="R11" s="91">
        <v>2.69964599609375</v>
      </c>
      <c r="S11" s="91">
        <v>139.453125</v>
      </c>
      <c r="T11" s="91">
        <v>1.425925850868225</v>
      </c>
      <c r="U11" s="91">
        <v>0.29988786578178406</v>
      </c>
      <c r="V11" s="91">
        <v>0.2998749911785126</v>
      </c>
      <c r="W11" s="91">
        <v>90.56713104248047</v>
      </c>
      <c r="X11" s="91">
        <v>0.5286144614219666</v>
      </c>
      <c r="Y11" s="91" t="s">
        <v>82</v>
      </c>
      <c r="Z11" s="91">
        <v>0.7391782999038696</v>
      </c>
      <c r="AA11" s="91">
        <v>148.48089599609375</v>
      </c>
      <c r="AB11" s="91">
        <v>162.70977783203125</v>
      </c>
      <c r="AC11" s="91">
        <v>0.6745153665542603</v>
      </c>
      <c r="AD11" s="91">
        <v>155.078125</v>
      </c>
      <c r="AE11" s="94"/>
      <c r="AF11" s="94"/>
      <c r="AG11" s="94"/>
      <c r="AH11" s="94"/>
      <c r="AI11" s="94"/>
      <c r="AJ11" s="94"/>
      <c r="AK11" s="94"/>
      <c r="AL11" s="91">
        <v>11.324507713317871</v>
      </c>
      <c r="AM11" s="95">
        <v>0.018266113474965096</v>
      </c>
      <c r="AN11" s="96">
        <v>60.73857116699219</v>
      </c>
      <c r="AO11" s="97"/>
      <c r="AP11" s="98">
        <v>-79.86111450195312</v>
      </c>
      <c r="AQ11" s="98">
        <v>0.30309605598449707</v>
      </c>
      <c r="AR11" s="99">
        <v>0.00029413605807349086</v>
      </c>
    </row>
    <row r="12" spans="2:47" ht="13.5" customHeight="1" x14ac:dyDescent="0.25">
      <c r="B12" s="41" t="s">
        <v>273</v>
      </c>
      <c r="C12" s="91">
        <v>6.202980041503906</v>
      </c>
      <c r="D12" s="91">
        <v>19.401042938232422</v>
      </c>
      <c r="E12" s="91">
        <v>416.7522888183594</v>
      </c>
      <c r="F12" s="91">
        <v>0.2638203203678131</v>
      </c>
      <c r="G12" s="91">
        <v>0</v>
      </c>
      <c r="H12" s="92">
        <v>417.9685974121094</v>
      </c>
      <c r="I12" s="93">
        <v>10.55772590637207</v>
      </c>
      <c r="J12" s="91">
        <v>0.01977880857884884</v>
      </c>
      <c r="K12" s="91">
        <v>44.02488327026367</v>
      </c>
      <c r="L12" s="91">
        <v>1.3850008249282837</v>
      </c>
      <c r="M12" s="91">
        <v>107.14518737792969</v>
      </c>
      <c r="N12" s="91">
        <v>109.47627258300781</v>
      </c>
      <c r="O12" s="91">
        <v>20.06452178955078</v>
      </c>
      <c r="P12" s="91">
        <v>20.1728515625</v>
      </c>
      <c r="Q12" s="91"/>
      <c r="R12" s="91">
        <v>2.68414306640625</v>
      </c>
      <c r="S12" s="91">
        <v>139.48928833007812</v>
      </c>
      <c r="T12" s="91">
        <v>1.425419569015503</v>
      </c>
      <c r="U12" s="91">
        <v>0.29753077030181885</v>
      </c>
      <c r="V12" s="91">
        <v>0.30000001192092896</v>
      </c>
      <c r="W12" s="91">
        <v>90.33564758300781</v>
      </c>
      <c r="X12" s="91">
        <v>0.53154456615448</v>
      </c>
      <c r="Y12" s="91" t="s">
        <v>82</v>
      </c>
      <c r="Z12" s="91">
        <v>0.7373843193054199</v>
      </c>
      <c r="AA12" s="91">
        <v>148.74131774902344</v>
      </c>
      <c r="AB12" s="91">
        <v>162.2612762451172</v>
      </c>
      <c r="AC12" s="91">
        <v>0.48488137125968933</v>
      </c>
      <c r="AD12" s="91">
        <v>154.50665283203125</v>
      </c>
      <c r="AE12" s="94"/>
      <c r="AF12" s="94"/>
      <c r="AG12" s="94"/>
      <c r="AH12" s="94"/>
      <c r="AI12" s="94"/>
      <c r="AJ12" s="94"/>
      <c r="AK12" s="94"/>
      <c r="AL12" s="91">
        <v>12.452980041503906</v>
      </c>
      <c r="AM12" s="95">
        <v>0.015668457373976707</v>
      </c>
      <c r="AN12" s="96">
        <v>61.671730041503906</v>
      </c>
      <c r="AO12" s="97"/>
      <c r="AP12" s="98">
        <v>-80.0274887084961</v>
      </c>
      <c r="AQ12" s="98">
        <v>0.29940682649612427</v>
      </c>
      <c r="AR12" s="99">
        <v>0.0002954177907668054</v>
      </c>
    </row>
    <row r="13" spans="2:47" ht="13.5" customHeight="1" x14ac:dyDescent="0.25">
      <c r="B13" s="14">
        <v>0.125</v>
      </c>
      <c r="C13" s="91">
        <v>7.288049697875977</v>
      </c>
      <c r="D13" s="91">
        <v>19.27083396911621</v>
      </c>
      <c r="E13" s="91">
        <v>412.5224304199219</v>
      </c>
      <c r="F13" s="91">
        <v>0.33623436093330383</v>
      </c>
      <c r="G13" s="91">
        <v>0</v>
      </c>
      <c r="H13" s="92">
        <v>417.65875244140625</v>
      </c>
      <c r="I13" s="93">
        <v>11.975549697875977</v>
      </c>
      <c r="J13" s="91">
        <v>0.020323242992162704</v>
      </c>
      <c r="K13" s="91">
        <v>42.78790283203125</v>
      </c>
      <c r="L13" s="91">
        <v>1.3183594942092896</v>
      </c>
      <c r="M13" s="91">
        <v>105.55013275146484</v>
      </c>
      <c r="N13" s="91">
        <v>107.5014419555664</v>
      </c>
      <c r="O13" s="91">
        <v>20.27717399597168</v>
      </c>
      <c r="P13" s="91">
        <v>20.1630859375</v>
      </c>
      <c r="Q13" s="91"/>
      <c r="R13" s="91">
        <v>2.70977783203125</v>
      </c>
      <c r="S13" s="91">
        <v>139.5254669189453</v>
      </c>
      <c r="T13" s="91">
        <v>1.426052451133728</v>
      </c>
      <c r="U13" s="91">
        <v>0.3002743422985077</v>
      </c>
      <c r="V13" s="91">
        <v>0.29990625381469727</v>
      </c>
      <c r="W13" s="91">
        <v>90.50202178955078</v>
      </c>
      <c r="X13" s="91">
        <v>0.528933048248291</v>
      </c>
      <c r="Y13" s="91" t="s">
        <v>82</v>
      </c>
      <c r="Z13" s="91">
        <v>0.7288194894790649</v>
      </c>
      <c r="AA13" s="91">
        <v>148.61111450195312</v>
      </c>
      <c r="AB13" s="91">
        <v>162.21788024902344</v>
      </c>
      <c r="AC13" s="91">
        <v>0.3516710102558136</v>
      </c>
      <c r="AD13" s="91">
        <v>154.30410766601562</v>
      </c>
      <c r="AE13" s="94"/>
      <c r="AF13" s="94"/>
      <c r="AG13" s="94"/>
      <c r="AH13" s="94"/>
      <c r="AI13" s="94"/>
      <c r="AJ13" s="94"/>
      <c r="AK13" s="94"/>
      <c r="AL13" s="91">
        <v>32.51591491699219</v>
      </c>
      <c r="AM13" s="95">
        <v>0.016164550557732582</v>
      </c>
      <c r="AN13" s="96">
        <v>59.66796875</v>
      </c>
      <c r="AO13" s="97"/>
      <c r="AP13" s="98">
        <v>-80.11429595947266</v>
      </c>
      <c r="AQ13" s="98">
        <v>0.29521122574806213</v>
      </c>
      <c r="AR13" s="99">
        <v>0.0002964935265481472</v>
      </c>
    </row>
    <row r="14" spans="2:47" ht="13.5" customHeight="1" x14ac:dyDescent="0.25">
      <c r="B14" s="14">
        <v>0.16666666666666666</v>
      </c>
      <c r="C14" s="91">
        <v>6.080005645751953</v>
      </c>
      <c r="D14" s="91">
        <v>19.19487953186035</v>
      </c>
      <c r="E14" s="91">
        <v>411.85174560546875</v>
      </c>
      <c r="F14" s="91">
        <v>0.26591405272483826</v>
      </c>
      <c r="G14" s="91">
        <v>0</v>
      </c>
      <c r="H14" s="92">
        <v>416.388671875</v>
      </c>
      <c r="I14" s="93">
        <v>19.925491333007812</v>
      </c>
      <c r="J14" s="91">
        <v>0.020045410841703415</v>
      </c>
      <c r="K14" s="91">
        <v>45.710357666015625</v>
      </c>
      <c r="L14" s="91">
        <v>1.4504666328430176</v>
      </c>
      <c r="M14" s="91">
        <v>104.71463012695312</v>
      </c>
      <c r="N14" s="91">
        <v>107.74739074707031</v>
      </c>
      <c r="O14" s="91">
        <v>20.41463279724121</v>
      </c>
      <c r="P14" s="91">
        <v>20.18408203125</v>
      </c>
      <c r="Q14" s="91"/>
      <c r="R14" s="91">
        <v>2.73638916015625</v>
      </c>
      <c r="S14" s="91">
        <v>139.36631774902344</v>
      </c>
      <c r="T14" s="91">
        <v>1.4240269660949707</v>
      </c>
      <c r="U14" s="91">
        <v>0.300089031457901</v>
      </c>
      <c r="V14" s="91">
        <v>0.3000781238079071</v>
      </c>
      <c r="W14" s="91">
        <v>90.74073791503906</v>
      </c>
      <c r="X14" s="91">
        <v>0.5283421277999878</v>
      </c>
      <c r="Y14" s="91" t="s">
        <v>82</v>
      </c>
      <c r="Z14" s="91">
        <v>0.7275463342666626</v>
      </c>
      <c r="AA14" s="91">
        <v>148.5894012451172</v>
      </c>
      <c r="AB14" s="91">
        <v>162.00086975097656</v>
      </c>
      <c r="AC14" s="91">
        <v>0.32917389273643494</v>
      </c>
      <c r="AD14" s="91">
        <v>154.0581512451172</v>
      </c>
      <c r="AE14" s="94"/>
      <c r="AF14" s="94"/>
      <c r="AG14" s="94"/>
      <c r="AH14" s="94"/>
      <c r="AI14" s="94"/>
      <c r="AJ14" s="94"/>
      <c r="AK14" s="94"/>
      <c r="AL14" s="91">
        <v>0</v>
      </c>
      <c r="AM14" s="95">
        <v>0.014319336041808128</v>
      </c>
      <c r="AN14" s="96">
        <v>61.25217056274414</v>
      </c>
      <c r="AO14" s="97"/>
      <c r="AP14" s="98">
        <v>-80.08535766601562</v>
      </c>
      <c r="AQ14" s="98">
        <v>0.28768807649612427</v>
      </c>
      <c r="AR14" s="99">
        <v>0.00029722595354542136</v>
      </c>
    </row>
    <row r="15" spans="2:47" ht="13.5" customHeight="1" x14ac:dyDescent="0.25">
      <c r="B15" s="14">
        <v>0.20833333333333334</v>
      </c>
      <c r="C15" s="91">
        <v>7.067419052124023</v>
      </c>
      <c r="D15" s="91">
        <v>19.24370765686035</v>
      </c>
      <c r="E15" s="91">
        <v>411.9796447753906</v>
      </c>
      <c r="F15" s="91">
        <v>0.3354765772819519</v>
      </c>
      <c r="G15" s="91">
        <v>0</v>
      </c>
      <c r="H15" s="92">
        <v>415.207275390625</v>
      </c>
      <c r="I15" s="93">
        <v>21.79904556274414</v>
      </c>
      <c r="J15" s="91">
        <v>0.020122069865465164</v>
      </c>
      <c r="K15" s="91">
        <v>47.00520706176758</v>
      </c>
      <c r="L15" s="91">
        <v>1.4834707975387573</v>
      </c>
      <c r="M15" s="91">
        <v>107.23199462890625</v>
      </c>
      <c r="N15" s="91">
        <v>111.73321533203125</v>
      </c>
      <c r="O15" s="91">
        <v>20.035999298095703</v>
      </c>
      <c r="P15" s="91">
        <v>20.1796875</v>
      </c>
      <c r="Q15" s="91"/>
      <c r="R15" s="91">
        <v>2.7216796875</v>
      </c>
      <c r="S15" s="91">
        <v>139.6195068359375</v>
      </c>
      <c r="T15" s="91">
        <v>1.4275715351104736</v>
      </c>
      <c r="U15" s="91">
        <v>0.2993563711643219</v>
      </c>
      <c r="V15" s="91">
        <v>0.3000546991825104</v>
      </c>
      <c r="W15" s="91">
        <v>89.86544799804688</v>
      </c>
      <c r="X15" s="91">
        <v>0.5308508276939392</v>
      </c>
      <c r="Y15" s="91" t="s">
        <v>82</v>
      </c>
      <c r="Z15" s="91">
        <v>0.7312500476837158</v>
      </c>
      <c r="AA15" s="91">
        <v>149.33448791503906</v>
      </c>
      <c r="AB15" s="91">
        <v>162.68084716796875</v>
      </c>
      <c r="AC15" s="91">
        <v>0.5154079794883728</v>
      </c>
      <c r="AD15" s="91">
        <v>155.05642700195312</v>
      </c>
      <c r="AE15" s="94"/>
      <c r="AF15" s="94"/>
      <c r="AG15" s="94"/>
      <c r="AH15" s="94"/>
      <c r="AI15" s="94"/>
      <c r="AJ15" s="94"/>
      <c r="AK15" s="94"/>
      <c r="AL15" s="91">
        <v>49.6491584777832</v>
      </c>
      <c r="AM15" s="95">
        <v>0.015155273489654064</v>
      </c>
      <c r="AN15" s="96">
        <v>58.969905853271484</v>
      </c>
      <c r="AO15" s="97"/>
      <c r="AP15" s="98">
        <v>-80.03472137451172</v>
      </c>
      <c r="AQ15" s="98">
        <v>0.29369214177131653</v>
      </c>
      <c r="AR15" s="99">
        <v>0.000295349134830758</v>
      </c>
    </row>
    <row r="16" spans="2:47" ht="13.5" customHeight="1" x14ac:dyDescent="0.25">
      <c r="B16" s="14">
        <v>0.25</v>
      </c>
      <c r="C16" s="91">
        <v>6.485098361968994</v>
      </c>
      <c r="D16" s="91">
        <v>19.15147590637207</v>
      </c>
      <c r="E16" s="91">
        <v>416.253173828125</v>
      </c>
      <c r="F16" s="91">
        <v>0.2853749990463257</v>
      </c>
      <c r="G16" s="91">
        <v>0</v>
      </c>
      <c r="H16" s="92">
        <v>415.1203918457031</v>
      </c>
      <c r="I16" s="93">
        <v>20.65972328186035</v>
      </c>
      <c r="J16" s="91">
        <v>0.020098144188523293</v>
      </c>
      <c r="K16" s="91">
        <v>42.59259033203125</v>
      </c>
      <c r="L16" s="91">
        <v>1.3076895475387573</v>
      </c>
      <c r="M16" s="91">
        <v>107.05838012695312</v>
      </c>
      <c r="N16" s="91">
        <v>112.2829818725586</v>
      </c>
      <c r="O16" s="91">
        <v>20.028635025024414</v>
      </c>
      <c r="P16" s="91">
        <v>20.16748046875</v>
      </c>
      <c r="Q16" s="91"/>
      <c r="R16" s="91">
        <v>2.69677734375</v>
      </c>
      <c r="S16" s="91">
        <v>139.33738708496094</v>
      </c>
      <c r="T16" s="91">
        <v>1.4266854524612427</v>
      </c>
      <c r="U16" s="91">
        <v>0.2966218888759613</v>
      </c>
      <c r="V16" s="91">
        <v>0.30000782012939453</v>
      </c>
      <c r="W16" s="91">
        <v>90.63946533203125</v>
      </c>
      <c r="X16" s="91">
        <v>0.5302929282188416</v>
      </c>
      <c r="Y16" s="91" t="s">
        <v>82</v>
      </c>
      <c r="Z16" s="91">
        <v>0.737326443195343</v>
      </c>
      <c r="AA16" s="91">
        <v>148.4375</v>
      </c>
      <c r="AB16" s="91">
        <v>162.15277099609375</v>
      </c>
      <c r="AC16" s="91">
        <v>0.47356048226356506</v>
      </c>
      <c r="AD16" s="91">
        <v>154.50665283203125</v>
      </c>
      <c r="AE16" s="94"/>
      <c r="AF16" s="94"/>
      <c r="AG16" s="94"/>
      <c r="AH16" s="94"/>
      <c r="AI16" s="94"/>
      <c r="AJ16" s="94"/>
      <c r="AK16" s="94"/>
      <c r="AL16" s="91">
        <v>32.429107666015625</v>
      </c>
      <c r="AM16" s="95">
        <v>0.017491210252046585</v>
      </c>
      <c r="AN16" s="96">
        <v>61.26663589477539</v>
      </c>
      <c r="AO16" s="97"/>
      <c r="AP16" s="98">
        <v>-80.05642700195312</v>
      </c>
      <c r="AQ16" s="98">
        <v>0.3083767294883728</v>
      </c>
      <c r="AR16" s="99">
        <v>0.00029521179385483265</v>
      </c>
    </row>
    <row r="17" spans="2:44" ht="13.5" customHeight="1" x14ac:dyDescent="0.25">
      <c r="B17" s="14">
        <v>0.29166666666666669</v>
      </c>
      <c r="C17" s="91">
        <v>6.9263596534729</v>
      </c>
      <c r="D17" s="91">
        <v>19.129776000976562</v>
      </c>
      <c r="E17" s="91">
        <v>416.3734436035156</v>
      </c>
      <c r="F17" s="91">
        <v>0.3155859410762787</v>
      </c>
      <c r="G17" s="91">
        <v>0</v>
      </c>
      <c r="H17" s="92">
        <v>415.6142272949219</v>
      </c>
      <c r="I17" s="93">
        <v>20.5078125</v>
      </c>
      <c r="J17" s="91">
        <v>0.019828125834465027</v>
      </c>
      <c r="K17" s="91">
        <v>44.26359939575195</v>
      </c>
      <c r="L17" s="91">
        <v>1.4104094505310059</v>
      </c>
      <c r="M17" s="91">
        <v>102.46853637695312</v>
      </c>
      <c r="N17" s="91">
        <v>110.95196533203125</v>
      </c>
      <c r="O17" s="91">
        <v>20.353527069091797</v>
      </c>
      <c r="P17" s="91">
        <v>20.17138671875</v>
      </c>
      <c r="Q17" s="91"/>
      <c r="R17" s="91">
        <v>2.67510986328125</v>
      </c>
      <c r="S17" s="91">
        <v>139.6122589111328</v>
      </c>
      <c r="T17" s="91">
        <v>1.4264322519302368</v>
      </c>
      <c r="U17" s="91">
        <v>0.3033462464809418</v>
      </c>
      <c r="V17" s="91">
        <v>0.29990625381469727</v>
      </c>
      <c r="W17" s="91">
        <v>89.70630645751953</v>
      </c>
      <c r="X17" s="91">
        <v>0.5316431522369385</v>
      </c>
      <c r="Y17" s="91" t="s">
        <v>82</v>
      </c>
      <c r="Z17" s="91">
        <v>0.7276042103767395</v>
      </c>
      <c r="AA17" s="91">
        <v>148.67620849609375</v>
      </c>
      <c r="AB17" s="91">
        <v>162.2612762451172</v>
      </c>
      <c r="AC17" s="91">
        <v>0.4268663227558136</v>
      </c>
      <c r="AD17" s="91">
        <v>154.50665283203125</v>
      </c>
      <c r="AE17" s="94"/>
      <c r="AF17" s="94"/>
      <c r="AG17" s="94"/>
      <c r="AH17" s="94"/>
      <c r="AI17" s="94"/>
      <c r="AJ17" s="94"/>
      <c r="AK17" s="94"/>
      <c r="AL17" s="91">
        <v>56.18489456176758</v>
      </c>
      <c r="AM17" s="95">
        <v>0.017519043758511543</v>
      </c>
      <c r="AN17" s="96">
        <v>61.103878021240234</v>
      </c>
      <c r="AO17" s="97"/>
      <c r="AP17" s="98">
        <v>-79.99855041503906</v>
      </c>
      <c r="AQ17" s="98">
        <v>0.30852141976356506</v>
      </c>
      <c r="AR17" s="99">
        <v>0.0002956619136966765</v>
      </c>
    </row>
    <row r="18" spans="2:44" ht="13.5" customHeight="1" x14ac:dyDescent="0.25">
      <c r="B18" s="42">
        <v>0.33333333333333331</v>
      </c>
      <c r="C18" s="100"/>
      <c r="D18" s="100"/>
      <c r="E18" s="100"/>
      <c r="F18" s="100"/>
      <c r="G18" s="100"/>
      <c r="H18" s="101"/>
      <c r="I18" s="102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3"/>
      <c r="AF18" s="103"/>
      <c r="AG18" s="103"/>
      <c r="AH18" s="103"/>
      <c r="AI18" s="103"/>
      <c r="AJ18" s="103"/>
      <c r="AK18" s="103"/>
      <c r="AL18" s="100"/>
      <c r="AM18" s="104"/>
      <c r="AN18" s="105"/>
      <c r="AO18" s="97"/>
      <c r="AP18" s="98"/>
      <c r="AQ18" s="98"/>
      <c r="AR18" s="106"/>
    </row>
    <row r="19" spans="2:44" ht="18" customHeight="1" x14ac:dyDescent="0.25">
      <c r="B19" s="159" t="s">
        <v>181</v>
      </c>
      <c r="C19" s="36" t="s">
        <v>168</v>
      </c>
      <c r="D19" s="36" t="s">
        <v>171</v>
      </c>
      <c r="E19" s="174" t="s">
        <v>17</v>
      </c>
      <c r="F19" s="175"/>
      <c r="G19" s="176"/>
      <c r="H19" s="177" t="s">
        <v>108</v>
      </c>
      <c r="I19" s="175"/>
      <c r="J19" s="175"/>
      <c r="K19" s="175"/>
      <c r="L19" s="178"/>
      <c r="M19" s="179" t="s">
        <v>123</v>
      </c>
      <c r="N19" s="175"/>
      <c r="O19" s="175"/>
      <c r="P19" s="175"/>
      <c r="Q19" s="176"/>
      <c r="R19" s="177" t="s">
        <v>147</v>
      </c>
      <c r="S19" s="175"/>
      <c r="T19" s="175"/>
      <c r="U19" s="175"/>
      <c r="V19" s="175"/>
      <c r="W19" s="175"/>
      <c r="X19" s="175"/>
      <c r="Y19" s="175"/>
      <c r="Z19" s="175"/>
      <c r="AA19" s="175"/>
      <c r="AB19" s="175"/>
      <c r="AC19" s="175"/>
      <c r="AD19" s="175"/>
      <c r="AE19" s="175"/>
      <c r="AF19" s="176"/>
      <c r="AG19" s="180" t="s">
        <v>24</v>
      </c>
      <c r="AH19" s="176"/>
      <c r="AI19" s="156" t="s">
        <v>173</v>
      </c>
      <c r="AJ19" s="157"/>
      <c r="AK19" s="157"/>
      <c r="AL19" s="157"/>
      <c r="AM19" s="158"/>
      <c r="AN19" s="180" t="s">
        <v>47</v>
      </c>
      <c r="AO19" s="181"/>
      <c r="AP19" s="175" t="s">
        <v>180</v>
      </c>
      <c r="AQ19" s="182"/>
      <c r="AR19" s="183"/>
    </row>
    <row r="20" spans="2:44" ht="20.15" customHeight="1" x14ac:dyDescent="0.25">
      <c r="B20" s="160"/>
      <c r="C20" s="3" t="s">
        <v>169</v>
      </c>
      <c r="D20" s="3" t="s">
        <v>113</v>
      </c>
      <c r="E20" s="3" t="s">
        <v>15</v>
      </c>
      <c r="F20" s="154" t="s">
        <v>100</v>
      </c>
      <c r="G20" s="155"/>
      <c r="H20" s="4" t="s">
        <v>103</v>
      </c>
      <c r="I20" s="4" t="s">
        <v>105</v>
      </c>
      <c r="J20" s="2" t="s">
        <v>106</v>
      </c>
      <c r="K20" s="1" t="s">
        <v>107</v>
      </c>
      <c r="L20" s="37" t="s">
        <v>115</v>
      </c>
      <c r="M20" s="38" t="s">
        <v>116</v>
      </c>
      <c r="N20" s="4" t="s">
        <v>118</v>
      </c>
      <c r="O20" s="3" t="s">
        <v>228</v>
      </c>
      <c r="P20" s="3" t="s">
        <v>229</v>
      </c>
      <c r="Q20" s="3" t="s">
        <v>122</v>
      </c>
      <c r="R20" s="3" t="s">
        <v>124</v>
      </c>
      <c r="S20" s="4" t="s">
        <v>126</v>
      </c>
      <c r="T20" s="5" t="s">
        <v>141</v>
      </c>
      <c r="U20" s="4" t="s">
        <v>144</v>
      </c>
      <c r="V20" s="8" t="s">
        <v>131</v>
      </c>
      <c r="W20" s="8" t="s">
        <v>129</v>
      </c>
      <c r="X20" s="5" t="s">
        <v>142</v>
      </c>
      <c r="Y20" s="4" t="s">
        <v>143</v>
      </c>
      <c r="Z20" s="8" t="s">
        <v>133</v>
      </c>
      <c r="AA20" s="8" t="s">
        <v>134</v>
      </c>
      <c r="AB20" s="5" t="s">
        <v>139</v>
      </c>
      <c r="AC20" s="17" t="s">
        <v>145</v>
      </c>
      <c r="AD20" s="168" t="s">
        <v>148</v>
      </c>
      <c r="AE20" s="155"/>
      <c r="AF20" s="17" t="s">
        <v>151</v>
      </c>
      <c r="AG20" s="17" t="s">
        <v>153</v>
      </c>
      <c r="AH20" s="17" t="s">
        <v>155</v>
      </c>
      <c r="AI20" s="149" t="s">
        <v>89</v>
      </c>
      <c r="AJ20" s="150"/>
      <c r="AK20" s="149" t="s">
        <v>92</v>
      </c>
      <c r="AL20" s="150"/>
      <c r="AM20" s="24" t="s">
        <v>172</v>
      </c>
      <c r="AN20" s="17" t="s">
        <v>12</v>
      </c>
      <c r="AO20" s="29" t="s">
        <v>15</v>
      </c>
      <c r="AP20" s="27" t="s">
        <v>36</v>
      </c>
      <c r="AQ20" s="18" t="s">
        <v>35</v>
      </c>
      <c r="AR20" s="16" t="s">
        <v>178</v>
      </c>
    </row>
    <row r="21" spans="2:44" ht="22" customHeight="1" x14ac:dyDescent="0.25">
      <c r="B21" s="160"/>
      <c r="C21" s="1" t="s">
        <v>170</v>
      </c>
      <c r="D21" s="3" t="s">
        <v>114</v>
      </c>
      <c r="E21" s="1" t="s">
        <v>99</v>
      </c>
      <c r="F21" s="3" t="s">
        <v>101</v>
      </c>
      <c r="G21" s="4" t="s">
        <v>102</v>
      </c>
      <c r="H21" s="4" t="s">
        <v>104</v>
      </c>
      <c r="I21" s="4" t="s">
        <v>104</v>
      </c>
      <c r="J21" s="4" t="s">
        <v>104</v>
      </c>
      <c r="K21" s="4" t="s">
        <v>104</v>
      </c>
      <c r="L21" s="37" t="s">
        <v>82</v>
      </c>
      <c r="M21" s="38" t="s">
        <v>117</v>
      </c>
      <c r="N21" s="4" t="s">
        <v>119</v>
      </c>
      <c r="O21" s="4" t="s">
        <v>120</v>
      </c>
      <c r="P21" s="4" t="s">
        <v>121</v>
      </c>
      <c r="Q21" s="3" t="s">
        <v>21</v>
      </c>
      <c r="R21" s="3" t="s">
        <v>125</v>
      </c>
      <c r="S21" s="7" t="s">
        <v>127</v>
      </c>
      <c r="T21" s="5" t="s">
        <v>120</v>
      </c>
      <c r="U21" s="4" t="s">
        <v>128</v>
      </c>
      <c r="V21" s="8" t="s">
        <v>132</v>
      </c>
      <c r="W21" s="8" t="s">
        <v>130</v>
      </c>
      <c r="X21" s="5" t="s">
        <v>135</v>
      </c>
      <c r="Y21" s="4" t="s">
        <v>136</v>
      </c>
      <c r="Z21" s="8" t="s">
        <v>137</v>
      </c>
      <c r="AA21" s="8" t="s">
        <v>138</v>
      </c>
      <c r="AB21" s="5" t="s">
        <v>140</v>
      </c>
      <c r="AC21" s="17" t="s">
        <v>146</v>
      </c>
      <c r="AD21" s="17" t="s">
        <v>149</v>
      </c>
      <c r="AE21" s="17" t="s">
        <v>150</v>
      </c>
      <c r="AF21" s="17" t="s">
        <v>152</v>
      </c>
      <c r="AG21" s="17" t="s">
        <v>154</v>
      </c>
      <c r="AH21" s="17" t="s">
        <v>156</v>
      </c>
      <c r="AI21" s="10" t="s">
        <v>90</v>
      </c>
      <c r="AJ21" s="10" t="s">
        <v>91</v>
      </c>
      <c r="AK21" s="10" t="s">
        <v>93</v>
      </c>
      <c r="AL21" s="12" t="s">
        <v>94</v>
      </c>
      <c r="AM21" s="12" t="s">
        <v>94</v>
      </c>
      <c r="AN21" s="17" t="s">
        <v>174</v>
      </c>
      <c r="AO21" s="29" t="s">
        <v>175</v>
      </c>
      <c r="AP21" s="27" t="s">
        <v>176</v>
      </c>
      <c r="AQ21" s="18" t="s">
        <v>177</v>
      </c>
      <c r="AR21" s="16" t="s">
        <v>179</v>
      </c>
    </row>
    <row r="22" spans="2:44" ht="13.5" customHeight="1" x14ac:dyDescent="0.25">
      <c r="B22" s="41" t="s">
        <v>50</v>
      </c>
      <c r="C22" s="91">
        <v>-79.96238708496094</v>
      </c>
      <c r="D22" s="91">
        <v>-81.0040512084961</v>
      </c>
      <c r="E22" s="91">
        <v>103.12861633300781</v>
      </c>
      <c r="F22" s="91">
        <v>0.08434606343507767</v>
      </c>
      <c r="G22" s="91"/>
      <c r="H22" s="91"/>
      <c r="I22" s="91"/>
      <c r="J22" s="91"/>
      <c r="K22" s="91"/>
      <c r="L22" s="92"/>
      <c r="M22" s="107">
        <v>77.9803237915039</v>
      </c>
      <c r="N22" s="91">
        <v>47.4030647277832</v>
      </c>
      <c r="O22" s="91">
        <v>39.5</v>
      </c>
      <c r="P22" s="91">
        <v>22</v>
      </c>
      <c r="Q22" s="91">
        <v>3.3984375</v>
      </c>
      <c r="R22" s="91">
        <v>19.30338478088379</v>
      </c>
      <c r="S22" s="108">
        <v>94.19849395751953</v>
      </c>
      <c r="T22" s="108">
        <v>35</v>
      </c>
      <c r="U22" s="108">
        <v>0</v>
      </c>
      <c r="V22" s="108">
        <v>18.15863800048828</v>
      </c>
      <c r="W22" s="108">
        <v>51.562503814697266</v>
      </c>
      <c r="X22" s="108">
        <v>29</v>
      </c>
      <c r="Y22" s="108">
        <v>73.28414154052734</v>
      </c>
      <c r="Z22" s="108">
        <v>15.181929588317871</v>
      </c>
      <c r="AA22" s="108">
        <v>18.80967903137207</v>
      </c>
      <c r="AB22" s="108"/>
      <c r="AC22" s="95"/>
      <c r="AD22" s="95">
        <v>1.5482313632965088</v>
      </c>
      <c r="AE22" s="95"/>
      <c r="AF22" s="95">
        <v>22.858795166015625</v>
      </c>
      <c r="AG22" s="95">
        <v>21.379484176635742</v>
      </c>
      <c r="AH22" s="95"/>
      <c r="AI22" s="109"/>
      <c r="AJ22" s="109"/>
      <c r="AK22" s="109"/>
      <c r="AL22" s="109"/>
      <c r="AM22" s="109"/>
      <c r="AN22" s="95">
        <v>48.53877258300781</v>
      </c>
      <c r="AO22" s="96">
        <v>50</v>
      </c>
      <c r="AP22" s="97">
        <v>23.62738800048828</v>
      </c>
      <c r="AQ22" s="98">
        <v>39.503761291503906</v>
      </c>
      <c r="AR22" s="99">
        <v>0.0868072509765625</v>
      </c>
    </row>
    <row r="23" spans="2:44" ht="13.5" customHeight="1" x14ac:dyDescent="0.25">
      <c r="B23" s="14">
        <v>0.875</v>
      </c>
      <c r="C23" s="91">
        <v>-79.86834716796875</v>
      </c>
      <c r="D23" s="91">
        <v>-80.98234558105469</v>
      </c>
      <c r="E23" s="91">
        <v>103.125</v>
      </c>
      <c r="F23" s="91">
        <v>0.1032986119389534</v>
      </c>
      <c r="G23" s="91">
        <v>9.375190711580217E-05</v>
      </c>
      <c r="H23" s="91"/>
      <c r="I23" s="91"/>
      <c r="J23" s="91"/>
      <c r="K23" s="91"/>
      <c r="L23" s="92"/>
      <c r="M23" s="107">
        <v>78.17925262451172</v>
      </c>
      <c r="N23" s="91">
        <v>47.28371047973633</v>
      </c>
      <c r="O23" s="91">
        <v>39.5</v>
      </c>
      <c r="P23" s="91">
        <v>22</v>
      </c>
      <c r="Q23" s="91">
        <v>3.4427082538604736</v>
      </c>
      <c r="R23" s="91">
        <v>19.133390426635742</v>
      </c>
      <c r="S23" s="108">
        <v>91.72091674804688</v>
      </c>
      <c r="T23" s="108">
        <v>35</v>
      </c>
      <c r="U23" s="108">
        <v>0</v>
      </c>
      <c r="V23" s="108">
        <v>18.424480438232422</v>
      </c>
      <c r="W23" s="108">
        <v>49.2296028137207</v>
      </c>
      <c r="X23" s="108">
        <v>29</v>
      </c>
      <c r="Y23" s="108">
        <v>73.22808074951172</v>
      </c>
      <c r="Z23" s="108">
        <v>15.035445213317871</v>
      </c>
      <c r="AA23" s="108">
        <v>18.37022590637207</v>
      </c>
      <c r="AB23" s="108"/>
      <c r="AC23" s="95"/>
      <c r="AD23" s="95">
        <v>1.54833984375</v>
      </c>
      <c r="AE23" s="95">
        <v>0.001512359594926238</v>
      </c>
      <c r="AF23" s="95">
        <v>23.41579818725586</v>
      </c>
      <c r="AG23" s="95">
        <v>22.359664916992188</v>
      </c>
      <c r="AH23" s="95">
        <v>492.79998779296875</v>
      </c>
      <c r="AI23" s="109"/>
      <c r="AJ23" s="109"/>
      <c r="AK23" s="109"/>
      <c r="AL23" s="109"/>
      <c r="AM23" s="109"/>
      <c r="AN23" s="95">
        <v>47.94560241699219</v>
      </c>
      <c r="AO23" s="96">
        <v>50</v>
      </c>
      <c r="AP23" s="97">
        <v>23.62738800048828</v>
      </c>
      <c r="AQ23" s="98">
        <v>39.948638916015625</v>
      </c>
      <c r="AR23" s="99">
        <v>0.075958251953125</v>
      </c>
    </row>
    <row r="24" spans="2:44" ht="13.5" customHeight="1" x14ac:dyDescent="0.25">
      <c r="B24" s="41" t="s">
        <v>271</v>
      </c>
      <c r="C24" s="91">
        <v>-79.86834716796875</v>
      </c>
      <c r="D24" s="91">
        <v>-81.06915283203125</v>
      </c>
      <c r="E24" s="91">
        <v>103.12861633300781</v>
      </c>
      <c r="F24" s="91">
        <v>0.080946184694767</v>
      </c>
      <c r="G24" s="91">
        <v>8.460426033707336E-05</v>
      </c>
      <c r="H24" s="91"/>
      <c r="I24" s="91"/>
      <c r="J24" s="91"/>
      <c r="K24" s="91"/>
      <c r="L24" s="92"/>
      <c r="M24" s="107">
        <v>77.80309295654297</v>
      </c>
      <c r="N24" s="91">
        <v>47.392215728759766</v>
      </c>
      <c r="O24" s="91">
        <v>39.5</v>
      </c>
      <c r="P24" s="91">
        <v>22</v>
      </c>
      <c r="Q24" s="91">
        <v>3.278211832046509</v>
      </c>
      <c r="R24" s="91">
        <v>18.833189010620117</v>
      </c>
      <c r="S24" s="108">
        <v>95.81886291503906</v>
      </c>
      <c r="T24" s="108">
        <v>35</v>
      </c>
      <c r="U24" s="108">
        <v>0</v>
      </c>
      <c r="V24" s="108">
        <v>18.885635375976562</v>
      </c>
      <c r="W24" s="108">
        <v>47.97092056274414</v>
      </c>
      <c r="X24" s="108">
        <v>29</v>
      </c>
      <c r="Y24" s="108">
        <v>73.2785415649414</v>
      </c>
      <c r="Z24" s="108">
        <v>14.469400405883789</v>
      </c>
      <c r="AA24" s="108">
        <v>18.006729125976562</v>
      </c>
      <c r="AB24" s="108"/>
      <c r="AC24" s="95"/>
      <c r="AD24" s="95">
        <v>1.5482856035232544</v>
      </c>
      <c r="AE24" s="95">
        <v>0.0014320373302325606</v>
      </c>
      <c r="AF24" s="95">
        <v>22.855178833007812</v>
      </c>
      <c r="AG24" s="95">
        <v>22.240306854248047</v>
      </c>
      <c r="AH24" s="95">
        <v>588.7000122070312</v>
      </c>
      <c r="AI24" s="109"/>
      <c r="AJ24" s="109"/>
      <c r="AK24" s="109"/>
      <c r="AL24" s="109"/>
      <c r="AM24" s="109"/>
      <c r="AN24" s="95">
        <v>47.12818145751953</v>
      </c>
      <c r="AO24" s="96">
        <v>50</v>
      </c>
      <c r="AP24" s="97">
        <v>23.555049896240234</v>
      </c>
      <c r="AQ24" s="98">
        <v>39.814815521240234</v>
      </c>
      <c r="AR24" s="99">
        <v>0.09766387939453125</v>
      </c>
    </row>
    <row r="25" spans="2:44" ht="13.5" customHeight="1" x14ac:dyDescent="0.25">
      <c r="B25" s="14">
        <v>0.95833333333333337</v>
      </c>
      <c r="C25" s="91">
        <v>-79.79600524902344</v>
      </c>
      <c r="D25" s="91">
        <v>-81.01128387451172</v>
      </c>
      <c r="E25" s="91">
        <v>103.12861633300781</v>
      </c>
      <c r="F25" s="91">
        <v>0.0920138880610466</v>
      </c>
      <c r="G25" s="91">
        <v>8.117103425320238E-05</v>
      </c>
      <c r="H25" s="91"/>
      <c r="I25" s="91"/>
      <c r="J25" s="91"/>
      <c r="K25" s="91"/>
      <c r="L25" s="92"/>
      <c r="M25" s="107">
        <v>77.44140625</v>
      </c>
      <c r="N25" s="91">
        <v>48.325374603271484</v>
      </c>
      <c r="O25" s="91">
        <v>39.5</v>
      </c>
      <c r="P25" s="91">
        <v>22</v>
      </c>
      <c r="Q25" s="91">
        <v>3.237413167953491</v>
      </c>
      <c r="R25" s="91">
        <v>18.66319465637207</v>
      </c>
      <c r="S25" s="108">
        <v>93.3087387084961</v>
      </c>
      <c r="T25" s="108">
        <v>35</v>
      </c>
      <c r="U25" s="108">
        <v>0</v>
      </c>
      <c r="V25" s="108">
        <v>19.401042938232422</v>
      </c>
      <c r="W25" s="108">
        <v>47.18424606323242</v>
      </c>
      <c r="X25" s="108">
        <v>28.5</v>
      </c>
      <c r="Y25" s="108">
        <v>71.78729248046875</v>
      </c>
      <c r="Z25" s="108">
        <v>14.297597885131836</v>
      </c>
      <c r="AA25" s="108">
        <v>17.97960090637207</v>
      </c>
      <c r="AB25" s="108"/>
      <c r="AC25" s="95"/>
      <c r="AD25" s="95">
        <v>1.54833984375</v>
      </c>
      <c r="AE25" s="95">
        <v>0.0015190429985523224</v>
      </c>
      <c r="AF25" s="95">
        <v>23.488136291503906</v>
      </c>
      <c r="AG25" s="95">
        <v>35.261138916015625</v>
      </c>
      <c r="AH25" s="95"/>
      <c r="AI25" s="109"/>
      <c r="AJ25" s="109"/>
      <c r="AK25" s="109"/>
      <c r="AL25" s="109"/>
      <c r="AM25" s="109"/>
      <c r="AN25" s="95">
        <v>46.100982666015625</v>
      </c>
      <c r="AO25" s="96">
        <v>50</v>
      </c>
      <c r="AP25" s="97">
        <v>23.60025978088379</v>
      </c>
      <c r="AQ25" s="98">
        <v>39.52907943725586</v>
      </c>
      <c r="AR25" s="99">
        <v>0.0868072509765625</v>
      </c>
    </row>
    <row r="26" spans="2:44" ht="13.5" customHeight="1" x14ac:dyDescent="0.25">
      <c r="B26" s="41" t="s">
        <v>272</v>
      </c>
      <c r="C26" s="91">
        <v>-79.8321762084961</v>
      </c>
      <c r="D26" s="91">
        <v>-80.99681854248047</v>
      </c>
      <c r="E26" s="91">
        <v>103.12861633300781</v>
      </c>
      <c r="F26" s="91">
        <v>0.0831163227558136</v>
      </c>
      <c r="G26" s="91">
        <v>8.508682367391884E-05</v>
      </c>
      <c r="H26" s="91"/>
      <c r="I26" s="91"/>
      <c r="J26" s="91"/>
      <c r="K26" s="91"/>
      <c r="L26" s="92"/>
      <c r="M26" s="107">
        <v>77.8139419555664</v>
      </c>
      <c r="N26" s="91">
        <v>47.5983772277832</v>
      </c>
      <c r="O26" s="91">
        <v>39.5</v>
      </c>
      <c r="P26" s="91">
        <v>22</v>
      </c>
      <c r="Q26" s="91">
        <v>3.2278645038604736</v>
      </c>
      <c r="R26" s="91">
        <v>18.670427322387695</v>
      </c>
      <c r="S26" s="108">
        <v>94.6578369140625</v>
      </c>
      <c r="T26" s="108">
        <v>35</v>
      </c>
      <c r="U26" s="108">
        <v>0</v>
      </c>
      <c r="V26" s="108">
        <v>19.95442771911621</v>
      </c>
      <c r="W26" s="108">
        <v>46.386722564697266</v>
      </c>
      <c r="X26" s="108">
        <v>28.5</v>
      </c>
      <c r="Y26" s="108">
        <v>72.02275085449219</v>
      </c>
      <c r="Z26" s="108">
        <v>14.274087905883789</v>
      </c>
      <c r="AA26" s="108">
        <v>17.97417640686035</v>
      </c>
      <c r="AB26" s="108"/>
      <c r="AC26" s="95"/>
      <c r="AD26" s="95">
        <v>1.5483940839767456</v>
      </c>
      <c r="AE26" s="95">
        <v>0.0015107727376744151</v>
      </c>
      <c r="AF26" s="95">
        <v>23.49175262451172</v>
      </c>
      <c r="AG26" s="95">
        <v>40.281394958496094</v>
      </c>
      <c r="AH26" s="95"/>
      <c r="AI26" s="109"/>
      <c r="AJ26" s="109"/>
      <c r="AK26" s="109"/>
      <c r="AL26" s="109"/>
      <c r="AM26" s="109"/>
      <c r="AN26" s="95">
        <v>45.33420181274414</v>
      </c>
      <c r="AO26" s="96">
        <v>50</v>
      </c>
      <c r="AP26" s="97">
        <v>23.609302520751953</v>
      </c>
      <c r="AQ26" s="98">
        <v>40.17288589477539</v>
      </c>
      <c r="AR26" s="99">
        <v>0.09766387939453125</v>
      </c>
    </row>
    <row r="27" spans="2:44" ht="13.5" customHeight="1" x14ac:dyDescent="0.25">
      <c r="B27" s="14">
        <v>4.1666666666666664E-2</v>
      </c>
      <c r="C27" s="91">
        <v>-79.86111450195312</v>
      </c>
      <c r="D27" s="91">
        <v>-80.96788024902344</v>
      </c>
      <c r="E27" s="91">
        <v>103.12861633300781</v>
      </c>
      <c r="F27" s="91">
        <v>0.08109086006879807</v>
      </c>
      <c r="G27" s="91">
        <v>8.972168143372983E-05</v>
      </c>
      <c r="H27" s="91"/>
      <c r="I27" s="91"/>
      <c r="J27" s="91"/>
      <c r="K27" s="91"/>
      <c r="L27" s="92"/>
      <c r="M27" s="107">
        <v>77.74160766601562</v>
      </c>
      <c r="N27" s="91">
        <v>47.32349395751953</v>
      </c>
      <c r="O27" s="91">
        <v>39.5</v>
      </c>
      <c r="P27" s="91">
        <v>22</v>
      </c>
      <c r="Q27" s="91">
        <v>3.49609375</v>
      </c>
      <c r="R27" s="91">
        <v>18.8187198638916</v>
      </c>
      <c r="S27" s="108">
        <v>92.95790100097656</v>
      </c>
      <c r="T27" s="108">
        <v>35</v>
      </c>
      <c r="U27" s="108">
        <v>0</v>
      </c>
      <c r="V27" s="108">
        <v>20.51866340637207</v>
      </c>
      <c r="W27" s="108">
        <v>45.605472564697266</v>
      </c>
      <c r="X27" s="108">
        <v>28.5</v>
      </c>
      <c r="Y27" s="108">
        <v>72.13487243652344</v>
      </c>
      <c r="Z27" s="108">
        <v>14.140262603759766</v>
      </c>
      <c r="AA27" s="108">
        <v>18.1640625</v>
      </c>
      <c r="AB27" s="108"/>
      <c r="AC27" s="95"/>
      <c r="AD27" s="95">
        <v>1.54833984375</v>
      </c>
      <c r="AE27" s="95">
        <v>0.0011810302967205644</v>
      </c>
      <c r="AF27" s="95">
        <v>23.401330947875977</v>
      </c>
      <c r="AG27" s="95">
        <v>15.064380645751953</v>
      </c>
      <c r="AH27" s="95"/>
      <c r="AI27" s="109"/>
      <c r="AJ27" s="109"/>
      <c r="AK27" s="109"/>
      <c r="AL27" s="109"/>
      <c r="AM27" s="109"/>
      <c r="AN27" s="95">
        <v>43.88020706176758</v>
      </c>
      <c r="AO27" s="96">
        <v>50</v>
      </c>
      <c r="AP27" s="97">
        <v>23.717809677124023</v>
      </c>
      <c r="AQ27" s="98">
        <v>39.98480987548828</v>
      </c>
      <c r="AR27" s="99">
        <v>0.09766387939453125</v>
      </c>
    </row>
    <row r="28" spans="2:44" ht="13.5" customHeight="1" x14ac:dyDescent="0.25">
      <c r="B28" s="41" t="s">
        <v>273</v>
      </c>
      <c r="C28" s="91">
        <v>-80.0274887084961</v>
      </c>
      <c r="D28" s="91">
        <v>-81.01851654052734</v>
      </c>
      <c r="E28" s="91">
        <v>103.12861633300781</v>
      </c>
      <c r="F28" s="91">
        <v>0.10163483768701553</v>
      </c>
      <c r="G28" s="91">
        <v>9.542274347040802E-05</v>
      </c>
      <c r="H28" s="91"/>
      <c r="I28" s="91"/>
      <c r="J28" s="91"/>
      <c r="K28" s="91"/>
      <c r="L28" s="92"/>
      <c r="M28" s="107">
        <v>77.44863891601562</v>
      </c>
      <c r="N28" s="91">
        <v>47.51519012451172</v>
      </c>
      <c r="O28" s="91">
        <v>39.5</v>
      </c>
      <c r="P28" s="91">
        <v>22</v>
      </c>
      <c r="Q28" s="91">
        <v>3.4596354961395264</v>
      </c>
      <c r="R28" s="91">
        <v>18.99956512451172</v>
      </c>
      <c r="S28" s="108">
        <v>92.24175262451172</v>
      </c>
      <c r="T28" s="108">
        <v>35</v>
      </c>
      <c r="U28" s="108">
        <v>0</v>
      </c>
      <c r="V28" s="108">
        <v>21.082901000976562</v>
      </c>
      <c r="W28" s="108">
        <v>45.13888931274414</v>
      </c>
      <c r="X28" s="108">
        <v>28.5</v>
      </c>
      <c r="Y28" s="108">
        <v>71.36682891845703</v>
      </c>
      <c r="Z28" s="108">
        <v>14.084200859069824</v>
      </c>
      <c r="AA28" s="108">
        <v>18.240018844604492</v>
      </c>
      <c r="AB28" s="108"/>
      <c r="AC28" s="95"/>
      <c r="AD28" s="95">
        <v>1.5482856035232544</v>
      </c>
      <c r="AE28" s="95">
        <v>0.0015257567865774035</v>
      </c>
      <c r="AF28" s="95">
        <v>23.777488708496094</v>
      </c>
      <c r="AG28" s="95">
        <v>30.291521072387695</v>
      </c>
      <c r="AH28" s="95"/>
      <c r="AI28" s="109"/>
      <c r="AJ28" s="109"/>
      <c r="AK28" s="109"/>
      <c r="AL28" s="109"/>
      <c r="AM28" s="109"/>
      <c r="AN28" s="95">
        <v>39.85821533203125</v>
      </c>
      <c r="AO28" s="96">
        <v>50</v>
      </c>
      <c r="AP28" s="97">
        <v>22.090206146240234</v>
      </c>
      <c r="AQ28" s="98">
        <v>40.09331512451172</v>
      </c>
      <c r="AR28" s="99">
        <v>0.0868072509765625</v>
      </c>
    </row>
    <row r="29" spans="2:44" ht="13.5" customHeight="1" x14ac:dyDescent="0.25">
      <c r="B29" s="14">
        <v>0.125</v>
      </c>
      <c r="C29" s="91">
        <v>-80.11429595947266</v>
      </c>
      <c r="D29" s="91">
        <v>-80.98234558105469</v>
      </c>
      <c r="E29" s="91">
        <v>103.13223266601562</v>
      </c>
      <c r="F29" s="91">
        <v>0.09469039738178253</v>
      </c>
      <c r="G29" s="91">
        <v>8.802795491646975E-05</v>
      </c>
      <c r="H29" s="91"/>
      <c r="I29" s="91"/>
      <c r="J29" s="91"/>
      <c r="K29" s="91"/>
      <c r="L29" s="92"/>
      <c r="M29" s="107">
        <v>77.53544616699219</v>
      </c>
      <c r="N29" s="91">
        <v>47.526039123535156</v>
      </c>
      <c r="O29" s="91">
        <v>39.5</v>
      </c>
      <c r="P29" s="91">
        <v>22</v>
      </c>
      <c r="Q29" s="91">
        <v>3.4470486640930176</v>
      </c>
      <c r="R29" s="91">
        <v>19.03211784362793</v>
      </c>
      <c r="S29" s="108">
        <v>92.60343933105469</v>
      </c>
      <c r="T29" s="108">
        <v>35</v>
      </c>
      <c r="U29" s="108">
        <v>0</v>
      </c>
      <c r="V29" s="108">
        <v>22.11371612548828</v>
      </c>
      <c r="W29" s="108">
        <v>44.4932746887207</v>
      </c>
      <c r="X29" s="108">
        <v>29.200000762939453</v>
      </c>
      <c r="Y29" s="108">
        <v>73.73824310302734</v>
      </c>
      <c r="Z29" s="108">
        <v>13.832826614379883</v>
      </c>
      <c r="AA29" s="108">
        <v>18.473308563232422</v>
      </c>
      <c r="AB29" s="108"/>
      <c r="AC29" s="95"/>
      <c r="AD29" s="95">
        <v>1.5483940839767456</v>
      </c>
      <c r="AE29" s="95">
        <v>0.0015056763077154756</v>
      </c>
      <c r="AF29" s="95">
        <v>23.661746978759766</v>
      </c>
      <c r="AG29" s="95">
        <v>33.45269012451172</v>
      </c>
      <c r="AH29" s="95"/>
      <c r="AI29" s="109"/>
      <c r="AJ29" s="109"/>
      <c r="AK29" s="109"/>
      <c r="AL29" s="109"/>
      <c r="AM29" s="109"/>
      <c r="AN29" s="95">
        <v>37.28298568725586</v>
      </c>
      <c r="AO29" s="96">
        <v>50</v>
      </c>
      <c r="AP29" s="97">
        <v>22.008825302124023</v>
      </c>
      <c r="AQ29" s="98">
        <v>40.27777862548828</v>
      </c>
      <c r="AR29" s="99">
        <v>0.075958251953125</v>
      </c>
    </row>
    <row r="30" spans="2:44" ht="13.5" customHeight="1" x14ac:dyDescent="0.25">
      <c r="B30" s="14">
        <v>0.16666666666666666</v>
      </c>
      <c r="C30" s="91">
        <v>-80.08535766601562</v>
      </c>
      <c r="D30" s="91">
        <v>-80.94618225097656</v>
      </c>
      <c r="E30" s="91">
        <v>103.13584899902344</v>
      </c>
      <c r="F30" s="91">
        <v>0.07819733768701553</v>
      </c>
      <c r="G30" s="91">
        <v>9.268760913982987E-05</v>
      </c>
      <c r="H30" s="91"/>
      <c r="I30" s="91"/>
      <c r="J30" s="91"/>
      <c r="K30" s="91"/>
      <c r="L30" s="92"/>
      <c r="M30" s="107">
        <v>77.22077178955078</v>
      </c>
      <c r="N30" s="91">
        <v>47.61646270751953</v>
      </c>
      <c r="O30" s="91">
        <v>39.5</v>
      </c>
      <c r="P30" s="91">
        <v>22</v>
      </c>
      <c r="Q30" s="91">
        <v>3.4270832538604736</v>
      </c>
      <c r="R30" s="91">
        <v>19.1116886138916</v>
      </c>
      <c r="S30" s="108">
        <v>93.27256774902344</v>
      </c>
      <c r="T30" s="108">
        <v>35</v>
      </c>
      <c r="U30" s="108">
        <v>0</v>
      </c>
      <c r="V30" s="108">
        <v>22.450088500976562</v>
      </c>
      <c r="W30" s="108">
        <v>43.96158981323242</v>
      </c>
      <c r="X30" s="108">
        <v>29.200000762939453</v>
      </c>
      <c r="Y30" s="108">
        <v>73.87840270996094</v>
      </c>
      <c r="Z30" s="108">
        <v>13.785806655883789</v>
      </c>
      <c r="AA30" s="108">
        <v>18.45703125</v>
      </c>
      <c r="AB30" s="108"/>
      <c r="AC30" s="95"/>
      <c r="AD30" s="95">
        <v>1.5483940839767456</v>
      </c>
      <c r="AE30" s="95">
        <v>0.00154818722512573</v>
      </c>
      <c r="AF30" s="95">
        <v>23.16623306274414</v>
      </c>
      <c r="AG30" s="95">
        <v>32.32060241699219</v>
      </c>
      <c r="AH30" s="95"/>
      <c r="AI30" s="109"/>
      <c r="AJ30" s="109"/>
      <c r="AK30" s="109"/>
      <c r="AL30" s="109"/>
      <c r="AM30" s="109"/>
      <c r="AN30" s="95">
        <v>35.923030853271484</v>
      </c>
      <c r="AO30" s="96">
        <v>50</v>
      </c>
      <c r="AP30" s="97">
        <v>21.89127540588379</v>
      </c>
      <c r="AQ30" s="98">
        <v>40.45138931274414</v>
      </c>
      <c r="AR30" s="99">
        <v>0.075958251953125</v>
      </c>
    </row>
    <row r="31" spans="2:44" ht="13.5" customHeight="1" x14ac:dyDescent="0.25">
      <c r="B31" s="14">
        <v>0.20833333333333334</v>
      </c>
      <c r="C31" s="91">
        <v>-80.03472137451172</v>
      </c>
      <c r="D31" s="91">
        <v>-81.0257568359375</v>
      </c>
      <c r="E31" s="91">
        <v>103.12861633300781</v>
      </c>
      <c r="F31" s="91">
        <v>0.08080150187015533</v>
      </c>
      <c r="G31" s="91">
        <v>8.282661292469129E-05</v>
      </c>
      <c r="H31" s="91"/>
      <c r="I31" s="91"/>
      <c r="J31" s="91"/>
      <c r="K31" s="91"/>
      <c r="L31" s="92"/>
      <c r="M31" s="107">
        <v>77.47757720947266</v>
      </c>
      <c r="N31" s="91">
        <v>48.054107666015625</v>
      </c>
      <c r="O31" s="91">
        <v>39.5</v>
      </c>
      <c r="P31" s="91">
        <v>22</v>
      </c>
      <c r="Q31" s="91">
        <v>3.366319417953491</v>
      </c>
      <c r="R31" s="91">
        <v>19.09722137451172</v>
      </c>
      <c r="S31" s="108">
        <v>94.73379516601562</v>
      </c>
      <c r="T31" s="108">
        <v>35</v>
      </c>
      <c r="U31" s="108">
        <v>0</v>
      </c>
      <c r="V31" s="108">
        <v>22.791885375976562</v>
      </c>
      <c r="W31" s="108">
        <v>43.218318939208984</v>
      </c>
      <c r="X31" s="108">
        <v>29.700000762939453</v>
      </c>
      <c r="Y31" s="108">
        <v>74.97161102294922</v>
      </c>
      <c r="Z31" s="108">
        <v>13.604962348937988</v>
      </c>
      <c r="AA31" s="108">
        <v>18.310546875</v>
      </c>
      <c r="AB31" s="108"/>
      <c r="AC31" s="95"/>
      <c r="AD31" s="95">
        <v>1.54833984375</v>
      </c>
      <c r="AE31" s="95">
        <v>0.0014140624552965164</v>
      </c>
      <c r="AF31" s="95">
        <v>23.57855796813965</v>
      </c>
      <c r="AG31" s="95">
        <v>65.3139419555664</v>
      </c>
      <c r="AH31" s="95"/>
      <c r="AI31" s="109"/>
      <c r="AJ31" s="109"/>
      <c r="AK31" s="109"/>
      <c r="AL31" s="109"/>
      <c r="AM31" s="109"/>
      <c r="AN31" s="95">
        <v>34.714988708496094</v>
      </c>
      <c r="AO31" s="96">
        <v>50</v>
      </c>
      <c r="AP31" s="97">
        <v>22.153501510620117</v>
      </c>
      <c r="AQ31" s="98">
        <v>40.42607116699219</v>
      </c>
      <c r="AR31" s="99">
        <v>0.075958251953125</v>
      </c>
    </row>
    <row r="32" spans="2:44" ht="13.5" customHeight="1" x14ac:dyDescent="0.25">
      <c r="B32" s="14">
        <v>0.25</v>
      </c>
      <c r="C32" s="91">
        <v>-80.05642700195312</v>
      </c>
      <c r="D32" s="91">
        <v>-80.98234558105469</v>
      </c>
      <c r="E32" s="91">
        <v>103.12861633300781</v>
      </c>
      <c r="F32" s="91">
        <v>0.08383969962596893</v>
      </c>
      <c r="G32" s="91">
        <v>8.500290277879685E-05</v>
      </c>
      <c r="H32" s="91"/>
      <c r="I32" s="91"/>
      <c r="J32" s="91"/>
      <c r="K32" s="91"/>
      <c r="L32" s="92"/>
      <c r="M32" s="107">
        <v>77.74884033203125</v>
      </c>
      <c r="N32" s="91">
        <v>48.111976623535156</v>
      </c>
      <c r="O32" s="91">
        <v>39.5</v>
      </c>
      <c r="P32" s="91">
        <v>22</v>
      </c>
      <c r="Q32" s="91">
        <v>3.362413167953491</v>
      </c>
      <c r="R32" s="91">
        <v>18.648727416992188</v>
      </c>
      <c r="S32" s="108">
        <v>94.59635162353516</v>
      </c>
      <c r="T32" s="108">
        <v>35</v>
      </c>
      <c r="U32" s="108">
        <v>0</v>
      </c>
      <c r="V32" s="108">
        <v>25.157337188720703</v>
      </c>
      <c r="W32" s="108">
        <v>46.0069465637207</v>
      </c>
      <c r="X32" s="108">
        <v>30</v>
      </c>
      <c r="Y32" s="108">
        <v>75.5490493774414</v>
      </c>
      <c r="Z32" s="108">
        <v>13.286675453186035</v>
      </c>
      <c r="AA32" s="108">
        <v>18.08810806274414</v>
      </c>
      <c r="AB32" s="108"/>
      <c r="AC32" s="95"/>
      <c r="AD32" s="95">
        <v>1.5482856035232544</v>
      </c>
      <c r="AE32" s="95">
        <v>0.001319213886745274</v>
      </c>
      <c r="AF32" s="95">
        <v>23.875144958496094</v>
      </c>
      <c r="AG32" s="95">
        <v>36.30280685424805</v>
      </c>
      <c r="AH32" s="95"/>
      <c r="AI32" s="109"/>
      <c r="AJ32" s="109"/>
      <c r="AK32" s="109"/>
      <c r="AL32" s="109"/>
      <c r="AM32" s="109"/>
      <c r="AN32" s="95">
        <v>35.61921310424805</v>
      </c>
      <c r="AO32" s="96">
        <v>50</v>
      </c>
      <c r="AP32" s="97">
        <v>22.37955665588379</v>
      </c>
      <c r="AQ32" s="98">
        <v>40.0282096862793</v>
      </c>
      <c r="AR32" s="99">
        <v>0.0651092529296875</v>
      </c>
    </row>
    <row r="33" spans="2:44" ht="13.5" customHeight="1" x14ac:dyDescent="0.25">
      <c r="B33" s="14">
        <v>0.29166666666666669</v>
      </c>
      <c r="C33" s="91">
        <v>-79.99855041503906</v>
      </c>
      <c r="D33" s="91">
        <v>-80.96064758300781</v>
      </c>
      <c r="E33" s="91">
        <v>103.12861633300781</v>
      </c>
      <c r="F33" s="91">
        <v>0.10083912312984467</v>
      </c>
      <c r="G33" s="91">
        <v>8.78429418662563E-05</v>
      </c>
      <c r="H33" s="91"/>
      <c r="I33" s="91"/>
      <c r="J33" s="91"/>
      <c r="K33" s="91"/>
      <c r="L33" s="92"/>
      <c r="M33" s="107">
        <v>77.74160766601562</v>
      </c>
      <c r="N33" s="91">
        <v>47.804542541503906</v>
      </c>
      <c r="O33" s="91">
        <v>39.5</v>
      </c>
      <c r="P33" s="91">
        <v>22</v>
      </c>
      <c r="Q33" s="91">
        <v>3.3658854961395264</v>
      </c>
      <c r="R33" s="91">
        <v>19.003183364868164</v>
      </c>
      <c r="S33" s="108">
        <v>92.46600341796875</v>
      </c>
      <c r="T33" s="108">
        <v>35</v>
      </c>
      <c r="U33" s="108">
        <v>0</v>
      </c>
      <c r="V33" s="108">
        <v>29.48676300048828</v>
      </c>
      <c r="W33" s="108">
        <v>50.689022064208984</v>
      </c>
      <c r="X33" s="108">
        <v>31.5</v>
      </c>
      <c r="Y33" s="108">
        <v>80.14051818847656</v>
      </c>
      <c r="Z33" s="108">
        <v>13.53624153137207</v>
      </c>
      <c r="AA33" s="108">
        <v>18.66319465637207</v>
      </c>
      <c r="AB33" s="108"/>
      <c r="AC33" s="95"/>
      <c r="AD33" s="95">
        <v>1.54833984375</v>
      </c>
      <c r="AE33" s="95">
        <v>0.0015133362030610442</v>
      </c>
      <c r="AF33" s="95">
        <v>23.593027114868164</v>
      </c>
      <c r="AG33" s="95">
        <v>58.156105041503906</v>
      </c>
      <c r="AH33" s="95"/>
      <c r="AI33" s="109"/>
      <c r="AJ33" s="109"/>
      <c r="AK33" s="109"/>
      <c r="AL33" s="109"/>
      <c r="AM33" s="109"/>
      <c r="AN33" s="95">
        <v>41.05179214477539</v>
      </c>
      <c r="AO33" s="96">
        <v>50</v>
      </c>
      <c r="AP33" s="97">
        <v>21.719472885131836</v>
      </c>
      <c r="AQ33" s="98">
        <v>39.62673568725586</v>
      </c>
      <c r="AR33" s="99">
        <v>0.05426025390625</v>
      </c>
    </row>
    <row r="34" spans="2:44" ht="13.5" customHeight="1" x14ac:dyDescent="0.25">
      <c r="B34" s="42">
        <v>0.33333333333333331</v>
      </c>
      <c r="C34" s="100"/>
      <c r="D34" s="100"/>
      <c r="E34" s="100"/>
      <c r="F34" s="100"/>
      <c r="G34" s="100"/>
      <c r="H34" s="100"/>
      <c r="I34" s="100"/>
      <c r="J34" s="100"/>
      <c r="K34" s="100"/>
      <c r="L34" s="101"/>
      <c r="M34" s="110"/>
      <c r="N34" s="100"/>
      <c r="O34" s="100"/>
      <c r="P34" s="100"/>
      <c r="Q34" s="100"/>
      <c r="R34" s="100"/>
      <c r="S34" s="111"/>
      <c r="T34" s="111"/>
      <c r="U34" s="111"/>
      <c r="V34" s="111"/>
      <c r="W34" s="111"/>
      <c r="X34" s="111"/>
      <c r="Y34" s="111"/>
      <c r="Z34" s="111"/>
      <c r="AA34" s="111"/>
      <c r="AB34" s="111"/>
      <c r="AC34" s="104"/>
      <c r="AD34" s="104"/>
      <c r="AE34" s="104"/>
      <c r="AF34" s="104"/>
      <c r="AG34" s="104"/>
      <c r="AH34" s="104"/>
      <c r="AI34" s="112"/>
      <c r="AJ34" s="112"/>
      <c r="AK34" s="112"/>
      <c r="AL34" s="112"/>
      <c r="AM34" s="112"/>
      <c r="AN34" s="104"/>
      <c r="AO34" s="105"/>
      <c r="AP34" s="113"/>
      <c r="AQ34" s="114"/>
      <c r="AR34" s="115"/>
    </row>
    <row r="35" spans="2:44" ht="15" customHeight="1" x14ac:dyDescent="0.25">
      <c r="B35" s="173" t="s">
        <v>181</v>
      </c>
      <c r="C35" s="174" t="s">
        <v>38</v>
      </c>
      <c r="D35" s="203"/>
      <c r="E35" s="203"/>
      <c r="F35" s="203"/>
      <c r="G35" s="203"/>
      <c r="H35" s="203"/>
      <c r="I35" s="203"/>
      <c r="J35" s="203"/>
      <c r="K35" s="203"/>
      <c r="L35" s="203"/>
      <c r="M35" s="203"/>
      <c r="N35" s="203"/>
      <c r="O35" s="203"/>
      <c r="P35" s="203"/>
      <c r="Q35" s="203"/>
      <c r="R35" s="203"/>
      <c r="S35" s="203"/>
      <c r="T35" s="203"/>
      <c r="U35" s="203"/>
      <c r="V35" s="203"/>
      <c r="W35" s="204" t="s">
        <v>216</v>
      </c>
      <c r="X35" s="205"/>
      <c r="Y35" s="205"/>
      <c r="Z35" s="205"/>
      <c r="AA35" s="205"/>
      <c r="AB35" s="205"/>
      <c r="AC35" s="205"/>
      <c r="AD35" s="205"/>
      <c r="AE35" s="205"/>
      <c r="AF35" s="205"/>
      <c r="AG35" s="205"/>
      <c r="AH35" s="205"/>
      <c r="AI35" s="205"/>
      <c r="AJ35" s="206"/>
      <c r="AK35" s="180" t="s">
        <v>48</v>
      </c>
      <c r="AL35" s="178"/>
      <c r="AM35" s="207" t="s">
        <v>223</v>
      </c>
      <c r="AN35" s="208"/>
      <c r="AO35" s="43"/>
      <c r="AP35" s="43"/>
      <c r="AQ35" s="43"/>
      <c r="AR35" s="44"/>
    </row>
    <row r="36" spans="2:44" ht="20.15" customHeight="1" x14ac:dyDescent="0.25">
      <c r="B36" s="160"/>
      <c r="C36" s="154" t="s">
        <v>32</v>
      </c>
      <c r="D36" s="186"/>
      <c r="E36" s="154" t="s">
        <v>33</v>
      </c>
      <c r="F36" s="215"/>
      <c r="G36" s="186"/>
      <c r="H36" s="209" t="s">
        <v>276</v>
      </c>
      <c r="I36" s="210"/>
      <c r="J36" s="4" t="s">
        <v>27</v>
      </c>
      <c r="K36" s="4" t="s">
        <v>30</v>
      </c>
      <c r="L36" s="4" t="s">
        <v>191</v>
      </c>
      <c r="M36" s="211" t="s">
        <v>192</v>
      </c>
      <c r="N36" s="212"/>
      <c r="O36" s="4" t="s">
        <v>26</v>
      </c>
      <c r="P36" s="4" t="s">
        <v>197</v>
      </c>
      <c r="Q36" s="154" t="s">
        <v>199</v>
      </c>
      <c r="R36" s="216"/>
      <c r="S36" s="154" t="s">
        <v>202</v>
      </c>
      <c r="T36" s="216"/>
      <c r="U36" s="154" t="s">
        <v>201</v>
      </c>
      <c r="V36" s="213"/>
      <c r="W36" s="30" t="s">
        <v>15</v>
      </c>
      <c r="X36" s="4" t="s">
        <v>12</v>
      </c>
      <c r="Y36" s="8" t="s">
        <v>204</v>
      </c>
      <c r="Z36" s="8" t="s">
        <v>205</v>
      </c>
      <c r="AA36" s="8" t="s">
        <v>206</v>
      </c>
      <c r="AB36" s="7" t="s">
        <v>207</v>
      </c>
      <c r="AC36" s="8" t="s">
        <v>208</v>
      </c>
      <c r="AD36" s="8" t="s">
        <v>210</v>
      </c>
      <c r="AE36" s="8" t="s">
        <v>211</v>
      </c>
      <c r="AF36" s="7" t="s">
        <v>212</v>
      </c>
      <c r="AG36" s="17" t="s">
        <v>213</v>
      </c>
      <c r="AH36" s="168" t="s">
        <v>46</v>
      </c>
      <c r="AI36" s="214"/>
      <c r="AJ36" s="155"/>
      <c r="AK36" s="17" t="s">
        <v>15</v>
      </c>
      <c r="AL36" s="29" t="s">
        <v>12</v>
      </c>
      <c r="AM36" s="23" t="s">
        <v>224</v>
      </c>
      <c r="AN36" s="24" t="s">
        <v>225</v>
      </c>
      <c r="AO36" s="17"/>
      <c r="AP36" s="17"/>
      <c r="AQ36" s="17"/>
      <c r="AR36" s="16"/>
    </row>
    <row r="37" spans="2:44" ht="22" customHeight="1" x14ac:dyDescent="0.25">
      <c r="B37" s="160"/>
      <c r="C37" s="4" t="s">
        <v>186</v>
      </c>
      <c r="D37" s="4" t="s">
        <v>187</v>
      </c>
      <c r="E37" s="4" t="s">
        <v>34</v>
      </c>
      <c r="F37" s="4" t="s">
        <v>188</v>
      </c>
      <c r="G37" s="4" t="s">
        <v>189</v>
      </c>
      <c r="H37" s="4" t="s">
        <v>277</v>
      </c>
      <c r="I37" s="4" t="s">
        <v>278</v>
      </c>
      <c r="J37" s="4" t="s">
        <v>25</v>
      </c>
      <c r="K37" s="4" t="s">
        <v>31</v>
      </c>
      <c r="L37" s="2" t="s">
        <v>29</v>
      </c>
      <c r="M37" s="7" t="s">
        <v>193</v>
      </c>
      <c r="N37" s="7" t="s">
        <v>194</v>
      </c>
      <c r="O37" s="2" t="s">
        <v>28</v>
      </c>
      <c r="P37" s="2" t="s">
        <v>37</v>
      </c>
      <c r="Q37" s="3" t="s">
        <v>2</v>
      </c>
      <c r="R37" s="3" t="s">
        <v>3</v>
      </c>
      <c r="S37" s="3" t="s">
        <v>2</v>
      </c>
      <c r="T37" s="3" t="s">
        <v>3</v>
      </c>
      <c r="U37" s="3" t="s">
        <v>2</v>
      </c>
      <c r="V37" s="34" t="s">
        <v>3</v>
      </c>
      <c r="W37" s="31" t="s">
        <v>39</v>
      </c>
      <c r="X37" s="7" t="s">
        <v>40</v>
      </c>
      <c r="Y37" s="8" t="s">
        <v>41</v>
      </c>
      <c r="Z37" s="4" t="s">
        <v>42</v>
      </c>
      <c r="AA37" s="5" t="s">
        <v>22</v>
      </c>
      <c r="AB37" s="8" t="s">
        <v>23</v>
      </c>
      <c r="AC37" s="8" t="s">
        <v>209</v>
      </c>
      <c r="AD37" s="4" t="s">
        <v>43</v>
      </c>
      <c r="AE37" s="5" t="s">
        <v>44</v>
      </c>
      <c r="AF37" s="8" t="s">
        <v>45</v>
      </c>
      <c r="AG37" s="17" t="s">
        <v>214</v>
      </c>
      <c r="AH37" s="17" t="s">
        <v>217</v>
      </c>
      <c r="AI37" s="17" t="s">
        <v>218</v>
      </c>
      <c r="AJ37" s="17" t="s">
        <v>219</v>
      </c>
      <c r="AK37" s="18" t="s">
        <v>221</v>
      </c>
      <c r="AL37" s="29" t="s">
        <v>222</v>
      </c>
      <c r="AM37" s="23" t="s">
        <v>4</v>
      </c>
      <c r="AN37" s="33" t="s">
        <v>4</v>
      </c>
      <c r="AO37" s="17"/>
      <c r="AP37" s="17"/>
      <c r="AQ37" s="17"/>
      <c r="AR37" s="16"/>
    </row>
    <row r="38" spans="2:44" ht="14.15" customHeight="1" x14ac:dyDescent="0.25">
      <c r="B38" s="160"/>
      <c r="C38" s="25" t="s">
        <v>182</v>
      </c>
      <c r="D38" s="22" t="s">
        <v>183</v>
      </c>
      <c r="E38" s="3" t="s">
        <v>185</v>
      </c>
      <c r="F38" s="25" t="s">
        <v>182</v>
      </c>
      <c r="G38" s="22" t="s">
        <v>183</v>
      </c>
      <c r="H38" s="25" t="s">
        <v>279</v>
      </c>
      <c r="I38" s="22" t="s">
        <v>183</v>
      </c>
      <c r="J38" s="3" t="s">
        <v>185</v>
      </c>
      <c r="K38" s="1" t="s">
        <v>190</v>
      </c>
      <c r="L38" s="3" t="s">
        <v>185</v>
      </c>
      <c r="M38" s="1" t="s">
        <v>409</v>
      </c>
      <c r="N38" s="1" t="s">
        <v>410</v>
      </c>
      <c r="O38" s="3" t="s">
        <v>185</v>
      </c>
      <c r="P38" s="1" t="s">
        <v>198</v>
      </c>
      <c r="Q38" s="3" t="s">
        <v>200</v>
      </c>
      <c r="R38" s="22" t="s">
        <v>183</v>
      </c>
      <c r="S38" s="3" t="s">
        <v>200</v>
      </c>
      <c r="T38" s="22" t="s">
        <v>183</v>
      </c>
      <c r="U38" s="3" t="s">
        <v>200</v>
      </c>
      <c r="V38" s="35" t="s">
        <v>183</v>
      </c>
      <c r="W38" s="32" t="s">
        <v>203</v>
      </c>
      <c r="X38" s="7" t="s">
        <v>184</v>
      </c>
      <c r="Y38" s="8" t="s">
        <v>190</v>
      </c>
      <c r="Z38" s="7" t="s">
        <v>195</v>
      </c>
      <c r="AA38" s="7" t="s">
        <v>184</v>
      </c>
      <c r="AB38" s="7" t="s">
        <v>184</v>
      </c>
      <c r="AC38" s="8" t="s">
        <v>190</v>
      </c>
      <c r="AD38" s="7" t="s">
        <v>195</v>
      </c>
      <c r="AE38" s="7" t="s">
        <v>184</v>
      </c>
      <c r="AF38" s="7" t="s">
        <v>184</v>
      </c>
      <c r="AG38" s="17" t="s">
        <v>215</v>
      </c>
      <c r="AH38" s="19" t="s">
        <v>203</v>
      </c>
      <c r="AI38" s="7" t="s">
        <v>195</v>
      </c>
      <c r="AJ38" s="7" t="s">
        <v>196</v>
      </c>
      <c r="AK38" s="18" t="s">
        <v>203</v>
      </c>
      <c r="AL38" s="29" t="s">
        <v>220</v>
      </c>
      <c r="AM38" s="23" t="s">
        <v>203</v>
      </c>
      <c r="AN38" s="24" t="s">
        <v>203</v>
      </c>
      <c r="AO38" s="17"/>
      <c r="AP38" s="17"/>
      <c r="AQ38" s="17"/>
      <c r="AR38" s="16"/>
    </row>
    <row r="39" spans="2:44" ht="13.5" customHeight="1" x14ac:dyDescent="0.25">
      <c r="B39" s="41" t="s">
        <v>50</v>
      </c>
      <c r="C39" s="87">
        <v>0</v>
      </c>
      <c r="D39" s="87"/>
      <c r="E39" s="87">
        <v>35.322628021240234</v>
      </c>
      <c r="F39" s="87"/>
      <c r="G39" s="87"/>
      <c r="H39" s="87">
        <v>0</v>
      </c>
      <c r="I39" s="87"/>
      <c r="J39" s="87">
        <v>24.27842903137207</v>
      </c>
      <c r="K39" s="87">
        <v>40</v>
      </c>
      <c r="L39" s="87">
        <v>49.008968353271484</v>
      </c>
      <c r="M39" s="87">
        <v>0</v>
      </c>
      <c r="N39" s="87"/>
      <c r="O39" s="87">
        <v>25.146484375</v>
      </c>
      <c r="P39" s="87">
        <v>0.05000000074505806</v>
      </c>
      <c r="Q39" s="87">
        <v>0.20283564925193787</v>
      </c>
      <c r="R39" s="87"/>
      <c r="S39" s="87">
        <v>0</v>
      </c>
      <c r="T39" s="87"/>
      <c r="U39" s="88">
        <v>0</v>
      </c>
      <c r="V39" s="89"/>
      <c r="W39" s="90">
        <v>92.46961975097656</v>
      </c>
      <c r="X39" s="88">
        <v>18.742765426635742</v>
      </c>
      <c r="Y39" s="88">
        <v>50</v>
      </c>
      <c r="Z39" s="88">
        <v>123.87153625488281</v>
      </c>
      <c r="AA39" s="88">
        <v>18.15863800048828</v>
      </c>
      <c r="AB39" s="88">
        <v>51.562503814697266</v>
      </c>
      <c r="AC39" s="88">
        <v>50</v>
      </c>
      <c r="AD39" s="88">
        <v>123.80208587646484</v>
      </c>
      <c r="AE39" s="79">
        <v>15.181929588317871</v>
      </c>
      <c r="AF39" s="79">
        <v>18.80967903137207</v>
      </c>
      <c r="AG39" s="79">
        <v>199.3000030517578</v>
      </c>
      <c r="AH39" s="79">
        <v>0</v>
      </c>
      <c r="AI39" s="79">
        <v>0</v>
      </c>
      <c r="AJ39" s="79"/>
      <c r="AK39" s="79">
        <v>67.63961029052734</v>
      </c>
      <c r="AL39" s="81">
        <v>53.36227035522461</v>
      </c>
      <c r="AM39" s="83"/>
      <c r="AN39" s="80"/>
      <c r="AO39" s="79"/>
      <c r="AP39" s="79"/>
      <c r="AQ39" s="79"/>
      <c r="AR39" s="82"/>
    </row>
    <row r="40" spans="2:44" ht="13.5" customHeight="1" x14ac:dyDescent="0.25">
      <c r="B40" s="14">
        <v>0.875</v>
      </c>
      <c r="C40" s="91">
        <v>0</v>
      </c>
      <c r="D40" s="91">
        <v>6.18696219589765E-07</v>
      </c>
      <c r="E40" s="91">
        <v>43.77170181274414</v>
      </c>
      <c r="F40" s="91"/>
      <c r="G40" s="91"/>
      <c r="H40" s="91">
        <v>0</v>
      </c>
      <c r="I40" s="91">
        <v>0</v>
      </c>
      <c r="J40" s="91">
        <v>24.00716209411621</v>
      </c>
      <c r="K40" s="91">
        <v>40</v>
      </c>
      <c r="L40" s="91">
        <v>48.683448791503906</v>
      </c>
      <c r="M40" s="91">
        <v>0</v>
      </c>
      <c r="N40" s="91">
        <v>0</v>
      </c>
      <c r="O40" s="91">
        <v>25.426794052124023</v>
      </c>
      <c r="P40" s="91">
        <v>0.05000000074505806</v>
      </c>
      <c r="Q40" s="91">
        <v>0.2026909738779068</v>
      </c>
      <c r="R40" s="91">
        <v>0.00020329284598119557</v>
      </c>
      <c r="S40" s="91">
        <v>0</v>
      </c>
      <c r="T40" s="91">
        <v>0</v>
      </c>
      <c r="U40" s="108">
        <v>0</v>
      </c>
      <c r="V40" s="116">
        <v>0</v>
      </c>
      <c r="W40" s="117">
        <v>90.30309295654297</v>
      </c>
      <c r="X40" s="108">
        <v>21.987123489379883</v>
      </c>
      <c r="Y40" s="108">
        <v>50</v>
      </c>
      <c r="Z40" s="108">
        <v>0</v>
      </c>
      <c r="AA40" s="108">
        <v>18.424480438232422</v>
      </c>
      <c r="AB40" s="108">
        <v>49.2296028137207</v>
      </c>
      <c r="AC40" s="108">
        <v>50</v>
      </c>
      <c r="AD40" s="108">
        <v>123.80208587646484</v>
      </c>
      <c r="AE40" s="95">
        <v>15.035445213317871</v>
      </c>
      <c r="AF40" s="95">
        <v>18.37022590637207</v>
      </c>
      <c r="AG40" s="95"/>
      <c r="AH40" s="95">
        <v>0</v>
      </c>
      <c r="AI40" s="95">
        <v>0</v>
      </c>
      <c r="AJ40" s="95">
        <v>0</v>
      </c>
      <c r="AK40" s="95">
        <v>68.91637420654297</v>
      </c>
      <c r="AL40" s="96">
        <v>52.751739501953125</v>
      </c>
      <c r="AM40" s="118"/>
      <c r="AN40" s="109"/>
      <c r="AO40" s="95"/>
      <c r="AP40" s="95"/>
      <c r="AQ40" s="95"/>
      <c r="AR40" s="99"/>
    </row>
    <row r="41" spans="2:44" ht="13.5" customHeight="1" x14ac:dyDescent="0.25">
      <c r="B41" s="41" t="s">
        <v>271</v>
      </c>
      <c r="C41" s="91">
        <v>0</v>
      </c>
      <c r="D41" s="91">
        <v>2.86126146420429E-06</v>
      </c>
      <c r="E41" s="91">
        <v>46.71585464477539</v>
      </c>
      <c r="F41" s="91"/>
      <c r="G41" s="91"/>
      <c r="H41" s="91">
        <v>0</v>
      </c>
      <c r="I41" s="91">
        <v>0</v>
      </c>
      <c r="J41" s="91">
        <v>23.835359573364258</v>
      </c>
      <c r="K41" s="91">
        <v>40</v>
      </c>
      <c r="L41" s="91">
        <v>47.87868881225586</v>
      </c>
      <c r="M41" s="91">
        <v>0</v>
      </c>
      <c r="N41" s="91">
        <v>0</v>
      </c>
      <c r="O41" s="91">
        <v>25.490089416503906</v>
      </c>
      <c r="P41" s="91">
        <v>0.05000000074505806</v>
      </c>
      <c r="Q41" s="91">
        <v>0.18504050374031067</v>
      </c>
      <c r="R41" s="91">
        <v>0.00020079041132703424</v>
      </c>
      <c r="S41" s="91">
        <v>0</v>
      </c>
      <c r="T41" s="91">
        <v>0</v>
      </c>
      <c r="U41" s="108">
        <v>0</v>
      </c>
      <c r="V41" s="116">
        <v>0</v>
      </c>
      <c r="W41" s="117">
        <v>91.1928482055664</v>
      </c>
      <c r="X41" s="108">
        <v>21.133535385131836</v>
      </c>
      <c r="Y41" s="108">
        <v>50</v>
      </c>
      <c r="Z41" s="108">
        <v>123.88021087646484</v>
      </c>
      <c r="AA41" s="108">
        <v>18.885635375976562</v>
      </c>
      <c r="AB41" s="108">
        <v>47.97092056274414</v>
      </c>
      <c r="AC41" s="108">
        <v>50</v>
      </c>
      <c r="AD41" s="108">
        <v>123.80208587646484</v>
      </c>
      <c r="AE41" s="95">
        <v>14.469400405883789</v>
      </c>
      <c r="AF41" s="95">
        <v>18.006729125976562</v>
      </c>
      <c r="AG41" s="95"/>
      <c r="AH41" s="95">
        <v>0</v>
      </c>
      <c r="AI41" s="95">
        <v>0</v>
      </c>
      <c r="AJ41" s="95">
        <v>0</v>
      </c>
      <c r="AK41" s="95">
        <v>68.81510162353516</v>
      </c>
      <c r="AL41" s="96">
        <v>53.11053466796875</v>
      </c>
      <c r="AM41" s="118"/>
      <c r="AN41" s="109"/>
      <c r="AO41" s="95"/>
      <c r="AP41" s="95"/>
      <c r="AQ41" s="95"/>
      <c r="AR41" s="99"/>
    </row>
    <row r="42" spans="2:44" ht="13.5" customHeight="1" x14ac:dyDescent="0.25">
      <c r="B42" s="14">
        <v>0.95833333333333337</v>
      </c>
      <c r="C42" s="91">
        <v>0</v>
      </c>
      <c r="D42" s="91">
        <v>6.310939966169826E-07</v>
      </c>
      <c r="E42" s="91">
        <v>43.938079833984375</v>
      </c>
      <c r="F42" s="91"/>
      <c r="G42" s="91"/>
      <c r="H42" s="91">
        <v>0</v>
      </c>
      <c r="I42" s="91">
        <v>0</v>
      </c>
      <c r="J42" s="91">
        <v>23.645471572875977</v>
      </c>
      <c r="K42" s="91">
        <v>40</v>
      </c>
      <c r="L42" s="91">
        <v>47.59838104248047</v>
      </c>
      <c r="M42" s="91">
        <v>0</v>
      </c>
      <c r="N42" s="91">
        <v>0</v>
      </c>
      <c r="O42" s="91">
        <v>25.327329635620117</v>
      </c>
      <c r="P42" s="91">
        <v>0.05000000074505806</v>
      </c>
      <c r="Q42" s="91">
        <v>0.23148147761821747</v>
      </c>
      <c r="R42" s="91">
        <v>0.00020207976922392845</v>
      </c>
      <c r="S42" s="91">
        <v>0</v>
      </c>
      <c r="T42" s="91">
        <v>0</v>
      </c>
      <c r="U42" s="108">
        <v>0</v>
      </c>
      <c r="V42" s="116">
        <v>0</v>
      </c>
      <c r="W42" s="117">
        <v>92.64684295654297</v>
      </c>
      <c r="X42" s="108">
        <v>20.38845443725586</v>
      </c>
      <c r="Y42" s="108">
        <v>50</v>
      </c>
      <c r="Z42" s="108">
        <v>123.8758773803711</v>
      </c>
      <c r="AA42" s="108">
        <v>19.401042938232422</v>
      </c>
      <c r="AB42" s="108">
        <v>47.18424606323242</v>
      </c>
      <c r="AC42" s="108">
        <v>50</v>
      </c>
      <c r="AD42" s="108">
        <v>123.80208587646484</v>
      </c>
      <c r="AE42" s="95">
        <v>14.297597885131836</v>
      </c>
      <c r="AF42" s="95">
        <v>17.97960090637207</v>
      </c>
      <c r="AG42" s="95">
        <v>225.3000030517578</v>
      </c>
      <c r="AH42" s="95">
        <v>0</v>
      </c>
      <c r="AI42" s="95">
        <v>0</v>
      </c>
      <c r="AJ42" s="95">
        <v>0</v>
      </c>
      <c r="AK42" s="95">
        <v>68.77169799804688</v>
      </c>
      <c r="AL42" s="96">
        <v>52.39004898071289</v>
      </c>
      <c r="AM42" s="118"/>
      <c r="AN42" s="109"/>
      <c r="AO42" s="95"/>
      <c r="AP42" s="95"/>
      <c r="AQ42" s="95"/>
      <c r="AR42" s="99"/>
    </row>
    <row r="43" spans="2:44" ht="13.5" customHeight="1" x14ac:dyDescent="0.25">
      <c r="B43" s="41" t="s">
        <v>272</v>
      </c>
      <c r="C43" s="91">
        <v>0</v>
      </c>
      <c r="D43" s="91">
        <v>1.1484622746138484E-06</v>
      </c>
      <c r="E43" s="91">
        <v>42.00665283203125</v>
      </c>
      <c r="F43" s="91"/>
      <c r="G43" s="91"/>
      <c r="H43" s="91">
        <v>0</v>
      </c>
      <c r="I43" s="91">
        <v>0</v>
      </c>
      <c r="J43" s="91">
        <v>23.500795364379883</v>
      </c>
      <c r="K43" s="91">
        <v>40</v>
      </c>
      <c r="L43" s="91">
        <v>47.66167449951172</v>
      </c>
      <c r="M43" s="91">
        <v>0</v>
      </c>
      <c r="N43" s="91">
        <v>0</v>
      </c>
      <c r="O43" s="91">
        <v>25.327329635620117</v>
      </c>
      <c r="P43" s="91">
        <v>0.05000000074505806</v>
      </c>
      <c r="Q43" s="91">
        <v>0.21166087687015533</v>
      </c>
      <c r="R43" s="91">
        <v>0.00021029662457294762</v>
      </c>
      <c r="S43" s="91">
        <v>0</v>
      </c>
      <c r="T43" s="91">
        <v>0</v>
      </c>
      <c r="U43" s="108">
        <v>0</v>
      </c>
      <c r="V43" s="116">
        <v>0</v>
      </c>
      <c r="W43" s="117">
        <v>91.83666229248047</v>
      </c>
      <c r="X43" s="108">
        <v>20.13888931274414</v>
      </c>
      <c r="Y43" s="108">
        <v>50</v>
      </c>
      <c r="Z43" s="108">
        <v>123.88021087646484</v>
      </c>
      <c r="AA43" s="108">
        <v>19.95442771911621</v>
      </c>
      <c r="AB43" s="108">
        <v>46.386722564697266</v>
      </c>
      <c r="AC43" s="108">
        <v>50</v>
      </c>
      <c r="AD43" s="108">
        <v>123.80208587646484</v>
      </c>
      <c r="AE43" s="95">
        <v>14.274087905883789</v>
      </c>
      <c r="AF43" s="95">
        <v>17.97417640686035</v>
      </c>
      <c r="AG43" s="95"/>
      <c r="AH43" s="95">
        <v>0</v>
      </c>
      <c r="AI43" s="95">
        <v>0</v>
      </c>
      <c r="AJ43" s="95">
        <v>0</v>
      </c>
      <c r="AK43" s="95">
        <v>68.75</v>
      </c>
      <c r="AL43" s="96">
        <v>51.168983459472656</v>
      </c>
      <c r="AM43" s="118"/>
      <c r="AN43" s="109"/>
      <c r="AO43" s="95"/>
      <c r="AP43" s="95"/>
      <c r="AQ43" s="95"/>
      <c r="AR43" s="99"/>
    </row>
    <row r="44" spans="2:44" ht="13.5" customHeight="1" x14ac:dyDescent="0.25">
      <c r="B44" s="14">
        <v>4.1666666666666664E-2</v>
      </c>
      <c r="C44" s="91">
        <v>0</v>
      </c>
      <c r="D44" s="91">
        <v>6.884574759169482E-06</v>
      </c>
      <c r="E44" s="91">
        <v>40.002891540527344</v>
      </c>
      <c r="F44" s="91"/>
      <c r="G44" s="91"/>
      <c r="H44" s="91">
        <v>0</v>
      </c>
      <c r="I44" s="91">
        <v>0</v>
      </c>
      <c r="J44" s="91">
        <v>23.374204635620117</v>
      </c>
      <c r="K44" s="91">
        <v>40</v>
      </c>
      <c r="L44" s="91">
        <v>47.93294143676758</v>
      </c>
      <c r="M44" s="91">
        <v>0</v>
      </c>
      <c r="N44" s="91">
        <v>0</v>
      </c>
      <c r="O44" s="91">
        <v>25.155527114868164</v>
      </c>
      <c r="P44" s="91">
        <v>0.05000000074505806</v>
      </c>
      <c r="Q44" s="91">
        <v>0.2200520783662796</v>
      </c>
      <c r="R44" s="91">
        <v>0.00020790862618014216</v>
      </c>
      <c r="S44" s="91">
        <v>0</v>
      </c>
      <c r="T44" s="91">
        <v>0</v>
      </c>
      <c r="U44" s="108">
        <v>0</v>
      </c>
      <c r="V44" s="116">
        <v>0</v>
      </c>
      <c r="W44" s="117">
        <v>92.6576919555664</v>
      </c>
      <c r="X44" s="108">
        <v>20.055700302124023</v>
      </c>
      <c r="Y44" s="108">
        <v>50</v>
      </c>
      <c r="Z44" s="108">
        <v>123.87153625488281</v>
      </c>
      <c r="AA44" s="108">
        <v>20.51866340637207</v>
      </c>
      <c r="AB44" s="108">
        <v>45.605472564697266</v>
      </c>
      <c r="AC44" s="108">
        <v>50</v>
      </c>
      <c r="AD44" s="108">
        <v>123.7977523803711</v>
      </c>
      <c r="AE44" s="95">
        <v>14.140262603759766</v>
      </c>
      <c r="AF44" s="95">
        <v>18.1640625</v>
      </c>
      <c r="AG44" s="95"/>
      <c r="AH44" s="95">
        <v>0</v>
      </c>
      <c r="AI44" s="95">
        <v>0</v>
      </c>
      <c r="AJ44" s="95">
        <v>0</v>
      </c>
      <c r="AK44" s="95">
        <v>51.81568145751953</v>
      </c>
      <c r="AL44" s="96">
        <v>49.918983459472656</v>
      </c>
      <c r="AM44" s="118"/>
      <c r="AN44" s="109"/>
      <c r="AO44" s="95"/>
      <c r="AP44" s="95"/>
      <c r="AQ44" s="95"/>
      <c r="AR44" s="99"/>
    </row>
    <row r="45" spans="2:44" ht="13.5" customHeight="1" x14ac:dyDescent="0.25">
      <c r="B45" s="41" t="s">
        <v>273</v>
      </c>
      <c r="C45" s="91">
        <v>0</v>
      </c>
      <c r="D45" s="91">
        <v>1.835823049134433E-08</v>
      </c>
      <c r="E45" s="91">
        <v>42.180267333984375</v>
      </c>
      <c r="F45" s="91"/>
      <c r="G45" s="91"/>
      <c r="H45" s="91">
        <v>0</v>
      </c>
      <c r="I45" s="91">
        <v>0</v>
      </c>
      <c r="J45" s="91">
        <v>23.202402114868164</v>
      </c>
      <c r="K45" s="91">
        <v>40</v>
      </c>
      <c r="L45" s="91">
        <v>47.761138916015625</v>
      </c>
      <c r="M45" s="91">
        <v>0</v>
      </c>
      <c r="N45" s="91">
        <v>0</v>
      </c>
      <c r="O45" s="91">
        <v>24.920427322387695</v>
      </c>
      <c r="P45" s="91">
        <v>0.05000000074505806</v>
      </c>
      <c r="Q45" s="91">
        <v>0.17216435074806213</v>
      </c>
      <c r="R45" s="91">
        <v>0.0002073936484521255</v>
      </c>
      <c r="S45" s="91">
        <v>0</v>
      </c>
      <c r="T45" s="91">
        <v>0</v>
      </c>
      <c r="U45" s="108">
        <v>0</v>
      </c>
      <c r="V45" s="116">
        <v>0</v>
      </c>
      <c r="W45" s="117">
        <v>90.47309112548828</v>
      </c>
      <c r="X45" s="108">
        <v>19.860387802124023</v>
      </c>
      <c r="Y45" s="108">
        <v>50</v>
      </c>
      <c r="Z45" s="108">
        <v>123.8758773803711</v>
      </c>
      <c r="AA45" s="108">
        <v>21.082901000976562</v>
      </c>
      <c r="AB45" s="108">
        <v>45.13888931274414</v>
      </c>
      <c r="AC45" s="108">
        <v>50</v>
      </c>
      <c r="AD45" s="108">
        <v>123.80208587646484</v>
      </c>
      <c r="AE45" s="95">
        <v>14.084200859069824</v>
      </c>
      <c r="AF45" s="95">
        <v>18.240018844604492</v>
      </c>
      <c r="AG45" s="95"/>
      <c r="AH45" s="95">
        <v>0</v>
      </c>
      <c r="AI45" s="95">
        <v>0</v>
      </c>
      <c r="AJ45" s="95">
        <v>0</v>
      </c>
      <c r="AK45" s="95">
        <v>51.65291976928711</v>
      </c>
      <c r="AL45" s="96">
        <v>49.22743225097656</v>
      </c>
      <c r="AM45" s="118"/>
      <c r="AN45" s="109"/>
      <c r="AO45" s="95"/>
      <c r="AP45" s="95"/>
      <c r="AQ45" s="95"/>
      <c r="AR45" s="99"/>
    </row>
    <row r="46" spans="2:44" ht="13.5" customHeight="1" x14ac:dyDescent="0.25">
      <c r="B46" s="14">
        <v>0.125</v>
      </c>
      <c r="C46" s="91">
        <v>0</v>
      </c>
      <c r="D46" s="91">
        <v>2.448320401526871E-06</v>
      </c>
      <c r="E46" s="91">
        <v>39.655670166015625</v>
      </c>
      <c r="F46" s="91"/>
      <c r="G46" s="91"/>
      <c r="H46" s="91">
        <v>0</v>
      </c>
      <c r="I46" s="91">
        <v>0</v>
      </c>
      <c r="J46" s="91">
        <v>22.940176010131836</v>
      </c>
      <c r="K46" s="91">
        <v>40</v>
      </c>
      <c r="L46" s="91">
        <v>47.03776168823242</v>
      </c>
      <c r="M46" s="91">
        <v>0</v>
      </c>
      <c r="N46" s="91">
        <v>0</v>
      </c>
      <c r="O46" s="91">
        <v>24.296512603759766</v>
      </c>
      <c r="P46" s="91">
        <v>0.05000000074505806</v>
      </c>
      <c r="Q46" s="91">
        <v>0.2367621511220932</v>
      </c>
      <c r="R46" s="91">
        <v>0.00019043732027057558</v>
      </c>
      <c r="S46" s="91">
        <v>0</v>
      </c>
      <c r="T46" s="91">
        <v>0</v>
      </c>
      <c r="U46" s="108">
        <v>0</v>
      </c>
      <c r="V46" s="116">
        <v>0</v>
      </c>
      <c r="W46" s="117">
        <v>91.7498550415039</v>
      </c>
      <c r="X46" s="108">
        <v>19.856769561767578</v>
      </c>
      <c r="Y46" s="108">
        <v>50</v>
      </c>
      <c r="Z46" s="108">
        <v>123.88021087646484</v>
      </c>
      <c r="AA46" s="108">
        <v>22.11371612548828</v>
      </c>
      <c r="AB46" s="108">
        <v>44.4932746887207</v>
      </c>
      <c r="AC46" s="108">
        <v>50</v>
      </c>
      <c r="AD46" s="108">
        <v>123.8107681274414</v>
      </c>
      <c r="AE46" s="95">
        <v>13.832826614379883</v>
      </c>
      <c r="AF46" s="95">
        <v>18.473308563232422</v>
      </c>
      <c r="AG46" s="95"/>
      <c r="AH46" s="95">
        <v>0</v>
      </c>
      <c r="AI46" s="95">
        <v>0</v>
      </c>
      <c r="AJ46" s="95">
        <v>0</v>
      </c>
      <c r="AK46" s="95">
        <v>51.5625</v>
      </c>
      <c r="AL46" s="96">
        <v>48.58796691894531</v>
      </c>
      <c r="AM46" s="118"/>
      <c r="AN46" s="109"/>
      <c r="AO46" s="95"/>
      <c r="AP46" s="95"/>
      <c r="AQ46" s="95"/>
      <c r="AR46" s="99"/>
    </row>
    <row r="47" spans="2:44" ht="13.5" customHeight="1" x14ac:dyDescent="0.25">
      <c r="B47" s="14">
        <v>0.16666666666666666</v>
      </c>
      <c r="C47" s="91">
        <v>0</v>
      </c>
      <c r="D47" s="91">
        <v>0</v>
      </c>
      <c r="E47" s="91">
        <v>35.315391540527344</v>
      </c>
      <c r="F47" s="91"/>
      <c r="G47" s="91"/>
      <c r="H47" s="91">
        <v>0</v>
      </c>
      <c r="I47" s="91">
        <v>0</v>
      </c>
      <c r="J47" s="91">
        <v>22.65082550048828</v>
      </c>
      <c r="K47" s="91">
        <v>40</v>
      </c>
      <c r="L47" s="91">
        <v>46.694156646728516</v>
      </c>
      <c r="M47" s="91">
        <v>0</v>
      </c>
      <c r="N47" s="91">
        <v>0</v>
      </c>
      <c r="O47" s="91">
        <v>23.970993041992188</v>
      </c>
      <c r="P47" s="91">
        <v>0.05000000074505806</v>
      </c>
      <c r="Q47" s="91">
        <v>0.21346932649612427</v>
      </c>
      <c r="R47" s="91">
        <v>0.00021128845401108265</v>
      </c>
      <c r="S47" s="91">
        <v>0</v>
      </c>
      <c r="T47" s="91">
        <v>0</v>
      </c>
      <c r="U47" s="108">
        <v>0</v>
      </c>
      <c r="V47" s="116">
        <v>0</v>
      </c>
      <c r="W47" s="117">
        <v>92.4298324584961</v>
      </c>
      <c r="X47" s="108">
        <v>20.30164909362793</v>
      </c>
      <c r="Y47" s="108">
        <v>50</v>
      </c>
      <c r="Z47" s="108">
        <v>123.8758773803711</v>
      </c>
      <c r="AA47" s="108">
        <v>22.450088500976562</v>
      </c>
      <c r="AB47" s="108">
        <v>43.96158981323242</v>
      </c>
      <c r="AC47" s="108">
        <v>50</v>
      </c>
      <c r="AD47" s="108">
        <v>123.80642700195312</v>
      </c>
      <c r="AE47" s="95">
        <v>13.785806655883789</v>
      </c>
      <c r="AF47" s="95">
        <v>18.45703125</v>
      </c>
      <c r="AG47" s="95"/>
      <c r="AH47" s="95">
        <v>0</v>
      </c>
      <c r="AI47" s="95">
        <v>0</v>
      </c>
      <c r="AJ47" s="95">
        <v>0</v>
      </c>
      <c r="AK47" s="95">
        <v>51.5046272277832</v>
      </c>
      <c r="AL47" s="96">
        <v>48.139469146728516</v>
      </c>
      <c r="AM47" s="118"/>
      <c r="AN47" s="109"/>
      <c r="AO47" s="95"/>
      <c r="AP47" s="95"/>
      <c r="AQ47" s="95"/>
      <c r="AR47" s="99"/>
    </row>
    <row r="48" spans="2:44" ht="13.5" customHeight="1" x14ac:dyDescent="0.25">
      <c r="B48" s="14">
        <v>0.20833333333333334</v>
      </c>
      <c r="C48" s="91">
        <v>0</v>
      </c>
      <c r="D48" s="91">
        <v>7.860660389269469E-07</v>
      </c>
      <c r="E48" s="91">
        <v>45.515045166015625</v>
      </c>
      <c r="F48" s="91"/>
      <c r="G48" s="91"/>
      <c r="H48" s="91">
        <v>0</v>
      </c>
      <c r="I48" s="91">
        <v>0</v>
      </c>
      <c r="J48" s="91">
        <v>22.361473083496094</v>
      </c>
      <c r="K48" s="91">
        <v>40</v>
      </c>
      <c r="L48" s="91">
        <v>46.46809768676758</v>
      </c>
      <c r="M48" s="91">
        <v>0</v>
      </c>
      <c r="N48" s="91">
        <v>0</v>
      </c>
      <c r="O48" s="91">
        <v>23.84440040588379</v>
      </c>
      <c r="P48" s="91">
        <v>0.05000000074505806</v>
      </c>
      <c r="Q48" s="91">
        <v>0.22084780037403107</v>
      </c>
      <c r="R48" s="91">
        <v>0.00020980072440579534</v>
      </c>
      <c r="S48" s="91">
        <v>0</v>
      </c>
      <c r="T48" s="91">
        <v>0</v>
      </c>
      <c r="U48" s="108">
        <v>0</v>
      </c>
      <c r="V48" s="116">
        <v>0</v>
      </c>
      <c r="W48" s="117">
        <v>91.17838287353516</v>
      </c>
      <c r="X48" s="108">
        <v>20.623552322387695</v>
      </c>
      <c r="Y48" s="108">
        <v>50</v>
      </c>
      <c r="Z48" s="108">
        <v>123.88021087646484</v>
      </c>
      <c r="AA48" s="108">
        <v>22.791885375976562</v>
      </c>
      <c r="AB48" s="108">
        <v>43.218318939208984</v>
      </c>
      <c r="AC48" s="108">
        <v>50</v>
      </c>
      <c r="AD48" s="108">
        <v>123.80642700195312</v>
      </c>
      <c r="AE48" s="95">
        <v>13.604962348937988</v>
      </c>
      <c r="AF48" s="95">
        <v>18.310546875</v>
      </c>
      <c r="AG48" s="95"/>
      <c r="AH48" s="95">
        <v>0</v>
      </c>
      <c r="AI48" s="95">
        <v>0</v>
      </c>
      <c r="AJ48" s="95">
        <v>0</v>
      </c>
      <c r="AK48" s="95">
        <v>51.627601623535156</v>
      </c>
      <c r="AL48" s="96">
        <v>47.50579071044922</v>
      </c>
      <c r="AM48" s="118"/>
      <c r="AN48" s="109"/>
      <c r="AO48" s="95"/>
      <c r="AP48" s="95"/>
      <c r="AQ48" s="95"/>
      <c r="AR48" s="99"/>
    </row>
    <row r="49" spans="2:44" ht="13.5" customHeight="1" x14ac:dyDescent="0.25">
      <c r="B49" s="14">
        <v>0.25</v>
      </c>
      <c r="C49" s="91">
        <v>0</v>
      </c>
      <c r="D49" s="91">
        <v>2.5382041712873615E-06</v>
      </c>
      <c r="E49" s="91">
        <v>43.14236068725586</v>
      </c>
      <c r="F49" s="91"/>
      <c r="G49" s="91"/>
      <c r="H49" s="91">
        <v>0</v>
      </c>
      <c r="I49" s="91">
        <v>0</v>
      </c>
      <c r="J49" s="91">
        <v>22.13541603088379</v>
      </c>
      <c r="K49" s="91">
        <v>40</v>
      </c>
      <c r="L49" s="91">
        <v>47.39040756225586</v>
      </c>
      <c r="M49" s="91">
        <v>0</v>
      </c>
      <c r="N49" s="91">
        <v>0</v>
      </c>
      <c r="O49" s="91">
        <v>23.907695770263672</v>
      </c>
      <c r="P49" s="91">
        <v>0.05000000074505806</v>
      </c>
      <c r="Q49" s="91">
        <v>0.2157118022441864</v>
      </c>
      <c r="R49" s="91">
        <v>0.0002102279686369002</v>
      </c>
      <c r="S49" s="91">
        <v>0</v>
      </c>
      <c r="T49" s="91">
        <v>0</v>
      </c>
      <c r="U49" s="108">
        <v>0</v>
      </c>
      <c r="V49" s="116">
        <v>0</v>
      </c>
      <c r="W49" s="117">
        <v>91.32305908203125</v>
      </c>
      <c r="X49" s="108">
        <v>20.68142318725586</v>
      </c>
      <c r="Y49" s="108">
        <v>50</v>
      </c>
      <c r="Z49" s="108">
        <v>123.88021087646484</v>
      </c>
      <c r="AA49" s="108">
        <v>25.157337188720703</v>
      </c>
      <c r="AB49" s="108">
        <v>46.0069465637207</v>
      </c>
      <c r="AC49" s="108">
        <v>50</v>
      </c>
      <c r="AD49" s="108">
        <v>123.80208587646484</v>
      </c>
      <c r="AE49" s="95">
        <v>13.286675453186035</v>
      </c>
      <c r="AF49" s="95">
        <v>18.08810806274414</v>
      </c>
      <c r="AG49" s="95"/>
      <c r="AH49" s="95">
        <v>10.15625</v>
      </c>
      <c r="AI49" s="95">
        <v>0</v>
      </c>
      <c r="AJ49" s="95">
        <v>0</v>
      </c>
      <c r="AK49" s="95">
        <v>51.59505081176758</v>
      </c>
      <c r="AL49" s="96">
        <v>46.950233459472656</v>
      </c>
      <c r="AM49" s="118"/>
      <c r="AN49" s="109"/>
      <c r="AO49" s="95"/>
      <c r="AP49" s="95"/>
      <c r="AQ49" s="95"/>
      <c r="AR49" s="99"/>
    </row>
    <row r="50" spans="2:44" ht="13.5" customHeight="1" x14ac:dyDescent="0.25">
      <c r="B50" s="14">
        <v>0.29166666666666669</v>
      </c>
      <c r="C50" s="91">
        <v>0</v>
      </c>
      <c r="D50" s="91">
        <v>4.12225716672765E-07</v>
      </c>
      <c r="E50" s="91">
        <v>40.89988327026367</v>
      </c>
      <c r="F50" s="91"/>
      <c r="G50" s="91"/>
      <c r="H50" s="91">
        <v>0</v>
      </c>
      <c r="I50" s="91">
        <v>0</v>
      </c>
      <c r="J50" s="91">
        <v>21.963613510131836</v>
      </c>
      <c r="K50" s="91">
        <v>40</v>
      </c>
      <c r="L50" s="91">
        <v>47.209564208984375</v>
      </c>
      <c r="M50" s="91">
        <v>0</v>
      </c>
      <c r="N50" s="91">
        <v>0</v>
      </c>
      <c r="O50" s="91">
        <v>23.57313346862793</v>
      </c>
      <c r="P50" s="91">
        <v>0.05000000074505806</v>
      </c>
      <c r="Q50" s="91">
        <v>0.10691551119089127</v>
      </c>
      <c r="R50" s="91">
        <v>0.00014604187163058668</v>
      </c>
      <c r="S50" s="91">
        <v>0</v>
      </c>
      <c r="T50" s="91">
        <v>0</v>
      </c>
      <c r="U50" s="108">
        <v>0</v>
      </c>
      <c r="V50" s="116">
        <v>0</v>
      </c>
      <c r="W50" s="117">
        <v>91.24710845947266</v>
      </c>
      <c r="X50" s="108">
        <v>19.466144561767578</v>
      </c>
      <c r="Y50" s="108">
        <v>50</v>
      </c>
      <c r="Z50" s="108">
        <v>123.88021087646484</v>
      </c>
      <c r="AA50" s="108">
        <v>29.48676300048828</v>
      </c>
      <c r="AB50" s="108">
        <v>50.689022064208984</v>
      </c>
      <c r="AC50" s="108">
        <v>50</v>
      </c>
      <c r="AD50" s="108">
        <v>123.80208587646484</v>
      </c>
      <c r="AE50" s="95">
        <v>13.53624153137207</v>
      </c>
      <c r="AF50" s="95">
        <v>18.66319465637207</v>
      </c>
      <c r="AG50" s="95"/>
      <c r="AH50" s="95">
        <v>0</v>
      </c>
      <c r="AI50" s="95">
        <v>0</v>
      </c>
      <c r="AJ50" s="95">
        <v>0</v>
      </c>
      <c r="AK50" s="95">
        <v>51.52271270751953</v>
      </c>
      <c r="AL50" s="96">
        <v>46.31076431274414</v>
      </c>
      <c r="AM50" s="118"/>
      <c r="AN50" s="109"/>
      <c r="AO50" s="95"/>
      <c r="AP50" s="95"/>
      <c r="AQ50" s="95"/>
      <c r="AR50" s="99"/>
    </row>
    <row r="51" spans="2:44" ht="13.5" customHeight="1" x14ac:dyDescent="0.25">
      <c r="B51" s="42">
        <v>0.33333333333333331</v>
      </c>
      <c r="C51" s="100"/>
      <c r="D51" s="100"/>
      <c r="E51" s="100"/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11"/>
      <c r="V51" s="119"/>
      <c r="W51" s="120"/>
      <c r="X51" s="111"/>
      <c r="Y51" s="111"/>
      <c r="Z51" s="111"/>
      <c r="AA51" s="111"/>
      <c r="AB51" s="111"/>
      <c r="AC51" s="111"/>
      <c r="AD51" s="111"/>
      <c r="AE51" s="104"/>
      <c r="AF51" s="104"/>
      <c r="AG51" s="104"/>
      <c r="AH51" s="104"/>
      <c r="AI51" s="104"/>
      <c r="AJ51" s="104"/>
      <c r="AK51" s="104"/>
      <c r="AL51" s="105"/>
      <c r="AM51" s="121"/>
      <c r="AN51" s="112"/>
      <c r="AO51" s="104"/>
      <c r="AP51" s="104"/>
      <c r="AQ51" s="104"/>
      <c r="AR51" s="115"/>
    </row>
    <row r="52" spans="2:44" ht="13.5" customHeight="1" x14ac:dyDescent="0.25">
      <c r="B52" s="184" t="s">
        <v>471</v>
      </c>
      <c r="C52" s="185"/>
      <c r="D52" s="9" t="s">
        <v>274</v>
      </c>
      <c r="E52" s="161" t="s">
        <v>20</v>
      </c>
      <c r="F52" s="164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165"/>
      <c r="R52" s="165"/>
      <c r="S52" s="165"/>
      <c r="T52" s="165"/>
      <c r="U52" s="165"/>
      <c r="V52" s="165"/>
      <c r="W52" s="165"/>
      <c r="X52" s="165"/>
      <c r="Y52" s="165"/>
      <c r="Z52" s="165"/>
      <c r="AA52" s="165"/>
      <c r="AB52" s="165"/>
      <c r="AC52" s="165"/>
      <c r="AD52" s="165"/>
      <c r="AE52" s="165"/>
      <c r="AF52" s="165"/>
      <c r="AG52" s="165"/>
      <c r="AH52" s="165"/>
      <c r="AI52" s="165"/>
      <c r="AJ52" s="165"/>
      <c r="AK52" s="165"/>
      <c r="AL52" s="165"/>
      <c r="AM52" s="165"/>
      <c r="AN52" s="165"/>
      <c r="AO52" s="166"/>
      <c r="AP52" s="166"/>
      <c r="AQ52" s="166"/>
      <c r="AR52" s="167"/>
    </row>
    <row r="53" spans="2:44" ht="13.5" customHeight="1" x14ac:dyDescent="0.25">
      <c r="B53" s="160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8"/>
      <c r="AP53" s="168"/>
      <c r="AQ53" s="168"/>
      <c r="AR53" s="169"/>
    </row>
    <row r="54" spans="2:44" ht="13.5" customHeight="1" thickBot="1" x14ac:dyDescent="0.3">
      <c r="B54" s="172"/>
      <c r="C54" s="163"/>
      <c r="D54" s="163"/>
      <c r="E54" s="163"/>
      <c r="F54" s="163"/>
      <c r="G54" s="163"/>
      <c r="H54" s="163"/>
      <c r="I54" s="163"/>
      <c r="J54" s="163"/>
      <c r="K54" s="163"/>
      <c r="L54" s="163"/>
      <c r="M54" s="163"/>
      <c r="N54" s="163"/>
      <c r="O54" s="163"/>
      <c r="P54" s="163"/>
      <c r="Q54" s="163"/>
      <c r="R54" s="163"/>
      <c r="S54" s="163"/>
      <c r="T54" s="163"/>
      <c r="U54" s="163"/>
      <c r="V54" s="163"/>
      <c r="W54" s="163"/>
      <c r="X54" s="163"/>
      <c r="Y54" s="163"/>
      <c r="Z54" s="163"/>
      <c r="AA54" s="163"/>
      <c r="AB54" s="163"/>
      <c r="AC54" s="163"/>
      <c r="AD54" s="163"/>
      <c r="AE54" s="163"/>
      <c r="AF54" s="163"/>
      <c r="AG54" s="163"/>
      <c r="AH54" s="163"/>
      <c r="AI54" s="163"/>
      <c r="AJ54" s="163"/>
      <c r="AK54" s="163"/>
      <c r="AL54" s="163"/>
      <c r="AM54" s="163"/>
      <c r="AN54" s="163"/>
      <c r="AO54" s="170"/>
      <c r="AP54" s="170"/>
      <c r="AQ54" s="170"/>
      <c r="AR54" s="171"/>
    </row>
    <row r="55" spans="2:44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</sheetData>
  <mergeCells count="50">
    <mergeCell ref="B2:AR2"/>
    <mergeCell ref="B3:B5"/>
    <mergeCell ref="C3:H3"/>
    <mergeCell ref="I3:P3"/>
    <mergeCell ref="Q3:S3"/>
    <mergeCell ref="T3:W3"/>
    <mergeCell ref="X3:Y3"/>
    <mergeCell ref="Z3:AA3"/>
    <mergeCell ref="AC3:AD3"/>
    <mergeCell ref="AE3:AK3"/>
    <mergeCell ref="AL3:AN3"/>
    <mergeCell ref="AO3:AR3"/>
    <mergeCell ref="I4:J4"/>
    <mergeCell ref="O4:P4"/>
    <mergeCell ref="Q4:R4"/>
    <mergeCell ref="U4:V4"/>
    <mergeCell ref="AE4:AF4"/>
    <mergeCell ref="AG4:AH4"/>
    <mergeCell ref="AL4:AM4"/>
    <mergeCell ref="AQ4:AR4"/>
    <mergeCell ref="B19:B21"/>
    <mergeCell ref="E19:G19"/>
    <mergeCell ref="H19:L19"/>
    <mergeCell ref="M19:Q19"/>
    <mergeCell ref="R19:AF19"/>
    <mergeCell ref="AI19:AM19"/>
    <mergeCell ref="AN19:AO19"/>
    <mergeCell ref="AP19:AR19"/>
    <mergeCell ref="F20:G20"/>
    <mergeCell ref="AD20:AE20"/>
    <mergeCell ref="AI20:AJ20"/>
    <mergeCell ref="AK20:AL20"/>
    <mergeCell ref="AG19:AH19"/>
    <mergeCell ref="C35:V35"/>
    <mergeCell ref="W35:AJ35"/>
    <mergeCell ref="AM35:AN35"/>
    <mergeCell ref="H36:I36"/>
    <mergeCell ref="M36:N36"/>
    <mergeCell ref="U36:V36"/>
    <mergeCell ref="AH36:AJ36"/>
    <mergeCell ref="Q36:R36"/>
    <mergeCell ref="S36:T36"/>
    <mergeCell ref="B52:C52"/>
    <mergeCell ref="E52:E54"/>
    <mergeCell ref="F52:AR54"/>
    <mergeCell ref="B53:D54"/>
    <mergeCell ref="B35:B38"/>
    <mergeCell ref="AK35:AL35"/>
    <mergeCell ref="C36:D36"/>
    <mergeCell ref="E36:G36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BG548"/>
  <sheetViews>
    <sheetView zoomScale="150" zoomScaleNormal="150" workbookViewId="0">
      <selection activeCell="M69" sqref="M69"/>
    </sheetView>
  </sheetViews>
  <sheetFormatPr defaultRowHeight="8" x14ac:dyDescent="0.25"/>
  <cols>
    <col min="1" max="1" width="0.81640625" style="6" customWidth="1"/>
    <col min="2" max="58" width="3.54296875" style="6" customWidth="1"/>
    <col min="59" max="293" width="9" style="6"/>
    <col min="294" max="294" width="2.08984375" style="6" customWidth="1"/>
    <col min="295" max="295" width="5.81640625" style="6" customWidth="1"/>
    <col min="296" max="296" width="6.81640625" style="6" customWidth="1"/>
    <col min="297" max="297" width="6.08984375" style="6" customWidth="1"/>
    <col min="298" max="298" width="6.81640625" style="6" customWidth="1"/>
    <col min="299" max="299" width="10.81640625" style="6" customWidth="1"/>
    <col min="300" max="300" width="11.54296875" style="6" customWidth="1"/>
    <col min="301" max="301" width="5.54296875" style="6" customWidth="1"/>
    <col min="302" max="302" width="6" style="6" customWidth="1"/>
    <col min="303" max="303" width="6.54296875" style="6" customWidth="1"/>
    <col min="304" max="304" width="11.08984375" style="6" customWidth="1"/>
    <col min="305" max="305" width="7.08984375" style="6" customWidth="1"/>
    <col min="306" max="307" width="5.81640625" style="6" customWidth="1"/>
    <col min="308" max="308" width="6" style="6" customWidth="1"/>
    <col min="309" max="309" width="6.81640625" style="6" customWidth="1"/>
    <col min="310" max="310" width="6" style="6" customWidth="1"/>
    <col min="311" max="311" width="18.08984375" style="6" customWidth="1"/>
    <col min="312" max="549" width="9" style="6"/>
    <col min="550" max="550" width="2.08984375" style="6" customWidth="1"/>
    <col min="551" max="551" width="5.81640625" style="6" customWidth="1"/>
    <col min="552" max="552" width="6.81640625" style="6" customWidth="1"/>
    <col min="553" max="553" width="6.08984375" style="6" customWidth="1"/>
    <col min="554" max="554" width="6.81640625" style="6" customWidth="1"/>
    <col min="555" max="555" width="10.81640625" style="6" customWidth="1"/>
    <col min="556" max="556" width="11.54296875" style="6" customWidth="1"/>
    <col min="557" max="557" width="5.54296875" style="6" customWidth="1"/>
    <col min="558" max="558" width="6" style="6" customWidth="1"/>
    <col min="559" max="559" width="6.54296875" style="6" customWidth="1"/>
    <col min="560" max="560" width="11.08984375" style="6" customWidth="1"/>
    <col min="561" max="561" width="7.08984375" style="6" customWidth="1"/>
    <col min="562" max="563" width="5.81640625" style="6" customWidth="1"/>
    <col min="564" max="564" width="6" style="6" customWidth="1"/>
    <col min="565" max="565" width="6.81640625" style="6" customWidth="1"/>
    <col min="566" max="566" width="6" style="6" customWidth="1"/>
    <col min="567" max="567" width="18.08984375" style="6" customWidth="1"/>
    <col min="568" max="805" width="9" style="6"/>
    <col min="806" max="806" width="2.08984375" style="6" customWidth="1"/>
    <col min="807" max="807" width="5.81640625" style="6" customWidth="1"/>
    <col min="808" max="808" width="6.81640625" style="6" customWidth="1"/>
    <col min="809" max="809" width="6.08984375" style="6" customWidth="1"/>
    <col min="810" max="810" width="6.81640625" style="6" customWidth="1"/>
    <col min="811" max="811" width="10.81640625" style="6" customWidth="1"/>
    <col min="812" max="812" width="11.54296875" style="6" customWidth="1"/>
    <col min="813" max="813" width="5.54296875" style="6" customWidth="1"/>
    <col min="814" max="814" width="6" style="6" customWidth="1"/>
    <col min="815" max="815" width="6.54296875" style="6" customWidth="1"/>
    <col min="816" max="816" width="11.08984375" style="6" customWidth="1"/>
    <col min="817" max="817" width="7.08984375" style="6" customWidth="1"/>
    <col min="818" max="819" width="5.81640625" style="6" customWidth="1"/>
    <col min="820" max="820" width="6" style="6" customWidth="1"/>
    <col min="821" max="821" width="6.81640625" style="6" customWidth="1"/>
    <col min="822" max="822" width="6" style="6" customWidth="1"/>
    <col min="823" max="823" width="18.08984375" style="6" customWidth="1"/>
    <col min="824" max="1061" width="9" style="6"/>
    <col min="1062" max="1062" width="2.08984375" style="6" customWidth="1"/>
    <col min="1063" max="1063" width="5.81640625" style="6" customWidth="1"/>
    <col min="1064" max="1064" width="6.81640625" style="6" customWidth="1"/>
    <col min="1065" max="1065" width="6.08984375" style="6" customWidth="1"/>
    <col min="1066" max="1066" width="6.81640625" style="6" customWidth="1"/>
    <col min="1067" max="1067" width="10.81640625" style="6" customWidth="1"/>
    <col min="1068" max="1068" width="11.54296875" style="6" customWidth="1"/>
    <col min="1069" max="1069" width="5.54296875" style="6" customWidth="1"/>
    <col min="1070" max="1070" width="6" style="6" customWidth="1"/>
    <col min="1071" max="1071" width="6.54296875" style="6" customWidth="1"/>
    <col min="1072" max="1072" width="11.08984375" style="6" customWidth="1"/>
    <col min="1073" max="1073" width="7.08984375" style="6" customWidth="1"/>
    <col min="1074" max="1075" width="5.81640625" style="6" customWidth="1"/>
    <col min="1076" max="1076" width="6" style="6" customWidth="1"/>
    <col min="1077" max="1077" width="6.81640625" style="6" customWidth="1"/>
    <col min="1078" max="1078" width="6" style="6" customWidth="1"/>
    <col min="1079" max="1079" width="18.08984375" style="6" customWidth="1"/>
    <col min="1080" max="1317" width="9" style="6"/>
    <col min="1318" max="1318" width="2.08984375" style="6" customWidth="1"/>
    <col min="1319" max="1319" width="5.81640625" style="6" customWidth="1"/>
    <col min="1320" max="1320" width="6.81640625" style="6" customWidth="1"/>
    <col min="1321" max="1321" width="6.08984375" style="6" customWidth="1"/>
    <col min="1322" max="1322" width="6.81640625" style="6" customWidth="1"/>
    <col min="1323" max="1323" width="10.81640625" style="6" customWidth="1"/>
    <col min="1324" max="1324" width="11.54296875" style="6" customWidth="1"/>
    <col min="1325" max="1325" width="5.54296875" style="6" customWidth="1"/>
    <col min="1326" max="1326" width="6" style="6" customWidth="1"/>
    <col min="1327" max="1327" width="6.54296875" style="6" customWidth="1"/>
    <col min="1328" max="1328" width="11.08984375" style="6" customWidth="1"/>
    <col min="1329" max="1329" width="7.08984375" style="6" customWidth="1"/>
    <col min="1330" max="1331" width="5.81640625" style="6" customWidth="1"/>
    <col min="1332" max="1332" width="6" style="6" customWidth="1"/>
    <col min="1333" max="1333" width="6.81640625" style="6" customWidth="1"/>
    <col min="1334" max="1334" width="6" style="6" customWidth="1"/>
    <col min="1335" max="1335" width="18.08984375" style="6" customWidth="1"/>
    <col min="1336" max="1573" width="9" style="6"/>
    <col min="1574" max="1574" width="2.08984375" style="6" customWidth="1"/>
    <col min="1575" max="1575" width="5.81640625" style="6" customWidth="1"/>
    <col min="1576" max="1576" width="6.81640625" style="6" customWidth="1"/>
    <col min="1577" max="1577" width="6.08984375" style="6" customWidth="1"/>
    <col min="1578" max="1578" width="6.81640625" style="6" customWidth="1"/>
    <col min="1579" max="1579" width="10.81640625" style="6" customWidth="1"/>
    <col min="1580" max="1580" width="11.54296875" style="6" customWidth="1"/>
    <col min="1581" max="1581" width="5.54296875" style="6" customWidth="1"/>
    <col min="1582" max="1582" width="6" style="6" customWidth="1"/>
    <col min="1583" max="1583" width="6.54296875" style="6" customWidth="1"/>
    <col min="1584" max="1584" width="11.08984375" style="6" customWidth="1"/>
    <col min="1585" max="1585" width="7.08984375" style="6" customWidth="1"/>
    <col min="1586" max="1587" width="5.81640625" style="6" customWidth="1"/>
    <col min="1588" max="1588" width="6" style="6" customWidth="1"/>
    <col min="1589" max="1589" width="6.81640625" style="6" customWidth="1"/>
    <col min="1590" max="1590" width="6" style="6" customWidth="1"/>
    <col min="1591" max="1591" width="18.08984375" style="6" customWidth="1"/>
    <col min="1592" max="1829" width="9" style="6"/>
    <col min="1830" max="1830" width="2.08984375" style="6" customWidth="1"/>
    <col min="1831" max="1831" width="5.81640625" style="6" customWidth="1"/>
    <col min="1832" max="1832" width="6.81640625" style="6" customWidth="1"/>
    <col min="1833" max="1833" width="6.08984375" style="6" customWidth="1"/>
    <col min="1834" max="1834" width="6.81640625" style="6" customWidth="1"/>
    <col min="1835" max="1835" width="10.81640625" style="6" customWidth="1"/>
    <col min="1836" max="1836" width="11.54296875" style="6" customWidth="1"/>
    <col min="1837" max="1837" width="5.54296875" style="6" customWidth="1"/>
    <col min="1838" max="1838" width="6" style="6" customWidth="1"/>
    <col min="1839" max="1839" width="6.54296875" style="6" customWidth="1"/>
    <col min="1840" max="1840" width="11.08984375" style="6" customWidth="1"/>
    <col min="1841" max="1841" width="7.08984375" style="6" customWidth="1"/>
    <col min="1842" max="1843" width="5.81640625" style="6" customWidth="1"/>
    <col min="1844" max="1844" width="6" style="6" customWidth="1"/>
    <col min="1845" max="1845" width="6.81640625" style="6" customWidth="1"/>
    <col min="1846" max="1846" width="6" style="6" customWidth="1"/>
    <col min="1847" max="1847" width="18.08984375" style="6" customWidth="1"/>
    <col min="1848" max="2085" width="9" style="6"/>
    <col min="2086" max="2086" width="2.08984375" style="6" customWidth="1"/>
    <col min="2087" max="2087" width="5.81640625" style="6" customWidth="1"/>
    <col min="2088" max="2088" width="6.81640625" style="6" customWidth="1"/>
    <col min="2089" max="2089" width="6.08984375" style="6" customWidth="1"/>
    <col min="2090" max="2090" width="6.81640625" style="6" customWidth="1"/>
    <col min="2091" max="2091" width="10.81640625" style="6" customWidth="1"/>
    <col min="2092" max="2092" width="11.54296875" style="6" customWidth="1"/>
    <col min="2093" max="2093" width="5.54296875" style="6" customWidth="1"/>
    <col min="2094" max="2094" width="6" style="6" customWidth="1"/>
    <col min="2095" max="2095" width="6.54296875" style="6" customWidth="1"/>
    <col min="2096" max="2096" width="11.08984375" style="6" customWidth="1"/>
    <col min="2097" max="2097" width="7.08984375" style="6" customWidth="1"/>
    <col min="2098" max="2099" width="5.81640625" style="6" customWidth="1"/>
    <col min="2100" max="2100" width="6" style="6" customWidth="1"/>
    <col min="2101" max="2101" width="6.81640625" style="6" customWidth="1"/>
    <col min="2102" max="2102" width="6" style="6" customWidth="1"/>
    <col min="2103" max="2103" width="18.08984375" style="6" customWidth="1"/>
    <col min="2104" max="2341" width="9" style="6"/>
    <col min="2342" max="2342" width="2.08984375" style="6" customWidth="1"/>
    <col min="2343" max="2343" width="5.81640625" style="6" customWidth="1"/>
    <col min="2344" max="2344" width="6.81640625" style="6" customWidth="1"/>
    <col min="2345" max="2345" width="6.08984375" style="6" customWidth="1"/>
    <col min="2346" max="2346" width="6.81640625" style="6" customWidth="1"/>
    <col min="2347" max="2347" width="10.81640625" style="6" customWidth="1"/>
    <col min="2348" max="2348" width="11.54296875" style="6" customWidth="1"/>
    <col min="2349" max="2349" width="5.54296875" style="6" customWidth="1"/>
    <col min="2350" max="2350" width="6" style="6" customWidth="1"/>
    <col min="2351" max="2351" width="6.54296875" style="6" customWidth="1"/>
    <col min="2352" max="2352" width="11.08984375" style="6" customWidth="1"/>
    <col min="2353" max="2353" width="7.08984375" style="6" customWidth="1"/>
    <col min="2354" max="2355" width="5.81640625" style="6" customWidth="1"/>
    <col min="2356" max="2356" width="6" style="6" customWidth="1"/>
    <col min="2357" max="2357" width="6.81640625" style="6" customWidth="1"/>
    <col min="2358" max="2358" width="6" style="6" customWidth="1"/>
    <col min="2359" max="2359" width="18.08984375" style="6" customWidth="1"/>
    <col min="2360" max="2597" width="9" style="6"/>
    <col min="2598" max="2598" width="2.08984375" style="6" customWidth="1"/>
    <col min="2599" max="2599" width="5.81640625" style="6" customWidth="1"/>
    <col min="2600" max="2600" width="6.81640625" style="6" customWidth="1"/>
    <col min="2601" max="2601" width="6.08984375" style="6" customWidth="1"/>
    <col min="2602" max="2602" width="6.81640625" style="6" customWidth="1"/>
    <col min="2603" max="2603" width="10.81640625" style="6" customWidth="1"/>
    <col min="2604" max="2604" width="11.54296875" style="6" customWidth="1"/>
    <col min="2605" max="2605" width="5.54296875" style="6" customWidth="1"/>
    <col min="2606" max="2606" width="6" style="6" customWidth="1"/>
    <col min="2607" max="2607" width="6.54296875" style="6" customWidth="1"/>
    <col min="2608" max="2608" width="11.08984375" style="6" customWidth="1"/>
    <col min="2609" max="2609" width="7.08984375" style="6" customWidth="1"/>
    <col min="2610" max="2611" width="5.81640625" style="6" customWidth="1"/>
    <col min="2612" max="2612" width="6" style="6" customWidth="1"/>
    <col min="2613" max="2613" width="6.81640625" style="6" customWidth="1"/>
    <col min="2614" max="2614" width="6" style="6" customWidth="1"/>
    <col min="2615" max="2615" width="18.08984375" style="6" customWidth="1"/>
    <col min="2616" max="2853" width="9" style="6"/>
    <col min="2854" max="2854" width="2.08984375" style="6" customWidth="1"/>
    <col min="2855" max="2855" width="5.81640625" style="6" customWidth="1"/>
    <col min="2856" max="2856" width="6.81640625" style="6" customWidth="1"/>
    <col min="2857" max="2857" width="6.08984375" style="6" customWidth="1"/>
    <col min="2858" max="2858" width="6.81640625" style="6" customWidth="1"/>
    <col min="2859" max="2859" width="10.81640625" style="6" customWidth="1"/>
    <col min="2860" max="2860" width="11.54296875" style="6" customWidth="1"/>
    <col min="2861" max="2861" width="5.54296875" style="6" customWidth="1"/>
    <col min="2862" max="2862" width="6" style="6" customWidth="1"/>
    <col min="2863" max="2863" width="6.54296875" style="6" customWidth="1"/>
    <col min="2864" max="2864" width="11.08984375" style="6" customWidth="1"/>
    <col min="2865" max="2865" width="7.08984375" style="6" customWidth="1"/>
    <col min="2866" max="2867" width="5.81640625" style="6" customWidth="1"/>
    <col min="2868" max="2868" width="6" style="6" customWidth="1"/>
    <col min="2869" max="2869" width="6.81640625" style="6" customWidth="1"/>
    <col min="2870" max="2870" width="6" style="6" customWidth="1"/>
    <col min="2871" max="2871" width="18.08984375" style="6" customWidth="1"/>
    <col min="2872" max="3109" width="9" style="6"/>
    <col min="3110" max="3110" width="2.08984375" style="6" customWidth="1"/>
    <col min="3111" max="3111" width="5.81640625" style="6" customWidth="1"/>
    <col min="3112" max="3112" width="6.81640625" style="6" customWidth="1"/>
    <col min="3113" max="3113" width="6.08984375" style="6" customWidth="1"/>
    <col min="3114" max="3114" width="6.81640625" style="6" customWidth="1"/>
    <col min="3115" max="3115" width="10.81640625" style="6" customWidth="1"/>
    <col min="3116" max="3116" width="11.54296875" style="6" customWidth="1"/>
    <col min="3117" max="3117" width="5.54296875" style="6" customWidth="1"/>
    <col min="3118" max="3118" width="6" style="6" customWidth="1"/>
    <col min="3119" max="3119" width="6.54296875" style="6" customWidth="1"/>
    <col min="3120" max="3120" width="11.08984375" style="6" customWidth="1"/>
    <col min="3121" max="3121" width="7.08984375" style="6" customWidth="1"/>
    <col min="3122" max="3123" width="5.81640625" style="6" customWidth="1"/>
    <col min="3124" max="3124" width="6" style="6" customWidth="1"/>
    <col min="3125" max="3125" width="6.81640625" style="6" customWidth="1"/>
    <col min="3126" max="3126" width="6" style="6" customWidth="1"/>
    <col min="3127" max="3127" width="18.08984375" style="6" customWidth="1"/>
    <col min="3128" max="3365" width="9" style="6"/>
    <col min="3366" max="3366" width="2.08984375" style="6" customWidth="1"/>
    <col min="3367" max="3367" width="5.81640625" style="6" customWidth="1"/>
    <col min="3368" max="3368" width="6.81640625" style="6" customWidth="1"/>
    <col min="3369" max="3369" width="6.08984375" style="6" customWidth="1"/>
    <col min="3370" max="3370" width="6.81640625" style="6" customWidth="1"/>
    <col min="3371" max="3371" width="10.81640625" style="6" customWidth="1"/>
    <col min="3372" max="3372" width="11.54296875" style="6" customWidth="1"/>
    <col min="3373" max="3373" width="5.54296875" style="6" customWidth="1"/>
    <col min="3374" max="3374" width="6" style="6" customWidth="1"/>
    <col min="3375" max="3375" width="6.54296875" style="6" customWidth="1"/>
    <col min="3376" max="3376" width="11.08984375" style="6" customWidth="1"/>
    <col min="3377" max="3377" width="7.08984375" style="6" customWidth="1"/>
    <col min="3378" max="3379" width="5.81640625" style="6" customWidth="1"/>
    <col min="3380" max="3380" width="6" style="6" customWidth="1"/>
    <col min="3381" max="3381" width="6.81640625" style="6" customWidth="1"/>
    <col min="3382" max="3382" width="6" style="6" customWidth="1"/>
    <col min="3383" max="3383" width="18.08984375" style="6" customWidth="1"/>
    <col min="3384" max="3621" width="9" style="6"/>
    <col min="3622" max="3622" width="2.08984375" style="6" customWidth="1"/>
    <col min="3623" max="3623" width="5.81640625" style="6" customWidth="1"/>
    <col min="3624" max="3624" width="6.81640625" style="6" customWidth="1"/>
    <col min="3625" max="3625" width="6.08984375" style="6" customWidth="1"/>
    <col min="3626" max="3626" width="6.81640625" style="6" customWidth="1"/>
    <col min="3627" max="3627" width="10.81640625" style="6" customWidth="1"/>
    <col min="3628" max="3628" width="11.54296875" style="6" customWidth="1"/>
    <col min="3629" max="3629" width="5.54296875" style="6" customWidth="1"/>
    <col min="3630" max="3630" width="6" style="6" customWidth="1"/>
    <col min="3631" max="3631" width="6.54296875" style="6" customWidth="1"/>
    <col min="3632" max="3632" width="11.08984375" style="6" customWidth="1"/>
    <col min="3633" max="3633" width="7.08984375" style="6" customWidth="1"/>
    <col min="3634" max="3635" width="5.81640625" style="6" customWidth="1"/>
    <col min="3636" max="3636" width="6" style="6" customWidth="1"/>
    <col min="3637" max="3637" width="6.81640625" style="6" customWidth="1"/>
    <col min="3638" max="3638" width="6" style="6" customWidth="1"/>
    <col min="3639" max="3639" width="18.08984375" style="6" customWidth="1"/>
    <col min="3640" max="3877" width="9" style="6"/>
    <col min="3878" max="3878" width="2.08984375" style="6" customWidth="1"/>
    <col min="3879" max="3879" width="5.81640625" style="6" customWidth="1"/>
    <col min="3880" max="3880" width="6.81640625" style="6" customWidth="1"/>
    <col min="3881" max="3881" width="6.08984375" style="6" customWidth="1"/>
    <col min="3882" max="3882" width="6.81640625" style="6" customWidth="1"/>
    <col min="3883" max="3883" width="10.81640625" style="6" customWidth="1"/>
    <col min="3884" max="3884" width="11.54296875" style="6" customWidth="1"/>
    <col min="3885" max="3885" width="5.54296875" style="6" customWidth="1"/>
    <col min="3886" max="3886" width="6" style="6" customWidth="1"/>
    <col min="3887" max="3887" width="6.54296875" style="6" customWidth="1"/>
    <col min="3888" max="3888" width="11.08984375" style="6" customWidth="1"/>
    <col min="3889" max="3889" width="7.08984375" style="6" customWidth="1"/>
    <col min="3890" max="3891" width="5.81640625" style="6" customWidth="1"/>
    <col min="3892" max="3892" width="6" style="6" customWidth="1"/>
    <col min="3893" max="3893" width="6.81640625" style="6" customWidth="1"/>
    <col min="3894" max="3894" width="6" style="6" customWidth="1"/>
    <col min="3895" max="3895" width="18.08984375" style="6" customWidth="1"/>
    <col min="3896" max="4133" width="9" style="6"/>
    <col min="4134" max="4134" width="2.08984375" style="6" customWidth="1"/>
    <col min="4135" max="4135" width="5.81640625" style="6" customWidth="1"/>
    <col min="4136" max="4136" width="6.81640625" style="6" customWidth="1"/>
    <col min="4137" max="4137" width="6.08984375" style="6" customWidth="1"/>
    <col min="4138" max="4138" width="6.81640625" style="6" customWidth="1"/>
    <col min="4139" max="4139" width="10.81640625" style="6" customWidth="1"/>
    <col min="4140" max="4140" width="11.54296875" style="6" customWidth="1"/>
    <col min="4141" max="4141" width="5.54296875" style="6" customWidth="1"/>
    <col min="4142" max="4142" width="6" style="6" customWidth="1"/>
    <col min="4143" max="4143" width="6.54296875" style="6" customWidth="1"/>
    <col min="4144" max="4144" width="11.08984375" style="6" customWidth="1"/>
    <col min="4145" max="4145" width="7.08984375" style="6" customWidth="1"/>
    <col min="4146" max="4147" width="5.81640625" style="6" customWidth="1"/>
    <col min="4148" max="4148" width="6" style="6" customWidth="1"/>
    <col min="4149" max="4149" width="6.81640625" style="6" customWidth="1"/>
    <col min="4150" max="4150" width="6" style="6" customWidth="1"/>
    <col min="4151" max="4151" width="18.08984375" style="6" customWidth="1"/>
    <col min="4152" max="4389" width="9" style="6"/>
    <col min="4390" max="4390" width="2.08984375" style="6" customWidth="1"/>
    <col min="4391" max="4391" width="5.81640625" style="6" customWidth="1"/>
    <col min="4392" max="4392" width="6.81640625" style="6" customWidth="1"/>
    <col min="4393" max="4393" width="6.08984375" style="6" customWidth="1"/>
    <col min="4394" max="4394" width="6.81640625" style="6" customWidth="1"/>
    <col min="4395" max="4395" width="10.81640625" style="6" customWidth="1"/>
    <col min="4396" max="4396" width="11.54296875" style="6" customWidth="1"/>
    <col min="4397" max="4397" width="5.54296875" style="6" customWidth="1"/>
    <col min="4398" max="4398" width="6" style="6" customWidth="1"/>
    <col min="4399" max="4399" width="6.54296875" style="6" customWidth="1"/>
    <col min="4400" max="4400" width="11.08984375" style="6" customWidth="1"/>
    <col min="4401" max="4401" width="7.08984375" style="6" customWidth="1"/>
    <col min="4402" max="4403" width="5.81640625" style="6" customWidth="1"/>
    <col min="4404" max="4404" width="6" style="6" customWidth="1"/>
    <col min="4405" max="4405" width="6.81640625" style="6" customWidth="1"/>
    <col min="4406" max="4406" width="6" style="6" customWidth="1"/>
    <col min="4407" max="4407" width="18.08984375" style="6" customWidth="1"/>
    <col min="4408" max="4645" width="9" style="6"/>
    <col min="4646" max="4646" width="2.08984375" style="6" customWidth="1"/>
    <col min="4647" max="4647" width="5.81640625" style="6" customWidth="1"/>
    <col min="4648" max="4648" width="6.81640625" style="6" customWidth="1"/>
    <col min="4649" max="4649" width="6.08984375" style="6" customWidth="1"/>
    <col min="4650" max="4650" width="6.81640625" style="6" customWidth="1"/>
    <col min="4651" max="4651" width="10.81640625" style="6" customWidth="1"/>
    <col min="4652" max="4652" width="11.54296875" style="6" customWidth="1"/>
    <col min="4653" max="4653" width="5.54296875" style="6" customWidth="1"/>
    <col min="4654" max="4654" width="6" style="6" customWidth="1"/>
    <col min="4655" max="4655" width="6.54296875" style="6" customWidth="1"/>
    <col min="4656" max="4656" width="11.08984375" style="6" customWidth="1"/>
    <col min="4657" max="4657" width="7.08984375" style="6" customWidth="1"/>
    <col min="4658" max="4659" width="5.81640625" style="6" customWidth="1"/>
    <col min="4660" max="4660" width="6" style="6" customWidth="1"/>
    <col min="4661" max="4661" width="6.81640625" style="6" customWidth="1"/>
    <col min="4662" max="4662" width="6" style="6" customWidth="1"/>
    <col min="4663" max="4663" width="18.08984375" style="6" customWidth="1"/>
    <col min="4664" max="4901" width="9" style="6"/>
    <col min="4902" max="4902" width="2.08984375" style="6" customWidth="1"/>
    <col min="4903" max="4903" width="5.81640625" style="6" customWidth="1"/>
    <col min="4904" max="4904" width="6.81640625" style="6" customWidth="1"/>
    <col min="4905" max="4905" width="6.08984375" style="6" customWidth="1"/>
    <col min="4906" max="4906" width="6.81640625" style="6" customWidth="1"/>
    <col min="4907" max="4907" width="10.81640625" style="6" customWidth="1"/>
    <col min="4908" max="4908" width="11.54296875" style="6" customWidth="1"/>
    <col min="4909" max="4909" width="5.54296875" style="6" customWidth="1"/>
    <col min="4910" max="4910" width="6" style="6" customWidth="1"/>
    <col min="4911" max="4911" width="6.54296875" style="6" customWidth="1"/>
    <col min="4912" max="4912" width="11.08984375" style="6" customWidth="1"/>
    <col min="4913" max="4913" width="7.08984375" style="6" customWidth="1"/>
    <col min="4914" max="4915" width="5.81640625" style="6" customWidth="1"/>
    <col min="4916" max="4916" width="6" style="6" customWidth="1"/>
    <col min="4917" max="4917" width="6.81640625" style="6" customWidth="1"/>
    <col min="4918" max="4918" width="6" style="6" customWidth="1"/>
    <col min="4919" max="4919" width="18.08984375" style="6" customWidth="1"/>
    <col min="4920" max="5157" width="9" style="6"/>
    <col min="5158" max="5158" width="2.08984375" style="6" customWidth="1"/>
    <col min="5159" max="5159" width="5.81640625" style="6" customWidth="1"/>
    <col min="5160" max="5160" width="6.81640625" style="6" customWidth="1"/>
    <col min="5161" max="5161" width="6.08984375" style="6" customWidth="1"/>
    <col min="5162" max="5162" width="6.81640625" style="6" customWidth="1"/>
    <col min="5163" max="5163" width="10.81640625" style="6" customWidth="1"/>
    <col min="5164" max="5164" width="11.54296875" style="6" customWidth="1"/>
    <col min="5165" max="5165" width="5.54296875" style="6" customWidth="1"/>
    <col min="5166" max="5166" width="6" style="6" customWidth="1"/>
    <col min="5167" max="5167" width="6.54296875" style="6" customWidth="1"/>
    <col min="5168" max="5168" width="11.08984375" style="6" customWidth="1"/>
    <col min="5169" max="5169" width="7.08984375" style="6" customWidth="1"/>
    <col min="5170" max="5171" width="5.81640625" style="6" customWidth="1"/>
    <col min="5172" max="5172" width="6" style="6" customWidth="1"/>
    <col min="5173" max="5173" width="6.81640625" style="6" customWidth="1"/>
    <col min="5174" max="5174" width="6" style="6" customWidth="1"/>
    <col min="5175" max="5175" width="18.08984375" style="6" customWidth="1"/>
    <col min="5176" max="5413" width="9" style="6"/>
    <col min="5414" max="5414" width="2.08984375" style="6" customWidth="1"/>
    <col min="5415" max="5415" width="5.81640625" style="6" customWidth="1"/>
    <col min="5416" max="5416" width="6.81640625" style="6" customWidth="1"/>
    <col min="5417" max="5417" width="6.08984375" style="6" customWidth="1"/>
    <col min="5418" max="5418" width="6.81640625" style="6" customWidth="1"/>
    <col min="5419" max="5419" width="10.81640625" style="6" customWidth="1"/>
    <col min="5420" max="5420" width="11.54296875" style="6" customWidth="1"/>
    <col min="5421" max="5421" width="5.54296875" style="6" customWidth="1"/>
    <col min="5422" max="5422" width="6" style="6" customWidth="1"/>
    <col min="5423" max="5423" width="6.54296875" style="6" customWidth="1"/>
    <col min="5424" max="5424" width="11.08984375" style="6" customWidth="1"/>
    <col min="5425" max="5425" width="7.08984375" style="6" customWidth="1"/>
    <col min="5426" max="5427" width="5.81640625" style="6" customWidth="1"/>
    <col min="5428" max="5428" width="6" style="6" customWidth="1"/>
    <col min="5429" max="5429" width="6.81640625" style="6" customWidth="1"/>
    <col min="5430" max="5430" width="6" style="6" customWidth="1"/>
    <col min="5431" max="5431" width="18.08984375" style="6" customWidth="1"/>
    <col min="5432" max="5669" width="9" style="6"/>
    <col min="5670" max="5670" width="2.08984375" style="6" customWidth="1"/>
    <col min="5671" max="5671" width="5.81640625" style="6" customWidth="1"/>
    <col min="5672" max="5672" width="6.81640625" style="6" customWidth="1"/>
    <col min="5673" max="5673" width="6.08984375" style="6" customWidth="1"/>
    <col min="5674" max="5674" width="6.81640625" style="6" customWidth="1"/>
    <col min="5675" max="5675" width="10.81640625" style="6" customWidth="1"/>
    <col min="5676" max="5676" width="11.54296875" style="6" customWidth="1"/>
    <col min="5677" max="5677" width="5.54296875" style="6" customWidth="1"/>
    <col min="5678" max="5678" width="6" style="6" customWidth="1"/>
    <col min="5679" max="5679" width="6.54296875" style="6" customWidth="1"/>
    <col min="5680" max="5680" width="11.08984375" style="6" customWidth="1"/>
    <col min="5681" max="5681" width="7.08984375" style="6" customWidth="1"/>
    <col min="5682" max="5683" width="5.81640625" style="6" customWidth="1"/>
    <col min="5684" max="5684" width="6" style="6" customWidth="1"/>
    <col min="5685" max="5685" width="6.81640625" style="6" customWidth="1"/>
    <col min="5686" max="5686" width="6" style="6" customWidth="1"/>
    <col min="5687" max="5687" width="18.08984375" style="6" customWidth="1"/>
    <col min="5688" max="5925" width="9" style="6"/>
    <col min="5926" max="5926" width="2.08984375" style="6" customWidth="1"/>
    <col min="5927" max="5927" width="5.81640625" style="6" customWidth="1"/>
    <col min="5928" max="5928" width="6.81640625" style="6" customWidth="1"/>
    <col min="5929" max="5929" width="6.08984375" style="6" customWidth="1"/>
    <col min="5930" max="5930" width="6.81640625" style="6" customWidth="1"/>
    <col min="5931" max="5931" width="10.81640625" style="6" customWidth="1"/>
    <col min="5932" max="5932" width="11.54296875" style="6" customWidth="1"/>
    <col min="5933" max="5933" width="5.54296875" style="6" customWidth="1"/>
    <col min="5934" max="5934" width="6" style="6" customWidth="1"/>
    <col min="5935" max="5935" width="6.54296875" style="6" customWidth="1"/>
    <col min="5936" max="5936" width="11.08984375" style="6" customWidth="1"/>
    <col min="5937" max="5937" width="7.08984375" style="6" customWidth="1"/>
    <col min="5938" max="5939" width="5.81640625" style="6" customWidth="1"/>
    <col min="5940" max="5940" width="6" style="6" customWidth="1"/>
    <col min="5941" max="5941" width="6.81640625" style="6" customWidth="1"/>
    <col min="5942" max="5942" width="6" style="6" customWidth="1"/>
    <col min="5943" max="5943" width="18.08984375" style="6" customWidth="1"/>
    <col min="5944" max="6181" width="9" style="6"/>
    <col min="6182" max="6182" width="2.08984375" style="6" customWidth="1"/>
    <col min="6183" max="6183" width="5.81640625" style="6" customWidth="1"/>
    <col min="6184" max="6184" width="6.81640625" style="6" customWidth="1"/>
    <col min="6185" max="6185" width="6.08984375" style="6" customWidth="1"/>
    <col min="6186" max="6186" width="6.81640625" style="6" customWidth="1"/>
    <col min="6187" max="6187" width="10.81640625" style="6" customWidth="1"/>
    <col min="6188" max="6188" width="11.54296875" style="6" customWidth="1"/>
    <col min="6189" max="6189" width="5.54296875" style="6" customWidth="1"/>
    <col min="6190" max="6190" width="6" style="6" customWidth="1"/>
    <col min="6191" max="6191" width="6.54296875" style="6" customWidth="1"/>
    <col min="6192" max="6192" width="11.08984375" style="6" customWidth="1"/>
    <col min="6193" max="6193" width="7.08984375" style="6" customWidth="1"/>
    <col min="6194" max="6195" width="5.81640625" style="6" customWidth="1"/>
    <col min="6196" max="6196" width="6" style="6" customWidth="1"/>
    <col min="6197" max="6197" width="6.81640625" style="6" customWidth="1"/>
    <col min="6198" max="6198" width="6" style="6" customWidth="1"/>
    <col min="6199" max="6199" width="18.08984375" style="6" customWidth="1"/>
    <col min="6200" max="6437" width="9" style="6"/>
    <col min="6438" max="6438" width="2.08984375" style="6" customWidth="1"/>
    <col min="6439" max="6439" width="5.81640625" style="6" customWidth="1"/>
    <col min="6440" max="6440" width="6.81640625" style="6" customWidth="1"/>
    <col min="6441" max="6441" width="6.08984375" style="6" customWidth="1"/>
    <col min="6442" max="6442" width="6.81640625" style="6" customWidth="1"/>
    <col min="6443" max="6443" width="10.81640625" style="6" customWidth="1"/>
    <col min="6444" max="6444" width="11.54296875" style="6" customWidth="1"/>
    <col min="6445" max="6445" width="5.54296875" style="6" customWidth="1"/>
    <col min="6446" max="6446" width="6" style="6" customWidth="1"/>
    <col min="6447" max="6447" width="6.54296875" style="6" customWidth="1"/>
    <col min="6448" max="6448" width="11.08984375" style="6" customWidth="1"/>
    <col min="6449" max="6449" width="7.08984375" style="6" customWidth="1"/>
    <col min="6450" max="6451" width="5.81640625" style="6" customWidth="1"/>
    <col min="6452" max="6452" width="6" style="6" customWidth="1"/>
    <col min="6453" max="6453" width="6.81640625" style="6" customWidth="1"/>
    <col min="6454" max="6454" width="6" style="6" customWidth="1"/>
    <col min="6455" max="6455" width="18.08984375" style="6" customWidth="1"/>
    <col min="6456" max="6693" width="9" style="6"/>
    <col min="6694" max="6694" width="2.08984375" style="6" customWidth="1"/>
    <col min="6695" max="6695" width="5.81640625" style="6" customWidth="1"/>
    <col min="6696" max="6696" width="6.81640625" style="6" customWidth="1"/>
    <col min="6697" max="6697" width="6.08984375" style="6" customWidth="1"/>
    <col min="6698" max="6698" width="6.81640625" style="6" customWidth="1"/>
    <col min="6699" max="6699" width="10.81640625" style="6" customWidth="1"/>
    <col min="6700" max="6700" width="11.54296875" style="6" customWidth="1"/>
    <col min="6701" max="6701" width="5.54296875" style="6" customWidth="1"/>
    <col min="6702" max="6702" width="6" style="6" customWidth="1"/>
    <col min="6703" max="6703" width="6.54296875" style="6" customWidth="1"/>
    <col min="6704" max="6704" width="11.08984375" style="6" customWidth="1"/>
    <col min="6705" max="6705" width="7.08984375" style="6" customWidth="1"/>
    <col min="6706" max="6707" width="5.81640625" style="6" customWidth="1"/>
    <col min="6708" max="6708" width="6" style="6" customWidth="1"/>
    <col min="6709" max="6709" width="6.81640625" style="6" customWidth="1"/>
    <col min="6710" max="6710" width="6" style="6" customWidth="1"/>
    <col min="6711" max="6711" width="18.08984375" style="6" customWidth="1"/>
    <col min="6712" max="6949" width="9" style="6"/>
    <col min="6950" max="6950" width="2.08984375" style="6" customWidth="1"/>
    <col min="6951" max="6951" width="5.81640625" style="6" customWidth="1"/>
    <col min="6952" max="6952" width="6.81640625" style="6" customWidth="1"/>
    <col min="6953" max="6953" width="6.08984375" style="6" customWidth="1"/>
    <col min="6954" max="6954" width="6.81640625" style="6" customWidth="1"/>
    <col min="6955" max="6955" width="10.81640625" style="6" customWidth="1"/>
    <col min="6956" max="6956" width="11.54296875" style="6" customWidth="1"/>
    <col min="6957" max="6957" width="5.54296875" style="6" customWidth="1"/>
    <col min="6958" max="6958" width="6" style="6" customWidth="1"/>
    <col min="6959" max="6959" width="6.54296875" style="6" customWidth="1"/>
    <col min="6960" max="6960" width="11.08984375" style="6" customWidth="1"/>
    <col min="6961" max="6961" width="7.08984375" style="6" customWidth="1"/>
    <col min="6962" max="6963" width="5.81640625" style="6" customWidth="1"/>
    <col min="6964" max="6964" width="6" style="6" customWidth="1"/>
    <col min="6965" max="6965" width="6.81640625" style="6" customWidth="1"/>
    <col min="6966" max="6966" width="6" style="6" customWidth="1"/>
    <col min="6967" max="6967" width="18.08984375" style="6" customWidth="1"/>
    <col min="6968" max="7205" width="9" style="6"/>
    <col min="7206" max="7206" width="2.08984375" style="6" customWidth="1"/>
    <col min="7207" max="7207" width="5.81640625" style="6" customWidth="1"/>
    <col min="7208" max="7208" width="6.81640625" style="6" customWidth="1"/>
    <col min="7209" max="7209" width="6.08984375" style="6" customWidth="1"/>
    <col min="7210" max="7210" width="6.81640625" style="6" customWidth="1"/>
    <col min="7211" max="7211" width="10.81640625" style="6" customWidth="1"/>
    <col min="7212" max="7212" width="11.54296875" style="6" customWidth="1"/>
    <col min="7213" max="7213" width="5.54296875" style="6" customWidth="1"/>
    <col min="7214" max="7214" width="6" style="6" customWidth="1"/>
    <col min="7215" max="7215" width="6.54296875" style="6" customWidth="1"/>
    <col min="7216" max="7216" width="11.08984375" style="6" customWidth="1"/>
    <col min="7217" max="7217" width="7.08984375" style="6" customWidth="1"/>
    <col min="7218" max="7219" width="5.81640625" style="6" customWidth="1"/>
    <col min="7220" max="7220" width="6" style="6" customWidth="1"/>
    <col min="7221" max="7221" width="6.81640625" style="6" customWidth="1"/>
    <col min="7222" max="7222" width="6" style="6" customWidth="1"/>
    <col min="7223" max="7223" width="18.08984375" style="6" customWidth="1"/>
    <col min="7224" max="7461" width="9" style="6"/>
    <col min="7462" max="7462" width="2.08984375" style="6" customWidth="1"/>
    <col min="7463" max="7463" width="5.81640625" style="6" customWidth="1"/>
    <col min="7464" max="7464" width="6.81640625" style="6" customWidth="1"/>
    <col min="7465" max="7465" width="6.08984375" style="6" customWidth="1"/>
    <col min="7466" max="7466" width="6.81640625" style="6" customWidth="1"/>
    <col min="7467" max="7467" width="10.81640625" style="6" customWidth="1"/>
    <col min="7468" max="7468" width="11.54296875" style="6" customWidth="1"/>
    <col min="7469" max="7469" width="5.54296875" style="6" customWidth="1"/>
    <col min="7470" max="7470" width="6" style="6" customWidth="1"/>
    <col min="7471" max="7471" width="6.54296875" style="6" customWidth="1"/>
    <col min="7472" max="7472" width="11.08984375" style="6" customWidth="1"/>
    <col min="7473" max="7473" width="7.08984375" style="6" customWidth="1"/>
    <col min="7474" max="7475" width="5.81640625" style="6" customWidth="1"/>
    <col min="7476" max="7476" width="6" style="6" customWidth="1"/>
    <col min="7477" max="7477" width="6.81640625" style="6" customWidth="1"/>
    <col min="7478" max="7478" width="6" style="6" customWidth="1"/>
    <col min="7479" max="7479" width="18.08984375" style="6" customWidth="1"/>
    <col min="7480" max="7717" width="9" style="6"/>
    <col min="7718" max="7718" width="2.08984375" style="6" customWidth="1"/>
    <col min="7719" max="7719" width="5.81640625" style="6" customWidth="1"/>
    <col min="7720" max="7720" width="6.81640625" style="6" customWidth="1"/>
    <col min="7721" max="7721" width="6.08984375" style="6" customWidth="1"/>
    <col min="7722" max="7722" width="6.81640625" style="6" customWidth="1"/>
    <col min="7723" max="7723" width="10.81640625" style="6" customWidth="1"/>
    <col min="7724" max="7724" width="11.54296875" style="6" customWidth="1"/>
    <col min="7725" max="7725" width="5.54296875" style="6" customWidth="1"/>
    <col min="7726" max="7726" width="6" style="6" customWidth="1"/>
    <col min="7727" max="7727" width="6.54296875" style="6" customWidth="1"/>
    <col min="7728" max="7728" width="11.08984375" style="6" customWidth="1"/>
    <col min="7729" max="7729" width="7.08984375" style="6" customWidth="1"/>
    <col min="7730" max="7731" width="5.81640625" style="6" customWidth="1"/>
    <col min="7732" max="7732" width="6" style="6" customWidth="1"/>
    <col min="7733" max="7733" width="6.81640625" style="6" customWidth="1"/>
    <col min="7734" max="7734" width="6" style="6" customWidth="1"/>
    <col min="7735" max="7735" width="18.08984375" style="6" customWidth="1"/>
    <col min="7736" max="7973" width="9" style="6"/>
    <col min="7974" max="7974" width="2.08984375" style="6" customWidth="1"/>
    <col min="7975" max="7975" width="5.81640625" style="6" customWidth="1"/>
    <col min="7976" max="7976" width="6.81640625" style="6" customWidth="1"/>
    <col min="7977" max="7977" width="6.08984375" style="6" customWidth="1"/>
    <col min="7978" max="7978" width="6.81640625" style="6" customWidth="1"/>
    <col min="7979" max="7979" width="10.81640625" style="6" customWidth="1"/>
    <col min="7980" max="7980" width="11.54296875" style="6" customWidth="1"/>
    <col min="7981" max="7981" width="5.54296875" style="6" customWidth="1"/>
    <col min="7982" max="7982" width="6" style="6" customWidth="1"/>
    <col min="7983" max="7983" width="6.54296875" style="6" customWidth="1"/>
    <col min="7984" max="7984" width="11.08984375" style="6" customWidth="1"/>
    <col min="7985" max="7985" width="7.08984375" style="6" customWidth="1"/>
    <col min="7986" max="7987" width="5.81640625" style="6" customWidth="1"/>
    <col min="7988" max="7988" width="6" style="6" customWidth="1"/>
    <col min="7989" max="7989" width="6.81640625" style="6" customWidth="1"/>
    <col min="7990" max="7990" width="6" style="6" customWidth="1"/>
    <col min="7991" max="7991" width="18.08984375" style="6" customWidth="1"/>
    <col min="7992" max="8229" width="9" style="6"/>
    <col min="8230" max="8230" width="2.08984375" style="6" customWidth="1"/>
    <col min="8231" max="8231" width="5.81640625" style="6" customWidth="1"/>
    <col min="8232" max="8232" width="6.81640625" style="6" customWidth="1"/>
    <col min="8233" max="8233" width="6.08984375" style="6" customWidth="1"/>
    <col min="8234" max="8234" width="6.81640625" style="6" customWidth="1"/>
    <col min="8235" max="8235" width="10.81640625" style="6" customWidth="1"/>
    <col min="8236" max="8236" width="11.54296875" style="6" customWidth="1"/>
    <col min="8237" max="8237" width="5.54296875" style="6" customWidth="1"/>
    <col min="8238" max="8238" width="6" style="6" customWidth="1"/>
    <col min="8239" max="8239" width="6.54296875" style="6" customWidth="1"/>
    <col min="8240" max="8240" width="11.08984375" style="6" customWidth="1"/>
    <col min="8241" max="8241" width="7.08984375" style="6" customWidth="1"/>
    <col min="8242" max="8243" width="5.81640625" style="6" customWidth="1"/>
    <col min="8244" max="8244" width="6" style="6" customWidth="1"/>
    <col min="8245" max="8245" width="6.81640625" style="6" customWidth="1"/>
    <col min="8246" max="8246" width="6" style="6" customWidth="1"/>
    <col min="8247" max="8247" width="18.08984375" style="6" customWidth="1"/>
    <col min="8248" max="8485" width="9" style="6"/>
    <col min="8486" max="8486" width="2.08984375" style="6" customWidth="1"/>
    <col min="8487" max="8487" width="5.81640625" style="6" customWidth="1"/>
    <col min="8488" max="8488" width="6.81640625" style="6" customWidth="1"/>
    <col min="8489" max="8489" width="6.08984375" style="6" customWidth="1"/>
    <col min="8490" max="8490" width="6.81640625" style="6" customWidth="1"/>
    <col min="8491" max="8491" width="10.81640625" style="6" customWidth="1"/>
    <col min="8492" max="8492" width="11.54296875" style="6" customWidth="1"/>
    <col min="8493" max="8493" width="5.54296875" style="6" customWidth="1"/>
    <col min="8494" max="8494" width="6" style="6" customWidth="1"/>
    <col min="8495" max="8495" width="6.54296875" style="6" customWidth="1"/>
    <col min="8496" max="8496" width="11.08984375" style="6" customWidth="1"/>
    <col min="8497" max="8497" width="7.08984375" style="6" customWidth="1"/>
    <col min="8498" max="8499" width="5.81640625" style="6" customWidth="1"/>
    <col min="8500" max="8500" width="6" style="6" customWidth="1"/>
    <col min="8501" max="8501" width="6.81640625" style="6" customWidth="1"/>
    <col min="8502" max="8502" width="6" style="6" customWidth="1"/>
    <col min="8503" max="8503" width="18.08984375" style="6" customWidth="1"/>
    <col min="8504" max="8741" width="9" style="6"/>
    <col min="8742" max="8742" width="2.08984375" style="6" customWidth="1"/>
    <col min="8743" max="8743" width="5.81640625" style="6" customWidth="1"/>
    <col min="8744" max="8744" width="6.81640625" style="6" customWidth="1"/>
    <col min="8745" max="8745" width="6.08984375" style="6" customWidth="1"/>
    <col min="8746" max="8746" width="6.81640625" style="6" customWidth="1"/>
    <col min="8747" max="8747" width="10.81640625" style="6" customWidth="1"/>
    <col min="8748" max="8748" width="11.54296875" style="6" customWidth="1"/>
    <col min="8749" max="8749" width="5.54296875" style="6" customWidth="1"/>
    <col min="8750" max="8750" width="6" style="6" customWidth="1"/>
    <col min="8751" max="8751" width="6.54296875" style="6" customWidth="1"/>
    <col min="8752" max="8752" width="11.08984375" style="6" customWidth="1"/>
    <col min="8753" max="8753" width="7.08984375" style="6" customWidth="1"/>
    <col min="8754" max="8755" width="5.81640625" style="6" customWidth="1"/>
    <col min="8756" max="8756" width="6" style="6" customWidth="1"/>
    <col min="8757" max="8757" width="6.81640625" style="6" customWidth="1"/>
    <col min="8758" max="8758" width="6" style="6" customWidth="1"/>
    <col min="8759" max="8759" width="18.08984375" style="6" customWidth="1"/>
    <col min="8760" max="8997" width="9" style="6"/>
    <col min="8998" max="8998" width="2.08984375" style="6" customWidth="1"/>
    <col min="8999" max="8999" width="5.81640625" style="6" customWidth="1"/>
    <col min="9000" max="9000" width="6.81640625" style="6" customWidth="1"/>
    <col min="9001" max="9001" width="6.08984375" style="6" customWidth="1"/>
    <col min="9002" max="9002" width="6.81640625" style="6" customWidth="1"/>
    <col min="9003" max="9003" width="10.81640625" style="6" customWidth="1"/>
    <col min="9004" max="9004" width="11.54296875" style="6" customWidth="1"/>
    <col min="9005" max="9005" width="5.54296875" style="6" customWidth="1"/>
    <col min="9006" max="9006" width="6" style="6" customWidth="1"/>
    <col min="9007" max="9007" width="6.54296875" style="6" customWidth="1"/>
    <col min="9008" max="9008" width="11.08984375" style="6" customWidth="1"/>
    <col min="9009" max="9009" width="7.08984375" style="6" customWidth="1"/>
    <col min="9010" max="9011" width="5.81640625" style="6" customWidth="1"/>
    <col min="9012" max="9012" width="6" style="6" customWidth="1"/>
    <col min="9013" max="9013" width="6.81640625" style="6" customWidth="1"/>
    <col min="9014" max="9014" width="6" style="6" customWidth="1"/>
    <col min="9015" max="9015" width="18.08984375" style="6" customWidth="1"/>
    <col min="9016" max="9253" width="9" style="6"/>
    <col min="9254" max="9254" width="2.08984375" style="6" customWidth="1"/>
    <col min="9255" max="9255" width="5.81640625" style="6" customWidth="1"/>
    <col min="9256" max="9256" width="6.81640625" style="6" customWidth="1"/>
    <col min="9257" max="9257" width="6.08984375" style="6" customWidth="1"/>
    <col min="9258" max="9258" width="6.81640625" style="6" customWidth="1"/>
    <col min="9259" max="9259" width="10.81640625" style="6" customWidth="1"/>
    <col min="9260" max="9260" width="11.54296875" style="6" customWidth="1"/>
    <col min="9261" max="9261" width="5.54296875" style="6" customWidth="1"/>
    <col min="9262" max="9262" width="6" style="6" customWidth="1"/>
    <col min="9263" max="9263" width="6.54296875" style="6" customWidth="1"/>
    <col min="9264" max="9264" width="11.08984375" style="6" customWidth="1"/>
    <col min="9265" max="9265" width="7.08984375" style="6" customWidth="1"/>
    <col min="9266" max="9267" width="5.81640625" style="6" customWidth="1"/>
    <col min="9268" max="9268" width="6" style="6" customWidth="1"/>
    <col min="9269" max="9269" width="6.81640625" style="6" customWidth="1"/>
    <col min="9270" max="9270" width="6" style="6" customWidth="1"/>
    <col min="9271" max="9271" width="18.08984375" style="6" customWidth="1"/>
    <col min="9272" max="9509" width="9" style="6"/>
    <col min="9510" max="9510" width="2.08984375" style="6" customWidth="1"/>
    <col min="9511" max="9511" width="5.81640625" style="6" customWidth="1"/>
    <col min="9512" max="9512" width="6.81640625" style="6" customWidth="1"/>
    <col min="9513" max="9513" width="6.08984375" style="6" customWidth="1"/>
    <col min="9514" max="9514" width="6.81640625" style="6" customWidth="1"/>
    <col min="9515" max="9515" width="10.81640625" style="6" customWidth="1"/>
    <col min="9516" max="9516" width="11.54296875" style="6" customWidth="1"/>
    <col min="9517" max="9517" width="5.54296875" style="6" customWidth="1"/>
    <col min="9518" max="9518" width="6" style="6" customWidth="1"/>
    <col min="9519" max="9519" width="6.54296875" style="6" customWidth="1"/>
    <col min="9520" max="9520" width="11.08984375" style="6" customWidth="1"/>
    <col min="9521" max="9521" width="7.08984375" style="6" customWidth="1"/>
    <col min="9522" max="9523" width="5.81640625" style="6" customWidth="1"/>
    <col min="9524" max="9524" width="6" style="6" customWidth="1"/>
    <col min="9525" max="9525" width="6.81640625" style="6" customWidth="1"/>
    <col min="9526" max="9526" width="6" style="6" customWidth="1"/>
    <col min="9527" max="9527" width="18.08984375" style="6" customWidth="1"/>
    <col min="9528" max="9765" width="9" style="6"/>
    <col min="9766" max="9766" width="2.08984375" style="6" customWidth="1"/>
    <col min="9767" max="9767" width="5.81640625" style="6" customWidth="1"/>
    <col min="9768" max="9768" width="6.81640625" style="6" customWidth="1"/>
    <col min="9769" max="9769" width="6.08984375" style="6" customWidth="1"/>
    <col min="9770" max="9770" width="6.81640625" style="6" customWidth="1"/>
    <col min="9771" max="9771" width="10.81640625" style="6" customWidth="1"/>
    <col min="9772" max="9772" width="11.54296875" style="6" customWidth="1"/>
    <col min="9773" max="9773" width="5.54296875" style="6" customWidth="1"/>
    <col min="9774" max="9774" width="6" style="6" customWidth="1"/>
    <col min="9775" max="9775" width="6.54296875" style="6" customWidth="1"/>
    <col min="9776" max="9776" width="11.08984375" style="6" customWidth="1"/>
    <col min="9777" max="9777" width="7.08984375" style="6" customWidth="1"/>
    <col min="9778" max="9779" width="5.81640625" style="6" customWidth="1"/>
    <col min="9780" max="9780" width="6" style="6" customWidth="1"/>
    <col min="9781" max="9781" width="6.81640625" style="6" customWidth="1"/>
    <col min="9782" max="9782" width="6" style="6" customWidth="1"/>
    <col min="9783" max="9783" width="18.08984375" style="6" customWidth="1"/>
    <col min="9784" max="10021" width="9" style="6"/>
    <col min="10022" max="10022" width="2.08984375" style="6" customWidth="1"/>
    <col min="10023" max="10023" width="5.81640625" style="6" customWidth="1"/>
    <col min="10024" max="10024" width="6.81640625" style="6" customWidth="1"/>
    <col min="10025" max="10025" width="6.08984375" style="6" customWidth="1"/>
    <col min="10026" max="10026" width="6.81640625" style="6" customWidth="1"/>
    <col min="10027" max="10027" width="10.81640625" style="6" customWidth="1"/>
    <col min="10028" max="10028" width="11.54296875" style="6" customWidth="1"/>
    <col min="10029" max="10029" width="5.54296875" style="6" customWidth="1"/>
    <col min="10030" max="10030" width="6" style="6" customWidth="1"/>
    <col min="10031" max="10031" width="6.54296875" style="6" customWidth="1"/>
    <col min="10032" max="10032" width="11.08984375" style="6" customWidth="1"/>
    <col min="10033" max="10033" width="7.08984375" style="6" customWidth="1"/>
    <col min="10034" max="10035" width="5.81640625" style="6" customWidth="1"/>
    <col min="10036" max="10036" width="6" style="6" customWidth="1"/>
    <col min="10037" max="10037" width="6.81640625" style="6" customWidth="1"/>
    <col min="10038" max="10038" width="6" style="6" customWidth="1"/>
    <col min="10039" max="10039" width="18.08984375" style="6" customWidth="1"/>
    <col min="10040" max="10277" width="9" style="6"/>
    <col min="10278" max="10278" width="2.08984375" style="6" customWidth="1"/>
    <col min="10279" max="10279" width="5.81640625" style="6" customWidth="1"/>
    <col min="10280" max="10280" width="6.81640625" style="6" customWidth="1"/>
    <col min="10281" max="10281" width="6.08984375" style="6" customWidth="1"/>
    <col min="10282" max="10282" width="6.81640625" style="6" customWidth="1"/>
    <col min="10283" max="10283" width="10.81640625" style="6" customWidth="1"/>
    <col min="10284" max="10284" width="11.54296875" style="6" customWidth="1"/>
    <col min="10285" max="10285" width="5.54296875" style="6" customWidth="1"/>
    <col min="10286" max="10286" width="6" style="6" customWidth="1"/>
    <col min="10287" max="10287" width="6.54296875" style="6" customWidth="1"/>
    <col min="10288" max="10288" width="11.08984375" style="6" customWidth="1"/>
    <col min="10289" max="10289" width="7.08984375" style="6" customWidth="1"/>
    <col min="10290" max="10291" width="5.81640625" style="6" customWidth="1"/>
    <col min="10292" max="10292" width="6" style="6" customWidth="1"/>
    <col min="10293" max="10293" width="6.81640625" style="6" customWidth="1"/>
    <col min="10294" max="10294" width="6" style="6" customWidth="1"/>
    <col min="10295" max="10295" width="18.08984375" style="6" customWidth="1"/>
    <col min="10296" max="10533" width="9" style="6"/>
    <col min="10534" max="10534" width="2.08984375" style="6" customWidth="1"/>
    <col min="10535" max="10535" width="5.81640625" style="6" customWidth="1"/>
    <col min="10536" max="10536" width="6.81640625" style="6" customWidth="1"/>
    <col min="10537" max="10537" width="6.08984375" style="6" customWidth="1"/>
    <col min="10538" max="10538" width="6.81640625" style="6" customWidth="1"/>
    <col min="10539" max="10539" width="10.81640625" style="6" customWidth="1"/>
    <col min="10540" max="10540" width="11.54296875" style="6" customWidth="1"/>
    <col min="10541" max="10541" width="5.54296875" style="6" customWidth="1"/>
    <col min="10542" max="10542" width="6" style="6" customWidth="1"/>
    <col min="10543" max="10543" width="6.54296875" style="6" customWidth="1"/>
    <col min="10544" max="10544" width="11.08984375" style="6" customWidth="1"/>
    <col min="10545" max="10545" width="7.08984375" style="6" customWidth="1"/>
    <col min="10546" max="10547" width="5.81640625" style="6" customWidth="1"/>
    <col min="10548" max="10548" width="6" style="6" customWidth="1"/>
    <col min="10549" max="10549" width="6.81640625" style="6" customWidth="1"/>
    <col min="10550" max="10550" width="6" style="6" customWidth="1"/>
    <col min="10551" max="10551" width="18.08984375" style="6" customWidth="1"/>
    <col min="10552" max="10789" width="9" style="6"/>
    <col min="10790" max="10790" width="2.08984375" style="6" customWidth="1"/>
    <col min="10791" max="10791" width="5.81640625" style="6" customWidth="1"/>
    <col min="10792" max="10792" width="6.81640625" style="6" customWidth="1"/>
    <col min="10793" max="10793" width="6.08984375" style="6" customWidth="1"/>
    <col min="10794" max="10794" width="6.81640625" style="6" customWidth="1"/>
    <col min="10795" max="10795" width="10.81640625" style="6" customWidth="1"/>
    <col min="10796" max="10796" width="11.54296875" style="6" customWidth="1"/>
    <col min="10797" max="10797" width="5.54296875" style="6" customWidth="1"/>
    <col min="10798" max="10798" width="6" style="6" customWidth="1"/>
    <col min="10799" max="10799" width="6.54296875" style="6" customWidth="1"/>
    <col min="10800" max="10800" width="11.08984375" style="6" customWidth="1"/>
    <col min="10801" max="10801" width="7.08984375" style="6" customWidth="1"/>
    <col min="10802" max="10803" width="5.81640625" style="6" customWidth="1"/>
    <col min="10804" max="10804" width="6" style="6" customWidth="1"/>
    <col min="10805" max="10805" width="6.81640625" style="6" customWidth="1"/>
    <col min="10806" max="10806" width="6" style="6" customWidth="1"/>
    <col min="10807" max="10807" width="18.08984375" style="6" customWidth="1"/>
    <col min="10808" max="11045" width="9" style="6"/>
    <col min="11046" max="11046" width="2.08984375" style="6" customWidth="1"/>
    <col min="11047" max="11047" width="5.81640625" style="6" customWidth="1"/>
    <col min="11048" max="11048" width="6.81640625" style="6" customWidth="1"/>
    <col min="11049" max="11049" width="6.08984375" style="6" customWidth="1"/>
    <col min="11050" max="11050" width="6.81640625" style="6" customWidth="1"/>
    <col min="11051" max="11051" width="10.81640625" style="6" customWidth="1"/>
    <col min="11052" max="11052" width="11.54296875" style="6" customWidth="1"/>
    <col min="11053" max="11053" width="5.54296875" style="6" customWidth="1"/>
    <col min="11054" max="11054" width="6" style="6" customWidth="1"/>
    <col min="11055" max="11055" width="6.54296875" style="6" customWidth="1"/>
    <col min="11056" max="11056" width="11.08984375" style="6" customWidth="1"/>
    <col min="11057" max="11057" width="7.08984375" style="6" customWidth="1"/>
    <col min="11058" max="11059" width="5.81640625" style="6" customWidth="1"/>
    <col min="11060" max="11060" width="6" style="6" customWidth="1"/>
    <col min="11061" max="11061" width="6.81640625" style="6" customWidth="1"/>
    <col min="11062" max="11062" width="6" style="6" customWidth="1"/>
    <col min="11063" max="11063" width="18.08984375" style="6" customWidth="1"/>
    <col min="11064" max="11301" width="9" style="6"/>
    <col min="11302" max="11302" width="2.08984375" style="6" customWidth="1"/>
    <col min="11303" max="11303" width="5.81640625" style="6" customWidth="1"/>
    <col min="11304" max="11304" width="6.81640625" style="6" customWidth="1"/>
    <col min="11305" max="11305" width="6.08984375" style="6" customWidth="1"/>
    <col min="11306" max="11306" width="6.81640625" style="6" customWidth="1"/>
    <col min="11307" max="11307" width="10.81640625" style="6" customWidth="1"/>
    <col min="11308" max="11308" width="11.54296875" style="6" customWidth="1"/>
    <col min="11309" max="11309" width="5.54296875" style="6" customWidth="1"/>
    <col min="11310" max="11310" width="6" style="6" customWidth="1"/>
    <col min="11311" max="11311" width="6.54296875" style="6" customWidth="1"/>
    <col min="11312" max="11312" width="11.08984375" style="6" customWidth="1"/>
    <col min="11313" max="11313" width="7.08984375" style="6" customWidth="1"/>
    <col min="11314" max="11315" width="5.81640625" style="6" customWidth="1"/>
    <col min="11316" max="11316" width="6" style="6" customWidth="1"/>
    <col min="11317" max="11317" width="6.81640625" style="6" customWidth="1"/>
    <col min="11318" max="11318" width="6" style="6" customWidth="1"/>
    <col min="11319" max="11319" width="18.08984375" style="6" customWidth="1"/>
    <col min="11320" max="11557" width="9" style="6"/>
    <col min="11558" max="11558" width="2.08984375" style="6" customWidth="1"/>
    <col min="11559" max="11559" width="5.81640625" style="6" customWidth="1"/>
    <col min="11560" max="11560" width="6.81640625" style="6" customWidth="1"/>
    <col min="11561" max="11561" width="6.08984375" style="6" customWidth="1"/>
    <col min="11562" max="11562" width="6.81640625" style="6" customWidth="1"/>
    <col min="11563" max="11563" width="10.81640625" style="6" customWidth="1"/>
    <col min="11564" max="11564" width="11.54296875" style="6" customWidth="1"/>
    <col min="11565" max="11565" width="5.54296875" style="6" customWidth="1"/>
    <col min="11566" max="11566" width="6" style="6" customWidth="1"/>
    <col min="11567" max="11567" width="6.54296875" style="6" customWidth="1"/>
    <col min="11568" max="11568" width="11.08984375" style="6" customWidth="1"/>
    <col min="11569" max="11569" width="7.08984375" style="6" customWidth="1"/>
    <col min="11570" max="11571" width="5.81640625" style="6" customWidth="1"/>
    <col min="11572" max="11572" width="6" style="6" customWidth="1"/>
    <col min="11573" max="11573" width="6.81640625" style="6" customWidth="1"/>
    <col min="11574" max="11574" width="6" style="6" customWidth="1"/>
    <col min="11575" max="11575" width="18.08984375" style="6" customWidth="1"/>
    <col min="11576" max="11813" width="9" style="6"/>
    <col min="11814" max="11814" width="2.08984375" style="6" customWidth="1"/>
    <col min="11815" max="11815" width="5.81640625" style="6" customWidth="1"/>
    <col min="11816" max="11816" width="6.81640625" style="6" customWidth="1"/>
    <col min="11817" max="11817" width="6.08984375" style="6" customWidth="1"/>
    <col min="11818" max="11818" width="6.81640625" style="6" customWidth="1"/>
    <col min="11819" max="11819" width="10.81640625" style="6" customWidth="1"/>
    <col min="11820" max="11820" width="11.54296875" style="6" customWidth="1"/>
    <col min="11821" max="11821" width="5.54296875" style="6" customWidth="1"/>
    <col min="11822" max="11822" width="6" style="6" customWidth="1"/>
    <col min="11823" max="11823" width="6.54296875" style="6" customWidth="1"/>
    <col min="11824" max="11824" width="11.08984375" style="6" customWidth="1"/>
    <col min="11825" max="11825" width="7.08984375" style="6" customWidth="1"/>
    <col min="11826" max="11827" width="5.81640625" style="6" customWidth="1"/>
    <col min="11828" max="11828" width="6" style="6" customWidth="1"/>
    <col min="11829" max="11829" width="6.81640625" style="6" customWidth="1"/>
    <col min="11830" max="11830" width="6" style="6" customWidth="1"/>
    <col min="11831" max="11831" width="18.08984375" style="6" customWidth="1"/>
    <col min="11832" max="12069" width="9" style="6"/>
    <col min="12070" max="12070" width="2.08984375" style="6" customWidth="1"/>
    <col min="12071" max="12071" width="5.81640625" style="6" customWidth="1"/>
    <col min="12072" max="12072" width="6.81640625" style="6" customWidth="1"/>
    <col min="12073" max="12073" width="6.08984375" style="6" customWidth="1"/>
    <col min="12074" max="12074" width="6.81640625" style="6" customWidth="1"/>
    <col min="12075" max="12075" width="10.81640625" style="6" customWidth="1"/>
    <col min="12076" max="12076" width="11.54296875" style="6" customWidth="1"/>
    <col min="12077" max="12077" width="5.54296875" style="6" customWidth="1"/>
    <col min="12078" max="12078" width="6" style="6" customWidth="1"/>
    <col min="12079" max="12079" width="6.54296875" style="6" customWidth="1"/>
    <col min="12080" max="12080" width="11.08984375" style="6" customWidth="1"/>
    <col min="12081" max="12081" width="7.08984375" style="6" customWidth="1"/>
    <col min="12082" max="12083" width="5.81640625" style="6" customWidth="1"/>
    <col min="12084" max="12084" width="6" style="6" customWidth="1"/>
    <col min="12085" max="12085" width="6.81640625" style="6" customWidth="1"/>
    <col min="12086" max="12086" width="6" style="6" customWidth="1"/>
    <col min="12087" max="12087" width="18.08984375" style="6" customWidth="1"/>
    <col min="12088" max="12325" width="9" style="6"/>
    <col min="12326" max="12326" width="2.08984375" style="6" customWidth="1"/>
    <col min="12327" max="12327" width="5.81640625" style="6" customWidth="1"/>
    <col min="12328" max="12328" width="6.81640625" style="6" customWidth="1"/>
    <col min="12329" max="12329" width="6.08984375" style="6" customWidth="1"/>
    <col min="12330" max="12330" width="6.81640625" style="6" customWidth="1"/>
    <col min="12331" max="12331" width="10.81640625" style="6" customWidth="1"/>
    <col min="12332" max="12332" width="11.54296875" style="6" customWidth="1"/>
    <col min="12333" max="12333" width="5.54296875" style="6" customWidth="1"/>
    <col min="12334" max="12334" width="6" style="6" customWidth="1"/>
    <col min="12335" max="12335" width="6.54296875" style="6" customWidth="1"/>
    <col min="12336" max="12336" width="11.08984375" style="6" customWidth="1"/>
    <col min="12337" max="12337" width="7.08984375" style="6" customWidth="1"/>
    <col min="12338" max="12339" width="5.81640625" style="6" customWidth="1"/>
    <col min="12340" max="12340" width="6" style="6" customWidth="1"/>
    <col min="12341" max="12341" width="6.81640625" style="6" customWidth="1"/>
    <col min="12342" max="12342" width="6" style="6" customWidth="1"/>
    <col min="12343" max="12343" width="18.08984375" style="6" customWidth="1"/>
    <col min="12344" max="12581" width="9" style="6"/>
    <col min="12582" max="12582" width="2.08984375" style="6" customWidth="1"/>
    <col min="12583" max="12583" width="5.81640625" style="6" customWidth="1"/>
    <col min="12584" max="12584" width="6.81640625" style="6" customWidth="1"/>
    <col min="12585" max="12585" width="6.08984375" style="6" customWidth="1"/>
    <col min="12586" max="12586" width="6.81640625" style="6" customWidth="1"/>
    <col min="12587" max="12587" width="10.81640625" style="6" customWidth="1"/>
    <col min="12588" max="12588" width="11.54296875" style="6" customWidth="1"/>
    <col min="12589" max="12589" width="5.54296875" style="6" customWidth="1"/>
    <col min="12590" max="12590" width="6" style="6" customWidth="1"/>
    <col min="12591" max="12591" width="6.54296875" style="6" customWidth="1"/>
    <col min="12592" max="12592" width="11.08984375" style="6" customWidth="1"/>
    <col min="12593" max="12593" width="7.08984375" style="6" customWidth="1"/>
    <col min="12594" max="12595" width="5.81640625" style="6" customWidth="1"/>
    <col min="12596" max="12596" width="6" style="6" customWidth="1"/>
    <col min="12597" max="12597" width="6.81640625" style="6" customWidth="1"/>
    <col min="12598" max="12598" width="6" style="6" customWidth="1"/>
    <col min="12599" max="12599" width="18.08984375" style="6" customWidth="1"/>
    <col min="12600" max="12837" width="9" style="6"/>
    <col min="12838" max="12838" width="2.08984375" style="6" customWidth="1"/>
    <col min="12839" max="12839" width="5.81640625" style="6" customWidth="1"/>
    <col min="12840" max="12840" width="6.81640625" style="6" customWidth="1"/>
    <col min="12841" max="12841" width="6.08984375" style="6" customWidth="1"/>
    <col min="12842" max="12842" width="6.81640625" style="6" customWidth="1"/>
    <col min="12843" max="12843" width="10.81640625" style="6" customWidth="1"/>
    <col min="12844" max="12844" width="11.54296875" style="6" customWidth="1"/>
    <col min="12845" max="12845" width="5.54296875" style="6" customWidth="1"/>
    <col min="12846" max="12846" width="6" style="6" customWidth="1"/>
    <col min="12847" max="12847" width="6.54296875" style="6" customWidth="1"/>
    <col min="12848" max="12848" width="11.08984375" style="6" customWidth="1"/>
    <col min="12849" max="12849" width="7.08984375" style="6" customWidth="1"/>
    <col min="12850" max="12851" width="5.81640625" style="6" customWidth="1"/>
    <col min="12852" max="12852" width="6" style="6" customWidth="1"/>
    <col min="12853" max="12853" width="6.81640625" style="6" customWidth="1"/>
    <col min="12854" max="12854" width="6" style="6" customWidth="1"/>
    <col min="12855" max="12855" width="18.08984375" style="6" customWidth="1"/>
    <col min="12856" max="13093" width="9" style="6"/>
    <col min="13094" max="13094" width="2.08984375" style="6" customWidth="1"/>
    <col min="13095" max="13095" width="5.81640625" style="6" customWidth="1"/>
    <col min="13096" max="13096" width="6.81640625" style="6" customWidth="1"/>
    <col min="13097" max="13097" width="6.08984375" style="6" customWidth="1"/>
    <col min="13098" max="13098" width="6.81640625" style="6" customWidth="1"/>
    <col min="13099" max="13099" width="10.81640625" style="6" customWidth="1"/>
    <col min="13100" max="13100" width="11.54296875" style="6" customWidth="1"/>
    <col min="13101" max="13101" width="5.54296875" style="6" customWidth="1"/>
    <col min="13102" max="13102" width="6" style="6" customWidth="1"/>
    <col min="13103" max="13103" width="6.54296875" style="6" customWidth="1"/>
    <col min="13104" max="13104" width="11.08984375" style="6" customWidth="1"/>
    <col min="13105" max="13105" width="7.08984375" style="6" customWidth="1"/>
    <col min="13106" max="13107" width="5.81640625" style="6" customWidth="1"/>
    <col min="13108" max="13108" width="6" style="6" customWidth="1"/>
    <col min="13109" max="13109" width="6.81640625" style="6" customWidth="1"/>
    <col min="13110" max="13110" width="6" style="6" customWidth="1"/>
    <col min="13111" max="13111" width="18.08984375" style="6" customWidth="1"/>
    <col min="13112" max="13349" width="9" style="6"/>
    <col min="13350" max="13350" width="2.08984375" style="6" customWidth="1"/>
    <col min="13351" max="13351" width="5.81640625" style="6" customWidth="1"/>
    <col min="13352" max="13352" width="6.81640625" style="6" customWidth="1"/>
    <col min="13353" max="13353" width="6.08984375" style="6" customWidth="1"/>
    <col min="13354" max="13354" width="6.81640625" style="6" customWidth="1"/>
    <col min="13355" max="13355" width="10.81640625" style="6" customWidth="1"/>
    <col min="13356" max="13356" width="11.54296875" style="6" customWidth="1"/>
    <col min="13357" max="13357" width="5.54296875" style="6" customWidth="1"/>
    <col min="13358" max="13358" width="6" style="6" customWidth="1"/>
    <col min="13359" max="13359" width="6.54296875" style="6" customWidth="1"/>
    <col min="13360" max="13360" width="11.08984375" style="6" customWidth="1"/>
    <col min="13361" max="13361" width="7.08984375" style="6" customWidth="1"/>
    <col min="13362" max="13363" width="5.81640625" style="6" customWidth="1"/>
    <col min="13364" max="13364" width="6" style="6" customWidth="1"/>
    <col min="13365" max="13365" width="6.81640625" style="6" customWidth="1"/>
    <col min="13366" max="13366" width="6" style="6" customWidth="1"/>
    <col min="13367" max="13367" width="18.08984375" style="6" customWidth="1"/>
    <col min="13368" max="13605" width="9" style="6"/>
    <col min="13606" max="13606" width="2.08984375" style="6" customWidth="1"/>
    <col min="13607" max="13607" width="5.81640625" style="6" customWidth="1"/>
    <col min="13608" max="13608" width="6.81640625" style="6" customWidth="1"/>
    <col min="13609" max="13609" width="6.08984375" style="6" customWidth="1"/>
    <col min="13610" max="13610" width="6.81640625" style="6" customWidth="1"/>
    <col min="13611" max="13611" width="10.81640625" style="6" customWidth="1"/>
    <col min="13612" max="13612" width="11.54296875" style="6" customWidth="1"/>
    <col min="13613" max="13613" width="5.54296875" style="6" customWidth="1"/>
    <col min="13614" max="13614" width="6" style="6" customWidth="1"/>
    <col min="13615" max="13615" width="6.54296875" style="6" customWidth="1"/>
    <col min="13616" max="13616" width="11.08984375" style="6" customWidth="1"/>
    <col min="13617" max="13617" width="7.08984375" style="6" customWidth="1"/>
    <col min="13618" max="13619" width="5.81640625" style="6" customWidth="1"/>
    <col min="13620" max="13620" width="6" style="6" customWidth="1"/>
    <col min="13621" max="13621" width="6.81640625" style="6" customWidth="1"/>
    <col min="13622" max="13622" width="6" style="6" customWidth="1"/>
    <col min="13623" max="13623" width="18.08984375" style="6" customWidth="1"/>
    <col min="13624" max="13861" width="9" style="6"/>
    <col min="13862" max="13862" width="2.08984375" style="6" customWidth="1"/>
    <col min="13863" max="13863" width="5.81640625" style="6" customWidth="1"/>
    <col min="13864" max="13864" width="6.81640625" style="6" customWidth="1"/>
    <col min="13865" max="13865" width="6.08984375" style="6" customWidth="1"/>
    <col min="13866" max="13866" width="6.81640625" style="6" customWidth="1"/>
    <col min="13867" max="13867" width="10.81640625" style="6" customWidth="1"/>
    <col min="13868" max="13868" width="11.54296875" style="6" customWidth="1"/>
    <col min="13869" max="13869" width="5.54296875" style="6" customWidth="1"/>
    <col min="13870" max="13870" width="6" style="6" customWidth="1"/>
    <col min="13871" max="13871" width="6.54296875" style="6" customWidth="1"/>
    <col min="13872" max="13872" width="11.08984375" style="6" customWidth="1"/>
    <col min="13873" max="13873" width="7.08984375" style="6" customWidth="1"/>
    <col min="13874" max="13875" width="5.81640625" style="6" customWidth="1"/>
    <col min="13876" max="13876" width="6" style="6" customWidth="1"/>
    <col min="13877" max="13877" width="6.81640625" style="6" customWidth="1"/>
    <col min="13878" max="13878" width="6" style="6" customWidth="1"/>
    <col min="13879" max="13879" width="18.08984375" style="6" customWidth="1"/>
    <col min="13880" max="14117" width="9" style="6"/>
    <col min="14118" max="14118" width="2.08984375" style="6" customWidth="1"/>
    <col min="14119" max="14119" width="5.81640625" style="6" customWidth="1"/>
    <col min="14120" max="14120" width="6.81640625" style="6" customWidth="1"/>
    <col min="14121" max="14121" width="6.08984375" style="6" customWidth="1"/>
    <col min="14122" max="14122" width="6.81640625" style="6" customWidth="1"/>
    <col min="14123" max="14123" width="10.81640625" style="6" customWidth="1"/>
    <col min="14124" max="14124" width="11.54296875" style="6" customWidth="1"/>
    <col min="14125" max="14125" width="5.54296875" style="6" customWidth="1"/>
    <col min="14126" max="14126" width="6" style="6" customWidth="1"/>
    <col min="14127" max="14127" width="6.54296875" style="6" customWidth="1"/>
    <col min="14128" max="14128" width="11.08984375" style="6" customWidth="1"/>
    <col min="14129" max="14129" width="7.08984375" style="6" customWidth="1"/>
    <col min="14130" max="14131" width="5.81640625" style="6" customWidth="1"/>
    <col min="14132" max="14132" width="6" style="6" customWidth="1"/>
    <col min="14133" max="14133" width="6.81640625" style="6" customWidth="1"/>
    <col min="14134" max="14134" width="6" style="6" customWidth="1"/>
    <col min="14135" max="14135" width="18.08984375" style="6" customWidth="1"/>
    <col min="14136" max="14373" width="9" style="6"/>
    <col min="14374" max="14374" width="2.08984375" style="6" customWidth="1"/>
    <col min="14375" max="14375" width="5.81640625" style="6" customWidth="1"/>
    <col min="14376" max="14376" width="6.81640625" style="6" customWidth="1"/>
    <col min="14377" max="14377" width="6.08984375" style="6" customWidth="1"/>
    <col min="14378" max="14378" width="6.81640625" style="6" customWidth="1"/>
    <col min="14379" max="14379" width="10.81640625" style="6" customWidth="1"/>
    <col min="14380" max="14380" width="11.54296875" style="6" customWidth="1"/>
    <col min="14381" max="14381" width="5.54296875" style="6" customWidth="1"/>
    <col min="14382" max="14382" width="6" style="6" customWidth="1"/>
    <col min="14383" max="14383" width="6.54296875" style="6" customWidth="1"/>
    <col min="14384" max="14384" width="11.08984375" style="6" customWidth="1"/>
    <col min="14385" max="14385" width="7.08984375" style="6" customWidth="1"/>
    <col min="14386" max="14387" width="5.81640625" style="6" customWidth="1"/>
    <col min="14388" max="14388" width="6" style="6" customWidth="1"/>
    <col min="14389" max="14389" width="6.81640625" style="6" customWidth="1"/>
    <col min="14390" max="14390" width="6" style="6" customWidth="1"/>
    <col min="14391" max="14391" width="18.08984375" style="6" customWidth="1"/>
    <col min="14392" max="14629" width="9" style="6"/>
    <col min="14630" max="14630" width="2.08984375" style="6" customWidth="1"/>
    <col min="14631" max="14631" width="5.81640625" style="6" customWidth="1"/>
    <col min="14632" max="14632" width="6.81640625" style="6" customWidth="1"/>
    <col min="14633" max="14633" width="6.08984375" style="6" customWidth="1"/>
    <col min="14634" max="14634" width="6.81640625" style="6" customWidth="1"/>
    <col min="14635" max="14635" width="10.81640625" style="6" customWidth="1"/>
    <col min="14636" max="14636" width="11.54296875" style="6" customWidth="1"/>
    <col min="14637" max="14637" width="5.54296875" style="6" customWidth="1"/>
    <col min="14638" max="14638" width="6" style="6" customWidth="1"/>
    <col min="14639" max="14639" width="6.54296875" style="6" customWidth="1"/>
    <col min="14640" max="14640" width="11.08984375" style="6" customWidth="1"/>
    <col min="14641" max="14641" width="7.08984375" style="6" customWidth="1"/>
    <col min="14642" max="14643" width="5.81640625" style="6" customWidth="1"/>
    <col min="14644" max="14644" width="6" style="6" customWidth="1"/>
    <col min="14645" max="14645" width="6.81640625" style="6" customWidth="1"/>
    <col min="14646" max="14646" width="6" style="6" customWidth="1"/>
    <col min="14647" max="14647" width="18.08984375" style="6" customWidth="1"/>
    <col min="14648" max="14885" width="9" style="6"/>
    <col min="14886" max="14886" width="2.08984375" style="6" customWidth="1"/>
    <col min="14887" max="14887" width="5.81640625" style="6" customWidth="1"/>
    <col min="14888" max="14888" width="6.81640625" style="6" customWidth="1"/>
    <col min="14889" max="14889" width="6.08984375" style="6" customWidth="1"/>
    <col min="14890" max="14890" width="6.81640625" style="6" customWidth="1"/>
    <col min="14891" max="14891" width="10.81640625" style="6" customWidth="1"/>
    <col min="14892" max="14892" width="11.54296875" style="6" customWidth="1"/>
    <col min="14893" max="14893" width="5.54296875" style="6" customWidth="1"/>
    <col min="14894" max="14894" width="6" style="6" customWidth="1"/>
    <col min="14895" max="14895" width="6.54296875" style="6" customWidth="1"/>
    <col min="14896" max="14896" width="11.08984375" style="6" customWidth="1"/>
    <col min="14897" max="14897" width="7.08984375" style="6" customWidth="1"/>
    <col min="14898" max="14899" width="5.81640625" style="6" customWidth="1"/>
    <col min="14900" max="14900" width="6" style="6" customWidth="1"/>
    <col min="14901" max="14901" width="6.81640625" style="6" customWidth="1"/>
    <col min="14902" max="14902" width="6" style="6" customWidth="1"/>
    <col min="14903" max="14903" width="18.08984375" style="6" customWidth="1"/>
    <col min="14904" max="15141" width="9" style="6"/>
    <col min="15142" max="15142" width="2.08984375" style="6" customWidth="1"/>
    <col min="15143" max="15143" width="5.81640625" style="6" customWidth="1"/>
    <col min="15144" max="15144" width="6.81640625" style="6" customWidth="1"/>
    <col min="15145" max="15145" width="6.08984375" style="6" customWidth="1"/>
    <col min="15146" max="15146" width="6.81640625" style="6" customWidth="1"/>
    <col min="15147" max="15147" width="10.81640625" style="6" customWidth="1"/>
    <col min="15148" max="15148" width="11.54296875" style="6" customWidth="1"/>
    <col min="15149" max="15149" width="5.54296875" style="6" customWidth="1"/>
    <col min="15150" max="15150" width="6" style="6" customWidth="1"/>
    <col min="15151" max="15151" width="6.54296875" style="6" customWidth="1"/>
    <col min="15152" max="15152" width="11.08984375" style="6" customWidth="1"/>
    <col min="15153" max="15153" width="7.08984375" style="6" customWidth="1"/>
    <col min="15154" max="15155" width="5.81640625" style="6" customWidth="1"/>
    <col min="15156" max="15156" width="6" style="6" customWidth="1"/>
    <col min="15157" max="15157" width="6.81640625" style="6" customWidth="1"/>
    <col min="15158" max="15158" width="6" style="6" customWidth="1"/>
    <col min="15159" max="15159" width="18.08984375" style="6" customWidth="1"/>
    <col min="15160" max="15397" width="9" style="6"/>
    <col min="15398" max="15398" width="2.08984375" style="6" customWidth="1"/>
    <col min="15399" max="15399" width="5.81640625" style="6" customWidth="1"/>
    <col min="15400" max="15400" width="6.81640625" style="6" customWidth="1"/>
    <col min="15401" max="15401" width="6.08984375" style="6" customWidth="1"/>
    <col min="15402" max="15402" width="6.81640625" style="6" customWidth="1"/>
    <col min="15403" max="15403" width="10.81640625" style="6" customWidth="1"/>
    <col min="15404" max="15404" width="11.54296875" style="6" customWidth="1"/>
    <col min="15405" max="15405" width="5.54296875" style="6" customWidth="1"/>
    <col min="15406" max="15406" width="6" style="6" customWidth="1"/>
    <col min="15407" max="15407" width="6.54296875" style="6" customWidth="1"/>
    <col min="15408" max="15408" width="11.08984375" style="6" customWidth="1"/>
    <col min="15409" max="15409" width="7.08984375" style="6" customWidth="1"/>
    <col min="15410" max="15411" width="5.81640625" style="6" customWidth="1"/>
    <col min="15412" max="15412" width="6" style="6" customWidth="1"/>
    <col min="15413" max="15413" width="6.81640625" style="6" customWidth="1"/>
    <col min="15414" max="15414" width="6" style="6" customWidth="1"/>
    <col min="15415" max="15415" width="18.08984375" style="6" customWidth="1"/>
    <col min="15416" max="15653" width="9" style="6"/>
    <col min="15654" max="15654" width="2.08984375" style="6" customWidth="1"/>
    <col min="15655" max="15655" width="5.81640625" style="6" customWidth="1"/>
    <col min="15656" max="15656" width="6.81640625" style="6" customWidth="1"/>
    <col min="15657" max="15657" width="6.08984375" style="6" customWidth="1"/>
    <col min="15658" max="15658" width="6.81640625" style="6" customWidth="1"/>
    <col min="15659" max="15659" width="10.81640625" style="6" customWidth="1"/>
    <col min="15660" max="15660" width="11.54296875" style="6" customWidth="1"/>
    <col min="15661" max="15661" width="5.54296875" style="6" customWidth="1"/>
    <col min="15662" max="15662" width="6" style="6" customWidth="1"/>
    <col min="15663" max="15663" width="6.54296875" style="6" customWidth="1"/>
    <col min="15664" max="15664" width="11.08984375" style="6" customWidth="1"/>
    <col min="15665" max="15665" width="7.08984375" style="6" customWidth="1"/>
    <col min="15666" max="15667" width="5.81640625" style="6" customWidth="1"/>
    <col min="15668" max="15668" width="6" style="6" customWidth="1"/>
    <col min="15669" max="15669" width="6.81640625" style="6" customWidth="1"/>
    <col min="15670" max="15670" width="6" style="6" customWidth="1"/>
    <col min="15671" max="15671" width="18.08984375" style="6" customWidth="1"/>
    <col min="15672" max="15909" width="9" style="6"/>
    <col min="15910" max="15910" width="2.08984375" style="6" customWidth="1"/>
    <col min="15911" max="15911" width="5.81640625" style="6" customWidth="1"/>
    <col min="15912" max="15912" width="6.81640625" style="6" customWidth="1"/>
    <col min="15913" max="15913" width="6.08984375" style="6" customWidth="1"/>
    <col min="15914" max="15914" width="6.81640625" style="6" customWidth="1"/>
    <col min="15915" max="15915" width="10.81640625" style="6" customWidth="1"/>
    <col min="15916" max="15916" width="11.54296875" style="6" customWidth="1"/>
    <col min="15917" max="15917" width="5.54296875" style="6" customWidth="1"/>
    <col min="15918" max="15918" width="6" style="6" customWidth="1"/>
    <col min="15919" max="15919" width="6.54296875" style="6" customWidth="1"/>
    <col min="15920" max="15920" width="11.08984375" style="6" customWidth="1"/>
    <col min="15921" max="15921" width="7.08984375" style="6" customWidth="1"/>
    <col min="15922" max="15923" width="5.81640625" style="6" customWidth="1"/>
    <col min="15924" max="15924" width="6" style="6" customWidth="1"/>
    <col min="15925" max="15925" width="6.81640625" style="6" customWidth="1"/>
    <col min="15926" max="15926" width="6" style="6" customWidth="1"/>
    <col min="15927" max="15927" width="18.08984375" style="6" customWidth="1"/>
    <col min="15928" max="16165" width="9" style="6"/>
    <col min="16166" max="16166" width="2.08984375" style="6" customWidth="1"/>
    <col min="16167" max="16167" width="5.81640625" style="6" customWidth="1"/>
    <col min="16168" max="16168" width="6.81640625" style="6" customWidth="1"/>
    <col min="16169" max="16169" width="6.08984375" style="6" customWidth="1"/>
    <col min="16170" max="16170" width="6.81640625" style="6" customWidth="1"/>
    <col min="16171" max="16171" width="10.81640625" style="6" customWidth="1"/>
    <col min="16172" max="16172" width="11.54296875" style="6" customWidth="1"/>
    <col min="16173" max="16173" width="5.54296875" style="6" customWidth="1"/>
    <col min="16174" max="16174" width="6" style="6" customWidth="1"/>
    <col min="16175" max="16175" width="6.54296875" style="6" customWidth="1"/>
    <col min="16176" max="16176" width="11.08984375" style="6" customWidth="1"/>
    <col min="16177" max="16177" width="7.08984375" style="6" customWidth="1"/>
    <col min="16178" max="16179" width="5.81640625" style="6" customWidth="1"/>
    <col min="16180" max="16180" width="6" style="6" customWidth="1"/>
    <col min="16181" max="16181" width="6.81640625" style="6" customWidth="1"/>
    <col min="16182" max="16182" width="6" style="6" customWidth="1"/>
    <col min="16183" max="16183" width="18.08984375" style="6" customWidth="1"/>
  </cols>
  <sheetData>
    <row r="1" spans="2:58" ht="17.5" customHeight="1" thickBot="1" x14ac:dyDescent="0.3">
      <c r="B1" s="187" t="s">
        <v>230</v>
      </c>
      <c r="C1" s="188"/>
      <c r="D1" s="188"/>
      <c r="E1" s="188"/>
      <c r="F1" s="188"/>
      <c r="G1" s="188"/>
      <c r="H1" s="188"/>
      <c r="I1" s="188"/>
      <c r="J1" s="188"/>
      <c r="K1" s="188"/>
      <c r="L1" s="188"/>
      <c r="M1" s="188"/>
      <c r="N1" s="188"/>
      <c r="O1" s="188"/>
      <c r="P1" s="188"/>
      <c r="Q1" s="188"/>
      <c r="R1" s="188"/>
      <c r="S1" s="188"/>
      <c r="T1" s="188"/>
      <c r="U1" s="188"/>
      <c r="V1" s="188"/>
      <c r="W1" s="188"/>
      <c r="X1" s="188"/>
      <c r="Y1" s="188"/>
      <c r="Z1" s="188"/>
      <c r="AA1" s="188"/>
      <c r="AB1" s="188"/>
      <c r="AC1" s="188"/>
      <c r="AD1" s="188"/>
      <c r="AE1" s="188"/>
      <c r="AF1" s="188"/>
      <c r="AG1" s="188"/>
      <c r="AH1" s="188"/>
      <c r="AI1" s="188"/>
      <c r="AJ1" s="188"/>
      <c r="AK1" s="188"/>
      <c r="AL1" s="188"/>
      <c r="AM1" s="188"/>
      <c r="AN1" s="188"/>
      <c r="AO1" s="188"/>
      <c r="AP1" s="188"/>
      <c r="AQ1" s="188"/>
      <c r="AR1" s="188"/>
      <c r="AS1" s="188"/>
      <c r="AT1" s="188"/>
      <c r="AU1" s="188"/>
      <c r="AV1" s="188"/>
      <c r="AW1" s="188"/>
      <c r="AX1" s="188"/>
      <c r="AY1" s="188"/>
      <c r="AZ1" s="188"/>
      <c r="BA1" s="188"/>
      <c r="BB1" s="188"/>
      <c r="BC1" s="188"/>
      <c r="BD1" s="188"/>
      <c r="BE1" s="188"/>
      <c r="BF1" s="188"/>
    </row>
    <row r="2" spans="2:58" ht="13" customHeight="1" x14ac:dyDescent="0.25">
      <c r="B2" s="234" t="s">
        <v>232</v>
      </c>
      <c r="C2" s="197"/>
      <c r="D2" s="197"/>
      <c r="E2" s="197"/>
      <c r="F2" s="197"/>
      <c r="G2" s="197"/>
      <c r="H2" s="197"/>
      <c r="I2" s="197"/>
      <c r="J2" s="197"/>
      <c r="K2" s="197"/>
      <c r="L2" s="202"/>
      <c r="M2" s="235" t="s">
        <v>231</v>
      </c>
      <c r="N2" s="197"/>
      <c r="O2" s="197"/>
      <c r="P2" s="197"/>
      <c r="Q2" s="197"/>
      <c r="R2" s="197"/>
      <c r="S2" s="197"/>
      <c r="T2" s="197"/>
      <c r="U2" s="197"/>
      <c r="V2" s="197"/>
      <c r="W2" s="202"/>
      <c r="X2" s="147" t="s">
        <v>233</v>
      </c>
      <c r="Y2" s="197"/>
      <c r="Z2" s="197"/>
      <c r="AA2" s="197"/>
      <c r="AB2" s="197"/>
      <c r="AC2" s="197"/>
      <c r="AD2" s="197"/>
      <c r="AE2" s="197"/>
      <c r="AF2" s="197"/>
      <c r="AG2" s="197"/>
      <c r="AH2" s="202"/>
      <c r="AI2" s="235" t="s">
        <v>234</v>
      </c>
      <c r="AJ2" s="197"/>
      <c r="AK2" s="197"/>
      <c r="AL2" s="197"/>
      <c r="AM2" s="197"/>
      <c r="AN2" s="197"/>
      <c r="AO2" s="197"/>
      <c r="AP2" s="197"/>
      <c r="AQ2" s="197"/>
      <c r="AR2" s="197"/>
      <c r="AS2" s="197"/>
      <c r="AT2" s="202"/>
      <c r="AU2" s="147" t="s">
        <v>235</v>
      </c>
      <c r="AV2" s="197"/>
      <c r="AW2" s="197"/>
      <c r="AX2" s="197"/>
      <c r="AY2" s="197"/>
      <c r="AZ2" s="197"/>
      <c r="BA2" s="197"/>
      <c r="BB2" s="197"/>
      <c r="BC2" s="197"/>
      <c r="BD2" s="197"/>
      <c r="BE2" s="197"/>
      <c r="BF2" s="236"/>
    </row>
    <row r="3" spans="2:58" ht="13" customHeight="1" x14ac:dyDescent="0.25">
      <c r="B3" s="238"/>
      <c r="C3" s="222"/>
      <c r="D3" s="222"/>
      <c r="E3" s="222"/>
      <c r="F3" s="222"/>
      <c r="G3" s="222"/>
      <c r="H3" s="222"/>
      <c r="I3" s="222"/>
      <c r="J3" s="222"/>
      <c r="K3" s="222"/>
      <c r="L3" s="223"/>
      <c r="M3" s="241"/>
      <c r="N3" s="222"/>
      <c r="O3" s="222"/>
      <c r="P3" s="222"/>
      <c r="Q3" s="222"/>
      <c r="R3" s="222"/>
      <c r="S3" s="222"/>
      <c r="T3" s="222"/>
      <c r="U3" s="222"/>
      <c r="V3" s="222"/>
      <c r="W3" s="223"/>
      <c r="X3" s="229"/>
      <c r="Y3" s="222"/>
      <c r="Z3" s="222"/>
      <c r="AA3" s="222"/>
      <c r="AB3" s="222"/>
      <c r="AC3" s="222"/>
      <c r="AD3" s="222"/>
      <c r="AE3" s="222"/>
      <c r="AF3" s="222"/>
      <c r="AG3" s="222"/>
      <c r="AH3" s="223"/>
      <c r="AI3" s="251"/>
      <c r="AJ3" s="222"/>
      <c r="AK3" s="222"/>
      <c r="AL3" s="222"/>
      <c r="AM3" s="222"/>
      <c r="AN3" s="222"/>
      <c r="AO3" s="222"/>
      <c r="AP3" s="222"/>
      <c r="AQ3" s="222"/>
      <c r="AR3" s="222"/>
      <c r="AS3" s="222"/>
      <c r="AT3" s="223"/>
      <c r="AU3" s="229"/>
      <c r="AV3" s="222"/>
      <c r="AW3" s="222"/>
      <c r="AX3" s="222"/>
      <c r="AY3" s="222"/>
      <c r="AZ3" s="222"/>
      <c r="BA3" s="222"/>
      <c r="BB3" s="222"/>
      <c r="BC3" s="222"/>
      <c r="BD3" s="222"/>
      <c r="BE3" s="222"/>
      <c r="BF3" s="231"/>
    </row>
    <row r="4" spans="2:58" ht="13" customHeight="1" x14ac:dyDescent="0.25">
      <c r="B4" s="239"/>
      <c r="C4" s="225"/>
      <c r="D4" s="225"/>
      <c r="E4" s="225"/>
      <c r="F4" s="225"/>
      <c r="G4" s="225"/>
      <c r="H4" s="225"/>
      <c r="I4" s="225"/>
      <c r="J4" s="225"/>
      <c r="K4" s="225"/>
      <c r="L4" s="226"/>
      <c r="M4" s="224"/>
      <c r="N4" s="225"/>
      <c r="O4" s="225"/>
      <c r="P4" s="225"/>
      <c r="Q4" s="225"/>
      <c r="R4" s="225"/>
      <c r="S4" s="225"/>
      <c r="T4" s="225"/>
      <c r="U4" s="225"/>
      <c r="V4" s="225"/>
      <c r="W4" s="226"/>
      <c r="X4" s="224"/>
      <c r="Y4" s="225"/>
      <c r="Z4" s="225"/>
      <c r="AA4" s="225"/>
      <c r="AB4" s="225"/>
      <c r="AC4" s="225"/>
      <c r="AD4" s="225"/>
      <c r="AE4" s="225"/>
      <c r="AF4" s="225"/>
      <c r="AG4" s="225"/>
      <c r="AH4" s="226"/>
      <c r="AI4" s="224"/>
      <c r="AJ4" s="225"/>
      <c r="AK4" s="225"/>
      <c r="AL4" s="225"/>
      <c r="AM4" s="225"/>
      <c r="AN4" s="225"/>
      <c r="AO4" s="225"/>
      <c r="AP4" s="225"/>
      <c r="AQ4" s="225"/>
      <c r="AR4" s="225"/>
      <c r="AS4" s="225"/>
      <c r="AT4" s="226"/>
      <c r="AU4" s="224"/>
      <c r="AV4" s="225"/>
      <c r="AW4" s="225"/>
      <c r="AX4" s="225"/>
      <c r="AY4" s="225"/>
      <c r="AZ4" s="225"/>
      <c r="BA4" s="225"/>
      <c r="BB4" s="225"/>
      <c r="BC4" s="225"/>
      <c r="BD4" s="225"/>
      <c r="BE4" s="225"/>
      <c r="BF4" s="232"/>
    </row>
    <row r="5" spans="2:58" ht="13" customHeight="1" x14ac:dyDescent="0.25">
      <c r="B5" s="239"/>
      <c r="C5" s="225"/>
      <c r="D5" s="225"/>
      <c r="E5" s="225"/>
      <c r="F5" s="225"/>
      <c r="G5" s="225"/>
      <c r="H5" s="225"/>
      <c r="I5" s="225"/>
      <c r="J5" s="225"/>
      <c r="K5" s="225"/>
      <c r="L5" s="226"/>
      <c r="M5" s="224"/>
      <c r="N5" s="225"/>
      <c r="O5" s="225"/>
      <c r="P5" s="225"/>
      <c r="Q5" s="225"/>
      <c r="R5" s="225"/>
      <c r="S5" s="225"/>
      <c r="T5" s="225"/>
      <c r="U5" s="225"/>
      <c r="V5" s="225"/>
      <c r="W5" s="226"/>
      <c r="X5" s="224"/>
      <c r="Y5" s="225"/>
      <c r="Z5" s="225"/>
      <c r="AA5" s="225"/>
      <c r="AB5" s="225"/>
      <c r="AC5" s="225"/>
      <c r="AD5" s="225"/>
      <c r="AE5" s="225"/>
      <c r="AF5" s="225"/>
      <c r="AG5" s="225"/>
      <c r="AH5" s="226"/>
      <c r="AI5" s="224"/>
      <c r="AJ5" s="225"/>
      <c r="AK5" s="225"/>
      <c r="AL5" s="225"/>
      <c r="AM5" s="225"/>
      <c r="AN5" s="225"/>
      <c r="AO5" s="225"/>
      <c r="AP5" s="225"/>
      <c r="AQ5" s="225"/>
      <c r="AR5" s="225"/>
      <c r="AS5" s="225"/>
      <c r="AT5" s="226"/>
      <c r="AU5" s="224"/>
      <c r="AV5" s="225"/>
      <c r="AW5" s="225"/>
      <c r="AX5" s="225"/>
      <c r="AY5" s="225"/>
      <c r="AZ5" s="225"/>
      <c r="BA5" s="225"/>
      <c r="BB5" s="225"/>
      <c r="BC5" s="225"/>
      <c r="BD5" s="225"/>
      <c r="BE5" s="225"/>
      <c r="BF5" s="232"/>
    </row>
    <row r="6" spans="2:58" ht="13" customHeight="1" x14ac:dyDescent="0.25">
      <c r="B6" s="239"/>
      <c r="C6" s="225"/>
      <c r="D6" s="225"/>
      <c r="E6" s="225"/>
      <c r="F6" s="225"/>
      <c r="G6" s="225"/>
      <c r="H6" s="225"/>
      <c r="I6" s="225"/>
      <c r="J6" s="225"/>
      <c r="K6" s="225"/>
      <c r="L6" s="226"/>
      <c r="M6" s="224"/>
      <c r="N6" s="225"/>
      <c r="O6" s="225"/>
      <c r="P6" s="225"/>
      <c r="Q6" s="225"/>
      <c r="R6" s="225"/>
      <c r="S6" s="225"/>
      <c r="T6" s="225"/>
      <c r="U6" s="225"/>
      <c r="V6" s="225"/>
      <c r="W6" s="226"/>
      <c r="X6" s="224"/>
      <c r="Y6" s="225"/>
      <c r="Z6" s="225"/>
      <c r="AA6" s="225"/>
      <c r="AB6" s="225"/>
      <c r="AC6" s="225"/>
      <c r="AD6" s="225"/>
      <c r="AE6" s="225"/>
      <c r="AF6" s="225"/>
      <c r="AG6" s="225"/>
      <c r="AH6" s="226"/>
      <c r="AI6" s="224"/>
      <c r="AJ6" s="225"/>
      <c r="AK6" s="225"/>
      <c r="AL6" s="225"/>
      <c r="AM6" s="225"/>
      <c r="AN6" s="225"/>
      <c r="AO6" s="225"/>
      <c r="AP6" s="225"/>
      <c r="AQ6" s="225"/>
      <c r="AR6" s="225"/>
      <c r="AS6" s="225"/>
      <c r="AT6" s="226"/>
      <c r="AU6" s="224"/>
      <c r="AV6" s="225"/>
      <c r="AW6" s="225"/>
      <c r="AX6" s="225"/>
      <c r="AY6" s="225"/>
      <c r="AZ6" s="225"/>
      <c r="BA6" s="225"/>
      <c r="BB6" s="225"/>
      <c r="BC6" s="225"/>
      <c r="BD6" s="225"/>
      <c r="BE6" s="225"/>
      <c r="BF6" s="232"/>
    </row>
    <row r="7" spans="2:58" ht="13" customHeight="1" x14ac:dyDescent="0.25">
      <c r="B7" s="239"/>
      <c r="C7" s="225"/>
      <c r="D7" s="225"/>
      <c r="E7" s="225"/>
      <c r="F7" s="225"/>
      <c r="G7" s="225"/>
      <c r="H7" s="225"/>
      <c r="I7" s="225"/>
      <c r="J7" s="225"/>
      <c r="K7" s="225"/>
      <c r="L7" s="226"/>
      <c r="M7" s="224"/>
      <c r="N7" s="225"/>
      <c r="O7" s="225"/>
      <c r="P7" s="225"/>
      <c r="Q7" s="225"/>
      <c r="R7" s="225"/>
      <c r="S7" s="225"/>
      <c r="T7" s="225"/>
      <c r="U7" s="225"/>
      <c r="V7" s="225"/>
      <c r="W7" s="226"/>
      <c r="X7" s="224"/>
      <c r="Y7" s="225"/>
      <c r="Z7" s="225"/>
      <c r="AA7" s="225"/>
      <c r="AB7" s="225"/>
      <c r="AC7" s="225"/>
      <c r="AD7" s="225"/>
      <c r="AE7" s="225"/>
      <c r="AF7" s="225"/>
      <c r="AG7" s="225"/>
      <c r="AH7" s="226"/>
      <c r="AI7" s="224"/>
      <c r="AJ7" s="225"/>
      <c r="AK7" s="225"/>
      <c r="AL7" s="225"/>
      <c r="AM7" s="225"/>
      <c r="AN7" s="225"/>
      <c r="AO7" s="225"/>
      <c r="AP7" s="225"/>
      <c r="AQ7" s="225"/>
      <c r="AR7" s="225"/>
      <c r="AS7" s="225"/>
      <c r="AT7" s="226"/>
      <c r="AU7" s="224"/>
      <c r="AV7" s="225"/>
      <c r="AW7" s="225"/>
      <c r="AX7" s="225"/>
      <c r="AY7" s="225"/>
      <c r="AZ7" s="225"/>
      <c r="BA7" s="225"/>
      <c r="BB7" s="225"/>
      <c r="BC7" s="225"/>
      <c r="BD7" s="225"/>
      <c r="BE7" s="225"/>
      <c r="BF7" s="232"/>
    </row>
    <row r="8" spans="2:58" ht="13" customHeight="1" x14ac:dyDescent="0.25">
      <c r="B8" s="239"/>
      <c r="C8" s="225"/>
      <c r="D8" s="225"/>
      <c r="E8" s="225"/>
      <c r="F8" s="225"/>
      <c r="G8" s="225"/>
      <c r="H8" s="225"/>
      <c r="I8" s="225"/>
      <c r="J8" s="225"/>
      <c r="K8" s="225"/>
      <c r="L8" s="226"/>
      <c r="M8" s="224"/>
      <c r="N8" s="225"/>
      <c r="O8" s="225"/>
      <c r="P8" s="225"/>
      <c r="Q8" s="225"/>
      <c r="R8" s="225"/>
      <c r="S8" s="225"/>
      <c r="T8" s="225"/>
      <c r="U8" s="225"/>
      <c r="V8" s="225"/>
      <c r="W8" s="226"/>
      <c r="X8" s="224"/>
      <c r="Y8" s="225"/>
      <c r="Z8" s="225"/>
      <c r="AA8" s="225"/>
      <c r="AB8" s="225"/>
      <c r="AC8" s="225"/>
      <c r="AD8" s="225"/>
      <c r="AE8" s="225"/>
      <c r="AF8" s="225"/>
      <c r="AG8" s="225"/>
      <c r="AH8" s="226"/>
      <c r="AI8" s="224"/>
      <c r="AJ8" s="225"/>
      <c r="AK8" s="225"/>
      <c r="AL8" s="225"/>
      <c r="AM8" s="225"/>
      <c r="AN8" s="225"/>
      <c r="AO8" s="225"/>
      <c r="AP8" s="225"/>
      <c r="AQ8" s="225"/>
      <c r="AR8" s="225"/>
      <c r="AS8" s="225"/>
      <c r="AT8" s="226"/>
      <c r="AU8" s="224"/>
      <c r="AV8" s="225"/>
      <c r="AW8" s="225"/>
      <c r="AX8" s="225"/>
      <c r="AY8" s="225"/>
      <c r="AZ8" s="225"/>
      <c r="BA8" s="225"/>
      <c r="BB8" s="225"/>
      <c r="BC8" s="225"/>
      <c r="BD8" s="225"/>
      <c r="BE8" s="225"/>
      <c r="BF8" s="232"/>
    </row>
    <row r="9" spans="2:58" ht="13" customHeight="1" x14ac:dyDescent="0.25">
      <c r="B9" s="240"/>
      <c r="C9" s="228"/>
      <c r="D9" s="228"/>
      <c r="E9" s="228"/>
      <c r="F9" s="228"/>
      <c r="G9" s="228"/>
      <c r="H9" s="228"/>
      <c r="I9" s="228"/>
      <c r="J9" s="228"/>
      <c r="K9" s="228"/>
      <c r="L9" s="185"/>
      <c r="M9" s="227"/>
      <c r="N9" s="228"/>
      <c r="O9" s="228"/>
      <c r="P9" s="228"/>
      <c r="Q9" s="228"/>
      <c r="R9" s="228"/>
      <c r="S9" s="228"/>
      <c r="T9" s="228"/>
      <c r="U9" s="228"/>
      <c r="V9" s="228"/>
      <c r="W9" s="185"/>
      <c r="X9" s="227"/>
      <c r="Y9" s="228"/>
      <c r="Z9" s="228"/>
      <c r="AA9" s="228"/>
      <c r="AB9" s="228"/>
      <c r="AC9" s="228"/>
      <c r="AD9" s="228"/>
      <c r="AE9" s="228"/>
      <c r="AF9" s="228"/>
      <c r="AG9" s="228"/>
      <c r="AH9" s="185"/>
      <c r="AI9" s="227"/>
      <c r="AJ9" s="228"/>
      <c r="AK9" s="228"/>
      <c r="AL9" s="228"/>
      <c r="AM9" s="228"/>
      <c r="AN9" s="228"/>
      <c r="AO9" s="228"/>
      <c r="AP9" s="228"/>
      <c r="AQ9" s="228"/>
      <c r="AR9" s="228"/>
      <c r="AS9" s="228"/>
      <c r="AT9" s="185"/>
      <c r="AU9" s="227"/>
      <c r="AV9" s="228"/>
      <c r="AW9" s="228"/>
      <c r="AX9" s="228"/>
      <c r="AY9" s="228"/>
      <c r="AZ9" s="228"/>
      <c r="BA9" s="228"/>
      <c r="BB9" s="228"/>
      <c r="BC9" s="228"/>
      <c r="BD9" s="228"/>
      <c r="BE9" s="228"/>
      <c r="BF9" s="233"/>
    </row>
    <row r="10" spans="2:58" ht="13" customHeight="1" x14ac:dyDescent="0.25">
      <c r="B10" s="217" t="s">
        <v>236</v>
      </c>
      <c r="C10" s="215"/>
      <c r="D10" s="215"/>
      <c r="E10" s="215"/>
      <c r="F10" s="215"/>
      <c r="G10" s="215"/>
      <c r="H10" s="215"/>
      <c r="I10" s="215"/>
      <c r="J10" s="215"/>
      <c r="K10" s="215"/>
      <c r="L10" s="186"/>
      <c r="M10" s="237" t="s">
        <v>237</v>
      </c>
      <c r="N10" s="215"/>
      <c r="O10" s="215"/>
      <c r="P10" s="215"/>
      <c r="Q10" s="215"/>
      <c r="R10" s="215"/>
      <c r="S10" s="215"/>
      <c r="T10" s="215"/>
      <c r="U10" s="215"/>
      <c r="V10" s="215"/>
      <c r="W10" s="186"/>
      <c r="X10" s="192" t="s">
        <v>238</v>
      </c>
      <c r="Y10" s="215"/>
      <c r="Z10" s="215"/>
      <c r="AA10" s="215"/>
      <c r="AB10" s="215"/>
      <c r="AC10" s="215"/>
      <c r="AD10" s="215"/>
      <c r="AE10" s="215"/>
      <c r="AF10" s="215"/>
      <c r="AG10" s="215"/>
      <c r="AH10" s="186"/>
      <c r="AI10" s="192" t="s">
        <v>239</v>
      </c>
      <c r="AJ10" s="215"/>
      <c r="AK10" s="215"/>
      <c r="AL10" s="215"/>
      <c r="AM10" s="215"/>
      <c r="AN10" s="215"/>
      <c r="AO10" s="215"/>
      <c r="AP10" s="215"/>
      <c r="AQ10" s="215"/>
      <c r="AR10" s="215"/>
      <c r="AS10" s="215"/>
      <c r="AT10" s="186"/>
      <c r="AU10" s="168" t="s">
        <v>240</v>
      </c>
      <c r="AV10" s="215"/>
      <c r="AW10" s="215"/>
      <c r="AX10" s="215"/>
      <c r="AY10" s="215"/>
      <c r="AZ10" s="215"/>
      <c r="BA10" s="215"/>
      <c r="BB10" s="215"/>
      <c r="BC10" s="215"/>
      <c r="BD10" s="215"/>
      <c r="BE10" s="215"/>
      <c r="BF10" s="219"/>
    </row>
    <row r="11" spans="2:58" ht="13" customHeight="1" x14ac:dyDescent="0.25">
      <c r="B11" s="238"/>
      <c r="C11" s="222"/>
      <c r="D11" s="222"/>
      <c r="E11" s="222"/>
      <c r="F11" s="222"/>
      <c r="G11" s="222"/>
      <c r="H11" s="222"/>
      <c r="I11" s="222"/>
      <c r="J11" s="222"/>
      <c r="K11" s="222"/>
      <c r="L11" s="223"/>
      <c r="M11" s="241"/>
      <c r="N11" s="222"/>
      <c r="O11" s="222"/>
      <c r="P11" s="222"/>
      <c r="Q11" s="222"/>
      <c r="R11" s="222"/>
      <c r="S11" s="222"/>
      <c r="T11" s="222"/>
      <c r="U11" s="222"/>
      <c r="V11" s="222"/>
      <c r="W11" s="223"/>
      <c r="X11" s="241"/>
      <c r="Y11" s="222"/>
      <c r="Z11" s="222"/>
      <c r="AA11" s="222"/>
      <c r="AB11" s="222"/>
      <c r="AC11" s="222"/>
      <c r="AD11" s="222"/>
      <c r="AE11" s="222"/>
      <c r="AF11" s="222"/>
      <c r="AG11" s="222"/>
      <c r="AH11" s="223"/>
      <c r="AI11" s="241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3"/>
      <c r="AU11" s="230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31"/>
    </row>
    <row r="12" spans="2:58" ht="13" customHeight="1" x14ac:dyDescent="0.25">
      <c r="B12" s="239"/>
      <c r="C12" s="225"/>
      <c r="D12" s="225"/>
      <c r="E12" s="225"/>
      <c r="F12" s="225"/>
      <c r="G12" s="225"/>
      <c r="H12" s="225"/>
      <c r="I12" s="225"/>
      <c r="J12" s="225"/>
      <c r="K12" s="225"/>
      <c r="L12" s="226"/>
      <c r="M12" s="224"/>
      <c r="N12" s="225"/>
      <c r="O12" s="225"/>
      <c r="P12" s="225"/>
      <c r="Q12" s="225"/>
      <c r="R12" s="225"/>
      <c r="S12" s="225"/>
      <c r="T12" s="225"/>
      <c r="U12" s="225"/>
      <c r="V12" s="225"/>
      <c r="W12" s="226"/>
      <c r="X12" s="224"/>
      <c r="Y12" s="225"/>
      <c r="Z12" s="225"/>
      <c r="AA12" s="225"/>
      <c r="AB12" s="225"/>
      <c r="AC12" s="225"/>
      <c r="AD12" s="225"/>
      <c r="AE12" s="225"/>
      <c r="AF12" s="225"/>
      <c r="AG12" s="225"/>
      <c r="AH12" s="226"/>
      <c r="AI12" s="224"/>
      <c r="AJ12" s="225"/>
      <c r="AK12" s="225"/>
      <c r="AL12" s="225"/>
      <c r="AM12" s="225"/>
      <c r="AN12" s="225"/>
      <c r="AO12" s="225"/>
      <c r="AP12" s="225"/>
      <c r="AQ12" s="225"/>
      <c r="AR12" s="225"/>
      <c r="AS12" s="225"/>
      <c r="AT12" s="226"/>
      <c r="AU12" s="224"/>
      <c r="AV12" s="225"/>
      <c r="AW12" s="225"/>
      <c r="AX12" s="225"/>
      <c r="AY12" s="225"/>
      <c r="AZ12" s="225"/>
      <c r="BA12" s="225"/>
      <c r="BB12" s="225"/>
      <c r="BC12" s="225"/>
      <c r="BD12" s="225"/>
      <c r="BE12" s="225"/>
      <c r="BF12" s="232"/>
    </row>
    <row r="13" spans="2:58" ht="13" customHeight="1" x14ac:dyDescent="0.25">
      <c r="B13" s="239"/>
      <c r="C13" s="225"/>
      <c r="D13" s="225"/>
      <c r="E13" s="225"/>
      <c r="F13" s="225"/>
      <c r="G13" s="225"/>
      <c r="H13" s="225"/>
      <c r="I13" s="225"/>
      <c r="J13" s="225"/>
      <c r="K13" s="225"/>
      <c r="L13" s="226"/>
      <c r="M13" s="224"/>
      <c r="N13" s="225"/>
      <c r="O13" s="225"/>
      <c r="P13" s="225"/>
      <c r="Q13" s="225"/>
      <c r="R13" s="225"/>
      <c r="S13" s="225"/>
      <c r="T13" s="225"/>
      <c r="U13" s="225"/>
      <c r="V13" s="225"/>
      <c r="W13" s="226"/>
      <c r="X13" s="224"/>
      <c r="Y13" s="225"/>
      <c r="Z13" s="225"/>
      <c r="AA13" s="225"/>
      <c r="AB13" s="225"/>
      <c r="AC13" s="225"/>
      <c r="AD13" s="225"/>
      <c r="AE13" s="225"/>
      <c r="AF13" s="225"/>
      <c r="AG13" s="225"/>
      <c r="AH13" s="226"/>
      <c r="AI13" s="224"/>
      <c r="AJ13" s="225"/>
      <c r="AK13" s="225"/>
      <c r="AL13" s="225"/>
      <c r="AM13" s="225"/>
      <c r="AN13" s="225"/>
      <c r="AO13" s="225"/>
      <c r="AP13" s="225"/>
      <c r="AQ13" s="225"/>
      <c r="AR13" s="225"/>
      <c r="AS13" s="225"/>
      <c r="AT13" s="226"/>
      <c r="AU13" s="224"/>
      <c r="AV13" s="225"/>
      <c r="AW13" s="225"/>
      <c r="AX13" s="225"/>
      <c r="AY13" s="225"/>
      <c r="AZ13" s="225"/>
      <c r="BA13" s="225"/>
      <c r="BB13" s="225"/>
      <c r="BC13" s="225"/>
      <c r="BD13" s="225"/>
      <c r="BE13" s="225"/>
      <c r="BF13" s="232"/>
    </row>
    <row r="14" spans="2:58" ht="13" customHeight="1" x14ac:dyDescent="0.25">
      <c r="B14" s="239"/>
      <c r="C14" s="225"/>
      <c r="D14" s="225"/>
      <c r="E14" s="225"/>
      <c r="F14" s="225"/>
      <c r="G14" s="225"/>
      <c r="H14" s="225"/>
      <c r="I14" s="225"/>
      <c r="J14" s="225"/>
      <c r="K14" s="225"/>
      <c r="L14" s="226"/>
      <c r="M14" s="224"/>
      <c r="N14" s="225"/>
      <c r="O14" s="225"/>
      <c r="P14" s="225"/>
      <c r="Q14" s="225"/>
      <c r="R14" s="225"/>
      <c r="S14" s="225"/>
      <c r="T14" s="225"/>
      <c r="U14" s="225"/>
      <c r="V14" s="225"/>
      <c r="W14" s="226"/>
      <c r="X14" s="224"/>
      <c r="Y14" s="225"/>
      <c r="Z14" s="225"/>
      <c r="AA14" s="225"/>
      <c r="AB14" s="225"/>
      <c r="AC14" s="225"/>
      <c r="AD14" s="225"/>
      <c r="AE14" s="225"/>
      <c r="AF14" s="225"/>
      <c r="AG14" s="225"/>
      <c r="AH14" s="226"/>
      <c r="AI14" s="224"/>
      <c r="AJ14" s="225"/>
      <c r="AK14" s="225"/>
      <c r="AL14" s="225"/>
      <c r="AM14" s="225"/>
      <c r="AN14" s="225"/>
      <c r="AO14" s="225"/>
      <c r="AP14" s="225"/>
      <c r="AQ14" s="225"/>
      <c r="AR14" s="225"/>
      <c r="AS14" s="225"/>
      <c r="AT14" s="226"/>
      <c r="AU14" s="224"/>
      <c r="AV14" s="225"/>
      <c r="AW14" s="225"/>
      <c r="AX14" s="225"/>
      <c r="AY14" s="225"/>
      <c r="AZ14" s="225"/>
      <c r="BA14" s="225"/>
      <c r="BB14" s="225"/>
      <c r="BC14" s="225"/>
      <c r="BD14" s="225"/>
      <c r="BE14" s="225"/>
      <c r="BF14" s="232"/>
    </row>
    <row r="15" spans="2:58" ht="13" customHeight="1" x14ac:dyDescent="0.25">
      <c r="B15" s="239"/>
      <c r="C15" s="225"/>
      <c r="D15" s="225"/>
      <c r="E15" s="225"/>
      <c r="F15" s="225"/>
      <c r="G15" s="225"/>
      <c r="H15" s="225"/>
      <c r="I15" s="225"/>
      <c r="J15" s="225"/>
      <c r="K15" s="225"/>
      <c r="L15" s="226"/>
      <c r="M15" s="224"/>
      <c r="N15" s="225"/>
      <c r="O15" s="225"/>
      <c r="P15" s="225"/>
      <c r="Q15" s="225"/>
      <c r="R15" s="225"/>
      <c r="S15" s="225"/>
      <c r="T15" s="225"/>
      <c r="U15" s="225"/>
      <c r="V15" s="225"/>
      <c r="W15" s="226"/>
      <c r="X15" s="224"/>
      <c r="Y15" s="225"/>
      <c r="Z15" s="225"/>
      <c r="AA15" s="225"/>
      <c r="AB15" s="225"/>
      <c r="AC15" s="225"/>
      <c r="AD15" s="225"/>
      <c r="AE15" s="225"/>
      <c r="AF15" s="225"/>
      <c r="AG15" s="225"/>
      <c r="AH15" s="226"/>
      <c r="AI15" s="224"/>
      <c r="AJ15" s="225"/>
      <c r="AK15" s="225"/>
      <c r="AL15" s="225"/>
      <c r="AM15" s="225"/>
      <c r="AN15" s="225"/>
      <c r="AO15" s="225"/>
      <c r="AP15" s="225"/>
      <c r="AQ15" s="225"/>
      <c r="AR15" s="225"/>
      <c r="AS15" s="225"/>
      <c r="AT15" s="226"/>
      <c r="AU15" s="224"/>
      <c r="AV15" s="225"/>
      <c r="AW15" s="225"/>
      <c r="AX15" s="225"/>
      <c r="AY15" s="225"/>
      <c r="AZ15" s="225"/>
      <c r="BA15" s="225"/>
      <c r="BB15" s="225"/>
      <c r="BC15" s="225"/>
      <c r="BD15" s="225"/>
      <c r="BE15" s="225"/>
      <c r="BF15" s="232"/>
    </row>
    <row r="16" spans="2:58" ht="13" customHeight="1" x14ac:dyDescent="0.25">
      <c r="B16" s="239"/>
      <c r="C16" s="225"/>
      <c r="D16" s="225"/>
      <c r="E16" s="225"/>
      <c r="F16" s="225"/>
      <c r="G16" s="225"/>
      <c r="H16" s="225"/>
      <c r="I16" s="225"/>
      <c r="J16" s="225"/>
      <c r="K16" s="225"/>
      <c r="L16" s="226"/>
      <c r="M16" s="224"/>
      <c r="N16" s="225"/>
      <c r="O16" s="225"/>
      <c r="P16" s="225"/>
      <c r="Q16" s="225"/>
      <c r="R16" s="225"/>
      <c r="S16" s="225"/>
      <c r="T16" s="225"/>
      <c r="U16" s="225"/>
      <c r="V16" s="225"/>
      <c r="W16" s="226"/>
      <c r="X16" s="224"/>
      <c r="Y16" s="225"/>
      <c r="Z16" s="225"/>
      <c r="AA16" s="225"/>
      <c r="AB16" s="225"/>
      <c r="AC16" s="225"/>
      <c r="AD16" s="225"/>
      <c r="AE16" s="225"/>
      <c r="AF16" s="225"/>
      <c r="AG16" s="225"/>
      <c r="AH16" s="226"/>
      <c r="AI16" s="224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6"/>
      <c r="AU16" s="224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32"/>
    </row>
    <row r="17" spans="2:58" ht="13" customHeight="1" x14ac:dyDescent="0.25">
      <c r="B17" s="240"/>
      <c r="C17" s="228"/>
      <c r="D17" s="228"/>
      <c r="E17" s="228"/>
      <c r="F17" s="228"/>
      <c r="G17" s="228"/>
      <c r="H17" s="228"/>
      <c r="I17" s="228"/>
      <c r="J17" s="228"/>
      <c r="K17" s="228"/>
      <c r="L17" s="185"/>
      <c r="M17" s="227"/>
      <c r="N17" s="228"/>
      <c r="O17" s="228"/>
      <c r="P17" s="228"/>
      <c r="Q17" s="228"/>
      <c r="R17" s="228"/>
      <c r="S17" s="228"/>
      <c r="T17" s="228"/>
      <c r="U17" s="228"/>
      <c r="V17" s="228"/>
      <c r="W17" s="185"/>
      <c r="X17" s="227"/>
      <c r="Y17" s="228"/>
      <c r="Z17" s="228"/>
      <c r="AA17" s="228"/>
      <c r="AB17" s="228"/>
      <c r="AC17" s="228"/>
      <c r="AD17" s="228"/>
      <c r="AE17" s="228"/>
      <c r="AF17" s="228"/>
      <c r="AG17" s="228"/>
      <c r="AH17" s="185"/>
      <c r="AI17" s="227"/>
      <c r="AJ17" s="228"/>
      <c r="AK17" s="228"/>
      <c r="AL17" s="228"/>
      <c r="AM17" s="228"/>
      <c r="AN17" s="228"/>
      <c r="AO17" s="228"/>
      <c r="AP17" s="228"/>
      <c r="AQ17" s="228"/>
      <c r="AR17" s="228"/>
      <c r="AS17" s="228"/>
      <c r="AT17" s="185"/>
      <c r="AU17" s="227"/>
      <c r="AV17" s="228"/>
      <c r="AW17" s="228"/>
      <c r="AX17" s="228"/>
      <c r="AY17" s="228"/>
      <c r="AZ17" s="228"/>
      <c r="BA17" s="228"/>
      <c r="BB17" s="228"/>
      <c r="BC17" s="228"/>
      <c r="BD17" s="228"/>
      <c r="BE17" s="228"/>
      <c r="BF17" s="233"/>
    </row>
    <row r="18" spans="2:58" ht="13" customHeight="1" x14ac:dyDescent="0.25">
      <c r="B18" s="217" t="s">
        <v>241</v>
      </c>
      <c r="C18" s="215"/>
      <c r="D18" s="215"/>
      <c r="E18" s="215"/>
      <c r="F18" s="215"/>
      <c r="G18" s="215"/>
      <c r="H18" s="215"/>
      <c r="I18" s="215"/>
      <c r="J18" s="215"/>
      <c r="K18" s="215"/>
      <c r="L18" s="215"/>
      <c r="M18" s="250" t="s">
        <v>242</v>
      </c>
      <c r="N18" s="215"/>
      <c r="O18" s="215"/>
      <c r="P18" s="215"/>
      <c r="Q18" s="215"/>
      <c r="R18" s="215"/>
      <c r="S18" s="215"/>
      <c r="T18" s="215"/>
      <c r="U18" s="215"/>
      <c r="V18" s="215"/>
      <c r="W18" s="186"/>
      <c r="X18" s="249" t="s">
        <v>243</v>
      </c>
      <c r="Y18" s="215"/>
      <c r="Z18" s="215"/>
      <c r="AA18" s="215"/>
      <c r="AB18" s="215"/>
      <c r="AC18" s="215"/>
      <c r="AD18" s="215"/>
      <c r="AE18" s="215"/>
      <c r="AF18" s="215"/>
      <c r="AG18" s="215"/>
      <c r="AH18" s="186"/>
      <c r="AI18" s="154" t="s">
        <v>244</v>
      </c>
      <c r="AJ18" s="215"/>
      <c r="AK18" s="215"/>
      <c r="AL18" s="215"/>
      <c r="AM18" s="215"/>
      <c r="AN18" s="215"/>
      <c r="AO18" s="215"/>
      <c r="AP18" s="215"/>
      <c r="AQ18" s="215"/>
      <c r="AR18" s="215"/>
      <c r="AS18" s="215"/>
      <c r="AT18" s="186"/>
      <c r="AU18" s="168" t="s">
        <v>245</v>
      </c>
      <c r="AV18" s="215"/>
      <c r="AW18" s="215"/>
      <c r="AX18" s="215"/>
      <c r="AY18" s="215"/>
      <c r="AZ18" s="215"/>
      <c r="BA18" s="215"/>
      <c r="BB18" s="215"/>
      <c r="BC18" s="215"/>
      <c r="BD18" s="215"/>
      <c r="BE18" s="215"/>
      <c r="BF18" s="219"/>
    </row>
    <row r="19" spans="2:58" ht="13" customHeight="1" x14ac:dyDescent="0.25">
      <c r="B19" s="238"/>
      <c r="C19" s="222"/>
      <c r="D19" s="222"/>
      <c r="E19" s="222"/>
      <c r="F19" s="222"/>
      <c r="G19" s="222"/>
      <c r="H19" s="222"/>
      <c r="I19" s="222"/>
      <c r="J19" s="222"/>
      <c r="K19" s="222"/>
      <c r="L19" s="223"/>
      <c r="M19" s="252"/>
      <c r="N19" s="222"/>
      <c r="O19" s="222"/>
      <c r="P19" s="222"/>
      <c r="Q19" s="222"/>
      <c r="R19" s="222"/>
      <c r="S19" s="222"/>
      <c r="T19" s="222"/>
      <c r="U19" s="222"/>
      <c r="V19" s="222"/>
      <c r="W19" s="223"/>
      <c r="X19" s="221"/>
      <c r="Y19" s="222"/>
      <c r="Z19" s="222"/>
      <c r="AA19" s="222"/>
      <c r="AB19" s="222"/>
      <c r="AC19" s="222"/>
      <c r="AD19" s="222"/>
      <c r="AE19" s="222"/>
      <c r="AF19" s="222"/>
      <c r="AG19" s="222"/>
      <c r="AH19" s="223"/>
      <c r="AI19" s="229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3"/>
      <c r="AU19" s="230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31"/>
    </row>
    <row r="20" spans="2:58" ht="13" customHeight="1" x14ac:dyDescent="0.25">
      <c r="B20" s="239"/>
      <c r="C20" s="225"/>
      <c r="D20" s="225"/>
      <c r="E20" s="225"/>
      <c r="F20" s="225"/>
      <c r="G20" s="225"/>
      <c r="H20" s="225"/>
      <c r="I20" s="225"/>
      <c r="J20" s="225"/>
      <c r="K20" s="225"/>
      <c r="L20" s="226"/>
      <c r="M20" s="224"/>
      <c r="N20" s="225"/>
      <c r="O20" s="225"/>
      <c r="P20" s="225"/>
      <c r="Q20" s="225"/>
      <c r="R20" s="225"/>
      <c r="S20" s="225"/>
      <c r="T20" s="225"/>
      <c r="U20" s="225"/>
      <c r="V20" s="225"/>
      <c r="W20" s="226"/>
      <c r="X20" s="224"/>
      <c r="Y20" s="225"/>
      <c r="Z20" s="225"/>
      <c r="AA20" s="225"/>
      <c r="AB20" s="225"/>
      <c r="AC20" s="225"/>
      <c r="AD20" s="225"/>
      <c r="AE20" s="225"/>
      <c r="AF20" s="225"/>
      <c r="AG20" s="225"/>
      <c r="AH20" s="226"/>
      <c r="AI20" s="224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6"/>
      <c r="AU20" s="224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32"/>
    </row>
    <row r="21" spans="2:58" ht="13" customHeight="1" x14ac:dyDescent="0.25">
      <c r="B21" s="239"/>
      <c r="C21" s="225"/>
      <c r="D21" s="225"/>
      <c r="E21" s="225"/>
      <c r="F21" s="225"/>
      <c r="G21" s="225"/>
      <c r="H21" s="225"/>
      <c r="I21" s="225"/>
      <c r="J21" s="225"/>
      <c r="K21" s="225"/>
      <c r="L21" s="226"/>
      <c r="M21" s="224"/>
      <c r="N21" s="225"/>
      <c r="O21" s="225"/>
      <c r="P21" s="225"/>
      <c r="Q21" s="225"/>
      <c r="R21" s="225"/>
      <c r="S21" s="225"/>
      <c r="T21" s="225"/>
      <c r="U21" s="225"/>
      <c r="V21" s="225"/>
      <c r="W21" s="226"/>
      <c r="X21" s="224"/>
      <c r="Y21" s="225"/>
      <c r="Z21" s="225"/>
      <c r="AA21" s="225"/>
      <c r="AB21" s="225"/>
      <c r="AC21" s="225"/>
      <c r="AD21" s="225"/>
      <c r="AE21" s="225"/>
      <c r="AF21" s="225"/>
      <c r="AG21" s="225"/>
      <c r="AH21" s="226"/>
      <c r="AI21" s="224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6"/>
      <c r="AU21" s="224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32"/>
    </row>
    <row r="22" spans="2:58" ht="13" customHeight="1" x14ac:dyDescent="0.25">
      <c r="B22" s="239"/>
      <c r="C22" s="225"/>
      <c r="D22" s="225"/>
      <c r="E22" s="225"/>
      <c r="F22" s="225"/>
      <c r="G22" s="225"/>
      <c r="H22" s="225"/>
      <c r="I22" s="225"/>
      <c r="J22" s="225"/>
      <c r="K22" s="225"/>
      <c r="L22" s="226"/>
      <c r="M22" s="224"/>
      <c r="N22" s="225"/>
      <c r="O22" s="225"/>
      <c r="P22" s="225"/>
      <c r="Q22" s="225"/>
      <c r="R22" s="225"/>
      <c r="S22" s="225"/>
      <c r="T22" s="225"/>
      <c r="U22" s="225"/>
      <c r="V22" s="225"/>
      <c r="W22" s="226"/>
      <c r="X22" s="224"/>
      <c r="Y22" s="225"/>
      <c r="Z22" s="225"/>
      <c r="AA22" s="225"/>
      <c r="AB22" s="225"/>
      <c r="AC22" s="225"/>
      <c r="AD22" s="225"/>
      <c r="AE22" s="225"/>
      <c r="AF22" s="225"/>
      <c r="AG22" s="225"/>
      <c r="AH22" s="226"/>
      <c r="AI22" s="224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6"/>
      <c r="AU22" s="224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32"/>
    </row>
    <row r="23" spans="2:58" ht="13" customHeight="1" x14ac:dyDescent="0.25">
      <c r="B23" s="239"/>
      <c r="C23" s="225"/>
      <c r="D23" s="225"/>
      <c r="E23" s="225"/>
      <c r="F23" s="225"/>
      <c r="G23" s="225"/>
      <c r="H23" s="225"/>
      <c r="I23" s="225"/>
      <c r="J23" s="225"/>
      <c r="K23" s="225"/>
      <c r="L23" s="226"/>
      <c r="M23" s="224"/>
      <c r="N23" s="225"/>
      <c r="O23" s="225"/>
      <c r="P23" s="225"/>
      <c r="Q23" s="225"/>
      <c r="R23" s="225"/>
      <c r="S23" s="225"/>
      <c r="T23" s="225"/>
      <c r="U23" s="225"/>
      <c r="V23" s="225"/>
      <c r="W23" s="226"/>
      <c r="X23" s="224"/>
      <c r="Y23" s="225"/>
      <c r="Z23" s="225"/>
      <c r="AA23" s="225"/>
      <c r="AB23" s="225"/>
      <c r="AC23" s="225"/>
      <c r="AD23" s="225"/>
      <c r="AE23" s="225"/>
      <c r="AF23" s="225"/>
      <c r="AG23" s="225"/>
      <c r="AH23" s="226"/>
      <c r="AI23" s="224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6"/>
      <c r="AU23" s="224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32"/>
    </row>
    <row r="24" spans="2:58" ht="13" customHeight="1" x14ac:dyDescent="0.25">
      <c r="B24" s="240"/>
      <c r="C24" s="228"/>
      <c r="D24" s="228"/>
      <c r="E24" s="228"/>
      <c r="F24" s="228"/>
      <c r="G24" s="228"/>
      <c r="H24" s="228"/>
      <c r="I24" s="228"/>
      <c r="J24" s="228"/>
      <c r="K24" s="228"/>
      <c r="L24" s="185"/>
      <c r="M24" s="227"/>
      <c r="N24" s="228"/>
      <c r="O24" s="228"/>
      <c r="P24" s="228"/>
      <c r="Q24" s="228"/>
      <c r="R24" s="228"/>
      <c r="S24" s="228"/>
      <c r="T24" s="228"/>
      <c r="U24" s="228"/>
      <c r="V24" s="228"/>
      <c r="W24" s="185"/>
      <c r="X24" s="227"/>
      <c r="Y24" s="228"/>
      <c r="Z24" s="228"/>
      <c r="AA24" s="228"/>
      <c r="AB24" s="228"/>
      <c r="AC24" s="228"/>
      <c r="AD24" s="228"/>
      <c r="AE24" s="228"/>
      <c r="AF24" s="228"/>
      <c r="AG24" s="228"/>
      <c r="AH24" s="185"/>
      <c r="AI24" s="227"/>
      <c r="AJ24" s="228"/>
      <c r="AK24" s="228"/>
      <c r="AL24" s="228"/>
      <c r="AM24" s="228"/>
      <c r="AN24" s="228"/>
      <c r="AO24" s="228"/>
      <c r="AP24" s="228"/>
      <c r="AQ24" s="228"/>
      <c r="AR24" s="228"/>
      <c r="AS24" s="228"/>
      <c r="AT24" s="185"/>
      <c r="AU24" s="227"/>
      <c r="AV24" s="228"/>
      <c r="AW24" s="228"/>
      <c r="AX24" s="228"/>
      <c r="AY24" s="228"/>
      <c r="AZ24" s="228"/>
      <c r="BA24" s="228"/>
      <c r="BB24" s="228"/>
      <c r="BC24" s="228"/>
      <c r="BD24" s="228"/>
      <c r="BE24" s="228"/>
      <c r="BF24" s="233"/>
    </row>
    <row r="25" spans="2:58" ht="13" customHeight="1" x14ac:dyDescent="0.25">
      <c r="B25" s="217" t="s">
        <v>246</v>
      </c>
      <c r="C25" s="215"/>
      <c r="D25" s="215"/>
      <c r="E25" s="215"/>
      <c r="F25" s="215"/>
      <c r="G25" s="215"/>
      <c r="H25" s="215"/>
      <c r="I25" s="215"/>
      <c r="J25" s="215"/>
      <c r="K25" s="215"/>
      <c r="L25" s="186"/>
      <c r="M25" s="192" t="s">
        <v>247</v>
      </c>
      <c r="N25" s="215"/>
      <c r="O25" s="215"/>
      <c r="P25" s="215"/>
      <c r="Q25" s="215"/>
      <c r="R25" s="215"/>
      <c r="S25" s="215"/>
      <c r="T25" s="215"/>
      <c r="U25" s="215"/>
      <c r="V25" s="215"/>
      <c r="W25" s="186"/>
      <c r="X25" s="218" t="s">
        <v>248</v>
      </c>
      <c r="Y25" s="215"/>
      <c r="Z25" s="215"/>
      <c r="AA25" s="215"/>
      <c r="AB25" s="215"/>
      <c r="AC25" s="215"/>
      <c r="AD25" s="215"/>
      <c r="AE25" s="215"/>
      <c r="AF25" s="215"/>
      <c r="AG25" s="215"/>
      <c r="AH25" s="186"/>
      <c r="AI25" s="168" t="s">
        <v>249</v>
      </c>
      <c r="AJ25" s="215"/>
      <c r="AK25" s="215"/>
      <c r="AL25" s="215"/>
      <c r="AM25" s="215"/>
      <c r="AN25" s="215"/>
      <c r="AO25" s="215"/>
      <c r="AP25" s="215"/>
      <c r="AQ25" s="215"/>
      <c r="AR25" s="215"/>
      <c r="AS25" s="215"/>
      <c r="AT25" s="186"/>
      <c r="AU25" s="168" t="s">
        <v>250</v>
      </c>
      <c r="AV25" s="215"/>
      <c r="AW25" s="215"/>
      <c r="AX25" s="215"/>
      <c r="AY25" s="215"/>
      <c r="AZ25" s="215"/>
      <c r="BA25" s="215"/>
      <c r="BB25" s="215"/>
      <c r="BC25" s="215"/>
      <c r="BD25" s="215"/>
      <c r="BE25" s="215"/>
      <c r="BF25" s="219"/>
    </row>
    <row r="26" spans="2:58" ht="13" customHeight="1" x14ac:dyDescent="0.25">
      <c r="B26" s="238"/>
      <c r="C26" s="222"/>
      <c r="D26" s="222"/>
      <c r="E26" s="222"/>
      <c r="F26" s="222"/>
      <c r="G26" s="222"/>
      <c r="H26" s="222"/>
      <c r="I26" s="222"/>
      <c r="J26" s="222"/>
      <c r="K26" s="222"/>
      <c r="L26" s="223"/>
      <c r="M26" s="246"/>
      <c r="N26" s="222"/>
      <c r="O26" s="222"/>
      <c r="P26" s="222"/>
      <c r="Q26" s="222"/>
      <c r="R26" s="222"/>
      <c r="S26" s="222"/>
      <c r="T26" s="222"/>
      <c r="U26" s="222"/>
      <c r="V26" s="222"/>
      <c r="W26" s="223"/>
      <c r="X26" s="242"/>
      <c r="Y26" s="222"/>
      <c r="Z26" s="222"/>
      <c r="AA26" s="222"/>
      <c r="AB26" s="222"/>
      <c r="AC26" s="222"/>
      <c r="AD26" s="222"/>
      <c r="AE26" s="222"/>
      <c r="AF26" s="222"/>
      <c r="AG26" s="222"/>
      <c r="AH26" s="223"/>
      <c r="AI26" s="230"/>
      <c r="AJ26" s="222"/>
      <c r="AK26" s="222"/>
      <c r="AL26" s="222"/>
      <c r="AM26" s="222"/>
      <c r="AN26" s="222"/>
      <c r="AO26" s="222"/>
      <c r="AP26" s="222"/>
      <c r="AQ26" s="222"/>
      <c r="AR26" s="222"/>
      <c r="AS26" s="222"/>
      <c r="AT26" s="223"/>
      <c r="AU26" s="230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31"/>
    </row>
    <row r="27" spans="2:58" ht="13" customHeight="1" x14ac:dyDescent="0.25">
      <c r="B27" s="239"/>
      <c r="C27" s="225"/>
      <c r="D27" s="225"/>
      <c r="E27" s="225"/>
      <c r="F27" s="225"/>
      <c r="G27" s="225"/>
      <c r="H27" s="225"/>
      <c r="I27" s="225"/>
      <c r="J27" s="225"/>
      <c r="K27" s="225"/>
      <c r="L27" s="226"/>
      <c r="M27" s="224"/>
      <c r="N27" s="225"/>
      <c r="O27" s="225"/>
      <c r="P27" s="225"/>
      <c r="Q27" s="225"/>
      <c r="R27" s="225"/>
      <c r="S27" s="225"/>
      <c r="T27" s="225"/>
      <c r="U27" s="225"/>
      <c r="V27" s="225"/>
      <c r="W27" s="226"/>
      <c r="X27" s="224"/>
      <c r="Y27" s="225"/>
      <c r="Z27" s="225"/>
      <c r="AA27" s="225"/>
      <c r="AB27" s="225"/>
      <c r="AC27" s="225"/>
      <c r="AD27" s="225"/>
      <c r="AE27" s="225"/>
      <c r="AF27" s="225"/>
      <c r="AG27" s="225"/>
      <c r="AH27" s="226"/>
      <c r="AI27" s="224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6"/>
      <c r="AU27" s="224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32"/>
    </row>
    <row r="28" spans="2:58" ht="13" customHeight="1" x14ac:dyDescent="0.25">
      <c r="B28" s="239"/>
      <c r="C28" s="225"/>
      <c r="D28" s="225"/>
      <c r="E28" s="225"/>
      <c r="F28" s="225"/>
      <c r="G28" s="225"/>
      <c r="H28" s="225"/>
      <c r="I28" s="225"/>
      <c r="J28" s="225"/>
      <c r="K28" s="225"/>
      <c r="L28" s="226"/>
      <c r="M28" s="224"/>
      <c r="N28" s="225"/>
      <c r="O28" s="225"/>
      <c r="P28" s="225"/>
      <c r="Q28" s="225"/>
      <c r="R28" s="225"/>
      <c r="S28" s="225"/>
      <c r="T28" s="225"/>
      <c r="U28" s="225"/>
      <c r="V28" s="225"/>
      <c r="W28" s="226"/>
      <c r="X28" s="224"/>
      <c r="Y28" s="225"/>
      <c r="Z28" s="225"/>
      <c r="AA28" s="225"/>
      <c r="AB28" s="225"/>
      <c r="AC28" s="225"/>
      <c r="AD28" s="225"/>
      <c r="AE28" s="225"/>
      <c r="AF28" s="225"/>
      <c r="AG28" s="225"/>
      <c r="AH28" s="226"/>
      <c r="AI28" s="224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6"/>
      <c r="AU28" s="224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32"/>
    </row>
    <row r="29" spans="2:58" ht="13" customHeight="1" x14ac:dyDescent="0.25">
      <c r="B29" s="239"/>
      <c r="C29" s="225"/>
      <c r="D29" s="225"/>
      <c r="E29" s="225"/>
      <c r="F29" s="225"/>
      <c r="G29" s="225"/>
      <c r="H29" s="225"/>
      <c r="I29" s="225"/>
      <c r="J29" s="225"/>
      <c r="K29" s="225"/>
      <c r="L29" s="226"/>
      <c r="M29" s="224"/>
      <c r="N29" s="225"/>
      <c r="O29" s="225"/>
      <c r="P29" s="225"/>
      <c r="Q29" s="225"/>
      <c r="R29" s="225"/>
      <c r="S29" s="225"/>
      <c r="T29" s="225"/>
      <c r="U29" s="225"/>
      <c r="V29" s="225"/>
      <c r="W29" s="226"/>
      <c r="X29" s="224"/>
      <c r="Y29" s="225"/>
      <c r="Z29" s="225"/>
      <c r="AA29" s="225"/>
      <c r="AB29" s="225"/>
      <c r="AC29" s="225"/>
      <c r="AD29" s="225"/>
      <c r="AE29" s="225"/>
      <c r="AF29" s="225"/>
      <c r="AG29" s="225"/>
      <c r="AH29" s="226"/>
      <c r="AI29" s="224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6"/>
      <c r="AU29" s="224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32"/>
    </row>
    <row r="30" spans="2:58" ht="13" customHeight="1" x14ac:dyDescent="0.25">
      <c r="B30" s="239"/>
      <c r="C30" s="225"/>
      <c r="D30" s="225"/>
      <c r="E30" s="225"/>
      <c r="F30" s="225"/>
      <c r="G30" s="225"/>
      <c r="H30" s="225"/>
      <c r="I30" s="225"/>
      <c r="J30" s="225"/>
      <c r="K30" s="225"/>
      <c r="L30" s="226"/>
      <c r="M30" s="224"/>
      <c r="N30" s="225"/>
      <c r="O30" s="225"/>
      <c r="P30" s="225"/>
      <c r="Q30" s="225"/>
      <c r="R30" s="225"/>
      <c r="S30" s="225"/>
      <c r="T30" s="225"/>
      <c r="U30" s="225"/>
      <c r="V30" s="225"/>
      <c r="W30" s="226"/>
      <c r="X30" s="224"/>
      <c r="Y30" s="225"/>
      <c r="Z30" s="225"/>
      <c r="AA30" s="225"/>
      <c r="AB30" s="225"/>
      <c r="AC30" s="225"/>
      <c r="AD30" s="225"/>
      <c r="AE30" s="225"/>
      <c r="AF30" s="225"/>
      <c r="AG30" s="225"/>
      <c r="AH30" s="226"/>
      <c r="AI30" s="224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6"/>
      <c r="AU30" s="224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32"/>
    </row>
    <row r="31" spans="2:58" ht="13" customHeight="1" x14ac:dyDescent="0.25">
      <c r="B31" s="240"/>
      <c r="C31" s="228"/>
      <c r="D31" s="228"/>
      <c r="E31" s="228"/>
      <c r="F31" s="228"/>
      <c r="G31" s="228"/>
      <c r="H31" s="228"/>
      <c r="I31" s="228"/>
      <c r="J31" s="228"/>
      <c r="K31" s="228"/>
      <c r="L31" s="185"/>
      <c r="M31" s="227"/>
      <c r="N31" s="228"/>
      <c r="O31" s="228"/>
      <c r="P31" s="228"/>
      <c r="Q31" s="228"/>
      <c r="R31" s="228"/>
      <c r="S31" s="228"/>
      <c r="T31" s="228"/>
      <c r="U31" s="228"/>
      <c r="V31" s="228"/>
      <c r="W31" s="185"/>
      <c r="X31" s="227"/>
      <c r="Y31" s="228"/>
      <c r="Z31" s="228"/>
      <c r="AA31" s="228"/>
      <c r="AB31" s="228"/>
      <c r="AC31" s="228"/>
      <c r="AD31" s="228"/>
      <c r="AE31" s="228"/>
      <c r="AF31" s="228"/>
      <c r="AG31" s="228"/>
      <c r="AH31" s="185"/>
      <c r="AI31" s="227"/>
      <c r="AJ31" s="228"/>
      <c r="AK31" s="228"/>
      <c r="AL31" s="228"/>
      <c r="AM31" s="228"/>
      <c r="AN31" s="228"/>
      <c r="AO31" s="228"/>
      <c r="AP31" s="228"/>
      <c r="AQ31" s="228"/>
      <c r="AR31" s="228"/>
      <c r="AS31" s="228"/>
      <c r="AT31" s="185"/>
      <c r="AU31" s="227"/>
      <c r="AV31" s="228"/>
      <c r="AW31" s="228"/>
      <c r="AX31" s="228"/>
      <c r="AY31" s="228"/>
      <c r="AZ31" s="228"/>
      <c r="BA31" s="228"/>
      <c r="BB31" s="228"/>
      <c r="BC31" s="228"/>
      <c r="BD31" s="228"/>
      <c r="BE31" s="228"/>
      <c r="BF31" s="233"/>
    </row>
    <row r="32" spans="2:58" ht="13" customHeight="1" x14ac:dyDescent="0.25">
      <c r="B32" s="217" t="s">
        <v>251</v>
      </c>
      <c r="C32" s="215"/>
      <c r="D32" s="215"/>
      <c r="E32" s="215"/>
      <c r="F32" s="215"/>
      <c r="G32" s="215"/>
      <c r="H32" s="215"/>
      <c r="I32" s="215"/>
      <c r="J32" s="215"/>
      <c r="K32" s="215"/>
      <c r="L32" s="186"/>
      <c r="M32" s="220" t="s">
        <v>252</v>
      </c>
      <c r="N32" s="215"/>
      <c r="O32" s="215"/>
      <c r="P32" s="215"/>
      <c r="Q32" s="215"/>
      <c r="R32" s="215"/>
      <c r="S32" s="215"/>
      <c r="T32" s="215"/>
      <c r="U32" s="215"/>
      <c r="V32" s="215"/>
      <c r="W32" s="186"/>
      <c r="X32" s="218" t="s">
        <v>253</v>
      </c>
      <c r="Y32" s="215"/>
      <c r="Z32" s="215"/>
      <c r="AA32" s="215"/>
      <c r="AB32" s="215"/>
      <c r="AC32" s="215"/>
      <c r="AD32" s="215"/>
      <c r="AE32" s="215"/>
      <c r="AF32" s="215"/>
      <c r="AG32" s="215"/>
      <c r="AH32" s="186"/>
      <c r="AI32" s="168" t="s">
        <v>254</v>
      </c>
      <c r="AJ32" s="215"/>
      <c r="AK32" s="215"/>
      <c r="AL32" s="215"/>
      <c r="AM32" s="215"/>
      <c r="AN32" s="215"/>
      <c r="AO32" s="215"/>
      <c r="AP32" s="215"/>
      <c r="AQ32" s="215"/>
      <c r="AR32" s="215"/>
      <c r="AS32" s="215"/>
      <c r="AT32" s="186"/>
      <c r="AU32" s="168" t="s">
        <v>255</v>
      </c>
      <c r="AV32" s="215"/>
      <c r="AW32" s="215"/>
      <c r="AX32" s="215"/>
      <c r="AY32" s="215"/>
      <c r="AZ32" s="215"/>
      <c r="BA32" s="215"/>
      <c r="BB32" s="215"/>
      <c r="BC32" s="215"/>
      <c r="BD32" s="215"/>
      <c r="BE32" s="215"/>
      <c r="BF32" s="219"/>
    </row>
    <row r="33" spans="2:58" ht="13" customHeight="1" x14ac:dyDescent="0.25">
      <c r="B33" s="238"/>
      <c r="C33" s="222"/>
      <c r="D33" s="222"/>
      <c r="E33" s="222"/>
      <c r="F33" s="222"/>
      <c r="G33" s="222"/>
      <c r="H33" s="222"/>
      <c r="I33" s="222"/>
      <c r="J33" s="222"/>
      <c r="K33" s="222"/>
      <c r="L33" s="223"/>
      <c r="M33" s="241"/>
      <c r="N33" s="222"/>
      <c r="O33" s="222"/>
      <c r="P33" s="222"/>
      <c r="Q33" s="222"/>
      <c r="R33" s="222"/>
      <c r="S33" s="222"/>
      <c r="T33" s="222"/>
      <c r="U33" s="222"/>
      <c r="V33" s="222"/>
      <c r="W33" s="223"/>
      <c r="X33" s="242"/>
      <c r="Y33" s="222"/>
      <c r="Z33" s="222"/>
      <c r="AA33" s="222"/>
      <c r="AB33" s="222"/>
      <c r="AC33" s="222"/>
      <c r="AD33" s="222"/>
      <c r="AE33" s="222"/>
      <c r="AF33" s="222"/>
      <c r="AG33" s="222"/>
      <c r="AH33" s="223"/>
      <c r="AI33" s="230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3"/>
      <c r="AU33" s="230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31"/>
    </row>
    <row r="34" spans="2:58" ht="13" customHeight="1" x14ac:dyDescent="0.25">
      <c r="B34" s="239"/>
      <c r="C34" s="225"/>
      <c r="D34" s="225"/>
      <c r="E34" s="225"/>
      <c r="F34" s="225"/>
      <c r="G34" s="225"/>
      <c r="H34" s="225"/>
      <c r="I34" s="225"/>
      <c r="J34" s="225"/>
      <c r="K34" s="225"/>
      <c r="L34" s="226"/>
      <c r="M34" s="224"/>
      <c r="N34" s="225"/>
      <c r="O34" s="225"/>
      <c r="P34" s="225"/>
      <c r="Q34" s="225"/>
      <c r="R34" s="225"/>
      <c r="S34" s="225"/>
      <c r="T34" s="225"/>
      <c r="U34" s="225"/>
      <c r="V34" s="225"/>
      <c r="W34" s="226"/>
      <c r="X34" s="224"/>
      <c r="Y34" s="225"/>
      <c r="Z34" s="225"/>
      <c r="AA34" s="225"/>
      <c r="AB34" s="225"/>
      <c r="AC34" s="225"/>
      <c r="AD34" s="225"/>
      <c r="AE34" s="225"/>
      <c r="AF34" s="225"/>
      <c r="AG34" s="225"/>
      <c r="AH34" s="226"/>
      <c r="AI34" s="224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6"/>
      <c r="AU34" s="224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32"/>
    </row>
    <row r="35" spans="2:58" ht="13" customHeight="1" x14ac:dyDescent="0.25">
      <c r="B35" s="239"/>
      <c r="C35" s="225"/>
      <c r="D35" s="225"/>
      <c r="E35" s="225"/>
      <c r="F35" s="225"/>
      <c r="G35" s="225"/>
      <c r="H35" s="225"/>
      <c r="I35" s="225"/>
      <c r="J35" s="225"/>
      <c r="K35" s="225"/>
      <c r="L35" s="226"/>
      <c r="M35" s="224"/>
      <c r="N35" s="225"/>
      <c r="O35" s="225"/>
      <c r="P35" s="225"/>
      <c r="Q35" s="225"/>
      <c r="R35" s="225"/>
      <c r="S35" s="225"/>
      <c r="T35" s="225"/>
      <c r="U35" s="225"/>
      <c r="V35" s="225"/>
      <c r="W35" s="226"/>
      <c r="X35" s="224"/>
      <c r="Y35" s="225"/>
      <c r="Z35" s="225"/>
      <c r="AA35" s="225"/>
      <c r="AB35" s="225"/>
      <c r="AC35" s="225"/>
      <c r="AD35" s="225"/>
      <c r="AE35" s="225"/>
      <c r="AF35" s="225"/>
      <c r="AG35" s="225"/>
      <c r="AH35" s="226"/>
      <c r="AI35" s="224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6"/>
      <c r="AU35" s="224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32"/>
    </row>
    <row r="36" spans="2:58" ht="13" customHeight="1" x14ac:dyDescent="0.25">
      <c r="B36" s="239"/>
      <c r="C36" s="225"/>
      <c r="D36" s="225"/>
      <c r="E36" s="225"/>
      <c r="F36" s="225"/>
      <c r="G36" s="225"/>
      <c r="H36" s="225"/>
      <c r="I36" s="225"/>
      <c r="J36" s="225"/>
      <c r="K36" s="225"/>
      <c r="L36" s="226"/>
      <c r="M36" s="224"/>
      <c r="N36" s="225"/>
      <c r="O36" s="225"/>
      <c r="P36" s="225"/>
      <c r="Q36" s="225"/>
      <c r="R36" s="225"/>
      <c r="S36" s="225"/>
      <c r="T36" s="225"/>
      <c r="U36" s="225"/>
      <c r="V36" s="225"/>
      <c r="W36" s="226"/>
      <c r="X36" s="224"/>
      <c r="Y36" s="225"/>
      <c r="Z36" s="225"/>
      <c r="AA36" s="225"/>
      <c r="AB36" s="225"/>
      <c r="AC36" s="225"/>
      <c r="AD36" s="225"/>
      <c r="AE36" s="225"/>
      <c r="AF36" s="225"/>
      <c r="AG36" s="225"/>
      <c r="AH36" s="226"/>
      <c r="AI36" s="224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6"/>
      <c r="AU36" s="224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32"/>
    </row>
    <row r="37" spans="2:58" ht="13" customHeight="1" x14ac:dyDescent="0.25">
      <c r="B37" s="239"/>
      <c r="C37" s="225"/>
      <c r="D37" s="225"/>
      <c r="E37" s="225"/>
      <c r="F37" s="225"/>
      <c r="G37" s="225"/>
      <c r="H37" s="225"/>
      <c r="I37" s="225"/>
      <c r="J37" s="225"/>
      <c r="K37" s="225"/>
      <c r="L37" s="226"/>
      <c r="M37" s="224"/>
      <c r="N37" s="225"/>
      <c r="O37" s="225"/>
      <c r="P37" s="225"/>
      <c r="Q37" s="225"/>
      <c r="R37" s="225"/>
      <c r="S37" s="225"/>
      <c r="T37" s="225"/>
      <c r="U37" s="225"/>
      <c r="V37" s="225"/>
      <c r="W37" s="226"/>
      <c r="X37" s="224"/>
      <c r="Y37" s="225"/>
      <c r="Z37" s="225"/>
      <c r="AA37" s="225"/>
      <c r="AB37" s="225"/>
      <c r="AC37" s="225"/>
      <c r="AD37" s="225"/>
      <c r="AE37" s="225"/>
      <c r="AF37" s="225"/>
      <c r="AG37" s="225"/>
      <c r="AH37" s="226"/>
      <c r="AI37" s="224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6"/>
      <c r="AU37" s="224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32"/>
    </row>
    <row r="38" spans="2:58" ht="13" customHeight="1" x14ac:dyDescent="0.25">
      <c r="B38" s="240"/>
      <c r="C38" s="228"/>
      <c r="D38" s="228"/>
      <c r="E38" s="228"/>
      <c r="F38" s="228"/>
      <c r="G38" s="228"/>
      <c r="H38" s="228"/>
      <c r="I38" s="228"/>
      <c r="J38" s="228"/>
      <c r="K38" s="228"/>
      <c r="L38" s="185"/>
      <c r="M38" s="227"/>
      <c r="N38" s="228"/>
      <c r="O38" s="228"/>
      <c r="P38" s="228"/>
      <c r="Q38" s="228"/>
      <c r="R38" s="228"/>
      <c r="S38" s="228"/>
      <c r="T38" s="228"/>
      <c r="U38" s="228"/>
      <c r="V38" s="228"/>
      <c r="W38" s="185"/>
      <c r="X38" s="227"/>
      <c r="Y38" s="228"/>
      <c r="Z38" s="228"/>
      <c r="AA38" s="228"/>
      <c r="AB38" s="228"/>
      <c r="AC38" s="228"/>
      <c r="AD38" s="228"/>
      <c r="AE38" s="228"/>
      <c r="AF38" s="228"/>
      <c r="AG38" s="228"/>
      <c r="AH38" s="185"/>
      <c r="AI38" s="227"/>
      <c r="AJ38" s="228"/>
      <c r="AK38" s="228"/>
      <c r="AL38" s="228"/>
      <c r="AM38" s="228"/>
      <c r="AN38" s="228"/>
      <c r="AO38" s="228"/>
      <c r="AP38" s="228"/>
      <c r="AQ38" s="228"/>
      <c r="AR38" s="228"/>
      <c r="AS38" s="228"/>
      <c r="AT38" s="185"/>
      <c r="AU38" s="227"/>
      <c r="AV38" s="228"/>
      <c r="AW38" s="228"/>
      <c r="AX38" s="228"/>
      <c r="AY38" s="228"/>
      <c r="AZ38" s="228"/>
      <c r="BA38" s="228"/>
      <c r="BB38" s="228"/>
      <c r="BC38" s="228"/>
      <c r="BD38" s="228"/>
      <c r="BE38" s="228"/>
      <c r="BF38" s="233"/>
    </row>
    <row r="39" spans="2:58" ht="13" customHeight="1" x14ac:dyDescent="0.25">
      <c r="B39" s="217" t="s">
        <v>256</v>
      </c>
      <c r="C39" s="215"/>
      <c r="D39" s="215"/>
      <c r="E39" s="215"/>
      <c r="F39" s="215"/>
      <c r="G39" s="215"/>
      <c r="H39" s="215"/>
      <c r="I39" s="215"/>
      <c r="J39" s="215"/>
      <c r="K39" s="215"/>
      <c r="L39" s="186"/>
      <c r="M39" s="220" t="s">
        <v>257</v>
      </c>
      <c r="N39" s="215"/>
      <c r="O39" s="215"/>
      <c r="P39" s="215"/>
      <c r="Q39" s="215"/>
      <c r="R39" s="215"/>
      <c r="S39" s="215"/>
      <c r="T39" s="215"/>
      <c r="U39" s="215"/>
      <c r="V39" s="215"/>
      <c r="W39" s="186"/>
      <c r="X39" s="218" t="s">
        <v>258</v>
      </c>
      <c r="Y39" s="215"/>
      <c r="Z39" s="215"/>
      <c r="AA39" s="215"/>
      <c r="AB39" s="215"/>
      <c r="AC39" s="215"/>
      <c r="AD39" s="215"/>
      <c r="AE39" s="215"/>
      <c r="AF39" s="215"/>
      <c r="AG39" s="215"/>
      <c r="AH39" s="186"/>
      <c r="AI39" s="168" t="s">
        <v>259</v>
      </c>
      <c r="AJ39" s="215"/>
      <c r="AK39" s="215"/>
      <c r="AL39" s="215"/>
      <c r="AM39" s="215"/>
      <c r="AN39" s="215"/>
      <c r="AO39" s="215"/>
      <c r="AP39" s="215"/>
      <c r="AQ39" s="215"/>
      <c r="AR39" s="215"/>
      <c r="AS39" s="215"/>
      <c r="AT39" s="186"/>
      <c r="AU39" s="168" t="s">
        <v>260</v>
      </c>
      <c r="AV39" s="215"/>
      <c r="AW39" s="215"/>
      <c r="AX39" s="215"/>
      <c r="AY39" s="215"/>
      <c r="AZ39" s="215"/>
      <c r="BA39" s="215"/>
      <c r="BB39" s="215"/>
      <c r="BC39" s="215"/>
      <c r="BD39" s="215"/>
      <c r="BE39" s="215"/>
      <c r="BF39" s="219"/>
    </row>
    <row r="40" spans="2:58" ht="13" customHeight="1" x14ac:dyDescent="0.25">
      <c r="B40" s="238"/>
      <c r="C40" s="222"/>
      <c r="D40" s="222"/>
      <c r="E40" s="222"/>
      <c r="F40" s="222"/>
      <c r="G40" s="222"/>
      <c r="H40" s="222"/>
      <c r="I40" s="222"/>
      <c r="J40" s="222"/>
      <c r="K40" s="222"/>
      <c r="L40" s="223"/>
      <c r="M40" s="241"/>
      <c r="N40" s="222"/>
      <c r="O40" s="222"/>
      <c r="P40" s="222"/>
      <c r="Q40" s="222"/>
      <c r="R40" s="222"/>
      <c r="S40" s="222"/>
      <c r="T40" s="222"/>
      <c r="U40" s="222"/>
      <c r="V40" s="222"/>
      <c r="W40" s="223"/>
      <c r="X40" s="242"/>
      <c r="Y40" s="222"/>
      <c r="Z40" s="222"/>
      <c r="AA40" s="222"/>
      <c r="AB40" s="222"/>
      <c r="AC40" s="222"/>
      <c r="AD40" s="222"/>
      <c r="AE40" s="222"/>
      <c r="AF40" s="222"/>
      <c r="AG40" s="222"/>
      <c r="AH40" s="223"/>
      <c r="AI40" s="230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3"/>
      <c r="AU40" s="230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31"/>
    </row>
    <row r="41" spans="2:58" ht="13" customHeight="1" x14ac:dyDescent="0.25">
      <c r="B41" s="239"/>
      <c r="C41" s="225"/>
      <c r="D41" s="225"/>
      <c r="E41" s="225"/>
      <c r="F41" s="225"/>
      <c r="G41" s="225"/>
      <c r="H41" s="225"/>
      <c r="I41" s="225"/>
      <c r="J41" s="225"/>
      <c r="K41" s="225"/>
      <c r="L41" s="226"/>
      <c r="M41" s="224"/>
      <c r="N41" s="225"/>
      <c r="O41" s="225"/>
      <c r="P41" s="225"/>
      <c r="Q41" s="225"/>
      <c r="R41" s="225"/>
      <c r="S41" s="225"/>
      <c r="T41" s="225"/>
      <c r="U41" s="225"/>
      <c r="V41" s="225"/>
      <c r="W41" s="226"/>
      <c r="X41" s="224"/>
      <c r="Y41" s="225"/>
      <c r="Z41" s="225"/>
      <c r="AA41" s="225"/>
      <c r="AB41" s="225"/>
      <c r="AC41" s="225"/>
      <c r="AD41" s="225"/>
      <c r="AE41" s="225"/>
      <c r="AF41" s="225"/>
      <c r="AG41" s="225"/>
      <c r="AH41" s="226"/>
      <c r="AI41" s="224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6"/>
      <c r="AU41" s="224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32"/>
    </row>
    <row r="42" spans="2:58" ht="13" customHeight="1" x14ac:dyDescent="0.25">
      <c r="B42" s="239"/>
      <c r="C42" s="225"/>
      <c r="D42" s="225"/>
      <c r="E42" s="225"/>
      <c r="F42" s="225"/>
      <c r="G42" s="225"/>
      <c r="H42" s="225"/>
      <c r="I42" s="225"/>
      <c r="J42" s="225"/>
      <c r="K42" s="225"/>
      <c r="L42" s="226"/>
      <c r="M42" s="224"/>
      <c r="N42" s="225"/>
      <c r="O42" s="225"/>
      <c r="P42" s="225"/>
      <c r="Q42" s="225"/>
      <c r="R42" s="225"/>
      <c r="S42" s="225"/>
      <c r="T42" s="225"/>
      <c r="U42" s="225"/>
      <c r="V42" s="225"/>
      <c r="W42" s="226"/>
      <c r="X42" s="224"/>
      <c r="Y42" s="225"/>
      <c r="Z42" s="225"/>
      <c r="AA42" s="225"/>
      <c r="AB42" s="225"/>
      <c r="AC42" s="225"/>
      <c r="AD42" s="225"/>
      <c r="AE42" s="225"/>
      <c r="AF42" s="225"/>
      <c r="AG42" s="225"/>
      <c r="AH42" s="226"/>
      <c r="AI42" s="224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6"/>
      <c r="AU42" s="224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32"/>
    </row>
    <row r="43" spans="2:58" ht="13" customHeight="1" x14ac:dyDescent="0.25">
      <c r="B43" s="239"/>
      <c r="C43" s="225"/>
      <c r="D43" s="225"/>
      <c r="E43" s="225"/>
      <c r="F43" s="225"/>
      <c r="G43" s="225"/>
      <c r="H43" s="225"/>
      <c r="I43" s="225"/>
      <c r="J43" s="225"/>
      <c r="K43" s="225"/>
      <c r="L43" s="226"/>
      <c r="M43" s="224"/>
      <c r="N43" s="225"/>
      <c r="O43" s="225"/>
      <c r="P43" s="225"/>
      <c r="Q43" s="225"/>
      <c r="R43" s="225"/>
      <c r="S43" s="225"/>
      <c r="T43" s="225"/>
      <c r="U43" s="225"/>
      <c r="V43" s="225"/>
      <c r="W43" s="226"/>
      <c r="X43" s="224"/>
      <c r="Y43" s="225"/>
      <c r="Z43" s="225"/>
      <c r="AA43" s="225"/>
      <c r="AB43" s="225"/>
      <c r="AC43" s="225"/>
      <c r="AD43" s="225"/>
      <c r="AE43" s="225"/>
      <c r="AF43" s="225"/>
      <c r="AG43" s="225"/>
      <c r="AH43" s="226"/>
      <c r="AI43" s="224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6"/>
      <c r="AU43" s="224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32"/>
    </row>
    <row r="44" spans="2:58" ht="13" customHeight="1" x14ac:dyDescent="0.25">
      <c r="B44" s="239"/>
      <c r="C44" s="225"/>
      <c r="D44" s="225"/>
      <c r="E44" s="225"/>
      <c r="F44" s="225"/>
      <c r="G44" s="225"/>
      <c r="H44" s="225"/>
      <c r="I44" s="225"/>
      <c r="J44" s="225"/>
      <c r="K44" s="225"/>
      <c r="L44" s="226"/>
      <c r="M44" s="224"/>
      <c r="N44" s="225"/>
      <c r="O44" s="225"/>
      <c r="P44" s="225"/>
      <c r="Q44" s="225"/>
      <c r="R44" s="225"/>
      <c r="S44" s="225"/>
      <c r="T44" s="225"/>
      <c r="U44" s="225"/>
      <c r="V44" s="225"/>
      <c r="W44" s="226"/>
      <c r="X44" s="224"/>
      <c r="Y44" s="225"/>
      <c r="Z44" s="225"/>
      <c r="AA44" s="225"/>
      <c r="AB44" s="225"/>
      <c r="AC44" s="225"/>
      <c r="AD44" s="225"/>
      <c r="AE44" s="225"/>
      <c r="AF44" s="225"/>
      <c r="AG44" s="225"/>
      <c r="AH44" s="226"/>
      <c r="AI44" s="224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6"/>
      <c r="AU44" s="224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32"/>
    </row>
    <row r="45" spans="2:58" ht="13" customHeight="1" x14ac:dyDescent="0.25">
      <c r="B45" s="240"/>
      <c r="C45" s="228"/>
      <c r="D45" s="228"/>
      <c r="E45" s="228"/>
      <c r="F45" s="228"/>
      <c r="G45" s="228"/>
      <c r="H45" s="228"/>
      <c r="I45" s="228"/>
      <c r="J45" s="228"/>
      <c r="K45" s="228"/>
      <c r="L45" s="185"/>
      <c r="M45" s="227"/>
      <c r="N45" s="228"/>
      <c r="O45" s="228"/>
      <c r="P45" s="228"/>
      <c r="Q45" s="228"/>
      <c r="R45" s="228"/>
      <c r="S45" s="228"/>
      <c r="T45" s="228"/>
      <c r="U45" s="228"/>
      <c r="V45" s="228"/>
      <c r="W45" s="185"/>
      <c r="X45" s="227"/>
      <c r="Y45" s="228"/>
      <c r="Z45" s="228"/>
      <c r="AA45" s="228"/>
      <c r="AB45" s="228"/>
      <c r="AC45" s="228"/>
      <c r="AD45" s="228"/>
      <c r="AE45" s="228"/>
      <c r="AF45" s="228"/>
      <c r="AG45" s="228"/>
      <c r="AH45" s="185"/>
      <c r="AI45" s="227"/>
      <c r="AJ45" s="228"/>
      <c r="AK45" s="228"/>
      <c r="AL45" s="228"/>
      <c r="AM45" s="228"/>
      <c r="AN45" s="228"/>
      <c r="AO45" s="228"/>
      <c r="AP45" s="228"/>
      <c r="AQ45" s="228"/>
      <c r="AR45" s="228"/>
      <c r="AS45" s="228"/>
      <c r="AT45" s="185"/>
      <c r="AU45" s="227"/>
      <c r="AV45" s="228"/>
      <c r="AW45" s="228"/>
      <c r="AX45" s="228"/>
      <c r="AY45" s="228"/>
      <c r="AZ45" s="228"/>
      <c r="BA45" s="228"/>
      <c r="BB45" s="228"/>
      <c r="BC45" s="228"/>
      <c r="BD45" s="228"/>
      <c r="BE45" s="228"/>
      <c r="BF45" s="233"/>
    </row>
    <row r="46" spans="2:58" ht="13" customHeight="1" x14ac:dyDescent="0.25">
      <c r="B46" s="217" t="s">
        <v>261</v>
      </c>
      <c r="C46" s="215"/>
      <c r="D46" s="215"/>
      <c r="E46" s="215"/>
      <c r="F46" s="215"/>
      <c r="G46" s="215"/>
      <c r="H46" s="215"/>
      <c r="I46" s="215"/>
      <c r="J46" s="215"/>
      <c r="K46" s="215"/>
      <c r="L46" s="186"/>
      <c r="M46" s="192" t="s">
        <v>262</v>
      </c>
      <c r="N46" s="215"/>
      <c r="O46" s="215"/>
      <c r="P46" s="215"/>
      <c r="Q46" s="215"/>
      <c r="R46" s="215"/>
      <c r="S46" s="215"/>
      <c r="T46" s="215"/>
      <c r="U46" s="215"/>
      <c r="V46" s="215"/>
      <c r="W46" s="186"/>
      <c r="X46" s="218" t="s">
        <v>263</v>
      </c>
      <c r="Y46" s="215"/>
      <c r="Z46" s="215"/>
      <c r="AA46" s="215"/>
      <c r="AB46" s="215"/>
      <c r="AC46" s="215"/>
      <c r="AD46" s="215"/>
      <c r="AE46" s="215"/>
      <c r="AF46" s="215"/>
      <c r="AG46" s="215"/>
      <c r="AH46" s="186"/>
      <c r="AI46" s="168" t="s">
        <v>264</v>
      </c>
      <c r="AJ46" s="215"/>
      <c r="AK46" s="215"/>
      <c r="AL46" s="215"/>
      <c r="AM46" s="215"/>
      <c r="AN46" s="215"/>
      <c r="AO46" s="215"/>
      <c r="AP46" s="215"/>
      <c r="AQ46" s="215"/>
      <c r="AR46" s="215"/>
      <c r="AS46" s="215"/>
      <c r="AT46" s="186"/>
      <c r="AU46" s="168" t="s">
        <v>265</v>
      </c>
      <c r="AV46" s="215"/>
      <c r="AW46" s="215"/>
      <c r="AX46" s="215"/>
      <c r="AY46" s="215"/>
      <c r="AZ46" s="215"/>
      <c r="BA46" s="215"/>
      <c r="BB46" s="215"/>
      <c r="BC46" s="215"/>
      <c r="BD46" s="215"/>
      <c r="BE46" s="215"/>
      <c r="BF46" s="219"/>
    </row>
    <row r="47" spans="2:58" ht="13" customHeight="1" x14ac:dyDescent="0.25">
      <c r="B47" s="238"/>
      <c r="C47" s="222"/>
      <c r="D47" s="222"/>
      <c r="E47" s="222"/>
      <c r="F47" s="222"/>
      <c r="G47" s="222"/>
      <c r="H47" s="222"/>
      <c r="I47" s="222"/>
      <c r="J47" s="222"/>
      <c r="K47" s="222"/>
      <c r="L47" s="223"/>
      <c r="M47" s="241"/>
      <c r="N47" s="222"/>
      <c r="O47" s="222"/>
      <c r="P47" s="222"/>
      <c r="Q47" s="222"/>
      <c r="R47" s="222"/>
      <c r="S47" s="222"/>
      <c r="T47" s="222"/>
      <c r="U47" s="222"/>
      <c r="V47" s="222"/>
      <c r="W47" s="223"/>
      <c r="X47" s="242"/>
      <c r="Y47" s="222"/>
      <c r="Z47" s="222"/>
      <c r="AA47" s="222"/>
      <c r="AB47" s="222"/>
      <c r="AC47" s="222"/>
      <c r="AD47" s="222"/>
      <c r="AE47" s="222"/>
      <c r="AF47" s="222"/>
      <c r="AG47" s="222"/>
      <c r="AH47" s="223"/>
      <c r="AI47" s="230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3"/>
      <c r="AU47" s="230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31"/>
    </row>
    <row r="48" spans="2:58" ht="13" customHeight="1" x14ac:dyDescent="0.25">
      <c r="B48" s="239"/>
      <c r="C48" s="225"/>
      <c r="D48" s="225"/>
      <c r="E48" s="225"/>
      <c r="F48" s="225"/>
      <c r="G48" s="225"/>
      <c r="H48" s="225"/>
      <c r="I48" s="225"/>
      <c r="J48" s="225"/>
      <c r="K48" s="225"/>
      <c r="L48" s="226"/>
      <c r="M48" s="224"/>
      <c r="N48" s="225"/>
      <c r="O48" s="225"/>
      <c r="P48" s="225"/>
      <c r="Q48" s="225"/>
      <c r="R48" s="225"/>
      <c r="S48" s="225"/>
      <c r="T48" s="225"/>
      <c r="U48" s="225"/>
      <c r="V48" s="225"/>
      <c r="W48" s="226"/>
      <c r="X48" s="224"/>
      <c r="Y48" s="225"/>
      <c r="Z48" s="225"/>
      <c r="AA48" s="225"/>
      <c r="AB48" s="225"/>
      <c r="AC48" s="225"/>
      <c r="AD48" s="225"/>
      <c r="AE48" s="225"/>
      <c r="AF48" s="225"/>
      <c r="AG48" s="225"/>
      <c r="AH48" s="226"/>
      <c r="AI48" s="224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6"/>
      <c r="AU48" s="224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32"/>
    </row>
    <row r="49" spans="2:58" ht="13" customHeight="1" x14ac:dyDescent="0.25">
      <c r="B49" s="239"/>
      <c r="C49" s="225"/>
      <c r="D49" s="225"/>
      <c r="E49" s="225"/>
      <c r="F49" s="225"/>
      <c r="G49" s="225"/>
      <c r="H49" s="225"/>
      <c r="I49" s="225"/>
      <c r="J49" s="225"/>
      <c r="K49" s="225"/>
      <c r="L49" s="226"/>
      <c r="M49" s="224"/>
      <c r="N49" s="225"/>
      <c r="O49" s="225"/>
      <c r="P49" s="225"/>
      <c r="Q49" s="225"/>
      <c r="R49" s="225"/>
      <c r="S49" s="225"/>
      <c r="T49" s="225"/>
      <c r="U49" s="225"/>
      <c r="V49" s="225"/>
      <c r="W49" s="226"/>
      <c r="X49" s="224"/>
      <c r="Y49" s="225"/>
      <c r="Z49" s="225"/>
      <c r="AA49" s="225"/>
      <c r="AB49" s="225"/>
      <c r="AC49" s="225"/>
      <c r="AD49" s="225"/>
      <c r="AE49" s="225"/>
      <c r="AF49" s="225"/>
      <c r="AG49" s="225"/>
      <c r="AH49" s="226"/>
      <c r="AI49" s="224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6"/>
      <c r="AU49" s="224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32"/>
    </row>
    <row r="50" spans="2:58" ht="13" customHeight="1" x14ac:dyDescent="0.25">
      <c r="B50" s="239"/>
      <c r="C50" s="225"/>
      <c r="D50" s="225"/>
      <c r="E50" s="225"/>
      <c r="F50" s="225"/>
      <c r="G50" s="225"/>
      <c r="H50" s="225"/>
      <c r="I50" s="225"/>
      <c r="J50" s="225"/>
      <c r="K50" s="225"/>
      <c r="L50" s="226"/>
      <c r="M50" s="224"/>
      <c r="N50" s="225"/>
      <c r="O50" s="225"/>
      <c r="P50" s="225"/>
      <c r="Q50" s="225"/>
      <c r="R50" s="225"/>
      <c r="S50" s="225"/>
      <c r="T50" s="225"/>
      <c r="U50" s="225"/>
      <c r="V50" s="225"/>
      <c r="W50" s="226"/>
      <c r="X50" s="224"/>
      <c r="Y50" s="225"/>
      <c r="Z50" s="225"/>
      <c r="AA50" s="225"/>
      <c r="AB50" s="225"/>
      <c r="AC50" s="225"/>
      <c r="AD50" s="225"/>
      <c r="AE50" s="225"/>
      <c r="AF50" s="225"/>
      <c r="AG50" s="225"/>
      <c r="AH50" s="226"/>
      <c r="AI50" s="224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6"/>
      <c r="AU50" s="224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32"/>
    </row>
    <row r="51" spans="2:58" ht="13" customHeight="1" x14ac:dyDescent="0.25">
      <c r="B51" s="239"/>
      <c r="C51" s="225"/>
      <c r="D51" s="225"/>
      <c r="E51" s="225"/>
      <c r="F51" s="225"/>
      <c r="G51" s="225"/>
      <c r="H51" s="225"/>
      <c r="I51" s="225"/>
      <c r="J51" s="225"/>
      <c r="K51" s="225"/>
      <c r="L51" s="226"/>
      <c r="M51" s="224"/>
      <c r="N51" s="225"/>
      <c r="O51" s="225"/>
      <c r="P51" s="225"/>
      <c r="Q51" s="225"/>
      <c r="R51" s="225"/>
      <c r="S51" s="225"/>
      <c r="T51" s="225"/>
      <c r="U51" s="225"/>
      <c r="V51" s="225"/>
      <c r="W51" s="226"/>
      <c r="X51" s="224"/>
      <c r="Y51" s="225"/>
      <c r="Z51" s="225"/>
      <c r="AA51" s="225"/>
      <c r="AB51" s="225"/>
      <c r="AC51" s="225"/>
      <c r="AD51" s="225"/>
      <c r="AE51" s="225"/>
      <c r="AF51" s="225"/>
      <c r="AG51" s="225"/>
      <c r="AH51" s="226"/>
      <c r="AI51" s="224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6"/>
      <c r="AU51" s="224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32"/>
    </row>
    <row r="52" spans="2:58" ht="13" customHeight="1" x14ac:dyDescent="0.25">
      <c r="B52" s="240"/>
      <c r="C52" s="228"/>
      <c r="D52" s="228"/>
      <c r="E52" s="228"/>
      <c r="F52" s="228"/>
      <c r="G52" s="228"/>
      <c r="H52" s="228"/>
      <c r="I52" s="228"/>
      <c r="J52" s="228"/>
      <c r="K52" s="228"/>
      <c r="L52" s="185"/>
      <c r="M52" s="227"/>
      <c r="N52" s="228"/>
      <c r="O52" s="228"/>
      <c r="P52" s="228"/>
      <c r="Q52" s="228"/>
      <c r="R52" s="228"/>
      <c r="S52" s="228"/>
      <c r="T52" s="228"/>
      <c r="U52" s="228"/>
      <c r="V52" s="228"/>
      <c r="W52" s="185"/>
      <c r="X52" s="227"/>
      <c r="Y52" s="228"/>
      <c r="Z52" s="228"/>
      <c r="AA52" s="228"/>
      <c r="AB52" s="228"/>
      <c r="AC52" s="228"/>
      <c r="AD52" s="228"/>
      <c r="AE52" s="228"/>
      <c r="AF52" s="228"/>
      <c r="AG52" s="228"/>
      <c r="AH52" s="185"/>
      <c r="AI52" s="227"/>
      <c r="AJ52" s="228"/>
      <c r="AK52" s="228"/>
      <c r="AL52" s="228"/>
      <c r="AM52" s="228"/>
      <c r="AN52" s="228"/>
      <c r="AO52" s="228"/>
      <c r="AP52" s="228"/>
      <c r="AQ52" s="228"/>
      <c r="AR52" s="228"/>
      <c r="AS52" s="228"/>
      <c r="AT52" s="185"/>
      <c r="AU52" s="227"/>
      <c r="AV52" s="228"/>
      <c r="AW52" s="228"/>
      <c r="AX52" s="228"/>
      <c r="AY52" s="228"/>
      <c r="AZ52" s="228"/>
      <c r="BA52" s="228"/>
      <c r="BB52" s="228"/>
      <c r="BC52" s="228"/>
      <c r="BD52" s="228"/>
      <c r="BE52" s="228"/>
      <c r="BF52" s="233"/>
    </row>
    <row r="53" spans="2:58" ht="13" customHeight="1" x14ac:dyDescent="0.25">
      <c r="B53" s="217" t="s">
        <v>266</v>
      </c>
      <c r="C53" s="215"/>
      <c r="D53" s="215"/>
      <c r="E53" s="215"/>
      <c r="F53" s="215"/>
      <c r="G53" s="215"/>
      <c r="H53" s="215"/>
      <c r="I53" s="215"/>
      <c r="J53" s="215"/>
      <c r="K53" s="215"/>
      <c r="L53" s="186"/>
      <c r="M53" s="220" t="s">
        <v>267</v>
      </c>
      <c r="N53" s="215"/>
      <c r="O53" s="215"/>
      <c r="P53" s="215"/>
      <c r="Q53" s="215"/>
      <c r="R53" s="215"/>
      <c r="S53" s="215"/>
      <c r="T53" s="215"/>
      <c r="U53" s="215"/>
      <c r="V53" s="215"/>
      <c r="W53" s="186"/>
      <c r="X53" s="218" t="s">
        <v>268</v>
      </c>
      <c r="Y53" s="215"/>
      <c r="Z53" s="215"/>
      <c r="AA53" s="215"/>
      <c r="AB53" s="215"/>
      <c r="AC53" s="215"/>
      <c r="AD53" s="215"/>
      <c r="AE53" s="215"/>
      <c r="AF53" s="215"/>
      <c r="AG53" s="215"/>
      <c r="AH53" s="186"/>
      <c r="AI53" s="168" t="s">
        <v>269</v>
      </c>
      <c r="AJ53" s="215"/>
      <c r="AK53" s="215"/>
      <c r="AL53" s="215"/>
      <c r="AM53" s="215"/>
      <c r="AN53" s="215"/>
      <c r="AO53" s="215"/>
      <c r="AP53" s="215"/>
      <c r="AQ53" s="215"/>
      <c r="AR53" s="215"/>
      <c r="AS53" s="215"/>
      <c r="AT53" s="186"/>
      <c r="AU53" s="168" t="s">
        <v>270</v>
      </c>
      <c r="AV53" s="215"/>
      <c r="AW53" s="215"/>
      <c r="AX53" s="215"/>
      <c r="AY53" s="215"/>
      <c r="AZ53" s="215"/>
      <c r="BA53" s="215"/>
      <c r="BB53" s="215"/>
      <c r="BC53" s="215"/>
      <c r="BD53" s="215"/>
      <c r="BE53" s="215"/>
      <c r="BF53" s="219"/>
    </row>
    <row r="54" spans="2:58" ht="13" customHeight="1" x14ac:dyDescent="0.25">
      <c r="B54" s="238"/>
      <c r="C54" s="222"/>
      <c r="D54" s="222"/>
      <c r="E54" s="222"/>
      <c r="F54" s="222"/>
      <c r="G54" s="222"/>
      <c r="H54" s="222"/>
      <c r="I54" s="222"/>
      <c r="J54" s="222"/>
      <c r="K54" s="222"/>
      <c r="L54" s="223"/>
      <c r="M54" s="246"/>
      <c r="N54" s="222"/>
      <c r="O54" s="222"/>
      <c r="P54" s="222"/>
      <c r="Q54" s="222"/>
      <c r="R54" s="222"/>
      <c r="S54" s="222"/>
      <c r="T54" s="222"/>
      <c r="U54" s="222"/>
      <c r="V54" s="222"/>
      <c r="W54" s="223"/>
      <c r="X54" s="242"/>
      <c r="Y54" s="222"/>
      <c r="Z54" s="222"/>
      <c r="AA54" s="222"/>
      <c r="AB54" s="222"/>
      <c r="AC54" s="222"/>
      <c r="AD54" s="222"/>
      <c r="AE54" s="222"/>
      <c r="AF54" s="222"/>
      <c r="AG54" s="222"/>
      <c r="AH54" s="223"/>
      <c r="AI54" s="230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3"/>
      <c r="AU54" s="230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31"/>
    </row>
    <row r="55" spans="2:58" ht="13" customHeight="1" x14ac:dyDescent="0.25">
      <c r="B55" s="239"/>
      <c r="C55" s="225"/>
      <c r="D55" s="225"/>
      <c r="E55" s="225"/>
      <c r="F55" s="225"/>
      <c r="G55" s="225"/>
      <c r="H55" s="225"/>
      <c r="I55" s="225"/>
      <c r="J55" s="225"/>
      <c r="K55" s="225"/>
      <c r="L55" s="226"/>
      <c r="M55" s="224"/>
      <c r="N55" s="225"/>
      <c r="O55" s="225"/>
      <c r="P55" s="225"/>
      <c r="Q55" s="225"/>
      <c r="R55" s="225"/>
      <c r="S55" s="225"/>
      <c r="T55" s="225"/>
      <c r="U55" s="225"/>
      <c r="V55" s="225"/>
      <c r="W55" s="226"/>
      <c r="X55" s="224"/>
      <c r="Y55" s="225"/>
      <c r="Z55" s="225"/>
      <c r="AA55" s="225"/>
      <c r="AB55" s="225"/>
      <c r="AC55" s="225"/>
      <c r="AD55" s="225"/>
      <c r="AE55" s="225"/>
      <c r="AF55" s="225"/>
      <c r="AG55" s="225"/>
      <c r="AH55" s="226"/>
      <c r="AI55" s="224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6"/>
      <c r="AU55" s="224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32"/>
    </row>
    <row r="56" spans="2:58" ht="13" customHeight="1" x14ac:dyDescent="0.25">
      <c r="B56" s="239"/>
      <c r="C56" s="225"/>
      <c r="D56" s="225"/>
      <c r="E56" s="225"/>
      <c r="F56" s="225"/>
      <c r="G56" s="225"/>
      <c r="H56" s="225"/>
      <c r="I56" s="225"/>
      <c r="J56" s="225"/>
      <c r="K56" s="225"/>
      <c r="L56" s="226"/>
      <c r="M56" s="224"/>
      <c r="N56" s="225"/>
      <c r="O56" s="225"/>
      <c r="P56" s="225"/>
      <c r="Q56" s="225"/>
      <c r="R56" s="225"/>
      <c r="S56" s="225"/>
      <c r="T56" s="225"/>
      <c r="U56" s="225"/>
      <c r="V56" s="225"/>
      <c r="W56" s="226"/>
      <c r="X56" s="224"/>
      <c r="Y56" s="225"/>
      <c r="Z56" s="225"/>
      <c r="AA56" s="225"/>
      <c r="AB56" s="225"/>
      <c r="AC56" s="225"/>
      <c r="AD56" s="225"/>
      <c r="AE56" s="225"/>
      <c r="AF56" s="225"/>
      <c r="AG56" s="225"/>
      <c r="AH56" s="226"/>
      <c r="AI56" s="224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6"/>
      <c r="AU56" s="224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32"/>
    </row>
    <row r="57" spans="2:58" ht="13" customHeight="1" x14ac:dyDescent="0.25">
      <c r="B57" s="239"/>
      <c r="C57" s="225"/>
      <c r="D57" s="225"/>
      <c r="E57" s="225"/>
      <c r="F57" s="225"/>
      <c r="G57" s="225"/>
      <c r="H57" s="225"/>
      <c r="I57" s="225"/>
      <c r="J57" s="225"/>
      <c r="K57" s="225"/>
      <c r="L57" s="226"/>
      <c r="M57" s="224"/>
      <c r="N57" s="225"/>
      <c r="O57" s="225"/>
      <c r="P57" s="225"/>
      <c r="Q57" s="225"/>
      <c r="R57" s="225"/>
      <c r="S57" s="225"/>
      <c r="T57" s="225"/>
      <c r="U57" s="225"/>
      <c r="V57" s="225"/>
      <c r="W57" s="226"/>
      <c r="X57" s="224"/>
      <c r="Y57" s="225"/>
      <c r="Z57" s="225"/>
      <c r="AA57" s="225"/>
      <c r="AB57" s="225"/>
      <c r="AC57" s="225"/>
      <c r="AD57" s="225"/>
      <c r="AE57" s="225"/>
      <c r="AF57" s="225"/>
      <c r="AG57" s="225"/>
      <c r="AH57" s="226"/>
      <c r="AI57" s="224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6"/>
      <c r="AU57" s="224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32"/>
    </row>
    <row r="58" spans="2:58" ht="13" customHeight="1" x14ac:dyDescent="0.25">
      <c r="B58" s="239"/>
      <c r="C58" s="225"/>
      <c r="D58" s="225"/>
      <c r="E58" s="225"/>
      <c r="F58" s="225"/>
      <c r="G58" s="225"/>
      <c r="H58" s="225"/>
      <c r="I58" s="225"/>
      <c r="J58" s="225"/>
      <c r="K58" s="225"/>
      <c r="L58" s="226"/>
      <c r="M58" s="224"/>
      <c r="N58" s="225"/>
      <c r="O58" s="225"/>
      <c r="P58" s="225"/>
      <c r="Q58" s="225"/>
      <c r="R58" s="225"/>
      <c r="S58" s="225"/>
      <c r="T58" s="225"/>
      <c r="U58" s="225"/>
      <c r="V58" s="225"/>
      <c r="W58" s="226"/>
      <c r="X58" s="224"/>
      <c r="Y58" s="225"/>
      <c r="Z58" s="225"/>
      <c r="AA58" s="225"/>
      <c r="AB58" s="225"/>
      <c r="AC58" s="225"/>
      <c r="AD58" s="225"/>
      <c r="AE58" s="225"/>
      <c r="AF58" s="225"/>
      <c r="AG58" s="225"/>
      <c r="AH58" s="226"/>
      <c r="AI58" s="224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6"/>
      <c r="AU58" s="224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32"/>
    </row>
    <row r="59" spans="2:58" ht="13" customHeight="1" x14ac:dyDescent="0.25">
      <c r="B59" s="243"/>
      <c r="C59" s="244"/>
      <c r="D59" s="244"/>
      <c r="E59" s="244"/>
      <c r="F59" s="244"/>
      <c r="G59" s="244"/>
      <c r="H59" s="244"/>
      <c r="I59" s="244"/>
      <c r="J59" s="244"/>
      <c r="K59" s="244"/>
      <c r="L59" s="245"/>
      <c r="M59" s="247"/>
      <c r="N59" s="244"/>
      <c r="O59" s="244"/>
      <c r="P59" s="244"/>
      <c r="Q59" s="244"/>
      <c r="R59" s="244"/>
      <c r="S59" s="244"/>
      <c r="T59" s="244"/>
      <c r="U59" s="244"/>
      <c r="V59" s="244"/>
      <c r="W59" s="245"/>
      <c r="X59" s="247"/>
      <c r="Y59" s="244"/>
      <c r="Z59" s="244"/>
      <c r="AA59" s="244"/>
      <c r="AB59" s="244"/>
      <c r="AC59" s="244"/>
      <c r="AD59" s="244"/>
      <c r="AE59" s="244"/>
      <c r="AF59" s="244"/>
      <c r="AG59" s="244"/>
      <c r="AH59" s="245"/>
      <c r="AI59" s="247"/>
      <c r="AJ59" s="244"/>
      <c r="AK59" s="244"/>
      <c r="AL59" s="244"/>
      <c r="AM59" s="244"/>
      <c r="AN59" s="244"/>
      <c r="AO59" s="244"/>
      <c r="AP59" s="244"/>
      <c r="AQ59" s="244"/>
      <c r="AR59" s="244"/>
      <c r="AS59" s="244"/>
      <c r="AT59" s="245"/>
      <c r="AU59" s="247"/>
      <c r="AV59" s="244"/>
      <c r="AW59" s="244"/>
      <c r="AX59" s="244"/>
      <c r="AY59" s="244"/>
      <c r="AZ59" s="244"/>
      <c r="BA59" s="244"/>
      <c r="BB59" s="244"/>
      <c r="BC59" s="244"/>
      <c r="BD59" s="244"/>
      <c r="BE59" s="244"/>
      <c r="BF59" s="248"/>
    </row>
    <row r="60" spans="2:58" ht="13" customHeight="1" x14ac:dyDescent="0.25">
      <c r="B60" s="184" t="s">
        <v>471</v>
      </c>
      <c r="C60" s="185"/>
      <c r="D60" s="9" t="s">
        <v>274</v>
      </c>
      <c r="E60" s="161" t="s">
        <v>20</v>
      </c>
      <c r="F60" s="164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165"/>
      <c r="R60" s="165"/>
      <c r="S60" s="165"/>
      <c r="T60" s="165"/>
      <c r="U60" s="165"/>
      <c r="V60" s="165"/>
      <c r="W60" s="165"/>
      <c r="X60" s="165"/>
      <c r="Y60" s="165"/>
      <c r="Z60" s="165"/>
      <c r="AA60" s="165"/>
      <c r="AB60" s="165"/>
      <c r="AC60" s="165"/>
      <c r="AD60" s="165"/>
      <c r="AE60" s="165"/>
      <c r="AF60" s="165"/>
      <c r="AG60" s="165"/>
      <c r="AH60" s="165"/>
      <c r="AI60" s="165"/>
      <c r="AJ60" s="165"/>
      <c r="AK60" s="165"/>
      <c r="AL60" s="165"/>
      <c r="AM60" s="165"/>
      <c r="AN60" s="165"/>
      <c r="AO60" s="166"/>
      <c r="AP60" s="166"/>
      <c r="AQ60" s="166"/>
      <c r="AR60" s="166"/>
      <c r="AS60" s="166"/>
      <c r="AT60" s="166"/>
      <c r="AU60" s="166"/>
      <c r="AV60" s="166"/>
      <c r="AW60" s="166"/>
      <c r="AX60" s="166"/>
      <c r="AY60" s="166"/>
      <c r="AZ60" s="166"/>
      <c r="BA60" s="166"/>
      <c r="BB60" s="166"/>
      <c r="BC60" s="166"/>
      <c r="BD60" s="166"/>
      <c r="BE60" s="166"/>
      <c r="BF60" s="167"/>
    </row>
    <row r="61" spans="2:58" ht="13" customHeight="1" x14ac:dyDescent="0.25">
      <c r="B61" s="160" t="s">
        <v>275</v>
      </c>
      <c r="C61" s="16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8"/>
      <c r="AP61" s="168"/>
      <c r="AQ61" s="168"/>
      <c r="AR61" s="168"/>
      <c r="AS61" s="168"/>
      <c r="AT61" s="168"/>
      <c r="AU61" s="168"/>
      <c r="AV61" s="168"/>
      <c r="AW61" s="168"/>
      <c r="AX61" s="168"/>
      <c r="AY61" s="168"/>
      <c r="AZ61" s="168"/>
      <c r="BA61" s="168"/>
      <c r="BB61" s="168"/>
      <c r="BC61" s="168"/>
      <c r="BD61" s="168"/>
      <c r="BE61" s="168"/>
      <c r="BF61" s="169"/>
    </row>
    <row r="62" spans="2:58" ht="13" customHeight="1" thickBot="1" x14ac:dyDescent="0.3">
      <c r="B62" s="172"/>
      <c r="C62" s="163"/>
      <c r="D62" s="163"/>
      <c r="E62" s="163"/>
      <c r="F62" s="163"/>
      <c r="G62" s="163"/>
      <c r="H62" s="163"/>
      <c r="I62" s="163"/>
      <c r="J62" s="163"/>
      <c r="K62" s="163"/>
      <c r="L62" s="163"/>
      <c r="M62" s="163"/>
      <c r="N62" s="163"/>
      <c r="O62" s="163"/>
      <c r="P62" s="163"/>
      <c r="Q62" s="163"/>
      <c r="R62" s="163"/>
      <c r="S62" s="163"/>
      <c r="T62" s="163"/>
      <c r="U62" s="163"/>
      <c r="V62" s="163"/>
      <c r="W62" s="163"/>
      <c r="X62" s="163"/>
      <c r="Y62" s="163"/>
      <c r="Z62" s="163"/>
      <c r="AA62" s="163"/>
      <c r="AB62" s="163"/>
      <c r="AC62" s="163"/>
      <c r="AD62" s="163"/>
      <c r="AE62" s="163"/>
      <c r="AF62" s="163"/>
      <c r="AG62" s="163"/>
      <c r="AH62" s="163"/>
      <c r="AI62" s="163"/>
      <c r="AJ62" s="163"/>
      <c r="AK62" s="163"/>
      <c r="AL62" s="163"/>
      <c r="AM62" s="163"/>
      <c r="AN62" s="163"/>
      <c r="AO62" s="170"/>
      <c r="AP62" s="170"/>
      <c r="AQ62" s="170"/>
      <c r="AR62" s="170"/>
      <c r="AS62" s="170"/>
      <c r="AT62" s="170"/>
      <c r="AU62" s="170"/>
      <c r="AV62" s="170"/>
      <c r="AW62" s="170"/>
      <c r="AX62" s="170"/>
      <c r="AY62" s="170"/>
      <c r="AZ62" s="170"/>
      <c r="BA62" s="170"/>
      <c r="BB62" s="170"/>
      <c r="BC62" s="170"/>
      <c r="BD62" s="170"/>
      <c r="BE62" s="170"/>
      <c r="BF62" s="171"/>
    </row>
    <row r="63" spans="2:5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  <row r="480" ht="18" customHeight="1" x14ac:dyDescent="0.25"/>
    <row r="481" ht="18" customHeight="1" x14ac:dyDescent="0.25"/>
    <row r="482" ht="18" customHeight="1" x14ac:dyDescent="0.25"/>
    <row r="483" ht="18" customHeight="1" x14ac:dyDescent="0.25"/>
    <row r="484" ht="18" customHeight="1" x14ac:dyDescent="0.25"/>
    <row r="485" ht="18" customHeight="1" x14ac:dyDescent="0.25"/>
    <row r="486" ht="18" customHeight="1" x14ac:dyDescent="0.25"/>
    <row r="487" ht="18" customHeight="1" x14ac:dyDescent="0.25"/>
    <row r="488" ht="18" customHeight="1" x14ac:dyDescent="0.25"/>
    <row r="489" ht="18" customHeight="1" x14ac:dyDescent="0.25"/>
    <row r="490" ht="18" customHeight="1" x14ac:dyDescent="0.25"/>
    <row r="491" ht="18" customHeight="1" x14ac:dyDescent="0.25"/>
    <row r="492" ht="18" customHeight="1" x14ac:dyDescent="0.25"/>
    <row r="493" ht="18" customHeight="1" x14ac:dyDescent="0.25"/>
    <row r="494" ht="18" customHeight="1" x14ac:dyDescent="0.25"/>
    <row r="495" ht="18" customHeight="1" x14ac:dyDescent="0.25"/>
    <row r="496" ht="18" customHeight="1" x14ac:dyDescent="0.25"/>
    <row r="497" ht="18" customHeight="1" x14ac:dyDescent="0.25"/>
    <row r="498" ht="18" customHeight="1" x14ac:dyDescent="0.25"/>
    <row r="499" ht="18" customHeight="1" x14ac:dyDescent="0.25"/>
    <row r="500" ht="18" customHeight="1" x14ac:dyDescent="0.25"/>
    <row r="501" ht="18" customHeight="1" x14ac:dyDescent="0.25"/>
    <row r="502" ht="18" customHeight="1" x14ac:dyDescent="0.25"/>
    <row r="503" ht="18" customHeight="1" x14ac:dyDescent="0.25"/>
    <row r="504" ht="18" customHeight="1" x14ac:dyDescent="0.25"/>
    <row r="505" ht="18" customHeight="1" x14ac:dyDescent="0.25"/>
    <row r="506" ht="18" customHeight="1" x14ac:dyDescent="0.25"/>
    <row r="507" ht="18" customHeight="1" x14ac:dyDescent="0.25"/>
    <row r="508" ht="18" customHeight="1" x14ac:dyDescent="0.25"/>
    <row r="509" ht="18" customHeight="1" x14ac:dyDescent="0.25"/>
    <row r="510" ht="18" customHeight="1" x14ac:dyDescent="0.25"/>
    <row r="511" ht="18" customHeight="1" x14ac:dyDescent="0.25"/>
    <row r="512" ht="18" customHeight="1" x14ac:dyDescent="0.25"/>
    <row r="513" ht="18" customHeight="1" x14ac:dyDescent="0.25"/>
    <row r="514" ht="18" customHeight="1" x14ac:dyDescent="0.25"/>
    <row r="515" ht="18" customHeight="1" x14ac:dyDescent="0.25"/>
    <row r="516" ht="18" customHeight="1" x14ac:dyDescent="0.25"/>
    <row r="517" ht="18" customHeight="1" x14ac:dyDescent="0.25"/>
    <row r="518" ht="18" customHeight="1" x14ac:dyDescent="0.25"/>
    <row r="519" ht="18" customHeight="1" x14ac:dyDescent="0.25"/>
    <row r="520" ht="18" customHeight="1" x14ac:dyDescent="0.25"/>
    <row r="521" ht="18" customHeight="1" x14ac:dyDescent="0.25"/>
    <row r="522" ht="18" customHeight="1" x14ac:dyDescent="0.25"/>
    <row r="523" ht="18" customHeight="1" x14ac:dyDescent="0.25"/>
    <row r="524" ht="18" customHeight="1" x14ac:dyDescent="0.25"/>
    <row r="525" ht="18" customHeight="1" x14ac:dyDescent="0.25"/>
    <row r="526" ht="18" customHeight="1" x14ac:dyDescent="0.25"/>
    <row r="527" ht="18" customHeight="1" x14ac:dyDescent="0.25"/>
    <row r="528" ht="18" customHeight="1" x14ac:dyDescent="0.25"/>
    <row r="529" ht="18" customHeight="1" x14ac:dyDescent="0.25"/>
    <row r="530" ht="18" customHeight="1" x14ac:dyDescent="0.25"/>
    <row r="531" ht="18" customHeight="1" x14ac:dyDescent="0.25"/>
    <row r="532" ht="18" customHeight="1" x14ac:dyDescent="0.25"/>
    <row r="533" ht="18" customHeight="1" x14ac:dyDescent="0.25"/>
    <row r="534" ht="18" customHeight="1" x14ac:dyDescent="0.25"/>
    <row r="535" ht="18" customHeight="1" x14ac:dyDescent="0.25"/>
    <row r="536" ht="18" customHeight="1" x14ac:dyDescent="0.25"/>
    <row r="537" ht="18" customHeight="1" x14ac:dyDescent="0.25"/>
    <row r="538" ht="18" customHeight="1" x14ac:dyDescent="0.25"/>
    <row r="539" ht="18" customHeight="1" x14ac:dyDescent="0.25"/>
    <row r="540" ht="18" customHeight="1" x14ac:dyDescent="0.25"/>
    <row r="541" ht="18" customHeight="1" x14ac:dyDescent="0.25"/>
    <row r="542" ht="18" customHeight="1" x14ac:dyDescent="0.25"/>
    <row r="543" ht="18" customHeight="1" x14ac:dyDescent="0.25"/>
    <row r="544" ht="18" customHeight="1" x14ac:dyDescent="0.25"/>
    <row r="545" ht="18" customHeight="1" x14ac:dyDescent="0.25"/>
    <row r="546" ht="18" customHeight="1" x14ac:dyDescent="0.25"/>
    <row r="547" ht="18" customHeight="1" x14ac:dyDescent="0.25"/>
    <row r="548" ht="18" customHeight="1" x14ac:dyDescent="0.25"/>
  </sheetData>
  <mergeCells count="85">
    <mergeCell ref="B1:BF1"/>
    <mergeCell ref="B2:L2"/>
    <mergeCell ref="M2:W2"/>
    <mergeCell ref="X2:AH2"/>
    <mergeCell ref="AI2:AT2"/>
    <mergeCell ref="AU2:BF2"/>
    <mergeCell ref="B10:L10"/>
    <mergeCell ref="M10:W10"/>
    <mergeCell ref="X10:AH10"/>
    <mergeCell ref="AI10:AT10"/>
    <mergeCell ref="AU10:BF10"/>
    <mergeCell ref="B3:L9"/>
    <mergeCell ref="M3:W9"/>
    <mergeCell ref="X3:AH9"/>
    <mergeCell ref="AI3:AT9"/>
    <mergeCell ref="AU3:BF9"/>
    <mergeCell ref="B18:L18"/>
    <mergeCell ref="M18:W18"/>
    <mergeCell ref="X18:AH18"/>
    <mergeCell ref="AI18:AT18"/>
    <mergeCell ref="AU18:BF18"/>
    <mergeCell ref="B11:L17"/>
    <mergeCell ref="M11:W17"/>
    <mergeCell ref="X11:AH17"/>
    <mergeCell ref="AI11:AT17"/>
    <mergeCell ref="AU11:BF17"/>
    <mergeCell ref="B25:L25"/>
    <mergeCell ref="M25:W25"/>
    <mergeCell ref="X25:AH25"/>
    <mergeCell ref="AI25:AT25"/>
    <mergeCell ref="AU25:BF25"/>
    <mergeCell ref="B19:L24"/>
    <mergeCell ref="M19:W24"/>
    <mergeCell ref="X19:AH24"/>
    <mergeCell ref="AI19:AT24"/>
    <mergeCell ref="AU19:BF24"/>
    <mergeCell ref="B32:L32"/>
    <mergeCell ref="M32:W32"/>
    <mergeCell ref="X32:AH32"/>
    <mergeCell ref="AI32:AT32"/>
    <mergeCell ref="AU32:BF32"/>
    <mergeCell ref="B26:L31"/>
    <mergeCell ref="M26:W31"/>
    <mergeCell ref="X26:AH31"/>
    <mergeCell ref="AI26:AT31"/>
    <mergeCell ref="AU26:BF31"/>
    <mergeCell ref="B39:L39"/>
    <mergeCell ref="M39:W39"/>
    <mergeCell ref="X39:AH39"/>
    <mergeCell ref="AI39:AT39"/>
    <mergeCell ref="AU39:BF39"/>
    <mergeCell ref="B33:L38"/>
    <mergeCell ref="M33:W38"/>
    <mergeCell ref="X33:AH38"/>
    <mergeCell ref="AI33:AT38"/>
    <mergeCell ref="AU33:BF38"/>
    <mergeCell ref="B46:L46"/>
    <mergeCell ref="M46:W46"/>
    <mergeCell ref="X46:AH46"/>
    <mergeCell ref="AI46:AT46"/>
    <mergeCell ref="AU46:BF46"/>
    <mergeCell ref="B40:L45"/>
    <mergeCell ref="M40:W45"/>
    <mergeCell ref="X40:AH45"/>
    <mergeCell ref="AI40:AT45"/>
    <mergeCell ref="AU40:BF45"/>
    <mergeCell ref="B53:L53"/>
    <mergeCell ref="M53:W53"/>
    <mergeCell ref="X53:AH53"/>
    <mergeCell ref="AI53:AT53"/>
    <mergeCell ref="AU53:BF53"/>
    <mergeCell ref="B47:L52"/>
    <mergeCell ref="M47:W52"/>
    <mergeCell ref="X47:AH52"/>
    <mergeCell ref="AI47:AT52"/>
    <mergeCell ref="AU47:BF52"/>
    <mergeCell ref="X54:AH59"/>
    <mergeCell ref="AI54:AT59"/>
    <mergeCell ref="AU54:BF59"/>
    <mergeCell ref="B60:C60"/>
    <mergeCell ref="E60:E62"/>
    <mergeCell ref="F60:BF62"/>
    <mergeCell ref="B61:D62"/>
    <mergeCell ref="B54:L59"/>
    <mergeCell ref="M54:W59"/>
  </mergeCells>
  <phoneticPr fontId="1" type="noConversion"/>
  <printOptions horizontalCentered="1" verticalCentered="1"/>
  <pageMargins left="0" right="0" top="0" bottom="0" header="0" footer="0"/>
  <pageSetup paperSize="8" orientation="landscape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B1:AK479"/>
  <sheetViews>
    <sheetView zoomScaleNormal="100" workbookViewId="0">
      <selection activeCell="S12" sqref="S12"/>
    </sheetView>
  </sheetViews>
  <sheetFormatPr defaultRowHeight="11.5" x14ac:dyDescent="0.25"/>
  <cols>
    <col min="1" max="1" width="1.54296875" style="45" customWidth="1"/>
    <col min="2" max="2" width="9" style="45" customWidth="1"/>
    <col min="3" max="3" width="2.54296875" style="45" customWidth="1"/>
    <col min="4" max="36" width="7.08984375" style="45" customWidth="1"/>
    <col min="37" max="37" width="6.453125" style="45" customWidth="1"/>
    <col min="38" max="270" width="8.81640625" style="45"/>
    <col min="271" max="271" width="2.08984375" style="45" customWidth="1"/>
    <col min="272" max="272" width="5.81640625" style="45" customWidth="1"/>
    <col min="273" max="273" width="6.81640625" style="45" customWidth="1"/>
    <col min="274" max="274" width="6.08984375" style="45" customWidth="1"/>
    <col min="275" max="275" width="6.81640625" style="45" customWidth="1"/>
    <col min="276" max="276" width="10.81640625" style="45" customWidth="1"/>
    <col min="277" max="277" width="11.54296875" style="45" customWidth="1"/>
    <col min="278" max="278" width="5.54296875" style="45" customWidth="1"/>
    <col min="279" max="279" width="6" style="45" customWidth="1"/>
    <col min="280" max="280" width="6.54296875" style="45" customWidth="1"/>
    <col min="281" max="281" width="11.08984375" style="45" customWidth="1"/>
    <col min="282" max="282" width="7.08984375" style="45" customWidth="1"/>
    <col min="283" max="284" width="5.81640625" style="45" customWidth="1"/>
    <col min="285" max="285" width="6" style="45" customWidth="1"/>
    <col min="286" max="286" width="6.81640625" style="45" customWidth="1"/>
    <col min="287" max="287" width="6" style="45" customWidth="1"/>
    <col min="288" max="288" width="18.08984375" style="45" customWidth="1"/>
    <col min="289" max="526" width="8.81640625" style="45"/>
    <col min="527" max="527" width="2.08984375" style="45" customWidth="1"/>
    <col min="528" max="528" width="5.81640625" style="45" customWidth="1"/>
    <col min="529" max="529" width="6.81640625" style="45" customWidth="1"/>
    <col min="530" max="530" width="6.08984375" style="45" customWidth="1"/>
    <col min="531" max="531" width="6.81640625" style="45" customWidth="1"/>
    <col min="532" max="532" width="10.81640625" style="45" customWidth="1"/>
    <col min="533" max="533" width="11.54296875" style="45" customWidth="1"/>
    <col min="534" max="534" width="5.54296875" style="45" customWidth="1"/>
    <col min="535" max="535" width="6" style="45" customWidth="1"/>
    <col min="536" max="536" width="6.54296875" style="45" customWidth="1"/>
    <col min="537" max="537" width="11.08984375" style="45" customWidth="1"/>
    <col min="538" max="538" width="7.08984375" style="45" customWidth="1"/>
    <col min="539" max="540" width="5.81640625" style="45" customWidth="1"/>
    <col min="541" max="541" width="6" style="45" customWidth="1"/>
    <col min="542" max="542" width="6.81640625" style="45" customWidth="1"/>
    <col min="543" max="543" width="6" style="45" customWidth="1"/>
    <col min="544" max="544" width="18.08984375" style="45" customWidth="1"/>
    <col min="545" max="782" width="8.81640625" style="45"/>
    <col min="783" max="783" width="2.08984375" style="45" customWidth="1"/>
    <col min="784" max="784" width="5.81640625" style="45" customWidth="1"/>
    <col min="785" max="785" width="6.81640625" style="45" customWidth="1"/>
    <col min="786" max="786" width="6.08984375" style="45" customWidth="1"/>
    <col min="787" max="787" width="6.81640625" style="45" customWidth="1"/>
    <col min="788" max="788" width="10.81640625" style="45" customWidth="1"/>
    <col min="789" max="789" width="11.54296875" style="45" customWidth="1"/>
    <col min="790" max="790" width="5.54296875" style="45" customWidth="1"/>
    <col min="791" max="791" width="6" style="45" customWidth="1"/>
    <col min="792" max="792" width="6.54296875" style="45" customWidth="1"/>
    <col min="793" max="793" width="11.08984375" style="45" customWidth="1"/>
    <col min="794" max="794" width="7.08984375" style="45" customWidth="1"/>
    <col min="795" max="796" width="5.81640625" style="45" customWidth="1"/>
    <col min="797" max="797" width="6" style="45" customWidth="1"/>
    <col min="798" max="798" width="6.81640625" style="45" customWidth="1"/>
    <col min="799" max="799" width="6" style="45" customWidth="1"/>
    <col min="800" max="800" width="18.08984375" style="45" customWidth="1"/>
    <col min="801" max="1038" width="8.81640625" style="45"/>
    <col min="1039" max="1039" width="2.08984375" style="45" customWidth="1"/>
    <col min="1040" max="1040" width="5.81640625" style="45" customWidth="1"/>
    <col min="1041" max="1041" width="6.81640625" style="45" customWidth="1"/>
    <col min="1042" max="1042" width="6.08984375" style="45" customWidth="1"/>
    <col min="1043" max="1043" width="6.81640625" style="45" customWidth="1"/>
    <col min="1044" max="1044" width="10.81640625" style="45" customWidth="1"/>
    <col min="1045" max="1045" width="11.54296875" style="45" customWidth="1"/>
    <col min="1046" max="1046" width="5.54296875" style="45" customWidth="1"/>
    <col min="1047" max="1047" width="6" style="45" customWidth="1"/>
    <col min="1048" max="1048" width="6.54296875" style="45" customWidth="1"/>
    <col min="1049" max="1049" width="11.08984375" style="45" customWidth="1"/>
    <col min="1050" max="1050" width="7.08984375" style="45" customWidth="1"/>
    <col min="1051" max="1052" width="5.81640625" style="45" customWidth="1"/>
    <col min="1053" max="1053" width="6" style="45" customWidth="1"/>
    <col min="1054" max="1054" width="6.81640625" style="45" customWidth="1"/>
    <col min="1055" max="1055" width="6" style="45" customWidth="1"/>
    <col min="1056" max="1056" width="18.08984375" style="45" customWidth="1"/>
    <col min="1057" max="1294" width="8.81640625" style="45"/>
    <col min="1295" max="1295" width="2.08984375" style="45" customWidth="1"/>
    <col min="1296" max="1296" width="5.81640625" style="45" customWidth="1"/>
    <col min="1297" max="1297" width="6.81640625" style="45" customWidth="1"/>
    <col min="1298" max="1298" width="6.08984375" style="45" customWidth="1"/>
    <col min="1299" max="1299" width="6.81640625" style="45" customWidth="1"/>
    <col min="1300" max="1300" width="10.81640625" style="45" customWidth="1"/>
    <col min="1301" max="1301" width="11.54296875" style="45" customWidth="1"/>
    <col min="1302" max="1302" width="5.54296875" style="45" customWidth="1"/>
    <col min="1303" max="1303" width="6" style="45" customWidth="1"/>
    <col min="1304" max="1304" width="6.54296875" style="45" customWidth="1"/>
    <col min="1305" max="1305" width="11.08984375" style="45" customWidth="1"/>
    <col min="1306" max="1306" width="7.08984375" style="45" customWidth="1"/>
    <col min="1307" max="1308" width="5.81640625" style="45" customWidth="1"/>
    <col min="1309" max="1309" width="6" style="45" customWidth="1"/>
    <col min="1310" max="1310" width="6.81640625" style="45" customWidth="1"/>
    <col min="1311" max="1311" width="6" style="45" customWidth="1"/>
    <col min="1312" max="1312" width="18.08984375" style="45" customWidth="1"/>
    <col min="1313" max="1550" width="8.81640625" style="45"/>
    <col min="1551" max="1551" width="2.08984375" style="45" customWidth="1"/>
    <col min="1552" max="1552" width="5.81640625" style="45" customWidth="1"/>
    <col min="1553" max="1553" width="6.81640625" style="45" customWidth="1"/>
    <col min="1554" max="1554" width="6.08984375" style="45" customWidth="1"/>
    <col min="1555" max="1555" width="6.81640625" style="45" customWidth="1"/>
    <col min="1556" max="1556" width="10.81640625" style="45" customWidth="1"/>
    <col min="1557" max="1557" width="11.54296875" style="45" customWidth="1"/>
    <col min="1558" max="1558" width="5.54296875" style="45" customWidth="1"/>
    <col min="1559" max="1559" width="6" style="45" customWidth="1"/>
    <col min="1560" max="1560" width="6.54296875" style="45" customWidth="1"/>
    <col min="1561" max="1561" width="11.08984375" style="45" customWidth="1"/>
    <col min="1562" max="1562" width="7.08984375" style="45" customWidth="1"/>
    <col min="1563" max="1564" width="5.81640625" style="45" customWidth="1"/>
    <col min="1565" max="1565" width="6" style="45" customWidth="1"/>
    <col min="1566" max="1566" width="6.81640625" style="45" customWidth="1"/>
    <col min="1567" max="1567" width="6" style="45" customWidth="1"/>
    <col min="1568" max="1568" width="18.08984375" style="45" customWidth="1"/>
    <col min="1569" max="1806" width="8.81640625" style="45"/>
    <col min="1807" max="1807" width="2.08984375" style="45" customWidth="1"/>
    <col min="1808" max="1808" width="5.81640625" style="45" customWidth="1"/>
    <col min="1809" max="1809" width="6.81640625" style="45" customWidth="1"/>
    <col min="1810" max="1810" width="6.08984375" style="45" customWidth="1"/>
    <col min="1811" max="1811" width="6.81640625" style="45" customWidth="1"/>
    <col min="1812" max="1812" width="10.81640625" style="45" customWidth="1"/>
    <col min="1813" max="1813" width="11.54296875" style="45" customWidth="1"/>
    <col min="1814" max="1814" width="5.54296875" style="45" customWidth="1"/>
    <col min="1815" max="1815" width="6" style="45" customWidth="1"/>
    <col min="1816" max="1816" width="6.54296875" style="45" customWidth="1"/>
    <col min="1817" max="1817" width="11.08984375" style="45" customWidth="1"/>
    <col min="1818" max="1818" width="7.08984375" style="45" customWidth="1"/>
    <col min="1819" max="1820" width="5.81640625" style="45" customWidth="1"/>
    <col min="1821" max="1821" width="6" style="45" customWidth="1"/>
    <col min="1822" max="1822" width="6.81640625" style="45" customWidth="1"/>
    <col min="1823" max="1823" width="6" style="45" customWidth="1"/>
    <col min="1824" max="1824" width="18.08984375" style="45" customWidth="1"/>
    <col min="1825" max="2062" width="8.81640625" style="45"/>
    <col min="2063" max="2063" width="2.08984375" style="45" customWidth="1"/>
    <col min="2064" max="2064" width="5.81640625" style="45" customWidth="1"/>
    <col min="2065" max="2065" width="6.81640625" style="45" customWidth="1"/>
    <col min="2066" max="2066" width="6.08984375" style="45" customWidth="1"/>
    <col min="2067" max="2067" width="6.81640625" style="45" customWidth="1"/>
    <col min="2068" max="2068" width="10.81640625" style="45" customWidth="1"/>
    <col min="2069" max="2069" width="11.54296875" style="45" customWidth="1"/>
    <col min="2070" max="2070" width="5.54296875" style="45" customWidth="1"/>
    <col min="2071" max="2071" width="6" style="45" customWidth="1"/>
    <col min="2072" max="2072" width="6.54296875" style="45" customWidth="1"/>
    <col min="2073" max="2073" width="11.08984375" style="45" customWidth="1"/>
    <col min="2074" max="2074" width="7.08984375" style="45" customWidth="1"/>
    <col min="2075" max="2076" width="5.81640625" style="45" customWidth="1"/>
    <col min="2077" max="2077" width="6" style="45" customWidth="1"/>
    <col min="2078" max="2078" width="6.81640625" style="45" customWidth="1"/>
    <col min="2079" max="2079" width="6" style="45" customWidth="1"/>
    <col min="2080" max="2080" width="18.08984375" style="45" customWidth="1"/>
    <col min="2081" max="2318" width="8.81640625" style="45"/>
    <col min="2319" max="2319" width="2.08984375" style="45" customWidth="1"/>
    <col min="2320" max="2320" width="5.81640625" style="45" customWidth="1"/>
    <col min="2321" max="2321" width="6.81640625" style="45" customWidth="1"/>
    <col min="2322" max="2322" width="6.08984375" style="45" customWidth="1"/>
    <col min="2323" max="2323" width="6.81640625" style="45" customWidth="1"/>
    <col min="2324" max="2324" width="10.81640625" style="45" customWidth="1"/>
    <col min="2325" max="2325" width="11.54296875" style="45" customWidth="1"/>
    <col min="2326" max="2326" width="5.54296875" style="45" customWidth="1"/>
    <col min="2327" max="2327" width="6" style="45" customWidth="1"/>
    <col min="2328" max="2328" width="6.54296875" style="45" customWidth="1"/>
    <col min="2329" max="2329" width="11.08984375" style="45" customWidth="1"/>
    <col min="2330" max="2330" width="7.08984375" style="45" customWidth="1"/>
    <col min="2331" max="2332" width="5.81640625" style="45" customWidth="1"/>
    <col min="2333" max="2333" width="6" style="45" customWidth="1"/>
    <col min="2334" max="2334" width="6.81640625" style="45" customWidth="1"/>
    <col min="2335" max="2335" width="6" style="45" customWidth="1"/>
    <col min="2336" max="2336" width="18.08984375" style="45" customWidth="1"/>
    <col min="2337" max="2574" width="8.81640625" style="45"/>
    <col min="2575" max="2575" width="2.08984375" style="45" customWidth="1"/>
    <col min="2576" max="2576" width="5.81640625" style="45" customWidth="1"/>
    <col min="2577" max="2577" width="6.81640625" style="45" customWidth="1"/>
    <col min="2578" max="2578" width="6.08984375" style="45" customWidth="1"/>
    <col min="2579" max="2579" width="6.81640625" style="45" customWidth="1"/>
    <col min="2580" max="2580" width="10.81640625" style="45" customWidth="1"/>
    <col min="2581" max="2581" width="11.54296875" style="45" customWidth="1"/>
    <col min="2582" max="2582" width="5.54296875" style="45" customWidth="1"/>
    <col min="2583" max="2583" width="6" style="45" customWidth="1"/>
    <col min="2584" max="2584" width="6.54296875" style="45" customWidth="1"/>
    <col min="2585" max="2585" width="11.08984375" style="45" customWidth="1"/>
    <col min="2586" max="2586" width="7.08984375" style="45" customWidth="1"/>
    <col min="2587" max="2588" width="5.81640625" style="45" customWidth="1"/>
    <col min="2589" max="2589" width="6" style="45" customWidth="1"/>
    <col min="2590" max="2590" width="6.81640625" style="45" customWidth="1"/>
    <col min="2591" max="2591" width="6" style="45" customWidth="1"/>
    <col min="2592" max="2592" width="18.08984375" style="45" customWidth="1"/>
    <col min="2593" max="2830" width="8.81640625" style="45"/>
    <col min="2831" max="2831" width="2.08984375" style="45" customWidth="1"/>
    <col min="2832" max="2832" width="5.81640625" style="45" customWidth="1"/>
    <col min="2833" max="2833" width="6.81640625" style="45" customWidth="1"/>
    <col min="2834" max="2834" width="6.08984375" style="45" customWidth="1"/>
    <col min="2835" max="2835" width="6.81640625" style="45" customWidth="1"/>
    <col min="2836" max="2836" width="10.81640625" style="45" customWidth="1"/>
    <col min="2837" max="2837" width="11.54296875" style="45" customWidth="1"/>
    <col min="2838" max="2838" width="5.54296875" style="45" customWidth="1"/>
    <col min="2839" max="2839" width="6" style="45" customWidth="1"/>
    <col min="2840" max="2840" width="6.54296875" style="45" customWidth="1"/>
    <col min="2841" max="2841" width="11.08984375" style="45" customWidth="1"/>
    <col min="2842" max="2842" width="7.08984375" style="45" customWidth="1"/>
    <col min="2843" max="2844" width="5.81640625" style="45" customWidth="1"/>
    <col min="2845" max="2845" width="6" style="45" customWidth="1"/>
    <col min="2846" max="2846" width="6.81640625" style="45" customWidth="1"/>
    <col min="2847" max="2847" width="6" style="45" customWidth="1"/>
    <col min="2848" max="2848" width="18.08984375" style="45" customWidth="1"/>
    <col min="2849" max="3086" width="8.81640625" style="45"/>
    <col min="3087" max="3087" width="2.08984375" style="45" customWidth="1"/>
    <col min="3088" max="3088" width="5.81640625" style="45" customWidth="1"/>
    <col min="3089" max="3089" width="6.81640625" style="45" customWidth="1"/>
    <col min="3090" max="3090" width="6.08984375" style="45" customWidth="1"/>
    <col min="3091" max="3091" width="6.81640625" style="45" customWidth="1"/>
    <col min="3092" max="3092" width="10.81640625" style="45" customWidth="1"/>
    <col min="3093" max="3093" width="11.54296875" style="45" customWidth="1"/>
    <col min="3094" max="3094" width="5.54296875" style="45" customWidth="1"/>
    <col min="3095" max="3095" width="6" style="45" customWidth="1"/>
    <col min="3096" max="3096" width="6.54296875" style="45" customWidth="1"/>
    <col min="3097" max="3097" width="11.08984375" style="45" customWidth="1"/>
    <col min="3098" max="3098" width="7.08984375" style="45" customWidth="1"/>
    <col min="3099" max="3100" width="5.81640625" style="45" customWidth="1"/>
    <col min="3101" max="3101" width="6" style="45" customWidth="1"/>
    <col min="3102" max="3102" width="6.81640625" style="45" customWidth="1"/>
    <col min="3103" max="3103" width="6" style="45" customWidth="1"/>
    <col min="3104" max="3104" width="18.08984375" style="45" customWidth="1"/>
    <col min="3105" max="3342" width="8.81640625" style="45"/>
    <col min="3343" max="3343" width="2.08984375" style="45" customWidth="1"/>
    <col min="3344" max="3344" width="5.81640625" style="45" customWidth="1"/>
    <col min="3345" max="3345" width="6.81640625" style="45" customWidth="1"/>
    <col min="3346" max="3346" width="6.08984375" style="45" customWidth="1"/>
    <col min="3347" max="3347" width="6.81640625" style="45" customWidth="1"/>
    <col min="3348" max="3348" width="10.81640625" style="45" customWidth="1"/>
    <col min="3349" max="3349" width="11.54296875" style="45" customWidth="1"/>
    <col min="3350" max="3350" width="5.54296875" style="45" customWidth="1"/>
    <col min="3351" max="3351" width="6" style="45" customWidth="1"/>
    <col min="3352" max="3352" width="6.54296875" style="45" customWidth="1"/>
    <col min="3353" max="3353" width="11.08984375" style="45" customWidth="1"/>
    <col min="3354" max="3354" width="7.08984375" style="45" customWidth="1"/>
    <col min="3355" max="3356" width="5.81640625" style="45" customWidth="1"/>
    <col min="3357" max="3357" width="6" style="45" customWidth="1"/>
    <col min="3358" max="3358" width="6.81640625" style="45" customWidth="1"/>
    <col min="3359" max="3359" width="6" style="45" customWidth="1"/>
    <col min="3360" max="3360" width="18.08984375" style="45" customWidth="1"/>
    <col min="3361" max="3598" width="8.81640625" style="45"/>
    <col min="3599" max="3599" width="2.08984375" style="45" customWidth="1"/>
    <col min="3600" max="3600" width="5.81640625" style="45" customWidth="1"/>
    <col min="3601" max="3601" width="6.81640625" style="45" customWidth="1"/>
    <col min="3602" max="3602" width="6.08984375" style="45" customWidth="1"/>
    <col min="3603" max="3603" width="6.81640625" style="45" customWidth="1"/>
    <col min="3604" max="3604" width="10.81640625" style="45" customWidth="1"/>
    <col min="3605" max="3605" width="11.54296875" style="45" customWidth="1"/>
    <col min="3606" max="3606" width="5.54296875" style="45" customWidth="1"/>
    <col min="3607" max="3607" width="6" style="45" customWidth="1"/>
    <col min="3608" max="3608" width="6.54296875" style="45" customWidth="1"/>
    <col min="3609" max="3609" width="11.08984375" style="45" customWidth="1"/>
    <col min="3610" max="3610" width="7.08984375" style="45" customWidth="1"/>
    <col min="3611" max="3612" width="5.81640625" style="45" customWidth="1"/>
    <col min="3613" max="3613" width="6" style="45" customWidth="1"/>
    <col min="3614" max="3614" width="6.81640625" style="45" customWidth="1"/>
    <col min="3615" max="3615" width="6" style="45" customWidth="1"/>
    <col min="3616" max="3616" width="18.08984375" style="45" customWidth="1"/>
    <col min="3617" max="3854" width="8.81640625" style="45"/>
    <col min="3855" max="3855" width="2.08984375" style="45" customWidth="1"/>
    <col min="3856" max="3856" width="5.81640625" style="45" customWidth="1"/>
    <col min="3857" max="3857" width="6.81640625" style="45" customWidth="1"/>
    <col min="3858" max="3858" width="6.08984375" style="45" customWidth="1"/>
    <col min="3859" max="3859" width="6.81640625" style="45" customWidth="1"/>
    <col min="3860" max="3860" width="10.81640625" style="45" customWidth="1"/>
    <col min="3861" max="3861" width="11.54296875" style="45" customWidth="1"/>
    <col min="3862" max="3862" width="5.54296875" style="45" customWidth="1"/>
    <col min="3863" max="3863" width="6" style="45" customWidth="1"/>
    <col min="3864" max="3864" width="6.54296875" style="45" customWidth="1"/>
    <col min="3865" max="3865" width="11.08984375" style="45" customWidth="1"/>
    <col min="3866" max="3866" width="7.08984375" style="45" customWidth="1"/>
    <col min="3867" max="3868" width="5.81640625" style="45" customWidth="1"/>
    <col min="3869" max="3869" width="6" style="45" customWidth="1"/>
    <col min="3870" max="3870" width="6.81640625" style="45" customWidth="1"/>
    <col min="3871" max="3871" width="6" style="45" customWidth="1"/>
    <col min="3872" max="3872" width="18.08984375" style="45" customWidth="1"/>
    <col min="3873" max="4110" width="8.81640625" style="45"/>
    <col min="4111" max="4111" width="2.08984375" style="45" customWidth="1"/>
    <col min="4112" max="4112" width="5.81640625" style="45" customWidth="1"/>
    <col min="4113" max="4113" width="6.81640625" style="45" customWidth="1"/>
    <col min="4114" max="4114" width="6.08984375" style="45" customWidth="1"/>
    <col min="4115" max="4115" width="6.81640625" style="45" customWidth="1"/>
    <col min="4116" max="4116" width="10.81640625" style="45" customWidth="1"/>
    <col min="4117" max="4117" width="11.54296875" style="45" customWidth="1"/>
    <col min="4118" max="4118" width="5.54296875" style="45" customWidth="1"/>
    <col min="4119" max="4119" width="6" style="45" customWidth="1"/>
    <col min="4120" max="4120" width="6.54296875" style="45" customWidth="1"/>
    <col min="4121" max="4121" width="11.08984375" style="45" customWidth="1"/>
    <col min="4122" max="4122" width="7.08984375" style="45" customWidth="1"/>
    <col min="4123" max="4124" width="5.81640625" style="45" customWidth="1"/>
    <col min="4125" max="4125" width="6" style="45" customWidth="1"/>
    <col min="4126" max="4126" width="6.81640625" style="45" customWidth="1"/>
    <col min="4127" max="4127" width="6" style="45" customWidth="1"/>
    <col min="4128" max="4128" width="18.08984375" style="45" customWidth="1"/>
    <col min="4129" max="4366" width="8.81640625" style="45"/>
    <col min="4367" max="4367" width="2.08984375" style="45" customWidth="1"/>
    <col min="4368" max="4368" width="5.81640625" style="45" customWidth="1"/>
    <col min="4369" max="4369" width="6.81640625" style="45" customWidth="1"/>
    <col min="4370" max="4370" width="6.08984375" style="45" customWidth="1"/>
    <col min="4371" max="4371" width="6.81640625" style="45" customWidth="1"/>
    <col min="4372" max="4372" width="10.81640625" style="45" customWidth="1"/>
    <col min="4373" max="4373" width="11.54296875" style="45" customWidth="1"/>
    <col min="4374" max="4374" width="5.54296875" style="45" customWidth="1"/>
    <col min="4375" max="4375" width="6" style="45" customWidth="1"/>
    <col min="4376" max="4376" width="6.54296875" style="45" customWidth="1"/>
    <col min="4377" max="4377" width="11.08984375" style="45" customWidth="1"/>
    <col min="4378" max="4378" width="7.08984375" style="45" customWidth="1"/>
    <col min="4379" max="4380" width="5.81640625" style="45" customWidth="1"/>
    <col min="4381" max="4381" width="6" style="45" customWidth="1"/>
    <col min="4382" max="4382" width="6.81640625" style="45" customWidth="1"/>
    <col min="4383" max="4383" width="6" style="45" customWidth="1"/>
    <col min="4384" max="4384" width="18.08984375" style="45" customWidth="1"/>
    <col min="4385" max="4622" width="8.81640625" style="45"/>
    <col min="4623" max="4623" width="2.08984375" style="45" customWidth="1"/>
    <col min="4624" max="4624" width="5.81640625" style="45" customWidth="1"/>
    <col min="4625" max="4625" width="6.81640625" style="45" customWidth="1"/>
    <col min="4626" max="4626" width="6.08984375" style="45" customWidth="1"/>
    <col min="4627" max="4627" width="6.81640625" style="45" customWidth="1"/>
    <col min="4628" max="4628" width="10.81640625" style="45" customWidth="1"/>
    <col min="4629" max="4629" width="11.54296875" style="45" customWidth="1"/>
    <col min="4630" max="4630" width="5.54296875" style="45" customWidth="1"/>
    <col min="4631" max="4631" width="6" style="45" customWidth="1"/>
    <col min="4632" max="4632" width="6.54296875" style="45" customWidth="1"/>
    <col min="4633" max="4633" width="11.08984375" style="45" customWidth="1"/>
    <col min="4634" max="4634" width="7.08984375" style="45" customWidth="1"/>
    <col min="4635" max="4636" width="5.81640625" style="45" customWidth="1"/>
    <col min="4637" max="4637" width="6" style="45" customWidth="1"/>
    <col min="4638" max="4638" width="6.81640625" style="45" customWidth="1"/>
    <col min="4639" max="4639" width="6" style="45" customWidth="1"/>
    <col min="4640" max="4640" width="18.08984375" style="45" customWidth="1"/>
    <col min="4641" max="4878" width="8.81640625" style="45"/>
    <col min="4879" max="4879" width="2.08984375" style="45" customWidth="1"/>
    <col min="4880" max="4880" width="5.81640625" style="45" customWidth="1"/>
    <col min="4881" max="4881" width="6.81640625" style="45" customWidth="1"/>
    <col min="4882" max="4882" width="6.08984375" style="45" customWidth="1"/>
    <col min="4883" max="4883" width="6.81640625" style="45" customWidth="1"/>
    <col min="4884" max="4884" width="10.81640625" style="45" customWidth="1"/>
    <col min="4885" max="4885" width="11.54296875" style="45" customWidth="1"/>
    <col min="4886" max="4886" width="5.54296875" style="45" customWidth="1"/>
    <col min="4887" max="4887" width="6" style="45" customWidth="1"/>
    <col min="4888" max="4888" width="6.54296875" style="45" customWidth="1"/>
    <col min="4889" max="4889" width="11.08984375" style="45" customWidth="1"/>
    <col min="4890" max="4890" width="7.08984375" style="45" customWidth="1"/>
    <col min="4891" max="4892" width="5.81640625" style="45" customWidth="1"/>
    <col min="4893" max="4893" width="6" style="45" customWidth="1"/>
    <col min="4894" max="4894" width="6.81640625" style="45" customWidth="1"/>
    <col min="4895" max="4895" width="6" style="45" customWidth="1"/>
    <col min="4896" max="4896" width="18.08984375" style="45" customWidth="1"/>
    <col min="4897" max="5134" width="8.81640625" style="45"/>
    <col min="5135" max="5135" width="2.08984375" style="45" customWidth="1"/>
    <col min="5136" max="5136" width="5.81640625" style="45" customWidth="1"/>
    <col min="5137" max="5137" width="6.81640625" style="45" customWidth="1"/>
    <col min="5138" max="5138" width="6.08984375" style="45" customWidth="1"/>
    <col min="5139" max="5139" width="6.81640625" style="45" customWidth="1"/>
    <col min="5140" max="5140" width="10.81640625" style="45" customWidth="1"/>
    <col min="5141" max="5141" width="11.54296875" style="45" customWidth="1"/>
    <col min="5142" max="5142" width="5.54296875" style="45" customWidth="1"/>
    <col min="5143" max="5143" width="6" style="45" customWidth="1"/>
    <col min="5144" max="5144" width="6.54296875" style="45" customWidth="1"/>
    <col min="5145" max="5145" width="11.08984375" style="45" customWidth="1"/>
    <col min="5146" max="5146" width="7.08984375" style="45" customWidth="1"/>
    <col min="5147" max="5148" width="5.81640625" style="45" customWidth="1"/>
    <col min="5149" max="5149" width="6" style="45" customWidth="1"/>
    <col min="5150" max="5150" width="6.81640625" style="45" customWidth="1"/>
    <col min="5151" max="5151" width="6" style="45" customWidth="1"/>
    <col min="5152" max="5152" width="18.08984375" style="45" customWidth="1"/>
    <col min="5153" max="5390" width="8.81640625" style="45"/>
    <col min="5391" max="5391" width="2.08984375" style="45" customWidth="1"/>
    <col min="5392" max="5392" width="5.81640625" style="45" customWidth="1"/>
    <col min="5393" max="5393" width="6.81640625" style="45" customWidth="1"/>
    <col min="5394" max="5394" width="6.08984375" style="45" customWidth="1"/>
    <col min="5395" max="5395" width="6.81640625" style="45" customWidth="1"/>
    <col min="5396" max="5396" width="10.81640625" style="45" customWidth="1"/>
    <col min="5397" max="5397" width="11.54296875" style="45" customWidth="1"/>
    <col min="5398" max="5398" width="5.54296875" style="45" customWidth="1"/>
    <col min="5399" max="5399" width="6" style="45" customWidth="1"/>
    <col min="5400" max="5400" width="6.54296875" style="45" customWidth="1"/>
    <col min="5401" max="5401" width="11.08984375" style="45" customWidth="1"/>
    <col min="5402" max="5402" width="7.08984375" style="45" customWidth="1"/>
    <col min="5403" max="5404" width="5.81640625" style="45" customWidth="1"/>
    <col min="5405" max="5405" width="6" style="45" customWidth="1"/>
    <col min="5406" max="5406" width="6.81640625" style="45" customWidth="1"/>
    <col min="5407" max="5407" width="6" style="45" customWidth="1"/>
    <col min="5408" max="5408" width="18.08984375" style="45" customWidth="1"/>
    <col min="5409" max="5646" width="8.81640625" style="45"/>
    <col min="5647" max="5647" width="2.08984375" style="45" customWidth="1"/>
    <col min="5648" max="5648" width="5.81640625" style="45" customWidth="1"/>
    <col min="5649" max="5649" width="6.81640625" style="45" customWidth="1"/>
    <col min="5650" max="5650" width="6.08984375" style="45" customWidth="1"/>
    <col min="5651" max="5651" width="6.81640625" style="45" customWidth="1"/>
    <col min="5652" max="5652" width="10.81640625" style="45" customWidth="1"/>
    <col min="5653" max="5653" width="11.54296875" style="45" customWidth="1"/>
    <col min="5654" max="5654" width="5.54296875" style="45" customWidth="1"/>
    <col min="5655" max="5655" width="6" style="45" customWidth="1"/>
    <col min="5656" max="5656" width="6.54296875" style="45" customWidth="1"/>
    <col min="5657" max="5657" width="11.08984375" style="45" customWidth="1"/>
    <col min="5658" max="5658" width="7.08984375" style="45" customWidth="1"/>
    <col min="5659" max="5660" width="5.81640625" style="45" customWidth="1"/>
    <col min="5661" max="5661" width="6" style="45" customWidth="1"/>
    <col min="5662" max="5662" width="6.81640625" style="45" customWidth="1"/>
    <col min="5663" max="5663" width="6" style="45" customWidth="1"/>
    <col min="5664" max="5664" width="18.08984375" style="45" customWidth="1"/>
    <col min="5665" max="5902" width="8.81640625" style="45"/>
    <col min="5903" max="5903" width="2.08984375" style="45" customWidth="1"/>
    <col min="5904" max="5904" width="5.81640625" style="45" customWidth="1"/>
    <col min="5905" max="5905" width="6.81640625" style="45" customWidth="1"/>
    <col min="5906" max="5906" width="6.08984375" style="45" customWidth="1"/>
    <col min="5907" max="5907" width="6.81640625" style="45" customWidth="1"/>
    <col min="5908" max="5908" width="10.81640625" style="45" customWidth="1"/>
    <col min="5909" max="5909" width="11.54296875" style="45" customWidth="1"/>
    <col min="5910" max="5910" width="5.54296875" style="45" customWidth="1"/>
    <col min="5911" max="5911" width="6" style="45" customWidth="1"/>
    <col min="5912" max="5912" width="6.54296875" style="45" customWidth="1"/>
    <col min="5913" max="5913" width="11.08984375" style="45" customWidth="1"/>
    <col min="5914" max="5914" width="7.08984375" style="45" customWidth="1"/>
    <col min="5915" max="5916" width="5.81640625" style="45" customWidth="1"/>
    <col min="5917" max="5917" width="6" style="45" customWidth="1"/>
    <col min="5918" max="5918" width="6.81640625" style="45" customWidth="1"/>
    <col min="5919" max="5919" width="6" style="45" customWidth="1"/>
    <col min="5920" max="5920" width="18.08984375" style="45" customWidth="1"/>
    <col min="5921" max="6158" width="8.81640625" style="45"/>
    <col min="6159" max="6159" width="2.08984375" style="45" customWidth="1"/>
    <col min="6160" max="6160" width="5.81640625" style="45" customWidth="1"/>
    <col min="6161" max="6161" width="6.81640625" style="45" customWidth="1"/>
    <col min="6162" max="6162" width="6.08984375" style="45" customWidth="1"/>
    <col min="6163" max="6163" width="6.81640625" style="45" customWidth="1"/>
    <col min="6164" max="6164" width="10.81640625" style="45" customWidth="1"/>
    <col min="6165" max="6165" width="11.54296875" style="45" customWidth="1"/>
    <col min="6166" max="6166" width="5.54296875" style="45" customWidth="1"/>
    <col min="6167" max="6167" width="6" style="45" customWidth="1"/>
    <col min="6168" max="6168" width="6.54296875" style="45" customWidth="1"/>
    <col min="6169" max="6169" width="11.08984375" style="45" customWidth="1"/>
    <col min="6170" max="6170" width="7.08984375" style="45" customWidth="1"/>
    <col min="6171" max="6172" width="5.81640625" style="45" customWidth="1"/>
    <col min="6173" max="6173" width="6" style="45" customWidth="1"/>
    <col min="6174" max="6174" width="6.81640625" style="45" customWidth="1"/>
    <col min="6175" max="6175" width="6" style="45" customWidth="1"/>
    <col min="6176" max="6176" width="18.08984375" style="45" customWidth="1"/>
    <col min="6177" max="6414" width="8.81640625" style="45"/>
    <col min="6415" max="6415" width="2.08984375" style="45" customWidth="1"/>
    <col min="6416" max="6416" width="5.81640625" style="45" customWidth="1"/>
    <col min="6417" max="6417" width="6.81640625" style="45" customWidth="1"/>
    <col min="6418" max="6418" width="6.08984375" style="45" customWidth="1"/>
    <col min="6419" max="6419" width="6.81640625" style="45" customWidth="1"/>
    <col min="6420" max="6420" width="10.81640625" style="45" customWidth="1"/>
    <col min="6421" max="6421" width="11.54296875" style="45" customWidth="1"/>
    <col min="6422" max="6422" width="5.54296875" style="45" customWidth="1"/>
    <col min="6423" max="6423" width="6" style="45" customWidth="1"/>
    <col min="6424" max="6424" width="6.54296875" style="45" customWidth="1"/>
    <col min="6425" max="6425" width="11.08984375" style="45" customWidth="1"/>
    <col min="6426" max="6426" width="7.08984375" style="45" customWidth="1"/>
    <col min="6427" max="6428" width="5.81640625" style="45" customWidth="1"/>
    <col min="6429" max="6429" width="6" style="45" customWidth="1"/>
    <col min="6430" max="6430" width="6.81640625" style="45" customWidth="1"/>
    <col min="6431" max="6431" width="6" style="45" customWidth="1"/>
    <col min="6432" max="6432" width="18.08984375" style="45" customWidth="1"/>
    <col min="6433" max="6670" width="8.81640625" style="45"/>
    <col min="6671" max="6671" width="2.08984375" style="45" customWidth="1"/>
    <col min="6672" max="6672" width="5.81640625" style="45" customWidth="1"/>
    <col min="6673" max="6673" width="6.81640625" style="45" customWidth="1"/>
    <col min="6674" max="6674" width="6.08984375" style="45" customWidth="1"/>
    <col min="6675" max="6675" width="6.81640625" style="45" customWidth="1"/>
    <col min="6676" max="6676" width="10.81640625" style="45" customWidth="1"/>
    <col min="6677" max="6677" width="11.54296875" style="45" customWidth="1"/>
    <col min="6678" max="6678" width="5.54296875" style="45" customWidth="1"/>
    <col min="6679" max="6679" width="6" style="45" customWidth="1"/>
    <col min="6680" max="6680" width="6.54296875" style="45" customWidth="1"/>
    <col min="6681" max="6681" width="11.08984375" style="45" customWidth="1"/>
    <col min="6682" max="6682" width="7.08984375" style="45" customWidth="1"/>
    <col min="6683" max="6684" width="5.81640625" style="45" customWidth="1"/>
    <col min="6685" max="6685" width="6" style="45" customWidth="1"/>
    <col min="6686" max="6686" width="6.81640625" style="45" customWidth="1"/>
    <col min="6687" max="6687" width="6" style="45" customWidth="1"/>
    <col min="6688" max="6688" width="18.08984375" style="45" customWidth="1"/>
    <col min="6689" max="6926" width="8.81640625" style="45"/>
    <col min="6927" max="6927" width="2.08984375" style="45" customWidth="1"/>
    <col min="6928" max="6928" width="5.81640625" style="45" customWidth="1"/>
    <col min="6929" max="6929" width="6.81640625" style="45" customWidth="1"/>
    <col min="6930" max="6930" width="6.08984375" style="45" customWidth="1"/>
    <col min="6931" max="6931" width="6.81640625" style="45" customWidth="1"/>
    <col min="6932" max="6932" width="10.81640625" style="45" customWidth="1"/>
    <col min="6933" max="6933" width="11.54296875" style="45" customWidth="1"/>
    <col min="6934" max="6934" width="5.54296875" style="45" customWidth="1"/>
    <col min="6935" max="6935" width="6" style="45" customWidth="1"/>
    <col min="6936" max="6936" width="6.54296875" style="45" customWidth="1"/>
    <col min="6937" max="6937" width="11.08984375" style="45" customWidth="1"/>
    <col min="6938" max="6938" width="7.08984375" style="45" customWidth="1"/>
    <col min="6939" max="6940" width="5.81640625" style="45" customWidth="1"/>
    <col min="6941" max="6941" width="6" style="45" customWidth="1"/>
    <col min="6942" max="6942" width="6.81640625" style="45" customWidth="1"/>
    <col min="6943" max="6943" width="6" style="45" customWidth="1"/>
    <col min="6944" max="6944" width="18.08984375" style="45" customWidth="1"/>
    <col min="6945" max="7182" width="8.81640625" style="45"/>
    <col min="7183" max="7183" width="2.08984375" style="45" customWidth="1"/>
    <col min="7184" max="7184" width="5.81640625" style="45" customWidth="1"/>
    <col min="7185" max="7185" width="6.81640625" style="45" customWidth="1"/>
    <col min="7186" max="7186" width="6.08984375" style="45" customWidth="1"/>
    <col min="7187" max="7187" width="6.81640625" style="45" customWidth="1"/>
    <col min="7188" max="7188" width="10.81640625" style="45" customWidth="1"/>
    <col min="7189" max="7189" width="11.54296875" style="45" customWidth="1"/>
    <col min="7190" max="7190" width="5.54296875" style="45" customWidth="1"/>
    <col min="7191" max="7191" width="6" style="45" customWidth="1"/>
    <col min="7192" max="7192" width="6.54296875" style="45" customWidth="1"/>
    <col min="7193" max="7193" width="11.08984375" style="45" customWidth="1"/>
    <col min="7194" max="7194" width="7.08984375" style="45" customWidth="1"/>
    <col min="7195" max="7196" width="5.81640625" style="45" customWidth="1"/>
    <col min="7197" max="7197" width="6" style="45" customWidth="1"/>
    <col min="7198" max="7198" width="6.81640625" style="45" customWidth="1"/>
    <col min="7199" max="7199" width="6" style="45" customWidth="1"/>
    <col min="7200" max="7200" width="18.08984375" style="45" customWidth="1"/>
    <col min="7201" max="7438" width="8.81640625" style="45"/>
    <col min="7439" max="7439" width="2.08984375" style="45" customWidth="1"/>
    <col min="7440" max="7440" width="5.81640625" style="45" customWidth="1"/>
    <col min="7441" max="7441" width="6.81640625" style="45" customWidth="1"/>
    <col min="7442" max="7442" width="6.08984375" style="45" customWidth="1"/>
    <col min="7443" max="7443" width="6.81640625" style="45" customWidth="1"/>
    <col min="7444" max="7444" width="10.81640625" style="45" customWidth="1"/>
    <col min="7445" max="7445" width="11.54296875" style="45" customWidth="1"/>
    <col min="7446" max="7446" width="5.54296875" style="45" customWidth="1"/>
    <col min="7447" max="7447" width="6" style="45" customWidth="1"/>
    <col min="7448" max="7448" width="6.54296875" style="45" customWidth="1"/>
    <col min="7449" max="7449" width="11.08984375" style="45" customWidth="1"/>
    <col min="7450" max="7450" width="7.08984375" style="45" customWidth="1"/>
    <col min="7451" max="7452" width="5.81640625" style="45" customWidth="1"/>
    <col min="7453" max="7453" width="6" style="45" customWidth="1"/>
    <col min="7454" max="7454" width="6.81640625" style="45" customWidth="1"/>
    <col min="7455" max="7455" width="6" style="45" customWidth="1"/>
    <col min="7456" max="7456" width="18.08984375" style="45" customWidth="1"/>
    <col min="7457" max="7694" width="8.81640625" style="45"/>
    <col min="7695" max="7695" width="2.08984375" style="45" customWidth="1"/>
    <col min="7696" max="7696" width="5.81640625" style="45" customWidth="1"/>
    <col min="7697" max="7697" width="6.81640625" style="45" customWidth="1"/>
    <col min="7698" max="7698" width="6.08984375" style="45" customWidth="1"/>
    <col min="7699" max="7699" width="6.81640625" style="45" customWidth="1"/>
    <col min="7700" max="7700" width="10.81640625" style="45" customWidth="1"/>
    <col min="7701" max="7701" width="11.54296875" style="45" customWidth="1"/>
    <col min="7702" max="7702" width="5.54296875" style="45" customWidth="1"/>
    <col min="7703" max="7703" width="6" style="45" customWidth="1"/>
    <col min="7704" max="7704" width="6.54296875" style="45" customWidth="1"/>
    <col min="7705" max="7705" width="11.08984375" style="45" customWidth="1"/>
    <col min="7706" max="7706" width="7.08984375" style="45" customWidth="1"/>
    <col min="7707" max="7708" width="5.81640625" style="45" customWidth="1"/>
    <col min="7709" max="7709" width="6" style="45" customWidth="1"/>
    <col min="7710" max="7710" width="6.81640625" style="45" customWidth="1"/>
    <col min="7711" max="7711" width="6" style="45" customWidth="1"/>
    <col min="7712" max="7712" width="18.08984375" style="45" customWidth="1"/>
    <col min="7713" max="7950" width="8.81640625" style="45"/>
    <col min="7951" max="7951" width="2.08984375" style="45" customWidth="1"/>
    <col min="7952" max="7952" width="5.81640625" style="45" customWidth="1"/>
    <col min="7953" max="7953" width="6.81640625" style="45" customWidth="1"/>
    <col min="7954" max="7954" width="6.08984375" style="45" customWidth="1"/>
    <col min="7955" max="7955" width="6.81640625" style="45" customWidth="1"/>
    <col min="7956" max="7956" width="10.81640625" style="45" customWidth="1"/>
    <col min="7957" max="7957" width="11.54296875" style="45" customWidth="1"/>
    <col min="7958" max="7958" width="5.54296875" style="45" customWidth="1"/>
    <col min="7959" max="7959" width="6" style="45" customWidth="1"/>
    <col min="7960" max="7960" width="6.54296875" style="45" customWidth="1"/>
    <col min="7961" max="7961" width="11.08984375" style="45" customWidth="1"/>
    <col min="7962" max="7962" width="7.08984375" style="45" customWidth="1"/>
    <col min="7963" max="7964" width="5.81640625" style="45" customWidth="1"/>
    <col min="7965" max="7965" width="6" style="45" customWidth="1"/>
    <col min="7966" max="7966" width="6.81640625" style="45" customWidth="1"/>
    <col min="7967" max="7967" width="6" style="45" customWidth="1"/>
    <col min="7968" max="7968" width="18.08984375" style="45" customWidth="1"/>
    <col min="7969" max="8206" width="8.81640625" style="45"/>
    <col min="8207" max="8207" width="2.08984375" style="45" customWidth="1"/>
    <col min="8208" max="8208" width="5.81640625" style="45" customWidth="1"/>
    <col min="8209" max="8209" width="6.81640625" style="45" customWidth="1"/>
    <col min="8210" max="8210" width="6.08984375" style="45" customWidth="1"/>
    <col min="8211" max="8211" width="6.81640625" style="45" customWidth="1"/>
    <col min="8212" max="8212" width="10.81640625" style="45" customWidth="1"/>
    <col min="8213" max="8213" width="11.54296875" style="45" customWidth="1"/>
    <col min="8214" max="8214" width="5.54296875" style="45" customWidth="1"/>
    <col min="8215" max="8215" width="6" style="45" customWidth="1"/>
    <col min="8216" max="8216" width="6.54296875" style="45" customWidth="1"/>
    <col min="8217" max="8217" width="11.08984375" style="45" customWidth="1"/>
    <col min="8218" max="8218" width="7.08984375" style="45" customWidth="1"/>
    <col min="8219" max="8220" width="5.81640625" style="45" customWidth="1"/>
    <col min="8221" max="8221" width="6" style="45" customWidth="1"/>
    <col min="8222" max="8222" width="6.81640625" style="45" customWidth="1"/>
    <col min="8223" max="8223" width="6" style="45" customWidth="1"/>
    <col min="8224" max="8224" width="18.08984375" style="45" customWidth="1"/>
    <col min="8225" max="8462" width="8.81640625" style="45"/>
    <col min="8463" max="8463" width="2.08984375" style="45" customWidth="1"/>
    <col min="8464" max="8464" width="5.81640625" style="45" customWidth="1"/>
    <col min="8465" max="8465" width="6.81640625" style="45" customWidth="1"/>
    <col min="8466" max="8466" width="6.08984375" style="45" customWidth="1"/>
    <col min="8467" max="8467" width="6.81640625" style="45" customWidth="1"/>
    <col min="8468" max="8468" width="10.81640625" style="45" customWidth="1"/>
    <col min="8469" max="8469" width="11.54296875" style="45" customWidth="1"/>
    <col min="8470" max="8470" width="5.54296875" style="45" customWidth="1"/>
    <col min="8471" max="8471" width="6" style="45" customWidth="1"/>
    <col min="8472" max="8472" width="6.54296875" style="45" customWidth="1"/>
    <col min="8473" max="8473" width="11.08984375" style="45" customWidth="1"/>
    <col min="8474" max="8474" width="7.08984375" style="45" customWidth="1"/>
    <col min="8475" max="8476" width="5.81640625" style="45" customWidth="1"/>
    <col min="8477" max="8477" width="6" style="45" customWidth="1"/>
    <col min="8478" max="8478" width="6.81640625" style="45" customWidth="1"/>
    <col min="8479" max="8479" width="6" style="45" customWidth="1"/>
    <col min="8480" max="8480" width="18.08984375" style="45" customWidth="1"/>
    <col min="8481" max="8718" width="8.81640625" style="45"/>
    <col min="8719" max="8719" width="2.08984375" style="45" customWidth="1"/>
    <col min="8720" max="8720" width="5.81640625" style="45" customWidth="1"/>
    <col min="8721" max="8721" width="6.81640625" style="45" customWidth="1"/>
    <col min="8722" max="8722" width="6.08984375" style="45" customWidth="1"/>
    <col min="8723" max="8723" width="6.81640625" style="45" customWidth="1"/>
    <col min="8724" max="8724" width="10.81640625" style="45" customWidth="1"/>
    <col min="8725" max="8725" width="11.54296875" style="45" customWidth="1"/>
    <col min="8726" max="8726" width="5.54296875" style="45" customWidth="1"/>
    <col min="8727" max="8727" width="6" style="45" customWidth="1"/>
    <col min="8728" max="8728" width="6.54296875" style="45" customWidth="1"/>
    <col min="8729" max="8729" width="11.08984375" style="45" customWidth="1"/>
    <col min="8730" max="8730" width="7.08984375" style="45" customWidth="1"/>
    <col min="8731" max="8732" width="5.81640625" style="45" customWidth="1"/>
    <col min="8733" max="8733" width="6" style="45" customWidth="1"/>
    <col min="8734" max="8734" width="6.81640625" style="45" customWidth="1"/>
    <col min="8735" max="8735" width="6" style="45" customWidth="1"/>
    <col min="8736" max="8736" width="18.08984375" style="45" customWidth="1"/>
    <col min="8737" max="8974" width="8.81640625" style="45"/>
    <col min="8975" max="8975" width="2.08984375" style="45" customWidth="1"/>
    <col min="8976" max="8976" width="5.81640625" style="45" customWidth="1"/>
    <col min="8977" max="8977" width="6.81640625" style="45" customWidth="1"/>
    <col min="8978" max="8978" width="6.08984375" style="45" customWidth="1"/>
    <col min="8979" max="8979" width="6.81640625" style="45" customWidth="1"/>
    <col min="8980" max="8980" width="10.81640625" style="45" customWidth="1"/>
    <col min="8981" max="8981" width="11.54296875" style="45" customWidth="1"/>
    <col min="8982" max="8982" width="5.54296875" style="45" customWidth="1"/>
    <col min="8983" max="8983" width="6" style="45" customWidth="1"/>
    <col min="8984" max="8984" width="6.54296875" style="45" customWidth="1"/>
    <col min="8985" max="8985" width="11.08984375" style="45" customWidth="1"/>
    <col min="8986" max="8986" width="7.08984375" style="45" customWidth="1"/>
    <col min="8987" max="8988" width="5.81640625" style="45" customWidth="1"/>
    <col min="8989" max="8989" width="6" style="45" customWidth="1"/>
    <col min="8990" max="8990" width="6.81640625" style="45" customWidth="1"/>
    <col min="8991" max="8991" width="6" style="45" customWidth="1"/>
    <col min="8992" max="8992" width="18.08984375" style="45" customWidth="1"/>
    <col min="8993" max="9230" width="8.81640625" style="45"/>
    <col min="9231" max="9231" width="2.08984375" style="45" customWidth="1"/>
    <col min="9232" max="9232" width="5.81640625" style="45" customWidth="1"/>
    <col min="9233" max="9233" width="6.81640625" style="45" customWidth="1"/>
    <col min="9234" max="9234" width="6.08984375" style="45" customWidth="1"/>
    <col min="9235" max="9235" width="6.81640625" style="45" customWidth="1"/>
    <col min="9236" max="9236" width="10.81640625" style="45" customWidth="1"/>
    <col min="9237" max="9237" width="11.54296875" style="45" customWidth="1"/>
    <col min="9238" max="9238" width="5.54296875" style="45" customWidth="1"/>
    <col min="9239" max="9239" width="6" style="45" customWidth="1"/>
    <col min="9240" max="9240" width="6.54296875" style="45" customWidth="1"/>
    <col min="9241" max="9241" width="11.08984375" style="45" customWidth="1"/>
    <col min="9242" max="9242" width="7.08984375" style="45" customWidth="1"/>
    <col min="9243" max="9244" width="5.81640625" style="45" customWidth="1"/>
    <col min="9245" max="9245" width="6" style="45" customWidth="1"/>
    <col min="9246" max="9246" width="6.81640625" style="45" customWidth="1"/>
    <col min="9247" max="9247" width="6" style="45" customWidth="1"/>
    <col min="9248" max="9248" width="18.08984375" style="45" customWidth="1"/>
    <col min="9249" max="9486" width="8.81640625" style="45"/>
    <col min="9487" max="9487" width="2.08984375" style="45" customWidth="1"/>
    <col min="9488" max="9488" width="5.81640625" style="45" customWidth="1"/>
    <col min="9489" max="9489" width="6.81640625" style="45" customWidth="1"/>
    <col min="9490" max="9490" width="6.08984375" style="45" customWidth="1"/>
    <col min="9491" max="9491" width="6.81640625" style="45" customWidth="1"/>
    <col min="9492" max="9492" width="10.81640625" style="45" customWidth="1"/>
    <col min="9493" max="9493" width="11.54296875" style="45" customWidth="1"/>
    <col min="9494" max="9494" width="5.54296875" style="45" customWidth="1"/>
    <col min="9495" max="9495" width="6" style="45" customWidth="1"/>
    <col min="9496" max="9496" width="6.54296875" style="45" customWidth="1"/>
    <col min="9497" max="9497" width="11.08984375" style="45" customWidth="1"/>
    <col min="9498" max="9498" width="7.08984375" style="45" customWidth="1"/>
    <col min="9499" max="9500" width="5.81640625" style="45" customWidth="1"/>
    <col min="9501" max="9501" width="6" style="45" customWidth="1"/>
    <col min="9502" max="9502" width="6.81640625" style="45" customWidth="1"/>
    <col min="9503" max="9503" width="6" style="45" customWidth="1"/>
    <col min="9504" max="9504" width="18.08984375" style="45" customWidth="1"/>
    <col min="9505" max="9742" width="8.81640625" style="45"/>
    <col min="9743" max="9743" width="2.08984375" style="45" customWidth="1"/>
    <col min="9744" max="9744" width="5.81640625" style="45" customWidth="1"/>
    <col min="9745" max="9745" width="6.81640625" style="45" customWidth="1"/>
    <col min="9746" max="9746" width="6.08984375" style="45" customWidth="1"/>
    <col min="9747" max="9747" width="6.81640625" style="45" customWidth="1"/>
    <col min="9748" max="9748" width="10.81640625" style="45" customWidth="1"/>
    <col min="9749" max="9749" width="11.54296875" style="45" customWidth="1"/>
    <col min="9750" max="9750" width="5.54296875" style="45" customWidth="1"/>
    <col min="9751" max="9751" width="6" style="45" customWidth="1"/>
    <col min="9752" max="9752" width="6.54296875" style="45" customWidth="1"/>
    <col min="9753" max="9753" width="11.08984375" style="45" customWidth="1"/>
    <col min="9754" max="9754" width="7.08984375" style="45" customWidth="1"/>
    <col min="9755" max="9756" width="5.81640625" style="45" customWidth="1"/>
    <col min="9757" max="9757" width="6" style="45" customWidth="1"/>
    <col min="9758" max="9758" width="6.81640625" style="45" customWidth="1"/>
    <col min="9759" max="9759" width="6" style="45" customWidth="1"/>
    <col min="9760" max="9760" width="18.08984375" style="45" customWidth="1"/>
    <col min="9761" max="9998" width="8.81640625" style="45"/>
    <col min="9999" max="9999" width="2.08984375" style="45" customWidth="1"/>
    <col min="10000" max="10000" width="5.81640625" style="45" customWidth="1"/>
    <col min="10001" max="10001" width="6.81640625" style="45" customWidth="1"/>
    <col min="10002" max="10002" width="6.08984375" style="45" customWidth="1"/>
    <col min="10003" max="10003" width="6.81640625" style="45" customWidth="1"/>
    <col min="10004" max="10004" width="10.81640625" style="45" customWidth="1"/>
    <col min="10005" max="10005" width="11.54296875" style="45" customWidth="1"/>
    <col min="10006" max="10006" width="5.54296875" style="45" customWidth="1"/>
    <col min="10007" max="10007" width="6" style="45" customWidth="1"/>
    <col min="10008" max="10008" width="6.54296875" style="45" customWidth="1"/>
    <col min="10009" max="10009" width="11.08984375" style="45" customWidth="1"/>
    <col min="10010" max="10010" width="7.08984375" style="45" customWidth="1"/>
    <col min="10011" max="10012" width="5.81640625" style="45" customWidth="1"/>
    <col min="10013" max="10013" width="6" style="45" customWidth="1"/>
    <col min="10014" max="10014" width="6.81640625" style="45" customWidth="1"/>
    <col min="10015" max="10015" width="6" style="45" customWidth="1"/>
    <col min="10016" max="10016" width="18.08984375" style="45" customWidth="1"/>
    <col min="10017" max="10254" width="8.81640625" style="45"/>
    <col min="10255" max="10255" width="2.08984375" style="45" customWidth="1"/>
    <col min="10256" max="10256" width="5.81640625" style="45" customWidth="1"/>
    <col min="10257" max="10257" width="6.81640625" style="45" customWidth="1"/>
    <col min="10258" max="10258" width="6.08984375" style="45" customWidth="1"/>
    <col min="10259" max="10259" width="6.81640625" style="45" customWidth="1"/>
    <col min="10260" max="10260" width="10.81640625" style="45" customWidth="1"/>
    <col min="10261" max="10261" width="11.54296875" style="45" customWidth="1"/>
    <col min="10262" max="10262" width="5.54296875" style="45" customWidth="1"/>
    <col min="10263" max="10263" width="6" style="45" customWidth="1"/>
    <col min="10264" max="10264" width="6.54296875" style="45" customWidth="1"/>
    <col min="10265" max="10265" width="11.08984375" style="45" customWidth="1"/>
    <col min="10266" max="10266" width="7.08984375" style="45" customWidth="1"/>
    <col min="10267" max="10268" width="5.81640625" style="45" customWidth="1"/>
    <col min="10269" max="10269" width="6" style="45" customWidth="1"/>
    <col min="10270" max="10270" width="6.81640625" style="45" customWidth="1"/>
    <col min="10271" max="10271" width="6" style="45" customWidth="1"/>
    <col min="10272" max="10272" width="18.08984375" style="45" customWidth="1"/>
    <col min="10273" max="10510" width="8.81640625" style="45"/>
    <col min="10511" max="10511" width="2.08984375" style="45" customWidth="1"/>
    <col min="10512" max="10512" width="5.81640625" style="45" customWidth="1"/>
    <col min="10513" max="10513" width="6.81640625" style="45" customWidth="1"/>
    <col min="10514" max="10514" width="6.08984375" style="45" customWidth="1"/>
    <col min="10515" max="10515" width="6.81640625" style="45" customWidth="1"/>
    <col min="10516" max="10516" width="10.81640625" style="45" customWidth="1"/>
    <col min="10517" max="10517" width="11.54296875" style="45" customWidth="1"/>
    <col min="10518" max="10518" width="5.54296875" style="45" customWidth="1"/>
    <col min="10519" max="10519" width="6" style="45" customWidth="1"/>
    <col min="10520" max="10520" width="6.54296875" style="45" customWidth="1"/>
    <col min="10521" max="10521" width="11.08984375" style="45" customWidth="1"/>
    <col min="10522" max="10522" width="7.08984375" style="45" customWidth="1"/>
    <col min="10523" max="10524" width="5.81640625" style="45" customWidth="1"/>
    <col min="10525" max="10525" width="6" style="45" customWidth="1"/>
    <col min="10526" max="10526" width="6.81640625" style="45" customWidth="1"/>
    <col min="10527" max="10527" width="6" style="45" customWidth="1"/>
    <col min="10528" max="10528" width="18.08984375" style="45" customWidth="1"/>
    <col min="10529" max="10766" width="8.81640625" style="45"/>
    <col min="10767" max="10767" width="2.08984375" style="45" customWidth="1"/>
    <col min="10768" max="10768" width="5.81640625" style="45" customWidth="1"/>
    <col min="10769" max="10769" width="6.81640625" style="45" customWidth="1"/>
    <col min="10770" max="10770" width="6.08984375" style="45" customWidth="1"/>
    <col min="10771" max="10771" width="6.81640625" style="45" customWidth="1"/>
    <col min="10772" max="10772" width="10.81640625" style="45" customWidth="1"/>
    <col min="10773" max="10773" width="11.54296875" style="45" customWidth="1"/>
    <col min="10774" max="10774" width="5.54296875" style="45" customWidth="1"/>
    <col min="10775" max="10775" width="6" style="45" customWidth="1"/>
    <col min="10776" max="10776" width="6.54296875" style="45" customWidth="1"/>
    <col min="10777" max="10777" width="11.08984375" style="45" customWidth="1"/>
    <col min="10778" max="10778" width="7.08984375" style="45" customWidth="1"/>
    <col min="10779" max="10780" width="5.81640625" style="45" customWidth="1"/>
    <col min="10781" max="10781" width="6" style="45" customWidth="1"/>
    <col min="10782" max="10782" width="6.81640625" style="45" customWidth="1"/>
    <col min="10783" max="10783" width="6" style="45" customWidth="1"/>
    <col min="10784" max="10784" width="18.08984375" style="45" customWidth="1"/>
    <col min="10785" max="11022" width="8.81640625" style="45"/>
    <col min="11023" max="11023" width="2.08984375" style="45" customWidth="1"/>
    <col min="11024" max="11024" width="5.81640625" style="45" customWidth="1"/>
    <col min="11025" max="11025" width="6.81640625" style="45" customWidth="1"/>
    <col min="11026" max="11026" width="6.08984375" style="45" customWidth="1"/>
    <col min="11027" max="11027" width="6.81640625" style="45" customWidth="1"/>
    <col min="11028" max="11028" width="10.81640625" style="45" customWidth="1"/>
    <col min="11029" max="11029" width="11.54296875" style="45" customWidth="1"/>
    <col min="11030" max="11030" width="5.54296875" style="45" customWidth="1"/>
    <col min="11031" max="11031" width="6" style="45" customWidth="1"/>
    <col min="11032" max="11032" width="6.54296875" style="45" customWidth="1"/>
    <col min="11033" max="11033" width="11.08984375" style="45" customWidth="1"/>
    <col min="11034" max="11034" width="7.08984375" style="45" customWidth="1"/>
    <col min="11035" max="11036" width="5.81640625" style="45" customWidth="1"/>
    <col min="11037" max="11037" width="6" style="45" customWidth="1"/>
    <col min="11038" max="11038" width="6.81640625" style="45" customWidth="1"/>
    <col min="11039" max="11039" width="6" style="45" customWidth="1"/>
    <col min="11040" max="11040" width="18.08984375" style="45" customWidth="1"/>
    <col min="11041" max="11278" width="8.81640625" style="45"/>
    <col min="11279" max="11279" width="2.08984375" style="45" customWidth="1"/>
    <col min="11280" max="11280" width="5.81640625" style="45" customWidth="1"/>
    <col min="11281" max="11281" width="6.81640625" style="45" customWidth="1"/>
    <col min="11282" max="11282" width="6.08984375" style="45" customWidth="1"/>
    <col min="11283" max="11283" width="6.81640625" style="45" customWidth="1"/>
    <col min="11284" max="11284" width="10.81640625" style="45" customWidth="1"/>
    <col min="11285" max="11285" width="11.54296875" style="45" customWidth="1"/>
    <col min="11286" max="11286" width="5.54296875" style="45" customWidth="1"/>
    <col min="11287" max="11287" width="6" style="45" customWidth="1"/>
    <col min="11288" max="11288" width="6.54296875" style="45" customWidth="1"/>
    <col min="11289" max="11289" width="11.08984375" style="45" customWidth="1"/>
    <col min="11290" max="11290" width="7.08984375" style="45" customWidth="1"/>
    <col min="11291" max="11292" width="5.81640625" style="45" customWidth="1"/>
    <col min="11293" max="11293" width="6" style="45" customWidth="1"/>
    <col min="11294" max="11294" width="6.81640625" style="45" customWidth="1"/>
    <col min="11295" max="11295" width="6" style="45" customWidth="1"/>
    <col min="11296" max="11296" width="18.08984375" style="45" customWidth="1"/>
    <col min="11297" max="11534" width="8.81640625" style="45"/>
    <col min="11535" max="11535" width="2.08984375" style="45" customWidth="1"/>
    <col min="11536" max="11536" width="5.81640625" style="45" customWidth="1"/>
    <col min="11537" max="11537" width="6.81640625" style="45" customWidth="1"/>
    <col min="11538" max="11538" width="6.08984375" style="45" customWidth="1"/>
    <col min="11539" max="11539" width="6.81640625" style="45" customWidth="1"/>
    <col min="11540" max="11540" width="10.81640625" style="45" customWidth="1"/>
    <col min="11541" max="11541" width="11.54296875" style="45" customWidth="1"/>
    <col min="11542" max="11542" width="5.54296875" style="45" customWidth="1"/>
    <col min="11543" max="11543" width="6" style="45" customWidth="1"/>
    <col min="11544" max="11544" width="6.54296875" style="45" customWidth="1"/>
    <col min="11545" max="11545" width="11.08984375" style="45" customWidth="1"/>
    <col min="11546" max="11546" width="7.08984375" style="45" customWidth="1"/>
    <col min="11547" max="11548" width="5.81640625" style="45" customWidth="1"/>
    <col min="11549" max="11549" width="6" style="45" customWidth="1"/>
    <col min="11550" max="11550" width="6.81640625" style="45" customWidth="1"/>
    <col min="11551" max="11551" width="6" style="45" customWidth="1"/>
    <col min="11552" max="11552" width="18.08984375" style="45" customWidth="1"/>
    <col min="11553" max="11790" width="8.81640625" style="45"/>
    <col min="11791" max="11791" width="2.08984375" style="45" customWidth="1"/>
    <col min="11792" max="11792" width="5.81640625" style="45" customWidth="1"/>
    <col min="11793" max="11793" width="6.81640625" style="45" customWidth="1"/>
    <col min="11794" max="11794" width="6.08984375" style="45" customWidth="1"/>
    <col min="11795" max="11795" width="6.81640625" style="45" customWidth="1"/>
    <col min="11796" max="11796" width="10.81640625" style="45" customWidth="1"/>
    <col min="11797" max="11797" width="11.54296875" style="45" customWidth="1"/>
    <col min="11798" max="11798" width="5.54296875" style="45" customWidth="1"/>
    <col min="11799" max="11799" width="6" style="45" customWidth="1"/>
    <col min="11800" max="11800" width="6.54296875" style="45" customWidth="1"/>
    <col min="11801" max="11801" width="11.08984375" style="45" customWidth="1"/>
    <col min="11802" max="11802" width="7.08984375" style="45" customWidth="1"/>
    <col min="11803" max="11804" width="5.81640625" style="45" customWidth="1"/>
    <col min="11805" max="11805" width="6" style="45" customWidth="1"/>
    <col min="11806" max="11806" width="6.81640625" style="45" customWidth="1"/>
    <col min="11807" max="11807" width="6" style="45" customWidth="1"/>
    <col min="11808" max="11808" width="18.08984375" style="45" customWidth="1"/>
    <col min="11809" max="12046" width="8.81640625" style="45"/>
    <col min="12047" max="12047" width="2.08984375" style="45" customWidth="1"/>
    <col min="12048" max="12048" width="5.81640625" style="45" customWidth="1"/>
    <col min="12049" max="12049" width="6.81640625" style="45" customWidth="1"/>
    <col min="12050" max="12050" width="6.08984375" style="45" customWidth="1"/>
    <col min="12051" max="12051" width="6.81640625" style="45" customWidth="1"/>
    <col min="12052" max="12052" width="10.81640625" style="45" customWidth="1"/>
    <col min="12053" max="12053" width="11.54296875" style="45" customWidth="1"/>
    <col min="12054" max="12054" width="5.54296875" style="45" customWidth="1"/>
    <col min="12055" max="12055" width="6" style="45" customWidth="1"/>
    <col min="12056" max="12056" width="6.54296875" style="45" customWidth="1"/>
    <col min="12057" max="12057" width="11.08984375" style="45" customWidth="1"/>
    <col min="12058" max="12058" width="7.08984375" style="45" customWidth="1"/>
    <col min="12059" max="12060" width="5.81640625" style="45" customWidth="1"/>
    <col min="12061" max="12061" width="6" style="45" customWidth="1"/>
    <col min="12062" max="12062" width="6.81640625" style="45" customWidth="1"/>
    <col min="12063" max="12063" width="6" style="45" customWidth="1"/>
    <col min="12064" max="12064" width="18.08984375" style="45" customWidth="1"/>
    <col min="12065" max="12302" width="8.81640625" style="45"/>
    <col min="12303" max="12303" width="2.08984375" style="45" customWidth="1"/>
    <col min="12304" max="12304" width="5.81640625" style="45" customWidth="1"/>
    <col min="12305" max="12305" width="6.81640625" style="45" customWidth="1"/>
    <col min="12306" max="12306" width="6.08984375" style="45" customWidth="1"/>
    <col min="12307" max="12307" width="6.81640625" style="45" customWidth="1"/>
    <col min="12308" max="12308" width="10.81640625" style="45" customWidth="1"/>
    <col min="12309" max="12309" width="11.54296875" style="45" customWidth="1"/>
    <col min="12310" max="12310" width="5.54296875" style="45" customWidth="1"/>
    <col min="12311" max="12311" width="6" style="45" customWidth="1"/>
    <col min="12312" max="12312" width="6.54296875" style="45" customWidth="1"/>
    <col min="12313" max="12313" width="11.08984375" style="45" customWidth="1"/>
    <col min="12314" max="12314" width="7.08984375" style="45" customWidth="1"/>
    <col min="12315" max="12316" width="5.81640625" style="45" customWidth="1"/>
    <col min="12317" max="12317" width="6" style="45" customWidth="1"/>
    <col min="12318" max="12318" width="6.81640625" style="45" customWidth="1"/>
    <col min="12319" max="12319" width="6" style="45" customWidth="1"/>
    <col min="12320" max="12320" width="18.08984375" style="45" customWidth="1"/>
    <col min="12321" max="12558" width="8.81640625" style="45"/>
    <col min="12559" max="12559" width="2.08984375" style="45" customWidth="1"/>
    <col min="12560" max="12560" width="5.81640625" style="45" customWidth="1"/>
    <col min="12561" max="12561" width="6.81640625" style="45" customWidth="1"/>
    <col min="12562" max="12562" width="6.08984375" style="45" customWidth="1"/>
    <col min="12563" max="12563" width="6.81640625" style="45" customWidth="1"/>
    <col min="12564" max="12564" width="10.81640625" style="45" customWidth="1"/>
    <col min="12565" max="12565" width="11.54296875" style="45" customWidth="1"/>
    <col min="12566" max="12566" width="5.54296875" style="45" customWidth="1"/>
    <col min="12567" max="12567" width="6" style="45" customWidth="1"/>
    <col min="12568" max="12568" width="6.54296875" style="45" customWidth="1"/>
    <col min="12569" max="12569" width="11.08984375" style="45" customWidth="1"/>
    <col min="12570" max="12570" width="7.08984375" style="45" customWidth="1"/>
    <col min="12571" max="12572" width="5.81640625" style="45" customWidth="1"/>
    <col min="12573" max="12573" width="6" style="45" customWidth="1"/>
    <col min="12574" max="12574" width="6.81640625" style="45" customWidth="1"/>
    <col min="12575" max="12575" width="6" style="45" customWidth="1"/>
    <col min="12576" max="12576" width="18.08984375" style="45" customWidth="1"/>
    <col min="12577" max="12814" width="8.81640625" style="45"/>
    <col min="12815" max="12815" width="2.08984375" style="45" customWidth="1"/>
    <col min="12816" max="12816" width="5.81640625" style="45" customWidth="1"/>
    <col min="12817" max="12817" width="6.81640625" style="45" customWidth="1"/>
    <col min="12818" max="12818" width="6.08984375" style="45" customWidth="1"/>
    <col min="12819" max="12819" width="6.81640625" style="45" customWidth="1"/>
    <col min="12820" max="12820" width="10.81640625" style="45" customWidth="1"/>
    <col min="12821" max="12821" width="11.54296875" style="45" customWidth="1"/>
    <col min="12822" max="12822" width="5.54296875" style="45" customWidth="1"/>
    <col min="12823" max="12823" width="6" style="45" customWidth="1"/>
    <col min="12824" max="12824" width="6.54296875" style="45" customWidth="1"/>
    <col min="12825" max="12825" width="11.08984375" style="45" customWidth="1"/>
    <col min="12826" max="12826" width="7.08984375" style="45" customWidth="1"/>
    <col min="12827" max="12828" width="5.81640625" style="45" customWidth="1"/>
    <col min="12829" max="12829" width="6" style="45" customWidth="1"/>
    <col min="12830" max="12830" width="6.81640625" style="45" customWidth="1"/>
    <col min="12831" max="12831" width="6" style="45" customWidth="1"/>
    <col min="12832" max="12832" width="18.08984375" style="45" customWidth="1"/>
    <col min="12833" max="13070" width="8.81640625" style="45"/>
    <col min="13071" max="13071" width="2.08984375" style="45" customWidth="1"/>
    <col min="13072" max="13072" width="5.81640625" style="45" customWidth="1"/>
    <col min="13073" max="13073" width="6.81640625" style="45" customWidth="1"/>
    <col min="13074" max="13074" width="6.08984375" style="45" customWidth="1"/>
    <col min="13075" max="13075" width="6.81640625" style="45" customWidth="1"/>
    <col min="13076" max="13076" width="10.81640625" style="45" customWidth="1"/>
    <col min="13077" max="13077" width="11.54296875" style="45" customWidth="1"/>
    <col min="13078" max="13078" width="5.54296875" style="45" customWidth="1"/>
    <col min="13079" max="13079" width="6" style="45" customWidth="1"/>
    <col min="13080" max="13080" width="6.54296875" style="45" customWidth="1"/>
    <col min="13081" max="13081" width="11.08984375" style="45" customWidth="1"/>
    <col min="13082" max="13082" width="7.08984375" style="45" customWidth="1"/>
    <col min="13083" max="13084" width="5.81640625" style="45" customWidth="1"/>
    <col min="13085" max="13085" width="6" style="45" customWidth="1"/>
    <col min="13086" max="13086" width="6.81640625" style="45" customWidth="1"/>
    <col min="13087" max="13087" width="6" style="45" customWidth="1"/>
    <col min="13088" max="13088" width="18.08984375" style="45" customWidth="1"/>
    <col min="13089" max="13326" width="8.81640625" style="45"/>
    <col min="13327" max="13327" width="2.08984375" style="45" customWidth="1"/>
    <col min="13328" max="13328" width="5.81640625" style="45" customWidth="1"/>
    <col min="13329" max="13329" width="6.81640625" style="45" customWidth="1"/>
    <col min="13330" max="13330" width="6.08984375" style="45" customWidth="1"/>
    <col min="13331" max="13331" width="6.81640625" style="45" customWidth="1"/>
    <col min="13332" max="13332" width="10.81640625" style="45" customWidth="1"/>
    <col min="13333" max="13333" width="11.54296875" style="45" customWidth="1"/>
    <col min="13334" max="13334" width="5.54296875" style="45" customWidth="1"/>
    <col min="13335" max="13335" width="6" style="45" customWidth="1"/>
    <col min="13336" max="13336" width="6.54296875" style="45" customWidth="1"/>
    <col min="13337" max="13337" width="11.08984375" style="45" customWidth="1"/>
    <col min="13338" max="13338" width="7.08984375" style="45" customWidth="1"/>
    <col min="13339" max="13340" width="5.81640625" style="45" customWidth="1"/>
    <col min="13341" max="13341" width="6" style="45" customWidth="1"/>
    <col min="13342" max="13342" width="6.81640625" style="45" customWidth="1"/>
    <col min="13343" max="13343" width="6" style="45" customWidth="1"/>
    <col min="13344" max="13344" width="18.08984375" style="45" customWidth="1"/>
    <col min="13345" max="13582" width="8.81640625" style="45"/>
    <col min="13583" max="13583" width="2.08984375" style="45" customWidth="1"/>
    <col min="13584" max="13584" width="5.81640625" style="45" customWidth="1"/>
    <col min="13585" max="13585" width="6.81640625" style="45" customWidth="1"/>
    <col min="13586" max="13586" width="6.08984375" style="45" customWidth="1"/>
    <col min="13587" max="13587" width="6.81640625" style="45" customWidth="1"/>
    <col min="13588" max="13588" width="10.81640625" style="45" customWidth="1"/>
    <col min="13589" max="13589" width="11.54296875" style="45" customWidth="1"/>
    <col min="13590" max="13590" width="5.54296875" style="45" customWidth="1"/>
    <col min="13591" max="13591" width="6" style="45" customWidth="1"/>
    <col min="13592" max="13592" width="6.54296875" style="45" customWidth="1"/>
    <col min="13593" max="13593" width="11.08984375" style="45" customWidth="1"/>
    <col min="13594" max="13594" width="7.08984375" style="45" customWidth="1"/>
    <col min="13595" max="13596" width="5.81640625" style="45" customWidth="1"/>
    <col min="13597" max="13597" width="6" style="45" customWidth="1"/>
    <col min="13598" max="13598" width="6.81640625" style="45" customWidth="1"/>
    <col min="13599" max="13599" width="6" style="45" customWidth="1"/>
    <col min="13600" max="13600" width="18.08984375" style="45" customWidth="1"/>
    <col min="13601" max="13838" width="8.81640625" style="45"/>
    <col min="13839" max="13839" width="2.08984375" style="45" customWidth="1"/>
    <col min="13840" max="13840" width="5.81640625" style="45" customWidth="1"/>
    <col min="13841" max="13841" width="6.81640625" style="45" customWidth="1"/>
    <col min="13842" max="13842" width="6.08984375" style="45" customWidth="1"/>
    <col min="13843" max="13843" width="6.81640625" style="45" customWidth="1"/>
    <col min="13844" max="13844" width="10.81640625" style="45" customWidth="1"/>
    <col min="13845" max="13845" width="11.54296875" style="45" customWidth="1"/>
    <col min="13846" max="13846" width="5.54296875" style="45" customWidth="1"/>
    <col min="13847" max="13847" width="6" style="45" customWidth="1"/>
    <col min="13848" max="13848" width="6.54296875" style="45" customWidth="1"/>
    <col min="13849" max="13849" width="11.08984375" style="45" customWidth="1"/>
    <col min="13850" max="13850" width="7.08984375" style="45" customWidth="1"/>
    <col min="13851" max="13852" width="5.81640625" style="45" customWidth="1"/>
    <col min="13853" max="13853" width="6" style="45" customWidth="1"/>
    <col min="13854" max="13854" width="6.81640625" style="45" customWidth="1"/>
    <col min="13855" max="13855" width="6" style="45" customWidth="1"/>
    <col min="13856" max="13856" width="18.08984375" style="45" customWidth="1"/>
    <col min="13857" max="14094" width="8.81640625" style="45"/>
    <col min="14095" max="14095" width="2.08984375" style="45" customWidth="1"/>
    <col min="14096" max="14096" width="5.81640625" style="45" customWidth="1"/>
    <col min="14097" max="14097" width="6.81640625" style="45" customWidth="1"/>
    <col min="14098" max="14098" width="6.08984375" style="45" customWidth="1"/>
    <col min="14099" max="14099" width="6.81640625" style="45" customWidth="1"/>
    <col min="14100" max="14100" width="10.81640625" style="45" customWidth="1"/>
    <col min="14101" max="14101" width="11.54296875" style="45" customWidth="1"/>
    <col min="14102" max="14102" width="5.54296875" style="45" customWidth="1"/>
    <col min="14103" max="14103" width="6" style="45" customWidth="1"/>
    <col min="14104" max="14104" width="6.54296875" style="45" customWidth="1"/>
    <col min="14105" max="14105" width="11.08984375" style="45" customWidth="1"/>
    <col min="14106" max="14106" width="7.08984375" style="45" customWidth="1"/>
    <col min="14107" max="14108" width="5.81640625" style="45" customWidth="1"/>
    <col min="14109" max="14109" width="6" style="45" customWidth="1"/>
    <col min="14110" max="14110" width="6.81640625" style="45" customWidth="1"/>
    <col min="14111" max="14111" width="6" style="45" customWidth="1"/>
    <col min="14112" max="14112" width="18.08984375" style="45" customWidth="1"/>
    <col min="14113" max="14350" width="8.81640625" style="45"/>
    <col min="14351" max="14351" width="2.08984375" style="45" customWidth="1"/>
    <col min="14352" max="14352" width="5.81640625" style="45" customWidth="1"/>
    <col min="14353" max="14353" width="6.81640625" style="45" customWidth="1"/>
    <col min="14354" max="14354" width="6.08984375" style="45" customWidth="1"/>
    <col min="14355" max="14355" width="6.81640625" style="45" customWidth="1"/>
    <col min="14356" max="14356" width="10.81640625" style="45" customWidth="1"/>
    <col min="14357" max="14357" width="11.54296875" style="45" customWidth="1"/>
    <col min="14358" max="14358" width="5.54296875" style="45" customWidth="1"/>
    <col min="14359" max="14359" width="6" style="45" customWidth="1"/>
    <col min="14360" max="14360" width="6.54296875" style="45" customWidth="1"/>
    <col min="14361" max="14361" width="11.08984375" style="45" customWidth="1"/>
    <col min="14362" max="14362" width="7.08984375" style="45" customWidth="1"/>
    <col min="14363" max="14364" width="5.81640625" style="45" customWidth="1"/>
    <col min="14365" max="14365" width="6" style="45" customWidth="1"/>
    <col min="14366" max="14366" width="6.81640625" style="45" customWidth="1"/>
    <col min="14367" max="14367" width="6" style="45" customWidth="1"/>
    <col min="14368" max="14368" width="18.08984375" style="45" customWidth="1"/>
    <col min="14369" max="14606" width="8.81640625" style="45"/>
    <col min="14607" max="14607" width="2.08984375" style="45" customWidth="1"/>
    <col min="14608" max="14608" width="5.81640625" style="45" customWidth="1"/>
    <col min="14609" max="14609" width="6.81640625" style="45" customWidth="1"/>
    <col min="14610" max="14610" width="6.08984375" style="45" customWidth="1"/>
    <col min="14611" max="14611" width="6.81640625" style="45" customWidth="1"/>
    <col min="14612" max="14612" width="10.81640625" style="45" customWidth="1"/>
    <col min="14613" max="14613" width="11.54296875" style="45" customWidth="1"/>
    <col min="14614" max="14614" width="5.54296875" style="45" customWidth="1"/>
    <col min="14615" max="14615" width="6" style="45" customWidth="1"/>
    <col min="14616" max="14616" width="6.54296875" style="45" customWidth="1"/>
    <col min="14617" max="14617" width="11.08984375" style="45" customWidth="1"/>
    <col min="14618" max="14618" width="7.08984375" style="45" customWidth="1"/>
    <col min="14619" max="14620" width="5.81640625" style="45" customWidth="1"/>
    <col min="14621" max="14621" width="6" style="45" customWidth="1"/>
    <col min="14622" max="14622" width="6.81640625" style="45" customWidth="1"/>
    <col min="14623" max="14623" width="6" style="45" customWidth="1"/>
    <col min="14624" max="14624" width="18.08984375" style="45" customWidth="1"/>
    <col min="14625" max="14862" width="8.81640625" style="45"/>
    <col min="14863" max="14863" width="2.08984375" style="45" customWidth="1"/>
    <col min="14864" max="14864" width="5.81640625" style="45" customWidth="1"/>
    <col min="14865" max="14865" width="6.81640625" style="45" customWidth="1"/>
    <col min="14866" max="14866" width="6.08984375" style="45" customWidth="1"/>
    <col min="14867" max="14867" width="6.81640625" style="45" customWidth="1"/>
    <col min="14868" max="14868" width="10.81640625" style="45" customWidth="1"/>
    <col min="14869" max="14869" width="11.54296875" style="45" customWidth="1"/>
    <col min="14870" max="14870" width="5.54296875" style="45" customWidth="1"/>
    <col min="14871" max="14871" width="6" style="45" customWidth="1"/>
    <col min="14872" max="14872" width="6.54296875" style="45" customWidth="1"/>
    <col min="14873" max="14873" width="11.08984375" style="45" customWidth="1"/>
    <col min="14874" max="14874" width="7.08984375" style="45" customWidth="1"/>
    <col min="14875" max="14876" width="5.81640625" style="45" customWidth="1"/>
    <col min="14877" max="14877" width="6" style="45" customWidth="1"/>
    <col min="14878" max="14878" width="6.81640625" style="45" customWidth="1"/>
    <col min="14879" max="14879" width="6" style="45" customWidth="1"/>
    <col min="14880" max="14880" width="18.08984375" style="45" customWidth="1"/>
    <col min="14881" max="15118" width="8.81640625" style="45"/>
    <col min="15119" max="15119" width="2.08984375" style="45" customWidth="1"/>
    <col min="15120" max="15120" width="5.81640625" style="45" customWidth="1"/>
    <col min="15121" max="15121" width="6.81640625" style="45" customWidth="1"/>
    <col min="15122" max="15122" width="6.08984375" style="45" customWidth="1"/>
    <col min="15123" max="15123" width="6.81640625" style="45" customWidth="1"/>
    <col min="15124" max="15124" width="10.81640625" style="45" customWidth="1"/>
    <col min="15125" max="15125" width="11.54296875" style="45" customWidth="1"/>
    <col min="15126" max="15126" width="5.54296875" style="45" customWidth="1"/>
    <col min="15127" max="15127" width="6" style="45" customWidth="1"/>
    <col min="15128" max="15128" width="6.54296875" style="45" customWidth="1"/>
    <col min="15129" max="15129" width="11.08984375" style="45" customWidth="1"/>
    <col min="15130" max="15130" width="7.08984375" style="45" customWidth="1"/>
    <col min="15131" max="15132" width="5.81640625" style="45" customWidth="1"/>
    <col min="15133" max="15133" width="6" style="45" customWidth="1"/>
    <col min="15134" max="15134" width="6.81640625" style="45" customWidth="1"/>
    <col min="15135" max="15135" width="6" style="45" customWidth="1"/>
    <col min="15136" max="15136" width="18.08984375" style="45" customWidth="1"/>
    <col min="15137" max="15374" width="8.81640625" style="45"/>
    <col min="15375" max="15375" width="2.08984375" style="45" customWidth="1"/>
    <col min="15376" max="15376" width="5.81640625" style="45" customWidth="1"/>
    <col min="15377" max="15377" width="6.81640625" style="45" customWidth="1"/>
    <col min="15378" max="15378" width="6.08984375" style="45" customWidth="1"/>
    <col min="15379" max="15379" width="6.81640625" style="45" customWidth="1"/>
    <col min="15380" max="15380" width="10.81640625" style="45" customWidth="1"/>
    <col min="15381" max="15381" width="11.54296875" style="45" customWidth="1"/>
    <col min="15382" max="15382" width="5.54296875" style="45" customWidth="1"/>
    <col min="15383" max="15383" width="6" style="45" customWidth="1"/>
    <col min="15384" max="15384" width="6.54296875" style="45" customWidth="1"/>
    <col min="15385" max="15385" width="11.08984375" style="45" customWidth="1"/>
    <col min="15386" max="15386" width="7.08984375" style="45" customWidth="1"/>
    <col min="15387" max="15388" width="5.81640625" style="45" customWidth="1"/>
    <col min="15389" max="15389" width="6" style="45" customWidth="1"/>
    <col min="15390" max="15390" width="6.81640625" style="45" customWidth="1"/>
    <col min="15391" max="15391" width="6" style="45" customWidth="1"/>
    <col min="15392" max="15392" width="18.08984375" style="45" customWidth="1"/>
    <col min="15393" max="15630" width="8.81640625" style="45"/>
    <col min="15631" max="15631" width="2.08984375" style="45" customWidth="1"/>
    <col min="15632" max="15632" width="5.81640625" style="45" customWidth="1"/>
    <col min="15633" max="15633" width="6.81640625" style="45" customWidth="1"/>
    <col min="15634" max="15634" width="6.08984375" style="45" customWidth="1"/>
    <col min="15635" max="15635" width="6.81640625" style="45" customWidth="1"/>
    <col min="15636" max="15636" width="10.81640625" style="45" customWidth="1"/>
    <col min="15637" max="15637" width="11.54296875" style="45" customWidth="1"/>
    <col min="15638" max="15638" width="5.54296875" style="45" customWidth="1"/>
    <col min="15639" max="15639" width="6" style="45" customWidth="1"/>
    <col min="15640" max="15640" width="6.54296875" style="45" customWidth="1"/>
    <col min="15641" max="15641" width="11.08984375" style="45" customWidth="1"/>
    <col min="15642" max="15642" width="7.08984375" style="45" customWidth="1"/>
    <col min="15643" max="15644" width="5.81640625" style="45" customWidth="1"/>
    <col min="15645" max="15645" width="6" style="45" customWidth="1"/>
    <col min="15646" max="15646" width="6.81640625" style="45" customWidth="1"/>
    <col min="15647" max="15647" width="6" style="45" customWidth="1"/>
    <col min="15648" max="15648" width="18.08984375" style="45" customWidth="1"/>
    <col min="15649" max="15886" width="8.81640625" style="45"/>
    <col min="15887" max="15887" width="2.08984375" style="45" customWidth="1"/>
    <col min="15888" max="15888" width="5.81640625" style="45" customWidth="1"/>
    <col min="15889" max="15889" width="6.81640625" style="45" customWidth="1"/>
    <col min="15890" max="15890" width="6.08984375" style="45" customWidth="1"/>
    <col min="15891" max="15891" width="6.81640625" style="45" customWidth="1"/>
    <col min="15892" max="15892" width="10.81640625" style="45" customWidth="1"/>
    <col min="15893" max="15893" width="11.54296875" style="45" customWidth="1"/>
    <col min="15894" max="15894" width="5.54296875" style="45" customWidth="1"/>
    <col min="15895" max="15895" width="6" style="45" customWidth="1"/>
    <col min="15896" max="15896" width="6.54296875" style="45" customWidth="1"/>
    <col min="15897" max="15897" width="11.08984375" style="45" customWidth="1"/>
    <col min="15898" max="15898" width="7.08984375" style="45" customWidth="1"/>
    <col min="15899" max="15900" width="5.81640625" style="45" customWidth="1"/>
    <col min="15901" max="15901" width="6" style="45" customWidth="1"/>
    <col min="15902" max="15902" width="6.81640625" style="45" customWidth="1"/>
    <col min="15903" max="15903" width="6" style="45" customWidth="1"/>
    <col min="15904" max="15904" width="18.08984375" style="45" customWidth="1"/>
    <col min="15905" max="16142" width="8.81640625" style="45"/>
    <col min="16143" max="16143" width="2.08984375" style="45" customWidth="1"/>
    <col min="16144" max="16144" width="5.81640625" style="45" customWidth="1"/>
    <col min="16145" max="16145" width="6.81640625" style="45" customWidth="1"/>
    <col min="16146" max="16146" width="6.08984375" style="45" customWidth="1"/>
    <col min="16147" max="16147" width="6.81640625" style="45" customWidth="1"/>
    <col min="16148" max="16148" width="10.81640625" style="45" customWidth="1"/>
    <col min="16149" max="16149" width="11.54296875" style="45" customWidth="1"/>
    <col min="16150" max="16150" width="5.54296875" style="45" customWidth="1"/>
    <col min="16151" max="16151" width="6" style="45" customWidth="1"/>
    <col min="16152" max="16152" width="6.54296875" style="45" customWidth="1"/>
    <col min="16153" max="16153" width="11.08984375" style="45" customWidth="1"/>
    <col min="16154" max="16154" width="7.08984375" style="45" customWidth="1"/>
    <col min="16155" max="16156" width="5.81640625" style="45" customWidth="1"/>
    <col min="16157" max="16157" width="6" style="45" customWidth="1"/>
    <col min="16158" max="16158" width="6.81640625" style="45" customWidth="1"/>
    <col min="16159" max="16159" width="6" style="45" customWidth="1"/>
    <col min="16160" max="16160" width="18.08984375" style="45" customWidth="1"/>
  </cols>
  <sheetData>
    <row r="1" spans="2:36" ht="10" customHeight="1" x14ac:dyDescent="0.25"/>
    <row r="2" spans="2:36" ht="35.4" customHeight="1" thickBot="1" x14ac:dyDescent="0.3">
      <c r="B2" s="253" t="s">
        <v>411</v>
      </c>
      <c r="C2" s="254"/>
      <c r="D2" s="254"/>
      <c r="E2" s="254"/>
      <c r="F2" s="254"/>
      <c r="G2" s="254"/>
      <c r="H2" s="254"/>
      <c r="I2" s="254"/>
      <c r="J2" s="254"/>
      <c r="K2" s="254"/>
      <c r="L2" s="254"/>
      <c r="M2" s="254"/>
      <c r="N2" s="254"/>
      <c r="O2" s="254"/>
      <c r="P2" s="254"/>
      <c r="Q2" s="254"/>
      <c r="R2" s="254"/>
      <c r="S2" s="254"/>
      <c r="T2" s="254"/>
      <c r="U2" s="254"/>
      <c r="V2" s="254"/>
      <c r="W2" s="254"/>
      <c r="X2" s="254"/>
      <c r="Y2" s="254"/>
      <c r="Z2" s="254"/>
      <c r="AA2" s="254"/>
      <c r="AB2" s="254"/>
      <c r="AC2" s="254"/>
      <c r="AD2" s="254"/>
      <c r="AE2" s="254"/>
      <c r="AF2" s="254"/>
      <c r="AG2" s="254"/>
      <c r="AH2" s="254"/>
      <c r="AI2" s="254"/>
      <c r="AJ2" s="255"/>
    </row>
    <row r="3" spans="2:36" s="46" customFormat="1" ht="17.5" customHeight="1" x14ac:dyDescent="0.25">
      <c r="B3" s="256" t="s">
        <v>406</v>
      </c>
      <c r="C3" s="259" t="s">
        <v>405</v>
      </c>
      <c r="D3" s="262" t="s">
        <v>404</v>
      </c>
      <c r="E3" s="262"/>
      <c r="F3" s="262"/>
      <c r="G3" s="262"/>
      <c r="H3" s="262"/>
      <c r="I3" s="262"/>
      <c r="J3" s="262"/>
      <c r="K3" s="262"/>
      <c r="L3" s="262"/>
      <c r="M3" s="262"/>
      <c r="N3" s="262"/>
      <c r="O3" s="262"/>
      <c r="P3" s="262"/>
      <c r="Q3" s="262"/>
      <c r="R3" s="262"/>
      <c r="S3" s="262"/>
      <c r="T3" s="262"/>
      <c r="U3" s="262"/>
      <c r="V3" s="262"/>
      <c r="W3" s="262"/>
      <c r="X3" s="262"/>
      <c r="Y3" s="262"/>
      <c r="Z3" s="262"/>
      <c r="AA3" s="263" t="s">
        <v>403</v>
      </c>
      <c r="AB3" s="264"/>
      <c r="AC3" s="264"/>
      <c r="AD3" s="264"/>
      <c r="AE3" s="264"/>
      <c r="AF3" s="264"/>
      <c r="AG3" s="264"/>
      <c r="AH3" s="264"/>
      <c r="AI3" s="264"/>
      <c r="AJ3" s="265"/>
    </row>
    <row r="4" spans="2:36" s="46" customFormat="1" ht="17.5" customHeight="1" x14ac:dyDescent="0.25">
      <c r="B4" s="257"/>
      <c r="C4" s="260"/>
      <c r="D4" s="266" t="s">
        <v>402</v>
      </c>
      <c r="E4" s="267"/>
      <c r="F4" s="267"/>
      <c r="G4" s="267"/>
      <c r="H4" s="267"/>
      <c r="I4" s="267"/>
      <c r="J4" s="268" t="s">
        <v>401</v>
      </c>
      <c r="K4" s="269"/>
      <c r="L4" s="269"/>
      <c r="M4" s="269"/>
      <c r="N4" s="269"/>
      <c r="O4" s="269"/>
      <c r="P4" s="269"/>
      <c r="Q4" s="269"/>
      <c r="R4" s="269"/>
      <c r="S4" s="269"/>
      <c r="T4" s="270"/>
      <c r="U4" s="271" t="s">
        <v>400</v>
      </c>
      <c r="V4" s="272"/>
      <c r="W4" s="272"/>
      <c r="X4" s="272"/>
      <c r="Y4" s="272"/>
      <c r="Z4" s="273"/>
      <c r="AA4" s="271" t="s">
        <v>399</v>
      </c>
      <c r="AB4" s="275" t="s">
        <v>398</v>
      </c>
      <c r="AC4" s="277" t="s">
        <v>397</v>
      </c>
      <c r="AD4" s="277" t="s">
        <v>306</v>
      </c>
      <c r="AE4" s="277" t="s">
        <v>396</v>
      </c>
      <c r="AF4" s="279" t="s">
        <v>395</v>
      </c>
      <c r="AG4" s="277" t="s">
        <v>394</v>
      </c>
      <c r="AH4" s="279" t="s">
        <v>393</v>
      </c>
      <c r="AI4" s="277" t="s">
        <v>392</v>
      </c>
      <c r="AJ4" s="280" t="s">
        <v>391</v>
      </c>
    </row>
    <row r="5" spans="2:36" s="46" customFormat="1" ht="37.5" customHeight="1" x14ac:dyDescent="0.25">
      <c r="B5" s="258"/>
      <c r="C5" s="261"/>
      <c r="D5" s="77" t="s">
        <v>390</v>
      </c>
      <c r="E5" s="74" t="s">
        <v>389</v>
      </c>
      <c r="F5" s="74" t="s">
        <v>388</v>
      </c>
      <c r="G5" s="74" t="s">
        <v>387</v>
      </c>
      <c r="H5" s="74" t="s">
        <v>378</v>
      </c>
      <c r="I5" s="66" t="s">
        <v>377</v>
      </c>
      <c r="J5" s="77" t="s">
        <v>381</v>
      </c>
      <c r="K5" s="74" t="s">
        <v>380</v>
      </c>
      <c r="L5" s="74" t="s">
        <v>379</v>
      </c>
      <c r="M5" s="74" t="s">
        <v>386</v>
      </c>
      <c r="N5" s="74" t="s">
        <v>386</v>
      </c>
      <c r="O5" s="74" t="s">
        <v>378</v>
      </c>
      <c r="P5" s="74" t="s">
        <v>385</v>
      </c>
      <c r="Q5" s="74" t="s">
        <v>384</v>
      </c>
      <c r="R5" s="74" t="s">
        <v>377</v>
      </c>
      <c r="S5" s="74" t="s">
        <v>383</v>
      </c>
      <c r="T5" s="76" t="s">
        <v>382</v>
      </c>
      <c r="U5" s="77" t="s">
        <v>381</v>
      </c>
      <c r="V5" s="65" t="s">
        <v>380</v>
      </c>
      <c r="W5" s="74" t="s">
        <v>379</v>
      </c>
      <c r="X5" s="74" t="s">
        <v>378</v>
      </c>
      <c r="Y5" s="74" t="s">
        <v>377</v>
      </c>
      <c r="Z5" s="76" t="s">
        <v>376</v>
      </c>
      <c r="AA5" s="274"/>
      <c r="AB5" s="276"/>
      <c r="AC5" s="278"/>
      <c r="AD5" s="278"/>
      <c r="AE5" s="278"/>
      <c r="AF5" s="278"/>
      <c r="AG5" s="278"/>
      <c r="AH5" s="278"/>
      <c r="AI5" s="278"/>
      <c r="AJ5" s="281"/>
    </row>
    <row r="6" spans="2:36" s="46" customFormat="1" ht="17.5" customHeight="1" x14ac:dyDescent="0.25">
      <c r="B6" s="282"/>
      <c r="C6" s="283" t="s">
        <v>407</v>
      </c>
      <c r="D6" s="50" t="s">
        <v>281</v>
      </c>
      <c r="E6" s="49" t="s">
        <v>281</v>
      </c>
      <c r="F6" s="49" t="s">
        <v>4</v>
      </c>
      <c r="G6" s="49" t="s">
        <v>281</v>
      </c>
      <c r="H6" s="49" t="s">
        <v>284</v>
      </c>
      <c r="I6" s="64" t="s">
        <v>284</v>
      </c>
      <c r="J6" s="50" t="s">
        <v>281</v>
      </c>
      <c r="K6" s="49" t="s">
        <v>281</v>
      </c>
      <c r="L6" s="49" t="s">
        <v>284</v>
      </c>
      <c r="M6" s="49" t="s">
        <v>284</v>
      </c>
      <c r="N6" s="49" t="s">
        <v>284</v>
      </c>
      <c r="O6" s="49" t="s">
        <v>284</v>
      </c>
      <c r="P6" s="49" t="s">
        <v>284</v>
      </c>
      <c r="Q6" s="49" t="s">
        <v>284</v>
      </c>
      <c r="R6" s="49" t="s">
        <v>284</v>
      </c>
      <c r="S6" s="49" t="s">
        <v>284</v>
      </c>
      <c r="T6" s="57" t="s">
        <v>284</v>
      </c>
      <c r="U6" s="50" t="s">
        <v>281</v>
      </c>
      <c r="V6" s="63" t="s">
        <v>281</v>
      </c>
      <c r="W6" s="49" t="s">
        <v>284</v>
      </c>
      <c r="X6" s="49" t="s">
        <v>284</v>
      </c>
      <c r="Y6" s="49" t="s">
        <v>284</v>
      </c>
      <c r="Z6" s="57" t="s">
        <v>284</v>
      </c>
      <c r="AA6" s="50" t="s">
        <v>297</v>
      </c>
      <c r="AB6" s="49" t="s">
        <v>297</v>
      </c>
      <c r="AC6" s="49" t="s">
        <v>372</v>
      </c>
      <c r="AD6" s="49" t="s">
        <v>297</v>
      </c>
      <c r="AE6" s="48" t="s">
        <v>372</v>
      </c>
      <c r="AF6" s="47" t="s">
        <v>374</v>
      </c>
      <c r="AG6" s="49" t="s">
        <v>297</v>
      </c>
      <c r="AH6" s="47" t="s">
        <v>373</v>
      </c>
      <c r="AI6" s="48" t="s">
        <v>372</v>
      </c>
      <c r="AJ6" s="61" t="s">
        <v>372</v>
      </c>
    </row>
    <row r="7" spans="2:36" s="133" customFormat="1" ht="24" customHeight="1" x14ac:dyDescent="0.25">
      <c r="B7" s="257"/>
      <c r="C7" s="260"/>
      <c r="D7" s="122"/>
      <c r="E7" s="123">
        <f>K7+V7</f>
        <v>0</v>
      </c>
      <c r="F7" s="140" t="str">
        <f>IF(D7="","",IF(D28="","",IF(D7=(D7+D28)/2,"--",IF(D7&gt;=(D7+D28)/2,"↑","↓"))))</f>
        <v/>
      </c>
      <c r="G7" s="123"/>
      <c r="H7" s="123"/>
      <c r="I7" s="124"/>
      <c r="J7" s="125"/>
      <c r="K7" s="126"/>
      <c r="L7" s="126"/>
      <c r="M7" s="126"/>
      <c r="N7" s="126"/>
      <c r="O7" s="126"/>
      <c r="P7" s="126"/>
      <c r="Q7" s="126"/>
      <c r="R7" s="126"/>
      <c r="S7" s="126"/>
      <c r="T7" s="127"/>
      <c r="U7" s="125"/>
      <c r="V7" s="128"/>
      <c r="W7" s="123"/>
      <c r="X7" s="123"/>
      <c r="Y7" s="123"/>
      <c r="Z7" s="129" t="e">
        <f>U7/D7</f>
        <v>#DIV/0!</v>
      </c>
      <c r="AA7" s="130"/>
      <c r="AB7" s="123"/>
      <c r="AC7" s="123"/>
      <c r="AD7" s="123"/>
      <c r="AE7" s="131"/>
      <c r="AF7" s="131"/>
      <c r="AG7" s="131"/>
      <c r="AH7" s="131"/>
      <c r="AI7" s="131"/>
      <c r="AJ7" s="132"/>
    </row>
    <row r="8" spans="2:36" s="46" customFormat="1" ht="17.5" customHeight="1" x14ac:dyDescent="0.25">
      <c r="B8" s="257"/>
      <c r="C8" s="260"/>
      <c r="D8" s="271" t="s">
        <v>371</v>
      </c>
      <c r="E8" s="272"/>
      <c r="F8" s="273"/>
      <c r="G8" s="271" t="s">
        <v>370</v>
      </c>
      <c r="H8" s="272"/>
      <c r="I8" s="272"/>
      <c r="J8" s="272"/>
      <c r="K8" s="272"/>
      <c r="L8" s="272"/>
      <c r="M8" s="272"/>
      <c r="N8" s="272"/>
      <c r="O8" s="273"/>
      <c r="P8" s="271" t="s">
        <v>369</v>
      </c>
      <c r="Q8" s="272"/>
      <c r="R8" s="272"/>
      <c r="S8" s="272"/>
      <c r="T8" s="272"/>
      <c r="U8" s="272"/>
      <c r="V8" s="272"/>
      <c r="W8" s="272"/>
      <c r="X8" s="272"/>
      <c r="Y8" s="272"/>
      <c r="Z8" s="272"/>
      <c r="AA8" s="272"/>
      <c r="AB8" s="272"/>
      <c r="AC8" s="272"/>
      <c r="AD8" s="273"/>
      <c r="AE8" s="284" t="s">
        <v>336</v>
      </c>
      <c r="AF8" s="272"/>
      <c r="AG8" s="272"/>
      <c r="AH8" s="272"/>
      <c r="AI8" s="272"/>
      <c r="AJ8" s="273"/>
    </row>
    <row r="9" spans="2:36" s="46" customFormat="1" ht="15" customHeight="1" x14ac:dyDescent="0.25">
      <c r="B9" s="257"/>
      <c r="C9" s="260"/>
      <c r="D9" s="285" t="s">
        <v>368</v>
      </c>
      <c r="E9" s="286" t="s">
        <v>367</v>
      </c>
      <c r="F9" s="287" t="s">
        <v>366</v>
      </c>
      <c r="G9" s="285" t="s">
        <v>365</v>
      </c>
      <c r="H9" s="278"/>
      <c r="I9" s="288" t="s">
        <v>364</v>
      </c>
      <c r="J9" s="288" t="s">
        <v>363</v>
      </c>
      <c r="K9" s="288" t="s">
        <v>362</v>
      </c>
      <c r="L9" s="288" t="s">
        <v>361</v>
      </c>
      <c r="M9" s="288" t="s">
        <v>360</v>
      </c>
      <c r="N9" s="288" t="s">
        <v>359</v>
      </c>
      <c r="O9" s="290" t="s">
        <v>358</v>
      </c>
      <c r="P9" s="285" t="s">
        <v>357</v>
      </c>
      <c r="Q9" s="278"/>
      <c r="R9" s="286" t="s">
        <v>356</v>
      </c>
      <c r="S9" s="278"/>
      <c r="T9" s="278"/>
      <c r="U9" s="286" t="s">
        <v>355</v>
      </c>
      <c r="V9" s="292" t="s">
        <v>354</v>
      </c>
      <c r="W9" s="278"/>
      <c r="X9" s="292" t="s">
        <v>353</v>
      </c>
      <c r="Y9" s="278"/>
      <c r="Z9" s="278"/>
      <c r="AA9" s="292" t="s">
        <v>352</v>
      </c>
      <c r="AB9" s="286" t="s">
        <v>351</v>
      </c>
      <c r="AC9" s="289" t="s">
        <v>350</v>
      </c>
      <c r="AD9" s="287" t="s">
        <v>349</v>
      </c>
      <c r="AE9" s="291" t="s">
        <v>348</v>
      </c>
      <c r="AF9" s="278"/>
      <c r="AG9" s="278"/>
      <c r="AH9" s="288" t="s">
        <v>332</v>
      </c>
      <c r="AI9" s="278"/>
      <c r="AJ9" s="281"/>
    </row>
    <row r="10" spans="2:36" s="46" customFormat="1" ht="15" customHeight="1" x14ac:dyDescent="0.25">
      <c r="B10" s="257"/>
      <c r="C10" s="260"/>
      <c r="D10" s="274"/>
      <c r="E10" s="278"/>
      <c r="F10" s="281"/>
      <c r="G10" s="75" t="s">
        <v>347</v>
      </c>
      <c r="H10" s="72" t="s">
        <v>346</v>
      </c>
      <c r="I10" s="278"/>
      <c r="J10" s="278"/>
      <c r="K10" s="278"/>
      <c r="L10" s="278"/>
      <c r="M10" s="278"/>
      <c r="N10" s="278"/>
      <c r="O10" s="281"/>
      <c r="P10" s="75" t="s">
        <v>345</v>
      </c>
      <c r="Q10" s="72" t="s">
        <v>344</v>
      </c>
      <c r="R10" s="72" t="s">
        <v>344</v>
      </c>
      <c r="S10" s="72" t="s">
        <v>343</v>
      </c>
      <c r="T10" s="71" t="s">
        <v>342</v>
      </c>
      <c r="U10" s="278"/>
      <c r="V10" s="71" t="s">
        <v>345</v>
      </c>
      <c r="W10" s="72" t="s">
        <v>344</v>
      </c>
      <c r="X10" s="71" t="s">
        <v>344</v>
      </c>
      <c r="Y10" s="72" t="s">
        <v>343</v>
      </c>
      <c r="Z10" s="71" t="s">
        <v>342</v>
      </c>
      <c r="AA10" s="278"/>
      <c r="AB10" s="278"/>
      <c r="AC10" s="278"/>
      <c r="AD10" s="281"/>
      <c r="AE10" s="77" t="s">
        <v>1</v>
      </c>
      <c r="AF10" s="74" t="s">
        <v>12</v>
      </c>
      <c r="AG10" s="74" t="s">
        <v>15</v>
      </c>
      <c r="AH10" s="52" t="s">
        <v>103</v>
      </c>
      <c r="AI10" s="74" t="s">
        <v>341</v>
      </c>
      <c r="AJ10" s="73" t="s">
        <v>340</v>
      </c>
    </row>
    <row r="11" spans="2:36" s="46" customFormat="1" ht="17.5" customHeight="1" x14ac:dyDescent="0.25">
      <c r="B11" s="257"/>
      <c r="C11" s="260"/>
      <c r="D11" s="75" t="s">
        <v>4</v>
      </c>
      <c r="E11" s="72" t="s">
        <v>4</v>
      </c>
      <c r="F11" s="73" t="s">
        <v>4</v>
      </c>
      <c r="G11" s="50" t="s">
        <v>299</v>
      </c>
      <c r="H11" s="49" t="s">
        <v>283</v>
      </c>
      <c r="I11" s="49" t="s">
        <v>339</v>
      </c>
      <c r="J11" s="49" t="s">
        <v>299</v>
      </c>
      <c r="K11" s="58" t="s">
        <v>302</v>
      </c>
      <c r="L11" s="49" t="s">
        <v>301</v>
      </c>
      <c r="M11" s="58" t="s">
        <v>302</v>
      </c>
      <c r="N11" s="58" t="s">
        <v>302</v>
      </c>
      <c r="O11" s="57" t="s">
        <v>301</v>
      </c>
      <c r="P11" s="50" t="s">
        <v>284</v>
      </c>
      <c r="Q11" s="48" t="s">
        <v>284</v>
      </c>
      <c r="R11" s="49" t="s">
        <v>284</v>
      </c>
      <c r="S11" s="48" t="s">
        <v>284</v>
      </c>
      <c r="T11" s="47" t="s">
        <v>4</v>
      </c>
      <c r="U11" s="48" t="s">
        <v>283</v>
      </c>
      <c r="V11" s="47" t="s">
        <v>284</v>
      </c>
      <c r="W11" s="48" t="s">
        <v>283</v>
      </c>
      <c r="X11" s="47" t="s">
        <v>283</v>
      </c>
      <c r="Y11" s="48" t="s">
        <v>283</v>
      </c>
      <c r="Z11" s="62" t="s">
        <v>4</v>
      </c>
      <c r="AA11" s="62" t="s">
        <v>339</v>
      </c>
      <c r="AB11" s="58" t="s">
        <v>338</v>
      </c>
      <c r="AC11" s="58" t="s">
        <v>338</v>
      </c>
      <c r="AD11" s="61" t="s">
        <v>4</v>
      </c>
      <c r="AE11" s="60" t="s">
        <v>301</v>
      </c>
      <c r="AF11" s="53" t="s">
        <v>302</v>
      </c>
      <c r="AG11" s="52" t="s">
        <v>284</v>
      </c>
      <c r="AH11" s="52" t="s">
        <v>303</v>
      </c>
      <c r="AI11" s="52" t="s">
        <v>303</v>
      </c>
      <c r="AJ11" s="51" t="s">
        <v>303</v>
      </c>
    </row>
    <row r="12" spans="2:36" s="133" customFormat="1" ht="24" customHeight="1" x14ac:dyDescent="0.25">
      <c r="B12" s="257"/>
      <c r="C12" s="260"/>
      <c r="D12" s="141">
        <v>0.53</v>
      </c>
      <c r="E12" s="134"/>
      <c r="F12" s="146" t="str">
        <f>IF(E12="","",IF(AND(E12&gt;=0.525,E12&lt;=0.53),"合格","不合格"))</f>
        <v/>
      </c>
      <c r="G12" s="122"/>
      <c r="H12" s="123"/>
      <c r="I12" s="123"/>
      <c r="J12" s="123"/>
      <c r="K12" s="123"/>
      <c r="L12" s="123"/>
      <c r="M12" s="123"/>
      <c r="N12" s="123"/>
      <c r="O12" s="129"/>
      <c r="P12" s="142">
        <v>29.1</v>
      </c>
      <c r="Q12" s="143" t="s">
        <v>337</v>
      </c>
      <c r="R12" s="123"/>
      <c r="S12" s="123">
        <f>R12-Q12</f>
        <v>-33.1</v>
      </c>
      <c r="T12" s="140" t="str">
        <f>IF(S12&gt;=0,"↑","↓")</f>
        <v>↓</v>
      </c>
      <c r="U12" s="131" t="s">
        <v>82</v>
      </c>
      <c r="V12" s="143">
        <v>1.6</v>
      </c>
      <c r="W12" s="143">
        <v>17.600000000000001</v>
      </c>
      <c r="X12" s="123"/>
      <c r="Y12" s="123">
        <f>X12-W12</f>
        <v>-17.600000000000001</v>
      </c>
      <c r="Z12" s="140" t="str">
        <f>IF(Y12&gt;=0,"↑","↓")</f>
        <v>↓</v>
      </c>
      <c r="AA12" s="143">
        <v>6.28</v>
      </c>
      <c r="AB12" s="123"/>
      <c r="AC12" s="123">
        <f>AB12-AA12</f>
        <v>-6.28</v>
      </c>
      <c r="AD12" s="140" t="str">
        <f>IF(AC12&gt;=0,"↑","↓")</f>
        <v>↓</v>
      </c>
      <c r="AE12" s="135"/>
      <c r="AF12" s="123"/>
      <c r="AG12" s="131"/>
      <c r="AH12" s="131"/>
      <c r="AI12" s="131"/>
      <c r="AJ12" s="132"/>
    </row>
    <row r="13" spans="2:36" s="46" customFormat="1" ht="15" customHeight="1" x14ac:dyDescent="0.25">
      <c r="B13" s="257"/>
      <c r="C13" s="260"/>
      <c r="D13" s="271" t="s">
        <v>336</v>
      </c>
      <c r="E13" s="273"/>
      <c r="F13" s="271" t="s">
        <v>335</v>
      </c>
      <c r="G13" s="272"/>
      <c r="H13" s="272"/>
      <c r="I13" s="272"/>
      <c r="J13" s="272"/>
      <c r="K13" s="272"/>
      <c r="L13" s="272"/>
      <c r="M13" s="273"/>
      <c r="N13" s="271" t="s">
        <v>334</v>
      </c>
      <c r="O13" s="272"/>
      <c r="P13" s="272"/>
      <c r="Q13" s="272"/>
      <c r="R13" s="272"/>
      <c r="S13" s="272"/>
      <c r="T13" s="272"/>
      <c r="U13" s="273"/>
      <c r="V13" s="284" t="s">
        <v>333</v>
      </c>
      <c r="W13" s="272"/>
      <c r="X13" s="272"/>
      <c r="Y13" s="272"/>
      <c r="Z13" s="272"/>
      <c r="AA13" s="272"/>
      <c r="AB13" s="272"/>
      <c r="AC13" s="272"/>
      <c r="AD13" s="272"/>
      <c r="AE13" s="272"/>
      <c r="AF13" s="272"/>
      <c r="AG13" s="272"/>
      <c r="AH13" s="272"/>
      <c r="AI13" s="272"/>
      <c r="AJ13" s="273"/>
    </row>
    <row r="14" spans="2:36" s="46" customFormat="1" ht="15" customHeight="1" x14ac:dyDescent="0.25">
      <c r="B14" s="257"/>
      <c r="C14" s="260"/>
      <c r="D14" s="285" t="s">
        <v>332</v>
      </c>
      <c r="E14" s="281"/>
      <c r="F14" s="285" t="s">
        <v>331</v>
      </c>
      <c r="G14" s="278"/>
      <c r="H14" s="278"/>
      <c r="I14" s="278"/>
      <c r="J14" s="278"/>
      <c r="K14" s="288" t="s">
        <v>330</v>
      </c>
      <c r="L14" s="278"/>
      <c r="M14" s="281"/>
      <c r="N14" s="285" t="s">
        <v>329</v>
      </c>
      <c r="O14" s="278"/>
      <c r="P14" s="278"/>
      <c r="Q14" s="278"/>
      <c r="R14" s="278"/>
      <c r="S14" s="286" t="s">
        <v>328</v>
      </c>
      <c r="T14" s="278"/>
      <c r="U14" s="281"/>
      <c r="V14" s="291" t="s">
        <v>327</v>
      </c>
      <c r="W14" s="278"/>
      <c r="X14" s="278"/>
      <c r="Y14" s="278"/>
      <c r="Z14" s="288" t="s">
        <v>326</v>
      </c>
      <c r="AA14" s="278"/>
      <c r="AB14" s="278"/>
      <c r="AC14" s="278"/>
      <c r="AD14" s="278"/>
      <c r="AE14" s="278"/>
      <c r="AF14" s="278"/>
      <c r="AG14" s="278"/>
      <c r="AH14" s="278"/>
      <c r="AI14" s="278"/>
      <c r="AJ14" s="281"/>
    </row>
    <row r="15" spans="2:36" s="46" customFormat="1" ht="25" customHeight="1" x14ac:dyDescent="0.25">
      <c r="B15" s="257"/>
      <c r="C15" s="260"/>
      <c r="D15" s="75" t="s">
        <v>325</v>
      </c>
      <c r="E15" s="73" t="s">
        <v>322</v>
      </c>
      <c r="F15" s="75" t="s">
        <v>324</v>
      </c>
      <c r="G15" s="72" t="s">
        <v>317</v>
      </c>
      <c r="H15" s="72" t="s">
        <v>323</v>
      </c>
      <c r="I15" s="74" t="s">
        <v>15</v>
      </c>
      <c r="J15" s="52" t="s">
        <v>322</v>
      </c>
      <c r="K15" s="74" t="s">
        <v>321</v>
      </c>
      <c r="L15" s="74" t="s">
        <v>320</v>
      </c>
      <c r="M15" s="73" t="s">
        <v>319</v>
      </c>
      <c r="N15" s="75" t="s">
        <v>324</v>
      </c>
      <c r="O15" s="72" t="s">
        <v>317</v>
      </c>
      <c r="P15" s="72" t="s">
        <v>323</v>
      </c>
      <c r="Q15" s="72" t="s">
        <v>15</v>
      </c>
      <c r="R15" s="71" t="s">
        <v>322</v>
      </c>
      <c r="S15" s="74" t="s">
        <v>321</v>
      </c>
      <c r="T15" s="74" t="s">
        <v>320</v>
      </c>
      <c r="U15" s="73" t="s">
        <v>319</v>
      </c>
      <c r="V15" s="77" t="s">
        <v>318</v>
      </c>
      <c r="W15" s="74" t="s">
        <v>317</v>
      </c>
      <c r="X15" s="74" t="s">
        <v>316</v>
      </c>
      <c r="Y15" s="74" t="s">
        <v>315</v>
      </c>
      <c r="Z15" s="74" t="s">
        <v>314</v>
      </c>
      <c r="AA15" s="74" t="s">
        <v>313</v>
      </c>
      <c r="AB15" s="74" t="s">
        <v>312</v>
      </c>
      <c r="AC15" s="74" t="s">
        <v>311</v>
      </c>
      <c r="AD15" s="74" t="s">
        <v>310</v>
      </c>
      <c r="AE15" s="74" t="s">
        <v>309</v>
      </c>
      <c r="AF15" s="74" t="s">
        <v>308</v>
      </c>
      <c r="AG15" s="74" t="s">
        <v>307</v>
      </c>
      <c r="AH15" s="74" t="s">
        <v>306</v>
      </c>
      <c r="AI15" s="74" t="s">
        <v>305</v>
      </c>
      <c r="AJ15" s="76" t="s">
        <v>304</v>
      </c>
    </row>
    <row r="16" spans="2:36" s="46" customFormat="1" ht="15" customHeight="1" x14ac:dyDescent="0.25">
      <c r="B16" s="257"/>
      <c r="C16" s="260"/>
      <c r="D16" s="60" t="s">
        <v>303</v>
      </c>
      <c r="E16" s="51" t="s">
        <v>4</v>
      </c>
      <c r="F16" s="54" t="s">
        <v>302</v>
      </c>
      <c r="G16" s="53" t="s">
        <v>302</v>
      </c>
      <c r="H16" s="53" t="s">
        <v>302</v>
      </c>
      <c r="I16" s="52" t="s">
        <v>284</v>
      </c>
      <c r="J16" s="52" t="s">
        <v>4</v>
      </c>
      <c r="K16" s="52" t="s">
        <v>284</v>
      </c>
      <c r="L16" s="52" t="s">
        <v>284</v>
      </c>
      <c r="M16" s="57" t="s">
        <v>284</v>
      </c>
      <c r="N16" s="59" t="s">
        <v>302</v>
      </c>
      <c r="O16" s="72" t="s">
        <v>302</v>
      </c>
      <c r="P16" s="58" t="s">
        <v>302</v>
      </c>
      <c r="Q16" s="49" t="s">
        <v>284</v>
      </c>
      <c r="R16" s="49" t="s">
        <v>4</v>
      </c>
      <c r="S16" s="52" t="s">
        <v>284</v>
      </c>
      <c r="T16" s="52" t="s">
        <v>284</v>
      </c>
      <c r="U16" s="57" t="s">
        <v>284</v>
      </c>
      <c r="V16" s="54" t="s">
        <v>302</v>
      </c>
      <c r="W16" s="53" t="s">
        <v>302</v>
      </c>
      <c r="X16" s="52" t="s">
        <v>301</v>
      </c>
      <c r="Y16" s="52" t="s">
        <v>284</v>
      </c>
      <c r="Z16" s="52" t="s">
        <v>300</v>
      </c>
      <c r="AA16" s="52" t="s">
        <v>299</v>
      </c>
      <c r="AB16" s="52" t="s">
        <v>300</v>
      </c>
      <c r="AC16" s="53" t="s">
        <v>299</v>
      </c>
      <c r="AD16" s="53" t="s">
        <v>283</v>
      </c>
      <c r="AE16" s="53" t="s">
        <v>4</v>
      </c>
      <c r="AF16" s="52" t="s">
        <v>282</v>
      </c>
      <c r="AG16" s="52" t="s">
        <v>298</v>
      </c>
      <c r="AH16" s="52" t="s">
        <v>297</v>
      </c>
      <c r="AI16" s="52" t="s">
        <v>297</v>
      </c>
      <c r="AJ16" s="51" t="s">
        <v>4</v>
      </c>
    </row>
    <row r="17" spans="2:36" s="133" customFormat="1" ht="24" customHeight="1" x14ac:dyDescent="0.25">
      <c r="B17" s="257"/>
      <c r="C17" s="260"/>
      <c r="D17" s="135"/>
      <c r="E17" s="129"/>
      <c r="F17" s="135"/>
      <c r="G17" s="131"/>
      <c r="H17" s="131"/>
      <c r="I17" s="123"/>
      <c r="J17" s="123"/>
      <c r="K17" s="123"/>
      <c r="L17" s="123"/>
      <c r="M17" s="129"/>
      <c r="N17" s="122"/>
      <c r="O17" s="123"/>
      <c r="P17" s="123"/>
      <c r="Q17" s="123"/>
      <c r="R17" s="123"/>
      <c r="S17" s="123"/>
      <c r="T17" s="123"/>
      <c r="U17" s="129"/>
      <c r="V17" s="122"/>
      <c r="W17" s="123"/>
      <c r="X17" s="123"/>
      <c r="Y17" s="123"/>
      <c r="Z17" s="123"/>
      <c r="AA17" s="123"/>
      <c r="AB17" s="123"/>
      <c r="AC17" s="123"/>
      <c r="AD17" s="123"/>
      <c r="AE17" s="123" t="e">
        <f>Z17/AB17</f>
        <v>#DIV/0!</v>
      </c>
      <c r="AF17" s="123"/>
      <c r="AG17" s="123"/>
      <c r="AH17" s="123" t="e">
        <f>AF17/(Z17-AB17)</f>
        <v>#DIV/0!</v>
      </c>
      <c r="AI17" s="143" t="s">
        <v>296</v>
      </c>
      <c r="AJ17" s="140" t="e">
        <f>IF((AH17-AI17)&gt;=0,"↑","↓")</f>
        <v>#DIV/0!</v>
      </c>
    </row>
    <row r="18" spans="2:36" s="46" customFormat="1" ht="15" customHeight="1" x14ac:dyDescent="0.25">
      <c r="B18" s="257"/>
      <c r="C18" s="260"/>
      <c r="D18" s="284" t="s">
        <v>295</v>
      </c>
      <c r="E18" s="272"/>
      <c r="F18" s="272"/>
      <c r="G18" s="272"/>
      <c r="H18" s="272"/>
      <c r="I18" s="272"/>
      <c r="J18" s="272"/>
      <c r="K18" s="272"/>
      <c r="L18" s="272"/>
      <c r="M18" s="272"/>
      <c r="N18" s="272"/>
      <c r="O18" s="272"/>
      <c r="P18" s="272"/>
      <c r="Q18" s="273"/>
      <c r="R18" s="78" t="s">
        <v>4</v>
      </c>
      <c r="S18" s="56" t="s">
        <v>4</v>
      </c>
      <c r="T18" s="56" t="s">
        <v>4</v>
      </c>
      <c r="U18" s="56" t="s">
        <v>4</v>
      </c>
      <c r="V18" s="56" t="s">
        <v>82</v>
      </c>
      <c r="W18" s="56" t="s">
        <v>82</v>
      </c>
      <c r="X18" s="56" t="s">
        <v>82</v>
      </c>
      <c r="Y18" s="56" t="s">
        <v>82</v>
      </c>
      <c r="Z18" s="56" t="s">
        <v>82</v>
      </c>
      <c r="AA18" s="56" t="s">
        <v>82</v>
      </c>
      <c r="AB18" s="56" t="s">
        <v>82</v>
      </c>
      <c r="AC18" s="56" t="s">
        <v>82</v>
      </c>
      <c r="AD18" s="56" t="s">
        <v>82</v>
      </c>
      <c r="AE18" s="56" t="s">
        <v>82</v>
      </c>
      <c r="AF18" s="55" t="s">
        <v>82</v>
      </c>
      <c r="AG18" s="55" t="s">
        <v>82</v>
      </c>
      <c r="AH18" s="55" t="s">
        <v>82</v>
      </c>
      <c r="AI18" s="55" t="s">
        <v>82</v>
      </c>
      <c r="AJ18" s="84" t="s">
        <v>82</v>
      </c>
    </row>
    <row r="19" spans="2:36" s="46" customFormat="1" ht="15" customHeight="1" x14ac:dyDescent="0.25">
      <c r="B19" s="257"/>
      <c r="C19" s="260"/>
      <c r="D19" s="291" t="s">
        <v>294</v>
      </c>
      <c r="E19" s="278"/>
      <c r="F19" s="278"/>
      <c r="G19" s="288" t="s">
        <v>293</v>
      </c>
      <c r="H19" s="278"/>
      <c r="I19" s="278"/>
      <c r="J19" s="288" t="s">
        <v>292</v>
      </c>
      <c r="K19" s="278"/>
      <c r="L19" s="278"/>
      <c r="M19" s="288" t="s">
        <v>291</v>
      </c>
      <c r="N19" s="288" t="s">
        <v>290</v>
      </c>
      <c r="O19" s="288" t="s">
        <v>289</v>
      </c>
      <c r="P19" s="288" t="s">
        <v>225</v>
      </c>
      <c r="Q19" s="290" t="s">
        <v>288</v>
      </c>
      <c r="R19" s="50" t="s">
        <v>4</v>
      </c>
      <c r="S19" s="49" t="s">
        <v>4</v>
      </c>
      <c r="T19" s="49" t="s">
        <v>4</v>
      </c>
      <c r="U19" s="49" t="s">
        <v>82</v>
      </c>
      <c r="V19" s="49" t="s">
        <v>82</v>
      </c>
      <c r="W19" s="49" t="s">
        <v>82</v>
      </c>
      <c r="X19" s="49" t="s">
        <v>82</v>
      </c>
      <c r="Y19" s="49" t="s">
        <v>82</v>
      </c>
      <c r="Z19" s="49" t="s">
        <v>82</v>
      </c>
      <c r="AA19" s="49" t="s">
        <v>82</v>
      </c>
      <c r="AB19" s="49" t="s">
        <v>82</v>
      </c>
      <c r="AC19" s="49" t="s">
        <v>412</v>
      </c>
      <c r="AD19" s="49" t="s">
        <v>82</v>
      </c>
      <c r="AE19" s="49" t="s">
        <v>82</v>
      </c>
      <c r="AF19" s="47" t="s">
        <v>82</v>
      </c>
      <c r="AG19" s="47" t="s">
        <v>82</v>
      </c>
      <c r="AH19" s="47" t="s">
        <v>82</v>
      </c>
      <c r="AI19" s="47" t="s">
        <v>82</v>
      </c>
      <c r="AJ19" s="61" t="s">
        <v>82</v>
      </c>
    </row>
    <row r="20" spans="2:36" s="46" customFormat="1" ht="25" customHeight="1" x14ac:dyDescent="0.25">
      <c r="B20" s="257"/>
      <c r="C20" s="260"/>
      <c r="D20" s="77" t="s">
        <v>287</v>
      </c>
      <c r="E20" s="74" t="s">
        <v>286</v>
      </c>
      <c r="F20" s="74" t="s">
        <v>285</v>
      </c>
      <c r="G20" s="74" t="s">
        <v>287</v>
      </c>
      <c r="H20" s="74" t="s">
        <v>286</v>
      </c>
      <c r="I20" s="74" t="s">
        <v>285</v>
      </c>
      <c r="J20" s="74" t="s">
        <v>287</v>
      </c>
      <c r="K20" s="74" t="s">
        <v>286</v>
      </c>
      <c r="L20" s="74" t="s">
        <v>285</v>
      </c>
      <c r="M20" s="278"/>
      <c r="N20" s="278"/>
      <c r="O20" s="278"/>
      <c r="P20" s="278"/>
      <c r="Q20" s="281"/>
      <c r="R20" s="75" t="s">
        <v>4</v>
      </c>
      <c r="S20" s="72" t="s">
        <v>4</v>
      </c>
      <c r="T20" s="72" t="s">
        <v>4</v>
      </c>
      <c r="U20" s="72" t="s">
        <v>82</v>
      </c>
      <c r="V20" s="72" t="s">
        <v>82</v>
      </c>
      <c r="W20" s="74" t="s">
        <v>82</v>
      </c>
      <c r="X20" s="72" t="s">
        <v>82</v>
      </c>
      <c r="Y20" s="72" t="s">
        <v>82</v>
      </c>
      <c r="Z20" s="74" t="s">
        <v>82</v>
      </c>
      <c r="AA20" s="49" t="s">
        <v>82</v>
      </c>
      <c r="AB20" s="49" t="s">
        <v>82</v>
      </c>
      <c r="AC20" s="49" t="s">
        <v>82</v>
      </c>
      <c r="AD20" s="49" t="s">
        <v>82</v>
      </c>
      <c r="AE20" s="49" t="s">
        <v>82</v>
      </c>
      <c r="AF20" s="47" t="s">
        <v>82</v>
      </c>
      <c r="AG20" s="47" t="s">
        <v>82</v>
      </c>
      <c r="AH20" s="47" t="s">
        <v>82</v>
      </c>
      <c r="AI20" s="47" t="s">
        <v>82</v>
      </c>
      <c r="AJ20" s="61" t="s">
        <v>82</v>
      </c>
    </row>
    <row r="21" spans="2:36" s="46" customFormat="1" ht="15" customHeight="1" x14ac:dyDescent="0.25">
      <c r="B21" s="257"/>
      <c r="C21" s="260"/>
      <c r="D21" s="54" t="s">
        <v>284</v>
      </c>
      <c r="E21" s="53" t="s">
        <v>284</v>
      </c>
      <c r="F21" s="52" t="s">
        <v>284</v>
      </c>
      <c r="G21" s="52" t="s">
        <v>283</v>
      </c>
      <c r="H21" s="49" t="s">
        <v>283</v>
      </c>
      <c r="I21" s="49" t="s">
        <v>283</v>
      </c>
      <c r="J21" s="52" t="s">
        <v>283</v>
      </c>
      <c r="K21" s="49" t="s">
        <v>283</v>
      </c>
      <c r="L21" s="49" t="s">
        <v>283</v>
      </c>
      <c r="M21" s="49" t="s">
        <v>282</v>
      </c>
      <c r="N21" s="49" t="s">
        <v>281</v>
      </c>
      <c r="O21" s="52" t="s">
        <v>280</v>
      </c>
      <c r="P21" s="52" t="s">
        <v>4</v>
      </c>
      <c r="Q21" s="51" t="s">
        <v>4</v>
      </c>
      <c r="R21" s="50" t="s">
        <v>4</v>
      </c>
      <c r="S21" s="49" t="s">
        <v>4</v>
      </c>
      <c r="T21" s="49" t="s">
        <v>4</v>
      </c>
      <c r="U21" s="49" t="s">
        <v>82</v>
      </c>
      <c r="V21" s="49" t="s">
        <v>82</v>
      </c>
      <c r="W21" s="49" t="s">
        <v>82</v>
      </c>
      <c r="X21" s="49" t="s">
        <v>82</v>
      </c>
      <c r="Y21" s="49" t="s">
        <v>82</v>
      </c>
      <c r="Z21" s="49" t="s">
        <v>82</v>
      </c>
      <c r="AA21" s="49" t="s">
        <v>82</v>
      </c>
      <c r="AB21" s="49" t="s">
        <v>82</v>
      </c>
      <c r="AC21" s="49" t="s">
        <v>82</v>
      </c>
      <c r="AD21" s="49" t="s">
        <v>82</v>
      </c>
      <c r="AE21" s="48" t="s">
        <v>82</v>
      </c>
      <c r="AF21" s="47" t="s">
        <v>82</v>
      </c>
      <c r="AG21" s="47" t="s">
        <v>82</v>
      </c>
      <c r="AH21" s="47" t="s">
        <v>82</v>
      </c>
      <c r="AI21" s="47" t="s">
        <v>82</v>
      </c>
      <c r="AJ21" s="61" t="s">
        <v>82</v>
      </c>
    </row>
    <row r="22" spans="2:36" s="133" customFormat="1" ht="24" customHeight="1" x14ac:dyDescent="0.25">
      <c r="B22" s="257"/>
      <c r="C22" s="260"/>
      <c r="D22" s="136"/>
      <c r="E22" s="137"/>
      <c r="F22" s="137">
        <f>D22-E22</f>
        <v>0</v>
      </c>
      <c r="G22" s="137"/>
      <c r="H22" s="137"/>
      <c r="I22" s="137">
        <f>G22-H22</f>
        <v>0</v>
      </c>
      <c r="J22" s="137"/>
      <c r="K22" s="137"/>
      <c r="L22" s="137">
        <f>J22-K22</f>
        <v>0</v>
      </c>
      <c r="M22" s="137"/>
      <c r="N22" s="137"/>
      <c r="O22" s="137" t="e">
        <f>N22/M22</f>
        <v>#DIV/0!</v>
      </c>
      <c r="P22" s="137"/>
      <c r="Q22" s="144">
        <v>301</v>
      </c>
      <c r="R22" s="136" t="s">
        <v>4</v>
      </c>
      <c r="S22" s="137" t="s">
        <v>4</v>
      </c>
      <c r="T22" s="137" t="s">
        <v>4</v>
      </c>
      <c r="U22" s="137" t="s">
        <v>82</v>
      </c>
      <c r="V22" s="137" t="s">
        <v>82</v>
      </c>
      <c r="W22" s="137" t="s">
        <v>82</v>
      </c>
      <c r="X22" s="137" t="s">
        <v>82</v>
      </c>
      <c r="Y22" s="137" t="s">
        <v>82</v>
      </c>
      <c r="Z22" s="137" t="s">
        <v>82</v>
      </c>
      <c r="AA22" s="137" t="s">
        <v>82</v>
      </c>
      <c r="AB22" s="137" t="s">
        <v>82</v>
      </c>
      <c r="AC22" s="137" t="s">
        <v>82</v>
      </c>
      <c r="AD22" s="137" t="s">
        <v>82</v>
      </c>
      <c r="AE22" s="138" t="s">
        <v>82</v>
      </c>
      <c r="AF22" s="138" t="s">
        <v>82</v>
      </c>
      <c r="AG22" s="138" t="s">
        <v>82</v>
      </c>
      <c r="AH22" s="138" t="s">
        <v>82</v>
      </c>
      <c r="AI22" s="138" t="s">
        <v>82</v>
      </c>
      <c r="AJ22" s="139" t="s">
        <v>82</v>
      </c>
    </row>
    <row r="23" spans="2:36" s="46" customFormat="1" ht="7.5" customHeight="1" x14ac:dyDescent="0.25">
      <c r="B23" s="85"/>
      <c r="C23" s="70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8"/>
      <c r="AF23" s="67"/>
      <c r="AG23" s="68"/>
      <c r="AH23" s="67"/>
      <c r="AI23" s="67"/>
      <c r="AJ23" s="86"/>
    </row>
    <row r="24" spans="2:36" s="46" customFormat="1" ht="17.5" customHeight="1" x14ac:dyDescent="0.25">
      <c r="B24" s="293" t="s">
        <v>406</v>
      </c>
      <c r="C24" s="294" t="s">
        <v>405</v>
      </c>
      <c r="D24" s="295" t="s">
        <v>404</v>
      </c>
      <c r="E24" s="296"/>
      <c r="F24" s="296"/>
      <c r="G24" s="296"/>
      <c r="H24" s="296"/>
      <c r="I24" s="296"/>
      <c r="J24" s="296"/>
      <c r="K24" s="296"/>
      <c r="L24" s="296"/>
      <c r="M24" s="296"/>
      <c r="N24" s="296"/>
      <c r="O24" s="296"/>
      <c r="P24" s="296"/>
      <c r="Q24" s="296"/>
      <c r="R24" s="296"/>
      <c r="S24" s="296"/>
      <c r="T24" s="296"/>
      <c r="U24" s="296"/>
      <c r="V24" s="296"/>
      <c r="W24" s="296"/>
      <c r="X24" s="296"/>
      <c r="Y24" s="296"/>
      <c r="Z24" s="297"/>
      <c r="AA24" s="298" t="s">
        <v>403</v>
      </c>
      <c r="AB24" s="299"/>
      <c r="AC24" s="299"/>
      <c r="AD24" s="299"/>
      <c r="AE24" s="299"/>
      <c r="AF24" s="299"/>
      <c r="AG24" s="299"/>
      <c r="AH24" s="299"/>
      <c r="AI24" s="299"/>
      <c r="AJ24" s="300"/>
    </row>
    <row r="25" spans="2:36" s="46" customFormat="1" ht="17.5" customHeight="1" x14ac:dyDescent="0.25">
      <c r="B25" s="257"/>
      <c r="C25" s="260"/>
      <c r="D25" s="266" t="s">
        <v>402</v>
      </c>
      <c r="E25" s="267"/>
      <c r="F25" s="267"/>
      <c r="G25" s="267"/>
      <c r="H25" s="267"/>
      <c r="I25" s="267"/>
      <c r="J25" s="268" t="s">
        <v>401</v>
      </c>
      <c r="K25" s="269"/>
      <c r="L25" s="269"/>
      <c r="M25" s="269"/>
      <c r="N25" s="269"/>
      <c r="O25" s="269"/>
      <c r="P25" s="269"/>
      <c r="Q25" s="269"/>
      <c r="R25" s="269"/>
      <c r="S25" s="269"/>
      <c r="T25" s="270"/>
      <c r="U25" s="271" t="s">
        <v>400</v>
      </c>
      <c r="V25" s="272"/>
      <c r="W25" s="272"/>
      <c r="X25" s="272"/>
      <c r="Y25" s="272"/>
      <c r="Z25" s="273"/>
      <c r="AA25" s="271" t="s">
        <v>399</v>
      </c>
      <c r="AB25" s="275" t="s">
        <v>398</v>
      </c>
      <c r="AC25" s="277" t="s">
        <v>397</v>
      </c>
      <c r="AD25" s="277" t="s">
        <v>306</v>
      </c>
      <c r="AE25" s="277" t="s">
        <v>396</v>
      </c>
      <c r="AF25" s="279" t="s">
        <v>395</v>
      </c>
      <c r="AG25" s="277" t="s">
        <v>394</v>
      </c>
      <c r="AH25" s="279" t="s">
        <v>393</v>
      </c>
      <c r="AI25" s="277" t="s">
        <v>392</v>
      </c>
      <c r="AJ25" s="280" t="s">
        <v>391</v>
      </c>
    </row>
    <row r="26" spans="2:36" s="46" customFormat="1" ht="37.5" customHeight="1" x14ac:dyDescent="0.25">
      <c r="B26" s="258"/>
      <c r="C26" s="261"/>
      <c r="D26" s="77" t="s">
        <v>390</v>
      </c>
      <c r="E26" s="74" t="s">
        <v>389</v>
      </c>
      <c r="F26" s="74" t="s">
        <v>388</v>
      </c>
      <c r="G26" s="74" t="s">
        <v>387</v>
      </c>
      <c r="H26" s="74" t="s">
        <v>378</v>
      </c>
      <c r="I26" s="66" t="s">
        <v>377</v>
      </c>
      <c r="J26" s="77" t="s">
        <v>381</v>
      </c>
      <c r="K26" s="74" t="s">
        <v>380</v>
      </c>
      <c r="L26" s="74" t="s">
        <v>379</v>
      </c>
      <c r="M26" s="74" t="s">
        <v>386</v>
      </c>
      <c r="N26" s="74" t="s">
        <v>386</v>
      </c>
      <c r="O26" s="74" t="s">
        <v>378</v>
      </c>
      <c r="P26" s="74" t="s">
        <v>385</v>
      </c>
      <c r="Q26" s="74" t="s">
        <v>384</v>
      </c>
      <c r="R26" s="74" t="s">
        <v>377</v>
      </c>
      <c r="S26" s="74" t="s">
        <v>383</v>
      </c>
      <c r="T26" s="76" t="s">
        <v>382</v>
      </c>
      <c r="U26" s="77" t="s">
        <v>381</v>
      </c>
      <c r="V26" s="65" t="s">
        <v>380</v>
      </c>
      <c r="W26" s="74" t="s">
        <v>379</v>
      </c>
      <c r="X26" s="74" t="s">
        <v>378</v>
      </c>
      <c r="Y26" s="74" t="s">
        <v>377</v>
      </c>
      <c r="Z26" s="76" t="s">
        <v>376</v>
      </c>
      <c r="AA26" s="274"/>
      <c r="AB26" s="276"/>
      <c r="AC26" s="278"/>
      <c r="AD26" s="278"/>
      <c r="AE26" s="278"/>
      <c r="AF26" s="278"/>
      <c r="AG26" s="278"/>
      <c r="AH26" s="278"/>
      <c r="AI26" s="278"/>
      <c r="AJ26" s="281"/>
    </row>
    <row r="27" spans="2:36" s="46" customFormat="1" ht="17.5" customHeight="1" x14ac:dyDescent="0.25">
      <c r="B27" s="282"/>
      <c r="C27" s="283" t="s">
        <v>375</v>
      </c>
      <c r="D27" s="50" t="s">
        <v>281</v>
      </c>
      <c r="E27" s="49" t="s">
        <v>281</v>
      </c>
      <c r="F27" s="49" t="s">
        <v>4</v>
      </c>
      <c r="G27" s="49" t="s">
        <v>281</v>
      </c>
      <c r="H27" s="49" t="s">
        <v>284</v>
      </c>
      <c r="I27" s="64" t="s">
        <v>284</v>
      </c>
      <c r="J27" s="50" t="s">
        <v>281</v>
      </c>
      <c r="K27" s="49" t="s">
        <v>281</v>
      </c>
      <c r="L27" s="49" t="s">
        <v>284</v>
      </c>
      <c r="M27" s="49" t="s">
        <v>284</v>
      </c>
      <c r="N27" s="49" t="s">
        <v>284</v>
      </c>
      <c r="O27" s="49" t="s">
        <v>284</v>
      </c>
      <c r="P27" s="49" t="s">
        <v>284</v>
      </c>
      <c r="Q27" s="49" t="s">
        <v>284</v>
      </c>
      <c r="R27" s="49" t="s">
        <v>284</v>
      </c>
      <c r="S27" s="49" t="s">
        <v>284</v>
      </c>
      <c r="T27" s="57" t="s">
        <v>284</v>
      </c>
      <c r="U27" s="50" t="s">
        <v>281</v>
      </c>
      <c r="V27" s="63" t="s">
        <v>281</v>
      </c>
      <c r="W27" s="49" t="s">
        <v>284</v>
      </c>
      <c r="X27" s="49" t="s">
        <v>284</v>
      </c>
      <c r="Y27" s="49" t="s">
        <v>284</v>
      </c>
      <c r="Z27" s="57" t="s">
        <v>284</v>
      </c>
      <c r="AA27" s="50" t="s">
        <v>297</v>
      </c>
      <c r="AB27" s="49" t="s">
        <v>297</v>
      </c>
      <c r="AC27" s="49" t="s">
        <v>372</v>
      </c>
      <c r="AD27" s="49" t="s">
        <v>297</v>
      </c>
      <c r="AE27" s="48" t="s">
        <v>372</v>
      </c>
      <c r="AF27" s="47" t="s">
        <v>374</v>
      </c>
      <c r="AG27" s="49" t="s">
        <v>297</v>
      </c>
      <c r="AH27" s="47" t="s">
        <v>373</v>
      </c>
      <c r="AI27" s="48" t="s">
        <v>372</v>
      </c>
      <c r="AJ27" s="61" t="s">
        <v>372</v>
      </c>
    </row>
    <row r="28" spans="2:36" s="133" customFormat="1" ht="24" customHeight="1" x14ac:dyDescent="0.25">
      <c r="B28" s="257"/>
      <c r="C28" s="260"/>
      <c r="D28" s="122"/>
      <c r="E28" s="123">
        <f>K28+V28</f>
        <v>0</v>
      </c>
      <c r="F28" s="140" t="str">
        <f>IF(D28="","",IF(D7="","",IF(D28=(D7+D28)/2,"--",IF(D28&gt;=(D7+D28)/2,"↑","↓"))))</f>
        <v/>
      </c>
      <c r="G28" s="123"/>
      <c r="H28" s="123"/>
      <c r="I28" s="124"/>
      <c r="J28" s="125"/>
      <c r="K28" s="126"/>
      <c r="L28" s="126"/>
      <c r="M28" s="126"/>
      <c r="N28" s="126"/>
      <c r="O28" s="126"/>
      <c r="P28" s="126"/>
      <c r="Q28" s="126"/>
      <c r="R28" s="126"/>
      <c r="S28" s="126"/>
      <c r="T28" s="127"/>
      <c r="U28" s="125"/>
      <c r="V28" s="128"/>
      <c r="W28" s="123"/>
      <c r="X28" s="123"/>
      <c r="Y28" s="123"/>
      <c r="Z28" s="129" t="e">
        <f>U28/D28</f>
        <v>#DIV/0!</v>
      </c>
      <c r="AA28" s="130"/>
      <c r="AB28" s="123"/>
      <c r="AC28" s="123"/>
      <c r="AD28" s="123"/>
      <c r="AE28" s="131"/>
      <c r="AF28" s="131"/>
      <c r="AG28" s="131"/>
      <c r="AH28" s="131"/>
      <c r="AI28" s="131"/>
      <c r="AJ28" s="132"/>
    </row>
    <row r="29" spans="2:36" s="46" customFormat="1" ht="17.5" customHeight="1" x14ac:dyDescent="0.25">
      <c r="B29" s="257"/>
      <c r="C29" s="260"/>
      <c r="D29" s="271" t="s">
        <v>371</v>
      </c>
      <c r="E29" s="272"/>
      <c r="F29" s="273"/>
      <c r="G29" s="271" t="s">
        <v>370</v>
      </c>
      <c r="H29" s="272"/>
      <c r="I29" s="272"/>
      <c r="J29" s="272"/>
      <c r="K29" s="272"/>
      <c r="L29" s="272"/>
      <c r="M29" s="272"/>
      <c r="N29" s="272"/>
      <c r="O29" s="273"/>
      <c r="P29" s="271" t="s">
        <v>369</v>
      </c>
      <c r="Q29" s="272"/>
      <c r="R29" s="272"/>
      <c r="S29" s="272"/>
      <c r="T29" s="272"/>
      <c r="U29" s="272"/>
      <c r="V29" s="272"/>
      <c r="W29" s="272"/>
      <c r="X29" s="272"/>
      <c r="Y29" s="272"/>
      <c r="Z29" s="272"/>
      <c r="AA29" s="272"/>
      <c r="AB29" s="272"/>
      <c r="AC29" s="272"/>
      <c r="AD29" s="273"/>
      <c r="AE29" s="284" t="s">
        <v>336</v>
      </c>
      <c r="AF29" s="272"/>
      <c r="AG29" s="272"/>
      <c r="AH29" s="272"/>
      <c r="AI29" s="272"/>
      <c r="AJ29" s="273"/>
    </row>
    <row r="30" spans="2:36" s="46" customFormat="1" ht="15" customHeight="1" x14ac:dyDescent="0.25">
      <c r="B30" s="257"/>
      <c r="C30" s="260"/>
      <c r="D30" s="285" t="s">
        <v>368</v>
      </c>
      <c r="E30" s="286" t="s">
        <v>367</v>
      </c>
      <c r="F30" s="287" t="s">
        <v>366</v>
      </c>
      <c r="G30" s="285" t="s">
        <v>365</v>
      </c>
      <c r="H30" s="278"/>
      <c r="I30" s="288" t="s">
        <v>364</v>
      </c>
      <c r="J30" s="288" t="s">
        <v>363</v>
      </c>
      <c r="K30" s="288" t="s">
        <v>362</v>
      </c>
      <c r="L30" s="288" t="s">
        <v>361</v>
      </c>
      <c r="M30" s="288" t="s">
        <v>360</v>
      </c>
      <c r="N30" s="288" t="s">
        <v>359</v>
      </c>
      <c r="O30" s="290" t="s">
        <v>358</v>
      </c>
      <c r="P30" s="285" t="s">
        <v>357</v>
      </c>
      <c r="Q30" s="278"/>
      <c r="R30" s="286" t="s">
        <v>356</v>
      </c>
      <c r="S30" s="278"/>
      <c r="T30" s="278"/>
      <c r="U30" s="286" t="s">
        <v>355</v>
      </c>
      <c r="V30" s="292" t="s">
        <v>354</v>
      </c>
      <c r="W30" s="278"/>
      <c r="X30" s="292" t="s">
        <v>353</v>
      </c>
      <c r="Y30" s="278"/>
      <c r="Z30" s="278"/>
      <c r="AA30" s="292" t="s">
        <v>352</v>
      </c>
      <c r="AB30" s="286" t="s">
        <v>351</v>
      </c>
      <c r="AC30" s="289" t="s">
        <v>350</v>
      </c>
      <c r="AD30" s="287" t="s">
        <v>349</v>
      </c>
      <c r="AE30" s="291" t="s">
        <v>348</v>
      </c>
      <c r="AF30" s="278"/>
      <c r="AG30" s="278"/>
      <c r="AH30" s="288" t="s">
        <v>332</v>
      </c>
      <c r="AI30" s="278"/>
      <c r="AJ30" s="281"/>
    </row>
    <row r="31" spans="2:36" s="46" customFormat="1" ht="15" customHeight="1" x14ac:dyDescent="0.25">
      <c r="B31" s="257"/>
      <c r="C31" s="260"/>
      <c r="D31" s="274"/>
      <c r="E31" s="278"/>
      <c r="F31" s="281"/>
      <c r="G31" s="75" t="s">
        <v>347</v>
      </c>
      <c r="H31" s="72" t="s">
        <v>346</v>
      </c>
      <c r="I31" s="278"/>
      <c r="J31" s="278"/>
      <c r="K31" s="278"/>
      <c r="L31" s="278"/>
      <c r="M31" s="278"/>
      <c r="N31" s="278"/>
      <c r="O31" s="281"/>
      <c r="P31" s="75" t="s">
        <v>345</v>
      </c>
      <c r="Q31" s="72" t="s">
        <v>344</v>
      </c>
      <c r="R31" s="72" t="s">
        <v>344</v>
      </c>
      <c r="S31" s="72" t="s">
        <v>343</v>
      </c>
      <c r="T31" s="71" t="s">
        <v>342</v>
      </c>
      <c r="U31" s="278"/>
      <c r="V31" s="71" t="s">
        <v>345</v>
      </c>
      <c r="W31" s="72" t="s">
        <v>344</v>
      </c>
      <c r="X31" s="71" t="s">
        <v>344</v>
      </c>
      <c r="Y31" s="72" t="s">
        <v>343</v>
      </c>
      <c r="Z31" s="71" t="s">
        <v>342</v>
      </c>
      <c r="AA31" s="278"/>
      <c r="AB31" s="278"/>
      <c r="AC31" s="278"/>
      <c r="AD31" s="281"/>
      <c r="AE31" s="77" t="s">
        <v>1</v>
      </c>
      <c r="AF31" s="74" t="s">
        <v>12</v>
      </c>
      <c r="AG31" s="74" t="s">
        <v>15</v>
      </c>
      <c r="AH31" s="52" t="s">
        <v>103</v>
      </c>
      <c r="AI31" s="74" t="s">
        <v>341</v>
      </c>
      <c r="AJ31" s="73" t="s">
        <v>340</v>
      </c>
    </row>
    <row r="32" spans="2:36" s="46" customFormat="1" ht="17.5" customHeight="1" x14ac:dyDescent="0.25">
      <c r="B32" s="257"/>
      <c r="C32" s="260"/>
      <c r="D32" s="75" t="s">
        <v>4</v>
      </c>
      <c r="E32" s="72" t="s">
        <v>4</v>
      </c>
      <c r="F32" s="73" t="s">
        <v>4</v>
      </c>
      <c r="G32" s="50" t="s">
        <v>299</v>
      </c>
      <c r="H32" s="49" t="s">
        <v>283</v>
      </c>
      <c r="I32" s="49" t="s">
        <v>339</v>
      </c>
      <c r="J32" s="49" t="s">
        <v>299</v>
      </c>
      <c r="K32" s="58" t="s">
        <v>302</v>
      </c>
      <c r="L32" s="49" t="s">
        <v>301</v>
      </c>
      <c r="M32" s="58" t="s">
        <v>302</v>
      </c>
      <c r="N32" s="58" t="s">
        <v>302</v>
      </c>
      <c r="O32" s="57" t="s">
        <v>301</v>
      </c>
      <c r="P32" s="50" t="s">
        <v>284</v>
      </c>
      <c r="Q32" s="48" t="s">
        <v>284</v>
      </c>
      <c r="R32" s="49" t="s">
        <v>284</v>
      </c>
      <c r="S32" s="48" t="s">
        <v>284</v>
      </c>
      <c r="T32" s="47" t="s">
        <v>4</v>
      </c>
      <c r="U32" s="48" t="s">
        <v>283</v>
      </c>
      <c r="V32" s="47" t="s">
        <v>284</v>
      </c>
      <c r="W32" s="48" t="s">
        <v>283</v>
      </c>
      <c r="X32" s="47" t="s">
        <v>283</v>
      </c>
      <c r="Y32" s="48" t="s">
        <v>283</v>
      </c>
      <c r="Z32" s="62" t="s">
        <v>4</v>
      </c>
      <c r="AA32" s="62" t="s">
        <v>339</v>
      </c>
      <c r="AB32" s="58" t="s">
        <v>338</v>
      </c>
      <c r="AC32" s="58" t="s">
        <v>338</v>
      </c>
      <c r="AD32" s="61" t="s">
        <v>4</v>
      </c>
      <c r="AE32" s="60" t="s">
        <v>301</v>
      </c>
      <c r="AF32" s="53" t="s">
        <v>302</v>
      </c>
      <c r="AG32" s="52" t="s">
        <v>284</v>
      </c>
      <c r="AH32" s="52" t="s">
        <v>303</v>
      </c>
      <c r="AI32" s="52" t="s">
        <v>303</v>
      </c>
      <c r="AJ32" s="51" t="s">
        <v>303</v>
      </c>
    </row>
    <row r="33" spans="2:36" s="133" customFormat="1" ht="24" customHeight="1" x14ac:dyDescent="0.25">
      <c r="B33" s="257"/>
      <c r="C33" s="260"/>
      <c r="D33" s="141">
        <v>0.53</v>
      </c>
      <c r="E33" s="134"/>
      <c r="F33" s="146" t="str">
        <f>IF(E33="","",IF(AND(E33&gt;=0.525,E33&lt;=0.53),"合格","不合格"))</f>
        <v/>
      </c>
      <c r="G33" s="122"/>
      <c r="H33" s="123"/>
      <c r="I33" s="123"/>
      <c r="J33" s="123"/>
      <c r="K33" s="123"/>
      <c r="L33" s="123"/>
      <c r="M33" s="123"/>
      <c r="N33" s="123"/>
      <c r="O33" s="129"/>
      <c r="P33" s="142">
        <v>29.1</v>
      </c>
      <c r="Q33" s="143" t="s">
        <v>337</v>
      </c>
      <c r="R33" s="123"/>
      <c r="S33" s="123">
        <f>R33-33.1</f>
        <v>-33.1</v>
      </c>
      <c r="T33" s="140" t="str">
        <f>IF(S33&gt;=0,"↑","↓")</f>
        <v>↓</v>
      </c>
      <c r="U33" s="131" t="s">
        <v>82</v>
      </c>
      <c r="V33" s="143">
        <v>1.6</v>
      </c>
      <c r="W33" s="143">
        <v>17.600000000000001</v>
      </c>
      <c r="X33" s="123"/>
      <c r="Y33" s="123">
        <f>X33-W33</f>
        <v>-17.600000000000001</v>
      </c>
      <c r="Z33" s="140" t="str">
        <f>IF(Y33&gt;=0,"↑","↓")</f>
        <v>↓</v>
      </c>
      <c r="AA33" s="143">
        <v>6.28</v>
      </c>
      <c r="AB33" s="123"/>
      <c r="AC33" s="123">
        <f>AB33-AA33</f>
        <v>-6.28</v>
      </c>
      <c r="AD33" s="140" t="str">
        <f>IF(AC33&gt;=0,"↑","↓")</f>
        <v>↓</v>
      </c>
      <c r="AE33" s="135"/>
      <c r="AF33" s="123"/>
      <c r="AG33" s="131"/>
      <c r="AH33" s="131"/>
      <c r="AI33" s="131"/>
      <c r="AJ33" s="132"/>
    </row>
    <row r="34" spans="2:36" s="46" customFormat="1" ht="15" customHeight="1" x14ac:dyDescent="0.25">
      <c r="B34" s="257"/>
      <c r="C34" s="260"/>
      <c r="D34" s="271" t="s">
        <v>336</v>
      </c>
      <c r="E34" s="273"/>
      <c r="F34" s="271" t="s">
        <v>335</v>
      </c>
      <c r="G34" s="272"/>
      <c r="H34" s="272"/>
      <c r="I34" s="272"/>
      <c r="J34" s="272"/>
      <c r="K34" s="272"/>
      <c r="L34" s="272"/>
      <c r="M34" s="273"/>
      <c r="N34" s="271" t="s">
        <v>334</v>
      </c>
      <c r="O34" s="272"/>
      <c r="P34" s="272"/>
      <c r="Q34" s="272"/>
      <c r="R34" s="272"/>
      <c r="S34" s="272"/>
      <c r="T34" s="272"/>
      <c r="U34" s="273"/>
      <c r="V34" s="284" t="s">
        <v>333</v>
      </c>
      <c r="W34" s="272"/>
      <c r="X34" s="272"/>
      <c r="Y34" s="272"/>
      <c r="Z34" s="272"/>
      <c r="AA34" s="272"/>
      <c r="AB34" s="272"/>
      <c r="AC34" s="272"/>
      <c r="AD34" s="272"/>
      <c r="AE34" s="272"/>
      <c r="AF34" s="272"/>
      <c r="AG34" s="272"/>
      <c r="AH34" s="272"/>
      <c r="AI34" s="272"/>
      <c r="AJ34" s="273"/>
    </row>
    <row r="35" spans="2:36" s="46" customFormat="1" ht="15" customHeight="1" x14ac:dyDescent="0.25">
      <c r="B35" s="257"/>
      <c r="C35" s="260"/>
      <c r="D35" s="285" t="s">
        <v>332</v>
      </c>
      <c r="E35" s="281"/>
      <c r="F35" s="285" t="s">
        <v>331</v>
      </c>
      <c r="G35" s="278"/>
      <c r="H35" s="278"/>
      <c r="I35" s="278"/>
      <c r="J35" s="278"/>
      <c r="K35" s="288" t="s">
        <v>330</v>
      </c>
      <c r="L35" s="278"/>
      <c r="M35" s="281"/>
      <c r="N35" s="285" t="s">
        <v>329</v>
      </c>
      <c r="O35" s="278"/>
      <c r="P35" s="278"/>
      <c r="Q35" s="278"/>
      <c r="R35" s="278"/>
      <c r="S35" s="286" t="s">
        <v>328</v>
      </c>
      <c r="T35" s="278"/>
      <c r="U35" s="281"/>
      <c r="V35" s="291" t="s">
        <v>327</v>
      </c>
      <c r="W35" s="278"/>
      <c r="X35" s="278"/>
      <c r="Y35" s="278"/>
      <c r="Z35" s="288" t="s">
        <v>326</v>
      </c>
      <c r="AA35" s="278"/>
      <c r="AB35" s="278"/>
      <c r="AC35" s="278"/>
      <c r="AD35" s="278"/>
      <c r="AE35" s="278"/>
      <c r="AF35" s="278"/>
      <c r="AG35" s="278"/>
      <c r="AH35" s="278"/>
      <c r="AI35" s="278"/>
      <c r="AJ35" s="281"/>
    </row>
    <row r="36" spans="2:36" s="46" customFormat="1" ht="25" customHeight="1" x14ac:dyDescent="0.25">
      <c r="B36" s="257"/>
      <c r="C36" s="260"/>
      <c r="D36" s="75" t="s">
        <v>325</v>
      </c>
      <c r="E36" s="73" t="s">
        <v>322</v>
      </c>
      <c r="F36" s="75" t="s">
        <v>324</v>
      </c>
      <c r="G36" s="72" t="s">
        <v>317</v>
      </c>
      <c r="H36" s="72" t="s">
        <v>323</v>
      </c>
      <c r="I36" s="74" t="s">
        <v>15</v>
      </c>
      <c r="J36" s="52" t="s">
        <v>322</v>
      </c>
      <c r="K36" s="74" t="s">
        <v>321</v>
      </c>
      <c r="L36" s="74" t="s">
        <v>320</v>
      </c>
      <c r="M36" s="73" t="s">
        <v>319</v>
      </c>
      <c r="N36" s="75" t="s">
        <v>324</v>
      </c>
      <c r="O36" s="72" t="s">
        <v>317</v>
      </c>
      <c r="P36" s="72" t="s">
        <v>323</v>
      </c>
      <c r="Q36" s="72" t="s">
        <v>15</v>
      </c>
      <c r="R36" s="71" t="s">
        <v>322</v>
      </c>
      <c r="S36" s="74" t="s">
        <v>321</v>
      </c>
      <c r="T36" s="74" t="s">
        <v>320</v>
      </c>
      <c r="U36" s="73" t="s">
        <v>319</v>
      </c>
      <c r="V36" s="77" t="s">
        <v>318</v>
      </c>
      <c r="W36" s="74" t="s">
        <v>317</v>
      </c>
      <c r="X36" s="74" t="s">
        <v>316</v>
      </c>
      <c r="Y36" s="74" t="s">
        <v>315</v>
      </c>
      <c r="Z36" s="74" t="s">
        <v>314</v>
      </c>
      <c r="AA36" s="74" t="s">
        <v>313</v>
      </c>
      <c r="AB36" s="74" t="s">
        <v>312</v>
      </c>
      <c r="AC36" s="74" t="s">
        <v>311</v>
      </c>
      <c r="AD36" s="74" t="s">
        <v>310</v>
      </c>
      <c r="AE36" s="74" t="s">
        <v>309</v>
      </c>
      <c r="AF36" s="74" t="s">
        <v>308</v>
      </c>
      <c r="AG36" s="74" t="s">
        <v>307</v>
      </c>
      <c r="AH36" s="74" t="s">
        <v>306</v>
      </c>
      <c r="AI36" s="74" t="s">
        <v>305</v>
      </c>
      <c r="AJ36" s="76" t="s">
        <v>304</v>
      </c>
    </row>
    <row r="37" spans="2:36" s="46" customFormat="1" ht="15" customHeight="1" x14ac:dyDescent="0.25">
      <c r="B37" s="257"/>
      <c r="C37" s="260"/>
      <c r="D37" s="60" t="s">
        <v>303</v>
      </c>
      <c r="E37" s="51" t="s">
        <v>4</v>
      </c>
      <c r="F37" s="54" t="s">
        <v>302</v>
      </c>
      <c r="G37" s="53" t="s">
        <v>302</v>
      </c>
      <c r="H37" s="53" t="s">
        <v>302</v>
      </c>
      <c r="I37" s="52" t="s">
        <v>284</v>
      </c>
      <c r="J37" s="52" t="s">
        <v>4</v>
      </c>
      <c r="K37" s="52" t="s">
        <v>284</v>
      </c>
      <c r="L37" s="52" t="s">
        <v>284</v>
      </c>
      <c r="M37" s="57" t="s">
        <v>284</v>
      </c>
      <c r="N37" s="59" t="s">
        <v>302</v>
      </c>
      <c r="O37" s="72" t="s">
        <v>302</v>
      </c>
      <c r="P37" s="58" t="s">
        <v>302</v>
      </c>
      <c r="Q37" s="49" t="s">
        <v>284</v>
      </c>
      <c r="R37" s="49" t="s">
        <v>4</v>
      </c>
      <c r="S37" s="52" t="s">
        <v>284</v>
      </c>
      <c r="T37" s="52" t="s">
        <v>284</v>
      </c>
      <c r="U37" s="57" t="s">
        <v>284</v>
      </c>
      <c r="V37" s="54" t="s">
        <v>302</v>
      </c>
      <c r="W37" s="53" t="s">
        <v>302</v>
      </c>
      <c r="X37" s="52" t="s">
        <v>301</v>
      </c>
      <c r="Y37" s="52" t="s">
        <v>284</v>
      </c>
      <c r="Z37" s="52" t="s">
        <v>300</v>
      </c>
      <c r="AA37" s="52" t="s">
        <v>299</v>
      </c>
      <c r="AB37" s="52" t="s">
        <v>300</v>
      </c>
      <c r="AC37" s="53" t="s">
        <v>299</v>
      </c>
      <c r="AD37" s="53" t="s">
        <v>283</v>
      </c>
      <c r="AE37" s="53" t="s">
        <v>4</v>
      </c>
      <c r="AF37" s="52" t="s">
        <v>282</v>
      </c>
      <c r="AG37" s="52" t="s">
        <v>298</v>
      </c>
      <c r="AH37" s="52" t="s">
        <v>297</v>
      </c>
      <c r="AI37" s="52" t="s">
        <v>297</v>
      </c>
      <c r="AJ37" s="51" t="s">
        <v>4</v>
      </c>
    </row>
    <row r="38" spans="2:36" s="133" customFormat="1" ht="24" customHeight="1" x14ac:dyDescent="0.25">
      <c r="B38" s="257"/>
      <c r="C38" s="260"/>
      <c r="D38" s="135"/>
      <c r="E38" s="129"/>
      <c r="F38" s="135"/>
      <c r="G38" s="131"/>
      <c r="H38" s="131"/>
      <c r="I38" s="123"/>
      <c r="J38" s="123"/>
      <c r="K38" s="123"/>
      <c r="L38" s="123"/>
      <c r="M38" s="129"/>
      <c r="N38" s="122"/>
      <c r="O38" s="123"/>
      <c r="P38" s="123"/>
      <c r="Q38" s="123"/>
      <c r="R38" s="123"/>
      <c r="S38" s="123"/>
      <c r="T38" s="123"/>
      <c r="U38" s="129"/>
      <c r="V38" s="122"/>
      <c r="W38" s="123"/>
      <c r="X38" s="123"/>
      <c r="Y38" s="123"/>
      <c r="Z38" s="123"/>
      <c r="AA38" s="123"/>
      <c r="AB38" s="123"/>
      <c r="AC38" s="123"/>
      <c r="AD38" s="123"/>
      <c r="AE38" s="123" t="e">
        <f>Z38/AB38</f>
        <v>#DIV/0!</v>
      </c>
      <c r="AF38" s="123"/>
      <c r="AG38" s="123"/>
      <c r="AH38" s="123" t="e">
        <f>AF38/(Z38-AB38)</f>
        <v>#DIV/0!</v>
      </c>
      <c r="AI38" s="143" t="s">
        <v>296</v>
      </c>
      <c r="AJ38" s="140" t="e">
        <f>IF((AH38-AI38)&gt;=0,"↑","↓")</f>
        <v>#DIV/0!</v>
      </c>
    </row>
    <row r="39" spans="2:36" s="46" customFormat="1" ht="15" customHeight="1" x14ac:dyDescent="0.25">
      <c r="B39" s="257"/>
      <c r="C39" s="260"/>
      <c r="D39" s="284" t="s">
        <v>295</v>
      </c>
      <c r="E39" s="272"/>
      <c r="F39" s="272"/>
      <c r="G39" s="272"/>
      <c r="H39" s="272"/>
      <c r="I39" s="272"/>
      <c r="J39" s="272"/>
      <c r="K39" s="272"/>
      <c r="L39" s="272"/>
      <c r="M39" s="272"/>
      <c r="N39" s="272"/>
      <c r="O39" s="272"/>
      <c r="P39" s="272"/>
      <c r="Q39" s="273"/>
      <c r="R39" s="78" t="s">
        <v>4</v>
      </c>
      <c r="S39" s="56" t="s">
        <v>4</v>
      </c>
      <c r="T39" s="56" t="s">
        <v>4</v>
      </c>
      <c r="U39" s="56" t="s">
        <v>82</v>
      </c>
      <c r="V39" s="56" t="s">
        <v>82</v>
      </c>
      <c r="W39" s="56" t="s">
        <v>82</v>
      </c>
      <c r="X39" s="56" t="s">
        <v>82</v>
      </c>
      <c r="Y39" s="56" t="s">
        <v>82</v>
      </c>
      <c r="Z39" s="56" t="s">
        <v>82</v>
      </c>
      <c r="AA39" s="56" t="s">
        <v>82</v>
      </c>
      <c r="AB39" s="56" t="s">
        <v>82</v>
      </c>
      <c r="AC39" s="56" t="s">
        <v>82</v>
      </c>
      <c r="AD39" s="56" t="s">
        <v>82</v>
      </c>
      <c r="AE39" s="56" t="s">
        <v>82</v>
      </c>
      <c r="AF39" s="55" t="s">
        <v>82</v>
      </c>
      <c r="AG39" s="55" t="s">
        <v>82</v>
      </c>
      <c r="AH39" s="55" t="s">
        <v>82</v>
      </c>
      <c r="AI39" s="55" t="s">
        <v>82</v>
      </c>
      <c r="AJ39" s="84" t="s">
        <v>82</v>
      </c>
    </row>
    <row r="40" spans="2:36" s="46" customFormat="1" ht="15" customHeight="1" x14ac:dyDescent="0.25">
      <c r="B40" s="257"/>
      <c r="C40" s="260"/>
      <c r="D40" s="291" t="s">
        <v>294</v>
      </c>
      <c r="E40" s="278"/>
      <c r="F40" s="278"/>
      <c r="G40" s="288" t="s">
        <v>293</v>
      </c>
      <c r="H40" s="278"/>
      <c r="I40" s="278"/>
      <c r="J40" s="288" t="s">
        <v>292</v>
      </c>
      <c r="K40" s="278"/>
      <c r="L40" s="278"/>
      <c r="M40" s="288" t="s">
        <v>291</v>
      </c>
      <c r="N40" s="288" t="s">
        <v>290</v>
      </c>
      <c r="O40" s="288" t="s">
        <v>289</v>
      </c>
      <c r="P40" s="288" t="s">
        <v>225</v>
      </c>
      <c r="Q40" s="290" t="s">
        <v>288</v>
      </c>
      <c r="R40" s="50" t="s">
        <v>4</v>
      </c>
      <c r="S40" s="49" t="s">
        <v>4</v>
      </c>
      <c r="T40" s="49" t="s">
        <v>4</v>
      </c>
      <c r="U40" s="49" t="s">
        <v>82</v>
      </c>
      <c r="V40" s="49" t="s">
        <v>82</v>
      </c>
      <c r="W40" s="49" t="s">
        <v>82</v>
      </c>
      <c r="X40" s="49" t="s">
        <v>82</v>
      </c>
      <c r="Y40" s="49" t="s">
        <v>82</v>
      </c>
      <c r="Z40" s="49" t="s">
        <v>82</v>
      </c>
      <c r="AA40" s="49" t="s">
        <v>82</v>
      </c>
      <c r="AB40" s="49" t="s">
        <v>82</v>
      </c>
      <c r="AC40" s="49" t="s">
        <v>82</v>
      </c>
      <c r="AD40" s="49" t="s">
        <v>82</v>
      </c>
      <c r="AE40" s="49" t="s">
        <v>82</v>
      </c>
      <c r="AF40" s="47" t="s">
        <v>82</v>
      </c>
      <c r="AG40" s="47" t="s">
        <v>82</v>
      </c>
      <c r="AH40" s="47" t="s">
        <v>82</v>
      </c>
      <c r="AI40" s="47" t="s">
        <v>82</v>
      </c>
      <c r="AJ40" s="61" t="s">
        <v>82</v>
      </c>
    </row>
    <row r="41" spans="2:36" s="46" customFormat="1" ht="25" customHeight="1" x14ac:dyDescent="0.25">
      <c r="B41" s="257"/>
      <c r="C41" s="260"/>
      <c r="D41" s="77" t="s">
        <v>287</v>
      </c>
      <c r="E41" s="74" t="s">
        <v>286</v>
      </c>
      <c r="F41" s="74" t="s">
        <v>285</v>
      </c>
      <c r="G41" s="74" t="s">
        <v>287</v>
      </c>
      <c r="H41" s="74" t="s">
        <v>286</v>
      </c>
      <c r="I41" s="74" t="s">
        <v>285</v>
      </c>
      <c r="J41" s="74" t="s">
        <v>287</v>
      </c>
      <c r="K41" s="74" t="s">
        <v>286</v>
      </c>
      <c r="L41" s="74" t="s">
        <v>285</v>
      </c>
      <c r="M41" s="278"/>
      <c r="N41" s="278"/>
      <c r="O41" s="278"/>
      <c r="P41" s="278"/>
      <c r="Q41" s="281"/>
      <c r="R41" s="75" t="s">
        <v>4</v>
      </c>
      <c r="S41" s="72" t="s">
        <v>4</v>
      </c>
      <c r="T41" s="72" t="s">
        <v>4</v>
      </c>
      <c r="U41" s="72" t="s">
        <v>82</v>
      </c>
      <c r="V41" s="72" t="s">
        <v>82</v>
      </c>
      <c r="W41" s="74" t="s">
        <v>82</v>
      </c>
      <c r="X41" s="72" t="s">
        <v>82</v>
      </c>
      <c r="Y41" s="72" t="s">
        <v>82</v>
      </c>
      <c r="Z41" s="74" t="s">
        <v>82</v>
      </c>
      <c r="AA41" s="49" t="s">
        <v>82</v>
      </c>
      <c r="AB41" s="49" t="s">
        <v>82</v>
      </c>
      <c r="AC41" s="49" t="s">
        <v>82</v>
      </c>
      <c r="AD41" s="49" t="s">
        <v>82</v>
      </c>
      <c r="AE41" s="49" t="s">
        <v>82</v>
      </c>
      <c r="AF41" s="47" t="s">
        <v>82</v>
      </c>
      <c r="AG41" s="47" t="s">
        <v>82</v>
      </c>
      <c r="AH41" s="47" t="s">
        <v>82</v>
      </c>
      <c r="AI41" s="47" t="s">
        <v>82</v>
      </c>
      <c r="AJ41" s="61" t="s">
        <v>82</v>
      </c>
    </row>
    <row r="42" spans="2:36" s="46" customFormat="1" ht="22.5" customHeight="1" x14ac:dyDescent="0.25">
      <c r="B42" s="257"/>
      <c r="C42" s="260"/>
      <c r="D42" s="54" t="s">
        <v>284</v>
      </c>
      <c r="E42" s="53" t="s">
        <v>284</v>
      </c>
      <c r="F42" s="52" t="s">
        <v>284</v>
      </c>
      <c r="G42" s="52" t="s">
        <v>283</v>
      </c>
      <c r="H42" s="49" t="s">
        <v>283</v>
      </c>
      <c r="I42" s="49" t="s">
        <v>283</v>
      </c>
      <c r="J42" s="52" t="s">
        <v>283</v>
      </c>
      <c r="K42" s="49" t="s">
        <v>283</v>
      </c>
      <c r="L42" s="49" t="s">
        <v>283</v>
      </c>
      <c r="M42" s="49" t="s">
        <v>282</v>
      </c>
      <c r="N42" s="49" t="s">
        <v>281</v>
      </c>
      <c r="O42" s="52" t="s">
        <v>280</v>
      </c>
      <c r="P42" s="52" t="s">
        <v>4</v>
      </c>
      <c r="Q42" s="51" t="s">
        <v>4</v>
      </c>
      <c r="R42" s="50" t="s">
        <v>4</v>
      </c>
      <c r="S42" s="49" t="s">
        <v>4</v>
      </c>
      <c r="T42" s="49" t="s">
        <v>4</v>
      </c>
      <c r="U42" s="49" t="s">
        <v>82</v>
      </c>
      <c r="V42" s="49" t="s">
        <v>82</v>
      </c>
      <c r="W42" s="49" t="s">
        <v>82</v>
      </c>
      <c r="X42" s="49" t="s">
        <v>82</v>
      </c>
      <c r="Y42" s="49" t="s">
        <v>82</v>
      </c>
      <c r="Z42" s="49" t="s">
        <v>82</v>
      </c>
      <c r="AA42" s="49" t="s">
        <v>82</v>
      </c>
      <c r="AB42" s="49" t="s">
        <v>82</v>
      </c>
      <c r="AC42" s="49" t="s">
        <v>82</v>
      </c>
      <c r="AD42" s="49" t="s">
        <v>82</v>
      </c>
      <c r="AE42" s="48" t="s">
        <v>82</v>
      </c>
      <c r="AF42" s="47" t="s">
        <v>82</v>
      </c>
      <c r="AG42" s="47" t="s">
        <v>82</v>
      </c>
      <c r="AH42" s="47" t="s">
        <v>82</v>
      </c>
      <c r="AI42" s="47" t="s">
        <v>82</v>
      </c>
      <c r="AJ42" s="61" t="s">
        <v>82</v>
      </c>
    </row>
    <row r="43" spans="2:36" s="133" customFormat="1" ht="24" customHeight="1" x14ac:dyDescent="0.25">
      <c r="B43" s="301"/>
      <c r="C43" s="302"/>
      <c r="D43" s="122"/>
      <c r="E43" s="123"/>
      <c r="F43" s="123">
        <f>D43-E43</f>
        <v>0</v>
      </c>
      <c r="G43" s="123"/>
      <c r="H43" s="123"/>
      <c r="I43" s="123">
        <f>G43-H43</f>
        <v>0</v>
      </c>
      <c r="J43" s="123"/>
      <c r="K43" s="123"/>
      <c r="L43" s="123">
        <f>J43-K43</f>
        <v>0</v>
      </c>
      <c r="M43" s="123"/>
      <c r="N43" s="123"/>
      <c r="O43" s="123" t="e">
        <f>N43/M43</f>
        <v>#DIV/0!</v>
      </c>
      <c r="P43" s="123"/>
      <c r="Q43" s="145">
        <v>301</v>
      </c>
      <c r="R43" s="122" t="s">
        <v>4</v>
      </c>
      <c r="S43" s="123" t="s">
        <v>4</v>
      </c>
      <c r="T43" s="123" t="s">
        <v>4</v>
      </c>
      <c r="U43" s="123" t="s">
        <v>82</v>
      </c>
      <c r="V43" s="123" t="s">
        <v>82</v>
      </c>
      <c r="W43" s="123" t="s">
        <v>82</v>
      </c>
      <c r="X43" s="123" t="s">
        <v>82</v>
      </c>
      <c r="Y43" s="123" t="s">
        <v>82</v>
      </c>
      <c r="Z43" s="123" t="s">
        <v>82</v>
      </c>
      <c r="AA43" s="123" t="s">
        <v>82</v>
      </c>
      <c r="AB43" s="123" t="s">
        <v>82</v>
      </c>
      <c r="AC43" s="123" t="s">
        <v>82</v>
      </c>
      <c r="AD43" s="123" t="s">
        <v>82</v>
      </c>
      <c r="AE43" s="131" t="s">
        <v>82</v>
      </c>
      <c r="AF43" s="131" t="s">
        <v>82</v>
      </c>
      <c r="AG43" s="131" t="s">
        <v>82</v>
      </c>
      <c r="AH43" s="131" t="s">
        <v>82</v>
      </c>
      <c r="AI43" s="131" t="s">
        <v>82</v>
      </c>
      <c r="AJ43" s="132" t="s">
        <v>82</v>
      </c>
    </row>
    <row r="44" spans="2:36" ht="15" customHeight="1" x14ac:dyDescent="0.25"/>
    <row r="45" spans="2:36" ht="18" customHeight="1" x14ac:dyDescent="0.25"/>
    <row r="46" spans="2:36" ht="18" customHeight="1" x14ac:dyDescent="0.25"/>
    <row r="47" spans="2:36" ht="18" customHeight="1" x14ac:dyDescent="0.25"/>
    <row r="48" spans="2:36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  <row r="58" ht="18" customHeight="1" x14ac:dyDescent="0.25"/>
    <row r="59" ht="18" customHeight="1" x14ac:dyDescent="0.25"/>
    <row r="60" ht="18" customHeight="1" x14ac:dyDescent="0.25"/>
    <row r="61" ht="18" customHeight="1" x14ac:dyDescent="0.25"/>
    <row r="62" ht="18" customHeight="1" x14ac:dyDescent="0.25"/>
    <row r="63" ht="18" customHeight="1" x14ac:dyDescent="0.25"/>
    <row r="64" ht="18" customHeight="1" x14ac:dyDescent="0.25"/>
    <row r="65" ht="18" customHeight="1" x14ac:dyDescent="0.25"/>
    <row r="66" ht="18" customHeight="1" x14ac:dyDescent="0.25"/>
    <row r="67" ht="18" customHeight="1" x14ac:dyDescent="0.25"/>
    <row r="68" ht="18" customHeight="1" x14ac:dyDescent="0.25"/>
    <row r="69" ht="18" customHeight="1" x14ac:dyDescent="0.25"/>
    <row r="70" ht="18" customHeight="1" x14ac:dyDescent="0.25"/>
    <row r="71" ht="18" customHeight="1" x14ac:dyDescent="0.25"/>
    <row r="72" ht="18" customHeight="1" x14ac:dyDescent="0.25"/>
    <row r="73" ht="18" customHeight="1" x14ac:dyDescent="0.25"/>
    <row r="74" ht="18" customHeight="1" x14ac:dyDescent="0.25"/>
    <row r="75" ht="18" customHeight="1" x14ac:dyDescent="0.25"/>
    <row r="76" ht="18" customHeight="1" x14ac:dyDescent="0.25"/>
    <row r="77" ht="18" customHeight="1" x14ac:dyDescent="0.25"/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  <row r="126" ht="18" customHeight="1" x14ac:dyDescent="0.25"/>
    <row r="127" ht="18" customHeight="1" x14ac:dyDescent="0.25"/>
    <row r="128" ht="18" customHeight="1" x14ac:dyDescent="0.25"/>
    <row r="129" ht="18" customHeight="1" x14ac:dyDescent="0.25"/>
    <row r="130" ht="18" customHeight="1" x14ac:dyDescent="0.25"/>
    <row r="131" ht="18" customHeight="1" x14ac:dyDescent="0.25"/>
    <row r="132" ht="18" customHeight="1" x14ac:dyDescent="0.25"/>
    <row r="133" ht="18" customHeight="1" x14ac:dyDescent="0.25"/>
    <row r="134" ht="18" customHeight="1" x14ac:dyDescent="0.25"/>
    <row r="135" ht="18" customHeight="1" x14ac:dyDescent="0.25"/>
    <row r="136" ht="18" customHeight="1" x14ac:dyDescent="0.25"/>
    <row r="137" ht="18" customHeight="1" x14ac:dyDescent="0.25"/>
    <row r="138" ht="18" customHeight="1" x14ac:dyDescent="0.25"/>
    <row r="139" ht="18" customHeight="1" x14ac:dyDescent="0.25"/>
    <row r="140" ht="18" customHeight="1" x14ac:dyDescent="0.25"/>
    <row r="141" ht="18" customHeight="1" x14ac:dyDescent="0.25"/>
    <row r="142" ht="18" customHeight="1" x14ac:dyDescent="0.25"/>
    <row r="143" ht="18" customHeight="1" x14ac:dyDescent="0.25"/>
    <row r="144" ht="18" customHeight="1" x14ac:dyDescent="0.25"/>
    <row r="145" ht="18" customHeight="1" x14ac:dyDescent="0.25"/>
    <row r="146" ht="18" customHeight="1" x14ac:dyDescent="0.25"/>
    <row r="147" ht="18" customHeight="1" x14ac:dyDescent="0.25"/>
    <row r="148" ht="18" customHeight="1" x14ac:dyDescent="0.25"/>
    <row r="149" ht="18" customHeight="1" x14ac:dyDescent="0.25"/>
    <row r="150" ht="18" customHeight="1" x14ac:dyDescent="0.25"/>
    <row r="151" ht="18" customHeight="1" x14ac:dyDescent="0.25"/>
    <row r="152" ht="18" customHeight="1" x14ac:dyDescent="0.25"/>
    <row r="153" ht="18" customHeight="1" x14ac:dyDescent="0.25"/>
    <row r="154" ht="18" customHeight="1" x14ac:dyDescent="0.25"/>
    <row r="155" ht="18" customHeight="1" x14ac:dyDescent="0.25"/>
    <row r="156" ht="18" customHeight="1" x14ac:dyDescent="0.25"/>
    <row r="157" ht="18" customHeight="1" x14ac:dyDescent="0.25"/>
    <row r="158" ht="18" customHeight="1" x14ac:dyDescent="0.25"/>
    <row r="159" ht="18" customHeight="1" x14ac:dyDescent="0.25"/>
    <row r="160" ht="18" customHeight="1" x14ac:dyDescent="0.25"/>
    <row r="161" ht="18" customHeight="1" x14ac:dyDescent="0.25"/>
    <row r="162" ht="18" customHeight="1" x14ac:dyDescent="0.25"/>
    <row r="163" ht="18" customHeight="1" x14ac:dyDescent="0.25"/>
    <row r="164" ht="18" customHeight="1" x14ac:dyDescent="0.25"/>
    <row r="165" ht="18" customHeight="1" x14ac:dyDescent="0.25"/>
    <row r="166" ht="18" customHeight="1" x14ac:dyDescent="0.25"/>
    <row r="167" ht="18" customHeight="1" x14ac:dyDescent="0.25"/>
    <row r="168" ht="18" customHeight="1" x14ac:dyDescent="0.25"/>
    <row r="169" ht="18" customHeight="1" x14ac:dyDescent="0.25"/>
    <row r="170" ht="18" customHeight="1" x14ac:dyDescent="0.25"/>
    <row r="171" ht="18" customHeight="1" x14ac:dyDescent="0.25"/>
    <row r="172" ht="18" customHeight="1" x14ac:dyDescent="0.25"/>
    <row r="173" ht="18" customHeight="1" x14ac:dyDescent="0.25"/>
    <row r="174" ht="18" customHeight="1" x14ac:dyDescent="0.25"/>
    <row r="175" ht="18" customHeight="1" x14ac:dyDescent="0.25"/>
    <row r="176" ht="18" customHeight="1" x14ac:dyDescent="0.25"/>
    <row r="177" ht="18" customHeight="1" x14ac:dyDescent="0.25"/>
    <row r="178" ht="18" customHeight="1" x14ac:dyDescent="0.25"/>
    <row r="179" ht="18" customHeight="1" x14ac:dyDescent="0.25"/>
    <row r="180" ht="18" customHeight="1" x14ac:dyDescent="0.25"/>
    <row r="181" ht="18" customHeight="1" x14ac:dyDescent="0.25"/>
    <row r="182" ht="18" customHeight="1" x14ac:dyDescent="0.25"/>
    <row r="183" ht="18" customHeight="1" x14ac:dyDescent="0.25"/>
    <row r="184" ht="18" customHeight="1" x14ac:dyDescent="0.25"/>
    <row r="185" ht="18" customHeight="1" x14ac:dyDescent="0.25"/>
    <row r="186" ht="18" customHeight="1" x14ac:dyDescent="0.25"/>
    <row r="187" ht="18" customHeight="1" x14ac:dyDescent="0.25"/>
    <row r="188" ht="18" customHeight="1" x14ac:dyDescent="0.25"/>
    <row r="189" ht="18" customHeight="1" x14ac:dyDescent="0.25"/>
    <row r="190" ht="18" customHeight="1" x14ac:dyDescent="0.25"/>
    <row r="191" ht="18" customHeight="1" x14ac:dyDescent="0.25"/>
    <row r="192" ht="18" customHeight="1" x14ac:dyDescent="0.25"/>
    <row r="193" ht="18" customHeight="1" x14ac:dyDescent="0.25"/>
    <row r="194" ht="18" customHeight="1" x14ac:dyDescent="0.25"/>
    <row r="195" ht="18" customHeight="1" x14ac:dyDescent="0.25"/>
    <row r="196" ht="18" customHeight="1" x14ac:dyDescent="0.25"/>
    <row r="197" ht="18" customHeight="1" x14ac:dyDescent="0.25"/>
    <row r="198" ht="18" customHeight="1" x14ac:dyDescent="0.25"/>
    <row r="199" ht="18" customHeight="1" x14ac:dyDescent="0.25"/>
    <row r="200" ht="18" customHeight="1" x14ac:dyDescent="0.25"/>
    <row r="201" ht="18" customHeight="1" x14ac:dyDescent="0.25"/>
    <row r="202" ht="18" customHeight="1" x14ac:dyDescent="0.25"/>
    <row r="203" ht="18" customHeight="1" x14ac:dyDescent="0.25"/>
    <row r="204" ht="18" customHeight="1" x14ac:dyDescent="0.25"/>
    <row r="205" ht="18" customHeight="1" x14ac:dyDescent="0.25"/>
    <row r="206" ht="18" customHeight="1" x14ac:dyDescent="0.25"/>
    <row r="207" ht="18" customHeight="1" x14ac:dyDescent="0.25"/>
    <row r="208" ht="18" customHeight="1" x14ac:dyDescent="0.25"/>
    <row r="209" ht="18" customHeight="1" x14ac:dyDescent="0.25"/>
    <row r="210" ht="18" customHeight="1" x14ac:dyDescent="0.25"/>
    <row r="211" ht="18" customHeight="1" x14ac:dyDescent="0.25"/>
    <row r="212" ht="18" customHeight="1" x14ac:dyDescent="0.25"/>
    <row r="213" ht="18" customHeight="1" x14ac:dyDescent="0.25"/>
    <row r="214" ht="18" customHeight="1" x14ac:dyDescent="0.25"/>
    <row r="215" ht="18" customHeight="1" x14ac:dyDescent="0.25"/>
    <row r="216" ht="18" customHeight="1" x14ac:dyDescent="0.25"/>
    <row r="217" ht="18" customHeight="1" x14ac:dyDescent="0.25"/>
    <row r="218" ht="18" customHeight="1" x14ac:dyDescent="0.25"/>
    <row r="219" ht="18" customHeight="1" x14ac:dyDescent="0.25"/>
    <row r="220" ht="18" customHeight="1" x14ac:dyDescent="0.25"/>
    <row r="221" ht="18" customHeight="1" x14ac:dyDescent="0.25"/>
    <row r="222" ht="18" customHeight="1" x14ac:dyDescent="0.25"/>
    <row r="223" ht="18" customHeight="1" x14ac:dyDescent="0.25"/>
    <row r="224" ht="18" customHeight="1" x14ac:dyDescent="0.25"/>
    <row r="225" ht="18" customHeight="1" x14ac:dyDescent="0.25"/>
    <row r="226" ht="18" customHeight="1" x14ac:dyDescent="0.25"/>
    <row r="227" ht="18" customHeight="1" x14ac:dyDescent="0.25"/>
    <row r="228" ht="18" customHeight="1" x14ac:dyDescent="0.25"/>
    <row r="229" ht="18" customHeight="1" x14ac:dyDescent="0.25"/>
    <row r="230" ht="18" customHeight="1" x14ac:dyDescent="0.25"/>
    <row r="231" ht="18" customHeight="1" x14ac:dyDescent="0.25"/>
    <row r="232" ht="18" customHeight="1" x14ac:dyDescent="0.25"/>
    <row r="233" ht="18" customHeight="1" x14ac:dyDescent="0.25"/>
    <row r="234" ht="18" customHeight="1" x14ac:dyDescent="0.25"/>
    <row r="235" ht="18" customHeight="1" x14ac:dyDescent="0.25"/>
    <row r="236" ht="18" customHeight="1" x14ac:dyDescent="0.25"/>
    <row r="237" ht="18" customHeight="1" x14ac:dyDescent="0.25"/>
    <row r="238" ht="18" customHeight="1" x14ac:dyDescent="0.25"/>
    <row r="239" ht="18" customHeight="1" x14ac:dyDescent="0.25"/>
    <row r="240" ht="18" customHeight="1" x14ac:dyDescent="0.25"/>
    <row r="241" ht="18" customHeight="1" x14ac:dyDescent="0.25"/>
    <row r="242" ht="18" customHeight="1" x14ac:dyDescent="0.25"/>
    <row r="243" ht="18" customHeight="1" x14ac:dyDescent="0.25"/>
    <row r="244" ht="18" customHeight="1" x14ac:dyDescent="0.25"/>
    <row r="245" ht="18" customHeight="1" x14ac:dyDescent="0.25"/>
    <row r="246" ht="18" customHeight="1" x14ac:dyDescent="0.25"/>
    <row r="247" ht="18" customHeight="1" x14ac:dyDescent="0.25"/>
    <row r="248" ht="18" customHeight="1" x14ac:dyDescent="0.25"/>
    <row r="249" ht="18" customHeight="1" x14ac:dyDescent="0.25"/>
    <row r="250" ht="18" customHeight="1" x14ac:dyDescent="0.25"/>
    <row r="251" ht="18" customHeight="1" x14ac:dyDescent="0.25"/>
    <row r="252" ht="18" customHeight="1" x14ac:dyDescent="0.25"/>
    <row r="253" ht="18" customHeight="1" x14ac:dyDescent="0.25"/>
    <row r="254" ht="18" customHeight="1" x14ac:dyDescent="0.25"/>
    <row r="255" ht="18" customHeight="1" x14ac:dyDescent="0.25"/>
    <row r="256" ht="18" customHeight="1" x14ac:dyDescent="0.25"/>
    <row r="257" ht="18" customHeight="1" x14ac:dyDescent="0.25"/>
    <row r="258" ht="18" customHeight="1" x14ac:dyDescent="0.25"/>
    <row r="259" ht="18" customHeight="1" x14ac:dyDescent="0.25"/>
    <row r="260" ht="18" customHeight="1" x14ac:dyDescent="0.25"/>
    <row r="261" ht="18" customHeight="1" x14ac:dyDescent="0.25"/>
    <row r="262" ht="18" customHeight="1" x14ac:dyDescent="0.25"/>
    <row r="263" ht="18" customHeight="1" x14ac:dyDescent="0.25"/>
    <row r="264" ht="18" customHeight="1" x14ac:dyDescent="0.25"/>
    <row r="265" ht="18" customHeight="1" x14ac:dyDescent="0.25"/>
    <row r="266" ht="18" customHeight="1" x14ac:dyDescent="0.25"/>
    <row r="267" ht="18" customHeight="1" x14ac:dyDescent="0.25"/>
    <row r="268" ht="18" customHeight="1" x14ac:dyDescent="0.25"/>
    <row r="269" ht="18" customHeight="1" x14ac:dyDescent="0.25"/>
    <row r="270" ht="18" customHeight="1" x14ac:dyDescent="0.25"/>
    <row r="271" ht="18" customHeight="1" x14ac:dyDescent="0.25"/>
    <row r="272" ht="18" customHeight="1" x14ac:dyDescent="0.25"/>
    <row r="273" ht="18" customHeight="1" x14ac:dyDescent="0.25"/>
    <row r="274" ht="18" customHeight="1" x14ac:dyDescent="0.25"/>
    <row r="275" ht="18" customHeight="1" x14ac:dyDescent="0.25"/>
    <row r="276" ht="18" customHeight="1" x14ac:dyDescent="0.25"/>
    <row r="277" ht="18" customHeight="1" x14ac:dyDescent="0.25"/>
    <row r="278" ht="18" customHeight="1" x14ac:dyDescent="0.25"/>
    <row r="279" ht="18" customHeight="1" x14ac:dyDescent="0.25"/>
    <row r="280" ht="18" customHeight="1" x14ac:dyDescent="0.25"/>
    <row r="281" ht="18" customHeight="1" x14ac:dyDescent="0.25"/>
    <row r="282" ht="18" customHeight="1" x14ac:dyDescent="0.25"/>
    <row r="283" ht="18" customHeight="1" x14ac:dyDescent="0.25"/>
    <row r="284" ht="18" customHeight="1" x14ac:dyDescent="0.25"/>
    <row r="285" ht="18" customHeight="1" x14ac:dyDescent="0.25"/>
    <row r="286" ht="18" customHeight="1" x14ac:dyDescent="0.25"/>
    <row r="287" ht="18" customHeight="1" x14ac:dyDescent="0.25"/>
    <row r="288" ht="18" customHeight="1" x14ac:dyDescent="0.25"/>
    <row r="289" ht="18" customHeight="1" x14ac:dyDescent="0.25"/>
    <row r="290" ht="18" customHeight="1" x14ac:dyDescent="0.25"/>
    <row r="291" ht="18" customHeight="1" x14ac:dyDescent="0.25"/>
    <row r="292" ht="18" customHeight="1" x14ac:dyDescent="0.25"/>
    <row r="293" ht="18" customHeight="1" x14ac:dyDescent="0.25"/>
    <row r="294" ht="18" customHeight="1" x14ac:dyDescent="0.25"/>
    <row r="295" ht="18" customHeight="1" x14ac:dyDescent="0.25"/>
    <row r="296" ht="18" customHeight="1" x14ac:dyDescent="0.25"/>
    <row r="297" ht="18" customHeight="1" x14ac:dyDescent="0.25"/>
    <row r="298" ht="18" customHeight="1" x14ac:dyDescent="0.25"/>
    <row r="299" ht="18" customHeight="1" x14ac:dyDescent="0.25"/>
    <row r="300" ht="18" customHeight="1" x14ac:dyDescent="0.25"/>
    <row r="301" ht="18" customHeight="1" x14ac:dyDescent="0.25"/>
    <row r="302" ht="18" customHeight="1" x14ac:dyDescent="0.25"/>
    <row r="303" ht="18" customHeight="1" x14ac:dyDescent="0.25"/>
    <row r="304" ht="18" customHeight="1" x14ac:dyDescent="0.25"/>
    <row r="305" ht="18" customHeight="1" x14ac:dyDescent="0.25"/>
    <row r="306" ht="18" customHeight="1" x14ac:dyDescent="0.25"/>
    <row r="307" ht="18" customHeight="1" x14ac:dyDescent="0.25"/>
    <row r="308" ht="18" customHeight="1" x14ac:dyDescent="0.25"/>
    <row r="309" ht="18" customHeight="1" x14ac:dyDescent="0.25"/>
    <row r="310" ht="18" customHeight="1" x14ac:dyDescent="0.25"/>
    <row r="311" ht="18" customHeight="1" x14ac:dyDescent="0.25"/>
    <row r="312" ht="18" customHeight="1" x14ac:dyDescent="0.25"/>
    <row r="313" ht="18" customHeight="1" x14ac:dyDescent="0.25"/>
    <row r="314" ht="18" customHeight="1" x14ac:dyDescent="0.25"/>
    <row r="315" ht="18" customHeight="1" x14ac:dyDescent="0.25"/>
    <row r="316" ht="18" customHeight="1" x14ac:dyDescent="0.25"/>
    <row r="317" ht="18" customHeight="1" x14ac:dyDescent="0.25"/>
    <row r="318" ht="18" customHeight="1" x14ac:dyDescent="0.25"/>
    <row r="319" ht="18" customHeight="1" x14ac:dyDescent="0.25"/>
    <row r="320" ht="18" customHeight="1" x14ac:dyDescent="0.25"/>
    <row r="321" ht="18" customHeight="1" x14ac:dyDescent="0.25"/>
    <row r="322" ht="18" customHeight="1" x14ac:dyDescent="0.25"/>
    <row r="323" ht="18" customHeight="1" x14ac:dyDescent="0.25"/>
    <row r="324" ht="18" customHeight="1" x14ac:dyDescent="0.25"/>
    <row r="325" ht="18" customHeight="1" x14ac:dyDescent="0.25"/>
    <row r="326" ht="18" customHeight="1" x14ac:dyDescent="0.25"/>
    <row r="327" ht="18" customHeight="1" x14ac:dyDescent="0.25"/>
    <row r="328" ht="18" customHeight="1" x14ac:dyDescent="0.25"/>
    <row r="329" ht="18" customHeight="1" x14ac:dyDescent="0.25"/>
    <row r="330" ht="18" customHeight="1" x14ac:dyDescent="0.25"/>
    <row r="331" ht="18" customHeight="1" x14ac:dyDescent="0.25"/>
    <row r="332" ht="18" customHeight="1" x14ac:dyDescent="0.25"/>
    <row r="333" ht="18" customHeight="1" x14ac:dyDescent="0.25"/>
    <row r="334" ht="18" customHeight="1" x14ac:dyDescent="0.25"/>
    <row r="335" ht="18" customHeight="1" x14ac:dyDescent="0.25"/>
    <row r="336" ht="18" customHeight="1" x14ac:dyDescent="0.25"/>
    <row r="337" ht="18" customHeight="1" x14ac:dyDescent="0.25"/>
    <row r="338" ht="18" customHeight="1" x14ac:dyDescent="0.25"/>
    <row r="339" ht="18" customHeight="1" x14ac:dyDescent="0.25"/>
    <row r="340" ht="18" customHeight="1" x14ac:dyDescent="0.25"/>
    <row r="341" ht="18" customHeight="1" x14ac:dyDescent="0.25"/>
    <row r="342" ht="18" customHeight="1" x14ac:dyDescent="0.25"/>
    <row r="343" ht="18" customHeight="1" x14ac:dyDescent="0.25"/>
    <row r="344" ht="18" customHeight="1" x14ac:dyDescent="0.25"/>
    <row r="345" ht="18" customHeight="1" x14ac:dyDescent="0.25"/>
    <row r="346" ht="18" customHeight="1" x14ac:dyDescent="0.25"/>
    <row r="347" ht="18" customHeight="1" x14ac:dyDescent="0.25"/>
    <row r="348" ht="18" customHeight="1" x14ac:dyDescent="0.25"/>
    <row r="349" ht="18" customHeight="1" x14ac:dyDescent="0.25"/>
    <row r="350" ht="18" customHeight="1" x14ac:dyDescent="0.25"/>
    <row r="351" ht="18" customHeight="1" x14ac:dyDescent="0.25"/>
    <row r="352" ht="18" customHeight="1" x14ac:dyDescent="0.25"/>
    <row r="353" ht="18" customHeight="1" x14ac:dyDescent="0.25"/>
    <row r="354" ht="18" customHeight="1" x14ac:dyDescent="0.25"/>
    <row r="355" ht="18" customHeight="1" x14ac:dyDescent="0.25"/>
    <row r="356" ht="18" customHeight="1" x14ac:dyDescent="0.25"/>
    <row r="357" ht="18" customHeight="1" x14ac:dyDescent="0.25"/>
    <row r="358" ht="18" customHeight="1" x14ac:dyDescent="0.25"/>
    <row r="359" ht="18" customHeight="1" x14ac:dyDescent="0.25"/>
    <row r="360" ht="18" customHeight="1" x14ac:dyDescent="0.25"/>
    <row r="361" ht="18" customHeight="1" x14ac:dyDescent="0.25"/>
    <row r="362" ht="18" customHeight="1" x14ac:dyDescent="0.25"/>
    <row r="363" ht="18" customHeight="1" x14ac:dyDescent="0.25"/>
    <row r="364" ht="18" customHeight="1" x14ac:dyDescent="0.25"/>
    <row r="365" ht="18" customHeight="1" x14ac:dyDescent="0.25"/>
    <row r="366" ht="18" customHeight="1" x14ac:dyDescent="0.25"/>
    <row r="367" ht="18" customHeight="1" x14ac:dyDescent="0.25"/>
    <row r="368" ht="18" customHeight="1" x14ac:dyDescent="0.25"/>
    <row r="369" ht="18" customHeight="1" x14ac:dyDescent="0.25"/>
    <row r="370" ht="18" customHeight="1" x14ac:dyDescent="0.25"/>
    <row r="371" ht="18" customHeight="1" x14ac:dyDescent="0.25"/>
    <row r="372" ht="18" customHeight="1" x14ac:dyDescent="0.25"/>
    <row r="373" ht="18" customHeight="1" x14ac:dyDescent="0.25"/>
    <row r="374" ht="18" customHeight="1" x14ac:dyDescent="0.25"/>
    <row r="375" ht="18" customHeight="1" x14ac:dyDescent="0.25"/>
    <row r="376" ht="18" customHeight="1" x14ac:dyDescent="0.25"/>
    <row r="377" ht="18" customHeight="1" x14ac:dyDescent="0.25"/>
    <row r="378" ht="18" customHeight="1" x14ac:dyDescent="0.25"/>
    <row r="379" ht="18" customHeight="1" x14ac:dyDescent="0.25"/>
    <row r="380" ht="18" customHeight="1" x14ac:dyDescent="0.25"/>
    <row r="381" ht="18" customHeight="1" x14ac:dyDescent="0.25"/>
    <row r="382" ht="18" customHeight="1" x14ac:dyDescent="0.25"/>
    <row r="383" ht="18" customHeight="1" x14ac:dyDescent="0.25"/>
    <row r="384" ht="18" customHeight="1" x14ac:dyDescent="0.25"/>
    <row r="385" ht="18" customHeight="1" x14ac:dyDescent="0.25"/>
    <row r="386" ht="18" customHeight="1" x14ac:dyDescent="0.25"/>
    <row r="387" ht="18" customHeight="1" x14ac:dyDescent="0.25"/>
    <row r="388" ht="18" customHeight="1" x14ac:dyDescent="0.25"/>
    <row r="389" ht="18" customHeight="1" x14ac:dyDescent="0.25"/>
    <row r="390" ht="18" customHeight="1" x14ac:dyDescent="0.25"/>
    <row r="391" ht="18" customHeight="1" x14ac:dyDescent="0.25"/>
    <row r="392" ht="18" customHeight="1" x14ac:dyDescent="0.25"/>
    <row r="393" ht="18" customHeight="1" x14ac:dyDescent="0.25"/>
    <row r="394" ht="18" customHeight="1" x14ac:dyDescent="0.25"/>
    <row r="395" ht="18" customHeight="1" x14ac:dyDescent="0.25"/>
    <row r="396" ht="18" customHeight="1" x14ac:dyDescent="0.25"/>
    <row r="397" ht="18" customHeight="1" x14ac:dyDescent="0.25"/>
    <row r="398" ht="18" customHeight="1" x14ac:dyDescent="0.25"/>
    <row r="399" ht="18" customHeight="1" x14ac:dyDescent="0.25"/>
    <row r="400" ht="18" customHeight="1" x14ac:dyDescent="0.25"/>
    <row r="401" ht="18" customHeight="1" x14ac:dyDescent="0.25"/>
    <row r="402" ht="18" customHeight="1" x14ac:dyDescent="0.25"/>
    <row r="403" ht="18" customHeight="1" x14ac:dyDescent="0.25"/>
    <row r="404" ht="18" customHeight="1" x14ac:dyDescent="0.25"/>
    <row r="405" ht="18" customHeight="1" x14ac:dyDescent="0.25"/>
    <row r="406" ht="18" customHeight="1" x14ac:dyDescent="0.25"/>
    <row r="407" ht="18" customHeight="1" x14ac:dyDescent="0.25"/>
    <row r="408" ht="18" customHeight="1" x14ac:dyDescent="0.25"/>
    <row r="409" ht="18" customHeight="1" x14ac:dyDescent="0.25"/>
    <row r="410" ht="18" customHeight="1" x14ac:dyDescent="0.25"/>
    <row r="411" ht="18" customHeight="1" x14ac:dyDescent="0.25"/>
    <row r="412" ht="18" customHeight="1" x14ac:dyDescent="0.25"/>
    <row r="413" ht="18" customHeight="1" x14ac:dyDescent="0.25"/>
    <row r="414" ht="18" customHeight="1" x14ac:dyDescent="0.25"/>
    <row r="415" ht="18" customHeight="1" x14ac:dyDescent="0.25"/>
    <row r="416" ht="18" customHeight="1" x14ac:dyDescent="0.25"/>
    <row r="417" ht="18" customHeight="1" x14ac:dyDescent="0.25"/>
    <row r="418" ht="18" customHeight="1" x14ac:dyDescent="0.25"/>
    <row r="419" ht="18" customHeight="1" x14ac:dyDescent="0.25"/>
    <row r="420" ht="18" customHeight="1" x14ac:dyDescent="0.25"/>
    <row r="421" ht="18" customHeight="1" x14ac:dyDescent="0.25"/>
    <row r="422" ht="18" customHeight="1" x14ac:dyDescent="0.25"/>
    <row r="423" ht="18" customHeight="1" x14ac:dyDescent="0.25"/>
    <row r="424" ht="18" customHeight="1" x14ac:dyDescent="0.25"/>
    <row r="425" ht="18" customHeight="1" x14ac:dyDescent="0.25"/>
    <row r="426" ht="18" customHeight="1" x14ac:dyDescent="0.25"/>
    <row r="427" ht="18" customHeight="1" x14ac:dyDescent="0.25"/>
    <row r="428" ht="18" customHeight="1" x14ac:dyDescent="0.25"/>
    <row r="429" ht="18" customHeight="1" x14ac:dyDescent="0.25"/>
    <row r="430" ht="18" customHeight="1" x14ac:dyDescent="0.25"/>
    <row r="431" ht="18" customHeight="1" x14ac:dyDescent="0.25"/>
    <row r="432" ht="18" customHeight="1" x14ac:dyDescent="0.25"/>
    <row r="433" ht="18" customHeight="1" x14ac:dyDescent="0.25"/>
    <row r="434" ht="18" customHeight="1" x14ac:dyDescent="0.25"/>
    <row r="435" ht="18" customHeight="1" x14ac:dyDescent="0.25"/>
    <row r="436" ht="18" customHeight="1" x14ac:dyDescent="0.25"/>
    <row r="437" ht="18" customHeight="1" x14ac:dyDescent="0.25"/>
    <row r="438" ht="18" customHeight="1" x14ac:dyDescent="0.25"/>
    <row r="439" ht="18" customHeight="1" x14ac:dyDescent="0.25"/>
    <row r="440" ht="18" customHeight="1" x14ac:dyDescent="0.25"/>
    <row r="441" ht="18" customHeight="1" x14ac:dyDescent="0.25"/>
    <row r="442" ht="18" customHeight="1" x14ac:dyDescent="0.25"/>
    <row r="443" ht="18" customHeight="1" x14ac:dyDescent="0.25"/>
    <row r="444" ht="18" customHeight="1" x14ac:dyDescent="0.25"/>
    <row r="445" ht="18" customHeight="1" x14ac:dyDescent="0.25"/>
    <row r="446" ht="18" customHeight="1" x14ac:dyDescent="0.25"/>
    <row r="447" ht="18" customHeight="1" x14ac:dyDescent="0.25"/>
    <row r="448" ht="18" customHeight="1" x14ac:dyDescent="0.25"/>
    <row r="449" ht="18" customHeight="1" x14ac:dyDescent="0.25"/>
    <row r="450" ht="18" customHeight="1" x14ac:dyDescent="0.25"/>
    <row r="451" ht="18" customHeight="1" x14ac:dyDescent="0.25"/>
    <row r="452" ht="18" customHeight="1" x14ac:dyDescent="0.25"/>
    <row r="453" ht="18" customHeight="1" x14ac:dyDescent="0.25"/>
    <row r="454" ht="18" customHeight="1" x14ac:dyDescent="0.25"/>
    <row r="455" ht="18" customHeight="1" x14ac:dyDescent="0.25"/>
    <row r="456" ht="18" customHeight="1" x14ac:dyDescent="0.25"/>
    <row r="457" ht="18" customHeight="1" x14ac:dyDescent="0.25"/>
    <row r="458" ht="18" customHeight="1" x14ac:dyDescent="0.25"/>
    <row r="459" ht="18" customHeight="1" x14ac:dyDescent="0.25"/>
    <row r="460" ht="18" customHeight="1" x14ac:dyDescent="0.25"/>
    <row r="461" ht="18" customHeight="1" x14ac:dyDescent="0.25"/>
    <row r="462" ht="18" customHeight="1" x14ac:dyDescent="0.25"/>
    <row r="463" ht="18" customHeight="1" x14ac:dyDescent="0.25"/>
    <row r="464" ht="18" customHeight="1" x14ac:dyDescent="0.25"/>
    <row r="465" ht="18" customHeight="1" x14ac:dyDescent="0.25"/>
    <row r="466" ht="18" customHeight="1" x14ac:dyDescent="0.25"/>
    <row r="467" ht="18" customHeight="1" x14ac:dyDescent="0.25"/>
    <row r="468" ht="18" customHeight="1" x14ac:dyDescent="0.25"/>
    <row r="469" ht="18" customHeight="1" x14ac:dyDescent="0.25"/>
    <row r="470" ht="18" customHeight="1" x14ac:dyDescent="0.25"/>
    <row r="471" ht="18" customHeight="1" x14ac:dyDescent="0.25"/>
    <row r="472" ht="18" customHeight="1" x14ac:dyDescent="0.25"/>
    <row r="473" ht="18" customHeight="1" x14ac:dyDescent="0.25"/>
    <row r="474" ht="18" customHeight="1" x14ac:dyDescent="0.25"/>
    <row r="475" ht="18" customHeight="1" x14ac:dyDescent="0.25"/>
    <row r="476" ht="18" customHeight="1" x14ac:dyDescent="0.25"/>
    <row r="477" ht="18" customHeight="1" x14ac:dyDescent="0.25"/>
    <row r="478" ht="18" customHeight="1" x14ac:dyDescent="0.25"/>
    <row r="479" ht="18" customHeight="1" x14ac:dyDescent="0.25"/>
  </sheetData>
  <mergeCells count="131">
    <mergeCell ref="AA30:AA31"/>
    <mergeCell ref="AB30:AB31"/>
    <mergeCell ref="AC30:AC31"/>
    <mergeCell ref="AD30:AD31"/>
    <mergeCell ref="P40:P41"/>
    <mergeCell ref="AH30:AJ30"/>
    <mergeCell ref="D34:E34"/>
    <mergeCell ref="F34:M34"/>
    <mergeCell ref="N34:U34"/>
    <mergeCell ref="V34:AJ34"/>
    <mergeCell ref="D35:E35"/>
    <mergeCell ref="F35:J35"/>
    <mergeCell ref="K35:M35"/>
    <mergeCell ref="N35:R35"/>
    <mergeCell ref="Q40:Q41"/>
    <mergeCell ref="V35:Y35"/>
    <mergeCell ref="Z35:AJ35"/>
    <mergeCell ref="D39:Q39"/>
    <mergeCell ref="D40:F40"/>
    <mergeCell ref="G40:I40"/>
    <mergeCell ref="J40:L40"/>
    <mergeCell ref="M40:M41"/>
    <mergeCell ref="N40:N41"/>
    <mergeCell ref="O40:O41"/>
    <mergeCell ref="B27:B43"/>
    <mergeCell ref="C27:C43"/>
    <mergeCell ref="D29:F29"/>
    <mergeCell ref="G29:O29"/>
    <mergeCell ref="P29:AD29"/>
    <mergeCell ref="AE29:AJ29"/>
    <mergeCell ref="D30:D31"/>
    <mergeCell ref="E30:E31"/>
    <mergeCell ref="F30:F31"/>
    <mergeCell ref="G30:H30"/>
    <mergeCell ref="I30:I31"/>
    <mergeCell ref="J30:J31"/>
    <mergeCell ref="K30:K31"/>
    <mergeCell ref="L30:L31"/>
    <mergeCell ref="M30:M31"/>
    <mergeCell ref="AE30:AG30"/>
    <mergeCell ref="N30:N31"/>
    <mergeCell ref="O30:O31"/>
    <mergeCell ref="P30:Q30"/>
    <mergeCell ref="R30:T30"/>
    <mergeCell ref="U30:U31"/>
    <mergeCell ref="V30:W30"/>
    <mergeCell ref="S35:U35"/>
    <mergeCell ref="X30:Z30"/>
    <mergeCell ref="B24:B26"/>
    <mergeCell ref="C24:C26"/>
    <mergeCell ref="D24:Z24"/>
    <mergeCell ref="AA24:AJ24"/>
    <mergeCell ref="D25:I25"/>
    <mergeCell ref="J25:T25"/>
    <mergeCell ref="U25:Z25"/>
    <mergeCell ref="AA25:AA26"/>
    <mergeCell ref="AB25:AB26"/>
    <mergeCell ref="AC25:AC26"/>
    <mergeCell ref="AD25:AD26"/>
    <mergeCell ref="AE25:AE26"/>
    <mergeCell ref="AF25:AF26"/>
    <mergeCell ref="AG25:AG26"/>
    <mergeCell ref="AH25:AH26"/>
    <mergeCell ref="AI25:AI26"/>
    <mergeCell ref="AJ25:AJ26"/>
    <mergeCell ref="D18:Q18"/>
    <mergeCell ref="D19:F19"/>
    <mergeCell ref="G19:I19"/>
    <mergeCell ref="J19:L19"/>
    <mergeCell ref="M19:M20"/>
    <mergeCell ref="N19:N20"/>
    <mergeCell ref="O19:O20"/>
    <mergeCell ref="P19:P20"/>
    <mergeCell ref="Q19:Q20"/>
    <mergeCell ref="D13:E13"/>
    <mergeCell ref="F13:M13"/>
    <mergeCell ref="N13:U13"/>
    <mergeCell ref="V13:AJ13"/>
    <mergeCell ref="V9:W9"/>
    <mergeCell ref="X9:Z9"/>
    <mergeCell ref="AA9:AA10"/>
    <mergeCell ref="AB9:AB10"/>
    <mergeCell ref="D14:E14"/>
    <mergeCell ref="F14:J14"/>
    <mergeCell ref="K14:M14"/>
    <mergeCell ref="N14:R14"/>
    <mergeCell ref="S14:U14"/>
    <mergeCell ref="V14:Y14"/>
    <mergeCell ref="Z14:AJ14"/>
    <mergeCell ref="B6:B22"/>
    <mergeCell ref="C6:C22"/>
    <mergeCell ref="D8:F8"/>
    <mergeCell ref="G8:O8"/>
    <mergeCell ref="P8:AD8"/>
    <mergeCell ref="AE8:AJ8"/>
    <mergeCell ref="D9:D10"/>
    <mergeCell ref="E9:E10"/>
    <mergeCell ref="F9:F10"/>
    <mergeCell ref="G9:H9"/>
    <mergeCell ref="I9:I10"/>
    <mergeCell ref="J9:J10"/>
    <mergeCell ref="K9:K10"/>
    <mergeCell ref="L9:L10"/>
    <mergeCell ref="AC9:AC10"/>
    <mergeCell ref="AD9:AD10"/>
    <mergeCell ref="M9:M10"/>
    <mergeCell ref="N9:N10"/>
    <mergeCell ref="O9:O10"/>
    <mergeCell ref="P9:Q9"/>
    <mergeCell ref="R9:T9"/>
    <mergeCell ref="U9:U10"/>
    <mergeCell ref="AE9:AG9"/>
    <mergeCell ref="AH9:AJ9"/>
    <mergeCell ref="B2:AJ2"/>
    <mergeCell ref="B3:B5"/>
    <mergeCell ref="C3:C5"/>
    <mergeCell ref="D3:Z3"/>
    <mergeCell ref="AA3:AJ3"/>
    <mergeCell ref="D4:I4"/>
    <mergeCell ref="J4:T4"/>
    <mergeCell ref="U4:Z4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</mergeCells>
  <phoneticPr fontId="1" type="noConversion"/>
  <conditionalFormatting sqref="F7">
    <cfRule type="cellIs" dxfId="39" priority="25" aboveAverage="1" operator="equal">
      <formula>"↓"</formula>
    </cfRule>
    <cfRule type="cellIs" dxfId="38" priority="26" aboveAverage="1" operator="equal">
      <formula>"↑"</formula>
    </cfRule>
  </conditionalFormatting>
  <conditionalFormatting sqref="F12">
    <cfRule type="cellIs" dxfId="37" priority="5" aboveAverage="1" operator="equal">
      <formula>"↓"</formula>
    </cfRule>
    <cfRule type="cellIs" dxfId="36" priority="6" aboveAverage="1" operator="equal">
      <formula>"↑"</formula>
    </cfRule>
  </conditionalFormatting>
  <conditionalFormatting sqref="F28">
    <cfRule type="cellIs" dxfId="35" priority="23" aboveAverage="1" operator="equal">
      <formula>"↓"</formula>
    </cfRule>
    <cfRule type="cellIs" dxfId="34" priority="24" aboveAverage="1" operator="equal">
      <formula>"↑"</formula>
    </cfRule>
  </conditionalFormatting>
  <conditionalFormatting sqref="F33">
    <cfRule type="cellIs" dxfId="33" priority="1" aboveAverage="1" operator="equal">
      <formula>"↓"</formula>
    </cfRule>
    <cfRule type="cellIs" dxfId="32" priority="2" aboveAverage="1" operator="equal">
      <formula>"↑"</formula>
    </cfRule>
  </conditionalFormatting>
  <conditionalFormatting sqref="T12">
    <cfRule type="cellIs" dxfId="31" priority="21" aboveAverage="1" operator="equal">
      <formula>"↓"</formula>
    </cfRule>
    <cfRule type="cellIs" dxfId="30" priority="22" aboveAverage="1" operator="equal">
      <formula>"↑"</formula>
    </cfRule>
  </conditionalFormatting>
  <conditionalFormatting sqref="T33">
    <cfRule type="cellIs" dxfId="29" priority="19" aboveAverage="1" operator="equal">
      <formula>"↓"</formula>
    </cfRule>
    <cfRule type="cellIs" dxfId="28" priority="20" aboveAverage="1" operator="equal">
      <formula>"↑"</formula>
    </cfRule>
  </conditionalFormatting>
  <conditionalFormatting sqref="Z12">
    <cfRule type="cellIs" dxfId="27" priority="17" aboveAverage="1" operator="equal">
      <formula>"↓"</formula>
    </cfRule>
    <cfRule type="cellIs" dxfId="26" priority="18" aboveAverage="1" operator="equal">
      <formula>"↑"</formula>
    </cfRule>
  </conditionalFormatting>
  <conditionalFormatting sqref="Z33">
    <cfRule type="cellIs" dxfId="25" priority="15" aboveAverage="1" operator="equal">
      <formula>"↓"</formula>
    </cfRule>
    <cfRule type="cellIs" dxfId="24" priority="16" aboveAverage="1" operator="equal">
      <formula>"↑"</formula>
    </cfRule>
  </conditionalFormatting>
  <conditionalFormatting sqref="AD12">
    <cfRule type="cellIs" dxfId="23" priority="13" aboveAverage="1" operator="equal">
      <formula>"↓"</formula>
    </cfRule>
    <cfRule type="cellIs" dxfId="22" priority="14" aboveAverage="1" operator="equal">
      <formula>"↑"</formula>
    </cfRule>
  </conditionalFormatting>
  <conditionalFormatting sqref="AD33">
    <cfRule type="cellIs" dxfId="21" priority="11" aboveAverage="1" operator="equal">
      <formula>"↓"</formula>
    </cfRule>
    <cfRule type="cellIs" dxfId="20" priority="12" aboveAverage="1" operator="equal">
      <formula>"↑"</formula>
    </cfRule>
  </conditionalFormatting>
  <conditionalFormatting sqref="AJ17">
    <cfRule type="cellIs" dxfId="19" priority="9" aboveAverage="1" operator="equal">
      <formula>"↓"</formula>
    </cfRule>
    <cfRule type="cellIs" dxfId="18" priority="10" aboveAverage="1" operator="equal">
      <formula>"↑"</formula>
    </cfRule>
  </conditionalFormatting>
  <conditionalFormatting sqref="AJ38">
    <cfRule type="cellIs" dxfId="17" priority="7" aboveAverage="1" operator="equal">
      <formula>"↓"</formula>
    </cfRule>
    <cfRule type="cellIs" dxfId="16" priority="8" aboveAverage="1" operator="equal">
      <formula>"↑"</formula>
    </cfRule>
  </conditionalFormatting>
  <printOptions horizontalCentered="1" verticalCentered="1"/>
  <pageMargins left="0.25" right="0.25" top="0.75" bottom="0.75" header="0.3" footer="0.3"/>
  <pageSetup paperSize="8" scale="8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1:K35"/>
  <sheetViews>
    <sheetView tabSelected="1" zoomScaleNormal="100" workbookViewId="0">
      <selection activeCell="N6" sqref="N6"/>
    </sheetView>
  </sheetViews>
  <sheetFormatPr defaultRowHeight="14" x14ac:dyDescent="0.25"/>
  <cols>
    <col min="1" max="1" width="2" customWidth="1"/>
    <col min="2" max="2" width="13.26953125" bestFit="1" customWidth="1"/>
    <col min="3" max="3" width="11.08984375" bestFit="1" customWidth="1"/>
    <col min="4" max="4" width="15.36328125" bestFit="1" customWidth="1"/>
    <col min="5" max="5" width="7.90625" bestFit="1" customWidth="1"/>
    <col min="6" max="7" width="21.1796875" bestFit="1" customWidth="1"/>
    <col min="8" max="8" width="9" customWidth="1"/>
    <col min="9" max="9" width="2.453125" bestFit="1" customWidth="1"/>
    <col min="10" max="10" width="7.90625" bestFit="1" customWidth="1"/>
    <col min="16" max="16" width="12.6328125" customWidth="1"/>
  </cols>
  <sheetData>
    <row r="1" spans="2:10" ht="14.5" thickBot="1" x14ac:dyDescent="0.3"/>
    <row r="2" spans="2:10" ht="20.15" customHeight="1" x14ac:dyDescent="0.25">
      <c r="B2" s="303" t="s">
        <v>470</v>
      </c>
      <c r="C2" s="304"/>
      <c r="D2" s="304"/>
      <c r="E2" s="304"/>
      <c r="F2" s="304"/>
      <c r="G2" s="304"/>
      <c r="H2" s="304"/>
      <c r="I2" s="304"/>
      <c r="J2" s="305"/>
    </row>
    <row r="3" spans="2:10" ht="20.15" customHeight="1" x14ac:dyDescent="0.25">
      <c r="B3" s="306"/>
      <c r="C3" s="307"/>
      <c r="D3" s="307"/>
      <c r="E3" s="307"/>
      <c r="F3" s="307"/>
      <c r="G3" s="308"/>
      <c r="H3" s="309"/>
      <c r="I3" s="309"/>
      <c r="J3" s="310"/>
    </row>
    <row r="4" spans="2:10" ht="21" x14ac:dyDescent="0.25">
      <c r="B4" s="311" t="s">
        <v>413</v>
      </c>
      <c r="C4" s="312"/>
      <c r="D4" s="313"/>
      <c r="E4" s="314" t="s">
        <v>414</v>
      </c>
      <c r="F4" s="314" t="s">
        <v>415</v>
      </c>
      <c r="G4" s="314" t="s">
        <v>416</v>
      </c>
      <c r="H4" s="315" t="s">
        <v>417</v>
      </c>
      <c r="I4" s="313"/>
      <c r="J4" s="316" t="s">
        <v>418</v>
      </c>
    </row>
    <row r="5" spans="2:10" x14ac:dyDescent="0.25">
      <c r="B5" s="317" t="s">
        <v>419</v>
      </c>
      <c r="C5" s="318" t="s">
        <v>420</v>
      </c>
      <c r="D5" s="318"/>
      <c r="E5" s="319" t="s">
        <v>284</v>
      </c>
      <c r="F5" s="320">
        <v>90</v>
      </c>
      <c r="G5" s="321">
        <v>78.40399932861328</v>
      </c>
      <c r="H5" s="322">
        <f>(G5-F5)/F5*100</f>
        <v>-100</v>
      </c>
      <c r="I5" s="323" t="s">
        <v>284</v>
      </c>
      <c r="J5" s="324"/>
    </row>
    <row r="6" spans="2:10" x14ac:dyDescent="0.25">
      <c r="B6" s="325" t="s">
        <v>421</v>
      </c>
      <c r="C6" s="318" t="s">
        <v>422</v>
      </c>
      <c r="D6" s="318"/>
      <c r="E6" s="319" t="s">
        <v>280</v>
      </c>
      <c r="F6" s="320" t="s">
        <v>423</v>
      </c>
      <c r="G6" s="321">
        <v>3864.24462890625</v>
      </c>
      <c r="H6" s="326" t="str">
        <f>IF($G6="","",IF(AND($G6&gt;=0,$G6&lt;=1427),"合格","不合格"))</f>
        <v/>
      </c>
      <c r="I6" s="327" t="s">
        <v>4</v>
      </c>
      <c r="J6" s="324"/>
    </row>
    <row r="7" spans="2:10" x14ac:dyDescent="0.25">
      <c r="B7" s="328"/>
      <c r="C7" s="318" t="s">
        <v>424</v>
      </c>
      <c r="D7" s="318"/>
      <c r="E7" s="319" t="s">
        <v>280</v>
      </c>
      <c r="F7" s="320" t="s">
        <v>425</v>
      </c>
      <c r="G7" s="321">
        <v>253.57884216308594</v>
      </c>
      <c r="H7" s="326" t="str">
        <f>IF($G7="","",IF(AND($G7&gt;=210,$G7&lt;=220),"合格","不合格"))</f>
        <v/>
      </c>
      <c r="I7" s="327" t="s">
        <v>4</v>
      </c>
      <c r="J7" s="324"/>
    </row>
    <row r="8" spans="2:10" x14ac:dyDescent="0.25">
      <c r="B8" s="329"/>
      <c r="C8" s="318" t="s">
        <v>426</v>
      </c>
      <c r="D8" s="318"/>
      <c r="E8" s="319" t="s">
        <v>280</v>
      </c>
      <c r="F8" s="320" t="s">
        <v>427</v>
      </c>
      <c r="G8" s="321">
        <v>185.7472381591797</v>
      </c>
      <c r="H8" s="326" t="str">
        <f>IF($G8="","",IF(AND($G8&gt;=190,$G8&lt;=210),"合格","不合格"))</f>
        <v/>
      </c>
      <c r="I8" s="327" t="s">
        <v>4</v>
      </c>
      <c r="J8" s="324"/>
    </row>
    <row r="9" spans="2:10" x14ac:dyDescent="0.25">
      <c r="B9" s="325" t="s">
        <v>428</v>
      </c>
      <c r="C9" s="319" t="s">
        <v>429</v>
      </c>
      <c r="D9" s="319" t="s">
        <v>430</v>
      </c>
      <c r="E9" s="319" t="s">
        <v>431</v>
      </c>
      <c r="F9" s="320" t="s">
        <v>432</v>
      </c>
      <c r="G9" s="321">
        <v>418.6380920410156</v>
      </c>
      <c r="H9" s="326" t="str">
        <f>IF($G9="","",IF(AND($G9&gt;=412,$G9&lt;=422),"合格","不合格"))</f>
        <v/>
      </c>
      <c r="I9" s="327" t="s">
        <v>4</v>
      </c>
      <c r="J9" s="324"/>
    </row>
    <row r="10" spans="2:10" x14ac:dyDescent="0.25">
      <c r="B10" s="328"/>
      <c r="C10" s="318" t="s">
        <v>433</v>
      </c>
      <c r="D10" s="319" t="s">
        <v>434</v>
      </c>
      <c r="E10" s="327" t="s">
        <v>4</v>
      </c>
      <c r="F10" s="320" t="s">
        <v>435</v>
      </c>
      <c r="G10" s="321">
        <v>0.5302587151527405</v>
      </c>
      <c r="H10" s="326" t="str">
        <f>IF($G10="","",IF(AND($G10&gt;=0.525,$G10&lt;=0.5357),"合格","不合格"))</f>
        <v/>
      </c>
      <c r="I10" s="327" t="s">
        <v>4</v>
      </c>
      <c r="J10" s="324"/>
    </row>
    <row r="11" spans="2:10" x14ac:dyDescent="0.25">
      <c r="B11" s="328"/>
      <c r="C11" s="318"/>
      <c r="D11" s="319" t="s">
        <v>436</v>
      </c>
      <c r="E11" s="319" t="s">
        <v>437</v>
      </c>
      <c r="F11" s="320">
        <v>46.63</v>
      </c>
      <c r="G11" s="321">
        <v>46.65299987792969</v>
      </c>
      <c r="H11" s="326" t="s">
        <v>438</v>
      </c>
      <c r="I11" s="327" t="s">
        <v>4</v>
      </c>
      <c r="J11" s="324"/>
    </row>
    <row r="12" spans="2:10" x14ac:dyDescent="0.25">
      <c r="B12" s="328"/>
      <c r="C12" s="318"/>
      <c r="D12" s="319" t="s">
        <v>439</v>
      </c>
      <c r="E12" s="319" t="s">
        <v>301</v>
      </c>
      <c r="F12" s="320" t="s">
        <v>440</v>
      </c>
      <c r="G12" s="321">
        <v>0.7313488125801086</v>
      </c>
      <c r="H12" s="326" t="str">
        <f>IF($G12="","",IF(AND($G12&gt;=0.745,$G12&lt;=0.755),"合格","不合格"))</f>
        <v/>
      </c>
      <c r="I12" s="327" t="s">
        <v>4</v>
      </c>
      <c r="J12" s="324"/>
    </row>
    <row r="13" spans="2:10" x14ac:dyDescent="0.25">
      <c r="B13" s="328"/>
      <c r="C13" s="318"/>
      <c r="D13" s="319" t="s">
        <v>441</v>
      </c>
      <c r="E13" s="319" t="s">
        <v>302</v>
      </c>
      <c r="F13" s="320" t="s">
        <v>442</v>
      </c>
      <c r="G13" s="321">
        <v>90.4773178100586</v>
      </c>
      <c r="H13" s="326" t="str">
        <f>IF($G13="","",IF(AND($G13&gt;=88,$G13&lt;=92),"合格","不合格"))</f>
        <v/>
      </c>
      <c r="I13" s="327" t="s">
        <v>4</v>
      </c>
      <c r="J13" s="324"/>
    </row>
    <row r="14" spans="2:10" x14ac:dyDescent="0.25">
      <c r="B14" s="328"/>
      <c r="C14" s="318"/>
      <c r="D14" s="319" t="s">
        <v>443</v>
      </c>
      <c r="E14" s="319" t="s">
        <v>302</v>
      </c>
      <c r="F14" s="320" t="s">
        <v>444</v>
      </c>
      <c r="G14" s="321">
        <v>139.56524658203125</v>
      </c>
      <c r="H14" s="326" t="str">
        <f>IF($G14="","",IF(AND($G14&gt;=143,$G14&lt;=147),"合格","不合格"))</f>
        <v/>
      </c>
      <c r="I14" s="327" t="s">
        <v>4</v>
      </c>
      <c r="J14" s="324"/>
    </row>
    <row r="15" spans="2:10" x14ac:dyDescent="0.25">
      <c r="B15" s="328"/>
      <c r="C15" s="318"/>
      <c r="D15" s="319" t="s">
        <v>445</v>
      </c>
      <c r="E15" s="319" t="s">
        <v>302</v>
      </c>
      <c r="F15" s="320" t="s">
        <v>446</v>
      </c>
      <c r="G15" s="321">
        <v>162.1768798828125</v>
      </c>
      <c r="H15" s="326" t="str">
        <f>IF($G15="","",IF(AND($G15&gt;=166,$G15&lt;=170),"合格","不合格"))</f>
        <v/>
      </c>
      <c r="I15" s="327" t="s">
        <v>4</v>
      </c>
      <c r="J15" s="324"/>
    </row>
    <row r="16" spans="2:10" x14ac:dyDescent="0.25">
      <c r="B16" s="328"/>
      <c r="C16" s="318" t="s">
        <v>447</v>
      </c>
      <c r="D16" s="319" t="s">
        <v>448</v>
      </c>
      <c r="E16" s="319" t="s">
        <v>302</v>
      </c>
      <c r="F16" s="320" t="s">
        <v>449</v>
      </c>
      <c r="G16" s="321">
        <v>47.4892692565918</v>
      </c>
      <c r="H16" s="326" t="str">
        <f>IF($G16="","",IF(AND($G16&gt;=0,$G16&lt;=45),"合格","不合格"))</f>
        <v/>
      </c>
      <c r="I16" s="327" t="s">
        <v>4</v>
      </c>
      <c r="J16" s="324"/>
    </row>
    <row r="17" spans="2:10" x14ac:dyDescent="0.25">
      <c r="B17" s="328"/>
      <c r="C17" s="318"/>
      <c r="D17" s="319" t="s">
        <v>450</v>
      </c>
      <c r="E17" s="319" t="s">
        <v>302</v>
      </c>
      <c r="F17" s="320" t="s">
        <v>451</v>
      </c>
      <c r="G17" s="321">
        <v>19.556570053100586</v>
      </c>
      <c r="H17" s="326" t="str">
        <f>IF($G17="","",IF(AND($G17&gt;=0,$G17&lt;=20),"合格","不合格"))</f>
        <v/>
      </c>
      <c r="I17" s="327" t="s">
        <v>4</v>
      </c>
      <c r="J17" s="324"/>
    </row>
    <row r="18" spans="2:10" x14ac:dyDescent="0.25">
      <c r="B18" s="328"/>
      <c r="C18" s="318"/>
      <c r="D18" s="319" t="s">
        <v>452</v>
      </c>
      <c r="E18" s="319" t="s">
        <v>302</v>
      </c>
      <c r="F18" s="320" t="s">
        <v>453</v>
      </c>
      <c r="G18" s="321">
        <v>0</v>
      </c>
      <c r="H18" s="326" t="str">
        <f>IF($G18="","",IF(AND($G18&gt;=46,$G18&lt;=50),"合格","不合格"))</f>
        <v/>
      </c>
      <c r="I18" s="327" t="s">
        <v>4</v>
      </c>
      <c r="J18" s="324"/>
    </row>
    <row r="19" spans="2:10" x14ac:dyDescent="0.25">
      <c r="B19" s="328"/>
      <c r="C19" s="318"/>
      <c r="D19" s="319" t="s">
        <v>454</v>
      </c>
      <c r="E19" s="319" t="s">
        <v>302</v>
      </c>
      <c r="F19" s="320" t="s">
        <v>455</v>
      </c>
      <c r="G19" s="321">
        <v>19.229089736938477</v>
      </c>
      <c r="H19" s="326" t="str">
        <f>IF($G19="","",IF(AND($G19&gt;=0,$G19&lt;=20),"合格","不合格"))</f>
        <v/>
      </c>
      <c r="I19" s="327" t="s">
        <v>4</v>
      </c>
      <c r="J19" s="324"/>
    </row>
    <row r="20" spans="2:10" x14ac:dyDescent="0.25">
      <c r="B20" s="328"/>
      <c r="C20" s="318" t="s">
        <v>456</v>
      </c>
      <c r="D20" s="319" t="s">
        <v>89</v>
      </c>
      <c r="E20" s="319" t="s">
        <v>284</v>
      </c>
      <c r="F20" s="330" t="s">
        <v>82</v>
      </c>
      <c r="G20" s="321">
        <v>33.3466682434082</v>
      </c>
      <c r="H20" s="331" t="s">
        <v>457</v>
      </c>
      <c r="I20" s="327" t="s">
        <v>4</v>
      </c>
      <c r="J20" s="324"/>
    </row>
    <row r="21" spans="2:10" x14ac:dyDescent="0.25">
      <c r="B21" s="328"/>
      <c r="C21" s="318"/>
      <c r="D21" s="319" t="s">
        <v>92</v>
      </c>
      <c r="E21" s="319" t="s">
        <v>284</v>
      </c>
      <c r="F21" s="330" t="s">
        <v>82</v>
      </c>
      <c r="G21" s="321"/>
      <c r="H21" s="331" t="s">
        <v>457</v>
      </c>
      <c r="I21" s="327" t="s">
        <v>4</v>
      </c>
      <c r="J21" s="324"/>
    </row>
    <row r="22" spans="2:10" x14ac:dyDescent="0.25">
      <c r="B22" s="328"/>
      <c r="C22" s="318"/>
      <c r="D22" s="319" t="s">
        <v>458</v>
      </c>
      <c r="E22" s="327" t="s">
        <v>4</v>
      </c>
      <c r="F22" s="330" t="s">
        <v>82</v>
      </c>
      <c r="G22" s="321">
        <v>7.016666412353516</v>
      </c>
      <c r="H22" s="331" t="s">
        <v>457</v>
      </c>
      <c r="I22" s="327" t="s">
        <v>4</v>
      </c>
      <c r="J22" s="324"/>
    </row>
    <row r="23" spans="2:10" x14ac:dyDescent="0.25">
      <c r="B23" s="328"/>
      <c r="C23" s="318"/>
      <c r="D23" s="319" t="s">
        <v>166</v>
      </c>
      <c r="E23" s="319" t="s">
        <v>431</v>
      </c>
      <c r="F23" s="330" t="s">
        <v>82</v>
      </c>
      <c r="G23" s="321">
        <v>26.18000030517578</v>
      </c>
      <c r="H23" s="331" t="s">
        <v>457</v>
      </c>
      <c r="I23" s="327" t="s">
        <v>4</v>
      </c>
      <c r="J23" s="324"/>
    </row>
    <row r="24" spans="2:10" x14ac:dyDescent="0.25">
      <c r="B24" s="329"/>
      <c r="C24" s="318"/>
      <c r="D24" s="319" t="s">
        <v>167</v>
      </c>
      <c r="E24" s="319" t="s">
        <v>431</v>
      </c>
      <c r="F24" s="330" t="s">
        <v>82</v>
      </c>
      <c r="G24" s="321">
        <v>9.8100004196167</v>
      </c>
      <c r="H24" s="331" t="s">
        <v>457</v>
      </c>
      <c r="I24" s="327" t="s">
        <v>4</v>
      </c>
      <c r="J24" s="324"/>
    </row>
    <row r="25" spans="2:10" x14ac:dyDescent="0.25">
      <c r="B25" s="332" t="s">
        <v>459</v>
      </c>
      <c r="C25" s="319" t="s">
        <v>460</v>
      </c>
      <c r="D25" s="319" t="s">
        <v>461</v>
      </c>
      <c r="E25" s="319" t="s">
        <v>462</v>
      </c>
      <c r="F25" s="320" t="s">
        <v>463</v>
      </c>
      <c r="G25" s="321">
        <v>0.00011963229917455465</v>
      </c>
      <c r="H25" s="326" t="str">
        <f>IF($G25="","",IF(AND($G25&gt;=0,$G25&lt;=0.38),"合格","不合格"))</f>
        <v/>
      </c>
      <c r="I25" s="327" t="s">
        <v>4</v>
      </c>
      <c r="J25" s="324"/>
    </row>
    <row r="26" spans="2:10" x14ac:dyDescent="0.25">
      <c r="B26" s="332"/>
      <c r="C26" s="318" t="s">
        <v>464</v>
      </c>
      <c r="D26" s="319" t="s">
        <v>10</v>
      </c>
      <c r="E26" s="319" t="s">
        <v>284</v>
      </c>
      <c r="F26" s="320">
        <v>7</v>
      </c>
      <c r="G26" s="321"/>
      <c r="H26" s="322">
        <f>(G26-F26)</f>
        <v>-7</v>
      </c>
      <c r="I26" s="327" t="s">
        <v>284</v>
      </c>
      <c r="J26" s="324"/>
    </row>
    <row r="27" spans="2:10" x14ac:dyDescent="0.25">
      <c r="B27" s="332"/>
      <c r="C27" s="318"/>
      <c r="D27" s="319" t="s">
        <v>465</v>
      </c>
      <c r="E27" s="319" t="s">
        <v>284</v>
      </c>
      <c r="F27" s="320">
        <v>15</v>
      </c>
      <c r="G27" s="321"/>
      <c r="H27" s="322">
        <f t="shared" ref="H27:H31" si="0">(G27-F27)</f>
        <v>-15</v>
      </c>
      <c r="I27" s="327" t="s">
        <v>284</v>
      </c>
      <c r="J27" s="324"/>
    </row>
    <row r="28" spans="2:10" x14ac:dyDescent="0.25">
      <c r="B28" s="332"/>
      <c r="C28" s="318"/>
      <c r="D28" s="319" t="s">
        <v>466</v>
      </c>
      <c r="E28" s="319" t="s">
        <v>284</v>
      </c>
      <c r="F28" s="320">
        <v>4</v>
      </c>
      <c r="G28" s="321"/>
      <c r="H28" s="322">
        <f t="shared" si="0"/>
        <v>-4</v>
      </c>
      <c r="I28" s="327" t="s">
        <v>284</v>
      </c>
      <c r="J28" s="324"/>
    </row>
    <row r="29" spans="2:10" x14ac:dyDescent="0.25">
      <c r="B29" s="332"/>
      <c r="C29" s="318"/>
      <c r="D29" s="319" t="s">
        <v>166</v>
      </c>
      <c r="E29" s="319" t="s">
        <v>284</v>
      </c>
      <c r="F29" s="320">
        <v>7</v>
      </c>
      <c r="G29" s="321"/>
      <c r="H29" s="322">
        <f t="shared" si="0"/>
        <v>-7</v>
      </c>
      <c r="I29" s="327" t="s">
        <v>284</v>
      </c>
      <c r="J29" s="324"/>
    </row>
    <row r="30" spans="2:10" x14ac:dyDescent="0.25">
      <c r="B30" s="332"/>
      <c r="C30" s="318"/>
      <c r="D30" s="319" t="s">
        <v>167</v>
      </c>
      <c r="E30" s="319" t="s">
        <v>284</v>
      </c>
      <c r="F30" s="320">
        <v>7</v>
      </c>
      <c r="G30" s="321"/>
      <c r="H30" s="322">
        <f t="shared" si="0"/>
        <v>-7</v>
      </c>
      <c r="I30" s="327" t="s">
        <v>284</v>
      </c>
      <c r="J30" s="324"/>
    </row>
    <row r="31" spans="2:10" x14ac:dyDescent="0.25">
      <c r="B31" s="332"/>
      <c r="C31" s="318"/>
      <c r="D31" s="319" t="s">
        <v>467</v>
      </c>
      <c r="E31" s="319" t="s">
        <v>468</v>
      </c>
      <c r="F31" s="320">
        <v>10</v>
      </c>
      <c r="G31" s="321"/>
      <c r="H31" s="322">
        <f t="shared" si="0"/>
        <v>-10</v>
      </c>
      <c r="I31" s="327" t="s">
        <v>284</v>
      </c>
      <c r="J31" s="324"/>
    </row>
    <row r="32" spans="2:10" ht="14.5" thickBot="1" x14ac:dyDescent="0.3">
      <c r="B32" s="325"/>
      <c r="C32" s="333"/>
      <c r="D32" s="334" t="s">
        <v>320</v>
      </c>
      <c r="E32" s="334" t="s">
        <v>284</v>
      </c>
      <c r="F32" s="335">
        <v>50</v>
      </c>
      <c r="G32" s="336"/>
      <c r="H32" s="322">
        <f>(G32-F32)</f>
        <v>-50</v>
      </c>
      <c r="I32" s="327" t="s">
        <v>284</v>
      </c>
      <c r="J32" s="337"/>
    </row>
    <row r="33" spans="2:10" x14ac:dyDescent="0.25">
      <c r="B33" s="338" t="s">
        <v>469</v>
      </c>
      <c r="C33" s="339"/>
      <c r="D33" s="340"/>
      <c r="E33" s="340"/>
      <c r="F33" s="340"/>
      <c r="G33" s="340"/>
      <c r="H33" s="340"/>
      <c r="I33" s="340"/>
      <c r="J33" s="341"/>
    </row>
    <row r="34" spans="2:10" x14ac:dyDescent="0.25">
      <c r="B34" s="342"/>
      <c r="C34" s="343"/>
      <c r="D34" s="344"/>
      <c r="E34" s="344"/>
      <c r="F34" s="344"/>
      <c r="G34" s="344"/>
      <c r="H34" s="344"/>
      <c r="I34" s="344"/>
      <c r="J34" s="345"/>
    </row>
    <row r="35" spans="2:10" ht="14.5" thickBot="1" x14ac:dyDescent="0.3">
      <c r="B35" s="346"/>
      <c r="C35" s="347"/>
      <c r="D35" s="348"/>
      <c r="E35" s="348"/>
      <c r="F35" s="348"/>
      <c r="G35" s="348"/>
      <c r="H35" s="348"/>
      <c r="I35" s="348"/>
      <c r="J35" s="349"/>
    </row>
  </sheetData>
  <sheetCalcPr fullCalcOnLoad="1"/>
  <mergeCells count="17">
    <mergeCell ref="B25:B32"/>
    <mergeCell ref="C26:C32"/>
    <mergeCell ref="B33:B35"/>
    <mergeCell ref="C33:J35"/>
    <mergeCell ref="B9:B24"/>
    <mergeCell ref="C20:C24"/>
    <mergeCell ref="C16:C19"/>
    <mergeCell ref="C10:C15"/>
    <mergeCell ref="B6:B8"/>
    <mergeCell ref="C6:D6"/>
    <mergeCell ref="C7:D7"/>
    <mergeCell ref="C8:D8"/>
    <mergeCell ref="B2:J2"/>
    <mergeCell ref="H3:J3"/>
    <mergeCell ref="B4:D4"/>
    <mergeCell ref="H4:I4"/>
    <mergeCell ref="C5:D5"/>
  </mergeCells>
  <phoneticPr fontId="1" type="noConversion"/>
  <conditionalFormatting sqref="H5">
    <cfRule type="cellIs" dxfId="15" priority="10" aboveAverage="1" operator="equal">
      <formula>0</formula>
    </cfRule>
    <cfRule type="cellIs" dxfId="14" priority="11" aboveAverage="1" operator="lessThan">
      <formula>0</formula>
    </cfRule>
    <cfRule type="cellIs" dxfId="13" priority="12" aboveAverage="1" operator="greaterThan">
      <formula>0</formula>
    </cfRule>
  </conditionalFormatting>
  <conditionalFormatting sqref="H6:H19">
    <cfRule type="cellIs" dxfId="12" priority="13" aboveAverage="1" operator="equal">
      <formula>"合格"</formula>
    </cfRule>
    <cfRule type="cellIs" dxfId="11" priority="14" aboveAverage="1" operator="equal">
      <formula>"不合格"</formula>
    </cfRule>
    <cfRule type="containsText" dxfId="10" priority="15" aboveAverage="1" operator="containsText" text="不合格">
      <formula>NOT(ISERROR(SEARCH("不合格",H6)))</formula>
    </cfRule>
    <cfRule type="cellIs" dxfId="9" priority="16" aboveAverage="1" operator="equal">
      <formula>"合格"</formula>
    </cfRule>
  </conditionalFormatting>
  <conditionalFormatting sqref="H25">
    <cfRule type="cellIs" dxfId="8" priority="6" aboveAverage="1" operator="equal">
      <formula>"合格"</formula>
    </cfRule>
    <cfRule type="cellIs" dxfId="7" priority="7" aboveAverage="1" operator="equal">
      <formula>"不合格"</formula>
    </cfRule>
    <cfRule type="containsText" dxfId="6" priority="8" aboveAverage="1" operator="containsText" text="不合格">
      <formula>NOT(ISERROR(SEARCH("不合格",H25)))</formula>
    </cfRule>
    <cfRule type="cellIs" dxfId="5" priority="9" aboveAverage="1" operator="equal">
      <formula>"合格"</formula>
    </cfRule>
  </conditionalFormatting>
  <conditionalFormatting sqref="H26:H31">
    <cfRule type="cellIs" dxfId="4" priority="4" aboveAverage="1" operator="greaterThan">
      <formula>0</formula>
    </cfRule>
    <cfRule type="cellIs" dxfId="3" priority="5" aboveAverage="1" operator="lessThan">
      <formula>0</formula>
    </cfRule>
  </conditionalFormatting>
  <conditionalFormatting sqref="H26:H32">
    <cfRule type="cellIs" dxfId="2" priority="1" aboveAverage="1" operator="equal">
      <formula>0</formula>
    </cfRule>
  </conditionalFormatting>
  <conditionalFormatting sqref="H32">
    <cfRule type="cellIs" dxfId="1" priority="2" aboveAverage="1" operator="lessThan">
      <formula>0</formula>
    </cfRule>
    <cfRule type="cellIs" dxfId="0" priority="3" aboveAverage="1" operator="greaterThan">
      <formula>0</formula>
    </cfRule>
  </conditionalFormatting>
  <printOptions horizontalCentered="1" verticalCentered="1"/>
  <pageMargins left="0" right="0" top="0" bottom="0" header="0" footer="0"/>
  <pageSetup paperSize="9" scale="80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4">
      <vt:variant>
        <vt:lpstr>工作表</vt:lpstr>
      </vt:variant>
      <vt:variant>
        <vt:i4>6</vt:i4>
      </vt:variant>
      <vt:variant>
        <vt:lpstr>命名范围</vt:lpstr>
      </vt:variant>
      <vt:variant>
        <vt:i4>1</vt:i4>
      </vt:variant>
    </vt:vector>
  </HeadingPairs>
  <TitlesOfParts>
    <vt:vector baseType="lpstr" size="7">
      <vt:lpstr>白班过程记录</vt:lpstr>
      <vt:lpstr>白班曲线</vt:lpstr>
      <vt:lpstr>夜班过程记录</vt:lpstr>
      <vt:lpstr>夜班曲线</vt:lpstr>
      <vt:lpstr>班组＆日生产过程运行质量考评表</vt:lpstr>
      <vt:lpstr>日报表</vt:lpstr>
      <vt:lpstr>'班组＆日生产过程运行质量考评表'!Print_Area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2026-05-27T10:43:07Z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