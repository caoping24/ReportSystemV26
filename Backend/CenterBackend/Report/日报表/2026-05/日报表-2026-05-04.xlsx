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bookViews>
    <workbookView xWindow="-110" yWindow="-110" windowWidth="25820" windowHeight="15500" activeTab="4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definedNames>
    <definedName name="_xlnm.Print_Area" localSheetId="4"><![CDATA['班组＆日生产过程运行质量考评表'!$A$1:$AK$44]]></definedName>
  </definedNames>
  <calcPr calcId="191029"/>
</workbook>
</file>

<file path=xl/calcChain.xml><?xml version="1.0" encoding="utf-8"?>
<calcChain xmlns="http://schemas.openxmlformats.org/spreadsheetml/2006/main">
  <c r="F33" i="11" l="1"/>
  <c r="F12" i="11"/>
  <c r="AJ38" i="11"/>
  <c r="AH17" i="11"/>
  <c r="AJ17" i="11" s="1"/>
  <c r="Y33" i="11"/>
  <c r="Z33" i="11" s="1"/>
  <c r="Y12" i="11"/>
  <c r="Z12" i="11" s="1"/>
  <c r="S12" i="11"/>
  <c r="T12" i="11" s="1"/>
  <c r="F28" i="11"/>
  <c r="F7" i="11"/>
  <c r="E7" i="11"/>
  <c r="Z7" i="11"/>
  <c r="AC12" i="11" l="1"/>
  <c r="AD12" i="11" s="1"/>
  <c r="AE17" i="11"/>
  <c r="F22" i="11"/>
  <c r="I22" i="11"/>
  <c r="L22" i="11"/>
  <c r="O22" i="11"/>
  <c r="Z28" i="11"/>
  <c r="E28" i="11"/>
  <c r="S33" i="11"/>
  <c r="T33" i="11" s="1"/>
  <c r="AC33" i="11"/>
  <c r="AD33" i="11" s="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>
      <text>
        <r>
          <rPr>
            <sz val="8"/>
            <color indexed="81"/>
            <rFont val="宋体"/>
            <family val="3"/>
            <charset val="134"/>
            <b/>
          </rPr>
          <t xml:space="preserve"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<sst xmlns="http://schemas.openxmlformats.org/spreadsheetml/2006/main" count="1501" uniqueCount="461">
  <si>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</si>
  <si>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</si>
  <si>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</si>
  <si>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</si>
  <si>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</si>
  <si>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</si>
  <si>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</si>
  <si>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</si>
  <si>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</si>
  <si>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</si>
  <si>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</si>
  <si>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</si>
  <si>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</si>
  <si>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</si>
  <si>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</si>
  <si>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</si>
  <si>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</si>
  <si>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</si>
  <si>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</si>
  <si>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</si>
  <si>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</si>
  <si>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</si>
  <si>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</si>
  <si>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</si>
  <si>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</si>
  <si>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</si>
  <si>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</si>
  <si>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</si>
  <si>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</si>
  <si>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</si>
  <si>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</si>
  <si>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</si>
  <si>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</si>
  <si>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</si>
  <si>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</si>
  <si>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</si>
  <si>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</si>
  <si>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</si>
  <si>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</si>
  <si>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</si>
  <si>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</si>
  <si>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</si>
  <si>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</si>
  <si>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</si>
  <si>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</si>
  <si>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</si>
  <si>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</si>
  <si>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</si>
  <si>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</si>
  <si>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</si>
  <si>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</si>
  <si>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</si>
  <si>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</si>
  <si>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</si>
  <si>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</si>
  <si>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</si>
  <si>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</si>
  <si>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</si>
  <si>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</si>
  <si>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</si>
  <si>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</si>
  <si>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</si>
  <si>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</si>
  <si>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</si>
  <si>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</si>
  <si>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</si>
  <si>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</si>
  <si>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</si>
  <si>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</si>
  <si>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</si>
  <si>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</si>
  <si>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</si>
  <si>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</si>
  <si>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</si>
  <si>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</si>
  <si>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</si>
  <si>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</si>
  <si>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</si>
  <si>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</si>
  <si>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</si>
  <si>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</si>
  <si>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</si>
  <si>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</si>
  <si>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</si>
  <si>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</si>
  <si>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</si>
  <si>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</si>
  <si>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</si>
  <si>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</si>
  <si>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</si>
  <si>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</si>
  <si>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</si>
  <si>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</si>
  <si>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</si>
  <si>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</si>
  <si>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</si>
  <si>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</si>
  <si>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</si>
  <si>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</si>
  <si>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</si>
  <si>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</si>
  <si>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</si>
  <si>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</si>
  <si>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</si>
  <si>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</si>
  <si>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</si>
  <si>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</si>
  <si>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</si>
  <si>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</si>
  <si>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</si>
  <si>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</si>
  <si>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</si>
  <si>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</si>
  <si>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</si>
  <si>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</si>
  <si>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</si>
  <si>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</si>
  <si>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</si>
  <si>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</si>
  <si>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</si>
  <si>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</si>
  <si>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</si>
  <si>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</si>
  <si>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</si>
  <si>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</si>
  <si>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</si>
  <si>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</si>
  <si>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</si>
  <si>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</si>
  <si>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</si>
  <si>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</si>
  <si>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</si>
  <si>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</si>
  <si>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</si>
  <si>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</si>
  <si>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</si>
  <si>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</si>
  <si>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</si>
  <si>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</si>
  <si>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</si>
  <si>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</si>
  <si>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</si>
  <si>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</si>
  <si>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</si>
  <si>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</si>
  <si>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</si>
  <si>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</si>
  <si>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</si>
  <si>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</si>
  <si>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</si>
  <si>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</si>
  <si>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</si>
  <si>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</si>
  <si>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</si>
  <si>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</si>
  <si>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</si>
  <si>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</si>
  <si>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</si>
  <si>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</si>
  <si>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</si>
  <si>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</si>
  <si>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</si>
  <si>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</si>
  <si>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</si>
  <si>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</si>
  <si>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</si>
  <si>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</si>
  <si>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</si>
  <si>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</si>
  <si>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</si>
  <si>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</si>
  <si>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</si>
  <si>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</si>
  <si>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</si>
  <si>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</si>
  <si>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</si>
  <si>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</si>
  <si>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</si>
  <si>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</si>
  <si>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</si>
  <si>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</si>
  <si>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</si>
  <si>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</si>
  <si>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</si>
  <si>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</si>
  <si>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</si>
  <si>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</si>
  <si>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</si>
  <si>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</si>
  <si>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</si>
  <si>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</si>
  <si>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</si>
  <si>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</si>
  <si>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</si>
  <si>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</si>
  <si>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</si>
  <si>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</si>
  <si>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</si>
  <si>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</si>
  <si>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</si>
  <si>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</si>
  <si>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</si>
  <si>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</si>
  <si>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</si>
  <si>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</si>
  <si>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</si>
  <si>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</si>
  <si>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</si>
  <si>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</si>
  <si>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</si>
  <si>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</si>
  <si>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</si>
  <si>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</si>
  <si>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</si>
  <si>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</si>
  <si>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</si>
  <si>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</si>
  <si>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</si>
  <si>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</si>
  <si>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</si>
  <si>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</si>
  <si>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</si>
  <si>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</si>
  <si>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</si>
  <si>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</si>
  <si>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</si>
  <si>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</si>
  <si>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</si>
  <si>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</si>
  <si>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</si>
  <si>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</si>
  <si>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</si>
  <si>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</si>
  <si>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</si>
  <si>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</si>
  <si>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</si>
  <si>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</si>
  <si>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</si>
  <si>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</si>
  <si>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</si>
  <si>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</si>
  <si>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</si>
  <si>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</si>
  <si>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</si>
  <si>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</si>
  <si>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</si>
  <si>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</si>
  <si>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</si>
  <si>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</si>
  <si>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</si>
  <si>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</si>
  <si>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</si>
  <si>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</si>
  <si>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</si>
  <si>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</si>
  <si>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</si>
  <si>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</si>
  <si>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</si>
  <si>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</si>
  <si>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</si>
  <si>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</si>
  <si>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</si>
  <si>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</si>
  <si>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</si>
  <si>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</si>
  <si>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</si>
  <si>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</si>
  <si>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</si>
  <si>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</si>
  <si>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</si>
  <si>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</si>
  <si>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</si>
  <si>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</si>
  <si>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</si>
  <si>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</si>
  <si>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</si>
  <si>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</si>
  <si>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</si>
  <si>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</si>
  <si>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</si>
  <si>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</si>
  <si>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</si>
  <si>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</si>
  <si>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</si>
  <si>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</si>
  <si>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</si>
  <si>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</si>
  <si>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</si>
  <si>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</si>
  <si>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</si>
  <si>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</si>
  <si>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</si>
  <si>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</si>
  <si>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</si>
  <si>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</si>
  <si>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</si>
  <si>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</si>
  <si>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</si>
  <si>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</si>
  <si>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</si>
  <si>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</si>
  <si>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</si>
  <si>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</si>
  <si>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</si>
  <si>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</si>
  <si>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</si>
  <si>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</si>
  <si>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</si>
  <si>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</si>
  <si>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</si>
  <si>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</si>
  <si>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</si>
  <si>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</si>
  <si>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</si>
  <si>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</si>
  <si>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</si>
  <si>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</si>
  <si>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</si>
  <si>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</si>
  <si>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</si>
  <si>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</si>
  <si>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</si>
  <si>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</si>
  <si>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</si>
  <si>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</si>
  <si>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</si>
  <si>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</si>
  <si>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</si>
  <si>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</si>
  <si>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</si>
  <si>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</si>
  <si>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</si>
  <si>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</si>
  <si>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</si>
  <si>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</si>
  <si>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</si>
  <si>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</si>
  <si>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33.1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</si>
  <si>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</si>
  <si>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</si>
  <si>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</si>
  <si>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</si>
  <si>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</si>
  <si>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</si>
  <si>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</si>
  <si>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</si>
  <si>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</si>
  <si>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</si>
  <si>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</si>
  <si>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</si>
  <si>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</si>
  <si>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</si>
  <si>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</si>
  <si>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</si>
  <si>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</si>
  <si>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</si>
  <si>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</si>
  <si>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</si>
  <si>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</si>
  <si>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</si>
  <si>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</si>
  <si>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</si>
  <si>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</si>
  <si>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</si>
  <si>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</si>
  <si>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</si>
  <si>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</si>
  <si>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</si>
  <si>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</si>
  <si>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</si>
  <si>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</si>
  <si>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</si>
  <si>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</si>
  <si>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</si>
  <si>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</si>
  <si>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</si>
  <si>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</si>
  <si>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</si>
  <si>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</si>
  <si>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</si>
  <si>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</si>
  <si>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</si>
  <si>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</si>
  <si>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</si>
  <si>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</si>
  <si>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</si>
  <si>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</si>
  <si>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</si>
  <si>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</si>
  <si>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</si>
  <si>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</si>
  <si>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</si>
  <si>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</si>
  <si>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</si>
  <si>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</si>
  <si>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</si>
  <si>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</si>
  <si>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</si>
  <si>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</si>
  <si>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</si>
  <si>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</si>
  <si>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</si>
  <si>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</si>
  <si>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</si>
  <si>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</si>
  <si>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</si>
  <si>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</si>
  <si>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</si>
  <si>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一、核心工艺指标</t>
    <phoneticPr fontId="1" type="noConversion"/>
  </si>
  <si>
    <t xml:space="preserve">目标
合格率</t>
    <phoneticPr fontId="1" type="noConversion"/>
  </si>
  <si>
    <t xml:space="preserve">实际
合格率</t>
    <phoneticPr fontId="1" type="noConversion"/>
  </si>
  <si>
    <t xml:space="preserve">督查情况</t>
    <phoneticPr fontId="1" type="noConversion"/>
  </si>
  <si>
    <t xml:space="preserve"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</si>
  <si>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羟基乙腈浓度</t>
    </r>
    <phoneticPr fontId="1" type="noConversion"/>
  </si>
  <si>
    <t xml:space="preserve">≥98%</t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</si>
  <si>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</si>
  <si>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 xml:space="preserve">一次结晶温度</t>
    </r>
    <phoneticPr fontId="1" type="noConversion"/>
  </si>
  <si>
    <t xml:space="preserve"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</si>
  <si>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</si>
  <si>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氨/腈摩尔比</t>
    </r>
    <phoneticPr fontId="1" type="noConversion"/>
  </si>
  <si>
    <t xml:space="preserve">三、收率</t>
    <phoneticPr fontId="1" type="noConversion"/>
  </si>
  <si>
    <t xml:space="preserve">责任目标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</si>
  <si>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二乙腈</t>
    </r>
    <phoneticPr fontId="1" type="noConversion"/>
  </si>
  <si>
    <t xml:space="preserve">四、安全环保指标</t>
    <phoneticPr fontId="1" type="noConversion"/>
  </si>
  <si>
    <t xml:space="preserve">安全环保有无异常情况</t>
    <phoneticPr fontId="1" type="noConversion"/>
  </si>
  <si>
    <t xml:space="preserve">二乙腈中试
安全环保状况</t>
    <phoneticPr fontId="1" type="noConversion"/>
  </si>
  <si>
    <t xml:space="preserve">五、合计得分</t>
    <phoneticPr fontId="1" type="noConversion"/>
  </si>
  <si>
    <t xml:space="preserve">考核单元</t>
    <phoneticPr fontId="1" type="noConversion"/>
  </si>
  <si>
    <t xml:space="preserve">合计
得分</t>
    <phoneticPr fontId="1" type="noConversion"/>
  </si>
  <si>
    <t xml:space="preserve">二乙腈中试装置</t>
    <phoneticPr fontId="1" type="noConversion"/>
  </si>
  <si>
    <t xml:space="preserve">产量/质量情况简报</t>
    <phoneticPr fontId="1" type="noConversion"/>
  </si>
  <si>
    <t xml:space="preserve">当日总产量</t>
    <phoneticPr fontId="1" type="noConversion"/>
  </si>
  <si>
    <t xml:space="preserve">折百产量</t>
    <phoneticPr fontId="1" type="noConversion"/>
  </si>
  <si>
    <t xml:space="preserve">同比增加</t>
    <phoneticPr fontId="1" type="noConversion"/>
  </si>
  <si>
    <t xml:space="preserve">同比减少</t>
    <phoneticPr fontId="1" type="noConversion"/>
  </si>
  <si>
    <t xml:space="preserve">综合含量</t>
    <phoneticPr fontId="1" type="noConversion"/>
  </si>
  <si>
    <t xml:space="preserve">水分含量</t>
    <phoneticPr fontId="1" type="noConversion"/>
  </si>
  <si>
    <t xml:space="preserve">未知物含量</t>
    <phoneticPr fontId="1" type="noConversion"/>
  </si>
  <si>
    <t xml:space="preserve">其他事项说明</t>
    <phoneticPr fontId="1" type="noConversion"/>
  </si>
  <si>
    <t xml:space="preserve">Kg</t>
  </si>
  <si>
    <t xml:space="preserve">Kg</t>
    <phoneticPr fontId="1" type="noConversion"/>
  </si>
  <si>
    <t xml:space="preserve">呈报人：</t>
    <phoneticPr fontId="1" type="noConversion"/>
  </si>
  <si>
    <t xml:space="preserve">督查人：</t>
    <phoneticPr fontId="1" type="noConversion"/>
  </si>
  <si>
    <t xml:space="preserve">考评人：</t>
    <phoneticPr fontId="1" type="noConversion"/>
  </si>
  <si>
    <t xml:space="preserve">呈报单位负责人：</t>
    <phoneticPr fontId="1" type="noConversion"/>
  </si>
  <si>
    <t xml:space="preserve">督查办负责人：</t>
    <phoneticPr fontId="1" type="noConversion"/>
  </si>
  <si>
    <t xml:space="preserve">考评办负责人：</t>
    <phoneticPr fontId="1" type="noConversion"/>
  </si>
  <si>
    <t xml:space="preserve">编号：HB/ZS26-01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</si>
  <si>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</si>
  <si>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</si>
  <si>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</si>
  <si>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文件编号：                                                                           班组＆日---生产过程运行质量考评表</t>
    <phoneticPr fontId="1" type="noConversion"/>
  </si>
  <si>
    <t xml:space="preserve">/</t>
    <phoneticPr fontId="1" type="noConversion"/>
  </si>
  <si>
    <t xml:space="preserve">时间</t>
    <phoneticPr fontId="1" type="noConversion"/>
  </si>
  <si>
    <t xml:space="preserve">和邦生物化工研究院
二乙腈中试装置责任目标一级考核-日考评表</t>
    <phoneticPr fontId="1" type="noConversion"/>
  </si>
  <si>
    <r>
      <rPr>
        <sz val="12"/>
        <color rgb="FF00B050"/>
        <rFont val="等线"/>
        <family val="3"/>
        <charset val="134"/>
        <b/>
      </rPr>
      <t xml:space="preserve">≥</t>
    </r>
    <r>
      <rPr>
        <sz val="12"/>
        <color rgb="FF00B050"/>
        <rFont val="Times New Roman"/>
        <family val="1"/>
        <b/>
      </rPr>
      <t xml:space="preserve">98%</t>
    </r>
    <phoneticPr fontId="1" type="noConversion"/>
  </si>
  <si>
    <r>
      <rPr>
        <sz val="12"/>
        <color rgb="FF00B050"/>
        <rFont val="宋体"/>
        <family val="1"/>
        <charset val="134"/>
        <b/>
      </rPr>
      <t xml:space="preserve">≥</t>
    </r>
    <r>
      <rPr>
        <sz val="12"/>
        <color rgb="FF00B050"/>
        <rFont val="Times New Roman"/>
        <family val="1"/>
        <b/>
      </rPr>
      <t xml:space="preserve">90%</t>
    </r>
    <phoneticPr fontId="1" type="noConversion"/>
  </si>
  <si>
    <t xml:space="preserve">当日</t>
    <phoneticPr fontId="1" type="noConversion"/>
  </si>
  <si>
    <t xml:space="preserve">当日收率</t>
    <phoneticPr fontId="1" type="noConversion"/>
  </si>
  <si>
    <t xml:space="preserve">2026-05-04</t>
  </si>
  <si>
    <t xml:space="preserve"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</si>
</sst>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);[Red]\(0.000\)"/>
    <numFmt numFmtId="177" formatCode="0.000_ "/>
    <numFmt numFmtId="178" formatCode="0.00_ "/>
  </numFmts>
  <fonts count="49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name val="Segoe UI Symbol"/>
      <family val="1"/>
    </font>
    <font>
      <sz val="8"/>
      <name val="宋体"/>
      <family val="1"/>
      <charset val="134"/>
    </font>
    <font>
      <sz val="8"/>
      <name val="Segoe UI Symbol"/>
      <family val="1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  <font>
      <sz val="11"/>
      <name val="宋体"/>
      <family val="2"/>
      <scheme val="minor"/>
    </font>
    <font>
      <sz val="8"/>
      <name val="宋体"/>
      <family val="3"/>
      <charset val="134"/>
    </font>
    <font>
      <sz val="1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8"/>
      <color rgb="FF00B050"/>
      <name val="宋体"/>
      <family val="1"/>
      <charset val="134"/>
    </font>
    <font>
      <b/>
      <sz val="8"/>
      <color rgb="FF00B050"/>
      <name val="Times New Roman"/>
      <family val="1"/>
    </font>
    <font>
      <sz val="11"/>
      <name val="Times New Roman"/>
      <family val="1"/>
    </font>
    <font>
      <b/>
      <sz val="12"/>
      <color rgb="FF00B050"/>
      <name val="Times New Roman"/>
      <family val="1"/>
    </font>
    <font>
      <b/>
      <sz val="12"/>
      <color rgb="FF00B050"/>
      <name val="宋体"/>
      <family val="1"/>
      <charset val="134"/>
    </font>
    <font>
      <b/>
      <sz val="12"/>
      <color rgb="FF00B050"/>
      <name val="等线"/>
      <family val="3"/>
      <charset val="134"/>
    </font>
    <font>
      <b/>
      <sz val="11"/>
      <color rgb="FF00B05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10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29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0" fillId="0" borderId="4" xfId="0" applyNumberFormat="1" applyFont="1" applyBorder="1" applyAlignment="1">
      <alignment horizontal="center" vertical="center" wrapText="1"/>
    </xf>
    <xf numFmtId="2" fontId="20" fillId="0" borderId="51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vertical="center" wrapText="1"/>
    </xf>
    <xf numFmtId="49" fontId="20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1" fillId="0" borderId="12" xfId="0" applyNumberFormat="1" applyFont="1" applyBorder="1" applyAlignment="1">
      <alignment horizontal="center" vertical="center" wrapText="1"/>
    </xf>
    <xf numFmtId="2" fontId="21" fillId="0" borderId="11" xfId="0" applyNumberFormat="1" applyFont="1" applyBorder="1" applyAlignment="1">
      <alignment horizontal="center" vertical="center" wrapText="1"/>
    </xf>
    <xf numFmtId="0" fontId="19" fillId="4" borderId="73" xfId="0" applyFont="1" applyFill="1" applyBorder="1" applyAlignment="1">
      <alignment horizontal="center" vertical="center" wrapText="1"/>
    </xf>
    <xf numFmtId="49" fontId="19" fillId="4" borderId="73" xfId="0" applyNumberFormat="1" applyFont="1" applyFill="1" applyBorder="1" applyAlignment="1">
      <alignment horizontal="center" vertical="center" wrapText="1"/>
    </xf>
    <xf numFmtId="49" fontId="18" fillId="4" borderId="73" xfId="0" applyNumberFormat="1" applyFont="1" applyFill="1" applyBorder="1" applyAlignment="1">
      <alignment horizontal="center" vertical="center" wrapText="1"/>
    </xf>
    <xf numFmtId="0" fontId="18" fillId="4" borderId="73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 wrapText="1"/>
    </xf>
    <xf numFmtId="0" fontId="23" fillId="0" borderId="0" xfId="0" applyFont="1"/>
    <xf numFmtId="0" fontId="28" fillId="0" borderId="0" xfId="0" applyFont="1"/>
    <xf numFmtId="0" fontId="30" fillId="0" borderId="22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0" fontId="27" fillId="0" borderId="0" xfId="0" applyFont="1"/>
    <xf numFmtId="0" fontId="21" fillId="0" borderId="4" xfId="0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49" fontId="18" fillId="0" borderId="68" xfId="0" applyNumberFormat="1" applyFont="1" applyBorder="1" applyAlignment="1">
      <alignment horizontal="center"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176" fontId="4" fillId="2" borderId="4" xfId="0" applyNumberFormat="1" applyFont="1" applyFill="1" applyBorder="1" applyAlignment="1">
      <alignment horizontal="center" vertical="center" wrapText="1"/>
    </xf>
    <xf numFmtId="176" fontId="4" fillId="0" borderId="47" xfId="0" applyNumberFormat="1" applyFont="1" applyBorder="1" applyAlignment="1">
      <alignment horizontal="center" vertical="center" wrapText="1"/>
    </xf>
    <xf numFmtId="176" fontId="4" fillId="0" borderId="5" xfId="0" applyNumberFormat="1" applyFont="1" applyBorder="1" applyAlignment="1">
      <alignment horizontal="center" vertical="center" wrapText="1"/>
    </xf>
    <xf numFmtId="176" fontId="4" fillId="2" borderId="12" xfId="0" applyNumberFormat="1" applyFont="1" applyFill="1" applyBorder="1" applyAlignment="1">
      <alignment horizontal="center" vertical="center" wrapText="1"/>
    </xf>
    <xf numFmtId="49" fontId="19" fillId="0" borderId="69" xfId="0" applyNumberFormat="1" applyFont="1" applyBorder="1" applyAlignment="1">
      <alignment horizontal="center" vertical="center" wrapText="1"/>
    </xf>
    <xf numFmtId="0" fontId="18" fillId="4" borderId="99" xfId="0" applyFont="1" applyFill="1" applyBorder="1" applyAlignment="1">
      <alignment horizontal="center" vertical="center"/>
    </xf>
    <xf numFmtId="49" fontId="19" fillId="4" borderId="100" xfId="0" applyNumberFormat="1" applyFont="1" applyFill="1" applyBorder="1" applyAlignment="1">
      <alignment horizontal="center" vertical="center" wrapText="1"/>
    </xf>
    <xf numFmtId="176" fontId="40" fillId="0" borderId="4" xfId="0" applyNumberFormat="1" applyFont="1" applyBorder="1" applyAlignment="1">
      <alignment horizontal="center" vertical="center" wrapText="1"/>
    </xf>
    <xf numFmtId="176" fontId="41" fillId="0" borderId="4" xfId="0" applyNumberFormat="1" applyFont="1" applyBorder="1" applyAlignment="1">
      <alignment horizontal="center" vertical="center" wrapText="1"/>
    </xf>
    <xf numFmtId="176" fontId="41" fillId="0" borderId="47" xfId="0" applyNumberFormat="1" applyFont="1" applyBorder="1" applyAlignment="1">
      <alignment horizontal="center" vertical="center" wrapText="1"/>
    </xf>
    <xf numFmtId="176" fontId="41" fillId="0" borderId="5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77" fontId="40" fillId="0" borderId="4" xfId="0" applyNumberFormat="1" applyFont="1" applyBorder="1" applyAlignment="1">
      <alignment horizontal="center" vertical="center" wrapText="1"/>
    </xf>
    <xf numFmtId="177" fontId="40" fillId="0" borderId="47" xfId="0" applyNumberFormat="1" applyFont="1" applyBorder="1" applyAlignment="1">
      <alignment horizontal="center" vertical="center" wrapText="1"/>
    </xf>
    <xf numFmtId="177" fontId="40" fillId="0" borderId="51" xfId="0" applyNumberFormat="1" applyFont="1" applyBorder="1" applyAlignment="1">
      <alignment horizontal="center" vertical="center" wrapText="1"/>
    </xf>
    <xf numFmtId="177" fontId="40" fillId="2" borderId="4" xfId="0" applyNumberFormat="1" applyFont="1" applyFill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4" fillId="0" borderId="47" xfId="0" applyNumberFormat="1" applyFont="1" applyBorder="1" applyAlignment="1">
      <alignment horizontal="center" vertical="center" wrapText="1"/>
    </xf>
    <xf numFmtId="177" fontId="4" fillId="0" borderId="41" xfId="0" applyNumberFormat="1" applyFont="1" applyBorder="1" applyAlignment="1">
      <alignment horizontal="center" vertical="center" wrapText="1"/>
    </xf>
    <xf numFmtId="177" fontId="4" fillId="0" borderId="11" xfId="0" applyNumberFormat="1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177" fontId="40" fillId="0" borderId="30" xfId="0" applyNumberFormat="1" applyFont="1" applyBorder="1" applyAlignment="1">
      <alignment horizontal="center" vertical="center" wrapText="1"/>
    </xf>
    <xf numFmtId="177" fontId="40" fillId="0" borderId="48" xfId="0" applyNumberFormat="1" applyFont="1" applyBorder="1" applyAlignment="1">
      <alignment horizontal="center" vertical="center" wrapText="1"/>
    </xf>
    <xf numFmtId="177" fontId="40" fillId="0" borderId="52" xfId="0" applyNumberFormat="1" applyFont="1" applyBorder="1" applyAlignment="1">
      <alignment horizontal="center" vertical="center" wrapText="1"/>
    </xf>
    <xf numFmtId="177" fontId="40" fillId="2" borderId="30" xfId="0" applyNumberFormat="1" applyFont="1" applyFill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48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0" fillId="0" borderId="12" xfId="0" applyNumberFormat="1" applyFont="1" applyBorder="1" applyAlignment="1">
      <alignment horizontal="center" vertical="center" wrapText="1"/>
    </xf>
    <xf numFmtId="177" fontId="41" fillId="0" borderId="4" xfId="0" applyNumberFormat="1" applyFont="1" applyBorder="1" applyAlignment="1">
      <alignment horizontal="center" vertical="center" wrapText="1"/>
    </xf>
    <xf numFmtId="177" fontId="4" fillId="2" borderId="4" xfId="0" applyNumberFormat="1" applyFont="1" applyFill="1" applyBorder="1" applyAlignment="1">
      <alignment horizontal="center" vertical="center" wrapText="1"/>
    </xf>
    <xf numFmtId="177" fontId="40" fillId="0" borderId="45" xfId="0" applyNumberFormat="1" applyFont="1" applyBorder="1" applyAlignment="1">
      <alignment horizontal="center" vertical="center" wrapText="1"/>
    </xf>
    <xf numFmtId="177" fontId="41" fillId="0" borderId="30" xfId="0" applyNumberFormat="1" applyFont="1" applyBorder="1" applyAlignment="1">
      <alignment horizontal="center" vertical="center" wrapText="1"/>
    </xf>
    <xf numFmtId="177" fontId="4" fillId="2" borderId="30" xfId="0" applyNumberFormat="1" applyFont="1" applyFill="1" applyBorder="1" applyAlignment="1">
      <alignment horizontal="center" vertical="center" wrapText="1"/>
    </xf>
    <xf numFmtId="177" fontId="4" fillId="0" borderId="57" xfId="0" applyNumberFormat="1" applyFont="1" applyBorder="1" applyAlignment="1">
      <alignment horizontal="center" vertical="center" wrapText="1"/>
    </xf>
    <xf numFmtId="177" fontId="4" fillId="0" borderId="39" xfId="0" applyNumberFormat="1" applyFont="1" applyBorder="1" applyAlignment="1">
      <alignment horizontal="center" vertical="center" wrapText="1"/>
    </xf>
    <xf numFmtId="177" fontId="4" fillId="0" borderId="31" xfId="0" applyNumberFormat="1" applyFont="1" applyBorder="1" applyAlignment="1">
      <alignment horizontal="center" vertical="center" wrapText="1"/>
    </xf>
    <xf numFmtId="177" fontId="41" fillId="0" borderId="47" xfId="0" applyNumberFormat="1" applyFont="1" applyBorder="1" applyAlignment="1">
      <alignment horizontal="center" vertical="center" wrapText="1"/>
    </xf>
    <xf numFmtId="177" fontId="41" fillId="0" borderId="51" xfId="0" applyNumberFormat="1" applyFont="1" applyBorder="1" applyAlignment="1">
      <alignment horizontal="center" vertical="center" wrapText="1"/>
    </xf>
    <xf numFmtId="177" fontId="4" fillId="2" borderId="12" xfId="0" applyNumberFormat="1" applyFont="1" applyFill="1" applyBorder="1" applyAlignment="1">
      <alignment horizontal="center" vertical="center" wrapText="1"/>
    </xf>
    <xf numFmtId="177" fontId="41" fillId="0" borderId="48" xfId="0" applyNumberFormat="1" applyFont="1" applyBorder="1" applyAlignment="1">
      <alignment horizontal="center" vertical="center" wrapText="1"/>
    </xf>
    <xf numFmtId="177" fontId="41" fillId="0" borderId="52" xfId="0" applyNumberFormat="1" applyFont="1" applyBorder="1" applyAlignment="1">
      <alignment horizontal="center" vertical="center" wrapText="1"/>
    </xf>
    <xf numFmtId="177" fontId="4" fillId="2" borderId="45" xfId="0" applyNumberFormat="1" applyFont="1" applyFill="1" applyBorder="1" applyAlignment="1">
      <alignment horizontal="center" vertical="center" wrapText="1"/>
    </xf>
    <xf numFmtId="177" fontId="18" fillId="0" borderId="52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177" fontId="18" fillId="0" borderId="39" xfId="0" applyNumberFormat="1" applyFont="1" applyBorder="1" applyAlignment="1">
      <alignment horizontal="center" vertical="center" wrapText="1"/>
    </xf>
    <xf numFmtId="177" fontId="18" fillId="3" borderId="52" xfId="0" applyNumberFormat="1" applyFont="1" applyFill="1" applyBorder="1" applyAlignment="1">
      <alignment horizontal="center" vertical="center" wrapText="1"/>
    </xf>
    <xf numFmtId="177" fontId="18" fillId="3" borderId="30" xfId="0" applyNumberFormat="1" applyFont="1" applyFill="1" applyBorder="1" applyAlignment="1">
      <alignment horizontal="center" vertical="center" wrapText="1"/>
    </xf>
    <xf numFmtId="177" fontId="18" fillId="3" borderId="48" xfId="0" applyNumberFormat="1" applyFont="1" applyFill="1" applyBorder="1" applyAlignment="1">
      <alignment horizontal="center" vertical="center" wrapText="1"/>
    </xf>
    <xf numFmtId="177" fontId="18" fillId="0" borderId="45" xfId="0" applyNumberFormat="1" applyFont="1" applyBorder="1" applyAlignment="1">
      <alignment horizontal="center" vertical="center" wrapText="1"/>
    </xf>
    <xf numFmtId="177" fontId="18" fillId="0" borderId="48" xfId="0" applyNumberFormat="1" applyFont="1" applyBorder="1" applyAlignment="1">
      <alignment horizontal="center" vertical="center" wrapText="1"/>
    </xf>
    <xf numFmtId="177" fontId="21" fillId="0" borderId="52" xfId="0" applyNumberFormat="1" applyFont="1" applyBorder="1" applyAlignment="1">
      <alignment horizontal="center" vertical="center" wrapText="1"/>
    </xf>
    <xf numFmtId="177" fontId="19" fillId="0" borderId="30" xfId="0" applyNumberFormat="1" applyFont="1" applyBorder="1" applyAlignment="1">
      <alignment horizontal="center" vertical="center" wrapText="1"/>
    </xf>
    <xf numFmtId="177" fontId="19" fillId="0" borderId="48" xfId="0" applyNumberFormat="1" applyFont="1" applyBorder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/>
    </xf>
    <xf numFmtId="177" fontId="21" fillId="0" borderId="30" xfId="0" applyNumberFormat="1" applyFont="1" applyBorder="1" applyAlignment="1">
      <alignment horizontal="center" vertical="center" wrapText="1"/>
    </xf>
    <xf numFmtId="177" fontId="19" fillId="0" borderId="52" xfId="0" applyNumberFormat="1" applyFont="1" applyBorder="1" applyAlignment="1">
      <alignment horizontal="center" vertical="center" wrapText="1"/>
    </xf>
    <xf numFmtId="177" fontId="18" fillId="0" borderId="75" xfId="0" applyNumberFormat="1" applyFont="1" applyBorder="1" applyAlignment="1">
      <alignment horizontal="center" vertical="center" wrapText="1"/>
    </xf>
    <xf numFmtId="177" fontId="18" fillId="0" borderId="74" xfId="0" applyNumberFormat="1" applyFont="1" applyBorder="1" applyAlignment="1">
      <alignment horizontal="center" vertical="center" wrapText="1"/>
    </xf>
    <xf numFmtId="177" fontId="19" fillId="0" borderId="74" xfId="0" applyNumberFormat="1" applyFont="1" applyBorder="1" applyAlignment="1">
      <alignment horizontal="center" vertical="center" wrapText="1"/>
    </xf>
    <xf numFmtId="177" fontId="19" fillId="0" borderId="76" xfId="0" applyNumberFormat="1" applyFont="1" applyBorder="1" applyAlignment="1">
      <alignment horizontal="center" vertical="center" wrapText="1"/>
    </xf>
    <xf numFmtId="177" fontId="32" fillId="0" borderId="30" xfId="0" applyNumberFormat="1" applyFont="1" applyBorder="1" applyAlignment="1">
      <alignment horizontal="center" vertical="center" wrapText="1"/>
    </xf>
    <xf numFmtId="177" fontId="42" fillId="0" borderId="52" xfId="0" applyNumberFormat="1" applyFont="1" applyBorder="1" applyAlignment="1">
      <alignment horizontal="center" vertical="center" wrapText="1"/>
    </xf>
    <xf numFmtId="177" fontId="43" fillId="0" borderId="52" xfId="0" applyNumberFormat="1" applyFont="1" applyBorder="1" applyAlignment="1">
      <alignment horizontal="center" vertical="center" wrapText="1"/>
    </xf>
    <xf numFmtId="177" fontId="43" fillId="0" borderId="30" xfId="0" applyNumberFormat="1" applyFont="1" applyBorder="1" applyAlignment="1">
      <alignment horizontal="center" vertical="center" wrapText="1"/>
    </xf>
    <xf numFmtId="177" fontId="43" fillId="0" borderId="76" xfId="0" applyNumberFormat="1" applyFont="1" applyBorder="1" applyAlignment="1">
      <alignment horizontal="center" vertical="center" wrapText="1"/>
    </xf>
    <xf numFmtId="177" fontId="43" fillId="0" borderId="48" xfId="0" applyNumberFormat="1" applyFont="1" applyBorder="1" applyAlignment="1">
      <alignment horizontal="center" vertical="center" wrapText="1"/>
    </xf>
    <xf numFmtId="177" fontId="44" fillId="0" borderId="30" xfId="0" applyNumberFormat="1" applyFont="1" applyBorder="1" applyAlignment="1">
      <alignment horizontal="center" vertical="center" wrapText="1"/>
    </xf>
    <xf numFmtId="0" fontId="31" fillId="0" borderId="104" xfId="0" applyFont="1" applyBorder="1" applyAlignment="1">
      <alignment vertical="center"/>
    </xf>
    <xf numFmtId="0" fontId="30" fillId="0" borderId="105" xfId="0" applyFont="1" applyBorder="1" applyAlignment="1">
      <alignment horizontal="left" vertical="center"/>
    </xf>
    <xf numFmtId="49" fontId="3" fillId="0" borderId="36" xfId="0" applyNumberFormat="1" applyFont="1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37" fillId="0" borderId="4" xfId="0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0" fontId="37" fillId="0" borderId="47" xfId="0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49" fontId="21" fillId="0" borderId="68" xfId="0" applyNumberFormat="1" applyFont="1" applyBorder="1" applyAlignment="1">
      <alignment horizontal="center" vertical="center" wrapText="1"/>
    </xf>
    <xf numFmtId="0" fontId="37" fillId="0" borderId="69" xfId="0" applyFont="1" applyBorder="1" applyAlignment="1">
      <alignment horizontal="center" vertical="center" wrapText="1"/>
    </xf>
    <xf numFmtId="0" fontId="37" fillId="0" borderId="28" xfId="0" applyFont="1" applyBorder="1" applyAlignment="1">
      <alignment horizontal="center" vertical="center" wrapText="1"/>
    </xf>
    <xf numFmtId="2" fontId="21" fillId="0" borderId="68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0" fontId="18" fillId="0" borderId="75" xfId="0" applyFont="1" applyBorder="1" applyAlignment="1">
      <alignment horizontal="center" vertical="center" wrapText="1"/>
    </xf>
    <xf numFmtId="0" fontId="0" fillId="0" borderId="97" xfId="0" applyBorder="1" applyAlignment="1">
      <alignment horizontal="center" vertical="center"/>
    </xf>
    <xf numFmtId="0" fontId="0" fillId="0" borderId="102" xfId="0" applyBorder="1" applyAlignment="1">
      <alignment horizontal="center" vertical="center"/>
    </xf>
    <xf numFmtId="0" fontId="21" fillId="0" borderId="13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37" fillId="0" borderId="51" xfId="0" applyFont="1" applyBorder="1" applyAlignment="1">
      <alignment horizontal="center" vertical="center" wrapText="1"/>
    </xf>
    <xf numFmtId="0" fontId="21" fillId="0" borderId="97" xfId="0" applyFont="1" applyBorder="1" applyAlignment="1">
      <alignment horizontal="center" vertical="center" wrapText="1"/>
    </xf>
    <xf numFmtId="0" fontId="0" fillId="0" borderId="98" xfId="0" applyBorder="1" applyAlignment="1">
      <alignment horizontal="center" vertical="center"/>
    </xf>
    <xf numFmtId="0" fontId="21" fillId="0" borderId="19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49" fontId="38" fillId="0" borderId="72" xfId="0" applyNumberFormat="1" applyFont="1" applyBorder="1" applyAlignment="1">
      <alignment horizontal="center" vertical="center" wrapText="1"/>
    </xf>
    <xf numFmtId="0" fontId="39" fillId="0" borderId="62" xfId="0" applyFont="1" applyBorder="1" applyAlignment="1">
      <alignment horizontal="center" vertical="center" wrapText="1"/>
    </xf>
    <xf numFmtId="0" fontId="39" fillId="0" borderId="71" xfId="0" applyFont="1" applyBorder="1" applyAlignment="1">
      <alignment horizontal="center" vertical="center" wrapText="1"/>
    </xf>
    <xf numFmtId="2" fontId="21" fillId="0" borderId="0" xfId="0" applyNumberFormat="1" applyFont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01" xfId="0" applyFont="1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 wrapText="1"/>
    </xf>
    <xf numFmtId="49" fontId="21" fillId="0" borderId="58" xfId="0" applyNumberFormat="1" applyFont="1" applyBorder="1" applyAlignment="1">
      <alignment horizontal="center" vertical="center" wrapText="1"/>
    </xf>
    <xf numFmtId="49" fontId="21" fillId="0" borderId="37" xfId="0" applyNumberFormat="1" applyFont="1" applyBorder="1" applyAlignment="1">
      <alignment horizontal="center" vertical="center" wrapText="1"/>
    </xf>
    <xf numFmtId="49" fontId="21" fillId="0" borderId="53" xfId="0" applyNumberFormat="1" applyFont="1" applyBorder="1" applyAlignment="1">
      <alignment horizontal="center" vertical="center" wrapText="1"/>
    </xf>
    <xf numFmtId="49" fontId="21" fillId="0" borderId="70" xfId="0" applyNumberFormat="1" applyFont="1" applyBorder="1" applyAlignment="1">
      <alignment horizontal="center" vertical="center" wrapText="1"/>
    </xf>
    <xf numFmtId="49" fontId="21" fillId="0" borderId="22" xfId="0" applyNumberFormat="1" applyFont="1" applyBorder="1" applyAlignment="1">
      <alignment horizontal="center" vertical="center" wrapText="1"/>
    </xf>
    <xf numFmtId="49" fontId="21" fillId="0" borderId="28" xfId="0" applyNumberFormat="1" applyFont="1" applyBorder="1" applyAlignment="1">
      <alignment horizontal="center" vertical="center" wrapText="1"/>
    </xf>
    <xf numFmtId="0" fontId="21" fillId="0" borderId="28" xfId="0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0" fontId="33" fillId="0" borderId="92" xfId="0" applyFont="1" applyBorder="1" applyAlignment="1">
      <alignment horizontal="left" vertical="center"/>
    </xf>
    <xf numFmtId="0" fontId="33" fillId="0" borderId="93" xfId="0" applyFont="1" applyBorder="1" applyAlignment="1">
      <alignment horizontal="left" vertical="center"/>
    </xf>
    <xf numFmtId="0" fontId="33" fillId="0" borderId="94" xfId="0" applyFont="1" applyBorder="1" applyAlignment="1">
      <alignment horizontal="left" vertical="center"/>
    </xf>
    <xf numFmtId="0" fontId="21" fillId="0" borderId="95" xfId="0" applyFont="1" applyBorder="1" applyAlignment="1">
      <alignment horizontal="center" vertical="center" wrapText="1"/>
    </xf>
    <xf numFmtId="0" fontId="21" fillId="0" borderId="80" xfId="0" applyFont="1" applyBorder="1" applyAlignment="1">
      <alignment horizontal="center" vertical="center" wrapText="1"/>
    </xf>
    <xf numFmtId="2" fontId="21" fillId="0" borderId="79" xfId="0" applyNumberFormat="1" applyFont="1" applyBorder="1" applyAlignment="1">
      <alignment horizontal="center" vertical="center" wrapText="1"/>
    </xf>
    <xf numFmtId="2" fontId="21" fillId="0" borderId="78" xfId="0" applyNumberFormat="1" applyFont="1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0" fillId="0" borderId="96" xfId="0" applyBorder="1" applyAlignment="1">
      <alignment horizontal="center" vertical="center" wrapText="1"/>
    </xf>
    <xf numFmtId="0" fontId="27" fillId="0" borderId="90" xfId="0" applyFont="1" applyBorder="1" applyAlignment="1">
      <alignment horizontal="center" vertical="center"/>
    </xf>
    <xf numFmtId="0" fontId="29" fillId="0" borderId="87" xfId="0" applyFont="1" applyBorder="1" applyAlignment="1">
      <alignment horizontal="center" vertical="center"/>
    </xf>
    <xf numFmtId="0" fontId="29" fillId="0" borderId="88" xfId="0" applyFont="1" applyBorder="1" applyAlignment="1">
      <alignment horizontal="center" vertical="center"/>
    </xf>
    <xf numFmtId="0" fontId="28" fillId="0" borderId="40" xfId="0" applyFont="1" applyBorder="1" applyAlignment="1">
      <alignment horizontal="center" vertical="center"/>
    </xf>
    <xf numFmtId="0" fontId="27" fillId="0" borderId="40" xfId="0" applyFont="1" applyBorder="1" applyAlignment="1">
      <alignment horizontal="center" vertical="center"/>
    </xf>
    <xf numFmtId="178" fontId="28" fillId="0" borderId="11" xfId="0" applyNumberFormat="1" applyFont="1" applyBorder="1" applyAlignment="1">
      <alignment horizontal="center" vertical="center"/>
    </xf>
    <xf numFmtId="178" fontId="29" fillId="0" borderId="12" xfId="0" applyNumberFormat="1" applyFont="1" applyBorder="1" applyAlignment="1">
      <alignment horizontal="center" vertical="center"/>
    </xf>
    <xf numFmtId="178" fontId="29" fillId="0" borderId="54" xfId="0" applyNumberFormat="1" applyFont="1" applyBorder="1" applyAlignment="1">
      <alignment horizontal="center" vertical="center"/>
    </xf>
    <xf numFmtId="0" fontId="28" fillId="0" borderId="36" xfId="0" applyFont="1" applyBorder="1" applyAlignment="1">
      <alignment horizontal="center" vertical="center"/>
    </xf>
    <xf numFmtId="0" fontId="29" fillId="0" borderId="38" xfId="0" applyFont="1" applyBorder="1" applyAlignment="1">
      <alignment horizontal="center" vertical="center"/>
    </xf>
    <xf numFmtId="0" fontId="27" fillId="0" borderId="36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7" fillId="0" borderId="82" xfId="0" applyFont="1" applyBorder="1" applyAlignment="1">
      <alignment horizontal="center" vertical="center"/>
    </xf>
    <xf numFmtId="0" fontId="28" fillId="0" borderId="67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178" fontId="28" fillId="0" borderId="67" xfId="0" applyNumberFormat="1" applyFont="1" applyBorder="1" applyAlignment="1">
      <alignment horizontal="center" vertical="center"/>
    </xf>
    <xf numFmtId="0" fontId="33" fillId="0" borderId="81" xfId="0" applyFont="1" applyBorder="1" applyAlignment="1">
      <alignment horizontal="center" vertical="center"/>
    </xf>
    <xf numFmtId="0" fontId="34" fillId="0" borderId="78" xfId="0" applyFont="1" applyBorder="1" applyAlignment="1">
      <alignment horizontal="center" vertical="center"/>
    </xf>
    <xf numFmtId="0" fontId="34" fillId="0" borderId="77" xfId="0" applyFont="1" applyBorder="1" applyAlignment="1">
      <alignment horizontal="center" vertical="center"/>
    </xf>
    <xf numFmtId="0" fontId="29" fillId="0" borderId="53" xfId="0" applyFont="1" applyBorder="1" applyAlignment="1">
      <alignment horizontal="center" vertical="center"/>
    </xf>
    <xf numFmtId="0" fontId="27" fillId="0" borderId="58" xfId="0" applyFont="1" applyBorder="1" applyAlignment="1">
      <alignment horizontal="center" vertical="center"/>
    </xf>
    <xf numFmtId="0" fontId="29" fillId="0" borderId="43" xfId="0" applyFont="1" applyBorder="1" applyAlignment="1">
      <alignment horizontal="center" vertical="center"/>
    </xf>
    <xf numFmtId="0" fontId="29" fillId="0" borderId="41" xfId="0" applyFont="1" applyBorder="1" applyAlignment="1">
      <alignment horizontal="center" vertical="center"/>
    </xf>
    <xf numFmtId="0" fontId="28" fillId="0" borderId="50" xfId="0" applyFont="1" applyBorder="1" applyAlignment="1">
      <alignment horizontal="center" vertical="center"/>
    </xf>
    <xf numFmtId="0" fontId="29" fillId="0" borderId="42" xfId="0" applyFont="1" applyBorder="1" applyAlignment="1">
      <alignment horizontal="center" vertical="center"/>
    </xf>
    <xf numFmtId="0" fontId="29" fillId="0" borderId="50" xfId="0" applyFont="1" applyBorder="1"/>
    <xf numFmtId="0" fontId="29" fillId="0" borderId="41" xfId="0" applyFont="1" applyBorder="1"/>
    <xf numFmtId="0" fontId="29" fillId="0" borderId="42" xfId="0" applyFont="1" applyBorder="1"/>
    <xf numFmtId="0" fontId="29" fillId="0" borderId="91" xfId="0" applyFont="1" applyBorder="1"/>
    <xf numFmtId="0" fontId="29" fillId="0" borderId="87" xfId="0" applyFont="1" applyBorder="1"/>
    <xf numFmtId="0" fontId="29" fillId="0" borderId="89" xfId="0" applyFont="1" applyBorder="1"/>
    <xf numFmtId="0" fontId="33" fillId="0" borderId="60" xfId="0" applyFont="1" applyBorder="1" applyAlignment="1">
      <alignment horizontal="left" vertical="center"/>
    </xf>
    <xf numFmtId="0" fontId="34" fillId="0" borderId="18" xfId="0" applyFont="1" applyBorder="1" applyAlignment="1">
      <alignment horizontal="left" vertical="center"/>
    </xf>
    <xf numFmtId="0" fontId="34" fillId="0" borderId="14" xfId="0" applyFont="1" applyBorder="1" applyAlignment="1">
      <alignment horizontal="left" vertical="center"/>
    </xf>
    <xf numFmtId="0" fontId="34" fillId="0" borderId="85" xfId="0" applyFont="1" applyBorder="1" applyAlignment="1">
      <alignment horizontal="left" vertical="center"/>
    </xf>
    <xf numFmtId="0" fontId="34" fillId="0" borderId="1" xfId="0" applyFont="1" applyBorder="1" applyAlignment="1">
      <alignment horizontal="left" vertical="center"/>
    </xf>
    <xf numFmtId="0" fontId="34" fillId="0" borderId="86" xfId="0" applyFont="1" applyBorder="1" applyAlignment="1">
      <alignment horizontal="left" vertical="center"/>
    </xf>
    <xf numFmtId="0" fontId="33" fillId="0" borderId="11" xfId="0" applyFont="1" applyBorder="1" applyAlignment="1">
      <alignment horizontal="center" vertical="center"/>
    </xf>
    <xf numFmtId="0" fontId="34" fillId="0" borderId="41" xfId="0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0" fontId="33" fillId="0" borderId="11" xfId="0" applyFont="1" applyBorder="1" applyAlignment="1">
      <alignment horizontal="center" vertical="center" wrapText="1"/>
    </xf>
    <xf numFmtId="0" fontId="34" fillId="0" borderId="42" xfId="0" applyFont="1" applyBorder="1" applyAlignment="1">
      <alignment horizontal="center" vertical="center"/>
    </xf>
    <xf numFmtId="0" fontId="28" fillId="0" borderId="40" xfId="0" applyFont="1" applyBorder="1"/>
    <xf numFmtId="0" fontId="30" fillId="0" borderId="82" xfId="0" applyFont="1" applyBorder="1" applyAlignment="1">
      <alignment horizontal="left" vertical="center"/>
    </xf>
    <xf numFmtId="0" fontId="31" fillId="0" borderId="37" xfId="0" applyFont="1" applyBorder="1" applyAlignment="1">
      <alignment horizontal="left" vertical="center"/>
    </xf>
    <xf numFmtId="0" fontId="31" fillId="0" borderId="38" xfId="0" applyFont="1" applyBorder="1" applyAlignment="1">
      <alignment horizontal="left" vertical="center"/>
    </xf>
    <xf numFmtId="0" fontId="30" fillId="0" borderId="36" xfId="0" applyFont="1" applyBorder="1" applyAlignment="1">
      <alignment horizontal="center" vertical="center"/>
    </xf>
    <xf numFmtId="0" fontId="31" fillId="0" borderId="37" xfId="0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30" fillId="0" borderId="36" xfId="0" applyFont="1" applyBorder="1" applyAlignment="1">
      <alignment horizontal="center" vertical="center" wrapText="1"/>
    </xf>
    <xf numFmtId="0" fontId="31" fillId="0" borderId="43" xfId="0" applyFont="1" applyBorder="1" applyAlignment="1">
      <alignment horizontal="center" vertical="center"/>
    </xf>
    <xf numFmtId="0" fontId="27" fillId="0" borderId="60" xfId="0" applyFont="1" applyBorder="1" applyAlignment="1">
      <alignment horizontal="center" vertical="center" wrapText="1"/>
    </xf>
    <xf numFmtId="0" fontId="29" fillId="0" borderId="18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44" xfId="0" applyFont="1" applyBorder="1" applyAlignment="1">
      <alignment horizontal="center" vertical="center"/>
    </xf>
    <xf numFmtId="0" fontId="29" fillId="0" borderId="55" xfId="0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0" fontId="28" fillId="0" borderId="13" xfId="0" applyFont="1" applyBorder="1"/>
    <xf numFmtId="0" fontId="29" fillId="0" borderId="18" xfId="0" applyFont="1" applyBorder="1"/>
    <xf numFmtId="0" fontId="29" fillId="0" borderId="14" xfId="0" applyFont="1" applyBorder="1"/>
    <xf numFmtId="0" fontId="29" fillId="0" borderId="15" xfId="0" applyFont="1" applyBorder="1"/>
    <xf numFmtId="0" fontId="29" fillId="0" borderId="55" xfId="0" applyFont="1" applyBorder="1"/>
    <xf numFmtId="0" fontId="29" fillId="0" borderId="16" xfId="0" applyFont="1" applyBorder="1"/>
    <xf numFmtId="0" fontId="29" fillId="0" borderId="25" xfId="0" applyFont="1" applyBorder="1"/>
    <xf numFmtId="0" fontId="29" fillId="0" borderId="56" xfId="0" applyFont="1" applyBorder="1"/>
    <xf numFmtId="0" fontId="28" fillId="0" borderId="83" xfId="0" applyFont="1" applyBorder="1" applyAlignment="1">
      <alignment horizontal="left" vertical="center"/>
    </xf>
    <xf numFmtId="0" fontId="29" fillId="0" borderId="57" xfId="0" applyFont="1" applyBorder="1" applyAlignment="1">
      <alignment horizontal="left" vertical="center"/>
    </xf>
    <xf numFmtId="0" fontId="29" fillId="0" borderId="45" xfId="0" applyFont="1" applyBorder="1" applyAlignment="1">
      <alignment horizontal="left" vertical="center"/>
    </xf>
    <xf numFmtId="0" fontId="45" fillId="0" borderId="39" xfId="0" applyFont="1" applyBorder="1" applyAlignment="1">
      <alignment horizontal="center" vertical="center"/>
    </xf>
    <xf numFmtId="0" fontId="45" fillId="0" borderId="57" xfId="0" applyFont="1" applyBorder="1" applyAlignment="1">
      <alignment horizontal="center" vertical="center"/>
    </xf>
    <xf numFmtId="0" fontId="48" fillId="0" borderId="45" xfId="0" applyFont="1" applyBorder="1" applyAlignment="1">
      <alignment horizontal="center" vertical="center"/>
    </xf>
    <xf numFmtId="10" fontId="28" fillId="0" borderId="4" xfId="0" applyNumberFormat="1" applyFont="1" applyBorder="1" applyAlignment="1">
      <alignment horizontal="center" vertical="center"/>
    </xf>
    <xf numFmtId="10" fontId="29" fillId="0" borderId="4" xfId="0" applyNumberFormat="1" applyFont="1" applyBorder="1" applyAlignment="1">
      <alignment horizontal="center" vertical="center"/>
    </xf>
    <xf numFmtId="0" fontId="28" fillId="0" borderId="39" xfId="0" applyFont="1" applyBorder="1"/>
    <xf numFmtId="0" fontId="29" fillId="0" borderId="57" xfId="0" applyFont="1" applyBorder="1"/>
    <xf numFmtId="0" fontId="29" fillId="0" borderId="45" xfId="0" applyFont="1" applyBorder="1"/>
    <xf numFmtId="0" fontId="29" fillId="0" borderId="84" xfId="0" applyFont="1" applyBorder="1"/>
    <xf numFmtId="0" fontId="28" fillId="0" borderId="67" xfId="0" applyFont="1" applyBorder="1" applyAlignment="1">
      <alignment horizontal="left" vertical="center"/>
    </xf>
    <xf numFmtId="0" fontId="29" fillId="0" borderId="41" xfId="0" applyFont="1" applyBorder="1" applyAlignment="1">
      <alignment horizontal="left" vertical="center"/>
    </xf>
    <xf numFmtId="0" fontId="29" fillId="0" borderId="12" xfId="0" applyFont="1" applyBorder="1" applyAlignment="1">
      <alignment horizontal="left" vertical="center"/>
    </xf>
    <xf numFmtId="9" fontId="45" fillId="0" borderId="11" xfId="0" applyNumberFormat="1" applyFont="1" applyBorder="1" applyAlignment="1">
      <alignment horizontal="center" vertical="center"/>
    </xf>
    <xf numFmtId="0" fontId="45" fillId="0" borderId="12" xfId="0" applyFont="1" applyBorder="1" applyAlignment="1">
      <alignment horizontal="center" vertical="center"/>
    </xf>
    <xf numFmtId="0" fontId="28" fillId="0" borderId="11" xfId="0" applyFont="1" applyBorder="1"/>
    <xf numFmtId="0" fontId="29" fillId="0" borderId="12" xfId="0" applyFont="1" applyBorder="1"/>
    <xf numFmtId="9" fontId="45" fillId="0" borderId="39" xfId="0" applyNumberFormat="1" applyFont="1" applyBorder="1" applyAlignment="1">
      <alignment horizontal="center" vertical="center"/>
    </xf>
    <xf numFmtId="0" fontId="45" fillId="0" borderId="45" xfId="0" applyFont="1" applyBorder="1" applyAlignment="1">
      <alignment horizontal="center" vertical="center"/>
    </xf>
    <xf numFmtId="0" fontId="28" fillId="0" borderId="29" xfId="0" applyFont="1" applyBorder="1" applyAlignment="1">
      <alignment horizontal="left" vertical="center"/>
    </xf>
    <xf numFmtId="0" fontId="29" fillId="0" borderId="30" xfId="0" applyFont="1" applyBorder="1" applyAlignment="1">
      <alignment horizontal="left" vertical="center"/>
    </xf>
    <xf numFmtId="0" fontId="28" fillId="0" borderId="30" xfId="0" applyFont="1" applyBorder="1"/>
    <xf numFmtId="0" fontId="29" fillId="0" borderId="30" xfId="0" applyFont="1" applyBorder="1"/>
    <xf numFmtId="0" fontId="29" fillId="0" borderId="31" xfId="0" applyFont="1" applyBorder="1"/>
    <xf numFmtId="0" fontId="28" fillId="0" borderId="3" xfId="0" applyFont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45" fillId="0" borderId="4" xfId="0" applyFont="1" applyBorder="1" applyAlignment="1">
      <alignment horizontal="center" vertical="center"/>
    </xf>
    <xf numFmtId="0" fontId="28" fillId="0" borderId="4" xfId="0" applyFont="1" applyBorder="1"/>
    <xf numFmtId="0" fontId="29" fillId="0" borderId="4" xfId="0" applyFont="1" applyBorder="1"/>
    <xf numFmtId="0" fontId="29" fillId="0" borderId="5" xfId="0" applyFont="1" applyBorder="1"/>
    <xf numFmtId="0" fontId="24" fillId="0" borderId="81" xfId="0" applyFont="1" applyBorder="1" applyAlignment="1">
      <alignment horizontal="center" vertical="center" wrapText="1"/>
    </xf>
    <xf numFmtId="0" fontId="25" fillId="0" borderId="78" xfId="0" applyFont="1" applyBorder="1" applyAlignment="1">
      <alignment horizontal="center" vertical="center"/>
    </xf>
    <xf numFmtId="0" fontId="25" fillId="0" borderId="77" xfId="0" applyFont="1" applyBorder="1" applyAlignment="1">
      <alignment horizontal="center" vertical="center"/>
    </xf>
    <xf numFmtId="0" fontId="26" fillId="0" borderId="59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6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 wrapText="1"/>
    </xf>
    <xf numFmtId="0" fontId="31" fillId="0" borderId="16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31" fillId="0" borderId="55" xfId="0" applyFont="1" applyBorder="1" applyAlignment="1">
      <alignment horizontal="center" vertical="center"/>
    </xf>
    <xf numFmtId="0" fontId="31" fillId="0" borderId="56" xfId="0" applyFont="1" applyBorder="1" applyAlignment="1">
      <alignment horizontal="center" vertical="center"/>
    </xf>
    <xf numFmtId="0" fontId="30" fillId="0" borderId="103" xfId="0" applyFont="1" applyBorder="1" applyAlignment="1">
      <alignment horizontal="center" vertical="center"/>
    </xf>
    <xf numFmtId="0" fontId="30" fillId="0" borderId="104" xfId="0" applyFont="1" applyBorder="1" applyAlignment="1">
      <alignment horizontal="center" vertical="center"/>
    </xf>
    <xf numFmtId="0" fontId="30" fillId="3" borderId="106" xfId="0" applyFont="1" applyFill="1" applyBorder="1" applyAlignment="1">
      <alignment horizontal="center" vertical="center"/>
    </xf>
    <xf numFmtId="0" fontId="30" fillId="3" borderId="107" xfId="0" applyFont="1" applyFill="1" applyBorder="1" applyAlignment="1">
      <alignment horizontal="center" vertical="center"/>
    </xf>
    <xf numFmtId="0" fontId="30" fillId="3" borderId="108" xfId="0" applyFont="1" applyFill="1" applyBorder="1" applyAlignment="1">
      <alignment horizontal="center" vertical="center"/>
    </xf>
  </cellXfs>
  <cellStyles count="1">
    <cellStyle name="常规" xfId="0" builtinId="0"/>
  </cellStyles>
  <dxfs count="3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Relationship Id="rId2" Type="http://schemas.openxmlformats.org/officeDocument/2006/relationships/vmlDrawing" Target="../drawings/vmlDrawing5.vml" /><Relationship Id="rId3" Type="http://schemas.openxmlformats.org/officeDocument/2006/relationships/comments" Target="../comments5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B2" sqref="B2:AR2"/>
    </sheetView>
  </sheetViews>
  <sheetFormatPr defaultRowHeight="8" x14ac:dyDescent="0.25"/>
  <cols>
    <col min="1" max="1" width="0.453125" style="6" customWidth="1"/>
    <col min="2" max="2" width="3.453125" style="6" bestFit="1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</cols>
  <sheetData>
    <row r="1" spans="2:47" ht="5.15" customHeight="1" x14ac:dyDescent="0.25"/>
    <row r="2" spans="2:47" ht="17.5" customHeight="1" thickBot="1" x14ac:dyDescent="0.3">
      <c r="B2" s="180" t="s">
        <v>227</v>
      </c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H2" s="181"/>
      <c r="AI2" s="181"/>
      <c r="AJ2" s="181"/>
      <c r="AK2" s="181"/>
      <c r="AL2" s="181"/>
      <c r="AM2" s="181"/>
      <c r="AN2" s="181"/>
      <c r="AO2" s="181"/>
      <c r="AP2" s="181"/>
      <c r="AQ2" s="181"/>
      <c r="AR2" s="181"/>
    </row>
    <row r="3" spans="2:47" ht="20.15" customHeight="1" x14ac:dyDescent="0.25">
      <c r="B3" s="184" t="s">
        <v>181</v>
      </c>
      <c r="C3" s="182" t="s">
        <v>163</v>
      </c>
      <c r="D3" s="194"/>
      <c r="E3" s="194"/>
      <c r="F3" s="194"/>
      <c r="G3" s="194"/>
      <c r="H3" s="195"/>
      <c r="I3" s="198" t="s">
        <v>8</v>
      </c>
      <c r="J3" s="194"/>
      <c r="K3" s="194"/>
      <c r="L3" s="194"/>
      <c r="M3" s="194"/>
      <c r="N3" s="194"/>
      <c r="O3" s="194"/>
      <c r="P3" s="199"/>
      <c r="Q3" s="182" t="s">
        <v>77</v>
      </c>
      <c r="R3" s="194"/>
      <c r="S3" s="199"/>
      <c r="T3" s="182" t="s">
        <v>10</v>
      </c>
      <c r="U3" s="194"/>
      <c r="V3" s="194"/>
      <c r="W3" s="199"/>
      <c r="X3" s="182" t="s">
        <v>80</v>
      </c>
      <c r="Y3" s="183"/>
      <c r="Z3" s="182" t="s">
        <v>11</v>
      </c>
      <c r="AA3" s="183"/>
      <c r="AB3" s="13" t="s">
        <v>13</v>
      </c>
      <c r="AC3" s="182" t="s">
        <v>14</v>
      </c>
      <c r="AD3" s="183"/>
      <c r="AE3" s="223" t="s">
        <v>88</v>
      </c>
      <c r="AF3" s="224"/>
      <c r="AG3" s="224"/>
      <c r="AH3" s="224"/>
      <c r="AI3" s="224"/>
      <c r="AJ3" s="224"/>
      <c r="AK3" s="225"/>
      <c r="AL3" s="182" t="s">
        <v>18</v>
      </c>
      <c r="AM3" s="190"/>
      <c r="AN3" s="191"/>
      <c r="AO3" s="190" t="s">
        <v>16</v>
      </c>
      <c r="AP3" s="190"/>
      <c r="AQ3" s="190"/>
      <c r="AR3" s="193"/>
    </row>
    <row r="4" spans="2:47" ht="30" customHeight="1" x14ac:dyDescent="0.25">
      <c r="B4" s="185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96" t="s">
        <v>62</v>
      </c>
      <c r="J4" s="197"/>
      <c r="K4" s="3" t="s">
        <v>6</v>
      </c>
      <c r="L4" s="3" t="s">
        <v>66</v>
      </c>
      <c r="M4" s="3" t="s">
        <v>164</v>
      </c>
      <c r="N4" s="3" t="s">
        <v>165</v>
      </c>
      <c r="O4" s="170" t="s">
        <v>7</v>
      </c>
      <c r="P4" s="174"/>
      <c r="Q4" s="187" t="s">
        <v>71</v>
      </c>
      <c r="R4" s="174"/>
      <c r="S4" s="3" t="s">
        <v>51</v>
      </c>
      <c r="T4" s="3" t="s">
        <v>75</v>
      </c>
      <c r="U4" s="187" t="s">
        <v>78</v>
      </c>
      <c r="V4" s="174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88" t="s">
        <v>89</v>
      </c>
      <c r="AF4" s="189"/>
      <c r="AG4" s="188" t="s">
        <v>92</v>
      </c>
      <c r="AH4" s="189"/>
      <c r="AI4" s="10" t="s">
        <v>166</v>
      </c>
      <c r="AJ4" s="10" t="s">
        <v>167</v>
      </c>
      <c r="AK4" s="11" t="s">
        <v>115</v>
      </c>
      <c r="AL4" s="187" t="s">
        <v>110</v>
      </c>
      <c r="AM4" s="174"/>
      <c r="AN4" s="29" t="s">
        <v>111</v>
      </c>
      <c r="AO4" s="26" t="s">
        <v>12</v>
      </c>
      <c r="AP4" s="3" t="s">
        <v>1</v>
      </c>
      <c r="AQ4" s="172" t="s">
        <v>161</v>
      </c>
      <c r="AR4" s="192"/>
      <c r="AU4" s="20"/>
    </row>
    <row r="5" spans="2:47" ht="20.15" customHeight="1" x14ac:dyDescent="0.25">
      <c r="B5" s="18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448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</v>
      </c>
      <c r="C6" s="101">
        <v>50.22063064575195</v>
      </c>
      <c r="D6" s="101">
        <v>19.954429626464844</v>
      </c>
      <c r="E6" s="101">
        <v>25.542530059814453</v>
      </c>
      <c r="F6" s="101"/>
      <c r="G6" s="101"/>
      <c r="H6" s="102">
        <v>416.0364074707031</v>
      </c>
      <c r="I6" s="103">
        <v>25.39423942565918</v>
      </c>
      <c r="J6" s="101"/>
      <c r="K6" s="101">
        <v>39.59056091308594</v>
      </c>
      <c r="L6" s="101">
        <v>1.4018189907073975</v>
      </c>
      <c r="M6" s="101">
        <v>99.40321350097656</v>
      </c>
      <c r="N6" s="101">
        <v>109.94650268554688</v>
      </c>
      <c r="O6" s="101">
        <v>0</v>
      </c>
      <c r="P6" s="101"/>
      <c r="Q6" s="101">
        <v>3.3735249042510986</v>
      </c>
      <c r="R6" s="101"/>
      <c r="S6" s="101">
        <v>143.48959350585938</v>
      </c>
      <c r="T6" s="101">
        <v>1.4552949666976929</v>
      </c>
      <c r="U6" s="101">
        <v>0.35773810744285583</v>
      </c>
      <c r="V6" s="101"/>
      <c r="W6" s="101">
        <v>93.20747375488281</v>
      </c>
      <c r="X6" s="101">
        <v>0.5602837204933167</v>
      </c>
      <c r="Y6" s="101"/>
      <c r="Z6" s="101">
        <v>0.8604745864868164</v>
      </c>
      <c r="AA6" s="101">
        <v>150.1230010986328</v>
      </c>
      <c r="AB6" s="101">
        <v>165.32839965820312</v>
      </c>
      <c r="AC6" s="101">
        <v>0.38621240854263306</v>
      </c>
      <c r="AD6" s="101">
        <v>156.22830200195312</v>
      </c>
      <c r="AE6" s="104"/>
      <c r="AF6" s="104"/>
      <c r="AG6" s="104"/>
      <c r="AH6" s="104"/>
      <c r="AI6" s="104"/>
      <c r="AJ6" s="104"/>
      <c r="AK6" s="104"/>
      <c r="AL6" s="101">
        <v>22.95284080505371</v>
      </c>
      <c r="AM6" s="105"/>
      <c r="AN6" s="106">
        <v>36.25217056274414</v>
      </c>
      <c r="AO6" s="107"/>
      <c r="AP6" s="108"/>
      <c r="AQ6" s="108">
        <v>0.2616463899612427</v>
      </c>
      <c r="AR6" s="109"/>
    </row>
    <row r="7" spans="2:47" ht="13.5" customHeight="1" x14ac:dyDescent="0.25">
      <c r="B7" s="14">
        <v>0.375</v>
      </c>
      <c r="C7" s="101">
        <v>49.84809112548828</v>
      </c>
      <c r="D7" s="101">
        <v>19.965280532836914</v>
      </c>
      <c r="E7" s="101">
        <v>25.671239852905273</v>
      </c>
      <c r="F7" s="101">
        <v>0.3566874861717224</v>
      </c>
      <c r="G7" s="101">
        <v>0</v>
      </c>
      <c r="H7" s="102">
        <v>416.2004089355469</v>
      </c>
      <c r="I7" s="103">
        <v>26.837390899658203</v>
      </c>
      <c r="J7" s="101">
        <v>0.02604003995656967</v>
      </c>
      <c r="K7" s="101">
        <v>39.56163024902344</v>
      </c>
      <c r="L7" s="101">
        <v>1.3963040113449097</v>
      </c>
      <c r="M7" s="101">
        <v>100.86260223388672</v>
      </c>
      <c r="N7" s="101">
        <v>110.48899841308594</v>
      </c>
      <c r="O7" s="101">
        <v>0</v>
      </c>
      <c r="P7" s="101">
        <v>25.55908203125</v>
      </c>
      <c r="Q7" s="101">
        <v>2.759535074234009</v>
      </c>
      <c r="R7" s="101">
        <v>2.97802734375</v>
      </c>
      <c r="S7" s="101">
        <v>142.48410034179688</v>
      </c>
      <c r="T7" s="101">
        <v>1.4580800533294678</v>
      </c>
      <c r="U7" s="101">
        <v>0.36034709215164185</v>
      </c>
      <c r="V7" s="101">
        <v>0.36024999618530273</v>
      </c>
      <c r="W7" s="101">
        <v>93.02661895751953</v>
      </c>
      <c r="X7" s="101">
        <v>0.5603461265563965</v>
      </c>
      <c r="Y7" s="101" t="s">
        <v>82</v>
      </c>
      <c r="Z7" s="101">
        <v>0.8586227297782898</v>
      </c>
      <c r="AA7" s="101">
        <v>149.42129516601562</v>
      </c>
      <c r="AB7" s="101">
        <v>165.32119750976562</v>
      </c>
      <c r="AC7" s="101">
        <v>0.4161964952945709</v>
      </c>
      <c r="AD7" s="101">
        <v>156.3802032470703</v>
      </c>
      <c r="AE7" s="104"/>
      <c r="AF7" s="104"/>
      <c r="AG7" s="104"/>
      <c r="AH7" s="104"/>
      <c r="AI7" s="104"/>
      <c r="AJ7" s="104"/>
      <c r="AK7" s="104"/>
      <c r="AL7" s="101">
        <v>24.55150032043457</v>
      </c>
      <c r="AM7" s="105">
        <v>0.0223994143307209</v>
      </c>
      <c r="AN7" s="106">
        <v>32.86674880981445</v>
      </c>
      <c r="AO7" s="107"/>
      <c r="AP7" s="108"/>
      <c r="AQ7" s="108">
        <v>0.16022859513759613</v>
      </c>
      <c r="AR7" s="109">
        <v>0.00034738160320557654</v>
      </c>
    </row>
    <row r="8" spans="2:47" ht="13.5" customHeight="1" x14ac:dyDescent="0.25">
      <c r="B8" s="14">
        <v>0.41666666666666669</v>
      </c>
      <c r="C8" s="101">
        <v>49.99637985229492</v>
      </c>
      <c r="D8" s="101">
        <v>20.052080154418945</v>
      </c>
      <c r="E8" s="101">
        <v>25.259620666503906</v>
      </c>
      <c r="F8" s="101">
        <v>0.3569062352180481</v>
      </c>
      <c r="G8" s="101">
        <v>0</v>
      </c>
      <c r="H8" s="102">
        <v>416.6369934082031</v>
      </c>
      <c r="I8" s="103">
        <v>26.584199905395508</v>
      </c>
      <c r="J8" s="101">
        <v>0.026524413377046585</v>
      </c>
      <c r="K8" s="101">
        <v>39.568870544433594</v>
      </c>
      <c r="L8" s="101">
        <v>1.399467945098877</v>
      </c>
      <c r="M8" s="101">
        <v>103.01110076904297</v>
      </c>
      <c r="N8" s="101">
        <v>110.65540313720703</v>
      </c>
      <c r="O8" s="101">
        <v>0</v>
      </c>
      <c r="P8" s="101">
        <v>25.52490234375</v>
      </c>
      <c r="Q8" s="101">
        <v>2.9523890018463135</v>
      </c>
      <c r="R8" s="101">
        <v>3.032958984375</v>
      </c>
      <c r="S8" s="101">
        <v>143.27259826660156</v>
      </c>
      <c r="T8" s="101">
        <v>1.4544090032577515</v>
      </c>
      <c r="U8" s="101">
        <v>0.3586786091327667</v>
      </c>
      <c r="V8" s="101">
        <v>0.35975000262260437</v>
      </c>
      <c r="W8" s="101">
        <v>93.10619354248047</v>
      </c>
      <c r="X8" s="101">
        <v>0.5614064931869507</v>
      </c>
      <c r="Y8" s="101" t="s">
        <v>82</v>
      </c>
      <c r="Z8" s="101">
        <v>0.8570023775100708</v>
      </c>
      <c r="AA8" s="101">
        <v>149.95660400390625</v>
      </c>
      <c r="AB8" s="101">
        <v>165.32119750976562</v>
      </c>
      <c r="AC8" s="101">
        <v>0.45927369594573975</v>
      </c>
      <c r="AD8" s="101">
        <v>156.0980987548828</v>
      </c>
      <c r="AE8" s="104"/>
      <c r="AF8" s="104"/>
      <c r="AG8" s="104"/>
      <c r="AH8" s="104"/>
      <c r="AI8" s="104"/>
      <c r="AJ8" s="104"/>
      <c r="AK8" s="104"/>
      <c r="AL8" s="101">
        <v>19.741029739379883</v>
      </c>
      <c r="AM8" s="105">
        <v>0.02233007736504078</v>
      </c>
      <c r="AN8" s="106">
        <v>29.6477108001709</v>
      </c>
      <c r="AO8" s="107"/>
      <c r="AP8" s="108"/>
      <c r="AQ8" s="108">
        <v>0.11053240299224854</v>
      </c>
      <c r="AR8" s="109">
        <v>0.0003409118507988751</v>
      </c>
    </row>
    <row r="9" spans="2:47" ht="13.5" customHeight="1" x14ac:dyDescent="0.25">
      <c r="B9" s="14">
        <v>0.45833333333333298</v>
      </c>
      <c r="C9" s="101">
        <v>49.96744918823242</v>
      </c>
      <c r="D9" s="101">
        <v>20.111759185791016</v>
      </c>
      <c r="E9" s="101">
        <v>421.60760498046875</v>
      </c>
      <c r="F9" s="101">
        <v>0.35728123784065247</v>
      </c>
      <c r="G9" s="101">
        <v>0</v>
      </c>
      <c r="H9" s="102">
        <v>416.5928039550781</v>
      </c>
      <c r="I9" s="103">
        <v>26.33102035522461</v>
      </c>
      <c r="J9" s="101">
        <v>0.026941893622279167</v>
      </c>
      <c r="K9" s="101">
        <v>39.57609939575195</v>
      </c>
      <c r="L9" s="101">
        <v>1.3974790573120117</v>
      </c>
      <c r="M9" s="101">
        <v>110.49259948730469</v>
      </c>
      <c r="N9" s="101">
        <v>113.37529754638672</v>
      </c>
      <c r="O9" s="101">
        <v>0</v>
      </c>
      <c r="P9" s="101">
        <v>25.50146484375</v>
      </c>
      <c r="Q9" s="101">
        <v>3.137634038925171</v>
      </c>
      <c r="R9" s="101">
        <v>2.987060546875</v>
      </c>
      <c r="S9" s="101">
        <v>143.2581024169922</v>
      </c>
      <c r="T9" s="101">
        <v>1.4542820453643799</v>
      </c>
      <c r="U9" s="101">
        <v>0.36069661378860474</v>
      </c>
      <c r="V9" s="101">
        <v>0.3594062626361847</v>
      </c>
      <c r="W9" s="101">
        <v>93.1640625</v>
      </c>
      <c r="X9" s="101">
        <v>0.5603777170181274</v>
      </c>
      <c r="Y9" s="101" t="s">
        <v>82</v>
      </c>
      <c r="Z9" s="101">
        <v>0.8533564805984497</v>
      </c>
      <c r="AA9" s="101">
        <v>149.9420928955078</v>
      </c>
      <c r="AB9" s="101">
        <v>165.24879455566406</v>
      </c>
      <c r="AC9" s="101">
        <v>0.4664713144302368</v>
      </c>
      <c r="AD9" s="101">
        <v>155.85940551757812</v>
      </c>
      <c r="AE9" s="104"/>
      <c r="AF9" s="104"/>
      <c r="AG9" s="104"/>
      <c r="AH9" s="104"/>
      <c r="AI9" s="104"/>
      <c r="AJ9" s="104"/>
      <c r="AK9" s="104"/>
      <c r="AL9" s="101">
        <v>21.35778045654297</v>
      </c>
      <c r="AM9" s="105">
        <v>0.022410156205296516</v>
      </c>
      <c r="AN9" s="106">
        <v>29.578990936279297</v>
      </c>
      <c r="AO9" s="107"/>
      <c r="AP9" s="108"/>
      <c r="AQ9" s="108">
        <v>0.5729889869689941</v>
      </c>
      <c r="AR9" s="109">
        <v>0.00033880615956149995</v>
      </c>
    </row>
    <row r="10" spans="2:47" ht="13.5" customHeight="1" x14ac:dyDescent="0.25">
      <c r="B10" s="14">
        <v>0.5</v>
      </c>
      <c r="C10" s="101">
        <v>49.93489074707031</v>
      </c>
      <c r="D10" s="101">
        <v>20.22027015686035</v>
      </c>
      <c r="E10" s="101">
        <v>420.69171142578125</v>
      </c>
      <c r="F10" s="101">
        <v>0.35762500762939453</v>
      </c>
      <c r="G10" s="101">
        <v>0</v>
      </c>
      <c r="H10" s="102">
        <v>416.1011962890625</v>
      </c>
      <c r="I10" s="103">
        <v>25.92593002319336</v>
      </c>
      <c r="J10" s="101">
        <v>0.026837890967726707</v>
      </c>
      <c r="K10" s="101">
        <v>39.57609939575195</v>
      </c>
      <c r="L10" s="101">
        <v>1.398926019668579</v>
      </c>
      <c r="M10" s="101">
        <v>105.27339935302734</v>
      </c>
      <c r="N10" s="101">
        <v>111.00980377197266</v>
      </c>
      <c r="O10" s="101">
        <v>0</v>
      </c>
      <c r="P10" s="101">
        <v>25.53564453125</v>
      </c>
      <c r="Q10" s="101">
        <v>3.105026960372925</v>
      </c>
      <c r="R10" s="101">
        <v>2.955078125</v>
      </c>
      <c r="S10" s="101">
        <v>143.1929931640625</v>
      </c>
      <c r="T10" s="101">
        <v>1.4546619653701782</v>
      </c>
      <c r="U10" s="101">
        <v>0.35929208993911743</v>
      </c>
      <c r="V10" s="101">
        <v>0.3598984479904175</v>
      </c>
      <c r="W10" s="101">
        <v>92.66493225097656</v>
      </c>
      <c r="X10" s="101">
        <v>0.557956874370575</v>
      </c>
      <c r="Y10" s="101" t="s">
        <v>82</v>
      </c>
      <c r="Z10" s="101">
        <v>0.8614004850387573</v>
      </c>
      <c r="AA10" s="101">
        <v>150.38340759277344</v>
      </c>
      <c r="AB10" s="101">
        <v>165.4803009033203</v>
      </c>
      <c r="AC10" s="101">
        <v>0.42994070053100586</v>
      </c>
      <c r="AD10" s="101">
        <v>156.35850524902344</v>
      </c>
      <c r="AE10" s="104"/>
      <c r="AF10" s="104"/>
      <c r="AG10" s="104"/>
      <c r="AH10" s="104"/>
      <c r="AI10" s="104"/>
      <c r="AJ10" s="104"/>
      <c r="AK10" s="104"/>
      <c r="AL10" s="101">
        <v>21.3469295501709</v>
      </c>
      <c r="AM10" s="105">
        <v>0.022349609062075615</v>
      </c>
      <c r="AN10" s="106">
        <v>37.926788330078125</v>
      </c>
      <c r="AO10" s="107"/>
      <c r="AP10" s="108"/>
      <c r="AQ10" s="108">
        <v>0.46997979283332825</v>
      </c>
      <c r="AR10" s="109">
        <v>0.00047927856212481856</v>
      </c>
    </row>
    <row r="11" spans="2:47" ht="13.5" customHeight="1" x14ac:dyDescent="0.25">
      <c r="B11" s="14">
        <v>0.54166666666666696</v>
      </c>
      <c r="C11" s="101">
        <v>50.05786895751953</v>
      </c>
      <c r="D11" s="101">
        <v>20.317930221557617</v>
      </c>
      <c r="E11" s="101">
        <v>25.571380615234375</v>
      </c>
      <c r="F11" s="101">
        <v>0.3577812612056732</v>
      </c>
      <c r="G11" s="101">
        <v>0</v>
      </c>
      <c r="H11" s="102">
        <v>415.9283142089844</v>
      </c>
      <c r="I11" s="103">
        <v>26.93865966796875</v>
      </c>
      <c r="J11" s="101">
        <v>0.0270229484885931</v>
      </c>
      <c r="K11" s="101">
        <v>39.40972137451172</v>
      </c>
      <c r="L11" s="101">
        <v>1.4015480279922485</v>
      </c>
      <c r="M11" s="101">
        <v>108.30619812011719</v>
      </c>
      <c r="N11" s="101">
        <v>114.40249633789062</v>
      </c>
      <c r="O11" s="101">
        <v>0</v>
      </c>
      <c r="P11" s="101">
        <v>25.55810546875</v>
      </c>
      <c r="Q11" s="101">
        <v>2.963283061981201</v>
      </c>
      <c r="R11" s="101">
        <v>2.994873046875</v>
      </c>
      <c r="S11" s="101">
        <v>143.01939392089844</v>
      </c>
      <c r="T11" s="101">
        <v>1.45352303981781</v>
      </c>
      <c r="U11" s="101">
        <v>0.35902321338653564</v>
      </c>
      <c r="V11" s="101">
        <v>0.36024218797683716</v>
      </c>
      <c r="W11" s="101">
        <v>92.56365966796875</v>
      </c>
      <c r="X11" s="101">
        <v>0.5611022114753723</v>
      </c>
      <c r="Y11" s="101" t="s">
        <v>82</v>
      </c>
      <c r="Z11" s="101">
        <v>0.8560764193534851</v>
      </c>
      <c r="AA11" s="101">
        <v>150.62930297851562</v>
      </c>
      <c r="AB11" s="101">
        <v>165.45140075683594</v>
      </c>
      <c r="AC11" s="101">
        <v>0.49410438537597656</v>
      </c>
      <c r="AD11" s="101">
        <v>156.41639709472656</v>
      </c>
      <c r="AE11" s="104"/>
      <c r="AF11" s="104"/>
      <c r="AG11" s="104"/>
      <c r="AH11" s="104"/>
      <c r="AI11" s="104"/>
      <c r="AJ11" s="104"/>
      <c r="AK11" s="104"/>
      <c r="AL11" s="101">
        <v>24.327259063720703</v>
      </c>
      <c r="AM11" s="105">
        <v>0.02366015687584877</v>
      </c>
      <c r="AN11" s="106">
        <v>62.6663818359375</v>
      </c>
      <c r="AO11" s="107"/>
      <c r="AP11" s="108"/>
      <c r="AQ11" s="108">
        <v>0.2615016996860504</v>
      </c>
      <c r="AR11" s="109">
        <v>0.0003558959870133549</v>
      </c>
    </row>
    <row r="12" spans="2:47" ht="13.5" customHeight="1" x14ac:dyDescent="0.25">
      <c r="B12" s="14">
        <v>0.58333333333333304</v>
      </c>
      <c r="C12" s="101">
        <v>49.98915100097656</v>
      </c>
      <c r="D12" s="101">
        <v>19.802520751953125</v>
      </c>
      <c r="E12" s="101">
        <v>25.357189178466797</v>
      </c>
      <c r="F12" s="101">
        <v>0.3582187592983246</v>
      </c>
      <c r="G12" s="101">
        <v>0</v>
      </c>
      <c r="H12" s="102">
        <v>415.8243103027344</v>
      </c>
      <c r="I12" s="103">
        <v>27.394390106201172</v>
      </c>
      <c r="J12" s="101">
        <v>0.027302246540784836</v>
      </c>
      <c r="K12" s="101">
        <v>38.98292922973633</v>
      </c>
      <c r="L12" s="101">
        <v>1.3995590209960938</v>
      </c>
      <c r="M12" s="101">
        <v>101.07420349121094</v>
      </c>
      <c r="N12" s="101">
        <v>114.74970245361328</v>
      </c>
      <c r="O12" s="101">
        <v>0</v>
      </c>
      <c r="P12" s="101">
        <v>25.5341796875</v>
      </c>
      <c r="Q12" s="101">
        <v>2.56496000289917</v>
      </c>
      <c r="R12" s="101">
        <v>2.9541015625</v>
      </c>
      <c r="S12" s="101">
        <v>142.6215057373047</v>
      </c>
      <c r="T12" s="101">
        <v>1.4556750059127808</v>
      </c>
      <c r="U12" s="101">
        <v>0.36100849509239197</v>
      </c>
      <c r="V12" s="101">
        <v>0.3598671853542328</v>
      </c>
      <c r="W12" s="101">
        <v>92.6576919555664</v>
      </c>
      <c r="X12" s="101">
        <v>0.5620592832565308</v>
      </c>
      <c r="Y12" s="101" t="s">
        <v>82</v>
      </c>
      <c r="Z12" s="101">
        <v>0.8554397821426392</v>
      </c>
      <c r="AA12" s="101">
        <v>150.52810668945312</v>
      </c>
      <c r="AB12" s="101">
        <v>165.43690490722656</v>
      </c>
      <c r="AC12" s="101">
        <v>0.46209490299224854</v>
      </c>
      <c r="AD12" s="101">
        <v>156.50320434570312</v>
      </c>
      <c r="AE12" s="104"/>
      <c r="AF12" s="104"/>
      <c r="AG12" s="104"/>
      <c r="AH12" s="104"/>
      <c r="AI12" s="104"/>
      <c r="AJ12" s="104"/>
      <c r="AK12" s="104"/>
      <c r="AL12" s="101">
        <v>27.756080627441406</v>
      </c>
      <c r="AM12" s="105">
        <v>0.023749999701976776</v>
      </c>
      <c r="AN12" s="106">
        <v>63.07870101928711</v>
      </c>
      <c r="AO12" s="107"/>
      <c r="AP12" s="108"/>
      <c r="AQ12" s="108">
        <v>0.2699652910232544</v>
      </c>
      <c r="AR12" s="109">
        <v>0.0003515014541335404</v>
      </c>
    </row>
    <row r="13" spans="2:47" ht="13.5" customHeight="1" x14ac:dyDescent="0.25">
      <c r="B13" s="14">
        <v>0.625</v>
      </c>
      <c r="C13" s="101">
        <v>50.12297058105469</v>
      </c>
      <c r="D13" s="101">
        <v>19.791669845581055</v>
      </c>
      <c r="E13" s="101">
        <v>25.6040096282959</v>
      </c>
      <c r="F13" s="101">
        <v>0.35850000381469727</v>
      </c>
      <c r="G13" s="101">
        <v>0</v>
      </c>
      <c r="H13" s="102">
        <v>416.2466125488281</v>
      </c>
      <c r="I13" s="103">
        <v>26.685470581054688</v>
      </c>
      <c r="J13" s="101">
        <v>0.026854004710912704</v>
      </c>
      <c r="K13" s="101">
        <v>39.30121994018555</v>
      </c>
      <c r="L13" s="101">
        <v>1.3997399806976318</v>
      </c>
      <c r="M13" s="101">
        <v>104.24259948730469</v>
      </c>
      <c r="N13" s="101">
        <v>113.02079772949219</v>
      </c>
      <c r="O13" s="101">
        <v>0</v>
      </c>
      <c r="P13" s="101">
        <v>25.52587890625</v>
      </c>
      <c r="Q13" s="101">
        <v>3.052783966064453</v>
      </c>
      <c r="R13" s="101">
        <v>2.890869140625</v>
      </c>
      <c r="S13" s="101">
        <v>142.78070068359375</v>
      </c>
      <c r="T13" s="101">
        <v>1.4552949666976929</v>
      </c>
      <c r="U13" s="101">
        <v>0.36072179675102234</v>
      </c>
      <c r="V13" s="101">
        <v>0.3597734272480011</v>
      </c>
      <c r="W13" s="101">
        <v>93.23639678955078</v>
      </c>
      <c r="X13" s="101">
        <v>0.559863805770874</v>
      </c>
      <c r="Y13" s="101" t="s">
        <v>82</v>
      </c>
      <c r="Z13" s="101">
        <v>0.8581597805023193</v>
      </c>
      <c r="AA13" s="101">
        <v>151.12120056152344</v>
      </c>
      <c r="AB13" s="101">
        <v>165.50929260253906</v>
      </c>
      <c r="AC13" s="101">
        <v>0.47334349155426025</v>
      </c>
      <c r="AD13" s="101">
        <v>156.4019012451172</v>
      </c>
      <c r="AE13" s="104"/>
      <c r="AF13" s="104"/>
      <c r="AG13" s="104"/>
      <c r="AH13" s="104"/>
      <c r="AI13" s="104"/>
      <c r="AJ13" s="104"/>
      <c r="AK13" s="104"/>
      <c r="AL13" s="101">
        <v>22.6960391998291</v>
      </c>
      <c r="AM13" s="105">
        <v>0.0239101555198431</v>
      </c>
      <c r="AN13" s="106">
        <v>63.1148681640625</v>
      </c>
      <c r="AO13" s="107"/>
      <c r="AP13" s="108"/>
      <c r="AQ13" s="108">
        <v>0.454644113779068</v>
      </c>
      <c r="AR13" s="109">
        <v>0.0003479003789834678</v>
      </c>
    </row>
    <row r="14" spans="2:47" ht="13.5" customHeight="1" x14ac:dyDescent="0.25">
      <c r="B14" s="14">
        <v>0.66666666666666696</v>
      </c>
      <c r="C14" s="101">
        <v>49.804691314697266</v>
      </c>
      <c r="D14" s="101">
        <v>20.258249282836914</v>
      </c>
      <c r="E14" s="101">
        <v>420.9540100097656</v>
      </c>
      <c r="F14" s="101">
        <v>0.3580000102519989</v>
      </c>
      <c r="G14" s="101">
        <v>0</v>
      </c>
      <c r="H14" s="102">
        <v>416.1722106933594</v>
      </c>
      <c r="I14" s="103">
        <v>25.976560592651367</v>
      </c>
      <c r="J14" s="101">
        <v>0.026294922456145287</v>
      </c>
      <c r="K14" s="101">
        <v>39.28675079345703</v>
      </c>
      <c r="L14" s="101">
        <v>1.3976600170135498</v>
      </c>
      <c r="M14" s="101">
        <v>105.58809661865234</v>
      </c>
      <c r="N14" s="101">
        <v>109.55580139160156</v>
      </c>
      <c r="O14" s="101">
        <v>0</v>
      </c>
      <c r="P14" s="101">
        <v>25.552734375</v>
      </c>
      <c r="Q14" s="101">
        <v>3.105346918106079</v>
      </c>
      <c r="R14" s="101">
        <v>2.89111328125</v>
      </c>
      <c r="S14" s="101">
        <v>143.40280151367188</v>
      </c>
      <c r="T14" s="101">
        <v>1.457321047782898</v>
      </c>
      <c r="U14" s="101">
        <v>0.3593769073486328</v>
      </c>
      <c r="V14" s="101">
        <v>0.36014842987060547</v>
      </c>
      <c r="W14" s="101">
        <v>93.1134262084961</v>
      </c>
      <c r="X14" s="101">
        <v>0.5582680106163025</v>
      </c>
      <c r="Y14" s="101" t="s">
        <v>82</v>
      </c>
      <c r="Z14" s="101">
        <v>0.8565971851348877</v>
      </c>
      <c r="AA14" s="101">
        <v>151.36000061035156</v>
      </c>
      <c r="AB14" s="101">
        <v>165.4803009033203</v>
      </c>
      <c r="AC14" s="101">
        <v>0.4578632116317749</v>
      </c>
      <c r="AD14" s="101">
        <v>156.20660400390625</v>
      </c>
      <c r="AE14" s="104"/>
      <c r="AF14" s="104"/>
      <c r="AG14" s="104"/>
      <c r="AH14" s="104"/>
      <c r="AI14" s="104"/>
      <c r="AJ14" s="104"/>
      <c r="AK14" s="104"/>
      <c r="AL14" s="101">
        <v>24.887880325317383</v>
      </c>
      <c r="AM14" s="105">
        <v>0.024120116606354713</v>
      </c>
      <c r="AN14" s="106">
        <v>62.10213851928711</v>
      </c>
      <c r="AO14" s="107"/>
      <c r="AP14" s="108"/>
      <c r="AQ14" s="108">
        <v>0.18692129850387573</v>
      </c>
      <c r="AR14" s="109">
        <v>0.00034872436663135886</v>
      </c>
    </row>
    <row r="15" spans="2:47" ht="13.5" customHeight="1" x14ac:dyDescent="0.25">
      <c r="B15" s="14">
        <v>0.70833333333333304</v>
      </c>
      <c r="C15" s="101">
        <v>49.645538330078125</v>
      </c>
      <c r="D15" s="101">
        <v>20.225690841674805</v>
      </c>
      <c r="E15" s="101">
        <v>421.2314147949219</v>
      </c>
      <c r="F15" s="101">
        <v>0.35768750309944153</v>
      </c>
      <c r="G15" s="101">
        <v>0</v>
      </c>
      <c r="H15" s="102">
        <v>416.190185546875</v>
      </c>
      <c r="I15" s="103">
        <v>25.31829071044922</v>
      </c>
      <c r="J15" s="101">
        <v>0.025379883125424385</v>
      </c>
      <c r="K15" s="101">
        <v>39.337379455566406</v>
      </c>
      <c r="L15" s="101">
        <v>1.4018189907073975</v>
      </c>
      <c r="M15" s="101">
        <v>105.002197265625</v>
      </c>
      <c r="N15" s="101">
        <v>110.91580200195312</v>
      </c>
      <c r="O15" s="101">
        <v>0</v>
      </c>
      <c r="P15" s="101">
        <v>25.564453125</v>
      </c>
      <c r="Q15" s="101">
        <v>2.5660629272460938</v>
      </c>
      <c r="R15" s="101">
        <v>2.973876953125</v>
      </c>
      <c r="S15" s="101">
        <v>142.5926055908203</v>
      </c>
      <c r="T15" s="101">
        <v>1.4537760019302368</v>
      </c>
      <c r="U15" s="101">
        <v>0.36014050245285034</v>
      </c>
      <c r="V15" s="101">
        <v>0.360289067029953</v>
      </c>
      <c r="W15" s="101">
        <v>92.97598266601562</v>
      </c>
      <c r="X15" s="101">
        <v>0.5629953742027283</v>
      </c>
      <c r="Y15" s="101" t="s">
        <v>82</v>
      </c>
      <c r="Z15" s="101">
        <v>0.8538194894790649</v>
      </c>
      <c r="AA15" s="101">
        <v>150.96209716796875</v>
      </c>
      <c r="AB15" s="101">
        <v>165.42970275878906</v>
      </c>
      <c r="AC15" s="101">
        <v>0.4210068881511688</v>
      </c>
      <c r="AD15" s="101">
        <v>156.36570739746094</v>
      </c>
      <c r="AE15" s="104">
        <v>2</v>
      </c>
      <c r="AF15" s="104">
        <v>3</v>
      </c>
      <c r="AG15" s="104">
        <v>4</v>
      </c>
      <c r="AH15" s="104">
        <v>5</v>
      </c>
      <c r="AI15" s="104">
        <v>6</v>
      </c>
      <c r="AJ15" s="104">
        <v>7</v>
      </c>
      <c r="AK15" s="104">
        <v>8</v>
      </c>
      <c r="AL15" s="101">
        <v>21.506080627441406</v>
      </c>
      <c r="AM15" s="105">
        <v>0.024080079048871994</v>
      </c>
      <c r="AN15" s="106">
        <v>62.15639114379883</v>
      </c>
      <c r="AO15" s="107"/>
      <c r="AP15" s="108"/>
      <c r="AQ15" s="108">
        <v>0.2298177033662796</v>
      </c>
      <c r="AR15" s="109">
        <v>0.0003435974067542702</v>
      </c>
    </row>
    <row r="16" spans="2:47" ht="13.5" customHeight="1" x14ac:dyDescent="0.25">
      <c r="B16" s="14">
        <v>0.75</v>
      </c>
      <c r="C16" s="101">
        <v>49.57320022583008</v>
      </c>
      <c r="D16" s="101">
        <v>19.948999404907227</v>
      </c>
      <c r="E16" s="101">
        <v>418.9689025878906</v>
      </c>
      <c r="F16" s="101">
        <v>0.35768750309944153</v>
      </c>
      <c r="G16" s="101">
        <v>0</v>
      </c>
      <c r="H16" s="102">
        <v>416.6034851074219</v>
      </c>
      <c r="I16" s="103">
        <v>26.710790634155273</v>
      </c>
      <c r="J16" s="101">
        <v>0.026673827320337296</v>
      </c>
      <c r="K16" s="101">
        <v>39.40972137451172</v>
      </c>
      <c r="L16" s="101">
        <v>1.4014580249786377</v>
      </c>
      <c r="M16" s="101">
        <v>108.29540252685547</v>
      </c>
      <c r="N16" s="101">
        <v>115.8926010131836</v>
      </c>
      <c r="O16" s="101">
        <v>0</v>
      </c>
      <c r="P16" s="101">
        <v>25.52490234375</v>
      </c>
      <c r="Q16" s="101">
        <v>2.8820641040802</v>
      </c>
      <c r="R16" s="101">
        <v>3.04296875</v>
      </c>
      <c r="S16" s="101">
        <v>143.3159942626953</v>
      </c>
      <c r="T16" s="101">
        <v>1.4565609693527222</v>
      </c>
      <c r="U16" s="101">
        <v>0.3584943115711212</v>
      </c>
      <c r="V16" s="101">
        <v>0.3597656190395355</v>
      </c>
      <c r="W16" s="101">
        <v>93.00492095947266</v>
      </c>
      <c r="X16" s="101">
        <v>0.5598217844963074</v>
      </c>
      <c r="Y16" s="101" t="s">
        <v>82</v>
      </c>
      <c r="Z16" s="101">
        <v>0.8590278029441833</v>
      </c>
      <c r="AA16" s="101">
        <v>151.17190551757812</v>
      </c>
      <c r="AB16" s="101">
        <v>165.6177978515625</v>
      </c>
      <c r="AC16" s="101">
        <v>0.5434750914573669</v>
      </c>
      <c r="AD16" s="101">
        <v>156.6551055908203</v>
      </c>
      <c r="AE16" s="104"/>
      <c r="AF16" s="104"/>
      <c r="AG16" s="104"/>
      <c r="AH16" s="104"/>
      <c r="AI16" s="104"/>
      <c r="AJ16" s="104"/>
      <c r="AK16" s="104"/>
      <c r="AL16" s="101">
        <v>21.115449905395508</v>
      </c>
      <c r="AM16" s="105">
        <v>0.024110350757837296</v>
      </c>
      <c r="AN16" s="106">
        <v>62.1961784362793</v>
      </c>
      <c r="AO16" s="107"/>
      <c r="AP16" s="108"/>
      <c r="AQ16" s="108">
        <v>0.23574939370155334</v>
      </c>
      <c r="AR16" s="109">
        <v>0.00034680176759138703</v>
      </c>
    </row>
    <row r="17" spans="2:44" ht="13.5" customHeight="1" x14ac:dyDescent="0.25">
      <c r="B17" s="14">
        <v>0.79166666666666696</v>
      </c>
      <c r="C17" s="101">
        <v>49.43938064575195</v>
      </c>
      <c r="D17" s="101">
        <v>19.656030654907227</v>
      </c>
      <c r="E17" s="101">
        <v>419.1669006347656</v>
      </c>
      <c r="F17" s="101">
        <v>0.35762500762939453</v>
      </c>
      <c r="G17" s="101">
        <v>0</v>
      </c>
      <c r="H17" s="102">
        <v>416.4219055175781</v>
      </c>
      <c r="I17" s="103">
        <v>26.204429626464844</v>
      </c>
      <c r="J17" s="101">
        <v>0.026296386495232582</v>
      </c>
      <c r="K17" s="101">
        <v>39.5399284362793</v>
      </c>
      <c r="L17" s="101">
        <v>1.3995590209960938</v>
      </c>
      <c r="M17" s="101">
        <v>111.40950012207031</v>
      </c>
      <c r="N17" s="101">
        <v>116.47859954833984</v>
      </c>
      <c r="O17" s="101">
        <v>0</v>
      </c>
      <c r="P17" s="101">
        <v>25.52490234375</v>
      </c>
      <c r="Q17" s="101">
        <v>2.872476100921631</v>
      </c>
      <c r="R17" s="101">
        <v>2.85498046875</v>
      </c>
      <c r="S17" s="101">
        <v>142.9687957763672</v>
      </c>
      <c r="T17" s="101">
        <v>1.4541560411453247</v>
      </c>
      <c r="U17" s="101">
        <v>0.36067861318588257</v>
      </c>
      <c r="V17" s="101">
        <v>0.35975000262260437</v>
      </c>
      <c r="W17" s="101">
        <v>93.01215362548828</v>
      </c>
      <c r="X17" s="101">
        <v>0.5585011839866638</v>
      </c>
      <c r="Y17" s="101" t="s">
        <v>82</v>
      </c>
      <c r="Z17" s="101">
        <v>0.8567129969596863</v>
      </c>
      <c r="AA17" s="101">
        <v>150.99099731445312</v>
      </c>
      <c r="AB17" s="101">
        <v>165.55270385742188</v>
      </c>
      <c r="AC17" s="101">
        <v>0.44527629017829895</v>
      </c>
      <c r="AD17" s="101">
        <v>156.4019012451172</v>
      </c>
      <c r="AE17" s="104"/>
      <c r="AF17" s="104"/>
      <c r="AG17" s="104"/>
      <c r="AH17" s="104"/>
      <c r="AI17" s="104"/>
      <c r="AJ17" s="104"/>
      <c r="AK17" s="104"/>
      <c r="AL17" s="101">
        <v>23.524309158325195</v>
      </c>
      <c r="AM17" s="105">
        <v>0.023959960788488388</v>
      </c>
      <c r="AN17" s="106">
        <v>62.131080627441406</v>
      </c>
      <c r="AO17" s="107"/>
      <c r="AP17" s="108"/>
      <c r="AQ17" s="108">
        <v>0.4696904122829437</v>
      </c>
      <c r="AR17" s="109">
        <v>0.00034500123001635075</v>
      </c>
    </row>
    <row r="18" spans="2:44" ht="13.5" customHeight="1" x14ac:dyDescent="0.25">
      <c r="B18" s="42">
        <v>0.83333333333333404</v>
      </c>
      <c r="C18" s="110">
        <v>49.25130081176758</v>
      </c>
      <c r="D18" s="110">
        <v>19.656030654907227</v>
      </c>
      <c r="E18" s="110">
        <v>25.19230079650879</v>
      </c>
      <c r="F18" s="110">
        <v>0.35749998688697815</v>
      </c>
      <c r="G18" s="110">
        <v>0</v>
      </c>
      <c r="H18" s="111">
        <v>416.1903076171875</v>
      </c>
      <c r="I18" s="112">
        <v>24.53342056274414</v>
      </c>
      <c r="J18" s="110">
        <v>0.025907713919878006</v>
      </c>
      <c r="K18" s="110">
        <v>39.46759033203125</v>
      </c>
      <c r="L18" s="110">
        <v>1.4054360389709473</v>
      </c>
      <c r="M18" s="110">
        <v>110.8561019897461</v>
      </c>
      <c r="N18" s="110">
        <v>116.05180358886719</v>
      </c>
      <c r="O18" s="110">
        <v>0</v>
      </c>
      <c r="P18" s="110">
        <v>25.43310546875</v>
      </c>
      <c r="Q18" s="110">
        <v>2.9198360443115234</v>
      </c>
      <c r="R18" s="110">
        <v>2.93798828125</v>
      </c>
      <c r="S18" s="110">
        <v>143.6053009033203</v>
      </c>
      <c r="T18" s="110">
        <v>1.4574470520019531</v>
      </c>
      <c r="U18" s="110">
        <v>0.36182668805122375</v>
      </c>
      <c r="V18" s="110">
        <v>0.3596796989440918</v>
      </c>
      <c r="W18" s="110">
        <v>93.20023345947266</v>
      </c>
      <c r="X18" s="110">
        <v>0.5600718855857849</v>
      </c>
      <c r="Y18" s="110"/>
      <c r="Z18" s="110">
        <v>0.8578125238418579</v>
      </c>
      <c r="AA18" s="110">
        <v>151.17909240722656</v>
      </c>
      <c r="AB18" s="110">
        <v>165.66839599609375</v>
      </c>
      <c r="AC18" s="110">
        <v>0.47334349155426025</v>
      </c>
      <c r="AD18" s="110">
        <v>156.51040649414062</v>
      </c>
      <c r="AE18" s="113"/>
      <c r="AF18" s="113"/>
      <c r="AG18" s="113"/>
      <c r="AH18" s="113"/>
      <c r="AI18" s="113"/>
      <c r="AJ18" s="113"/>
      <c r="AK18" s="113"/>
      <c r="AL18" s="110">
        <v>24.4719295501709</v>
      </c>
      <c r="AM18" s="114">
        <v>0.02391992136836052</v>
      </c>
      <c r="AN18" s="115">
        <v>62.1781005859375</v>
      </c>
      <c r="AO18" s="107"/>
      <c r="AP18" s="108"/>
      <c r="AQ18" s="108">
        <v>0.18829570710659027</v>
      </c>
      <c r="AR18" s="116">
        <v>0.0003464965848252177</v>
      </c>
    </row>
    <row r="19" spans="2:44" ht="18" customHeight="1" x14ac:dyDescent="0.25">
      <c r="B19" s="200" t="s">
        <v>181</v>
      </c>
      <c r="C19" s="36" t="s">
        <v>168</v>
      </c>
      <c r="D19" s="36" t="s">
        <v>171</v>
      </c>
      <c r="E19" s="159" t="s">
        <v>17</v>
      </c>
      <c r="F19" s="214"/>
      <c r="G19" s="215"/>
      <c r="H19" s="216" t="s">
        <v>108</v>
      </c>
      <c r="I19" s="214"/>
      <c r="J19" s="214"/>
      <c r="K19" s="214"/>
      <c r="L19" s="179"/>
      <c r="M19" s="217" t="s">
        <v>123</v>
      </c>
      <c r="N19" s="214"/>
      <c r="O19" s="214"/>
      <c r="P19" s="214"/>
      <c r="Q19" s="215"/>
      <c r="R19" s="216" t="s">
        <v>147</v>
      </c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5"/>
      <c r="AG19" s="178" t="s">
        <v>24</v>
      </c>
      <c r="AH19" s="215"/>
      <c r="AI19" s="226" t="s">
        <v>173</v>
      </c>
      <c r="AJ19" s="227"/>
      <c r="AK19" s="227"/>
      <c r="AL19" s="227"/>
      <c r="AM19" s="228"/>
      <c r="AN19" s="178" t="s">
        <v>47</v>
      </c>
      <c r="AO19" s="218"/>
      <c r="AP19" s="214" t="s">
        <v>180</v>
      </c>
      <c r="AQ19" s="219"/>
      <c r="AR19" s="220"/>
    </row>
    <row r="20" spans="2:44" ht="20.15" customHeight="1" x14ac:dyDescent="0.25">
      <c r="B20" s="201"/>
      <c r="C20" s="3" t="s">
        <v>169</v>
      </c>
      <c r="D20" s="3" t="s">
        <v>113</v>
      </c>
      <c r="E20" s="3" t="s">
        <v>15</v>
      </c>
      <c r="F20" s="170" t="s">
        <v>100</v>
      </c>
      <c r="G20" s="174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72" t="s">
        <v>148</v>
      </c>
      <c r="AE20" s="174"/>
      <c r="AF20" s="17" t="s">
        <v>151</v>
      </c>
      <c r="AG20" s="17" t="s">
        <v>153</v>
      </c>
      <c r="AH20" s="17" t="s">
        <v>155</v>
      </c>
      <c r="AI20" s="188" t="s">
        <v>89</v>
      </c>
      <c r="AJ20" s="189"/>
      <c r="AK20" s="188" t="s">
        <v>92</v>
      </c>
      <c r="AL20" s="189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201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14">
        <v>0.33333333333333331</v>
      </c>
      <c r="C22" s="101">
        <v>-81.87934112548828</v>
      </c>
      <c r="D22" s="101">
        <v>-84.00607299804688</v>
      </c>
      <c r="E22" s="101">
        <v>44.76634979248047</v>
      </c>
      <c r="F22" s="101">
        <v>0.10062210261821747</v>
      </c>
      <c r="G22" s="101"/>
      <c r="H22" s="101"/>
      <c r="I22" s="101"/>
      <c r="J22" s="101"/>
      <c r="K22" s="101"/>
      <c r="L22" s="102"/>
      <c r="M22" s="117">
        <v>69.082763671875</v>
      </c>
      <c r="N22" s="101">
        <v>48.02878952026367</v>
      </c>
      <c r="O22" s="101">
        <v>0</v>
      </c>
      <c r="P22" s="101">
        <v>50</v>
      </c>
      <c r="Q22" s="101">
        <v>2.934462070465088</v>
      </c>
      <c r="R22" s="101">
        <v>18.59808921813965</v>
      </c>
      <c r="S22" s="118">
        <v>91.39540100097656</v>
      </c>
      <c r="T22" s="118">
        <v>0</v>
      </c>
      <c r="U22" s="118">
        <v>0</v>
      </c>
      <c r="V22" s="118">
        <v>19.14604949951172</v>
      </c>
      <c r="W22" s="118">
        <v>84.66253662109375</v>
      </c>
      <c r="X22" s="118">
        <v>25</v>
      </c>
      <c r="Y22" s="118">
        <v>59.223819732666016</v>
      </c>
      <c r="Z22" s="118">
        <v>15.453200340270996</v>
      </c>
      <c r="AA22" s="118">
        <v>17.740890502929688</v>
      </c>
      <c r="AB22" s="118"/>
      <c r="AC22" s="105"/>
      <c r="AD22" s="105">
        <v>0</v>
      </c>
      <c r="AE22" s="105"/>
      <c r="AF22" s="105"/>
      <c r="AG22" s="105">
        <v>19.831449508666992</v>
      </c>
      <c r="AH22" s="105"/>
      <c r="AI22" s="119"/>
      <c r="AJ22" s="119"/>
      <c r="AK22" s="119"/>
      <c r="AL22" s="119"/>
      <c r="AM22" s="119"/>
      <c r="AN22" s="105">
        <v>70.0665512084961</v>
      </c>
      <c r="AO22" s="106">
        <v>69.3829574584961</v>
      </c>
      <c r="AP22" s="107">
        <v>27.000139236450195</v>
      </c>
      <c r="AQ22" s="108">
        <v>37.868919372558594</v>
      </c>
      <c r="AR22" s="109">
        <v>-88.85633850097656</v>
      </c>
    </row>
    <row r="23" spans="2:44" ht="13.5" customHeight="1" x14ac:dyDescent="0.25">
      <c r="B23" s="14">
        <v>0.375</v>
      </c>
      <c r="C23" s="101">
        <v>-81.82869720458984</v>
      </c>
      <c r="D23" s="101">
        <v>-83.99884033203125</v>
      </c>
      <c r="E23" s="101">
        <v>44.661460876464844</v>
      </c>
      <c r="F23" s="101">
        <v>0.09932001680135727</v>
      </c>
      <c r="G23" s="101">
        <v>0.00010025024675996974</v>
      </c>
      <c r="H23" s="101"/>
      <c r="I23" s="101"/>
      <c r="J23" s="101"/>
      <c r="K23" s="101"/>
      <c r="L23" s="102"/>
      <c r="M23" s="117">
        <v>70.13526916503906</v>
      </c>
      <c r="N23" s="101">
        <v>47.851558685302734</v>
      </c>
      <c r="O23" s="101">
        <v>0</v>
      </c>
      <c r="P23" s="101">
        <v>50</v>
      </c>
      <c r="Q23" s="101">
        <v>2.9361979961395264</v>
      </c>
      <c r="R23" s="101">
        <v>20.283559799194336</v>
      </c>
      <c r="S23" s="118">
        <v>90.57074737548828</v>
      </c>
      <c r="T23" s="118">
        <v>0</v>
      </c>
      <c r="U23" s="118">
        <v>0</v>
      </c>
      <c r="V23" s="118">
        <v>28.98763084411621</v>
      </c>
      <c r="W23" s="118">
        <v>100.16819763183594</v>
      </c>
      <c r="X23" s="118">
        <v>28</v>
      </c>
      <c r="Y23" s="118">
        <v>66.15868377685547</v>
      </c>
      <c r="Z23" s="118">
        <v>15.69552993774414</v>
      </c>
      <c r="AA23" s="118">
        <v>19.276260375976562</v>
      </c>
      <c r="AB23" s="118"/>
      <c r="AC23" s="105"/>
      <c r="AD23" s="105">
        <v>1.5479600429534912</v>
      </c>
      <c r="AE23" s="105">
        <v>0.000695434573572129</v>
      </c>
      <c r="AF23" s="105"/>
      <c r="AG23" s="105">
        <v>77.55713653564453</v>
      </c>
      <c r="AH23" s="105"/>
      <c r="AI23" s="119"/>
      <c r="AJ23" s="119"/>
      <c r="AK23" s="119"/>
      <c r="AL23" s="119"/>
      <c r="AM23" s="119"/>
      <c r="AN23" s="105">
        <v>69.4806137084961</v>
      </c>
      <c r="AO23" s="106">
        <v>85.74942016601562</v>
      </c>
      <c r="AP23" s="107">
        <v>29.58622932434082</v>
      </c>
      <c r="AQ23" s="108">
        <v>37.84722137451172</v>
      </c>
      <c r="AR23" s="109">
        <v>-88.51997375488281</v>
      </c>
    </row>
    <row r="24" spans="2:44" ht="13.5" customHeight="1" x14ac:dyDescent="0.25">
      <c r="B24" s="14">
        <v>0.41666666666666702</v>
      </c>
      <c r="C24" s="101">
        <v>-81.79252624511719</v>
      </c>
      <c r="D24" s="101">
        <v>-83.97714233398438</v>
      </c>
      <c r="E24" s="101">
        <v>44.900169372558594</v>
      </c>
      <c r="F24" s="101">
        <v>0.09302662312984467</v>
      </c>
      <c r="G24" s="101">
        <v>0.00010025024675996974</v>
      </c>
      <c r="H24" s="101"/>
      <c r="I24" s="101"/>
      <c r="J24" s="101"/>
      <c r="K24" s="101"/>
      <c r="L24" s="102"/>
      <c r="M24" s="117">
        <v>72.4392318725586</v>
      </c>
      <c r="N24" s="101">
        <v>46.91477966308594</v>
      </c>
      <c r="O24" s="101">
        <v>0</v>
      </c>
      <c r="P24" s="101">
        <v>50</v>
      </c>
      <c r="Q24" s="101">
        <v>2.938368082046509</v>
      </c>
      <c r="R24" s="101">
        <v>20.120800018310547</v>
      </c>
      <c r="S24" s="118">
        <v>93.0447006225586</v>
      </c>
      <c r="T24" s="118">
        <v>0</v>
      </c>
      <c r="U24" s="118">
        <v>0</v>
      </c>
      <c r="V24" s="118">
        <v>26.502819061279297</v>
      </c>
      <c r="W24" s="118">
        <v>86.58854675292969</v>
      </c>
      <c r="X24" s="118">
        <v>28</v>
      </c>
      <c r="Y24" s="118">
        <v>66.37171173095703</v>
      </c>
      <c r="Z24" s="118">
        <v>15.545430183410645</v>
      </c>
      <c r="AA24" s="118">
        <v>19.102649688720703</v>
      </c>
      <c r="AB24" s="118"/>
      <c r="AC24" s="105"/>
      <c r="AD24" s="105">
        <v>0</v>
      </c>
      <c r="AE24" s="105">
        <v>0.0006709594745188951</v>
      </c>
      <c r="AF24" s="105"/>
      <c r="AG24" s="105">
        <v>24.801069259643555</v>
      </c>
      <c r="AH24" s="105"/>
      <c r="AI24" s="119"/>
      <c r="AJ24" s="119"/>
      <c r="AK24" s="119"/>
      <c r="AL24" s="119"/>
      <c r="AM24" s="119"/>
      <c r="AN24" s="105">
        <v>64.5326919555664</v>
      </c>
      <c r="AO24" s="106">
        <v>43.36661148071289</v>
      </c>
      <c r="AP24" s="107">
        <v>27.27140998840332</v>
      </c>
      <c r="AQ24" s="108">
        <v>37.50722885131836</v>
      </c>
      <c r="AR24" s="109">
        <v>-88.73697662353516</v>
      </c>
    </row>
    <row r="25" spans="2:44" ht="13.5" customHeight="1" x14ac:dyDescent="0.25">
      <c r="B25" s="14">
        <v>0.45833333333333298</v>
      </c>
      <c r="C25" s="101">
        <v>-81.77084350585938</v>
      </c>
      <c r="D25" s="101">
        <v>-84.10011291503906</v>
      </c>
      <c r="E25" s="101">
        <v>45.51142883300781</v>
      </c>
      <c r="F25" s="101">
        <v>0.1078559011220932</v>
      </c>
      <c r="G25" s="101">
        <v>0.00010076904436573386</v>
      </c>
      <c r="H25" s="101"/>
      <c r="I25" s="101"/>
      <c r="J25" s="101"/>
      <c r="K25" s="101"/>
      <c r="L25" s="102"/>
      <c r="M25" s="117">
        <v>73.47367095947266</v>
      </c>
      <c r="N25" s="101">
        <v>46.67245101928711</v>
      </c>
      <c r="O25" s="101">
        <v>0</v>
      </c>
      <c r="P25" s="101">
        <v>50</v>
      </c>
      <c r="Q25" s="101">
        <v>2.946181058883667</v>
      </c>
      <c r="R25" s="101">
        <v>20.428239822387695</v>
      </c>
      <c r="S25" s="118">
        <v>91.74262237548828</v>
      </c>
      <c r="T25" s="118">
        <v>0</v>
      </c>
      <c r="U25" s="118">
        <v>0</v>
      </c>
      <c r="V25" s="118">
        <v>24.582250595092773</v>
      </c>
      <c r="W25" s="118">
        <v>88.12391662597656</v>
      </c>
      <c r="X25" s="118">
        <v>28</v>
      </c>
      <c r="Y25" s="118">
        <v>66.56231689453125</v>
      </c>
      <c r="Z25" s="118">
        <v>15.630430221557617</v>
      </c>
      <c r="AA25" s="118">
        <v>19.618059158325195</v>
      </c>
      <c r="AB25" s="118"/>
      <c r="AC25" s="105"/>
      <c r="AD25" s="105">
        <v>1.5479600429534912</v>
      </c>
      <c r="AE25" s="105">
        <v>0.001135192927904427</v>
      </c>
      <c r="AF25" s="105"/>
      <c r="AG25" s="105">
        <v>22.80093002319336</v>
      </c>
      <c r="AH25" s="105"/>
      <c r="AI25" s="119"/>
      <c r="AJ25" s="119"/>
      <c r="AK25" s="119"/>
      <c r="AL25" s="119"/>
      <c r="AM25" s="119"/>
      <c r="AN25" s="105">
        <v>75.96932983398438</v>
      </c>
      <c r="AO25" s="106">
        <v>48.401329040527344</v>
      </c>
      <c r="AP25" s="107">
        <v>24.18800926208496</v>
      </c>
      <c r="AQ25" s="108">
        <v>43.297889709472656</v>
      </c>
      <c r="AR25" s="109">
        <v>-88.95398712158203</v>
      </c>
    </row>
    <row r="26" spans="2:44" ht="13.5" customHeight="1" x14ac:dyDescent="0.25">
      <c r="B26" s="14">
        <v>0.5</v>
      </c>
      <c r="C26" s="101">
        <v>-81.7853012084961</v>
      </c>
      <c r="D26" s="101">
        <v>-83.99884033203125</v>
      </c>
      <c r="E26" s="101">
        <v>45.18952941894531</v>
      </c>
      <c r="F26" s="101">
        <v>0.11074940115213394</v>
      </c>
      <c r="G26" s="101">
        <v>9.970092651201412E-05</v>
      </c>
      <c r="H26" s="101"/>
      <c r="I26" s="101"/>
      <c r="J26" s="101"/>
      <c r="K26" s="101"/>
      <c r="L26" s="102"/>
      <c r="M26" s="117">
        <v>77.39800262451172</v>
      </c>
      <c r="N26" s="101">
        <v>46.31438064575195</v>
      </c>
      <c r="O26" s="101">
        <v>0</v>
      </c>
      <c r="P26" s="101">
        <v>50</v>
      </c>
      <c r="Q26" s="101">
        <v>2.9700520038604736</v>
      </c>
      <c r="R26" s="101">
        <v>19.958040237426758</v>
      </c>
      <c r="S26" s="118">
        <v>94.6072006225586</v>
      </c>
      <c r="T26" s="118">
        <v>0</v>
      </c>
      <c r="U26" s="118">
        <v>0</v>
      </c>
      <c r="V26" s="118">
        <v>39.78950119018555</v>
      </c>
      <c r="W26" s="118">
        <v>107.1343002319336</v>
      </c>
      <c r="X26" s="118">
        <v>28</v>
      </c>
      <c r="Y26" s="118">
        <v>66.56231689453125</v>
      </c>
      <c r="Z26" s="118">
        <v>15.469470024108887</v>
      </c>
      <c r="AA26" s="118">
        <v>19.14604949951172</v>
      </c>
      <c r="AB26" s="118"/>
      <c r="AC26" s="105"/>
      <c r="AD26" s="105">
        <v>1.5479600429534912</v>
      </c>
      <c r="AE26" s="105">
        <v>0.0015480347210541368</v>
      </c>
      <c r="AF26" s="105"/>
      <c r="AG26" s="105">
        <v>51.44675827026367</v>
      </c>
      <c r="AH26" s="105"/>
      <c r="AI26" s="119"/>
      <c r="AJ26" s="119"/>
      <c r="AK26" s="119"/>
      <c r="AL26" s="119"/>
      <c r="AM26" s="119"/>
      <c r="AN26" s="105">
        <v>81.75636291503906</v>
      </c>
      <c r="AO26" s="106">
        <v>64.74971008300781</v>
      </c>
      <c r="AP26" s="107">
        <v>16.927080154418945</v>
      </c>
      <c r="AQ26" s="108">
        <v>28.59881019592285</v>
      </c>
      <c r="AR26" s="109">
        <v>-0.06510162353515625</v>
      </c>
    </row>
    <row r="27" spans="2:44" ht="13.5" customHeight="1" x14ac:dyDescent="0.25">
      <c r="B27" s="14">
        <v>0.54166666666666596</v>
      </c>
      <c r="C27" s="101">
        <v>-81.89380645751953</v>
      </c>
      <c r="D27" s="101">
        <v>-83.98438262939453</v>
      </c>
      <c r="E27" s="101">
        <v>44.596351623535156</v>
      </c>
      <c r="F27" s="101">
        <v>0.10351560264825821</v>
      </c>
      <c r="G27" s="101">
        <v>0.00010403442138340324</v>
      </c>
      <c r="H27" s="101"/>
      <c r="I27" s="101"/>
      <c r="J27" s="101"/>
      <c r="K27" s="101"/>
      <c r="L27" s="102"/>
      <c r="M27" s="117">
        <v>77.18460845947266</v>
      </c>
      <c r="N27" s="101">
        <v>46.686920166015625</v>
      </c>
      <c r="O27" s="101">
        <v>0</v>
      </c>
      <c r="P27" s="101">
        <v>50</v>
      </c>
      <c r="Q27" s="101">
        <v>2.971787929534912</v>
      </c>
      <c r="R27" s="101">
        <v>20.294410705566406</v>
      </c>
      <c r="S27" s="118">
        <v>95.46803283691406</v>
      </c>
      <c r="T27" s="118">
        <v>0</v>
      </c>
      <c r="U27" s="118">
        <v>0</v>
      </c>
      <c r="V27" s="118">
        <v>18.58724021911621</v>
      </c>
      <c r="W27" s="118">
        <v>55.87023162841797</v>
      </c>
      <c r="X27" s="118">
        <v>28</v>
      </c>
      <c r="Y27" s="118">
        <v>66.45580291748047</v>
      </c>
      <c r="Z27" s="118">
        <v>16.545499801635742</v>
      </c>
      <c r="AA27" s="118">
        <v>19.61263084411621</v>
      </c>
      <c r="AB27" s="118"/>
      <c r="AC27" s="105"/>
      <c r="AD27" s="105">
        <v>1.5480690002441406</v>
      </c>
      <c r="AE27" s="105">
        <v>0.0015468749916180968</v>
      </c>
      <c r="AF27" s="105"/>
      <c r="AG27" s="105">
        <v>43.58723831176758</v>
      </c>
      <c r="AH27" s="105"/>
      <c r="AI27" s="119"/>
      <c r="AJ27" s="119"/>
      <c r="AK27" s="119"/>
      <c r="AL27" s="119"/>
      <c r="AM27" s="119"/>
      <c r="AN27" s="105">
        <v>78.6892318725586</v>
      </c>
      <c r="AO27" s="106">
        <v>71.8569107055664</v>
      </c>
      <c r="AP27" s="107">
        <v>10.932069778442383</v>
      </c>
      <c r="AQ27" s="108">
        <v>27.246089935302734</v>
      </c>
      <c r="AR27" s="109">
        <v>-0.06510162353515625</v>
      </c>
    </row>
    <row r="28" spans="2:44" ht="13.5" customHeight="1" x14ac:dyDescent="0.25">
      <c r="B28" s="14">
        <v>0.58333333333333304</v>
      </c>
      <c r="C28" s="101">
        <v>-82.06742095947266</v>
      </c>
      <c r="D28" s="101">
        <v>-84.01331329345703</v>
      </c>
      <c r="E28" s="101">
        <v>44.90378952026367</v>
      </c>
      <c r="F28" s="101">
        <v>0.10923030227422714</v>
      </c>
      <c r="G28" s="101">
        <v>0.00010211944754701108</v>
      </c>
      <c r="H28" s="101"/>
      <c r="I28" s="101"/>
      <c r="J28" s="101"/>
      <c r="K28" s="101"/>
      <c r="L28" s="102"/>
      <c r="M28" s="117">
        <v>73.60749053955078</v>
      </c>
      <c r="N28" s="101">
        <v>47.08116149902344</v>
      </c>
      <c r="O28" s="101">
        <v>0</v>
      </c>
      <c r="P28" s="101">
        <v>50</v>
      </c>
      <c r="Q28" s="101">
        <v>2.9505209922790527</v>
      </c>
      <c r="R28" s="101">
        <v>21.502460479736328</v>
      </c>
      <c r="S28" s="118">
        <v>93.47872924804688</v>
      </c>
      <c r="T28" s="118">
        <v>50</v>
      </c>
      <c r="U28" s="118">
        <v>62.65480041503906</v>
      </c>
      <c r="V28" s="118">
        <v>14.415149688720703</v>
      </c>
      <c r="W28" s="118">
        <v>20.95269012451172</v>
      </c>
      <c r="X28" s="118">
        <v>0</v>
      </c>
      <c r="Y28" s="118">
        <v>0</v>
      </c>
      <c r="Z28" s="118">
        <v>16.78240966796875</v>
      </c>
      <c r="AA28" s="118">
        <v>46.587459564208984</v>
      </c>
      <c r="AB28" s="118"/>
      <c r="AC28" s="105"/>
      <c r="AD28" s="105">
        <v>0</v>
      </c>
      <c r="AE28" s="105">
        <v>0.00043072510743513703</v>
      </c>
      <c r="AF28" s="105"/>
      <c r="AG28" s="105">
        <v>5.179398059844971</v>
      </c>
      <c r="AH28" s="105"/>
      <c r="AI28" s="119"/>
      <c r="AJ28" s="119"/>
      <c r="AK28" s="119"/>
      <c r="AL28" s="119"/>
      <c r="AM28" s="119"/>
      <c r="AN28" s="105">
        <v>76.21527862548828</v>
      </c>
      <c r="AO28" s="106">
        <v>46.34693145751953</v>
      </c>
      <c r="AP28" s="107">
        <v>25.887950897216797</v>
      </c>
      <c r="AQ28" s="108">
        <v>15.078849792480469</v>
      </c>
      <c r="AR28" s="109">
        <v>-89.21440887451172</v>
      </c>
    </row>
    <row r="29" spans="2:44" ht="13.5" customHeight="1" x14ac:dyDescent="0.25">
      <c r="B29" s="14">
        <v>0.625</v>
      </c>
      <c r="C29" s="101">
        <v>-82.16869354248047</v>
      </c>
      <c r="D29" s="101">
        <v>-83.99884033203125</v>
      </c>
      <c r="E29" s="101">
        <v>44.75550079345703</v>
      </c>
      <c r="F29" s="101">
        <v>0.10271990299224854</v>
      </c>
      <c r="G29" s="101">
        <v>0.00010208129970123991</v>
      </c>
      <c r="H29" s="101"/>
      <c r="I29" s="101"/>
      <c r="J29" s="101"/>
      <c r="K29" s="101"/>
      <c r="L29" s="102"/>
      <c r="M29" s="117">
        <v>71.96903991699219</v>
      </c>
      <c r="N29" s="101">
        <v>47.22222137451172</v>
      </c>
      <c r="O29" s="101">
        <v>0</v>
      </c>
      <c r="P29" s="101">
        <v>50</v>
      </c>
      <c r="Q29" s="101">
        <v>2.914062976837158</v>
      </c>
      <c r="R29" s="101">
        <v>23.03240966796875</v>
      </c>
      <c r="S29" s="118">
        <v>90.73712158203125</v>
      </c>
      <c r="T29" s="118">
        <v>50</v>
      </c>
      <c r="U29" s="118">
        <v>64.05074310302734</v>
      </c>
      <c r="V29" s="118">
        <v>15.125869750976562</v>
      </c>
      <c r="W29" s="118">
        <v>22.401260375976562</v>
      </c>
      <c r="X29" s="118">
        <v>0</v>
      </c>
      <c r="Y29" s="118">
        <v>0</v>
      </c>
      <c r="Z29" s="118">
        <v>18.243629455566406</v>
      </c>
      <c r="AA29" s="118">
        <v>77.79947662353516</v>
      </c>
      <c r="AB29" s="118"/>
      <c r="AC29" s="105"/>
      <c r="AD29" s="105">
        <v>0</v>
      </c>
      <c r="AE29" s="105">
        <v>0.0006922607426531613</v>
      </c>
      <c r="AF29" s="105"/>
      <c r="AG29" s="105">
        <v>23.875139236450195</v>
      </c>
      <c r="AH29" s="105">
        <v>541.5</v>
      </c>
      <c r="AI29" s="119">
        <v>96</v>
      </c>
      <c r="AJ29" s="119">
        <v>88</v>
      </c>
      <c r="AK29" s="119">
        <v>78</v>
      </c>
      <c r="AL29" s="119">
        <v>55</v>
      </c>
      <c r="AM29" s="119">
        <v>45</v>
      </c>
      <c r="AN29" s="105">
        <v>71.78096008300781</v>
      </c>
      <c r="AO29" s="106">
        <v>53.80498123168945</v>
      </c>
      <c r="AP29" s="107">
        <v>26.222509384155273</v>
      </c>
      <c r="AQ29" s="108">
        <v>37.58679962158203</v>
      </c>
      <c r="AR29" s="109">
        <v>-89.04080200195312</v>
      </c>
    </row>
    <row r="30" spans="2:44" ht="13.5" customHeight="1" x14ac:dyDescent="0.25">
      <c r="B30" s="14">
        <v>0.66666666666666596</v>
      </c>
      <c r="C30" s="101">
        <v>-82.16146087646484</v>
      </c>
      <c r="D30" s="101">
        <v>-84.01331329345703</v>
      </c>
      <c r="E30" s="101">
        <v>44.636138916015625</v>
      </c>
      <c r="F30" s="101">
        <v>0.10546880215406418</v>
      </c>
      <c r="G30" s="101">
        <v>0.00010198211384704337</v>
      </c>
      <c r="H30" s="101"/>
      <c r="I30" s="101"/>
      <c r="J30" s="101"/>
      <c r="K30" s="101"/>
      <c r="L30" s="102"/>
      <c r="M30" s="117">
        <v>69.00679779052734</v>
      </c>
      <c r="N30" s="101">
        <v>46.943721771240234</v>
      </c>
      <c r="O30" s="101">
        <v>0</v>
      </c>
      <c r="P30" s="101">
        <v>50</v>
      </c>
      <c r="Q30" s="101">
        <v>2.8697919845581055</v>
      </c>
      <c r="R30" s="101">
        <v>23.93301010131836</v>
      </c>
      <c r="S30" s="118">
        <v>94.0248794555664</v>
      </c>
      <c r="T30" s="118">
        <v>50</v>
      </c>
      <c r="U30" s="118">
        <v>64.43757629394531</v>
      </c>
      <c r="V30" s="118">
        <v>17.626949310302734</v>
      </c>
      <c r="W30" s="118">
        <v>23.410369873046875</v>
      </c>
      <c r="X30" s="118">
        <v>0</v>
      </c>
      <c r="Y30" s="118">
        <v>0</v>
      </c>
      <c r="Z30" s="118">
        <v>29.99312973022461</v>
      </c>
      <c r="AA30" s="118">
        <v>81.13065338134766</v>
      </c>
      <c r="AB30" s="118"/>
      <c r="AC30" s="105"/>
      <c r="AD30" s="105">
        <v>1.5478520393371582</v>
      </c>
      <c r="AE30" s="105">
        <v>0.0008643188630230725</v>
      </c>
      <c r="AF30" s="105"/>
      <c r="AG30" s="105">
        <v>23.969179153442383</v>
      </c>
      <c r="AH30" s="105">
        <v>508.70001220703125</v>
      </c>
      <c r="AI30" s="119"/>
      <c r="AJ30" s="119"/>
      <c r="AK30" s="119"/>
      <c r="AL30" s="119"/>
      <c r="AM30" s="119"/>
      <c r="AN30" s="105">
        <v>74.56597137451172</v>
      </c>
      <c r="AO30" s="106">
        <v>82.86675262451172</v>
      </c>
      <c r="AP30" s="107">
        <v>29.522930145263672</v>
      </c>
      <c r="AQ30" s="108">
        <v>38.009979248046875</v>
      </c>
      <c r="AR30" s="109">
        <v>-88.07508850097656</v>
      </c>
    </row>
    <row r="31" spans="2:44" ht="13.5" customHeight="1" x14ac:dyDescent="0.25">
      <c r="B31" s="14">
        <v>0.70833333333333304</v>
      </c>
      <c r="C31" s="101">
        <v>-82.08911895751953</v>
      </c>
      <c r="D31" s="101">
        <v>-83.99884033203125</v>
      </c>
      <c r="E31" s="101">
        <v>45.214839935302734</v>
      </c>
      <c r="F31" s="101">
        <v>0.10742189735174179</v>
      </c>
      <c r="G31" s="101">
        <v>0.00010298919369233772</v>
      </c>
      <c r="H31" s="101">
        <v>3</v>
      </c>
      <c r="I31" s="101">
        <v>4</v>
      </c>
      <c r="J31" s="101">
        <v>5</v>
      </c>
      <c r="K31" s="101">
        <v>6</v>
      </c>
      <c r="L31" s="102">
        <v>7</v>
      </c>
      <c r="M31" s="117">
        <v>70.97077178955078</v>
      </c>
      <c r="N31" s="101">
        <v>47.092010498046875</v>
      </c>
      <c r="O31" s="101">
        <v>0</v>
      </c>
      <c r="P31" s="101">
        <v>50</v>
      </c>
      <c r="Q31" s="101">
        <v>2.8411459922790527</v>
      </c>
      <c r="R31" s="101">
        <v>22.89134979248047</v>
      </c>
      <c r="S31" s="118">
        <v>91.72453308105469</v>
      </c>
      <c r="T31" s="118">
        <v>0</v>
      </c>
      <c r="U31" s="118">
        <v>3.2740159034729004</v>
      </c>
      <c r="V31" s="118">
        <v>9.43467903137207</v>
      </c>
      <c r="W31" s="118">
        <v>141.29769897460938</v>
      </c>
      <c r="X31" s="118">
        <v>29.73641014099121</v>
      </c>
      <c r="Y31" s="118">
        <v>61.6905403137207</v>
      </c>
      <c r="Z31" s="118">
        <v>18.663190841674805</v>
      </c>
      <c r="AA31" s="118">
        <v>21.717670440673828</v>
      </c>
      <c r="AB31" s="118"/>
      <c r="AC31" s="105"/>
      <c r="AD31" s="105">
        <v>0</v>
      </c>
      <c r="AE31" s="105">
        <v>0.0010502319782972336</v>
      </c>
      <c r="AF31" s="105"/>
      <c r="AG31" s="105">
        <v>15.592450141906738</v>
      </c>
      <c r="AH31" s="105">
        <v>605.4000244140625</v>
      </c>
      <c r="AI31" s="119"/>
      <c r="AJ31" s="119"/>
      <c r="AK31" s="119"/>
      <c r="AL31" s="119"/>
      <c r="AM31" s="119"/>
      <c r="AN31" s="105">
        <v>77.99478912353516</v>
      </c>
      <c r="AO31" s="106">
        <v>94.51677703857422</v>
      </c>
      <c r="AP31" s="107">
        <v>27.289499282836914</v>
      </c>
      <c r="AQ31" s="108">
        <v>37.69169998168945</v>
      </c>
      <c r="AR31" s="109">
        <v>-88.98654174804688</v>
      </c>
    </row>
    <row r="32" spans="2:44" ht="13.5" customHeight="1" x14ac:dyDescent="0.25">
      <c r="B32" s="14">
        <v>0.75</v>
      </c>
      <c r="C32" s="101">
        <v>-81.97338104248047</v>
      </c>
      <c r="D32" s="101">
        <v>-84.01331329345703</v>
      </c>
      <c r="E32" s="101">
        <v>45.04484939575195</v>
      </c>
      <c r="F32" s="101">
        <v>0.10040509700775146</v>
      </c>
      <c r="G32" s="101">
        <v>0.00010442352504469454</v>
      </c>
      <c r="H32" s="101"/>
      <c r="I32" s="101"/>
      <c r="J32" s="101"/>
      <c r="K32" s="101"/>
      <c r="L32" s="102"/>
      <c r="M32" s="117">
        <v>70.80439758300781</v>
      </c>
      <c r="N32" s="101">
        <v>47.42477035522461</v>
      </c>
      <c r="O32" s="101">
        <v>0</v>
      </c>
      <c r="P32" s="101">
        <v>50</v>
      </c>
      <c r="Q32" s="101">
        <v>2.827691078186035</v>
      </c>
      <c r="R32" s="101">
        <v>21.838830947875977</v>
      </c>
      <c r="S32" s="118">
        <v>91.71006774902344</v>
      </c>
      <c r="T32" s="118">
        <v>0</v>
      </c>
      <c r="U32" s="118">
        <v>0</v>
      </c>
      <c r="V32" s="118">
        <v>10.574000358581543</v>
      </c>
      <c r="W32" s="118">
        <v>143.381103515625</v>
      </c>
      <c r="X32" s="118">
        <v>32</v>
      </c>
      <c r="Y32" s="118">
        <v>66.0577621459961</v>
      </c>
      <c r="Z32" s="118">
        <v>17.717369079589844</v>
      </c>
      <c r="AA32" s="118">
        <v>20.61631965637207</v>
      </c>
      <c r="AB32" s="118"/>
      <c r="AC32" s="105"/>
      <c r="AD32" s="105">
        <v>1.5479600429534912</v>
      </c>
      <c r="AE32" s="105">
        <v>0.0008717040764167905</v>
      </c>
      <c r="AF32" s="105"/>
      <c r="AG32" s="105">
        <v>50.81380081176758</v>
      </c>
      <c r="AH32" s="105"/>
      <c r="AI32" s="119"/>
      <c r="AJ32" s="119"/>
      <c r="AK32" s="119"/>
      <c r="AL32" s="119"/>
      <c r="AM32" s="119"/>
      <c r="AN32" s="105">
        <v>75.89698791503906</v>
      </c>
      <c r="AO32" s="106">
        <v>93.3087387084961</v>
      </c>
      <c r="AP32" s="107">
        <v>13.183589935302734</v>
      </c>
      <c r="AQ32" s="108">
        <v>27.105030059814453</v>
      </c>
      <c r="AR32" s="109">
        <v>-0.0325470007956028</v>
      </c>
    </row>
    <row r="33" spans="2:44" ht="13.5" customHeight="1" x14ac:dyDescent="0.25">
      <c r="B33" s="14">
        <v>0.79166666666666696</v>
      </c>
      <c r="C33" s="101">
        <v>-81.77806854248047</v>
      </c>
      <c r="D33" s="101">
        <v>-83.99884033203125</v>
      </c>
      <c r="E33" s="101">
        <v>45.08102035522461</v>
      </c>
      <c r="F33" s="101">
        <v>0.11046010255813599</v>
      </c>
      <c r="G33" s="101">
        <v>0.00010387420479673892</v>
      </c>
      <c r="H33" s="101"/>
      <c r="I33" s="101"/>
      <c r="J33" s="101"/>
      <c r="K33" s="101"/>
      <c r="L33" s="102"/>
      <c r="M33" s="117">
        <v>71.31437683105469</v>
      </c>
      <c r="N33" s="101">
        <v>47.42477035522461</v>
      </c>
      <c r="O33" s="101">
        <v>0</v>
      </c>
      <c r="P33" s="101">
        <v>50</v>
      </c>
      <c r="Q33" s="101">
        <v>2.8142359256744385</v>
      </c>
      <c r="R33" s="101">
        <v>20.753759384155273</v>
      </c>
      <c r="S33" s="118">
        <v>90.80584716796875</v>
      </c>
      <c r="T33" s="118">
        <v>0</v>
      </c>
      <c r="U33" s="118">
        <v>0</v>
      </c>
      <c r="V33" s="118">
        <v>9.760201454162598</v>
      </c>
      <c r="W33" s="118">
        <v>118.65779876708984</v>
      </c>
      <c r="X33" s="118">
        <v>32</v>
      </c>
      <c r="Y33" s="118">
        <v>66.29322052001953</v>
      </c>
      <c r="Z33" s="118">
        <v>16.927080154418945</v>
      </c>
      <c r="AA33" s="118">
        <v>19.791669845581055</v>
      </c>
      <c r="AB33" s="118"/>
      <c r="AC33" s="105"/>
      <c r="AD33" s="105">
        <v>0</v>
      </c>
      <c r="AE33" s="105">
        <v>0.0007239990518428385</v>
      </c>
      <c r="AF33" s="105"/>
      <c r="AG33" s="105">
        <v>20.623550415039062</v>
      </c>
      <c r="AH33" s="105"/>
      <c r="AI33" s="119"/>
      <c r="AJ33" s="119"/>
      <c r="AK33" s="119"/>
      <c r="AL33" s="119"/>
      <c r="AM33" s="119"/>
      <c r="AN33" s="105">
        <v>75.1446762084961</v>
      </c>
      <c r="AO33" s="106">
        <v>92.44790649414062</v>
      </c>
      <c r="AP33" s="107">
        <v>24.793840408325195</v>
      </c>
      <c r="AQ33" s="108">
        <v>27.571609497070312</v>
      </c>
      <c r="AR33" s="109">
        <v>-89.0625</v>
      </c>
    </row>
    <row r="34" spans="2:44" ht="13.5" customHeight="1" x14ac:dyDescent="0.25">
      <c r="B34" s="15">
        <v>0.83333333333333304</v>
      </c>
      <c r="C34" s="110">
        <v>-81.77806854248047</v>
      </c>
      <c r="D34" s="110">
        <v>-84.01331329345703</v>
      </c>
      <c r="E34" s="110">
        <v>44.91463851928711</v>
      </c>
      <c r="F34" s="110">
        <v>0.10402200371026993</v>
      </c>
      <c r="G34" s="110">
        <v>0.0001028060942189768</v>
      </c>
      <c r="H34" s="110"/>
      <c r="I34" s="110"/>
      <c r="J34" s="110"/>
      <c r="K34" s="110"/>
      <c r="L34" s="111"/>
      <c r="M34" s="120">
        <v>70.5837631225586</v>
      </c>
      <c r="N34" s="110">
        <v>48.7413215637207</v>
      </c>
      <c r="O34" s="110">
        <v>0</v>
      </c>
      <c r="P34" s="110">
        <v>50</v>
      </c>
      <c r="Q34" s="110">
        <v>2.8098959922790527</v>
      </c>
      <c r="R34" s="110">
        <v>19.82784080505371</v>
      </c>
      <c r="S34" s="121">
        <v>90.84201049804688</v>
      </c>
      <c r="T34" s="121">
        <v>0</v>
      </c>
      <c r="U34" s="121">
        <v>0</v>
      </c>
      <c r="V34" s="121">
        <v>10.574000358581543</v>
      </c>
      <c r="W34" s="121">
        <v>95.64344787597656</v>
      </c>
      <c r="X34" s="121">
        <v>30</v>
      </c>
      <c r="Y34" s="121">
        <v>62.099788665771484</v>
      </c>
      <c r="Z34" s="121">
        <v>16.08254051208496</v>
      </c>
      <c r="AA34" s="121">
        <v>18.67947006225586</v>
      </c>
      <c r="AB34" s="121"/>
      <c r="AC34" s="114"/>
      <c r="AD34" s="114">
        <v>0</v>
      </c>
      <c r="AE34" s="114">
        <v>0.000425048841862008</v>
      </c>
      <c r="AF34" s="114"/>
      <c r="AG34" s="114">
        <v>22.214990615844727</v>
      </c>
      <c r="AH34" s="114"/>
      <c r="AI34" s="122"/>
      <c r="AJ34" s="122"/>
      <c r="AK34" s="122"/>
      <c r="AL34" s="122"/>
      <c r="AM34" s="122"/>
      <c r="AN34" s="114">
        <v>77.43055725097656</v>
      </c>
      <c r="AO34" s="115">
        <v>75.57869720458984</v>
      </c>
      <c r="AP34" s="123">
        <v>24.495439529418945</v>
      </c>
      <c r="AQ34" s="124">
        <v>38.722511291503906</v>
      </c>
      <c r="AR34" s="125">
        <v>-89.99565887451172</v>
      </c>
    </row>
    <row r="35" spans="2:44" ht="15" customHeight="1" x14ac:dyDescent="0.25">
      <c r="B35" s="213" t="s">
        <v>181</v>
      </c>
      <c r="C35" s="159" t="s">
        <v>38</v>
      </c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1" t="s">
        <v>216</v>
      </c>
      <c r="X35" s="162"/>
      <c r="Y35" s="162"/>
      <c r="Z35" s="162"/>
      <c r="AA35" s="162"/>
      <c r="AB35" s="162"/>
      <c r="AC35" s="162"/>
      <c r="AD35" s="162"/>
      <c r="AE35" s="162"/>
      <c r="AF35" s="162"/>
      <c r="AG35" s="162"/>
      <c r="AH35" s="162"/>
      <c r="AI35" s="162"/>
      <c r="AJ35" s="163"/>
      <c r="AK35" s="178" t="s">
        <v>48</v>
      </c>
      <c r="AL35" s="179"/>
      <c r="AM35" s="164" t="s">
        <v>223</v>
      </c>
      <c r="AN35" s="165"/>
      <c r="AO35" s="43"/>
      <c r="AP35" s="43"/>
      <c r="AQ35" s="43"/>
      <c r="AR35" s="44"/>
    </row>
    <row r="36" spans="2:44" ht="20.15" customHeight="1" x14ac:dyDescent="0.25">
      <c r="B36" s="201"/>
      <c r="C36" s="170" t="s">
        <v>32</v>
      </c>
      <c r="D36" s="176"/>
      <c r="E36" s="170" t="s">
        <v>33</v>
      </c>
      <c r="F36" s="175"/>
      <c r="G36" s="176"/>
      <c r="H36" s="166" t="s">
        <v>276</v>
      </c>
      <c r="I36" s="167"/>
      <c r="J36" s="4" t="s">
        <v>27</v>
      </c>
      <c r="K36" s="4" t="s">
        <v>30</v>
      </c>
      <c r="L36" s="4" t="s">
        <v>191</v>
      </c>
      <c r="M36" s="168" t="s">
        <v>192</v>
      </c>
      <c r="N36" s="169"/>
      <c r="O36" s="4" t="s">
        <v>26</v>
      </c>
      <c r="P36" s="4" t="s">
        <v>197</v>
      </c>
      <c r="Q36" s="170" t="s">
        <v>199</v>
      </c>
      <c r="R36" s="177"/>
      <c r="S36" s="170" t="s">
        <v>202</v>
      </c>
      <c r="T36" s="177"/>
      <c r="U36" s="170" t="s">
        <v>201</v>
      </c>
      <c r="V36" s="171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72" t="s">
        <v>46</v>
      </c>
      <c r="AI36" s="173"/>
      <c r="AJ36" s="174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201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201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449</v>
      </c>
      <c r="N38" s="1" t="s">
        <v>450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14">
        <v>0.33333333333333331</v>
      </c>
      <c r="C39" s="101">
        <v>0</v>
      </c>
      <c r="D39" s="101"/>
      <c r="E39" s="101">
        <v>33.94097137451172</v>
      </c>
      <c r="F39" s="101"/>
      <c r="G39" s="101"/>
      <c r="H39" s="101">
        <v>47.67975997924805</v>
      </c>
      <c r="I39" s="101"/>
      <c r="J39" s="101">
        <v>47.20956039428711</v>
      </c>
      <c r="K39" s="101">
        <v>0.4223814010620117</v>
      </c>
      <c r="L39" s="101">
        <v>256.519287109375</v>
      </c>
      <c r="M39" s="101">
        <v>49.072269439697266</v>
      </c>
      <c r="N39" s="101"/>
      <c r="O39" s="101">
        <v>0</v>
      </c>
      <c r="P39" s="101">
        <v>2.978105068206787</v>
      </c>
      <c r="Q39" s="101">
        <v>0</v>
      </c>
      <c r="R39" s="101"/>
      <c r="S39" s="101">
        <v>0</v>
      </c>
      <c r="T39" s="101"/>
      <c r="U39" s="118">
        <v>95.79354858398438</v>
      </c>
      <c r="V39" s="126"/>
      <c r="W39" s="127">
        <v>37.5</v>
      </c>
      <c r="X39" s="118">
        <v>62.4913215637207</v>
      </c>
      <c r="Y39" s="118">
        <v>19.14604949951172</v>
      </c>
      <c r="Z39" s="118">
        <v>84.66253662109375</v>
      </c>
      <c r="AA39" s="118">
        <v>36</v>
      </c>
      <c r="AB39" s="118">
        <v>60.07379150390625</v>
      </c>
      <c r="AC39" s="118">
        <v>15.453200340270996</v>
      </c>
      <c r="AD39" s="118">
        <v>17.740890502929688</v>
      </c>
      <c r="AE39" s="105"/>
      <c r="AF39" s="105">
        <v>0</v>
      </c>
      <c r="AG39" s="105"/>
      <c r="AH39" s="105">
        <v>69.52046966552734</v>
      </c>
      <c r="AI39" s="105">
        <v>35.275611877441406</v>
      </c>
      <c r="AJ39" s="105"/>
      <c r="AK39" s="105"/>
      <c r="AL39" s="106"/>
      <c r="AM39" s="128"/>
      <c r="AN39" s="119"/>
      <c r="AO39" s="105"/>
      <c r="AP39" s="105"/>
      <c r="AQ39" s="105"/>
      <c r="AR39" s="109"/>
    </row>
    <row r="40" spans="2:44" ht="13.5" customHeight="1" x14ac:dyDescent="0.25">
      <c r="B40" s="14">
        <v>0.375</v>
      </c>
      <c r="C40" s="101">
        <v>0</v>
      </c>
      <c r="D40" s="101">
        <v>0.00039660645416006446</v>
      </c>
      <c r="E40" s="101">
        <v>32.1686897277832</v>
      </c>
      <c r="F40" s="101"/>
      <c r="G40" s="101"/>
      <c r="H40" s="101">
        <v>49.14459991455078</v>
      </c>
      <c r="I40" s="101">
        <v>0</v>
      </c>
      <c r="J40" s="101">
        <v>45.54579162597656</v>
      </c>
      <c r="K40" s="101">
        <v>0.40661171078681946</v>
      </c>
      <c r="L40" s="101">
        <v>256.9263916015625</v>
      </c>
      <c r="M40" s="101">
        <v>49.9222412109375</v>
      </c>
      <c r="N40" s="101">
        <v>0</v>
      </c>
      <c r="O40" s="101">
        <v>0</v>
      </c>
      <c r="P40" s="101">
        <v>2.978105068206787</v>
      </c>
      <c r="Q40" s="101">
        <v>897.2802124023438</v>
      </c>
      <c r="R40" s="101">
        <v>0.5730332136154175</v>
      </c>
      <c r="S40" s="101">
        <v>897.2802124023438</v>
      </c>
      <c r="T40" s="101">
        <v>0</v>
      </c>
      <c r="U40" s="118">
        <v>94.92549133300781</v>
      </c>
      <c r="V40" s="126">
        <v>-0.004886430688202381</v>
      </c>
      <c r="W40" s="127">
        <v>37.5</v>
      </c>
      <c r="X40" s="118">
        <v>62.38282012939453</v>
      </c>
      <c r="Y40" s="118">
        <v>28.98763084411621</v>
      </c>
      <c r="Z40" s="118">
        <v>100.16819763183594</v>
      </c>
      <c r="AA40" s="118">
        <v>36</v>
      </c>
      <c r="AB40" s="118">
        <v>59.96961975097656</v>
      </c>
      <c r="AC40" s="118">
        <v>15.69552993774414</v>
      </c>
      <c r="AD40" s="118">
        <v>19.276260375976562</v>
      </c>
      <c r="AE40" s="105"/>
      <c r="AF40" s="105">
        <v>0</v>
      </c>
      <c r="AG40" s="105"/>
      <c r="AH40" s="105">
        <v>69.52046966552734</v>
      </c>
      <c r="AI40" s="105">
        <v>35.16347885131836</v>
      </c>
      <c r="AJ40" s="105">
        <v>0.007442131172865629</v>
      </c>
      <c r="AK40" s="105"/>
      <c r="AL40" s="106"/>
      <c r="AM40" s="128"/>
      <c r="AN40" s="119"/>
      <c r="AO40" s="105"/>
      <c r="AP40" s="105"/>
      <c r="AQ40" s="105"/>
      <c r="AR40" s="109"/>
    </row>
    <row r="41" spans="2:44" ht="13.5" customHeight="1" x14ac:dyDescent="0.25">
      <c r="B41" s="14">
        <v>0.41666666666666702</v>
      </c>
      <c r="C41" s="101">
        <v>0</v>
      </c>
      <c r="D41" s="101">
        <v>0.0004160919052083045</v>
      </c>
      <c r="E41" s="101">
        <v>30.577259063720703</v>
      </c>
      <c r="F41" s="101"/>
      <c r="G41" s="101"/>
      <c r="H41" s="101">
        <v>49.20790100097656</v>
      </c>
      <c r="I41" s="101">
        <v>0</v>
      </c>
      <c r="J41" s="101">
        <v>44.008609771728516</v>
      </c>
      <c r="K41" s="101">
        <v>0.4420391917228699</v>
      </c>
      <c r="L41" s="101">
        <v>257.35870361328125</v>
      </c>
      <c r="M41" s="101">
        <v>49.587669372558594</v>
      </c>
      <c r="N41" s="101">
        <v>-40.10205078125</v>
      </c>
      <c r="O41" s="101">
        <v>0</v>
      </c>
      <c r="P41" s="101">
        <v>2.978105068206787</v>
      </c>
      <c r="Q41" s="101">
        <v>897.251220703125</v>
      </c>
      <c r="R41" s="101">
        <v>0.6882099509239197</v>
      </c>
      <c r="S41" s="101">
        <v>897.251220703125</v>
      </c>
      <c r="T41" s="101">
        <v>0.10045818984508514</v>
      </c>
      <c r="U41" s="118">
        <v>97.30902862548828</v>
      </c>
      <c r="V41" s="126">
        <v>-0.0027271404396742582</v>
      </c>
      <c r="W41" s="127">
        <v>37.5</v>
      </c>
      <c r="X41" s="118">
        <v>0</v>
      </c>
      <c r="Y41" s="118">
        <v>26.502819061279297</v>
      </c>
      <c r="Z41" s="118">
        <v>86.58854675292969</v>
      </c>
      <c r="AA41" s="118">
        <v>36</v>
      </c>
      <c r="AB41" s="118">
        <v>59.83073043823242</v>
      </c>
      <c r="AC41" s="118">
        <v>15.545430183410645</v>
      </c>
      <c r="AD41" s="118">
        <v>19.102649688720703</v>
      </c>
      <c r="AE41" s="105"/>
      <c r="AF41" s="105">
        <v>0</v>
      </c>
      <c r="AG41" s="105"/>
      <c r="AH41" s="105">
        <v>69.52046966552734</v>
      </c>
      <c r="AI41" s="105">
        <v>35.09476089477539</v>
      </c>
      <c r="AJ41" s="105">
        <v>-0.0057581025175750256</v>
      </c>
      <c r="AK41" s="105"/>
      <c r="AL41" s="106"/>
      <c r="AM41" s="128"/>
      <c r="AN41" s="119"/>
      <c r="AO41" s="105"/>
      <c r="AP41" s="105"/>
      <c r="AQ41" s="105"/>
      <c r="AR41" s="109"/>
    </row>
    <row r="42" spans="2:44" ht="13.5" customHeight="1" x14ac:dyDescent="0.25">
      <c r="B42" s="14">
        <v>0.45833333333333298</v>
      </c>
      <c r="C42" s="101">
        <v>0</v>
      </c>
      <c r="D42" s="101">
        <v>0.00019891357806045562</v>
      </c>
      <c r="E42" s="101">
        <v>29.217300415039062</v>
      </c>
      <c r="F42" s="101"/>
      <c r="G42" s="101"/>
      <c r="H42" s="101">
        <v>49.551509857177734</v>
      </c>
      <c r="I42" s="101">
        <v>0</v>
      </c>
      <c r="J42" s="101">
        <v>50.87166976928711</v>
      </c>
      <c r="K42" s="101">
        <v>0.38934099674224854</v>
      </c>
      <c r="L42" s="101">
        <v>257.79168701171875</v>
      </c>
      <c r="M42" s="101">
        <v>50.24776077270508</v>
      </c>
      <c r="N42" s="101">
        <v>21.0550537109375</v>
      </c>
      <c r="O42" s="101">
        <v>0</v>
      </c>
      <c r="P42" s="101">
        <v>2.978105068206787</v>
      </c>
      <c r="Q42" s="101">
        <v>897.251220703125</v>
      </c>
      <c r="R42" s="101">
        <v>0.60955810546875</v>
      </c>
      <c r="S42" s="101">
        <v>897.251220703125</v>
      </c>
      <c r="T42" s="101">
        <v>0.01252600084990263</v>
      </c>
      <c r="U42" s="118">
        <v>97.88410949707031</v>
      </c>
      <c r="V42" s="126">
        <v>-0.0010850696125999093</v>
      </c>
      <c r="W42" s="127">
        <v>37.5</v>
      </c>
      <c r="X42" s="118">
        <v>0</v>
      </c>
      <c r="Y42" s="118">
        <v>24.582250595092773</v>
      </c>
      <c r="Z42" s="118">
        <v>88.12391662597656</v>
      </c>
      <c r="AA42" s="118">
        <v>25</v>
      </c>
      <c r="AB42" s="118">
        <v>41.39323043823242</v>
      </c>
      <c r="AC42" s="118">
        <v>15.630430221557617</v>
      </c>
      <c r="AD42" s="118">
        <v>19.618059158325195</v>
      </c>
      <c r="AE42" s="105"/>
      <c r="AF42" s="105">
        <v>0</v>
      </c>
      <c r="AG42" s="105"/>
      <c r="AH42" s="105">
        <v>69.52046966552734</v>
      </c>
      <c r="AI42" s="105">
        <v>50.82102966308594</v>
      </c>
      <c r="AJ42" s="105">
        <v>-0.003547447267919779</v>
      </c>
      <c r="AK42" s="105"/>
      <c r="AL42" s="106"/>
      <c r="AM42" s="128"/>
      <c r="AN42" s="119"/>
      <c r="AO42" s="105"/>
      <c r="AP42" s="105"/>
      <c r="AQ42" s="105"/>
      <c r="AR42" s="109"/>
    </row>
    <row r="43" spans="2:44" ht="13.5" customHeight="1" x14ac:dyDescent="0.25">
      <c r="B43" s="14">
        <v>0.5</v>
      </c>
      <c r="C43" s="101">
        <v>0</v>
      </c>
      <c r="D43" s="101">
        <v>7.888794243626762E-06</v>
      </c>
      <c r="E43" s="101">
        <v>28.009260177612305</v>
      </c>
      <c r="F43" s="101"/>
      <c r="G43" s="101"/>
      <c r="H43" s="101">
        <v>48.159000396728516</v>
      </c>
      <c r="I43" s="101">
        <v>-40</v>
      </c>
      <c r="J43" s="101">
        <v>34.179691314697266</v>
      </c>
      <c r="K43" s="101">
        <v>0.05991391837596893</v>
      </c>
      <c r="L43" s="101">
        <v>258.0213928222656</v>
      </c>
      <c r="M43" s="101">
        <v>47.7340087890625</v>
      </c>
      <c r="N43" s="101">
        <v>-92.197021484375</v>
      </c>
      <c r="O43" s="101">
        <v>2.15791392326355</v>
      </c>
      <c r="P43" s="101">
        <v>3.0596649646759033</v>
      </c>
      <c r="Q43" s="101">
        <v>34.89582824707031</v>
      </c>
      <c r="R43" s="101">
        <v>0.20244286954402924</v>
      </c>
      <c r="S43" s="101">
        <v>34.89582824707031</v>
      </c>
      <c r="T43" s="101">
        <v>0.13303203880786896</v>
      </c>
      <c r="U43" s="118">
        <v>32.136138916015625</v>
      </c>
      <c r="V43" s="126">
        <v>-1.0848999409063254E-05</v>
      </c>
      <c r="W43" s="127">
        <v>37.5</v>
      </c>
      <c r="X43" s="118">
        <v>0</v>
      </c>
      <c r="Y43" s="118">
        <v>39.78950119018555</v>
      </c>
      <c r="Z43" s="118">
        <v>107.1343002319336</v>
      </c>
      <c r="AA43" s="118">
        <v>0</v>
      </c>
      <c r="AB43" s="118">
        <v>0</v>
      </c>
      <c r="AC43" s="118">
        <v>15.469470024108887</v>
      </c>
      <c r="AD43" s="118">
        <v>19.14604949951172</v>
      </c>
      <c r="AE43" s="105"/>
      <c r="AF43" s="105">
        <v>45.51142883300781</v>
      </c>
      <c r="AG43" s="105"/>
      <c r="AH43" s="105">
        <v>70.06218719482422</v>
      </c>
      <c r="AI43" s="105">
        <v>69.21658325195312</v>
      </c>
      <c r="AJ43" s="105">
        <v>0.016594329848885536</v>
      </c>
      <c r="AK43" s="105"/>
      <c r="AL43" s="106"/>
      <c r="AM43" s="128"/>
      <c r="AN43" s="119"/>
      <c r="AO43" s="105"/>
      <c r="AP43" s="105"/>
      <c r="AQ43" s="105"/>
      <c r="AR43" s="109"/>
    </row>
    <row r="44" spans="2:44" ht="13.5" customHeight="1" x14ac:dyDescent="0.25">
      <c r="B44" s="14">
        <v>0.54166666666666596</v>
      </c>
      <c r="C44" s="101">
        <v>2.238787889480591</v>
      </c>
      <c r="D44" s="101">
        <v>0.0002019043022301048</v>
      </c>
      <c r="E44" s="101">
        <v>26.8156795501709</v>
      </c>
      <c r="F44" s="101"/>
      <c r="G44" s="101"/>
      <c r="H44" s="101">
        <v>43.78255081176758</v>
      </c>
      <c r="I44" s="101">
        <v>0</v>
      </c>
      <c r="J44" s="101">
        <v>30.544700622558594</v>
      </c>
      <c r="K44" s="101">
        <v>0.06410951912403107</v>
      </c>
      <c r="L44" s="101">
        <v>258.0788879394531</v>
      </c>
      <c r="M44" s="101">
        <v>33.49248123168945</v>
      </c>
      <c r="N44" s="101">
        <v>0</v>
      </c>
      <c r="O44" s="101">
        <v>0</v>
      </c>
      <c r="P44" s="101">
        <v>4.551218032836914</v>
      </c>
      <c r="Q44" s="101">
        <v>0</v>
      </c>
      <c r="R44" s="101">
        <v>0.04147607460618019</v>
      </c>
      <c r="S44" s="101">
        <v>0</v>
      </c>
      <c r="T44" s="101">
        <v>0</v>
      </c>
      <c r="U44" s="118">
        <v>94.11530303955078</v>
      </c>
      <c r="V44" s="126">
        <v>0.018420860171318054</v>
      </c>
      <c r="W44" s="127">
        <v>50</v>
      </c>
      <c r="X44" s="118">
        <v>82.33072662353516</v>
      </c>
      <c r="Y44" s="118">
        <v>18.58724021911621</v>
      </c>
      <c r="Z44" s="118">
        <v>55.87023162841797</v>
      </c>
      <c r="AA44" s="118">
        <v>50</v>
      </c>
      <c r="AB44" s="118">
        <v>85.3038330078125</v>
      </c>
      <c r="AC44" s="118">
        <v>16.545499801635742</v>
      </c>
      <c r="AD44" s="118">
        <v>19.61263084411621</v>
      </c>
      <c r="AE44" s="105"/>
      <c r="AF44" s="105">
        <v>1.4142069816589355</v>
      </c>
      <c r="AG44" s="105"/>
      <c r="AH44" s="105">
        <v>70.06218719482422</v>
      </c>
      <c r="AI44" s="105">
        <v>76.45037841796875</v>
      </c>
      <c r="AJ44" s="105">
        <v>-0.011559615842998028</v>
      </c>
      <c r="AK44" s="105"/>
      <c r="AL44" s="106"/>
      <c r="AM44" s="128"/>
      <c r="AN44" s="119"/>
      <c r="AO44" s="105"/>
      <c r="AP44" s="105"/>
      <c r="AQ44" s="105"/>
      <c r="AR44" s="109"/>
    </row>
    <row r="45" spans="2:44" ht="13.5" customHeight="1" x14ac:dyDescent="0.25">
      <c r="B45" s="14">
        <v>0.58333333333333304</v>
      </c>
      <c r="C45" s="101">
        <v>0</v>
      </c>
      <c r="D45" s="101">
        <v>0.000293899531243369</v>
      </c>
      <c r="E45" s="101">
        <v>20.182289123535156</v>
      </c>
      <c r="F45" s="101"/>
      <c r="G45" s="101"/>
      <c r="H45" s="101">
        <v>44.343170166015625</v>
      </c>
      <c r="I45" s="101">
        <v>40</v>
      </c>
      <c r="J45" s="101">
        <v>44.80432891845703</v>
      </c>
      <c r="K45" s="101">
        <v>0.39728009700775146</v>
      </c>
      <c r="L45" s="101">
        <v>258.2099914550781</v>
      </c>
      <c r="M45" s="101">
        <v>46.56755828857422</v>
      </c>
      <c r="N45" s="101">
        <v>0</v>
      </c>
      <c r="O45" s="101">
        <v>0</v>
      </c>
      <c r="P45" s="101">
        <v>4.551220893859863</v>
      </c>
      <c r="Q45" s="101">
        <v>0</v>
      </c>
      <c r="R45" s="101">
        <v>0.09755810350179672</v>
      </c>
      <c r="S45" s="101">
        <v>0</v>
      </c>
      <c r="T45" s="101">
        <v>0.006434082053601742</v>
      </c>
      <c r="U45" s="118">
        <v>93.85851287841797</v>
      </c>
      <c r="V45" s="126">
        <v>-0.008221210911870003</v>
      </c>
      <c r="W45" s="127">
        <v>30</v>
      </c>
      <c r="X45" s="118">
        <v>32.29167175292969</v>
      </c>
      <c r="Y45" s="118">
        <v>14.415149688720703</v>
      </c>
      <c r="Z45" s="118">
        <v>20.95269012451172</v>
      </c>
      <c r="AA45" s="118">
        <v>50</v>
      </c>
      <c r="AB45" s="118">
        <v>84.73090362548828</v>
      </c>
      <c r="AC45" s="118">
        <v>16.78240966796875</v>
      </c>
      <c r="AD45" s="118">
        <v>46.587459564208984</v>
      </c>
      <c r="AE45" s="105"/>
      <c r="AF45" s="105">
        <v>0</v>
      </c>
      <c r="AG45" s="105"/>
      <c r="AH45" s="105">
        <v>70.06218719482422</v>
      </c>
      <c r="AI45" s="105">
        <v>76.36357116699219</v>
      </c>
      <c r="AJ45" s="105">
        <v>-0.0012991867261007428</v>
      </c>
      <c r="AK45" s="105"/>
      <c r="AL45" s="106"/>
      <c r="AM45" s="128"/>
      <c r="AN45" s="119"/>
      <c r="AO45" s="105"/>
      <c r="AP45" s="105"/>
      <c r="AQ45" s="105"/>
      <c r="AR45" s="109"/>
    </row>
    <row r="46" spans="2:44" ht="13.5" customHeight="1" x14ac:dyDescent="0.25">
      <c r="B46" s="14">
        <v>0.625</v>
      </c>
      <c r="C46" s="101">
        <v>0</v>
      </c>
      <c r="D46" s="101">
        <v>0.00022610473388340324</v>
      </c>
      <c r="E46" s="101">
        <v>18.713830947875977</v>
      </c>
      <c r="F46" s="101"/>
      <c r="G46" s="101"/>
      <c r="H46" s="101">
        <v>46.81169891357422</v>
      </c>
      <c r="I46" s="101">
        <v>0</v>
      </c>
      <c r="J46" s="101">
        <v>46.39575958251953</v>
      </c>
      <c r="K46" s="101">
        <v>0.3978950083255768</v>
      </c>
      <c r="L46" s="101">
        <v>258.5671081542969</v>
      </c>
      <c r="M46" s="101">
        <v>47.89677047729492</v>
      </c>
      <c r="N46" s="101">
        <v>0</v>
      </c>
      <c r="O46" s="101">
        <v>0</v>
      </c>
      <c r="P46" s="101">
        <v>4.551220893859863</v>
      </c>
      <c r="Q46" s="101">
        <v>897.2222900390625</v>
      </c>
      <c r="R46" s="101">
        <v>0.29564160108566284</v>
      </c>
      <c r="S46" s="101">
        <v>897.2222900390625</v>
      </c>
      <c r="T46" s="101">
        <v>0.1366616189479828</v>
      </c>
      <c r="U46" s="118">
        <v>84.38223266601562</v>
      </c>
      <c r="V46" s="126">
        <v>-0.005920860450714827</v>
      </c>
      <c r="W46" s="127">
        <v>30</v>
      </c>
      <c r="X46" s="118">
        <v>0</v>
      </c>
      <c r="Y46" s="118">
        <v>15.125869750976562</v>
      </c>
      <c r="Z46" s="118">
        <v>22.401260375976562</v>
      </c>
      <c r="AA46" s="118">
        <v>35</v>
      </c>
      <c r="AB46" s="118">
        <v>0</v>
      </c>
      <c r="AC46" s="118">
        <v>18.243629455566406</v>
      </c>
      <c r="AD46" s="118">
        <v>77.79947662353516</v>
      </c>
      <c r="AE46" s="105"/>
      <c r="AF46" s="105">
        <v>0</v>
      </c>
      <c r="AG46" s="105">
        <v>202.89999389648438</v>
      </c>
      <c r="AH46" s="105">
        <v>70.06218719482422</v>
      </c>
      <c r="AI46" s="105">
        <v>76.32377624511719</v>
      </c>
      <c r="AJ46" s="105">
        <v>-0.0013078689808025956</v>
      </c>
      <c r="AK46" s="105"/>
      <c r="AL46" s="106"/>
      <c r="AM46" s="128">
        <v>22</v>
      </c>
      <c r="AN46" s="119">
        <v>5</v>
      </c>
      <c r="AO46" s="105"/>
      <c r="AP46" s="105"/>
      <c r="AQ46" s="105"/>
      <c r="AR46" s="109"/>
    </row>
    <row r="47" spans="2:44" ht="13.5" customHeight="1" x14ac:dyDescent="0.25">
      <c r="B47" s="14">
        <v>0.66666666666666596</v>
      </c>
      <c r="C47" s="101">
        <v>0</v>
      </c>
      <c r="D47" s="101">
        <v>0.00029460142832249403</v>
      </c>
      <c r="E47" s="101">
        <v>17.607059478759766</v>
      </c>
      <c r="F47" s="101"/>
      <c r="G47" s="101"/>
      <c r="H47" s="101">
        <v>49.46107864379883</v>
      </c>
      <c r="I47" s="101">
        <v>0</v>
      </c>
      <c r="J47" s="101">
        <v>51.34186935424805</v>
      </c>
      <c r="K47" s="101">
        <v>0.363172709941864</v>
      </c>
      <c r="L47" s="101">
        <v>258.9627990722656</v>
      </c>
      <c r="M47" s="101">
        <v>50.4286003112793</v>
      </c>
      <c r="N47" s="101">
        <v>0</v>
      </c>
      <c r="O47" s="101">
        <v>0</v>
      </c>
      <c r="P47" s="101">
        <v>4.551220893859863</v>
      </c>
      <c r="Q47" s="101">
        <v>897.1932983398438</v>
      </c>
      <c r="R47" s="101">
        <v>0.5033618211746216</v>
      </c>
      <c r="S47" s="101">
        <v>897.1932983398438</v>
      </c>
      <c r="T47" s="101">
        <v>0.09903661906719208</v>
      </c>
      <c r="U47" s="118">
        <v>93.69213104248047</v>
      </c>
      <c r="V47" s="126">
        <v>-0.0019458903698250651</v>
      </c>
      <c r="W47" s="127">
        <v>0</v>
      </c>
      <c r="X47" s="118">
        <v>0</v>
      </c>
      <c r="Y47" s="118">
        <v>17.626949310302734</v>
      </c>
      <c r="Z47" s="118">
        <v>23.410369873046875</v>
      </c>
      <c r="AA47" s="118">
        <v>40</v>
      </c>
      <c r="AB47" s="118">
        <v>68.0859375</v>
      </c>
      <c r="AC47" s="118">
        <v>29.99312973022461</v>
      </c>
      <c r="AD47" s="118">
        <v>81.13065338134766</v>
      </c>
      <c r="AE47" s="105"/>
      <c r="AF47" s="105">
        <v>0</v>
      </c>
      <c r="AG47" s="105"/>
      <c r="AH47" s="105">
        <v>70.06218719482422</v>
      </c>
      <c r="AI47" s="105">
        <v>76.30931854248047</v>
      </c>
      <c r="AJ47" s="105">
        <v>0.01416667178273201</v>
      </c>
      <c r="AK47" s="105"/>
      <c r="AL47" s="106"/>
      <c r="AM47" s="128"/>
      <c r="AN47" s="119"/>
      <c r="AO47" s="105"/>
      <c r="AP47" s="105"/>
      <c r="AQ47" s="105"/>
      <c r="AR47" s="109"/>
    </row>
    <row r="48" spans="2:44" ht="13.5" customHeight="1" x14ac:dyDescent="0.25">
      <c r="B48" s="14">
        <v>0.70833333333333304</v>
      </c>
      <c r="C48" s="101">
        <v>0</v>
      </c>
      <c r="D48" s="101">
        <v>9.078979201149195E-05</v>
      </c>
      <c r="E48" s="101">
        <v>19.05381965637207</v>
      </c>
      <c r="F48" s="101"/>
      <c r="G48" s="101"/>
      <c r="H48" s="101">
        <v>48.556861877441406</v>
      </c>
      <c r="I48" s="101">
        <v>0</v>
      </c>
      <c r="J48" s="101">
        <v>52.643951416015625</v>
      </c>
      <c r="K48" s="101">
        <v>0.37362560629844666</v>
      </c>
      <c r="L48" s="101">
        <v>259.2829895019531</v>
      </c>
      <c r="M48" s="101">
        <v>49.04513931274414</v>
      </c>
      <c r="N48" s="101">
        <v>0</v>
      </c>
      <c r="O48" s="101">
        <v>0</v>
      </c>
      <c r="P48" s="101">
        <v>4.551220893859863</v>
      </c>
      <c r="Q48" s="101">
        <v>897.1932983398438</v>
      </c>
      <c r="R48" s="101">
        <v>0.5863291025161743</v>
      </c>
      <c r="S48" s="101">
        <v>897.1932983398438</v>
      </c>
      <c r="T48" s="101">
        <v>0</v>
      </c>
      <c r="U48" s="118">
        <v>81.08722686767578</v>
      </c>
      <c r="V48" s="126">
        <v>-0.00092230987502262</v>
      </c>
      <c r="W48" s="127">
        <v>0</v>
      </c>
      <c r="X48" s="118">
        <v>0</v>
      </c>
      <c r="Y48" s="118">
        <v>9.43467903137207</v>
      </c>
      <c r="Z48" s="118">
        <v>141.29769897460938</v>
      </c>
      <c r="AA48" s="118">
        <v>0</v>
      </c>
      <c r="AB48" s="118">
        <v>0</v>
      </c>
      <c r="AC48" s="118">
        <v>18.663190841674805</v>
      </c>
      <c r="AD48" s="118">
        <v>21.717670440673828</v>
      </c>
      <c r="AE48" s="105"/>
      <c r="AF48" s="105">
        <v>0</v>
      </c>
      <c r="AG48" s="105"/>
      <c r="AH48" s="105">
        <v>70.06218719482422</v>
      </c>
      <c r="AI48" s="105">
        <v>84.05670928955078</v>
      </c>
      <c r="AJ48" s="105">
        <v>5.7830811783787794E-06</v>
      </c>
      <c r="AK48" s="105"/>
      <c r="AL48" s="106"/>
      <c r="AM48" s="128"/>
      <c r="AN48" s="119"/>
      <c r="AO48" s="105"/>
      <c r="AP48" s="105"/>
      <c r="AQ48" s="105"/>
      <c r="AR48" s="109"/>
    </row>
    <row r="49" spans="2:44" ht="13.5" customHeight="1" x14ac:dyDescent="0.25">
      <c r="B49" s="14">
        <v>0.75</v>
      </c>
      <c r="C49" s="101">
        <v>0</v>
      </c>
      <c r="D49" s="101">
        <v>6.500244126073085E-06</v>
      </c>
      <c r="E49" s="101">
        <v>22.01968002319336</v>
      </c>
      <c r="F49" s="101"/>
      <c r="G49" s="101"/>
      <c r="H49" s="101">
        <v>48.90045928955078</v>
      </c>
      <c r="I49" s="101">
        <v>-40</v>
      </c>
      <c r="J49" s="101">
        <v>34.884979248046875</v>
      </c>
      <c r="K49" s="101">
        <v>0.06134258955717087</v>
      </c>
      <c r="L49" s="101">
        <v>259.47650146484375</v>
      </c>
      <c r="M49" s="101">
        <v>38.15827941894531</v>
      </c>
      <c r="N49" s="101">
        <v>0</v>
      </c>
      <c r="O49" s="101">
        <v>2.1574079990386963</v>
      </c>
      <c r="P49" s="101">
        <v>5.589436054229736</v>
      </c>
      <c r="Q49" s="101">
        <v>242.8820037841797</v>
      </c>
      <c r="R49" s="101">
        <v>0.17863379418849945</v>
      </c>
      <c r="S49" s="101">
        <v>242.8820037841797</v>
      </c>
      <c r="T49" s="101">
        <v>0.06761303544044495</v>
      </c>
      <c r="U49" s="118">
        <v>80.7110824584961</v>
      </c>
      <c r="V49" s="126">
        <v>0.011621091514825821</v>
      </c>
      <c r="W49" s="127">
        <v>0</v>
      </c>
      <c r="X49" s="118">
        <v>0</v>
      </c>
      <c r="Y49" s="118">
        <v>10.574000358581543</v>
      </c>
      <c r="Z49" s="118">
        <v>143.381103515625</v>
      </c>
      <c r="AA49" s="118">
        <v>0</v>
      </c>
      <c r="AB49" s="118">
        <v>0</v>
      </c>
      <c r="AC49" s="118">
        <v>17.717369079589844</v>
      </c>
      <c r="AD49" s="118">
        <v>20.61631965637207</v>
      </c>
      <c r="AE49" s="105"/>
      <c r="AF49" s="105">
        <v>50.419559478759766</v>
      </c>
      <c r="AG49" s="105"/>
      <c r="AH49" s="105">
        <v>70.06218719482422</v>
      </c>
      <c r="AI49" s="105">
        <v>85.74579620361328</v>
      </c>
      <c r="AJ49" s="105">
        <v>-0.012693863362073898</v>
      </c>
      <c r="AK49" s="105"/>
      <c r="AL49" s="106"/>
      <c r="AM49" s="128"/>
      <c r="AN49" s="119"/>
      <c r="AO49" s="105"/>
      <c r="AP49" s="105"/>
      <c r="AQ49" s="105"/>
      <c r="AR49" s="109"/>
    </row>
    <row r="50" spans="2:44" ht="13.5" customHeight="1" x14ac:dyDescent="0.25">
      <c r="B50" s="14">
        <v>0.79166666666666696</v>
      </c>
      <c r="C50" s="101">
        <v>0.15769679844379425</v>
      </c>
      <c r="D50" s="101">
        <v>0.0003991088888142258</v>
      </c>
      <c r="E50" s="101">
        <v>20.93461036682129</v>
      </c>
      <c r="F50" s="101"/>
      <c r="G50" s="101"/>
      <c r="H50" s="101">
        <v>37.21788024902344</v>
      </c>
      <c r="I50" s="101">
        <v>40</v>
      </c>
      <c r="J50" s="101">
        <v>34.875938415527344</v>
      </c>
      <c r="K50" s="101">
        <v>0.2975260019302368</v>
      </c>
      <c r="L50" s="101">
        <v>259.5508117675781</v>
      </c>
      <c r="M50" s="101">
        <v>35.58123016357422</v>
      </c>
      <c r="N50" s="101">
        <v>0</v>
      </c>
      <c r="O50" s="101">
        <v>0</v>
      </c>
      <c r="P50" s="101">
        <v>6.101908206939697</v>
      </c>
      <c r="Q50" s="101">
        <v>0</v>
      </c>
      <c r="R50" s="101">
        <v>0.0443417951464653</v>
      </c>
      <c r="S50" s="101">
        <v>0</v>
      </c>
      <c r="T50" s="101">
        <v>0</v>
      </c>
      <c r="U50" s="118">
        <v>92.09346008300781</v>
      </c>
      <c r="V50" s="126">
        <v>0.0014214401599019766</v>
      </c>
      <c r="W50" s="127">
        <v>30</v>
      </c>
      <c r="X50" s="118">
        <v>30.802949905395508</v>
      </c>
      <c r="Y50" s="118">
        <v>9.760201454162598</v>
      </c>
      <c r="Z50" s="118">
        <v>118.65779876708984</v>
      </c>
      <c r="AA50" s="118">
        <v>50</v>
      </c>
      <c r="AB50" s="118">
        <v>84.37500762939453</v>
      </c>
      <c r="AC50" s="118">
        <v>16.927080154418945</v>
      </c>
      <c r="AD50" s="118">
        <v>19.791669845581055</v>
      </c>
      <c r="AE50" s="105"/>
      <c r="AF50" s="105">
        <v>0</v>
      </c>
      <c r="AG50" s="105"/>
      <c r="AH50" s="105">
        <v>70.06218719482422</v>
      </c>
      <c r="AI50" s="105">
        <v>63.89250946044922</v>
      </c>
      <c r="AJ50" s="105">
        <v>0.012696754187345505</v>
      </c>
      <c r="AK50" s="105"/>
      <c r="AL50" s="106"/>
      <c r="AM50" s="128"/>
      <c r="AN50" s="119"/>
      <c r="AO50" s="105"/>
      <c r="AP50" s="105"/>
      <c r="AQ50" s="105"/>
      <c r="AR50" s="109"/>
    </row>
    <row r="51" spans="2:44" ht="13.5" customHeight="1" x14ac:dyDescent="0.25">
      <c r="B51" s="14">
        <v>0.83333333333333304</v>
      </c>
      <c r="C51" s="110">
        <v>0</v>
      </c>
      <c r="D51" s="110">
        <v>0.00018820189870893955</v>
      </c>
      <c r="E51" s="110">
        <v>18.967010498046875</v>
      </c>
      <c r="F51" s="110"/>
      <c r="G51" s="110"/>
      <c r="H51" s="110">
        <v>46.377681732177734</v>
      </c>
      <c r="I51" s="110">
        <v>0</v>
      </c>
      <c r="J51" s="110">
        <v>44.99420928955078</v>
      </c>
      <c r="K51" s="110">
        <v>0.18377460539340973</v>
      </c>
      <c r="L51" s="110">
        <v>259.86358642578125</v>
      </c>
      <c r="M51" s="110">
        <v>47.02872085571289</v>
      </c>
      <c r="N51" s="110">
        <v>67.93896484375</v>
      </c>
      <c r="O51" s="110">
        <v>0</v>
      </c>
      <c r="P51" s="110">
        <v>6.102024078369141</v>
      </c>
      <c r="Q51" s="110">
        <v>0</v>
      </c>
      <c r="R51" s="110">
        <v>0.26207324862480164</v>
      </c>
      <c r="S51" s="110">
        <v>0</v>
      </c>
      <c r="T51" s="110">
        <v>0.07825305312871933</v>
      </c>
      <c r="U51" s="121">
        <v>92.58174133300781</v>
      </c>
      <c r="V51" s="129">
        <v>-0.008203120902180672</v>
      </c>
      <c r="W51" s="130">
        <v>30</v>
      </c>
      <c r="X51" s="121">
        <v>32.44792175292969</v>
      </c>
      <c r="Y51" s="121">
        <v>10.574000358581543</v>
      </c>
      <c r="Z51" s="121">
        <v>95.64344787597656</v>
      </c>
      <c r="AA51" s="121">
        <v>35</v>
      </c>
      <c r="AB51" s="121">
        <v>56.605899810791016</v>
      </c>
      <c r="AC51" s="121">
        <v>16.08254051208496</v>
      </c>
      <c r="AD51" s="121">
        <v>18.67947006225586</v>
      </c>
      <c r="AE51" s="114"/>
      <c r="AF51" s="114">
        <v>0</v>
      </c>
      <c r="AG51" s="114"/>
      <c r="AH51" s="114">
        <v>70.06218719482422</v>
      </c>
      <c r="AI51" s="114">
        <v>63.83102035522461</v>
      </c>
      <c r="AJ51" s="114">
        <v>-0.0038541718386113644</v>
      </c>
      <c r="AK51" s="114"/>
      <c r="AL51" s="115"/>
      <c r="AM51" s="131"/>
      <c r="AN51" s="122"/>
      <c r="AO51" s="114"/>
      <c r="AP51" s="114"/>
      <c r="AQ51" s="114"/>
      <c r="AR51" s="125"/>
    </row>
    <row r="52" spans="2:44" ht="13.5" customHeight="1" x14ac:dyDescent="0.25">
      <c r="B52" s="221" t="s">
        <v>459</v>
      </c>
      <c r="C52" s="222"/>
      <c r="D52" s="9" t="s">
        <v>19</v>
      </c>
      <c r="E52" s="202" t="s">
        <v>20</v>
      </c>
      <c r="F52" s="205"/>
      <c r="G52" s="206"/>
      <c r="H52" s="206"/>
      <c r="I52" s="206"/>
      <c r="J52" s="206"/>
      <c r="K52" s="206"/>
      <c r="L52" s="206"/>
      <c r="M52" s="206"/>
      <c r="N52" s="206"/>
      <c r="O52" s="206"/>
      <c r="P52" s="206"/>
      <c r="Q52" s="206"/>
      <c r="R52" s="206"/>
      <c r="S52" s="206"/>
      <c r="T52" s="206"/>
      <c r="U52" s="206"/>
      <c r="V52" s="206"/>
      <c r="W52" s="206"/>
      <c r="X52" s="206"/>
      <c r="Y52" s="206"/>
      <c r="Z52" s="206"/>
      <c r="AA52" s="206"/>
      <c r="AB52" s="206"/>
      <c r="AC52" s="206"/>
      <c r="AD52" s="206"/>
      <c r="AE52" s="206"/>
      <c r="AF52" s="206"/>
      <c r="AG52" s="206"/>
      <c r="AH52" s="206"/>
      <c r="AI52" s="206"/>
      <c r="AJ52" s="206"/>
      <c r="AK52" s="206"/>
      <c r="AL52" s="206"/>
      <c r="AM52" s="206"/>
      <c r="AN52" s="206"/>
      <c r="AO52" s="207"/>
      <c r="AP52" s="207"/>
      <c r="AQ52" s="207"/>
      <c r="AR52" s="208"/>
    </row>
    <row r="53" spans="2:44" ht="13.5" customHeight="1" x14ac:dyDescent="0.25">
      <c r="B53" s="201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  <c r="AB53" s="203"/>
      <c r="AC53" s="203"/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172"/>
      <c r="AP53" s="172"/>
      <c r="AQ53" s="172"/>
      <c r="AR53" s="209"/>
    </row>
    <row r="54" spans="2:44" ht="13.5" customHeight="1" thickBot="1" x14ac:dyDescent="0.3">
      <c r="B54" s="212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  <c r="AB54" s="204"/>
      <c r="AC54" s="204"/>
      <c r="AD54" s="204"/>
      <c r="AE54" s="204"/>
      <c r="AF54" s="204"/>
      <c r="AG54" s="204"/>
      <c r="AH54" s="204"/>
      <c r="AI54" s="204"/>
      <c r="AJ54" s="204"/>
      <c r="AK54" s="204"/>
      <c r="AL54" s="204"/>
      <c r="AM54" s="204"/>
      <c r="AN54" s="204"/>
      <c r="AO54" s="210"/>
      <c r="AP54" s="210"/>
      <c r="AQ54" s="210"/>
      <c r="AR54" s="211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19" sqref="B19:L24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</cols>
  <sheetData>
    <row r="1" spans="2:58" ht="17.5" customHeight="1" thickBot="1" x14ac:dyDescent="0.3">
      <c r="B1" s="180" t="s">
        <v>230</v>
      </c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</row>
    <row r="2" spans="2:58" ht="13" customHeight="1" x14ac:dyDescent="0.25">
      <c r="B2" s="261" t="s">
        <v>232</v>
      </c>
      <c r="C2" s="194"/>
      <c r="D2" s="194"/>
      <c r="E2" s="194"/>
      <c r="F2" s="194"/>
      <c r="G2" s="194"/>
      <c r="H2" s="194"/>
      <c r="I2" s="194"/>
      <c r="J2" s="194"/>
      <c r="K2" s="194"/>
      <c r="L2" s="199"/>
      <c r="M2" s="262" t="s">
        <v>231</v>
      </c>
      <c r="N2" s="194"/>
      <c r="O2" s="194"/>
      <c r="P2" s="194"/>
      <c r="Q2" s="194"/>
      <c r="R2" s="194"/>
      <c r="S2" s="194"/>
      <c r="T2" s="194"/>
      <c r="U2" s="194"/>
      <c r="V2" s="194"/>
      <c r="W2" s="199"/>
      <c r="X2" s="182" t="s">
        <v>233</v>
      </c>
      <c r="Y2" s="194"/>
      <c r="Z2" s="194"/>
      <c r="AA2" s="194"/>
      <c r="AB2" s="194"/>
      <c r="AC2" s="194"/>
      <c r="AD2" s="194"/>
      <c r="AE2" s="194"/>
      <c r="AF2" s="194"/>
      <c r="AG2" s="194"/>
      <c r="AH2" s="199"/>
      <c r="AI2" s="262" t="s">
        <v>234</v>
      </c>
      <c r="AJ2" s="194"/>
      <c r="AK2" s="194"/>
      <c r="AL2" s="194"/>
      <c r="AM2" s="194"/>
      <c r="AN2" s="194"/>
      <c r="AO2" s="194"/>
      <c r="AP2" s="194"/>
      <c r="AQ2" s="194"/>
      <c r="AR2" s="194"/>
      <c r="AS2" s="194"/>
      <c r="AT2" s="199"/>
      <c r="AU2" s="182" t="s">
        <v>235</v>
      </c>
      <c r="AV2" s="194"/>
      <c r="AW2" s="194"/>
      <c r="AX2" s="194"/>
      <c r="AY2" s="194"/>
      <c r="AZ2" s="194"/>
      <c r="BA2" s="194"/>
      <c r="BB2" s="194"/>
      <c r="BC2" s="194"/>
      <c r="BD2" s="194"/>
      <c r="BE2" s="194"/>
      <c r="BF2" s="263"/>
    </row>
    <row r="3" spans="2:58" ht="13" customHeight="1" x14ac:dyDescent="0.25">
      <c r="B3" s="229"/>
      <c r="C3" s="230"/>
      <c r="D3" s="230"/>
      <c r="E3" s="230"/>
      <c r="F3" s="230"/>
      <c r="G3" s="230"/>
      <c r="H3" s="230"/>
      <c r="I3" s="230"/>
      <c r="J3" s="230"/>
      <c r="K3" s="230"/>
      <c r="L3" s="231"/>
      <c r="M3" s="237"/>
      <c r="N3" s="230"/>
      <c r="O3" s="230"/>
      <c r="P3" s="230"/>
      <c r="Q3" s="230"/>
      <c r="R3" s="230"/>
      <c r="S3" s="230"/>
      <c r="T3" s="230"/>
      <c r="U3" s="230"/>
      <c r="V3" s="230"/>
      <c r="W3" s="231"/>
      <c r="X3" s="241"/>
      <c r="Y3" s="230"/>
      <c r="Z3" s="230"/>
      <c r="AA3" s="230"/>
      <c r="AB3" s="230"/>
      <c r="AC3" s="230"/>
      <c r="AD3" s="230"/>
      <c r="AE3" s="230"/>
      <c r="AF3" s="230"/>
      <c r="AG3" s="230"/>
      <c r="AH3" s="231"/>
      <c r="AI3" s="242"/>
      <c r="AJ3" s="230"/>
      <c r="AK3" s="230"/>
      <c r="AL3" s="230"/>
      <c r="AM3" s="230"/>
      <c r="AN3" s="230"/>
      <c r="AO3" s="230"/>
      <c r="AP3" s="230"/>
      <c r="AQ3" s="230"/>
      <c r="AR3" s="230"/>
      <c r="AS3" s="230"/>
      <c r="AT3" s="231"/>
      <c r="AU3" s="241"/>
      <c r="AV3" s="230"/>
      <c r="AW3" s="230"/>
      <c r="AX3" s="230"/>
      <c r="AY3" s="230"/>
      <c r="AZ3" s="230"/>
      <c r="BA3" s="230"/>
      <c r="BB3" s="230"/>
      <c r="BC3" s="230"/>
      <c r="BD3" s="230"/>
      <c r="BE3" s="230"/>
      <c r="BF3" s="243"/>
    </row>
    <row r="4" spans="2:58" ht="13" customHeight="1" x14ac:dyDescent="0.25">
      <c r="B4" s="232"/>
      <c r="C4" s="233"/>
      <c r="D4" s="233"/>
      <c r="E4" s="233"/>
      <c r="F4" s="233"/>
      <c r="G4" s="233"/>
      <c r="H4" s="233"/>
      <c r="I4" s="233"/>
      <c r="J4" s="233"/>
      <c r="K4" s="233"/>
      <c r="L4" s="234"/>
      <c r="M4" s="238"/>
      <c r="N4" s="233"/>
      <c r="O4" s="233"/>
      <c r="P4" s="233"/>
      <c r="Q4" s="233"/>
      <c r="R4" s="233"/>
      <c r="S4" s="233"/>
      <c r="T4" s="233"/>
      <c r="U4" s="233"/>
      <c r="V4" s="233"/>
      <c r="W4" s="234"/>
      <c r="X4" s="238"/>
      <c r="Y4" s="233"/>
      <c r="Z4" s="233"/>
      <c r="AA4" s="233"/>
      <c r="AB4" s="233"/>
      <c r="AC4" s="233"/>
      <c r="AD4" s="233"/>
      <c r="AE4" s="233"/>
      <c r="AF4" s="233"/>
      <c r="AG4" s="233"/>
      <c r="AH4" s="234"/>
      <c r="AI4" s="238"/>
      <c r="AJ4" s="233"/>
      <c r="AK4" s="233"/>
      <c r="AL4" s="233"/>
      <c r="AM4" s="233"/>
      <c r="AN4" s="233"/>
      <c r="AO4" s="233"/>
      <c r="AP4" s="233"/>
      <c r="AQ4" s="233"/>
      <c r="AR4" s="233"/>
      <c r="AS4" s="233"/>
      <c r="AT4" s="234"/>
      <c r="AU4" s="238"/>
      <c r="AV4" s="233"/>
      <c r="AW4" s="233"/>
      <c r="AX4" s="233"/>
      <c r="AY4" s="233"/>
      <c r="AZ4" s="233"/>
      <c r="BA4" s="233"/>
      <c r="BB4" s="233"/>
      <c r="BC4" s="233"/>
      <c r="BD4" s="233"/>
      <c r="BE4" s="233"/>
      <c r="BF4" s="244"/>
    </row>
    <row r="5" spans="2:58" ht="13" customHeight="1" x14ac:dyDescent="0.25">
      <c r="B5" s="232"/>
      <c r="C5" s="233"/>
      <c r="D5" s="233"/>
      <c r="E5" s="233"/>
      <c r="F5" s="233"/>
      <c r="G5" s="233"/>
      <c r="H5" s="233"/>
      <c r="I5" s="233"/>
      <c r="J5" s="233"/>
      <c r="K5" s="233"/>
      <c r="L5" s="234"/>
      <c r="M5" s="238"/>
      <c r="N5" s="233"/>
      <c r="O5" s="233"/>
      <c r="P5" s="233"/>
      <c r="Q5" s="233"/>
      <c r="R5" s="233"/>
      <c r="S5" s="233"/>
      <c r="T5" s="233"/>
      <c r="U5" s="233"/>
      <c r="V5" s="233"/>
      <c r="W5" s="234"/>
      <c r="X5" s="238"/>
      <c r="Y5" s="233"/>
      <c r="Z5" s="233"/>
      <c r="AA5" s="233"/>
      <c r="AB5" s="233"/>
      <c r="AC5" s="233"/>
      <c r="AD5" s="233"/>
      <c r="AE5" s="233"/>
      <c r="AF5" s="233"/>
      <c r="AG5" s="233"/>
      <c r="AH5" s="234"/>
      <c r="AI5" s="238"/>
      <c r="AJ5" s="233"/>
      <c r="AK5" s="233"/>
      <c r="AL5" s="233"/>
      <c r="AM5" s="233"/>
      <c r="AN5" s="233"/>
      <c r="AO5" s="233"/>
      <c r="AP5" s="233"/>
      <c r="AQ5" s="233"/>
      <c r="AR5" s="233"/>
      <c r="AS5" s="233"/>
      <c r="AT5" s="234"/>
      <c r="AU5" s="238"/>
      <c r="AV5" s="233"/>
      <c r="AW5" s="233"/>
      <c r="AX5" s="233"/>
      <c r="AY5" s="233"/>
      <c r="AZ5" s="233"/>
      <c r="BA5" s="233"/>
      <c r="BB5" s="233"/>
      <c r="BC5" s="233"/>
      <c r="BD5" s="233"/>
      <c r="BE5" s="233"/>
      <c r="BF5" s="244"/>
    </row>
    <row r="6" spans="2:58" ht="13" customHeight="1" x14ac:dyDescent="0.25">
      <c r="B6" s="232"/>
      <c r="C6" s="233"/>
      <c r="D6" s="233"/>
      <c r="E6" s="233"/>
      <c r="F6" s="233"/>
      <c r="G6" s="233"/>
      <c r="H6" s="233"/>
      <c r="I6" s="233"/>
      <c r="J6" s="233"/>
      <c r="K6" s="233"/>
      <c r="L6" s="234"/>
      <c r="M6" s="238"/>
      <c r="N6" s="233"/>
      <c r="O6" s="233"/>
      <c r="P6" s="233"/>
      <c r="Q6" s="233"/>
      <c r="R6" s="233"/>
      <c r="S6" s="233"/>
      <c r="T6" s="233"/>
      <c r="U6" s="233"/>
      <c r="V6" s="233"/>
      <c r="W6" s="234"/>
      <c r="X6" s="238"/>
      <c r="Y6" s="233"/>
      <c r="Z6" s="233"/>
      <c r="AA6" s="233"/>
      <c r="AB6" s="233"/>
      <c r="AC6" s="233"/>
      <c r="AD6" s="233"/>
      <c r="AE6" s="233"/>
      <c r="AF6" s="233"/>
      <c r="AG6" s="233"/>
      <c r="AH6" s="234"/>
      <c r="AI6" s="238"/>
      <c r="AJ6" s="233"/>
      <c r="AK6" s="233"/>
      <c r="AL6" s="233"/>
      <c r="AM6" s="233"/>
      <c r="AN6" s="233"/>
      <c r="AO6" s="233"/>
      <c r="AP6" s="233"/>
      <c r="AQ6" s="233"/>
      <c r="AR6" s="233"/>
      <c r="AS6" s="233"/>
      <c r="AT6" s="234"/>
      <c r="AU6" s="238"/>
      <c r="AV6" s="233"/>
      <c r="AW6" s="233"/>
      <c r="AX6" s="233"/>
      <c r="AY6" s="233"/>
      <c r="AZ6" s="233"/>
      <c r="BA6" s="233"/>
      <c r="BB6" s="233"/>
      <c r="BC6" s="233"/>
      <c r="BD6" s="233"/>
      <c r="BE6" s="233"/>
      <c r="BF6" s="244"/>
    </row>
    <row r="7" spans="2:58" ht="13" customHeight="1" x14ac:dyDescent="0.25">
      <c r="B7" s="232"/>
      <c r="C7" s="233"/>
      <c r="D7" s="233"/>
      <c r="E7" s="233"/>
      <c r="F7" s="233"/>
      <c r="G7" s="233"/>
      <c r="H7" s="233"/>
      <c r="I7" s="233"/>
      <c r="J7" s="233"/>
      <c r="K7" s="233"/>
      <c r="L7" s="234"/>
      <c r="M7" s="238"/>
      <c r="N7" s="233"/>
      <c r="O7" s="233"/>
      <c r="P7" s="233"/>
      <c r="Q7" s="233"/>
      <c r="R7" s="233"/>
      <c r="S7" s="233"/>
      <c r="T7" s="233"/>
      <c r="U7" s="233"/>
      <c r="V7" s="233"/>
      <c r="W7" s="234"/>
      <c r="X7" s="238"/>
      <c r="Y7" s="233"/>
      <c r="Z7" s="233"/>
      <c r="AA7" s="233"/>
      <c r="AB7" s="233"/>
      <c r="AC7" s="233"/>
      <c r="AD7" s="233"/>
      <c r="AE7" s="233"/>
      <c r="AF7" s="233"/>
      <c r="AG7" s="233"/>
      <c r="AH7" s="234"/>
      <c r="AI7" s="238"/>
      <c r="AJ7" s="233"/>
      <c r="AK7" s="233"/>
      <c r="AL7" s="233"/>
      <c r="AM7" s="233"/>
      <c r="AN7" s="233"/>
      <c r="AO7" s="233"/>
      <c r="AP7" s="233"/>
      <c r="AQ7" s="233"/>
      <c r="AR7" s="233"/>
      <c r="AS7" s="233"/>
      <c r="AT7" s="234"/>
      <c r="AU7" s="238"/>
      <c r="AV7" s="233"/>
      <c r="AW7" s="233"/>
      <c r="AX7" s="233"/>
      <c r="AY7" s="233"/>
      <c r="AZ7" s="233"/>
      <c r="BA7" s="233"/>
      <c r="BB7" s="233"/>
      <c r="BC7" s="233"/>
      <c r="BD7" s="233"/>
      <c r="BE7" s="233"/>
      <c r="BF7" s="244"/>
    </row>
    <row r="8" spans="2:58" ht="13" customHeight="1" x14ac:dyDescent="0.25">
      <c r="B8" s="232"/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38"/>
      <c r="N8" s="233"/>
      <c r="O8" s="233"/>
      <c r="P8" s="233"/>
      <c r="Q8" s="233"/>
      <c r="R8" s="233"/>
      <c r="S8" s="233"/>
      <c r="T8" s="233"/>
      <c r="U8" s="233"/>
      <c r="V8" s="233"/>
      <c r="W8" s="234"/>
      <c r="X8" s="238"/>
      <c r="Y8" s="233"/>
      <c r="Z8" s="233"/>
      <c r="AA8" s="233"/>
      <c r="AB8" s="233"/>
      <c r="AC8" s="233"/>
      <c r="AD8" s="233"/>
      <c r="AE8" s="233"/>
      <c r="AF8" s="233"/>
      <c r="AG8" s="233"/>
      <c r="AH8" s="234"/>
      <c r="AI8" s="238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4"/>
      <c r="AU8" s="238"/>
      <c r="AV8" s="233"/>
      <c r="AW8" s="233"/>
      <c r="AX8" s="233"/>
      <c r="AY8" s="233"/>
      <c r="AZ8" s="233"/>
      <c r="BA8" s="233"/>
      <c r="BB8" s="233"/>
      <c r="BC8" s="233"/>
      <c r="BD8" s="233"/>
      <c r="BE8" s="233"/>
      <c r="BF8" s="244"/>
    </row>
    <row r="9" spans="2:58" ht="13" customHeight="1" x14ac:dyDescent="0.25">
      <c r="B9" s="235"/>
      <c r="C9" s="236"/>
      <c r="D9" s="236"/>
      <c r="E9" s="236"/>
      <c r="F9" s="236"/>
      <c r="G9" s="236"/>
      <c r="H9" s="236"/>
      <c r="I9" s="236"/>
      <c r="J9" s="236"/>
      <c r="K9" s="236"/>
      <c r="L9" s="222"/>
      <c r="M9" s="239"/>
      <c r="N9" s="236"/>
      <c r="O9" s="236"/>
      <c r="P9" s="236"/>
      <c r="Q9" s="236"/>
      <c r="R9" s="236"/>
      <c r="S9" s="236"/>
      <c r="T9" s="236"/>
      <c r="U9" s="236"/>
      <c r="V9" s="236"/>
      <c r="W9" s="222"/>
      <c r="X9" s="239"/>
      <c r="Y9" s="236"/>
      <c r="Z9" s="236"/>
      <c r="AA9" s="236"/>
      <c r="AB9" s="236"/>
      <c r="AC9" s="236"/>
      <c r="AD9" s="236"/>
      <c r="AE9" s="236"/>
      <c r="AF9" s="236"/>
      <c r="AG9" s="236"/>
      <c r="AH9" s="222"/>
      <c r="AI9" s="239"/>
      <c r="AJ9" s="236"/>
      <c r="AK9" s="236"/>
      <c r="AL9" s="236"/>
      <c r="AM9" s="236"/>
      <c r="AN9" s="236"/>
      <c r="AO9" s="236"/>
      <c r="AP9" s="236"/>
      <c r="AQ9" s="236"/>
      <c r="AR9" s="236"/>
      <c r="AS9" s="236"/>
      <c r="AT9" s="222"/>
      <c r="AU9" s="239"/>
      <c r="AV9" s="236"/>
      <c r="AW9" s="236"/>
      <c r="AX9" s="236"/>
      <c r="AY9" s="236"/>
      <c r="AZ9" s="236"/>
      <c r="BA9" s="236"/>
      <c r="BB9" s="236"/>
      <c r="BC9" s="236"/>
      <c r="BD9" s="236"/>
      <c r="BE9" s="236"/>
      <c r="BF9" s="245"/>
    </row>
    <row r="10" spans="2:58" ht="13" customHeight="1" x14ac:dyDescent="0.25">
      <c r="B10" s="249" t="s">
        <v>236</v>
      </c>
      <c r="C10" s="175"/>
      <c r="D10" s="175"/>
      <c r="E10" s="175"/>
      <c r="F10" s="175"/>
      <c r="G10" s="175"/>
      <c r="H10" s="175"/>
      <c r="I10" s="175"/>
      <c r="J10" s="175"/>
      <c r="K10" s="175"/>
      <c r="L10" s="176"/>
      <c r="M10" s="260" t="s">
        <v>237</v>
      </c>
      <c r="N10" s="175"/>
      <c r="O10" s="175"/>
      <c r="P10" s="175"/>
      <c r="Q10" s="175"/>
      <c r="R10" s="175"/>
      <c r="S10" s="175"/>
      <c r="T10" s="175"/>
      <c r="U10" s="175"/>
      <c r="V10" s="175"/>
      <c r="W10" s="176"/>
      <c r="X10" s="187" t="s">
        <v>238</v>
      </c>
      <c r="Y10" s="175"/>
      <c r="Z10" s="175"/>
      <c r="AA10" s="175"/>
      <c r="AB10" s="175"/>
      <c r="AC10" s="175"/>
      <c r="AD10" s="175"/>
      <c r="AE10" s="175"/>
      <c r="AF10" s="175"/>
      <c r="AG10" s="175"/>
      <c r="AH10" s="176"/>
      <c r="AI10" s="187" t="s">
        <v>239</v>
      </c>
      <c r="AJ10" s="175"/>
      <c r="AK10" s="175"/>
      <c r="AL10" s="175"/>
      <c r="AM10" s="175"/>
      <c r="AN10" s="175"/>
      <c r="AO10" s="175"/>
      <c r="AP10" s="175"/>
      <c r="AQ10" s="175"/>
      <c r="AR10" s="175"/>
      <c r="AS10" s="175"/>
      <c r="AT10" s="176"/>
      <c r="AU10" s="172" t="s">
        <v>240</v>
      </c>
      <c r="AV10" s="175"/>
      <c r="AW10" s="175"/>
      <c r="AX10" s="175"/>
      <c r="AY10" s="175"/>
      <c r="AZ10" s="175"/>
      <c r="BA10" s="175"/>
      <c r="BB10" s="175"/>
      <c r="BC10" s="175"/>
      <c r="BD10" s="175"/>
      <c r="BE10" s="175"/>
      <c r="BF10" s="254"/>
    </row>
    <row r="11" spans="2:58" ht="13" customHeight="1" x14ac:dyDescent="0.25">
      <c r="B11" s="229"/>
      <c r="C11" s="230"/>
      <c r="D11" s="230"/>
      <c r="E11" s="230"/>
      <c r="F11" s="230"/>
      <c r="G11" s="230"/>
      <c r="H11" s="230"/>
      <c r="I11" s="230"/>
      <c r="J11" s="230"/>
      <c r="K11" s="230"/>
      <c r="L11" s="231"/>
      <c r="M11" s="237"/>
      <c r="N11" s="230"/>
      <c r="O11" s="230"/>
      <c r="P11" s="230"/>
      <c r="Q11" s="230"/>
      <c r="R11" s="230"/>
      <c r="S11" s="230"/>
      <c r="T11" s="230"/>
      <c r="U11" s="230"/>
      <c r="V11" s="230"/>
      <c r="W11" s="231"/>
      <c r="X11" s="237"/>
      <c r="Y11" s="230"/>
      <c r="Z11" s="230"/>
      <c r="AA11" s="230"/>
      <c r="AB11" s="230"/>
      <c r="AC11" s="230"/>
      <c r="AD11" s="230"/>
      <c r="AE11" s="230"/>
      <c r="AF11" s="230"/>
      <c r="AG11" s="230"/>
      <c r="AH11" s="231"/>
      <c r="AI11" s="237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1"/>
      <c r="AU11" s="246"/>
      <c r="AV11" s="230"/>
      <c r="AW11" s="230"/>
      <c r="AX11" s="230"/>
      <c r="AY11" s="230"/>
      <c r="AZ11" s="230"/>
      <c r="BA11" s="230"/>
      <c r="BB11" s="230"/>
      <c r="BC11" s="230"/>
      <c r="BD11" s="230"/>
      <c r="BE11" s="230"/>
      <c r="BF11" s="243"/>
    </row>
    <row r="12" spans="2:58" ht="13" customHeight="1" x14ac:dyDescent="0.25">
      <c r="B12" s="232"/>
      <c r="C12" s="233"/>
      <c r="D12" s="233"/>
      <c r="E12" s="233"/>
      <c r="F12" s="233"/>
      <c r="G12" s="233"/>
      <c r="H12" s="233"/>
      <c r="I12" s="233"/>
      <c r="J12" s="233"/>
      <c r="K12" s="233"/>
      <c r="L12" s="234"/>
      <c r="M12" s="238"/>
      <c r="N12" s="233"/>
      <c r="O12" s="233"/>
      <c r="P12" s="233"/>
      <c r="Q12" s="233"/>
      <c r="R12" s="233"/>
      <c r="S12" s="233"/>
      <c r="T12" s="233"/>
      <c r="U12" s="233"/>
      <c r="V12" s="233"/>
      <c r="W12" s="234"/>
      <c r="X12" s="238"/>
      <c r="Y12" s="233"/>
      <c r="Z12" s="233"/>
      <c r="AA12" s="233"/>
      <c r="AB12" s="233"/>
      <c r="AC12" s="233"/>
      <c r="AD12" s="233"/>
      <c r="AE12" s="233"/>
      <c r="AF12" s="233"/>
      <c r="AG12" s="233"/>
      <c r="AH12" s="234"/>
      <c r="AI12" s="238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  <c r="AU12" s="238"/>
      <c r="AV12" s="233"/>
      <c r="AW12" s="233"/>
      <c r="AX12" s="233"/>
      <c r="AY12" s="233"/>
      <c r="AZ12" s="233"/>
      <c r="BA12" s="233"/>
      <c r="BB12" s="233"/>
      <c r="BC12" s="233"/>
      <c r="BD12" s="233"/>
      <c r="BE12" s="233"/>
      <c r="BF12" s="244"/>
    </row>
    <row r="13" spans="2:58" ht="13" customHeight="1" x14ac:dyDescent="0.25">
      <c r="B13" s="232"/>
      <c r="C13" s="233"/>
      <c r="D13" s="233"/>
      <c r="E13" s="233"/>
      <c r="F13" s="233"/>
      <c r="G13" s="233"/>
      <c r="H13" s="233"/>
      <c r="I13" s="233"/>
      <c r="J13" s="233"/>
      <c r="K13" s="233"/>
      <c r="L13" s="234"/>
      <c r="M13" s="238"/>
      <c r="N13" s="233"/>
      <c r="O13" s="233"/>
      <c r="P13" s="233"/>
      <c r="Q13" s="233"/>
      <c r="R13" s="233"/>
      <c r="S13" s="233"/>
      <c r="T13" s="233"/>
      <c r="U13" s="233"/>
      <c r="V13" s="233"/>
      <c r="W13" s="234"/>
      <c r="X13" s="238"/>
      <c r="Y13" s="233"/>
      <c r="Z13" s="233"/>
      <c r="AA13" s="233"/>
      <c r="AB13" s="233"/>
      <c r="AC13" s="233"/>
      <c r="AD13" s="233"/>
      <c r="AE13" s="233"/>
      <c r="AF13" s="233"/>
      <c r="AG13" s="233"/>
      <c r="AH13" s="234"/>
      <c r="AI13" s="238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  <c r="AU13" s="238"/>
      <c r="AV13" s="233"/>
      <c r="AW13" s="233"/>
      <c r="AX13" s="233"/>
      <c r="AY13" s="233"/>
      <c r="AZ13" s="233"/>
      <c r="BA13" s="233"/>
      <c r="BB13" s="233"/>
      <c r="BC13" s="233"/>
      <c r="BD13" s="233"/>
      <c r="BE13" s="233"/>
      <c r="BF13" s="244"/>
    </row>
    <row r="14" spans="2:58" ht="13" customHeight="1" x14ac:dyDescent="0.25">
      <c r="B14" s="232"/>
      <c r="C14" s="233"/>
      <c r="D14" s="233"/>
      <c r="E14" s="233"/>
      <c r="F14" s="233"/>
      <c r="G14" s="233"/>
      <c r="H14" s="233"/>
      <c r="I14" s="233"/>
      <c r="J14" s="233"/>
      <c r="K14" s="233"/>
      <c r="L14" s="234"/>
      <c r="M14" s="238"/>
      <c r="N14" s="233"/>
      <c r="O14" s="233"/>
      <c r="P14" s="233"/>
      <c r="Q14" s="233"/>
      <c r="R14" s="233"/>
      <c r="S14" s="233"/>
      <c r="T14" s="233"/>
      <c r="U14" s="233"/>
      <c r="V14" s="233"/>
      <c r="W14" s="234"/>
      <c r="X14" s="238"/>
      <c r="Y14" s="233"/>
      <c r="Z14" s="233"/>
      <c r="AA14" s="233"/>
      <c r="AB14" s="233"/>
      <c r="AC14" s="233"/>
      <c r="AD14" s="233"/>
      <c r="AE14" s="233"/>
      <c r="AF14" s="233"/>
      <c r="AG14" s="233"/>
      <c r="AH14" s="234"/>
      <c r="AI14" s="238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4"/>
      <c r="AU14" s="238"/>
      <c r="AV14" s="233"/>
      <c r="AW14" s="233"/>
      <c r="AX14" s="233"/>
      <c r="AY14" s="233"/>
      <c r="AZ14" s="233"/>
      <c r="BA14" s="233"/>
      <c r="BB14" s="233"/>
      <c r="BC14" s="233"/>
      <c r="BD14" s="233"/>
      <c r="BE14" s="233"/>
      <c r="BF14" s="244"/>
    </row>
    <row r="15" spans="2:58" ht="13" customHeight="1" x14ac:dyDescent="0.25">
      <c r="B15" s="232"/>
      <c r="C15" s="233"/>
      <c r="D15" s="233"/>
      <c r="E15" s="233"/>
      <c r="F15" s="233"/>
      <c r="G15" s="233"/>
      <c r="H15" s="233"/>
      <c r="I15" s="233"/>
      <c r="J15" s="233"/>
      <c r="K15" s="233"/>
      <c r="L15" s="234"/>
      <c r="M15" s="238"/>
      <c r="N15" s="233"/>
      <c r="O15" s="233"/>
      <c r="P15" s="233"/>
      <c r="Q15" s="233"/>
      <c r="R15" s="233"/>
      <c r="S15" s="233"/>
      <c r="T15" s="233"/>
      <c r="U15" s="233"/>
      <c r="V15" s="233"/>
      <c r="W15" s="234"/>
      <c r="X15" s="238"/>
      <c r="Y15" s="233"/>
      <c r="Z15" s="233"/>
      <c r="AA15" s="233"/>
      <c r="AB15" s="233"/>
      <c r="AC15" s="233"/>
      <c r="AD15" s="233"/>
      <c r="AE15" s="233"/>
      <c r="AF15" s="233"/>
      <c r="AG15" s="233"/>
      <c r="AH15" s="234"/>
      <c r="AI15" s="238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4"/>
      <c r="AU15" s="238"/>
      <c r="AV15" s="233"/>
      <c r="AW15" s="233"/>
      <c r="AX15" s="233"/>
      <c r="AY15" s="233"/>
      <c r="AZ15" s="233"/>
      <c r="BA15" s="233"/>
      <c r="BB15" s="233"/>
      <c r="BC15" s="233"/>
      <c r="BD15" s="233"/>
      <c r="BE15" s="233"/>
      <c r="BF15" s="244"/>
    </row>
    <row r="16" spans="2:58" ht="13" customHeight="1" x14ac:dyDescent="0.25">
      <c r="B16" s="232"/>
      <c r="C16" s="233"/>
      <c r="D16" s="233"/>
      <c r="E16" s="233"/>
      <c r="F16" s="233"/>
      <c r="G16" s="233"/>
      <c r="H16" s="233"/>
      <c r="I16" s="233"/>
      <c r="J16" s="233"/>
      <c r="K16" s="233"/>
      <c r="L16" s="234"/>
      <c r="M16" s="238"/>
      <c r="N16" s="233"/>
      <c r="O16" s="233"/>
      <c r="P16" s="233"/>
      <c r="Q16" s="233"/>
      <c r="R16" s="233"/>
      <c r="S16" s="233"/>
      <c r="T16" s="233"/>
      <c r="U16" s="233"/>
      <c r="V16" s="233"/>
      <c r="W16" s="234"/>
      <c r="X16" s="238"/>
      <c r="Y16" s="233"/>
      <c r="Z16" s="233"/>
      <c r="AA16" s="233"/>
      <c r="AB16" s="233"/>
      <c r="AC16" s="233"/>
      <c r="AD16" s="233"/>
      <c r="AE16" s="233"/>
      <c r="AF16" s="233"/>
      <c r="AG16" s="233"/>
      <c r="AH16" s="234"/>
      <c r="AI16" s="238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4"/>
      <c r="AU16" s="238"/>
      <c r="AV16" s="233"/>
      <c r="AW16" s="233"/>
      <c r="AX16" s="233"/>
      <c r="AY16" s="233"/>
      <c r="AZ16" s="233"/>
      <c r="BA16" s="233"/>
      <c r="BB16" s="233"/>
      <c r="BC16" s="233"/>
      <c r="BD16" s="233"/>
      <c r="BE16" s="233"/>
      <c r="BF16" s="244"/>
    </row>
    <row r="17" spans="2:58" ht="13" customHeight="1" x14ac:dyDescent="0.25">
      <c r="B17" s="235"/>
      <c r="C17" s="236"/>
      <c r="D17" s="236"/>
      <c r="E17" s="236"/>
      <c r="F17" s="236"/>
      <c r="G17" s="236"/>
      <c r="H17" s="236"/>
      <c r="I17" s="236"/>
      <c r="J17" s="236"/>
      <c r="K17" s="236"/>
      <c r="L17" s="222"/>
      <c r="M17" s="239"/>
      <c r="N17" s="236"/>
      <c r="O17" s="236"/>
      <c r="P17" s="236"/>
      <c r="Q17" s="236"/>
      <c r="R17" s="236"/>
      <c r="S17" s="236"/>
      <c r="T17" s="236"/>
      <c r="U17" s="236"/>
      <c r="V17" s="236"/>
      <c r="W17" s="222"/>
      <c r="X17" s="239"/>
      <c r="Y17" s="236"/>
      <c r="Z17" s="236"/>
      <c r="AA17" s="236"/>
      <c r="AB17" s="236"/>
      <c r="AC17" s="236"/>
      <c r="AD17" s="236"/>
      <c r="AE17" s="236"/>
      <c r="AF17" s="236"/>
      <c r="AG17" s="236"/>
      <c r="AH17" s="222"/>
      <c r="AI17" s="239"/>
      <c r="AJ17" s="236"/>
      <c r="AK17" s="236"/>
      <c r="AL17" s="236"/>
      <c r="AM17" s="236"/>
      <c r="AN17" s="236"/>
      <c r="AO17" s="236"/>
      <c r="AP17" s="236"/>
      <c r="AQ17" s="236"/>
      <c r="AR17" s="236"/>
      <c r="AS17" s="236"/>
      <c r="AT17" s="222"/>
      <c r="AU17" s="239"/>
      <c r="AV17" s="236"/>
      <c r="AW17" s="236"/>
      <c r="AX17" s="236"/>
      <c r="AY17" s="236"/>
      <c r="AZ17" s="236"/>
      <c r="BA17" s="236"/>
      <c r="BB17" s="236"/>
      <c r="BC17" s="236"/>
      <c r="BD17" s="236"/>
      <c r="BE17" s="236"/>
      <c r="BF17" s="245"/>
    </row>
    <row r="18" spans="2:58" ht="13" customHeight="1" x14ac:dyDescent="0.25">
      <c r="B18" s="249" t="s">
        <v>241</v>
      </c>
      <c r="C18" s="175"/>
      <c r="D18" s="175"/>
      <c r="E18" s="175"/>
      <c r="F18" s="175"/>
      <c r="G18" s="175"/>
      <c r="H18" s="175"/>
      <c r="I18" s="175"/>
      <c r="J18" s="175"/>
      <c r="K18" s="175"/>
      <c r="L18" s="175"/>
      <c r="M18" s="250" t="s">
        <v>242</v>
      </c>
      <c r="N18" s="175"/>
      <c r="O18" s="175"/>
      <c r="P18" s="175"/>
      <c r="Q18" s="175"/>
      <c r="R18" s="175"/>
      <c r="S18" s="175"/>
      <c r="T18" s="175"/>
      <c r="U18" s="175"/>
      <c r="V18" s="175"/>
      <c r="W18" s="176"/>
      <c r="X18" s="248" t="s">
        <v>243</v>
      </c>
      <c r="Y18" s="175"/>
      <c r="Z18" s="175"/>
      <c r="AA18" s="175"/>
      <c r="AB18" s="175"/>
      <c r="AC18" s="175"/>
      <c r="AD18" s="175"/>
      <c r="AE18" s="175"/>
      <c r="AF18" s="175"/>
      <c r="AG18" s="175"/>
      <c r="AH18" s="176"/>
      <c r="AI18" s="170" t="s">
        <v>244</v>
      </c>
      <c r="AJ18" s="175"/>
      <c r="AK18" s="175"/>
      <c r="AL18" s="175"/>
      <c r="AM18" s="175"/>
      <c r="AN18" s="175"/>
      <c r="AO18" s="175"/>
      <c r="AP18" s="175"/>
      <c r="AQ18" s="175"/>
      <c r="AR18" s="175"/>
      <c r="AS18" s="175"/>
      <c r="AT18" s="176"/>
      <c r="AU18" s="172" t="s">
        <v>245</v>
      </c>
      <c r="AV18" s="175"/>
      <c r="AW18" s="175"/>
      <c r="AX18" s="175"/>
      <c r="AY18" s="175"/>
      <c r="AZ18" s="175"/>
      <c r="BA18" s="175"/>
      <c r="BB18" s="175"/>
      <c r="BC18" s="175"/>
      <c r="BD18" s="175"/>
      <c r="BE18" s="175"/>
      <c r="BF18" s="254"/>
    </row>
    <row r="19" spans="2:58" ht="13" customHeight="1" x14ac:dyDescent="0.25">
      <c r="B19" s="229"/>
      <c r="C19" s="230"/>
      <c r="D19" s="230"/>
      <c r="E19" s="230"/>
      <c r="F19" s="230"/>
      <c r="G19" s="230"/>
      <c r="H19" s="230"/>
      <c r="I19" s="230"/>
      <c r="J19" s="230"/>
      <c r="K19" s="230"/>
      <c r="L19" s="231"/>
      <c r="M19" s="247"/>
      <c r="N19" s="230"/>
      <c r="O19" s="230"/>
      <c r="P19" s="230"/>
      <c r="Q19" s="230"/>
      <c r="R19" s="230"/>
      <c r="S19" s="230"/>
      <c r="T19" s="230"/>
      <c r="U19" s="230"/>
      <c r="V19" s="230"/>
      <c r="W19" s="231"/>
      <c r="X19" s="264"/>
      <c r="Y19" s="230"/>
      <c r="Z19" s="230"/>
      <c r="AA19" s="230"/>
      <c r="AB19" s="230"/>
      <c r="AC19" s="230"/>
      <c r="AD19" s="230"/>
      <c r="AE19" s="230"/>
      <c r="AF19" s="230"/>
      <c r="AG19" s="230"/>
      <c r="AH19" s="231"/>
      <c r="AI19" s="241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1"/>
      <c r="AU19" s="246"/>
      <c r="AV19" s="230"/>
      <c r="AW19" s="230"/>
      <c r="AX19" s="230"/>
      <c r="AY19" s="230"/>
      <c r="AZ19" s="230"/>
      <c r="BA19" s="230"/>
      <c r="BB19" s="230"/>
      <c r="BC19" s="230"/>
      <c r="BD19" s="230"/>
      <c r="BE19" s="230"/>
      <c r="BF19" s="243"/>
    </row>
    <row r="20" spans="2:58" ht="13" customHeight="1" x14ac:dyDescent="0.25">
      <c r="B20" s="232"/>
      <c r="C20" s="233"/>
      <c r="D20" s="233"/>
      <c r="E20" s="233"/>
      <c r="F20" s="233"/>
      <c r="G20" s="233"/>
      <c r="H20" s="233"/>
      <c r="I20" s="233"/>
      <c r="J20" s="233"/>
      <c r="K20" s="233"/>
      <c r="L20" s="234"/>
      <c r="M20" s="238"/>
      <c r="N20" s="233"/>
      <c r="O20" s="233"/>
      <c r="P20" s="233"/>
      <c r="Q20" s="233"/>
      <c r="R20" s="233"/>
      <c r="S20" s="233"/>
      <c r="T20" s="233"/>
      <c r="U20" s="233"/>
      <c r="V20" s="233"/>
      <c r="W20" s="234"/>
      <c r="X20" s="238"/>
      <c r="Y20" s="233"/>
      <c r="Z20" s="233"/>
      <c r="AA20" s="233"/>
      <c r="AB20" s="233"/>
      <c r="AC20" s="233"/>
      <c r="AD20" s="233"/>
      <c r="AE20" s="233"/>
      <c r="AF20" s="233"/>
      <c r="AG20" s="233"/>
      <c r="AH20" s="234"/>
      <c r="AI20" s="238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4"/>
      <c r="AU20" s="238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44"/>
    </row>
    <row r="21" spans="2:58" ht="13" customHeight="1" x14ac:dyDescent="0.25">
      <c r="B21" s="232"/>
      <c r="C21" s="233"/>
      <c r="D21" s="233"/>
      <c r="E21" s="233"/>
      <c r="F21" s="233"/>
      <c r="G21" s="233"/>
      <c r="H21" s="233"/>
      <c r="I21" s="233"/>
      <c r="J21" s="233"/>
      <c r="K21" s="233"/>
      <c r="L21" s="234"/>
      <c r="M21" s="238"/>
      <c r="N21" s="233"/>
      <c r="O21" s="233"/>
      <c r="P21" s="233"/>
      <c r="Q21" s="233"/>
      <c r="R21" s="233"/>
      <c r="S21" s="233"/>
      <c r="T21" s="233"/>
      <c r="U21" s="233"/>
      <c r="V21" s="233"/>
      <c r="W21" s="234"/>
      <c r="X21" s="238"/>
      <c r="Y21" s="233"/>
      <c r="Z21" s="233"/>
      <c r="AA21" s="233"/>
      <c r="AB21" s="233"/>
      <c r="AC21" s="233"/>
      <c r="AD21" s="233"/>
      <c r="AE21" s="233"/>
      <c r="AF21" s="233"/>
      <c r="AG21" s="233"/>
      <c r="AH21" s="234"/>
      <c r="AI21" s="238"/>
      <c r="AJ21" s="233"/>
      <c r="AK21" s="233"/>
      <c r="AL21" s="233"/>
      <c r="AM21" s="233"/>
      <c r="AN21" s="233"/>
      <c r="AO21" s="233"/>
      <c r="AP21" s="233"/>
      <c r="AQ21" s="233"/>
      <c r="AR21" s="233"/>
      <c r="AS21" s="233"/>
      <c r="AT21" s="234"/>
      <c r="AU21" s="238"/>
      <c r="AV21" s="233"/>
      <c r="AW21" s="233"/>
      <c r="AX21" s="233"/>
      <c r="AY21" s="233"/>
      <c r="AZ21" s="233"/>
      <c r="BA21" s="233"/>
      <c r="BB21" s="233"/>
      <c r="BC21" s="233"/>
      <c r="BD21" s="233"/>
      <c r="BE21" s="233"/>
      <c r="BF21" s="244"/>
    </row>
    <row r="22" spans="2:58" ht="13" customHeight="1" x14ac:dyDescent="0.25">
      <c r="B22" s="232"/>
      <c r="C22" s="233"/>
      <c r="D22" s="233"/>
      <c r="E22" s="233"/>
      <c r="F22" s="233"/>
      <c r="G22" s="233"/>
      <c r="H22" s="233"/>
      <c r="I22" s="233"/>
      <c r="J22" s="233"/>
      <c r="K22" s="233"/>
      <c r="L22" s="234"/>
      <c r="M22" s="238"/>
      <c r="N22" s="233"/>
      <c r="O22" s="233"/>
      <c r="P22" s="233"/>
      <c r="Q22" s="233"/>
      <c r="R22" s="233"/>
      <c r="S22" s="233"/>
      <c r="T22" s="233"/>
      <c r="U22" s="233"/>
      <c r="V22" s="233"/>
      <c r="W22" s="234"/>
      <c r="X22" s="238"/>
      <c r="Y22" s="233"/>
      <c r="Z22" s="233"/>
      <c r="AA22" s="233"/>
      <c r="AB22" s="233"/>
      <c r="AC22" s="233"/>
      <c r="AD22" s="233"/>
      <c r="AE22" s="233"/>
      <c r="AF22" s="233"/>
      <c r="AG22" s="233"/>
      <c r="AH22" s="234"/>
      <c r="AI22" s="238"/>
      <c r="AJ22" s="233"/>
      <c r="AK22" s="233"/>
      <c r="AL22" s="233"/>
      <c r="AM22" s="233"/>
      <c r="AN22" s="233"/>
      <c r="AO22" s="233"/>
      <c r="AP22" s="233"/>
      <c r="AQ22" s="233"/>
      <c r="AR22" s="233"/>
      <c r="AS22" s="233"/>
      <c r="AT22" s="234"/>
      <c r="AU22" s="238"/>
      <c r="AV22" s="233"/>
      <c r="AW22" s="233"/>
      <c r="AX22" s="233"/>
      <c r="AY22" s="233"/>
      <c r="AZ22" s="233"/>
      <c r="BA22" s="233"/>
      <c r="BB22" s="233"/>
      <c r="BC22" s="233"/>
      <c r="BD22" s="233"/>
      <c r="BE22" s="233"/>
      <c r="BF22" s="244"/>
    </row>
    <row r="23" spans="2:58" ht="13" customHeight="1" x14ac:dyDescent="0.25">
      <c r="B23" s="232"/>
      <c r="C23" s="233"/>
      <c r="D23" s="233"/>
      <c r="E23" s="233"/>
      <c r="F23" s="233"/>
      <c r="G23" s="233"/>
      <c r="H23" s="233"/>
      <c r="I23" s="233"/>
      <c r="J23" s="233"/>
      <c r="K23" s="233"/>
      <c r="L23" s="234"/>
      <c r="M23" s="238"/>
      <c r="N23" s="233"/>
      <c r="O23" s="233"/>
      <c r="P23" s="233"/>
      <c r="Q23" s="233"/>
      <c r="R23" s="233"/>
      <c r="S23" s="233"/>
      <c r="T23" s="233"/>
      <c r="U23" s="233"/>
      <c r="V23" s="233"/>
      <c r="W23" s="234"/>
      <c r="X23" s="238"/>
      <c r="Y23" s="233"/>
      <c r="Z23" s="233"/>
      <c r="AA23" s="233"/>
      <c r="AB23" s="233"/>
      <c r="AC23" s="233"/>
      <c r="AD23" s="233"/>
      <c r="AE23" s="233"/>
      <c r="AF23" s="233"/>
      <c r="AG23" s="233"/>
      <c r="AH23" s="234"/>
      <c r="AI23" s="238"/>
      <c r="AJ23" s="233"/>
      <c r="AK23" s="233"/>
      <c r="AL23" s="233"/>
      <c r="AM23" s="233"/>
      <c r="AN23" s="233"/>
      <c r="AO23" s="233"/>
      <c r="AP23" s="233"/>
      <c r="AQ23" s="233"/>
      <c r="AR23" s="233"/>
      <c r="AS23" s="233"/>
      <c r="AT23" s="234"/>
      <c r="AU23" s="238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44"/>
    </row>
    <row r="24" spans="2:58" ht="13" customHeight="1" x14ac:dyDescent="0.25">
      <c r="B24" s="235"/>
      <c r="C24" s="236"/>
      <c r="D24" s="236"/>
      <c r="E24" s="236"/>
      <c r="F24" s="236"/>
      <c r="G24" s="236"/>
      <c r="H24" s="236"/>
      <c r="I24" s="236"/>
      <c r="J24" s="236"/>
      <c r="K24" s="236"/>
      <c r="L24" s="222"/>
      <c r="M24" s="239"/>
      <c r="N24" s="236"/>
      <c r="O24" s="236"/>
      <c r="P24" s="236"/>
      <c r="Q24" s="236"/>
      <c r="R24" s="236"/>
      <c r="S24" s="236"/>
      <c r="T24" s="236"/>
      <c r="U24" s="236"/>
      <c r="V24" s="236"/>
      <c r="W24" s="222"/>
      <c r="X24" s="239"/>
      <c r="Y24" s="236"/>
      <c r="Z24" s="236"/>
      <c r="AA24" s="236"/>
      <c r="AB24" s="236"/>
      <c r="AC24" s="236"/>
      <c r="AD24" s="236"/>
      <c r="AE24" s="236"/>
      <c r="AF24" s="236"/>
      <c r="AG24" s="236"/>
      <c r="AH24" s="222"/>
      <c r="AI24" s="239"/>
      <c r="AJ24" s="236"/>
      <c r="AK24" s="236"/>
      <c r="AL24" s="236"/>
      <c r="AM24" s="236"/>
      <c r="AN24" s="236"/>
      <c r="AO24" s="236"/>
      <c r="AP24" s="236"/>
      <c r="AQ24" s="236"/>
      <c r="AR24" s="236"/>
      <c r="AS24" s="236"/>
      <c r="AT24" s="222"/>
      <c r="AU24" s="239"/>
      <c r="AV24" s="236"/>
      <c r="AW24" s="236"/>
      <c r="AX24" s="236"/>
      <c r="AY24" s="236"/>
      <c r="AZ24" s="236"/>
      <c r="BA24" s="236"/>
      <c r="BB24" s="236"/>
      <c r="BC24" s="236"/>
      <c r="BD24" s="236"/>
      <c r="BE24" s="236"/>
      <c r="BF24" s="245"/>
    </row>
    <row r="25" spans="2:58" ht="13" customHeight="1" x14ac:dyDescent="0.25">
      <c r="B25" s="249" t="s">
        <v>246</v>
      </c>
      <c r="C25" s="175"/>
      <c r="D25" s="175"/>
      <c r="E25" s="175"/>
      <c r="F25" s="175"/>
      <c r="G25" s="175"/>
      <c r="H25" s="175"/>
      <c r="I25" s="175"/>
      <c r="J25" s="175"/>
      <c r="K25" s="175"/>
      <c r="L25" s="176"/>
      <c r="M25" s="187" t="s">
        <v>247</v>
      </c>
      <c r="N25" s="175"/>
      <c r="O25" s="175"/>
      <c r="P25" s="175"/>
      <c r="Q25" s="175"/>
      <c r="R25" s="175"/>
      <c r="S25" s="175"/>
      <c r="T25" s="175"/>
      <c r="U25" s="175"/>
      <c r="V25" s="175"/>
      <c r="W25" s="176"/>
      <c r="X25" s="253" t="s">
        <v>248</v>
      </c>
      <c r="Y25" s="175"/>
      <c r="Z25" s="175"/>
      <c r="AA25" s="175"/>
      <c r="AB25" s="175"/>
      <c r="AC25" s="175"/>
      <c r="AD25" s="175"/>
      <c r="AE25" s="175"/>
      <c r="AF25" s="175"/>
      <c r="AG25" s="175"/>
      <c r="AH25" s="176"/>
      <c r="AI25" s="172" t="s">
        <v>249</v>
      </c>
      <c r="AJ25" s="175"/>
      <c r="AK25" s="175"/>
      <c r="AL25" s="175"/>
      <c r="AM25" s="175"/>
      <c r="AN25" s="175"/>
      <c r="AO25" s="175"/>
      <c r="AP25" s="175"/>
      <c r="AQ25" s="175"/>
      <c r="AR25" s="175"/>
      <c r="AS25" s="175"/>
      <c r="AT25" s="176"/>
      <c r="AU25" s="172" t="s">
        <v>250</v>
      </c>
      <c r="AV25" s="175"/>
      <c r="AW25" s="175"/>
      <c r="AX25" s="175"/>
      <c r="AY25" s="175"/>
      <c r="AZ25" s="175"/>
      <c r="BA25" s="175"/>
      <c r="BB25" s="175"/>
      <c r="BC25" s="175"/>
      <c r="BD25" s="175"/>
      <c r="BE25" s="175"/>
      <c r="BF25" s="254"/>
    </row>
    <row r="26" spans="2:58" ht="13" customHeight="1" x14ac:dyDescent="0.25">
      <c r="B26" s="229"/>
      <c r="C26" s="230"/>
      <c r="D26" s="230"/>
      <c r="E26" s="230"/>
      <c r="F26" s="230"/>
      <c r="G26" s="230"/>
      <c r="H26" s="230"/>
      <c r="I26" s="230"/>
      <c r="J26" s="230"/>
      <c r="K26" s="230"/>
      <c r="L26" s="231"/>
      <c r="M26" s="251"/>
      <c r="N26" s="230"/>
      <c r="O26" s="230"/>
      <c r="P26" s="230"/>
      <c r="Q26" s="230"/>
      <c r="R26" s="230"/>
      <c r="S26" s="230"/>
      <c r="T26" s="230"/>
      <c r="U26" s="230"/>
      <c r="V26" s="230"/>
      <c r="W26" s="231"/>
      <c r="X26" s="240"/>
      <c r="Y26" s="230"/>
      <c r="Z26" s="230"/>
      <c r="AA26" s="230"/>
      <c r="AB26" s="230"/>
      <c r="AC26" s="230"/>
      <c r="AD26" s="230"/>
      <c r="AE26" s="230"/>
      <c r="AF26" s="230"/>
      <c r="AG26" s="230"/>
      <c r="AH26" s="231"/>
      <c r="AI26" s="246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1"/>
      <c r="AU26" s="246"/>
      <c r="AV26" s="230"/>
      <c r="AW26" s="230"/>
      <c r="AX26" s="230"/>
      <c r="AY26" s="230"/>
      <c r="AZ26" s="230"/>
      <c r="BA26" s="230"/>
      <c r="BB26" s="230"/>
      <c r="BC26" s="230"/>
      <c r="BD26" s="230"/>
      <c r="BE26" s="230"/>
      <c r="BF26" s="243"/>
    </row>
    <row r="27" spans="2:58" ht="13" customHeight="1" x14ac:dyDescent="0.25">
      <c r="B27" s="232"/>
      <c r="C27" s="233"/>
      <c r="D27" s="233"/>
      <c r="E27" s="233"/>
      <c r="F27" s="233"/>
      <c r="G27" s="233"/>
      <c r="H27" s="233"/>
      <c r="I27" s="233"/>
      <c r="J27" s="233"/>
      <c r="K27" s="233"/>
      <c r="L27" s="234"/>
      <c r="M27" s="238"/>
      <c r="N27" s="233"/>
      <c r="O27" s="233"/>
      <c r="P27" s="233"/>
      <c r="Q27" s="233"/>
      <c r="R27" s="233"/>
      <c r="S27" s="233"/>
      <c r="T27" s="233"/>
      <c r="U27" s="233"/>
      <c r="V27" s="233"/>
      <c r="W27" s="234"/>
      <c r="X27" s="238"/>
      <c r="Y27" s="233"/>
      <c r="Z27" s="233"/>
      <c r="AA27" s="233"/>
      <c r="AB27" s="233"/>
      <c r="AC27" s="233"/>
      <c r="AD27" s="233"/>
      <c r="AE27" s="233"/>
      <c r="AF27" s="233"/>
      <c r="AG27" s="233"/>
      <c r="AH27" s="234"/>
      <c r="AI27" s="238"/>
      <c r="AJ27" s="233"/>
      <c r="AK27" s="233"/>
      <c r="AL27" s="233"/>
      <c r="AM27" s="233"/>
      <c r="AN27" s="233"/>
      <c r="AO27" s="233"/>
      <c r="AP27" s="233"/>
      <c r="AQ27" s="233"/>
      <c r="AR27" s="233"/>
      <c r="AS27" s="233"/>
      <c r="AT27" s="234"/>
      <c r="AU27" s="238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44"/>
    </row>
    <row r="28" spans="2:58" ht="13" customHeight="1" x14ac:dyDescent="0.25">
      <c r="B28" s="232"/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M28" s="238"/>
      <c r="N28" s="233"/>
      <c r="O28" s="233"/>
      <c r="P28" s="233"/>
      <c r="Q28" s="233"/>
      <c r="R28" s="233"/>
      <c r="S28" s="233"/>
      <c r="T28" s="233"/>
      <c r="U28" s="233"/>
      <c r="V28" s="233"/>
      <c r="W28" s="234"/>
      <c r="X28" s="238"/>
      <c r="Y28" s="233"/>
      <c r="Z28" s="233"/>
      <c r="AA28" s="233"/>
      <c r="AB28" s="233"/>
      <c r="AC28" s="233"/>
      <c r="AD28" s="233"/>
      <c r="AE28" s="233"/>
      <c r="AF28" s="233"/>
      <c r="AG28" s="233"/>
      <c r="AH28" s="234"/>
      <c r="AI28" s="238"/>
      <c r="AJ28" s="233"/>
      <c r="AK28" s="233"/>
      <c r="AL28" s="233"/>
      <c r="AM28" s="233"/>
      <c r="AN28" s="233"/>
      <c r="AO28" s="233"/>
      <c r="AP28" s="233"/>
      <c r="AQ28" s="233"/>
      <c r="AR28" s="233"/>
      <c r="AS28" s="233"/>
      <c r="AT28" s="234"/>
      <c r="AU28" s="238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44"/>
    </row>
    <row r="29" spans="2:58" ht="13" customHeight="1" x14ac:dyDescent="0.2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M29" s="238"/>
      <c r="N29" s="233"/>
      <c r="O29" s="233"/>
      <c r="P29" s="233"/>
      <c r="Q29" s="233"/>
      <c r="R29" s="233"/>
      <c r="S29" s="233"/>
      <c r="T29" s="233"/>
      <c r="U29" s="233"/>
      <c r="V29" s="233"/>
      <c r="W29" s="234"/>
      <c r="X29" s="238"/>
      <c r="Y29" s="233"/>
      <c r="Z29" s="233"/>
      <c r="AA29" s="233"/>
      <c r="AB29" s="233"/>
      <c r="AC29" s="233"/>
      <c r="AD29" s="233"/>
      <c r="AE29" s="233"/>
      <c r="AF29" s="233"/>
      <c r="AG29" s="233"/>
      <c r="AH29" s="234"/>
      <c r="AI29" s="238"/>
      <c r="AJ29" s="233"/>
      <c r="AK29" s="233"/>
      <c r="AL29" s="233"/>
      <c r="AM29" s="233"/>
      <c r="AN29" s="233"/>
      <c r="AO29" s="233"/>
      <c r="AP29" s="233"/>
      <c r="AQ29" s="233"/>
      <c r="AR29" s="233"/>
      <c r="AS29" s="233"/>
      <c r="AT29" s="234"/>
      <c r="AU29" s="238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44"/>
    </row>
    <row r="30" spans="2:58" ht="13" customHeight="1" x14ac:dyDescent="0.2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M30" s="238"/>
      <c r="N30" s="233"/>
      <c r="O30" s="233"/>
      <c r="P30" s="233"/>
      <c r="Q30" s="233"/>
      <c r="R30" s="233"/>
      <c r="S30" s="233"/>
      <c r="T30" s="233"/>
      <c r="U30" s="233"/>
      <c r="V30" s="233"/>
      <c r="W30" s="234"/>
      <c r="X30" s="238"/>
      <c r="Y30" s="233"/>
      <c r="Z30" s="233"/>
      <c r="AA30" s="233"/>
      <c r="AB30" s="233"/>
      <c r="AC30" s="233"/>
      <c r="AD30" s="233"/>
      <c r="AE30" s="233"/>
      <c r="AF30" s="233"/>
      <c r="AG30" s="233"/>
      <c r="AH30" s="234"/>
      <c r="AI30" s="238"/>
      <c r="AJ30" s="233"/>
      <c r="AK30" s="233"/>
      <c r="AL30" s="233"/>
      <c r="AM30" s="233"/>
      <c r="AN30" s="233"/>
      <c r="AO30" s="233"/>
      <c r="AP30" s="233"/>
      <c r="AQ30" s="233"/>
      <c r="AR30" s="233"/>
      <c r="AS30" s="233"/>
      <c r="AT30" s="234"/>
      <c r="AU30" s="238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44"/>
    </row>
    <row r="31" spans="2:58" ht="13" customHeight="1" x14ac:dyDescent="0.2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22"/>
      <c r="M31" s="239"/>
      <c r="N31" s="236"/>
      <c r="O31" s="236"/>
      <c r="P31" s="236"/>
      <c r="Q31" s="236"/>
      <c r="R31" s="236"/>
      <c r="S31" s="236"/>
      <c r="T31" s="236"/>
      <c r="U31" s="236"/>
      <c r="V31" s="236"/>
      <c r="W31" s="222"/>
      <c r="X31" s="239"/>
      <c r="Y31" s="236"/>
      <c r="Z31" s="236"/>
      <c r="AA31" s="236"/>
      <c r="AB31" s="236"/>
      <c r="AC31" s="236"/>
      <c r="AD31" s="236"/>
      <c r="AE31" s="236"/>
      <c r="AF31" s="236"/>
      <c r="AG31" s="236"/>
      <c r="AH31" s="222"/>
      <c r="AI31" s="239"/>
      <c r="AJ31" s="236"/>
      <c r="AK31" s="236"/>
      <c r="AL31" s="236"/>
      <c r="AM31" s="236"/>
      <c r="AN31" s="236"/>
      <c r="AO31" s="236"/>
      <c r="AP31" s="236"/>
      <c r="AQ31" s="236"/>
      <c r="AR31" s="236"/>
      <c r="AS31" s="236"/>
      <c r="AT31" s="222"/>
      <c r="AU31" s="239"/>
      <c r="AV31" s="236"/>
      <c r="AW31" s="236"/>
      <c r="AX31" s="236"/>
      <c r="AY31" s="236"/>
      <c r="AZ31" s="236"/>
      <c r="BA31" s="236"/>
      <c r="BB31" s="236"/>
      <c r="BC31" s="236"/>
      <c r="BD31" s="236"/>
      <c r="BE31" s="236"/>
      <c r="BF31" s="245"/>
    </row>
    <row r="32" spans="2:58" ht="13" customHeight="1" x14ac:dyDescent="0.25">
      <c r="B32" s="249" t="s">
        <v>251</v>
      </c>
      <c r="C32" s="175"/>
      <c r="D32" s="175"/>
      <c r="E32" s="175"/>
      <c r="F32" s="175"/>
      <c r="G32" s="175"/>
      <c r="H32" s="175"/>
      <c r="I32" s="175"/>
      <c r="J32" s="175"/>
      <c r="K32" s="175"/>
      <c r="L32" s="176"/>
      <c r="M32" s="252" t="s">
        <v>252</v>
      </c>
      <c r="N32" s="175"/>
      <c r="O32" s="175"/>
      <c r="P32" s="175"/>
      <c r="Q32" s="175"/>
      <c r="R32" s="175"/>
      <c r="S32" s="175"/>
      <c r="T32" s="175"/>
      <c r="U32" s="175"/>
      <c r="V32" s="175"/>
      <c r="W32" s="176"/>
      <c r="X32" s="253" t="s">
        <v>253</v>
      </c>
      <c r="Y32" s="175"/>
      <c r="Z32" s="175"/>
      <c r="AA32" s="175"/>
      <c r="AB32" s="175"/>
      <c r="AC32" s="175"/>
      <c r="AD32" s="175"/>
      <c r="AE32" s="175"/>
      <c r="AF32" s="175"/>
      <c r="AG32" s="175"/>
      <c r="AH32" s="176"/>
      <c r="AI32" s="172" t="s">
        <v>254</v>
      </c>
      <c r="AJ32" s="175"/>
      <c r="AK32" s="175"/>
      <c r="AL32" s="175"/>
      <c r="AM32" s="175"/>
      <c r="AN32" s="175"/>
      <c r="AO32" s="175"/>
      <c r="AP32" s="175"/>
      <c r="AQ32" s="175"/>
      <c r="AR32" s="175"/>
      <c r="AS32" s="175"/>
      <c r="AT32" s="176"/>
      <c r="AU32" s="172" t="s">
        <v>255</v>
      </c>
      <c r="AV32" s="175"/>
      <c r="AW32" s="175"/>
      <c r="AX32" s="175"/>
      <c r="AY32" s="175"/>
      <c r="AZ32" s="175"/>
      <c r="BA32" s="175"/>
      <c r="BB32" s="175"/>
      <c r="BC32" s="175"/>
      <c r="BD32" s="175"/>
      <c r="BE32" s="175"/>
      <c r="BF32" s="254"/>
    </row>
    <row r="33" spans="2:58" ht="13" customHeight="1" x14ac:dyDescent="0.2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37"/>
      <c r="N33" s="230"/>
      <c r="O33" s="230"/>
      <c r="P33" s="230"/>
      <c r="Q33" s="230"/>
      <c r="R33" s="230"/>
      <c r="S33" s="230"/>
      <c r="T33" s="230"/>
      <c r="U33" s="230"/>
      <c r="V33" s="230"/>
      <c r="W33" s="231"/>
      <c r="X33" s="240"/>
      <c r="Y33" s="230"/>
      <c r="Z33" s="230"/>
      <c r="AA33" s="230"/>
      <c r="AB33" s="230"/>
      <c r="AC33" s="230"/>
      <c r="AD33" s="230"/>
      <c r="AE33" s="230"/>
      <c r="AF33" s="230"/>
      <c r="AG33" s="230"/>
      <c r="AH33" s="231"/>
      <c r="AI33" s="246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1"/>
      <c r="AU33" s="246"/>
      <c r="AV33" s="230"/>
      <c r="AW33" s="230"/>
      <c r="AX33" s="230"/>
      <c r="AY33" s="230"/>
      <c r="AZ33" s="230"/>
      <c r="BA33" s="230"/>
      <c r="BB33" s="230"/>
      <c r="BC33" s="230"/>
      <c r="BD33" s="230"/>
      <c r="BE33" s="230"/>
      <c r="BF33" s="243"/>
    </row>
    <row r="34" spans="2:58" ht="13" customHeight="1" x14ac:dyDescent="0.25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238"/>
      <c r="N34" s="233"/>
      <c r="O34" s="233"/>
      <c r="P34" s="233"/>
      <c r="Q34" s="233"/>
      <c r="R34" s="233"/>
      <c r="S34" s="233"/>
      <c r="T34" s="233"/>
      <c r="U34" s="233"/>
      <c r="V34" s="233"/>
      <c r="W34" s="234"/>
      <c r="X34" s="238"/>
      <c r="Y34" s="233"/>
      <c r="Z34" s="233"/>
      <c r="AA34" s="233"/>
      <c r="AB34" s="233"/>
      <c r="AC34" s="233"/>
      <c r="AD34" s="233"/>
      <c r="AE34" s="233"/>
      <c r="AF34" s="233"/>
      <c r="AG34" s="233"/>
      <c r="AH34" s="234"/>
      <c r="AI34" s="238"/>
      <c r="AJ34" s="233"/>
      <c r="AK34" s="233"/>
      <c r="AL34" s="233"/>
      <c r="AM34" s="233"/>
      <c r="AN34" s="233"/>
      <c r="AO34" s="233"/>
      <c r="AP34" s="233"/>
      <c r="AQ34" s="233"/>
      <c r="AR34" s="233"/>
      <c r="AS34" s="233"/>
      <c r="AT34" s="234"/>
      <c r="AU34" s="238"/>
      <c r="AV34" s="233"/>
      <c r="AW34" s="233"/>
      <c r="AX34" s="233"/>
      <c r="AY34" s="233"/>
      <c r="AZ34" s="233"/>
      <c r="BA34" s="233"/>
      <c r="BB34" s="233"/>
      <c r="BC34" s="233"/>
      <c r="BD34" s="233"/>
      <c r="BE34" s="233"/>
      <c r="BF34" s="244"/>
    </row>
    <row r="35" spans="2:58" ht="13" customHeight="1" x14ac:dyDescent="0.25">
      <c r="B35" s="232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38"/>
      <c r="N35" s="233"/>
      <c r="O35" s="233"/>
      <c r="P35" s="233"/>
      <c r="Q35" s="233"/>
      <c r="R35" s="233"/>
      <c r="S35" s="233"/>
      <c r="T35" s="233"/>
      <c r="U35" s="233"/>
      <c r="V35" s="233"/>
      <c r="W35" s="234"/>
      <c r="X35" s="238"/>
      <c r="Y35" s="233"/>
      <c r="Z35" s="233"/>
      <c r="AA35" s="233"/>
      <c r="AB35" s="233"/>
      <c r="AC35" s="233"/>
      <c r="AD35" s="233"/>
      <c r="AE35" s="233"/>
      <c r="AF35" s="233"/>
      <c r="AG35" s="233"/>
      <c r="AH35" s="234"/>
      <c r="AI35" s="238"/>
      <c r="AJ35" s="233"/>
      <c r="AK35" s="233"/>
      <c r="AL35" s="233"/>
      <c r="AM35" s="233"/>
      <c r="AN35" s="233"/>
      <c r="AO35" s="233"/>
      <c r="AP35" s="233"/>
      <c r="AQ35" s="233"/>
      <c r="AR35" s="233"/>
      <c r="AS35" s="233"/>
      <c r="AT35" s="234"/>
      <c r="AU35" s="238"/>
      <c r="AV35" s="233"/>
      <c r="AW35" s="233"/>
      <c r="AX35" s="233"/>
      <c r="AY35" s="233"/>
      <c r="AZ35" s="233"/>
      <c r="BA35" s="233"/>
      <c r="BB35" s="233"/>
      <c r="BC35" s="233"/>
      <c r="BD35" s="233"/>
      <c r="BE35" s="233"/>
      <c r="BF35" s="244"/>
    </row>
    <row r="36" spans="2:58" ht="13" customHeight="1" x14ac:dyDescent="0.2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38"/>
      <c r="N36" s="233"/>
      <c r="O36" s="233"/>
      <c r="P36" s="233"/>
      <c r="Q36" s="233"/>
      <c r="R36" s="233"/>
      <c r="S36" s="233"/>
      <c r="T36" s="233"/>
      <c r="U36" s="233"/>
      <c r="V36" s="233"/>
      <c r="W36" s="234"/>
      <c r="X36" s="238"/>
      <c r="Y36" s="233"/>
      <c r="Z36" s="233"/>
      <c r="AA36" s="233"/>
      <c r="AB36" s="233"/>
      <c r="AC36" s="233"/>
      <c r="AD36" s="233"/>
      <c r="AE36" s="233"/>
      <c r="AF36" s="233"/>
      <c r="AG36" s="233"/>
      <c r="AH36" s="234"/>
      <c r="AI36" s="238"/>
      <c r="AJ36" s="233"/>
      <c r="AK36" s="233"/>
      <c r="AL36" s="233"/>
      <c r="AM36" s="233"/>
      <c r="AN36" s="233"/>
      <c r="AO36" s="233"/>
      <c r="AP36" s="233"/>
      <c r="AQ36" s="233"/>
      <c r="AR36" s="233"/>
      <c r="AS36" s="233"/>
      <c r="AT36" s="234"/>
      <c r="AU36" s="238"/>
      <c r="AV36" s="233"/>
      <c r="AW36" s="233"/>
      <c r="AX36" s="233"/>
      <c r="AY36" s="233"/>
      <c r="AZ36" s="233"/>
      <c r="BA36" s="233"/>
      <c r="BB36" s="233"/>
      <c r="BC36" s="233"/>
      <c r="BD36" s="233"/>
      <c r="BE36" s="233"/>
      <c r="BF36" s="244"/>
    </row>
    <row r="37" spans="2:58" ht="13" customHeight="1" x14ac:dyDescent="0.2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38"/>
      <c r="N37" s="233"/>
      <c r="O37" s="233"/>
      <c r="P37" s="233"/>
      <c r="Q37" s="233"/>
      <c r="R37" s="233"/>
      <c r="S37" s="233"/>
      <c r="T37" s="233"/>
      <c r="U37" s="233"/>
      <c r="V37" s="233"/>
      <c r="W37" s="234"/>
      <c r="X37" s="238"/>
      <c r="Y37" s="233"/>
      <c r="Z37" s="233"/>
      <c r="AA37" s="233"/>
      <c r="AB37" s="233"/>
      <c r="AC37" s="233"/>
      <c r="AD37" s="233"/>
      <c r="AE37" s="233"/>
      <c r="AF37" s="233"/>
      <c r="AG37" s="233"/>
      <c r="AH37" s="234"/>
      <c r="AI37" s="238"/>
      <c r="AJ37" s="233"/>
      <c r="AK37" s="233"/>
      <c r="AL37" s="233"/>
      <c r="AM37" s="233"/>
      <c r="AN37" s="233"/>
      <c r="AO37" s="233"/>
      <c r="AP37" s="233"/>
      <c r="AQ37" s="233"/>
      <c r="AR37" s="233"/>
      <c r="AS37" s="233"/>
      <c r="AT37" s="234"/>
      <c r="AU37" s="238"/>
      <c r="AV37" s="233"/>
      <c r="AW37" s="233"/>
      <c r="AX37" s="233"/>
      <c r="AY37" s="233"/>
      <c r="AZ37" s="233"/>
      <c r="BA37" s="233"/>
      <c r="BB37" s="233"/>
      <c r="BC37" s="233"/>
      <c r="BD37" s="233"/>
      <c r="BE37" s="233"/>
      <c r="BF37" s="244"/>
    </row>
    <row r="38" spans="2:58" ht="13" customHeight="1" x14ac:dyDescent="0.25">
      <c r="B38" s="235"/>
      <c r="C38" s="236"/>
      <c r="D38" s="236"/>
      <c r="E38" s="236"/>
      <c r="F38" s="236"/>
      <c r="G38" s="236"/>
      <c r="H38" s="236"/>
      <c r="I38" s="236"/>
      <c r="J38" s="236"/>
      <c r="K38" s="236"/>
      <c r="L38" s="222"/>
      <c r="M38" s="239"/>
      <c r="N38" s="236"/>
      <c r="O38" s="236"/>
      <c r="P38" s="236"/>
      <c r="Q38" s="236"/>
      <c r="R38" s="236"/>
      <c r="S38" s="236"/>
      <c r="T38" s="236"/>
      <c r="U38" s="236"/>
      <c r="V38" s="236"/>
      <c r="W38" s="222"/>
      <c r="X38" s="239"/>
      <c r="Y38" s="236"/>
      <c r="Z38" s="236"/>
      <c r="AA38" s="236"/>
      <c r="AB38" s="236"/>
      <c r="AC38" s="236"/>
      <c r="AD38" s="236"/>
      <c r="AE38" s="236"/>
      <c r="AF38" s="236"/>
      <c r="AG38" s="236"/>
      <c r="AH38" s="222"/>
      <c r="AI38" s="239"/>
      <c r="AJ38" s="236"/>
      <c r="AK38" s="236"/>
      <c r="AL38" s="236"/>
      <c r="AM38" s="236"/>
      <c r="AN38" s="236"/>
      <c r="AO38" s="236"/>
      <c r="AP38" s="236"/>
      <c r="AQ38" s="236"/>
      <c r="AR38" s="236"/>
      <c r="AS38" s="236"/>
      <c r="AT38" s="222"/>
      <c r="AU38" s="239"/>
      <c r="AV38" s="236"/>
      <c r="AW38" s="236"/>
      <c r="AX38" s="236"/>
      <c r="AY38" s="236"/>
      <c r="AZ38" s="236"/>
      <c r="BA38" s="236"/>
      <c r="BB38" s="236"/>
      <c r="BC38" s="236"/>
      <c r="BD38" s="236"/>
      <c r="BE38" s="236"/>
      <c r="BF38" s="245"/>
    </row>
    <row r="39" spans="2:58" ht="13" customHeight="1" x14ac:dyDescent="0.25">
      <c r="B39" s="249" t="s">
        <v>256</v>
      </c>
      <c r="C39" s="175"/>
      <c r="D39" s="175"/>
      <c r="E39" s="175"/>
      <c r="F39" s="175"/>
      <c r="G39" s="175"/>
      <c r="H39" s="175"/>
      <c r="I39" s="175"/>
      <c r="J39" s="175"/>
      <c r="K39" s="175"/>
      <c r="L39" s="176"/>
      <c r="M39" s="252" t="s">
        <v>257</v>
      </c>
      <c r="N39" s="175"/>
      <c r="O39" s="175"/>
      <c r="P39" s="175"/>
      <c r="Q39" s="175"/>
      <c r="R39" s="175"/>
      <c r="S39" s="175"/>
      <c r="T39" s="175"/>
      <c r="U39" s="175"/>
      <c r="V39" s="175"/>
      <c r="W39" s="176"/>
      <c r="X39" s="253" t="s">
        <v>258</v>
      </c>
      <c r="Y39" s="175"/>
      <c r="Z39" s="175"/>
      <c r="AA39" s="175"/>
      <c r="AB39" s="175"/>
      <c r="AC39" s="175"/>
      <c r="AD39" s="175"/>
      <c r="AE39" s="175"/>
      <c r="AF39" s="175"/>
      <c r="AG39" s="175"/>
      <c r="AH39" s="176"/>
      <c r="AI39" s="172" t="s">
        <v>259</v>
      </c>
      <c r="AJ39" s="175"/>
      <c r="AK39" s="175"/>
      <c r="AL39" s="175"/>
      <c r="AM39" s="175"/>
      <c r="AN39" s="175"/>
      <c r="AO39" s="175"/>
      <c r="AP39" s="175"/>
      <c r="AQ39" s="175"/>
      <c r="AR39" s="175"/>
      <c r="AS39" s="175"/>
      <c r="AT39" s="176"/>
      <c r="AU39" s="172" t="s">
        <v>260</v>
      </c>
      <c r="AV39" s="175"/>
      <c r="AW39" s="175"/>
      <c r="AX39" s="175"/>
      <c r="AY39" s="175"/>
      <c r="AZ39" s="175"/>
      <c r="BA39" s="175"/>
      <c r="BB39" s="175"/>
      <c r="BC39" s="175"/>
      <c r="BD39" s="175"/>
      <c r="BE39" s="175"/>
      <c r="BF39" s="254"/>
    </row>
    <row r="40" spans="2:58" ht="13" customHeight="1" x14ac:dyDescent="0.25">
      <c r="B40" s="229"/>
      <c r="C40" s="230"/>
      <c r="D40" s="230"/>
      <c r="E40" s="230"/>
      <c r="F40" s="230"/>
      <c r="G40" s="230"/>
      <c r="H40" s="230"/>
      <c r="I40" s="230"/>
      <c r="J40" s="230"/>
      <c r="K40" s="230"/>
      <c r="L40" s="231"/>
      <c r="M40" s="237"/>
      <c r="N40" s="230"/>
      <c r="O40" s="230"/>
      <c r="P40" s="230"/>
      <c r="Q40" s="230"/>
      <c r="R40" s="230"/>
      <c r="S40" s="230"/>
      <c r="T40" s="230"/>
      <c r="U40" s="230"/>
      <c r="V40" s="230"/>
      <c r="W40" s="231"/>
      <c r="X40" s="240"/>
      <c r="Y40" s="230"/>
      <c r="Z40" s="230"/>
      <c r="AA40" s="230"/>
      <c r="AB40" s="230"/>
      <c r="AC40" s="230"/>
      <c r="AD40" s="230"/>
      <c r="AE40" s="230"/>
      <c r="AF40" s="230"/>
      <c r="AG40" s="230"/>
      <c r="AH40" s="231"/>
      <c r="AI40" s="246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1"/>
      <c r="AU40" s="246"/>
      <c r="AV40" s="230"/>
      <c r="AW40" s="230"/>
      <c r="AX40" s="230"/>
      <c r="AY40" s="230"/>
      <c r="AZ40" s="230"/>
      <c r="BA40" s="230"/>
      <c r="BB40" s="230"/>
      <c r="BC40" s="230"/>
      <c r="BD40" s="230"/>
      <c r="BE40" s="230"/>
      <c r="BF40" s="243"/>
    </row>
    <row r="41" spans="2:58" ht="13" customHeight="1" x14ac:dyDescent="0.25">
      <c r="B41" s="232"/>
      <c r="C41" s="233"/>
      <c r="D41" s="233"/>
      <c r="E41" s="233"/>
      <c r="F41" s="233"/>
      <c r="G41" s="233"/>
      <c r="H41" s="233"/>
      <c r="I41" s="233"/>
      <c r="J41" s="233"/>
      <c r="K41" s="233"/>
      <c r="L41" s="234"/>
      <c r="M41" s="238"/>
      <c r="N41" s="233"/>
      <c r="O41" s="233"/>
      <c r="P41" s="233"/>
      <c r="Q41" s="233"/>
      <c r="R41" s="233"/>
      <c r="S41" s="233"/>
      <c r="T41" s="233"/>
      <c r="U41" s="233"/>
      <c r="V41" s="233"/>
      <c r="W41" s="234"/>
      <c r="X41" s="238"/>
      <c r="Y41" s="233"/>
      <c r="Z41" s="233"/>
      <c r="AA41" s="233"/>
      <c r="AB41" s="233"/>
      <c r="AC41" s="233"/>
      <c r="AD41" s="233"/>
      <c r="AE41" s="233"/>
      <c r="AF41" s="233"/>
      <c r="AG41" s="233"/>
      <c r="AH41" s="234"/>
      <c r="AI41" s="238"/>
      <c r="AJ41" s="233"/>
      <c r="AK41" s="233"/>
      <c r="AL41" s="233"/>
      <c r="AM41" s="233"/>
      <c r="AN41" s="233"/>
      <c r="AO41" s="233"/>
      <c r="AP41" s="233"/>
      <c r="AQ41" s="233"/>
      <c r="AR41" s="233"/>
      <c r="AS41" s="233"/>
      <c r="AT41" s="234"/>
      <c r="AU41" s="238"/>
      <c r="AV41" s="233"/>
      <c r="AW41" s="233"/>
      <c r="AX41" s="233"/>
      <c r="AY41" s="233"/>
      <c r="AZ41" s="233"/>
      <c r="BA41" s="233"/>
      <c r="BB41" s="233"/>
      <c r="BC41" s="233"/>
      <c r="BD41" s="233"/>
      <c r="BE41" s="233"/>
      <c r="BF41" s="244"/>
    </row>
    <row r="42" spans="2:58" ht="13" customHeight="1" x14ac:dyDescent="0.25">
      <c r="B42" s="232"/>
      <c r="C42" s="233"/>
      <c r="D42" s="233"/>
      <c r="E42" s="233"/>
      <c r="F42" s="233"/>
      <c r="G42" s="233"/>
      <c r="H42" s="233"/>
      <c r="I42" s="233"/>
      <c r="J42" s="233"/>
      <c r="K42" s="233"/>
      <c r="L42" s="234"/>
      <c r="M42" s="238"/>
      <c r="N42" s="233"/>
      <c r="O42" s="233"/>
      <c r="P42" s="233"/>
      <c r="Q42" s="233"/>
      <c r="R42" s="233"/>
      <c r="S42" s="233"/>
      <c r="T42" s="233"/>
      <c r="U42" s="233"/>
      <c r="V42" s="233"/>
      <c r="W42" s="234"/>
      <c r="X42" s="238"/>
      <c r="Y42" s="233"/>
      <c r="Z42" s="233"/>
      <c r="AA42" s="233"/>
      <c r="AB42" s="233"/>
      <c r="AC42" s="233"/>
      <c r="AD42" s="233"/>
      <c r="AE42" s="233"/>
      <c r="AF42" s="233"/>
      <c r="AG42" s="233"/>
      <c r="AH42" s="234"/>
      <c r="AI42" s="238"/>
      <c r="AJ42" s="233"/>
      <c r="AK42" s="233"/>
      <c r="AL42" s="233"/>
      <c r="AM42" s="233"/>
      <c r="AN42" s="233"/>
      <c r="AO42" s="233"/>
      <c r="AP42" s="233"/>
      <c r="AQ42" s="233"/>
      <c r="AR42" s="233"/>
      <c r="AS42" s="233"/>
      <c r="AT42" s="234"/>
      <c r="AU42" s="238"/>
      <c r="AV42" s="233"/>
      <c r="AW42" s="233"/>
      <c r="AX42" s="233"/>
      <c r="AY42" s="233"/>
      <c r="AZ42" s="233"/>
      <c r="BA42" s="233"/>
      <c r="BB42" s="233"/>
      <c r="BC42" s="233"/>
      <c r="BD42" s="233"/>
      <c r="BE42" s="233"/>
      <c r="BF42" s="244"/>
    </row>
    <row r="43" spans="2:58" ht="13" customHeight="1" x14ac:dyDescent="0.25">
      <c r="B43" s="232"/>
      <c r="C43" s="233"/>
      <c r="D43" s="233"/>
      <c r="E43" s="233"/>
      <c r="F43" s="233"/>
      <c r="G43" s="233"/>
      <c r="H43" s="233"/>
      <c r="I43" s="233"/>
      <c r="J43" s="233"/>
      <c r="K43" s="233"/>
      <c r="L43" s="234"/>
      <c r="M43" s="238"/>
      <c r="N43" s="233"/>
      <c r="O43" s="233"/>
      <c r="P43" s="233"/>
      <c r="Q43" s="233"/>
      <c r="R43" s="233"/>
      <c r="S43" s="233"/>
      <c r="T43" s="233"/>
      <c r="U43" s="233"/>
      <c r="V43" s="233"/>
      <c r="W43" s="234"/>
      <c r="X43" s="238"/>
      <c r="Y43" s="233"/>
      <c r="Z43" s="233"/>
      <c r="AA43" s="233"/>
      <c r="AB43" s="233"/>
      <c r="AC43" s="233"/>
      <c r="AD43" s="233"/>
      <c r="AE43" s="233"/>
      <c r="AF43" s="233"/>
      <c r="AG43" s="233"/>
      <c r="AH43" s="234"/>
      <c r="AI43" s="238"/>
      <c r="AJ43" s="233"/>
      <c r="AK43" s="233"/>
      <c r="AL43" s="233"/>
      <c r="AM43" s="233"/>
      <c r="AN43" s="233"/>
      <c r="AO43" s="233"/>
      <c r="AP43" s="233"/>
      <c r="AQ43" s="233"/>
      <c r="AR43" s="233"/>
      <c r="AS43" s="233"/>
      <c r="AT43" s="234"/>
      <c r="AU43" s="238"/>
      <c r="AV43" s="233"/>
      <c r="AW43" s="233"/>
      <c r="AX43" s="233"/>
      <c r="AY43" s="233"/>
      <c r="AZ43" s="233"/>
      <c r="BA43" s="233"/>
      <c r="BB43" s="233"/>
      <c r="BC43" s="233"/>
      <c r="BD43" s="233"/>
      <c r="BE43" s="233"/>
      <c r="BF43" s="244"/>
    </row>
    <row r="44" spans="2:58" ht="13" customHeight="1" x14ac:dyDescent="0.25">
      <c r="B44" s="232"/>
      <c r="C44" s="233"/>
      <c r="D44" s="233"/>
      <c r="E44" s="233"/>
      <c r="F44" s="233"/>
      <c r="G44" s="233"/>
      <c r="H44" s="233"/>
      <c r="I44" s="233"/>
      <c r="J44" s="233"/>
      <c r="K44" s="233"/>
      <c r="L44" s="234"/>
      <c r="M44" s="238"/>
      <c r="N44" s="233"/>
      <c r="O44" s="233"/>
      <c r="P44" s="233"/>
      <c r="Q44" s="233"/>
      <c r="R44" s="233"/>
      <c r="S44" s="233"/>
      <c r="T44" s="233"/>
      <c r="U44" s="233"/>
      <c r="V44" s="233"/>
      <c r="W44" s="234"/>
      <c r="X44" s="238"/>
      <c r="Y44" s="233"/>
      <c r="Z44" s="233"/>
      <c r="AA44" s="233"/>
      <c r="AB44" s="233"/>
      <c r="AC44" s="233"/>
      <c r="AD44" s="233"/>
      <c r="AE44" s="233"/>
      <c r="AF44" s="233"/>
      <c r="AG44" s="233"/>
      <c r="AH44" s="234"/>
      <c r="AI44" s="238"/>
      <c r="AJ44" s="233"/>
      <c r="AK44" s="233"/>
      <c r="AL44" s="233"/>
      <c r="AM44" s="233"/>
      <c r="AN44" s="233"/>
      <c r="AO44" s="233"/>
      <c r="AP44" s="233"/>
      <c r="AQ44" s="233"/>
      <c r="AR44" s="233"/>
      <c r="AS44" s="233"/>
      <c r="AT44" s="234"/>
      <c r="AU44" s="238"/>
      <c r="AV44" s="233"/>
      <c r="AW44" s="233"/>
      <c r="AX44" s="233"/>
      <c r="AY44" s="233"/>
      <c r="AZ44" s="233"/>
      <c r="BA44" s="233"/>
      <c r="BB44" s="233"/>
      <c r="BC44" s="233"/>
      <c r="BD44" s="233"/>
      <c r="BE44" s="233"/>
      <c r="BF44" s="244"/>
    </row>
    <row r="45" spans="2:58" ht="13" customHeight="1" x14ac:dyDescent="0.25">
      <c r="B45" s="235"/>
      <c r="C45" s="236"/>
      <c r="D45" s="236"/>
      <c r="E45" s="236"/>
      <c r="F45" s="236"/>
      <c r="G45" s="236"/>
      <c r="H45" s="236"/>
      <c r="I45" s="236"/>
      <c r="J45" s="236"/>
      <c r="K45" s="236"/>
      <c r="L45" s="222"/>
      <c r="M45" s="239"/>
      <c r="N45" s="236"/>
      <c r="O45" s="236"/>
      <c r="P45" s="236"/>
      <c r="Q45" s="236"/>
      <c r="R45" s="236"/>
      <c r="S45" s="236"/>
      <c r="T45" s="236"/>
      <c r="U45" s="236"/>
      <c r="V45" s="236"/>
      <c r="W45" s="222"/>
      <c r="X45" s="239"/>
      <c r="Y45" s="236"/>
      <c r="Z45" s="236"/>
      <c r="AA45" s="236"/>
      <c r="AB45" s="236"/>
      <c r="AC45" s="236"/>
      <c r="AD45" s="236"/>
      <c r="AE45" s="236"/>
      <c r="AF45" s="236"/>
      <c r="AG45" s="236"/>
      <c r="AH45" s="222"/>
      <c r="AI45" s="239"/>
      <c r="AJ45" s="236"/>
      <c r="AK45" s="236"/>
      <c r="AL45" s="236"/>
      <c r="AM45" s="236"/>
      <c r="AN45" s="236"/>
      <c r="AO45" s="236"/>
      <c r="AP45" s="236"/>
      <c r="AQ45" s="236"/>
      <c r="AR45" s="236"/>
      <c r="AS45" s="236"/>
      <c r="AT45" s="222"/>
      <c r="AU45" s="239"/>
      <c r="AV45" s="236"/>
      <c r="AW45" s="236"/>
      <c r="AX45" s="236"/>
      <c r="AY45" s="236"/>
      <c r="AZ45" s="236"/>
      <c r="BA45" s="236"/>
      <c r="BB45" s="236"/>
      <c r="BC45" s="236"/>
      <c r="BD45" s="236"/>
      <c r="BE45" s="236"/>
      <c r="BF45" s="245"/>
    </row>
    <row r="46" spans="2:58" ht="13" customHeight="1" x14ac:dyDescent="0.25">
      <c r="B46" s="249" t="s">
        <v>261</v>
      </c>
      <c r="C46" s="175"/>
      <c r="D46" s="175"/>
      <c r="E46" s="175"/>
      <c r="F46" s="175"/>
      <c r="G46" s="175"/>
      <c r="H46" s="175"/>
      <c r="I46" s="175"/>
      <c r="J46" s="175"/>
      <c r="K46" s="175"/>
      <c r="L46" s="176"/>
      <c r="M46" s="187" t="s">
        <v>262</v>
      </c>
      <c r="N46" s="175"/>
      <c r="O46" s="175"/>
      <c r="P46" s="175"/>
      <c r="Q46" s="175"/>
      <c r="R46" s="175"/>
      <c r="S46" s="175"/>
      <c r="T46" s="175"/>
      <c r="U46" s="175"/>
      <c r="V46" s="175"/>
      <c r="W46" s="176"/>
      <c r="X46" s="253" t="s">
        <v>263</v>
      </c>
      <c r="Y46" s="175"/>
      <c r="Z46" s="175"/>
      <c r="AA46" s="175"/>
      <c r="AB46" s="175"/>
      <c r="AC46" s="175"/>
      <c r="AD46" s="175"/>
      <c r="AE46" s="175"/>
      <c r="AF46" s="175"/>
      <c r="AG46" s="175"/>
      <c r="AH46" s="176"/>
      <c r="AI46" s="172" t="s">
        <v>264</v>
      </c>
      <c r="AJ46" s="175"/>
      <c r="AK46" s="175"/>
      <c r="AL46" s="175"/>
      <c r="AM46" s="175"/>
      <c r="AN46" s="175"/>
      <c r="AO46" s="175"/>
      <c r="AP46" s="175"/>
      <c r="AQ46" s="175"/>
      <c r="AR46" s="175"/>
      <c r="AS46" s="175"/>
      <c r="AT46" s="176"/>
      <c r="AU46" s="172" t="s">
        <v>265</v>
      </c>
      <c r="AV46" s="175"/>
      <c r="AW46" s="175"/>
      <c r="AX46" s="175"/>
      <c r="AY46" s="175"/>
      <c r="AZ46" s="175"/>
      <c r="BA46" s="175"/>
      <c r="BB46" s="175"/>
      <c r="BC46" s="175"/>
      <c r="BD46" s="175"/>
      <c r="BE46" s="175"/>
      <c r="BF46" s="254"/>
    </row>
    <row r="47" spans="2:58" ht="13" customHeight="1" x14ac:dyDescent="0.25">
      <c r="B47" s="229"/>
      <c r="C47" s="230"/>
      <c r="D47" s="230"/>
      <c r="E47" s="230"/>
      <c r="F47" s="230"/>
      <c r="G47" s="230"/>
      <c r="H47" s="230"/>
      <c r="I47" s="230"/>
      <c r="J47" s="230"/>
      <c r="K47" s="230"/>
      <c r="L47" s="231"/>
      <c r="M47" s="237"/>
      <c r="N47" s="230"/>
      <c r="O47" s="230"/>
      <c r="P47" s="230"/>
      <c r="Q47" s="230"/>
      <c r="R47" s="230"/>
      <c r="S47" s="230"/>
      <c r="T47" s="230"/>
      <c r="U47" s="230"/>
      <c r="V47" s="230"/>
      <c r="W47" s="231"/>
      <c r="X47" s="240"/>
      <c r="Y47" s="230"/>
      <c r="Z47" s="230"/>
      <c r="AA47" s="230"/>
      <c r="AB47" s="230"/>
      <c r="AC47" s="230"/>
      <c r="AD47" s="230"/>
      <c r="AE47" s="230"/>
      <c r="AF47" s="230"/>
      <c r="AG47" s="230"/>
      <c r="AH47" s="231"/>
      <c r="AI47" s="246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1"/>
      <c r="AU47" s="246"/>
      <c r="AV47" s="230"/>
      <c r="AW47" s="230"/>
      <c r="AX47" s="230"/>
      <c r="AY47" s="230"/>
      <c r="AZ47" s="230"/>
      <c r="BA47" s="230"/>
      <c r="BB47" s="230"/>
      <c r="BC47" s="230"/>
      <c r="BD47" s="230"/>
      <c r="BE47" s="230"/>
      <c r="BF47" s="243"/>
    </row>
    <row r="48" spans="2:58" ht="13" customHeight="1" x14ac:dyDescent="0.25">
      <c r="B48" s="232"/>
      <c r="C48" s="233"/>
      <c r="D48" s="233"/>
      <c r="E48" s="233"/>
      <c r="F48" s="233"/>
      <c r="G48" s="233"/>
      <c r="H48" s="233"/>
      <c r="I48" s="233"/>
      <c r="J48" s="233"/>
      <c r="K48" s="233"/>
      <c r="L48" s="234"/>
      <c r="M48" s="238"/>
      <c r="N48" s="233"/>
      <c r="O48" s="233"/>
      <c r="P48" s="233"/>
      <c r="Q48" s="233"/>
      <c r="R48" s="233"/>
      <c r="S48" s="233"/>
      <c r="T48" s="233"/>
      <c r="U48" s="233"/>
      <c r="V48" s="233"/>
      <c r="W48" s="234"/>
      <c r="X48" s="238"/>
      <c r="Y48" s="233"/>
      <c r="Z48" s="233"/>
      <c r="AA48" s="233"/>
      <c r="AB48" s="233"/>
      <c r="AC48" s="233"/>
      <c r="AD48" s="233"/>
      <c r="AE48" s="233"/>
      <c r="AF48" s="233"/>
      <c r="AG48" s="233"/>
      <c r="AH48" s="234"/>
      <c r="AI48" s="238"/>
      <c r="AJ48" s="233"/>
      <c r="AK48" s="233"/>
      <c r="AL48" s="233"/>
      <c r="AM48" s="233"/>
      <c r="AN48" s="233"/>
      <c r="AO48" s="233"/>
      <c r="AP48" s="233"/>
      <c r="AQ48" s="233"/>
      <c r="AR48" s="233"/>
      <c r="AS48" s="233"/>
      <c r="AT48" s="234"/>
      <c r="AU48" s="238"/>
      <c r="AV48" s="233"/>
      <c r="AW48" s="233"/>
      <c r="AX48" s="233"/>
      <c r="AY48" s="233"/>
      <c r="AZ48" s="233"/>
      <c r="BA48" s="233"/>
      <c r="BB48" s="233"/>
      <c r="BC48" s="233"/>
      <c r="BD48" s="233"/>
      <c r="BE48" s="233"/>
      <c r="BF48" s="244"/>
    </row>
    <row r="49" spans="2:58" ht="13" customHeight="1" x14ac:dyDescent="0.25">
      <c r="B49" s="232"/>
      <c r="C49" s="233"/>
      <c r="D49" s="233"/>
      <c r="E49" s="233"/>
      <c r="F49" s="233"/>
      <c r="G49" s="233"/>
      <c r="H49" s="233"/>
      <c r="I49" s="233"/>
      <c r="J49" s="233"/>
      <c r="K49" s="233"/>
      <c r="L49" s="234"/>
      <c r="M49" s="238"/>
      <c r="N49" s="233"/>
      <c r="O49" s="233"/>
      <c r="P49" s="233"/>
      <c r="Q49" s="233"/>
      <c r="R49" s="233"/>
      <c r="S49" s="233"/>
      <c r="T49" s="233"/>
      <c r="U49" s="233"/>
      <c r="V49" s="233"/>
      <c r="W49" s="234"/>
      <c r="X49" s="238"/>
      <c r="Y49" s="233"/>
      <c r="Z49" s="233"/>
      <c r="AA49" s="233"/>
      <c r="AB49" s="233"/>
      <c r="AC49" s="233"/>
      <c r="AD49" s="233"/>
      <c r="AE49" s="233"/>
      <c r="AF49" s="233"/>
      <c r="AG49" s="233"/>
      <c r="AH49" s="234"/>
      <c r="AI49" s="238"/>
      <c r="AJ49" s="233"/>
      <c r="AK49" s="233"/>
      <c r="AL49" s="233"/>
      <c r="AM49" s="233"/>
      <c r="AN49" s="233"/>
      <c r="AO49" s="233"/>
      <c r="AP49" s="233"/>
      <c r="AQ49" s="233"/>
      <c r="AR49" s="233"/>
      <c r="AS49" s="233"/>
      <c r="AT49" s="234"/>
      <c r="AU49" s="238"/>
      <c r="AV49" s="233"/>
      <c r="AW49" s="233"/>
      <c r="AX49" s="233"/>
      <c r="AY49" s="233"/>
      <c r="AZ49" s="233"/>
      <c r="BA49" s="233"/>
      <c r="BB49" s="233"/>
      <c r="BC49" s="233"/>
      <c r="BD49" s="233"/>
      <c r="BE49" s="233"/>
      <c r="BF49" s="244"/>
    </row>
    <row r="50" spans="2:58" ht="13" customHeight="1" x14ac:dyDescent="0.25">
      <c r="B50" s="232"/>
      <c r="C50" s="233"/>
      <c r="D50" s="233"/>
      <c r="E50" s="233"/>
      <c r="F50" s="233"/>
      <c r="G50" s="233"/>
      <c r="H50" s="233"/>
      <c r="I50" s="233"/>
      <c r="J50" s="233"/>
      <c r="K50" s="233"/>
      <c r="L50" s="234"/>
      <c r="M50" s="238"/>
      <c r="N50" s="233"/>
      <c r="O50" s="233"/>
      <c r="P50" s="233"/>
      <c r="Q50" s="233"/>
      <c r="R50" s="233"/>
      <c r="S50" s="233"/>
      <c r="T50" s="233"/>
      <c r="U50" s="233"/>
      <c r="V50" s="233"/>
      <c r="W50" s="234"/>
      <c r="X50" s="238"/>
      <c r="Y50" s="233"/>
      <c r="Z50" s="233"/>
      <c r="AA50" s="233"/>
      <c r="AB50" s="233"/>
      <c r="AC50" s="233"/>
      <c r="AD50" s="233"/>
      <c r="AE50" s="233"/>
      <c r="AF50" s="233"/>
      <c r="AG50" s="233"/>
      <c r="AH50" s="234"/>
      <c r="AI50" s="238"/>
      <c r="AJ50" s="233"/>
      <c r="AK50" s="233"/>
      <c r="AL50" s="233"/>
      <c r="AM50" s="233"/>
      <c r="AN50" s="233"/>
      <c r="AO50" s="233"/>
      <c r="AP50" s="233"/>
      <c r="AQ50" s="233"/>
      <c r="AR50" s="233"/>
      <c r="AS50" s="233"/>
      <c r="AT50" s="234"/>
      <c r="AU50" s="238"/>
      <c r="AV50" s="233"/>
      <c r="AW50" s="233"/>
      <c r="AX50" s="233"/>
      <c r="AY50" s="233"/>
      <c r="AZ50" s="233"/>
      <c r="BA50" s="233"/>
      <c r="BB50" s="233"/>
      <c r="BC50" s="233"/>
      <c r="BD50" s="233"/>
      <c r="BE50" s="233"/>
      <c r="BF50" s="244"/>
    </row>
    <row r="51" spans="2:58" ht="13" customHeight="1" x14ac:dyDescent="0.25">
      <c r="B51" s="232"/>
      <c r="C51" s="233"/>
      <c r="D51" s="233"/>
      <c r="E51" s="233"/>
      <c r="F51" s="233"/>
      <c r="G51" s="233"/>
      <c r="H51" s="233"/>
      <c r="I51" s="233"/>
      <c r="J51" s="233"/>
      <c r="K51" s="233"/>
      <c r="L51" s="234"/>
      <c r="M51" s="238"/>
      <c r="N51" s="233"/>
      <c r="O51" s="233"/>
      <c r="P51" s="233"/>
      <c r="Q51" s="233"/>
      <c r="R51" s="233"/>
      <c r="S51" s="233"/>
      <c r="T51" s="233"/>
      <c r="U51" s="233"/>
      <c r="V51" s="233"/>
      <c r="W51" s="234"/>
      <c r="X51" s="238"/>
      <c r="Y51" s="233"/>
      <c r="Z51" s="233"/>
      <c r="AA51" s="233"/>
      <c r="AB51" s="233"/>
      <c r="AC51" s="233"/>
      <c r="AD51" s="233"/>
      <c r="AE51" s="233"/>
      <c r="AF51" s="233"/>
      <c r="AG51" s="233"/>
      <c r="AH51" s="234"/>
      <c r="AI51" s="238"/>
      <c r="AJ51" s="233"/>
      <c r="AK51" s="233"/>
      <c r="AL51" s="233"/>
      <c r="AM51" s="233"/>
      <c r="AN51" s="233"/>
      <c r="AO51" s="233"/>
      <c r="AP51" s="233"/>
      <c r="AQ51" s="233"/>
      <c r="AR51" s="233"/>
      <c r="AS51" s="233"/>
      <c r="AT51" s="234"/>
      <c r="AU51" s="238"/>
      <c r="AV51" s="233"/>
      <c r="AW51" s="233"/>
      <c r="AX51" s="233"/>
      <c r="AY51" s="233"/>
      <c r="AZ51" s="233"/>
      <c r="BA51" s="233"/>
      <c r="BB51" s="233"/>
      <c r="BC51" s="233"/>
      <c r="BD51" s="233"/>
      <c r="BE51" s="233"/>
      <c r="BF51" s="244"/>
    </row>
    <row r="52" spans="2:58" ht="13" customHeight="1" x14ac:dyDescent="0.25">
      <c r="B52" s="235"/>
      <c r="C52" s="236"/>
      <c r="D52" s="236"/>
      <c r="E52" s="236"/>
      <c r="F52" s="236"/>
      <c r="G52" s="236"/>
      <c r="H52" s="236"/>
      <c r="I52" s="236"/>
      <c r="J52" s="236"/>
      <c r="K52" s="236"/>
      <c r="L52" s="222"/>
      <c r="M52" s="239"/>
      <c r="N52" s="236"/>
      <c r="O52" s="236"/>
      <c r="P52" s="236"/>
      <c r="Q52" s="236"/>
      <c r="R52" s="236"/>
      <c r="S52" s="236"/>
      <c r="T52" s="236"/>
      <c r="U52" s="236"/>
      <c r="V52" s="236"/>
      <c r="W52" s="222"/>
      <c r="X52" s="239"/>
      <c r="Y52" s="236"/>
      <c r="Z52" s="236"/>
      <c r="AA52" s="236"/>
      <c r="AB52" s="236"/>
      <c r="AC52" s="236"/>
      <c r="AD52" s="236"/>
      <c r="AE52" s="236"/>
      <c r="AF52" s="236"/>
      <c r="AG52" s="236"/>
      <c r="AH52" s="222"/>
      <c r="AI52" s="239"/>
      <c r="AJ52" s="236"/>
      <c r="AK52" s="236"/>
      <c r="AL52" s="236"/>
      <c r="AM52" s="236"/>
      <c r="AN52" s="236"/>
      <c r="AO52" s="236"/>
      <c r="AP52" s="236"/>
      <c r="AQ52" s="236"/>
      <c r="AR52" s="236"/>
      <c r="AS52" s="236"/>
      <c r="AT52" s="222"/>
      <c r="AU52" s="239"/>
      <c r="AV52" s="236"/>
      <c r="AW52" s="236"/>
      <c r="AX52" s="236"/>
      <c r="AY52" s="236"/>
      <c r="AZ52" s="236"/>
      <c r="BA52" s="236"/>
      <c r="BB52" s="236"/>
      <c r="BC52" s="236"/>
      <c r="BD52" s="236"/>
      <c r="BE52" s="236"/>
      <c r="BF52" s="245"/>
    </row>
    <row r="53" spans="2:58" ht="13" customHeight="1" x14ac:dyDescent="0.25">
      <c r="B53" s="249" t="s">
        <v>266</v>
      </c>
      <c r="C53" s="175"/>
      <c r="D53" s="175"/>
      <c r="E53" s="175"/>
      <c r="F53" s="175"/>
      <c r="G53" s="175"/>
      <c r="H53" s="175"/>
      <c r="I53" s="175"/>
      <c r="J53" s="175"/>
      <c r="K53" s="175"/>
      <c r="L53" s="176"/>
      <c r="M53" s="252" t="s">
        <v>267</v>
      </c>
      <c r="N53" s="175"/>
      <c r="O53" s="175"/>
      <c r="P53" s="175"/>
      <c r="Q53" s="175"/>
      <c r="R53" s="175"/>
      <c r="S53" s="175"/>
      <c r="T53" s="175"/>
      <c r="U53" s="175"/>
      <c r="V53" s="175"/>
      <c r="W53" s="176"/>
      <c r="X53" s="253" t="s">
        <v>268</v>
      </c>
      <c r="Y53" s="175"/>
      <c r="Z53" s="175"/>
      <c r="AA53" s="175"/>
      <c r="AB53" s="175"/>
      <c r="AC53" s="175"/>
      <c r="AD53" s="175"/>
      <c r="AE53" s="175"/>
      <c r="AF53" s="175"/>
      <c r="AG53" s="175"/>
      <c r="AH53" s="176"/>
      <c r="AI53" s="172" t="s">
        <v>269</v>
      </c>
      <c r="AJ53" s="175"/>
      <c r="AK53" s="175"/>
      <c r="AL53" s="175"/>
      <c r="AM53" s="175"/>
      <c r="AN53" s="175"/>
      <c r="AO53" s="175"/>
      <c r="AP53" s="175"/>
      <c r="AQ53" s="175"/>
      <c r="AR53" s="175"/>
      <c r="AS53" s="175"/>
      <c r="AT53" s="176"/>
      <c r="AU53" s="172" t="s">
        <v>270</v>
      </c>
      <c r="AV53" s="175"/>
      <c r="AW53" s="175"/>
      <c r="AX53" s="175"/>
      <c r="AY53" s="175"/>
      <c r="AZ53" s="175"/>
      <c r="BA53" s="175"/>
      <c r="BB53" s="175"/>
      <c r="BC53" s="175"/>
      <c r="BD53" s="175"/>
      <c r="BE53" s="175"/>
      <c r="BF53" s="254"/>
    </row>
    <row r="54" spans="2:58" ht="13" customHeight="1" x14ac:dyDescent="0.25">
      <c r="B54" s="229"/>
      <c r="C54" s="230"/>
      <c r="D54" s="230"/>
      <c r="E54" s="230"/>
      <c r="F54" s="230"/>
      <c r="G54" s="230"/>
      <c r="H54" s="230"/>
      <c r="I54" s="230"/>
      <c r="J54" s="230"/>
      <c r="K54" s="230"/>
      <c r="L54" s="231"/>
      <c r="M54" s="251"/>
      <c r="N54" s="230"/>
      <c r="O54" s="230"/>
      <c r="P54" s="230"/>
      <c r="Q54" s="230"/>
      <c r="R54" s="230"/>
      <c r="S54" s="230"/>
      <c r="T54" s="230"/>
      <c r="U54" s="230"/>
      <c r="V54" s="230"/>
      <c r="W54" s="231"/>
      <c r="X54" s="240"/>
      <c r="Y54" s="230"/>
      <c r="Z54" s="230"/>
      <c r="AA54" s="230"/>
      <c r="AB54" s="230"/>
      <c r="AC54" s="230"/>
      <c r="AD54" s="230"/>
      <c r="AE54" s="230"/>
      <c r="AF54" s="230"/>
      <c r="AG54" s="230"/>
      <c r="AH54" s="231"/>
      <c r="AI54" s="246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1"/>
      <c r="AU54" s="246"/>
      <c r="AV54" s="230"/>
      <c r="AW54" s="230"/>
      <c r="AX54" s="230"/>
      <c r="AY54" s="230"/>
      <c r="AZ54" s="230"/>
      <c r="BA54" s="230"/>
      <c r="BB54" s="230"/>
      <c r="BC54" s="230"/>
      <c r="BD54" s="230"/>
      <c r="BE54" s="230"/>
      <c r="BF54" s="243"/>
    </row>
    <row r="55" spans="2:58" ht="13" customHeight="1" x14ac:dyDescent="0.25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4"/>
      <c r="M55" s="238"/>
      <c r="N55" s="233"/>
      <c r="O55" s="233"/>
      <c r="P55" s="233"/>
      <c r="Q55" s="233"/>
      <c r="R55" s="233"/>
      <c r="S55" s="233"/>
      <c r="T55" s="233"/>
      <c r="U55" s="233"/>
      <c r="V55" s="233"/>
      <c r="W55" s="234"/>
      <c r="X55" s="238"/>
      <c r="Y55" s="233"/>
      <c r="Z55" s="233"/>
      <c r="AA55" s="233"/>
      <c r="AB55" s="233"/>
      <c r="AC55" s="233"/>
      <c r="AD55" s="233"/>
      <c r="AE55" s="233"/>
      <c r="AF55" s="233"/>
      <c r="AG55" s="233"/>
      <c r="AH55" s="234"/>
      <c r="AI55" s="238"/>
      <c r="AJ55" s="233"/>
      <c r="AK55" s="233"/>
      <c r="AL55" s="233"/>
      <c r="AM55" s="233"/>
      <c r="AN55" s="233"/>
      <c r="AO55" s="233"/>
      <c r="AP55" s="233"/>
      <c r="AQ55" s="233"/>
      <c r="AR55" s="233"/>
      <c r="AS55" s="233"/>
      <c r="AT55" s="234"/>
      <c r="AU55" s="238"/>
      <c r="AV55" s="233"/>
      <c r="AW55" s="233"/>
      <c r="AX55" s="233"/>
      <c r="AY55" s="233"/>
      <c r="AZ55" s="233"/>
      <c r="BA55" s="233"/>
      <c r="BB55" s="233"/>
      <c r="BC55" s="233"/>
      <c r="BD55" s="233"/>
      <c r="BE55" s="233"/>
      <c r="BF55" s="244"/>
    </row>
    <row r="56" spans="2:58" ht="13" customHeight="1" x14ac:dyDescent="0.25">
      <c r="B56" s="232"/>
      <c r="C56" s="233"/>
      <c r="D56" s="233"/>
      <c r="E56" s="233"/>
      <c r="F56" s="233"/>
      <c r="G56" s="233"/>
      <c r="H56" s="233"/>
      <c r="I56" s="233"/>
      <c r="J56" s="233"/>
      <c r="K56" s="233"/>
      <c r="L56" s="234"/>
      <c r="M56" s="238"/>
      <c r="N56" s="233"/>
      <c r="O56" s="233"/>
      <c r="P56" s="233"/>
      <c r="Q56" s="233"/>
      <c r="R56" s="233"/>
      <c r="S56" s="233"/>
      <c r="T56" s="233"/>
      <c r="U56" s="233"/>
      <c r="V56" s="233"/>
      <c r="W56" s="234"/>
      <c r="X56" s="238"/>
      <c r="Y56" s="233"/>
      <c r="Z56" s="233"/>
      <c r="AA56" s="233"/>
      <c r="AB56" s="233"/>
      <c r="AC56" s="233"/>
      <c r="AD56" s="233"/>
      <c r="AE56" s="233"/>
      <c r="AF56" s="233"/>
      <c r="AG56" s="233"/>
      <c r="AH56" s="234"/>
      <c r="AI56" s="238"/>
      <c r="AJ56" s="233"/>
      <c r="AK56" s="233"/>
      <c r="AL56" s="233"/>
      <c r="AM56" s="233"/>
      <c r="AN56" s="233"/>
      <c r="AO56" s="233"/>
      <c r="AP56" s="233"/>
      <c r="AQ56" s="233"/>
      <c r="AR56" s="233"/>
      <c r="AS56" s="233"/>
      <c r="AT56" s="234"/>
      <c r="AU56" s="238"/>
      <c r="AV56" s="233"/>
      <c r="AW56" s="233"/>
      <c r="AX56" s="233"/>
      <c r="AY56" s="233"/>
      <c r="AZ56" s="233"/>
      <c r="BA56" s="233"/>
      <c r="BB56" s="233"/>
      <c r="BC56" s="233"/>
      <c r="BD56" s="233"/>
      <c r="BE56" s="233"/>
      <c r="BF56" s="244"/>
    </row>
    <row r="57" spans="2:58" ht="13" customHeight="1" x14ac:dyDescent="0.25">
      <c r="B57" s="232"/>
      <c r="C57" s="233"/>
      <c r="D57" s="233"/>
      <c r="E57" s="233"/>
      <c r="F57" s="233"/>
      <c r="G57" s="233"/>
      <c r="H57" s="233"/>
      <c r="I57" s="233"/>
      <c r="J57" s="233"/>
      <c r="K57" s="233"/>
      <c r="L57" s="234"/>
      <c r="M57" s="238"/>
      <c r="N57" s="233"/>
      <c r="O57" s="233"/>
      <c r="P57" s="233"/>
      <c r="Q57" s="233"/>
      <c r="R57" s="233"/>
      <c r="S57" s="233"/>
      <c r="T57" s="233"/>
      <c r="U57" s="233"/>
      <c r="V57" s="233"/>
      <c r="W57" s="234"/>
      <c r="X57" s="238"/>
      <c r="Y57" s="233"/>
      <c r="Z57" s="233"/>
      <c r="AA57" s="233"/>
      <c r="AB57" s="233"/>
      <c r="AC57" s="233"/>
      <c r="AD57" s="233"/>
      <c r="AE57" s="233"/>
      <c r="AF57" s="233"/>
      <c r="AG57" s="233"/>
      <c r="AH57" s="234"/>
      <c r="AI57" s="238"/>
      <c r="AJ57" s="233"/>
      <c r="AK57" s="233"/>
      <c r="AL57" s="233"/>
      <c r="AM57" s="233"/>
      <c r="AN57" s="233"/>
      <c r="AO57" s="233"/>
      <c r="AP57" s="233"/>
      <c r="AQ57" s="233"/>
      <c r="AR57" s="233"/>
      <c r="AS57" s="233"/>
      <c r="AT57" s="234"/>
      <c r="AU57" s="238"/>
      <c r="AV57" s="233"/>
      <c r="AW57" s="233"/>
      <c r="AX57" s="233"/>
      <c r="AY57" s="233"/>
      <c r="AZ57" s="233"/>
      <c r="BA57" s="233"/>
      <c r="BB57" s="233"/>
      <c r="BC57" s="233"/>
      <c r="BD57" s="233"/>
      <c r="BE57" s="233"/>
      <c r="BF57" s="244"/>
    </row>
    <row r="58" spans="2:58" ht="13" customHeight="1" x14ac:dyDescent="0.25">
      <c r="B58" s="232"/>
      <c r="C58" s="233"/>
      <c r="D58" s="233"/>
      <c r="E58" s="233"/>
      <c r="F58" s="233"/>
      <c r="G58" s="233"/>
      <c r="H58" s="233"/>
      <c r="I58" s="233"/>
      <c r="J58" s="233"/>
      <c r="K58" s="233"/>
      <c r="L58" s="234"/>
      <c r="M58" s="238"/>
      <c r="N58" s="233"/>
      <c r="O58" s="233"/>
      <c r="P58" s="233"/>
      <c r="Q58" s="233"/>
      <c r="R58" s="233"/>
      <c r="S58" s="233"/>
      <c r="T58" s="233"/>
      <c r="U58" s="233"/>
      <c r="V58" s="233"/>
      <c r="W58" s="234"/>
      <c r="X58" s="238"/>
      <c r="Y58" s="233"/>
      <c r="Z58" s="233"/>
      <c r="AA58" s="233"/>
      <c r="AB58" s="233"/>
      <c r="AC58" s="233"/>
      <c r="AD58" s="233"/>
      <c r="AE58" s="233"/>
      <c r="AF58" s="233"/>
      <c r="AG58" s="233"/>
      <c r="AH58" s="234"/>
      <c r="AI58" s="238"/>
      <c r="AJ58" s="233"/>
      <c r="AK58" s="233"/>
      <c r="AL58" s="233"/>
      <c r="AM58" s="233"/>
      <c r="AN58" s="233"/>
      <c r="AO58" s="233"/>
      <c r="AP58" s="233"/>
      <c r="AQ58" s="233"/>
      <c r="AR58" s="233"/>
      <c r="AS58" s="233"/>
      <c r="AT58" s="234"/>
      <c r="AU58" s="238"/>
      <c r="AV58" s="233"/>
      <c r="AW58" s="233"/>
      <c r="AX58" s="233"/>
      <c r="AY58" s="233"/>
      <c r="AZ58" s="233"/>
      <c r="BA58" s="233"/>
      <c r="BB58" s="233"/>
      <c r="BC58" s="233"/>
      <c r="BD58" s="233"/>
      <c r="BE58" s="233"/>
      <c r="BF58" s="244"/>
    </row>
    <row r="59" spans="2:58" ht="13" customHeight="1" x14ac:dyDescent="0.25">
      <c r="B59" s="255"/>
      <c r="C59" s="256"/>
      <c r="D59" s="256"/>
      <c r="E59" s="256"/>
      <c r="F59" s="256"/>
      <c r="G59" s="256"/>
      <c r="H59" s="256"/>
      <c r="I59" s="256"/>
      <c r="J59" s="256"/>
      <c r="K59" s="256"/>
      <c r="L59" s="257"/>
      <c r="M59" s="258"/>
      <c r="N59" s="256"/>
      <c r="O59" s="256"/>
      <c r="P59" s="256"/>
      <c r="Q59" s="256"/>
      <c r="R59" s="256"/>
      <c r="S59" s="256"/>
      <c r="T59" s="256"/>
      <c r="U59" s="256"/>
      <c r="V59" s="256"/>
      <c r="W59" s="257"/>
      <c r="X59" s="258"/>
      <c r="Y59" s="256"/>
      <c r="Z59" s="256"/>
      <c r="AA59" s="256"/>
      <c r="AB59" s="256"/>
      <c r="AC59" s="256"/>
      <c r="AD59" s="256"/>
      <c r="AE59" s="256"/>
      <c r="AF59" s="256"/>
      <c r="AG59" s="256"/>
      <c r="AH59" s="257"/>
      <c r="AI59" s="258"/>
      <c r="AJ59" s="256"/>
      <c r="AK59" s="256"/>
      <c r="AL59" s="256"/>
      <c r="AM59" s="256"/>
      <c r="AN59" s="256"/>
      <c r="AO59" s="256"/>
      <c r="AP59" s="256"/>
      <c r="AQ59" s="256"/>
      <c r="AR59" s="256"/>
      <c r="AS59" s="256"/>
      <c r="AT59" s="257"/>
      <c r="AU59" s="258"/>
      <c r="AV59" s="256"/>
      <c r="AW59" s="256"/>
      <c r="AX59" s="256"/>
      <c r="AY59" s="256"/>
      <c r="AZ59" s="256"/>
      <c r="BA59" s="256"/>
      <c r="BB59" s="256"/>
      <c r="BC59" s="256"/>
      <c r="BD59" s="256"/>
      <c r="BE59" s="256"/>
      <c r="BF59" s="259"/>
    </row>
    <row r="60" spans="2:58" ht="13" customHeight="1" x14ac:dyDescent="0.25">
      <c r="B60" s="221" t="s">
        <v>459</v>
      </c>
      <c r="C60" s="222"/>
      <c r="D60" s="9" t="s">
        <v>19</v>
      </c>
      <c r="E60" s="202" t="s">
        <v>20</v>
      </c>
      <c r="F60" s="205"/>
      <c r="G60" s="206"/>
      <c r="H60" s="206"/>
      <c r="I60" s="206"/>
      <c r="J60" s="206"/>
      <c r="K60" s="206"/>
      <c r="L60" s="206"/>
      <c r="M60" s="206"/>
      <c r="N60" s="206"/>
      <c r="O60" s="206"/>
      <c r="P60" s="206"/>
      <c r="Q60" s="206"/>
      <c r="R60" s="206"/>
      <c r="S60" s="206"/>
      <c r="T60" s="206"/>
      <c r="U60" s="206"/>
      <c r="V60" s="206"/>
      <c r="W60" s="206"/>
      <c r="X60" s="206"/>
      <c r="Y60" s="206"/>
      <c r="Z60" s="206"/>
      <c r="AA60" s="206"/>
      <c r="AB60" s="206"/>
      <c r="AC60" s="206"/>
      <c r="AD60" s="206"/>
      <c r="AE60" s="206"/>
      <c r="AF60" s="206"/>
      <c r="AG60" s="206"/>
      <c r="AH60" s="206"/>
      <c r="AI60" s="206"/>
      <c r="AJ60" s="206"/>
      <c r="AK60" s="206"/>
      <c r="AL60" s="206"/>
      <c r="AM60" s="206"/>
      <c r="AN60" s="206"/>
      <c r="AO60" s="207"/>
      <c r="AP60" s="207"/>
      <c r="AQ60" s="207"/>
      <c r="AR60" s="207"/>
      <c r="AS60" s="207"/>
      <c r="AT60" s="207"/>
      <c r="AU60" s="207"/>
      <c r="AV60" s="207"/>
      <c r="AW60" s="207"/>
      <c r="AX60" s="207"/>
      <c r="AY60" s="207"/>
      <c r="AZ60" s="207"/>
      <c r="BA60" s="207"/>
      <c r="BB60" s="207"/>
      <c r="BC60" s="207"/>
      <c r="BD60" s="207"/>
      <c r="BE60" s="207"/>
      <c r="BF60" s="208"/>
    </row>
    <row r="61" spans="2:58" ht="13" customHeight="1" x14ac:dyDescent="0.25">
      <c r="B61" s="201" t="s">
        <v>226</v>
      </c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  <c r="AB61" s="203"/>
      <c r="AC61" s="203"/>
      <c r="AD61" s="203"/>
      <c r="AE61" s="203"/>
      <c r="AF61" s="203"/>
      <c r="AG61" s="203"/>
      <c r="AH61" s="203"/>
      <c r="AI61" s="203"/>
      <c r="AJ61" s="203"/>
      <c r="AK61" s="203"/>
      <c r="AL61" s="203"/>
      <c r="AM61" s="203"/>
      <c r="AN61" s="203"/>
      <c r="AO61" s="172"/>
      <c r="AP61" s="172"/>
      <c r="AQ61" s="172"/>
      <c r="AR61" s="172"/>
      <c r="AS61" s="172"/>
      <c r="AT61" s="172"/>
      <c r="AU61" s="172"/>
      <c r="AV61" s="172"/>
      <c r="AW61" s="172"/>
      <c r="AX61" s="172"/>
      <c r="AY61" s="172"/>
      <c r="AZ61" s="172"/>
      <c r="BA61" s="172"/>
      <c r="BB61" s="172"/>
      <c r="BC61" s="172"/>
      <c r="BD61" s="172"/>
      <c r="BE61" s="172"/>
      <c r="BF61" s="209"/>
    </row>
    <row r="62" spans="2:58" ht="13" customHeight="1" thickBot="1" x14ac:dyDescent="0.3">
      <c r="B62" s="212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  <c r="AB62" s="204"/>
      <c r="AC62" s="204"/>
      <c r="AD62" s="204"/>
      <c r="AE62" s="204"/>
      <c r="AF62" s="204"/>
      <c r="AG62" s="204"/>
      <c r="AH62" s="204"/>
      <c r="AI62" s="204"/>
      <c r="AJ62" s="204"/>
      <c r="AK62" s="204"/>
      <c r="AL62" s="204"/>
      <c r="AM62" s="204"/>
      <c r="AN62" s="204"/>
      <c r="AO62" s="210"/>
      <c r="AP62" s="210"/>
      <c r="AQ62" s="210"/>
      <c r="AR62" s="210"/>
      <c r="AS62" s="210"/>
      <c r="AT62" s="210"/>
      <c r="AU62" s="210"/>
      <c r="AV62" s="210"/>
      <c r="AW62" s="210"/>
      <c r="AX62" s="210"/>
      <c r="AY62" s="210"/>
      <c r="AZ62" s="210"/>
      <c r="BA62" s="210"/>
      <c r="BB62" s="210"/>
      <c r="BC62" s="210"/>
      <c r="BD62" s="210"/>
      <c r="BE62" s="210"/>
      <c r="BF62" s="211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O23" sqref="O23"/>
    </sheetView>
  </sheetViews>
  <sheetFormatPr defaultRowHeight="8" x14ac:dyDescent="0.25"/>
  <cols>
    <col min="1" max="1" width="0.453125" style="6" customWidth="1"/>
    <col min="2" max="2" width="3.453125" style="6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</cols>
  <sheetData>
    <row r="1" spans="2:47" ht="5.15" customHeight="1" x14ac:dyDescent="0.25"/>
    <row r="2" spans="2:47" ht="17.5" customHeight="1" thickBot="1" x14ac:dyDescent="0.3">
      <c r="B2" s="180" t="s">
        <v>227</v>
      </c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H2" s="181"/>
      <c r="AI2" s="181"/>
      <c r="AJ2" s="181"/>
      <c r="AK2" s="181"/>
      <c r="AL2" s="181"/>
      <c r="AM2" s="181"/>
      <c r="AN2" s="181"/>
      <c r="AO2" s="181"/>
      <c r="AP2" s="181"/>
      <c r="AQ2" s="181"/>
      <c r="AR2" s="181"/>
    </row>
    <row r="3" spans="2:47" ht="20.15" customHeight="1" x14ac:dyDescent="0.25">
      <c r="B3" s="184" t="s">
        <v>181</v>
      </c>
      <c r="C3" s="182" t="s">
        <v>163</v>
      </c>
      <c r="D3" s="194"/>
      <c r="E3" s="194"/>
      <c r="F3" s="194"/>
      <c r="G3" s="194"/>
      <c r="H3" s="195"/>
      <c r="I3" s="198" t="s">
        <v>8</v>
      </c>
      <c r="J3" s="194"/>
      <c r="K3" s="194"/>
      <c r="L3" s="194"/>
      <c r="M3" s="194"/>
      <c r="N3" s="194"/>
      <c r="O3" s="194"/>
      <c r="P3" s="199"/>
      <c r="Q3" s="182" t="s">
        <v>77</v>
      </c>
      <c r="R3" s="194"/>
      <c r="S3" s="199"/>
      <c r="T3" s="182" t="s">
        <v>10</v>
      </c>
      <c r="U3" s="194"/>
      <c r="V3" s="194"/>
      <c r="W3" s="199"/>
      <c r="X3" s="182" t="s">
        <v>80</v>
      </c>
      <c r="Y3" s="183"/>
      <c r="Z3" s="182" t="s">
        <v>11</v>
      </c>
      <c r="AA3" s="183"/>
      <c r="AB3" s="13" t="s">
        <v>13</v>
      </c>
      <c r="AC3" s="182" t="s">
        <v>14</v>
      </c>
      <c r="AD3" s="183"/>
      <c r="AE3" s="223" t="s">
        <v>88</v>
      </c>
      <c r="AF3" s="224"/>
      <c r="AG3" s="224"/>
      <c r="AH3" s="224"/>
      <c r="AI3" s="224"/>
      <c r="AJ3" s="224"/>
      <c r="AK3" s="225"/>
      <c r="AL3" s="182" t="s">
        <v>18</v>
      </c>
      <c r="AM3" s="190"/>
      <c r="AN3" s="191"/>
      <c r="AO3" s="190" t="s">
        <v>16</v>
      </c>
      <c r="AP3" s="190"/>
      <c r="AQ3" s="190"/>
      <c r="AR3" s="193"/>
    </row>
    <row r="4" spans="2:47" ht="30" customHeight="1" x14ac:dyDescent="0.25">
      <c r="B4" s="185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96" t="s">
        <v>62</v>
      </c>
      <c r="J4" s="197"/>
      <c r="K4" s="3" t="s">
        <v>6</v>
      </c>
      <c r="L4" s="3" t="s">
        <v>66</v>
      </c>
      <c r="M4" s="3" t="s">
        <v>164</v>
      </c>
      <c r="N4" s="3" t="s">
        <v>165</v>
      </c>
      <c r="O4" s="170" t="s">
        <v>7</v>
      </c>
      <c r="P4" s="174"/>
      <c r="Q4" s="187" t="s">
        <v>71</v>
      </c>
      <c r="R4" s="174"/>
      <c r="S4" s="3" t="s">
        <v>51</v>
      </c>
      <c r="T4" s="3" t="s">
        <v>75</v>
      </c>
      <c r="U4" s="187" t="s">
        <v>78</v>
      </c>
      <c r="V4" s="174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88" t="s">
        <v>89</v>
      </c>
      <c r="AF4" s="189"/>
      <c r="AG4" s="188" t="s">
        <v>92</v>
      </c>
      <c r="AH4" s="189"/>
      <c r="AI4" s="10" t="s">
        <v>166</v>
      </c>
      <c r="AJ4" s="10" t="s">
        <v>167</v>
      </c>
      <c r="AK4" s="11" t="s">
        <v>115</v>
      </c>
      <c r="AL4" s="187" t="s">
        <v>110</v>
      </c>
      <c r="AM4" s="174"/>
      <c r="AN4" s="29" t="s">
        <v>111</v>
      </c>
      <c r="AO4" s="26" t="s">
        <v>12</v>
      </c>
      <c r="AP4" s="3" t="s">
        <v>1</v>
      </c>
      <c r="AQ4" s="172" t="s">
        <v>161</v>
      </c>
      <c r="AR4" s="192"/>
      <c r="AU4" s="20"/>
    </row>
    <row r="5" spans="2:47" ht="20.15" customHeight="1" x14ac:dyDescent="0.25">
      <c r="B5" s="18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448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50</v>
      </c>
      <c r="C6" s="101">
        <v>49.25130081176758</v>
      </c>
      <c r="D6" s="101">
        <v>19.656030654907227</v>
      </c>
      <c r="E6" s="101">
        <v>25.19230079650879</v>
      </c>
      <c r="F6" s="101"/>
      <c r="G6" s="101"/>
      <c r="H6" s="102">
        <v>416.1903076171875</v>
      </c>
      <c r="I6" s="103">
        <v>24.53342056274414</v>
      </c>
      <c r="J6" s="101"/>
      <c r="K6" s="101">
        <v>39.46759033203125</v>
      </c>
      <c r="L6" s="101">
        <v>1.4054360389709473</v>
      </c>
      <c r="M6" s="101">
        <v>110.8561019897461</v>
      </c>
      <c r="N6" s="101">
        <v>116.05180358886719</v>
      </c>
      <c r="O6" s="101">
        <v>0</v>
      </c>
      <c r="P6" s="101"/>
      <c r="Q6" s="101">
        <v>2.9198360443115234</v>
      </c>
      <c r="R6" s="101"/>
      <c r="S6" s="101">
        <v>143.6053009033203</v>
      </c>
      <c r="T6" s="101">
        <v>1.4574470520019531</v>
      </c>
      <c r="U6" s="101">
        <v>0.36182668805122375</v>
      </c>
      <c r="V6" s="101"/>
      <c r="W6" s="101">
        <v>93.20023345947266</v>
      </c>
      <c r="X6" s="101">
        <v>0.5600718855857849</v>
      </c>
      <c r="Y6" s="101" t="s">
        <v>4</v>
      </c>
      <c r="Z6" s="101">
        <v>0.8578125238418579</v>
      </c>
      <c r="AA6" s="101">
        <v>151.17909240722656</v>
      </c>
      <c r="AB6" s="101">
        <v>165.66839599609375</v>
      </c>
      <c r="AC6" s="101">
        <v>0.47334349155426025</v>
      </c>
      <c r="AD6" s="101">
        <v>156.51040649414062</v>
      </c>
      <c r="AE6" s="104"/>
      <c r="AF6" s="104"/>
      <c r="AG6" s="104"/>
      <c r="AH6" s="104"/>
      <c r="AI6" s="104"/>
      <c r="AJ6" s="104"/>
      <c r="AK6" s="104"/>
      <c r="AL6" s="101">
        <v>24.4719295501709</v>
      </c>
      <c r="AM6" s="105"/>
      <c r="AN6" s="106">
        <v>62.1781005859375</v>
      </c>
      <c r="AO6" s="107"/>
      <c r="AP6" s="108"/>
      <c r="AQ6" s="108">
        <v>0.18829570710659027</v>
      </c>
      <c r="AR6" s="109"/>
    </row>
    <row r="7" spans="2:47" ht="13.5" customHeight="1" x14ac:dyDescent="0.25">
      <c r="B7" s="14">
        <v>0.875</v>
      </c>
      <c r="C7" s="101">
        <v>49.15726089477539</v>
      </c>
      <c r="D7" s="101">
        <v>19.769969940185547</v>
      </c>
      <c r="E7" s="101">
        <v>25.088130950927734</v>
      </c>
      <c r="F7" s="101">
        <v>0.35768750309944153</v>
      </c>
      <c r="G7" s="101">
        <v>0</v>
      </c>
      <c r="H7" s="102">
        <v>415.7665100097656</v>
      </c>
      <c r="I7" s="103">
        <v>25.368919372558594</v>
      </c>
      <c r="J7" s="101">
        <v>0.025466307997703552</v>
      </c>
      <c r="K7" s="101">
        <v>39.503761291503906</v>
      </c>
      <c r="L7" s="101">
        <v>1.4038989543914795</v>
      </c>
      <c r="M7" s="101">
        <v>106.29879760742188</v>
      </c>
      <c r="N7" s="101">
        <v>113.60679626464844</v>
      </c>
      <c r="O7" s="101">
        <v>0</v>
      </c>
      <c r="P7" s="101">
        <v>25.22509765625</v>
      </c>
      <c r="Q7" s="101">
        <v>2.80743408203125</v>
      </c>
      <c r="R7" s="101">
        <v>2.77001953125</v>
      </c>
      <c r="S7" s="101">
        <v>142.78790283203125</v>
      </c>
      <c r="T7" s="101">
        <v>1.4555480480194092</v>
      </c>
      <c r="U7" s="101">
        <v>0.3600902855396271</v>
      </c>
      <c r="V7" s="101">
        <v>0.3600468635559082</v>
      </c>
      <c r="W7" s="101">
        <v>93.301513671875</v>
      </c>
      <c r="X7" s="101">
        <v>0.5601974129676819</v>
      </c>
      <c r="Y7" s="101" t="s">
        <v>82</v>
      </c>
      <c r="Z7" s="101">
        <v>0.857175886631012</v>
      </c>
      <c r="AA7" s="101">
        <v>150.44129943847656</v>
      </c>
      <c r="AB7" s="101">
        <v>165.531005859375</v>
      </c>
      <c r="AC7" s="101">
        <v>0.5069805979728699</v>
      </c>
      <c r="AD7" s="101">
        <v>156.32960510253906</v>
      </c>
      <c r="AE7" s="104"/>
      <c r="AF7" s="104"/>
      <c r="AG7" s="104"/>
      <c r="AH7" s="104"/>
      <c r="AI7" s="104"/>
      <c r="AJ7" s="104"/>
      <c r="AK7" s="104"/>
      <c r="AL7" s="101">
        <v>25.379770278930664</v>
      </c>
      <c r="AM7" s="105">
        <v>0.02370019443333149</v>
      </c>
      <c r="AN7" s="106">
        <v>60.40943145751953</v>
      </c>
      <c r="AO7" s="107"/>
      <c r="AP7" s="108"/>
      <c r="AQ7" s="108">
        <v>0.3059172034263611</v>
      </c>
      <c r="AR7" s="109">
        <v>0.000349792477209121</v>
      </c>
    </row>
    <row r="8" spans="2:47" ht="13.5" customHeight="1" x14ac:dyDescent="0.25">
      <c r="B8" s="41" t="s">
        <v>271</v>
      </c>
      <c r="C8" s="101">
        <v>49.265769958496094</v>
      </c>
      <c r="D8" s="101">
        <v>19.93815040588379</v>
      </c>
      <c r="E8" s="101">
        <v>25.749799728393555</v>
      </c>
      <c r="F8" s="101">
        <v>0.3583124876022339</v>
      </c>
      <c r="G8" s="101">
        <v>0</v>
      </c>
      <c r="H8" s="102">
        <v>415.7049865722656</v>
      </c>
      <c r="I8" s="103">
        <v>26.40696907043457</v>
      </c>
      <c r="J8" s="101">
        <v>0.025215819478034973</v>
      </c>
      <c r="K8" s="101">
        <v>39.44588851928711</v>
      </c>
      <c r="L8" s="101">
        <v>1.397117018699646</v>
      </c>
      <c r="M8" s="101">
        <v>109.12000274658203</v>
      </c>
      <c r="N8" s="101">
        <v>115.2416000366211</v>
      </c>
      <c r="O8" s="101">
        <v>0</v>
      </c>
      <c r="P8" s="101">
        <v>25.47998046875</v>
      </c>
      <c r="Q8" s="101">
        <v>3.132612943649292</v>
      </c>
      <c r="R8" s="101">
        <v>2.89111328125</v>
      </c>
      <c r="S8" s="101">
        <v>143.54750061035156</v>
      </c>
      <c r="T8" s="101">
        <v>1.4555480480194092</v>
      </c>
      <c r="U8" s="101">
        <v>0.3604891002178192</v>
      </c>
      <c r="V8" s="101">
        <v>0.3603828251361847</v>
      </c>
      <c r="W8" s="101">
        <v>93.1134262084961</v>
      </c>
      <c r="X8" s="101">
        <v>0.5600544810295105</v>
      </c>
      <c r="Y8" s="101" t="s">
        <v>82</v>
      </c>
      <c r="Z8" s="101">
        <v>0.859259307384491</v>
      </c>
      <c r="AA8" s="101">
        <v>150.32550048828125</v>
      </c>
      <c r="AB8" s="101">
        <v>165.39349365234375</v>
      </c>
      <c r="AC8" s="101">
        <v>0.5525174140930176</v>
      </c>
      <c r="AD8" s="101">
        <v>155.8231964111328</v>
      </c>
      <c r="AE8" s="104"/>
      <c r="AF8" s="104"/>
      <c r="AG8" s="104"/>
      <c r="AH8" s="104"/>
      <c r="AI8" s="104"/>
      <c r="AJ8" s="104"/>
      <c r="AK8" s="104"/>
      <c r="AL8" s="101">
        <v>22.82986068725586</v>
      </c>
      <c r="AM8" s="105">
        <v>0.023509765043854713</v>
      </c>
      <c r="AN8" s="106">
        <v>57.13251876831055</v>
      </c>
      <c r="AO8" s="107"/>
      <c r="AP8" s="108"/>
      <c r="AQ8" s="108">
        <v>0.3769530951976776</v>
      </c>
      <c r="AR8" s="109">
        <v>0.0003464965848252177</v>
      </c>
    </row>
    <row r="9" spans="2:47" ht="13.5" customHeight="1" x14ac:dyDescent="0.25">
      <c r="B9" s="14">
        <v>0.95833333333333337</v>
      </c>
      <c r="C9" s="101">
        <v>49.26939010620117</v>
      </c>
      <c r="D9" s="101">
        <v>20.100910186767578</v>
      </c>
      <c r="E9" s="101">
        <v>25.53597068786621</v>
      </c>
      <c r="F9" s="101">
        <v>0.3582812547683716</v>
      </c>
      <c r="G9" s="101">
        <v>0</v>
      </c>
      <c r="H9" s="102">
        <v>415.9245910644531</v>
      </c>
      <c r="I9" s="103">
        <v>27.24247932434082</v>
      </c>
      <c r="J9" s="101">
        <v>0.026902832090854645</v>
      </c>
      <c r="K9" s="101">
        <v>39.46036148071289</v>
      </c>
      <c r="L9" s="101">
        <v>1.393591046333313</v>
      </c>
      <c r="M9" s="101">
        <v>107.51409912109375</v>
      </c>
      <c r="N9" s="101">
        <v>116.50749969482422</v>
      </c>
      <c r="O9" s="101">
        <v>0</v>
      </c>
      <c r="P9" s="101">
        <v>25.5986328125</v>
      </c>
      <c r="Q9" s="101">
        <v>2.9933290481567383</v>
      </c>
      <c r="R9" s="101">
        <v>3.074951171875</v>
      </c>
      <c r="S9" s="101">
        <v>143.17849731445312</v>
      </c>
      <c r="T9" s="101">
        <v>1.457321047782898</v>
      </c>
      <c r="U9" s="101">
        <v>0.35926830768585205</v>
      </c>
      <c r="V9" s="101">
        <v>0.360289067029953</v>
      </c>
      <c r="W9" s="101">
        <v>92.58535766601562</v>
      </c>
      <c r="X9" s="101">
        <v>0.5609580278396606</v>
      </c>
      <c r="Y9" s="101" t="s">
        <v>82</v>
      </c>
      <c r="Z9" s="101">
        <v>0.8597223162651062</v>
      </c>
      <c r="AA9" s="101">
        <v>150.643798828125</v>
      </c>
      <c r="AB9" s="101">
        <v>165.54539489746094</v>
      </c>
      <c r="AC9" s="101">
        <v>0.4343532919883728</v>
      </c>
      <c r="AD9" s="101">
        <v>156.22830200195312</v>
      </c>
      <c r="AE9" s="104">
        <v>22</v>
      </c>
      <c r="AF9" s="104">
        <v>33</v>
      </c>
      <c r="AG9" s="104">
        <v>44</v>
      </c>
      <c r="AH9" s="104">
        <v>55</v>
      </c>
      <c r="AI9" s="104">
        <v>66</v>
      </c>
      <c r="AJ9" s="104">
        <v>77</v>
      </c>
      <c r="AK9" s="104">
        <v>88</v>
      </c>
      <c r="AL9" s="101">
        <v>27.82118034362793</v>
      </c>
      <c r="AM9" s="105">
        <v>0.023419922217726707</v>
      </c>
      <c r="AN9" s="106">
        <v>53.7217903137207</v>
      </c>
      <c r="AO9" s="107"/>
      <c r="AP9" s="108"/>
      <c r="AQ9" s="108">
        <v>0.4709925055503845</v>
      </c>
      <c r="AR9" s="109">
        <v>0.0003562927304301411</v>
      </c>
    </row>
    <row r="10" spans="2:47" ht="13.5" customHeight="1" x14ac:dyDescent="0.25">
      <c r="B10" s="41" t="s">
        <v>272</v>
      </c>
      <c r="C10" s="101">
        <v>50.097660064697266</v>
      </c>
      <c r="D10" s="101">
        <v>19.889320373535156</v>
      </c>
      <c r="E10" s="101">
        <v>25.465499877929688</v>
      </c>
      <c r="F10" s="101">
        <v>-8.24709415435791</v>
      </c>
      <c r="G10" s="101">
        <v>0</v>
      </c>
      <c r="H10" s="102">
        <v>414.1205139160156</v>
      </c>
      <c r="I10" s="103">
        <v>24.457469940185547</v>
      </c>
      <c r="J10" s="101">
        <v>-0.5969951152801514</v>
      </c>
      <c r="K10" s="101">
        <v>39.34461975097656</v>
      </c>
      <c r="L10" s="101">
        <v>1.399196982383728</v>
      </c>
      <c r="M10" s="101">
        <v>99.05056762695312</v>
      </c>
      <c r="N10" s="101">
        <v>105.41089630126953</v>
      </c>
      <c r="O10" s="101">
        <v>0</v>
      </c>
      <c r="P10" s="101">
        <v>-586.2158203125</v>
      </c>
      <c r="Q10" s="101">
        <v>2.995189905166626</v>
      </c>
      <c r="R10" s="101">
        <v>-67.073974609375</v>
      </c>
      <c r="S10" s="101">
        <v>143.43890380859375</v>
      </c>
      <c r="T10" s="101">
        <v>1.4578269720077515</v>
      </c>
      <c r="U10" s="101">
        <v>0.35893988609313965</v>
      </c>
      <c r="V10" s="101">
        <v>-8.282234191894531</v>
      </c>
      <c r="W10" s="101">
        <v>92.96151733398438</v>
      </c>
      <c r="X10" s="101">
        <v>0.559991717338562</v>
      </c>
      <c r="Y10" s="101" t="s">
        <v>82</v>
      </c>
      <c r="Z10" s="101">
        <v>0.8626158237457275</v>
      </c>
      <c r="AA10" s="101">
        <v>150.90420532226562</v>
      </c>
      <c r="AB10" s="101">
        <v>165.42250061035156</v>
      </c>
      <c r="AC10" s="101">
        <v>0.5235822200775146</v>
      </c>
      <c r="AD10" s="101">
        <v>155.7436065673828</v>
      </c>
      <c r="AE10" s="104"/>
      <c r="AF10" s="104"/>
      <c r="AG10" s="104"/>
      <c r="AH10" s="104"/>
      <c r="AI10" s="104"/>
      <c r="AJ10" s="104"/>
      <c r="AK10" s="104"/>
      <c r="AL10" s="101">
        <v>13.067850112915039</v>
      </c>
      <c r="AM10" s="105">
        <v>-0.533450186252594</v>
      </c>
      <c r="AN10" s="106">
        <v>63.14019012451172</v>
      </c>
      <c r="AO10" s="107"/>
      <c r="AP10" s="108"/>
      <c r="AQ10" s="108">
        <v>0.23061339557170868</v>
      </c>
      <c r="AR10" s="109">
        <v>-0.008098602294921875</v>
      </c>
    </row>
    <row r="11" spans="2:47" ht="13.5" customHeight="1" x14ac:dyDescent="0.25">
      <c r="B11" s="14">
        <v>4.1666666666666664E-2</v>
      </c>
      <c r="C11" s="101">
        <v>49.58406066894531</v>
      </c>
      <c r="D11" s="101">
        <v>19.878469467163086</v>
      </c>
      <c r="E11" s="101">
        <v>420.7412109375</v>
      </c>
      <c r="F11" s="101">
        <v>0.3616875112056732</v>
      </c>
      <c r="G11" s="101">
        <v>0</v>
      </c>
      <c r="H11" s="102">
        <v>414.0834045410156</v>
      </c>
      <c r="I11" s="103">
        <v>23.216869354248047</v>
      </c>
      <c r="J11" s="101">
        <v>0.024088378995656967</v>
      </c>
      <c r="K11" s="101">
        <v>39.474830627441406</v>
      </c>
      <c r="L11" s="101">
        <v>1.4011859893798828</v>
      </c>
      <c r="M11" s="101">
        <v>105.50669860839844</v>
      </c>
      <c r="N11" s="101">
        <v>112.21790313720703</v>
      </c>
      <c r="O11" s="101">
        <v>0</v>
      </c>
      <c r="P11" s="101">
        <v>25.4658203125</v>
      </c>
      <c r="Q11" s="101">
        <v>2.761425018310547</v>
      </c>
      <c r="R11" s="101">
        <v>2.8779296875</v>
      </c>
      <c r="S11" s="101">
        <v>143.02659606933594</v>
      </c>
      <c r="T11" s="101">
        <v>1.4561810493469238</v>
      </c>
      <c r="U11" s="101">
        <v>0.35984909534454346</v>
      </c>
      <c r="V11" s="101">
        <v>0.36006250977516174</v>
      </c>
      <c r="W11" s="101">
        <v>92.7517318725586</v>
      </c>
      <c r="X11" s="101">
        <v>0.5599462985992432</v>
      </c>
      <c r="Y11" s="101" t="s">
        <v>82</v>
      </c>
      <c r="Z11" s="101">
        <v>0.8565971851348877</v>
      </c>
      <c r="AA11" s="101">
        <v>150.53529357910156</v>
      </c>
      <c r="AB11" s="101">
        <v>165.32839965820312</v>
      </c>
      <c r="AC11" s="101">
        <v>0.39966729283332825</v>
      </c>
      <c r="AD11" s="101">
        <v>156.01849365234375</v>
      </c>
      <c r="AE11" s="104"/>
      <c r="AF11" s="104"/>
      <c r="AG11" s="104"/>
      <c r="AH11" s="104"/>
      <c r="AI11" s="104"/>
      <c r="AJ11" s="104"/>
      <c r="AK11" s="104"/>
      <c r="AL11" s="101">
        <v>25.119359970092773</v>
      </c>
      <c r="AM11" s="105">
        <v>0.022809570655226707</v>
      </c>
      <c r="AN11" s="106">
        <v>59.910301208496094</v>
      </c>
      <c r="AO11" s="107"/>
      <c r="AP11" s="108"/>
      <c r="AQ11" s="108">
        <v>0.3177083134651184</v>
      </c>
      <c r="AR11" s="109">
        <v>0.00034881592728197575</v>
      </c>
    </row>
    <row r="12" spans="2:47" ht="13.5" customHeight="1" x14ac:dyDescent="0.25">
      <c r="B12" s="41" t="s">
        <v>273</v>
      </c>
      <c r="C12" s="101">
        <v>49.65277862548828</v>
      </c>
      <c r="D12" s="101">
        <v>19.90018081665039</v>
      </c>
      <c r="E12" s="101">
        <v>420.252197265625</v>
      </c>
      <c r="F12" s="101">
        <v>0.3617187440395355</v>
      </c>
      <c r="G12" s="101">
        <v>0</v>
      </c>
      <c r="H12" s="102">
        <v>414.0455017089844</v>
      </c>
      <c r="I12" s="103">
        <v>24.052370071411133</v>
      </c>
      <c r="J12" s="101">
        <v>0.02365966886281967</v>
      </c>
      <c r="K12" s="101">
        <v>39.39524841308594</v>
      </c>
      <c r="L12" s="101">
        <v>1.40127694606781</v>
      </c>
      <c r="M12" s="101">
        <v>107.01499938964844</v>
      </c>
      <c r="N12" s="101">
        <v>111.7477035522461</v>
      </c>
      <c r="O12" s="101">
        <v>0</v>
      </c>
      <c r="P12" s="101">
        <v>25.2919921875</v>
      </c>
      <c r="Q12" s="101">
        <v>3.0116610527038574</v>
      </c>
      <c r="R12" s="101">
        <v>2.757080078125</v>
      </c>
      <c r="S12" s="101">
        <v>143.43890380859375</v>
      </c>
      <c r="T12" s="101">
        <v>1.4585859775543213</v>
      </c>
      <c r="U12" s="101">
        <v>0.3597820997238159</v>
      </c>
      <c r="V12" s="101">
        <v>0.3603437542915344</v>
      </c>
      <c r="W12" s="101">
        <v>92.8240737915039</v>
      </c>
      <c r="X12" s="101">
        <v>0.5598850250244141</v>
      </c>
      <c r="Y12" s="101" t="s">
        <v>82</v>
      </c>
      <c r="Z12" s="101">
        <v>0.8586806058883667</v>
      </c>
      <c r="AA12" s="101">
        <v>150.70889282226562</v>
      </c>
      <c r="AB12" s="101">
        <v>165.37179565429688</v>
      </c>
      <c r="AC12" s="101">
        <v>0.45894819498062134</v>
      </c>
      <c r="AD12" s="101">
        <v>156.06190490722656</v>
      </c>
      <c r="AE12" s="104"/>
      <c r="AF12" s="104"/>
      <c r="AG12" s="104"/>
      <c r="AH12" s="104"/>
      <c r="AI12" s="104"/>
      <c r="AJ12" s="104"/>
      <c r="AK12" s="104"/>
      <c r="AL12" s="101">
        <v>22.605609893798828</v>
      </c>
      <c r="AM12" s="105">
        <v>0.02283007837831974</v>
      </c>
      <c r="AN12" s="106">
        <v>56.47063064575195</v>
      </c>
      <c r="AO12" s="107"/>
      <c r="AP12" s="108"/>
      <c r="AQ12" s="108">
        <v>0.47468170523643494</v>
      </c>
      <c r="AR12" s="109">
        <v>0.00033868406899273396</v>
      </c>
    </row>
    <row r="13" spans="2:47" ht="13.5" customHeight="1" x14ac:dyDescent="0.25">
      <c r="B13" s="14">
        <v>0.125</v>
      </c>
      <c r="C13" s="101">
        <v>49.992759704589844</v>
      </c>
      <c r="D13" s="101">
        <v>19.889320373535156</v>
      </c>
      <c r="E13" s="101">
        <v>420.1929016113281</v>
      </c>
      <c r="F13" s="101">
        <v>0.36159375309944153</v>
      </c>
      <c r="G13" s="101">
        <v>0</v>
      </c>
      <c r="H13" s="102">
        <v>413.8511047363281</v>
      </c>
      <c r="I13" s="103">
        <v>25.292970657348633</v>
      </c>
      <c r="J13" s="101">
        <v>0.024479979649186134</v>
      </c>
      <c r="K13" s="101">
        <v>39.28675079345703</v>
      </c>
      <c r="L13" s="101">
        <v>1.397840976715088</v>
      </c>
      <c r="M13" s="101">
        <v>110.8290023803711</v>
      </c>
      <c r="N13" s="101">
        <v>115.32839965820312</v>
      </c>
      <c r="O13" s="101">
        <v>0</v>
      </c>
      <c r="P13" s="101">
        <v>25.26904296875</v>
      </c>
      <c r="Q13" s="101">
        <v>2.7448599338531494</v>
      </c>
      <c r="R13" s="101">
        <v>2.843017578125</v>
      </c>
      <c r="S13" s="101">
        <v>142.6793975830078</v>
      </c>
      <c r="T13" s="101">
        <v>1.4555480480194092</v>
      </c>
      <c r="U13" s="101">
        <v>0.3585743010044098</v>
      </c>
      <c r="V13" s="101">
        <v>0.3600390553474426</v>
      </c>
      <c r="W13" s="101">
        <v>92.74449920654297</v>
      </c>
      <c r="X13" s="101">
        <v>0.5604103207588196</v>
      </c>
      <c r="Y13" s="101" t="s">
        <v>82</v>
      </c>
      <c r="Z13" s="101">
        <v>0.8609374761581421</v>
      </c>
      <c r="AA13" s="101">
        <v>150.4051055908203</v>
      </c>
      <c r="AB13" s="101">
        <v>165.4080047607422</v>
      </c>
      <c r="AC13" s="101">
        <v>0.5379412770271301</v>
      </c>
      <c r="AD13" s="101">
        <v>156.32960510253906</v>
      </c>
      <c r="AE13" s="104"/>
      <c r="AF13" s="104"/>
      <c r="AG13" s="104"/>
      <c r="AH13" s="104"/>
      <c r="AI13" s="104"/>
      <c r="AJ13" s="104"/>
      <c r="AK13" s="104"/>
      <c r="AL13" s="101">
        <v>24.305559158325195</v>
      </c>
      <c r="AM13" s="105">
        <v>0.022840820252895355</v>
      </c>
      <c r="AN13" s="106">
        <v>53.03818893432617</v>
      </c>
      <c r="AO13" s="107"/>
      <c r="AP13" s="108"/>
      <c r="AQ13" s="108">
        <v>0.43735530972480774</v>
      </c>
      <c r="AR13" s="109">
        <v>0.00034719848190434277</v>
      </c>
    </row>
    <row r="14" spans="2:47" ht="13.5" customHeight="1" x14ac:dyDescent="0.25">
      <c r="B14" s="14">
        <v>0.16666666666666666</v>
      </c>
      <c r="C14" s="101">
        <v>49.98915100097656</v>
      </c>
      <c r="D14" s="101">
        <v>19.92729949951172</v>
      </c>
      <c r="E14" s="101">
        <v>419.9599914550781</v>
      </c>
      <c r="F14" s="101">
        <v>0.3618125021457672</v>
      </c>
      <c r="G14" s="101">
        <v>0</v>
      </c>
      <c r="H14" s="102">
        <v>413.84539794921875</v>
      </c>
      <c r="I14" s="103">
        <v>25.419559478759766</v>
      </c>
      <c r="J14" s="101">
        <v>0.02501220628619194</v>
      </c>
      <c r="K14" s="101">
        <v>39.34461975097656</v>
      </c>
      <c r="L14" s="101">
        <v>1.39901602268219</v>
      </c>
      <c r="M14" s="101">
        <v>107.55750274658203</v>
      </c>
      <c r="N14" s="101">
        <v>111.5740966796875</v>
      </c>
      <c r="O14" s="101">
        <v>0</v>
      </c>
      <c r="P14" s="101">
        <v>25.3681640625</v>
      </c>
      <c r="Q14" s="101">
        <v>2.82584810256958</v>
      </c>
      <c r="R14" s="101">
        <v>2.60498046875</v>
      </c>
      <c r="S14" s="101">
        <v>143.16409301757812</v>
      </c>
      <c r="T14" s="101">
        <v>1.4579540491104126</v>
      </c>
      <c r="U14" s="101">
        <v>0.3578382134437561</v>
      </c>
      <c r="V14" s="101">
        <v>0.36140623688697815</v>
      </c>
      <c r="W14" s="101">
        <v>93.25086975097656</v>
      </c>
      <c r="X14" s="101">
        <v>0.5612450242042542</v>
      </c>
      <c r="Y14" s="101" t="s">
        <v>82</v>
      </c>
      <c r="Z14" s="101">
        <v>0.8541666865348816</v>
      </c>
      <c r="AA14" s="101">
        <v>150.4268035888672</v>
      </c>
      <c r="AB14" s="101">
        <v>165.29220581054688</v>
      </c>
      <c r="AC14" s="101">
        <v>0.46990740299224854</v>
      </c>
      <c r="AD14" s="101">
        <v>156.14149475097656</v>
      </c>
      <c r="AE14" s="104"/>
      <c r="AF14" s="104"/>
      <c r="AG14" s="104"/>
      <c r="AH14" s="104"/>
      <c r="AI14" s="104"/>
      <c r="AJ14" s="104"/>
      <c r="AK14" s="104"/>
      <c r="AL14" s="101">
        <v>23.857059478759766</v>
      </c>
      <c r="AM14" s="105">
        <v>0.022809570655226707</v>
      </c>
      <c r="AN14" s="106">
        <v>49.641929626464844</v>
      </c>
      <c r="AO14" s="107"/>
      <c r="AP14" s="108"/>
      <c r="AQ14" s="108">
        <v>0.3743489980697632</v>
      </c>
      <c r="AR14" s="109">
        <v>0.00033761595841497183</v>
      </c>
    </row>
    <row r="15" spans="2:47" ht="13.5" customHeight="1" x14ac:dyDescent="0.25">
      <c r="B15" s="14">
        <v>0.20833333333333334</v>
      </c>
      <c r="C15" s="101">
        <v>50.26765060424805</v>
      </c>
      <c r="D15" s="101">
        <v>19.911029815673828</v>
      </c>
      <c r="E15" s="101">
        <v>424.0089111328125</v>
      </c>
      <c r="F15" s="101">
        <v>0.3617812395095825</v>
      </c>
      <c r="G15" s="101">
        <v>0</v>
      </c>
      <c r="H15" s="102">
        <v>414.2445983886719</v>
      </c>
      <c r="I15" s="103">
        <v>24.83724021911621</v>
      </c>
      <c r="J15" s="101">
        <v>0.025525879114866257</v>
      </c>
      <c r="K15" s="101">
        <v>39.37355041503906</v>
      </c>
      <c r="L15" s="101">
        <v>1.4026329517364502</v>
      </c>
      <c r="M15" s="101">
        <v>107.33509826660156</v>
      </c>
      <c r="N15" s="101">
        <v>111.06050109863281</v>
      </c>
      <c r="O15" s="101">
        <v>0</v>
      </c>
      <c r="P15" s="101">
        <v>25.505859375</v>
      </c>
      <c r="Q15" s="101">
        <v>2.780924081802368</v>
      </c>
      <c r="R15" s="101">
        <v>2.97705078125</v>
      </c>
      <c r="S15" s="101">
        <v>142.63600158691406</v>
      </c>
      <c r="T15" s="101">
        <v>1.4549150466918945</v>
      </c>
      <c r="U15" s="101">
        <v>0.36045539379119873</v>
      </c>
      <c r="V15" s="101">
        <v>0.36024999618530273</v>
      </c>
      <c r="W15" s="101">
        <v>93.04107666015625</v>
      </c>
      <c r="X15" s="101">
        <v>0.5585188269615173</v>
      </c>
      <c r="Y15" s="101" t="s">
        <v>82</v>
      </c>
      <c r="Z15" s="101">
        <v>0.8552083969116211</v>
      </c>
      <c r="AA15" s="101">
        <v>150.1230010986328</v>
      </c>
      <c r="AB15" s="101">
        <v>165.28500366210938</v>
      </c>
      <c r="AC15" s="101">
        <v>0.44730180501937866</v>
      </c>
      <c r="AD15" s="101">
        <v>156.17770385742188</v>
      </c>
      <c r="AE15" s="104"/>
      <c r="AF15" s="104"/>
      <c r="AG15" s="104"/>
      <c r="AH15" s="104"/>
      <c r="AI15" s="104"/>
      <c r="AJ15" s="104"/>
      <c r="AK15" s="104"/>
      <c r="AL15" s="101">
        <v>24.486400604248047</v>
      </c>
      <c r="AM15" s="105">
        <v>0.02286035194993019</v>
      </c>
      <c r="AN15" s="106">
        <v>46.24203872680664</v>
      </c>
      <c r="AO15" s="107"/>
      <c r="AP15" s="108"/>
      <c r="AQ15" s="108">
        <v>0.42983219027519226</v>
      </c>
      <c r="AR15" s="109">
        <v>0.0003436889674048871</v>
      </c>
    </row>
    <row r="16" spans="2:47" ht="13.5" customHeight="1" x14ac:dyDescent="0.25">
      <c r="B16" s="14">
        <v>0.25</v>
      </c>
      <c r="C16" s="101">
        <v>50.40871047973633</v>
      </c>
      <c r="D16" s="101">
        <v>19.91645050048828</v>
      </c>
      <c r="E16" s="101">
        <v>25.469499588012695</v>
      </c>
      <c r="F16" s="101">
        <v>0.3592187464237213</v>
      </c>
      <c r="G16" s="101">
        <v>0</v>
      </c>
      <c r="H16" s="102">
        <v>415.1221008300781</v>
      </c>
      <c r="I16" s="103">
        <v>25.976560592651367</v>
      </c>
      <c r="J16" s="101">
        <v>0.02579003944993019</v>
      </c>
      <c r="K16" s="101">
        <v>39.35908889770508</v>
      </c>
      <c r="L16" s="101">
        <v>1.3981120586395264</v>
      </c>
      <c r="M16" s="101">
        <v>107.5521011352539</v>
      </c>
      <c r="N16" s="101">
        <v>109.41120147705078</v>
      </c>
      <c r="O16" s="101">
        <v>0</v>
      </c>
      <c r="P16" s="101">
        <v>25.52587890625</v>
      </c>
      <c r="Q16" s="101">
        <v>3.1328060626983643</v>
      </c>
      <c r="R16" s="101">
        <v>2.923828125</v>
      </c>
      <c r="S16" s="101">
        <v>143.42449951171875</v>
      </c>
      <c r="T16" s="101">
        <v>1.4546619653701782</v>
      </c>
      <c r="U16" s="101">
        <v>0.3610810935497284</v>
      </c>
      <c r="V16" s="101">
        <v>0.3597734272480011</v>
      </c>
      <c r="W16" s="101">
        <v>93.20023345947266</v>
      </c>
      <c r="X16" s="101">
        <v>0.5597826838493347</v>
      </c>
      <c r="Y16" s="101" t="s">
        <v>82</v>
      </c>
      <c r="Z16" s="101">
        <v>0.8597223162651062</v>
      </c>
      <c r="AA16" s="101">
        <v>150.5207977294922</v>
      </c>
      <c r="AB16" s="101">
        <v>165.1331024169922</v>
      </c>
      <c r="AC16" s="101">
        <v>0.5198928713798523</v>
      </c>
      <c r="AD16" s="101">
        <v>155.7001953125</v>
      </c>
      <c r="AE16" s="104"/>
      <c r="AF16" s="104"/>
      <c r="AG16" s="104"/>
      <c r="AH16" s="104"/>
      <c r="AI16" s="104"/>
      <c r="AJ16" s="104"/>
      <c r="AK16" s="104"/>
      <c r="AL16" s="101">
        <v>20.988859176635742</v>
      </c>
      <c r="AM16" s="105">
        <v>0.022719725966453552</v>
      </c>
      <c r="AN16" s="106">
        <v>42.9976806640625</v>
      </c>
      <c r="AO16" s="107"/>
      <c r="AP16" s="108"/>
      <c r="AQ16" s="108">
        <v>0.24602140486240387</v>
      </c>
      <c r="AR16" s="109">
        <v>0.00034991453867405653</v>
      </c>
    </row>
    <row r="17" spans="2:44" ht="13.5" customHeight="1" x14ac:dyDescent="0.25">
      <c r="B17" s="14">
        <v>0.29166666666666669</v>
      </c>
      <c r="C17" s="101">
        <v>50.043399810791016</v>
      </c>
      <c r="D17" s="101">
        <v>19.954429626464844</v>
      </c>
      <c r="E17" s="101">
        <v>25.57015037536621</v>
      </c>
      <c r="F17" s="101">
        <v>0.3566874861717224</v>
      </c>
      <c r="G17" s="101">
        <v>0</v>
      </c>
      <c r="H17" s="102">
        <v>415.5509948730469</v>
      </c>
      <c r="I17" s="103">
        <v>26.963979721069336</v>
      </c>
      <c r="J17" s="101">
        <v>0.02636425755918026</v>
      </c>
      <c r="K17" s="101">
        <v>39.53269958496094</v>
      </c>
      <c r="L17" s="101">
        <v>1.3987449407577515</v>
      </c>
      <c r="M17" s="101">
        <v>98.51345825195312</v>
      </c>
      <c r="N17" s="101">
        <v>103.43609619140625</v>
      </c>
      <c r="O17" s="101">
        <v>0</v>
      </c>
      <c r="P17" s="101">
        <v>25.6240234375</v>
      </c>
      <c r="Q17" s="101">
        <v>2.8612430095672607</v>
      </c>
      <c r="R17" s="101">
        <v>2.860107421875</v>
      </c>
      <c r="S17" s="101">
        <v>142.72279357910156</v>
      </c>
      <c r="T17" s="101">
        <v>1.457321047782898</v>
      </c>
      <c r="U17" s="101">
        <v>0.3604840040206909</v>
      </c>
      <c r="V17" s="101">
        <v>0.36112499237060547</v>
      </c>
      <c r="W17" s="101">
        <v>92.84577178955078</v>
      </c>
      <c r="X17" s="101">
        <v>0.5588347911834717</v>
      </c>
      <c r="Y17" s="101" t="s">
        <v>82</v>
      </c>
      <c r="Z17" s="101">
        <v>0.856886625289917</v>
      </c>
      <c r="AA17" s="101">
        <v>149.74679565429688</v>
      </c>
      <c r="AB17" s="101">
        <v>165.16929626464844</v>
      </c>
      <c r="AC17" s="101">
        <v>0.45240160822868347</v>
      </c>
      <c r="AD17" s="101">
        <v>156.1920928955078</v>
      </c>
      <c r="AE17" s="104"/>
      <c r="AF17" s="104"/>
      <c r="AG17" s="104"/>
      <c r="AH17" s="104"/>
      <c r="AI17" s="104"/>
      <c r="AJ17" s="104"/>
      <c r="AK17" s="104"/>
      <c r="AL17" s="101">
        <v>22.113710403442383</v>
      </c>
      <c r="AM17" s="105">
        <v>0.022570312023162842</v>
      </c>
      <c r="AN17" s="106">
        <v>39.63758087158203</v>
      </c>
      <c r="AO17" s="107"/>
      <c r="AP17" s="108"/>
      <c r="AQ17" s="108">
        <v>0.42607060074806213</v>
      </c>
      <c r="AR17" s="109">
        <v>0.0003401794529054314</v>
      </c>
    </row>
    <row r="18" spans="2:44" ht="13.5" customHeight="1" x14ac:dyDescent="0.25">
      <c r="B18" s="42">
        <v>0.33333333333333331</v>
      </c>
      <c r="C18" s="110"/>
      <c r="D18" s="110"/>
      <c r="E18" s="110"/>
      <c r="F18" s="110"/>
      <c r="G18" s="110"/>
      <c r="H18" s="111"/>
      <c r="I18" s="112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3"/>
      <c r="AF18" s="113"/>
      <c r="AG18" s="113"/>
      <c r="AH18" s="113"/>
      <c r="AI18" s="113"/>
      <c r="AJ18" s="113"/>
      <c r="AK18" s="113"/>
      <c r="AL18" s="110"/>
      <c r="AM18" s="114"/>
      <c r="AN18" s="115"/>
      <c r="AO18" s="107"/>
      <c r="AP18" s="108"/>
      <c r="AQ18" s="108"/>
      <c r="AR18" s="116"/>
    </row>
    <row r="19" spans="2:44" ht="18" customHeight="1" x14ac:dyDescent="0.25">
      <c r="B19" s="200" t="s">
        <v>181</v>
      </c>
      <c r="C19" s="36" t="s">
        <v>168</v>
      </c>
      <c r="D19" s="36" t="s">
        <v>171</v>
      </c>
      <c r="E19" s="159" t="s">
        <v>17</v>
      </c>
      <c r="F19" s="214"/>
      <c r="G19" s="215"/>
      <c r="H19" s="216" t="s">
        <v>108</v>
      </c>
      <c r="I19" s="214"/>
      <c r="J19" s="214"/>
      <c r="K19" s="214"/>
      <c r="L19" s="179"/>
      <c r="M19" s="217" t="s">
        <v>123</v>
      </c>
      <c r="N19" s="214"/>
      <c r="O19" s="214"/>
      <c r="P19" s="214"/>
      <c r="Q19" s="215"/>
      <c r="R19" s="216" t="s">
        <v>147</v>
      </c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5"/>
      <c r="AG19" s="178" t="s">
        <v>24</v>
      </c>
      <c r="AH19" s="215"/>
      <c r="AI19" s="226" t="s">
        <v>173</v>
      </c>
      <c r="AJ19" s="227"/>
      <c r="AK19" s="227"/>
      <c r="AL19" s="227"/>
      <c r="AM19" s="228"/>
      <c r="AN19" s="178" t="s">
        <v>47</v>
      </c>
      <c r="AO19" s="218"/>
      <c r="AP19" s="214" t="s">
        <v>180</v>
      </c>
      <c r="AQ19" s="219"/>
      <c r="AR19" s="220"/>
    </row>
    <row r="20" spans="2:44" ht="20.15" customHeight="1" x14ac:dyDescent="0.25">
      <c r="B20" s="201"/>
      <c r="C20" s="3" t="s">
        <v>169</v>
      </c>
      <c r="D20" s="3" t="s">
        <v>113</v>
      </c>
      <c r="E20" s="3" t="s">
        <v>15</v>
      </c>
      <c r="F20" s="170" t="s">
        <v>100</v>
      </c>
      <c r="G20" s="174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72" t="s">
        <v>148</v>
      </c>
      <c r="AE20" s="174"/>
      <c r="AF20" s="17" t="s">
        <v>151</v>
      </c>
      <c r="AG20" s="17" t="s">
        <v>153</v>
      </c>
      <c r="AH20" s="17" t="s">
        <v>155</v>
      </c>
      <c r="AI20" s="188" t="s">
        <v>89</v>
      </c>
      <c r="AJ20" s="189"/>
      <c r="AK20" s="188" t="s">
        <v>92</v>
      </c>
      <c r="AL20" s="189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201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41" t="s">
        <v>50</v>
      </c>
      <c r="C22" s="101">
        <v>-81.77806854248047</v>
      </c>
      <c r="D22" s="101">
        <v>-84.01331329345703</v>
      </c>
      <c r="E22" s="101">
        <v>44.91463851928711</v>
      </c>
      <c r="F22" s="101">
        <v>0.10402200371026993</v>
      </c>
      <c r="G22" s="101"/>
      <c r="H22" s="101"/>
      <c r="I22" s="101"/>
      <c r="J22" s="101"/>
      <c r="K22" s="101"/>
      <c r="L22" s="102"/>
      <c r="M22" s="117">
        <v>70.5837631225586</v>
      </c>
      <c r="N22" s="101">
        <v>48.7413215637207</v>
      </c>
      <c r="O22" s="101">
        <v>0</v>
      </c>
      <c r="P22" s="101">
        <v>50</v>
      </c>
      <c r="Q22" s="101">
        <v>2.8098959922790527</v>
      </c>
      <c r="R22" s="101">
        <v>19.82784080505371</v>
      </c>
      <c r="S22" s="118">
        <v>90.84201049804688</v>
      </c>
      <c r="T22" s="118">
        <v>0</v>
      </c>
      <c r="U22" s="118">
        <v>0</v>
      </c>
      <c r="V22" s="118">
        <v>10.574000358581543</v>
      </c>
      <c r="W22" s="118">
        <v>95.64344787597656</v>
      </c>
      <c r="X22" s="118">
        <v>30</v>
      </c>
      <c r="Y22" s="118">
        <v>62.099788665771484</v>
      </c>
      <c r="Z22" s="118">
        <v>16.08254051208496</v>
      </c>
      <c r="AA22" s="118">
        <v>18.67947006225586</v>
      </c>
      <c r="AB22" s="118"/>
      <c r="AC22" s="105"/>
      <c r="AD22" s="105">
        <v>0</v>
      </c>
      <c r="AE22" s="105"/>
      <c r="AF22" s="105"/>
      <c r="AG22" s="105">
        <v>22.214990615844727</v>
      </c>
      <c r="AH22" s="105"/>
      <c r="AI22" s="119"/>
      <c r="AJ22" s="119"/>
      <c r="AK22" s="119"/>
      <c r="AL22" s="119"/>
      <c r="AM22" s="119"/>
      <c r="AN22" s="105">
        <v>77.43055725097656</v>
      </c>
      <c r="AO22" s="106">
        <v>75.57869720458984</v>
      </c>
      <c r="AP22" s="107">
        <v>24.495439529418945</v>
      </c>
      <c r="AQ22" s="108">
        <v>38.722511291503906</v>
      </c>
      <c r="AR22" s="109">
        <v>-89.99565887451172</v>
      </c>
    </row>
    <row r="23" spans="2:44" ht="13.5" customHeight="1" x14ac:dyDescent="0.25">
      <c r="B23" s="14">
        <v>0.875</v>
      </c>
      <c r="C23" s="101">
        <v>-81.45977783203125</v>
      </c>
      <c r="D23" s="101">
        <v>-83.90480041503906</v>
      </c>
      <c r="E23" s="101">
        <v>44.77357864379883</v>
      </c>
      <c r="F23" s="101">
        <v>0.10120079666376114</v>
      </c>
      <c r="G23" s="101">
        <v>0.00010202026169281453</v>
      </c>
      <c r="H23" s="101"/>
      <c r="I23" s="101"/>
      <c r="J23" s="101"/>
      <c r="K23" s="101"/>
      <c r="L23" s="102"/>
      <c r="M23" s="117">
        <v>70.61992645263672</v>
      </c>
      <c r="N23" s="101">
        <v>50.18083953857422</v>
      </c>
      <c r="O23" s="101">
        <v>0</v>
      </c>
      <c r="P23" s="101">
        <v>50</v>
      </c>
      <c r="Q23" s="101">
        <v>2.781683921813965</v>
      </c>
      <c r="R23" s="101">
        <v>19.0718994140625</v>
      </c>
      <c r="S23" s="118">
        <v>94.07913970947266</v>
      </c>
      <c r="T23" s="118">
        <v>0</v>
      </c>
      <c r="U23" s="118">
        <v>0</v>
      </c>
      <c r="V23" s="118">
        <v>16.107860565185547</v>
      </c>
      <c r="W23" s="118">
        <v>86.68620300292969</v>
      </c>
      <c r="X23" s="118">
        <v>28.941659927368164</v>
      </c>
      <c r="Y23" s="118">
        <v>59.9470100402832</v>
      </c>
      <c r="Z23" s="118">
        <v>15.507450103759766</v>
      </c>
      <c r="AA23" s="118">
        <v>18.033859252929688</v>
      </c>
      <c r="AB23" s="118"/>
      <c r="AC23" s="105"/>
      <c r="AD23" s="105">
        <v>0</v>
      </c>
      <c r="AE23" s="105">
        <v>0.00034490966936573386</v>
      </c>
      <c r="AF23" s="105"/>
      <c r="AG23" s="105">
        <v>31.228300094604492</v>
      </c>
      <c r="AH23" s="105"/>
      <c r="AI23" s="119"/>
      <c r="AJ23" s="119"/>
      <c r="AK23" s="119"/>
      <c r="AL23" s="119"/>
      <c r="AM23" s="119"/>
      <c r="AN23" s="105">
        <v>75.8318862915039</v>
      </c>
      <c r="AO23" s="106">
        <v>52.22800827026367</v>
      </c>
      <c r="AP23" s="107">
        <v>27.40704917907715</v>
      </c>
      <c r="AQ23" s="108">
        <v>38.25593185424805</v>
      </c>
      <c r="AR23" s="109">
        <v>-89.18184661865234</v>
      </c>
    </row>
    <row r="24" spans="2:44" ht="13.5" customHeight="1" x14ac:dyDescent="0.25">
      <c r="B24" s="41" t="s">
        <v>271</v>
      </c>
      <c r="C24" s="101">
        <v>-81.4959487915039</v>
      </c>
      <c r="D24" s="101">
        <v>-83.95543670654297</v>
      </c>
      <c r="E24" s="101">
        <v>45.07740020751953</v>
      </c>
      <c r="F24" s="101">
        <v>0.10069440305233002</v>
      </c>
      <c r="G24" s="101">
        <v>0.00010252380161546171</v>
      </c>
      <c r="H24" s="101"/>
      <c r="I24" s="101"/>
      <c r="J24" s="101"/>
      <c r="K24" s="101"/>
      <c r="L24" s="102"/>
      <c r="M24" s="117">
        <v>69.80975341796875</v>
      </c>
      <c r="N24" s="101">
        <v>51.066978454589844</v>
      </c>
      <c r="O24" s="101">
        <v>0</v>
      </c>
      <c r="P24" s="101">
        <v>50</v>
      </c>
      <c r="Q24" s="101">
        <v>2.773437976837158</v>
      </c>
      <c r="R24" s="101">
        <v>18.7789306640625</v>
      </c>
      <c r="S24" s="118">
        <v>90.44776916503906</v>
      </c>
      <c r="T24" s="118">
        <v>0</v>
      </c>
      <c r="U24" s="118">
        <v>0</v>
      </c>
      <c r="V24" s="118">
        <v>14.78950023651123</v>
      </c>
      <c r="W24" s="118">
        <v>82.50325775146484</v>
      </c>
      <c r="X24" s="118">
        <v>28.622650146484375</v>
      </c>
      <c r="Y24" s="118">
        <v>58.83137893676758</v>
      </c>
      <c r="Z24" s="118">
        <v>15.362770080566406</v>
      </c>
      <c r="AA24" s="118">
        <v>17.838539123535156</v>
      </c>
      <c r="AB24" s="118"/>
      <c r="AC24" s="105"/>
      <c r="AD24" s="105">
        <v>1.5478520393371582</v>
      </c>
      <c r="AE24" s="105">
        <v>0.00096893310546875</v>
      </c>
      <c r="AF24" s="105"/>
      <c r="AG24" s="105">
        <v>25.56785011291504</v>
      </c>
      <c r="AH24" s="105"/>
      <c r="AI24" s="119"/>
      <c r="AJ24" s="119"/>
      <c r="AK24" s="119"/>
      <c r="AL24" s="119"/>
      <c r="AM24" s="119"/>
      <c r="AN24" s="105">
        <v>71.8243637084961</v>
      </c>
      <c r="AO24" s="106">
        <v>51.229740142822266</v>
      </c>
      <c r="AP24" s="107">
        <v>27.226200103759766</v>
      </c>
      <c r="AQ24" s="108">
        <v>37.57957077026367</v>
      </c>
      <c r="AR24" s="109">
        <v>-89.51822662353516</v>
      </c>
    </row>
    <row r="25" spans="2:44" ht="13.5" customHeight="1" x14ac:dyDescent="0.25">
      <c r="B25" s="14">
        <v>0.95833333333333337</v>
      </c>
      <c r="C25" s="101">
        <v>-81.53935241699219</v>
      </c>
      <c r="D25" s="101">
        <v>-84.11459350585938</v>
      </c>
      <c r="E25" s="101">
        <v>44.75910949707031</v>
      </c>
      <c r="F25" s="101">
        <v>0.10141780227422714</v>
      </c>
      <c r="G25" s="101">
        <v>0.00010465240484336391</v>
      </c>
      <c r="H25" s="101">
        <v>33</v>
      </c>
      <c r="I25" s="101">
        <v>44</v>
      </c>
      <c r="J25" s="101">
        <v>55</v>
      </c>
      <c r="K25" s="101">
        <v>66</v>
      </c>
      <c r="L25" s="102">
        <v>77</v>
      </c>
      <c r="M25" s="117">
        <v>72.42476654052734</v>
      </c>
      <c r="N25" s="101">
        <v>49.8625602722168</v>
      </c>
      <c r="O25" s="101">
        <v>0</v>
      </c>
      <c r="P25" s="101">
        <v>50</v>
      </c>
      <c r="Q25" s="101">
        <v>2.7677950859069824</v>
      </c>
      <c r="R25" s="101">
        <v>18.50404930114746</v>
      </c>
      <c r="S25" s="118">
        <v>91.64134979248047</v>
      </c>
      <c r="T25" s="118">
        <v>0</v>
      </c>
      <c r="U25" s="118">
        <v>0</v>
      </c>
      <c r="V25" s="118">
        <v>10.693360328674316</v>
      </c>
      <c r="W25" s="118">
        <v>78.51563262939453</v>
      </c>
      <c r="X25" s="118">
        <v>23</v>
      </c>
      <c r="Y25" s="118">
        <v>47.47883987426758</v>
      </c>
      <c r="Z25" s="118">
        <v>14.784070014953613</v>
      </c>
      <c r="AA25" s="118">
        <v>17.377389907836914</v>
      </c>
      <c r="AB25" s="118"/>
      <c r="AC25" s="105"/>
      <c r="AD25" s="105">
        <v>1.5478520393371582</v>
      </c>
      <c r="AE25" s="105">
        <v>0.00074005126953125</v>
      </c>
      <c r="AF25" s="105"/>
      <c r="AG25" s="105">
        <v>18.75</v>
      </c>
      <c r="AH25" s="105">
        <v>605.4000244140625</v>
      </c>
      <c r="AI25" s="119"/>
      <c r="AJ25" s="119"/>
      <c r="AK25" s="119"/>
      <c r="AL25" s="119"/>
      <c r="AM25" s="119"/>
      <c r="AN25" s="105">
        <v>68.83680725097656</v>
      </c>
      <c r="AO25" s="106">
        <v>50.62934112548828</v>
      </c>
      <c r="AP25" s="107">
        <v>26.828340530395508</v>
      </c>
      <c r="AQ25" s="108">
        <v>37.6663818359375</v>
      </c>
      <c r="AR25" s="109">
        <v>-89.90885162353516</v>
      </c>
    </row>
    <row r="26" spans="2:44" ht="13.5" customHeight="1" x14ac:dyDescent="0.25">
      <c r="B26" s="41" t="s">
        <v>272</v>
      </c>
      <c r="C26" s="101">
        <v>-81.5899887084961</v>
      </c>
      <c r="D26" s="101">
        <v>-84.02777862548828</v>
      </c>
      <c r="E26" s="101">
        <v>45.10633087158203</v>
      </c>
      <c r="F26" s="101">
        <v>0.10423900187015533</v>
      </c>
      <c r="G26" s="101">
        <v>-0.002350921742618084</v>
      </c>
      <c r="H26" s="101"/>
      <c r="I26" s="101"/>
      <c r="J26" s="101"/>
      <c r="K26" s="101"/>
      <c r="L26" s="102"/>
      <c r="M26" s="117">
        <v>72.90582275390625</v>
      </c>
      <c r="N26" s="101">
        <v>47.844329833984375</v>
      </c>
      <c r="O26" s="101">
        <v>0</v>
      </c>
      <c r="P26" s="101">
        <v>50</v>
      </c>
      <c r="Q26" s="101">
        <v>2.882812976837158</v>
      </c>
      <c r="R26" s="101">
        <v>17.874710083007812</v>
      </c>
      <c r="S26" s="118">
        <v>90.5779800415039</v>
      </c>
      <c r="T26" s="118">
        <v>0</v>
      </c>
      <c r="U26" s="118">
        <v>0</v>
      </c>
      <c r="V26" s="118">
        <v>9.705946922302246</v>
      </c>
      <c r="W26" s="118">
        <v>90.78777313232422</v>
      </c>
      <c r="X26" s="118">
        <v>25</v>
      </c>
      <c r="Y26" s="118">
        <v>59.03881072998047</v>
      </c>
      <c r="Z26" s="118">
        <v>14.816619873046875</v>
      </c>
      <c r="AA26" s="118">
        <v>17.160369873046875</v>
      </c>
      <c r="AB26" s="118"/>
      <c r="AC26" s="105"/>
      <c r="AD26" s="105">
        <v>0</v>
      </c>
      <c r="AE26" s="105">
        <v>-0.017841553315520287</v>
      </c>
      <c r="AF26" s="105"/>
      <c r="AG26" s="105">
        <v>46.158851623535156</v>
      </c>
      <c r="AH26" s="105"/>
      <c r="AI26" s="119"/>
      <c r="AJ26" s="119"/>
      <c r="AK26" s="119"/>
      <c r="AL26" s="119"/>
      <c r="AM26" s="119"/>
      <c r="AN26" s="105">
        <v>78.62413024902344</v>
      </c>
      <c r="AO26" s="106">
        <v>43.06278991699219</v>
      </c>
      <c r="AP26" s="107">
        <v>19.024879455566406</v>
      </c>
      <c r="AQ26" s="108">
        <v>27.430559158325195</v>
      </c>
      <c r="AR26" s="109">
        <v>-0.0542449988424778</v>
      </c>
    </row>
    <row r="27" spans="2:44" ht="13.5" customHeight="1" x14ac:dyDescent="0.25">
      <c r="B27" s="14">
        <v>4.1666666666666664E-2</v>
      </c>
      <c r="C27" s="101">
        <v>-81.582763671875</v>
      </c>
      <c r="D27" s="101">
        <v>-83.99884033203125</v>
      </c>
      <c r="E27" s="101">
        <v>44.972511291503906</v>
      </c>
      <c r="F27" s="101">
        <v>0.09845197200775146</v>
      </c>
      <c r="G27" s="101">
        <v>0.00010285186726832762</v>
      </c>
      <c r="H27" s="101"/>
      <c r="I27" s="101"/>
      <c r="J27" s="101"/>
      <c r="K27" s="101"/>
      <c r="L27" s="102"/>
      <c r="M27" s="117">
        <v>68.95977783203125</v>
      </c>
      <c r="N27" s="101">
        <v>47.71411895751953</v>
      </c>
      <c r="O27" s="101">
        <v>0</v>
      </c>
      <c r="P27" s="101">
        <v>50</v>
      </c>
      <c r="Q27" s="101">
        <v>2.945312976837158</v>
      </c>
      <c r="R27" s="101">
        <v>18.952550888061523</v>
      </c>
      <c r="S27" s="118">
        <v>96.02501678466797</v>
      </c>
      <c r="T27" s="118">
        <v>0</v>
      </c>
      <c r="U27" s="118">
        <v>0</v>
      </c>
      <c r="V27" s="118">
        <v>9.700521469116211</v>
      </c>
      <c r="W27" s="118">
        <v>87.13651275634766</v>
      </c>
      <c r="X27" s="118">
        <v>25</v>
      </c>
      <c r="Y27" s="118">
        <v>59.13410949707031</v>
      </c>
      <c r="Z27" s="118">
        <v>15.407990455627441</v>
      </c>
      <c r="AA27" s="118">
        <v>18.14236068725586</v>
      </c>
      <c r="AB27" s="118"/>
      <c r="AC27" s="105"/>
      <c r="AD27" s="105">
        <v>1.5479060411453247</v>
      </c>
      <c r="AE27" s="105">
        <v>0.0006599121261388063</v>
      </c>
      <c r="AF27" s="105"/>
      <c r="AG27" s="105">
        <v>75.3399887084961</v>
      </c>
      <c r="AH27" s="105"/>
      <c r="AI27" s="119"/>
      <c r="AJ27" s="119"/>
      <c r="AK27" s="119"/>
      <c r="AL27" s="119"/>
      <c r="AM27" s="119"/>
      <c r="AN27" s="105">
        <v>75.46295928955078</v>
      </c>
      <c r="AO27" s="106">
        <v>42.607059478759766</v>
      </c>
      <c r="AP27" s="107">
        <v>25.363500595092773</v>
      </c>
      <c r="AQ27" s="108">
        <v>23.29281997680664</v>
      </c>
      <c r="AR27" s="109">
        <v>-89.07334899902344</v>
      </c>
    </row>
    <row r="28" spans="2:44" ht="13.5" customHeight="1" x14ac:dyDescent="0.25">
      <c r="B28" s="41" t="s">
        <v>273</v>
      </c>
      <c r="C28" s="101">
        <v>-81.62615966796875</v>
      </c>
      <c r="D28" s="101">
        <v>-83.99884033203125</v>
      </c>
      <c r="E28" s="101">
        <v>44.76634979248047</v>
      </c>
      <c r="F28" s="101">
        <v>0.1061197966337204</v>
      </c>
      <c r="G28" s="101">
        <v>0.00010202026169281453</v>
      </c>
      <c r="H28" s="101"/>
      <c r="I28" s="101"/>
      <c r="J28" s="101"/>
      <c r="K28" s="101"/>
      <c r="L28" s="102"/>
      <c r="M28" s="117">
        <v>71.29991149902344</v>
      </c>
      <c r="N28" s="101">
        <v>48.108360290527344</v>
      </c>
      <c r="O28" s="101">
        <v>0</v>
      </c>
      <c r="P28" s="101">
        <v>50</v>
      </c>
      <c r="Q28" s="101">
        <v>2.937066078186035</v>
      </c>
      <c r="R28" s="101">
        <v>18.337669372558594</v>
      </c>
      <c r="S28" s="118">
        <v>92.28515625</v>
      </c>
      <c r="T28" s="118">
        <v>0</v>
      </c>
      <c r="U28" s="118">
        <v>0</v>
      </c>
      <c r="V28" s="118">
        <v>9.423828125</v>
      </c>
      <c r="W28" s="118">
        <v>83.60460662841797</v>
      </c>
      <c r="X28" s="118">
        <v>25</v>
      </c>
      <c r="Y28" s="118">
        <v>60.45718002319336</v>
      </c>
      <c r="Z28" s="118">
        <v>14.921509742736816</v>
      </c>
      <c r="AA28" s="118">
        <v>17.57270050048828</v>
      </c>
      <c r="AB28" s="118"/>
      <c r="AC28" s="105"/>
      <c r="AD28" s="105">
        <v>1.5479600429534912</v>
      </c>
      <c r="AE28" s="105">
        <v>0.0005163574242033064</v>
      </c>
      <c r="AF28" s="105"/>
      <c r="AG28" s="105">
        <v>26.70718002319336</v>
      </c>
      <c r="AH28" s="105"/>
      <c r="AI28" s="119"/>
      <c r="AJ28" s="119"/>
      <c r="AK28" s="119"/>
      <c r="AL28" s="119"/>
      <c r="AM28" s="119"/>
      <c r="AN28" s="105">
        <v>72.36689758300781</v>
      </c>
      <c r="AO28" s="106">
        <v>41.196468353271484</v>
      </c>
      <c r="AP28" s="107">
        <v>27.42513084411621</v>
      </c>
      <c r="AQ28" s="108">
        <v>37.9774284362793</v>
      </c>
      <c r="AR28" s="109">
        <v>-89.26866149902344</v>
      </c>
    </row>
    <row r="29" spans="2:44" ht="13.5" customHeight="1" x14ac:dyDescent="0.25">
      <c r="B29" s="14">
        <v>0.125</v>
      </c>
      <c r="C29" s="101">
        <v>-81.61168670654297</v>
      </c>
      <c r="D29" s="101">
        <v>-83.99884033203125</v>
      </c>
      <c r="E29" s="101">
        <v>44.6397590637207</v>
      </c>
      <c r="F29" s="101">
        <v>0.0989583432674408</v>
      </c>
      <c r="G29" s="101">
        <v>0.00010288238263456151</v>
      </c>
      <c r="H29" s="101"/>
      <c r="I29" s="101"/>
      <c r="J29" s="101"/>
      <c r="K29" s="101"/>
      <c r="L29" s="102"/>
      <c r="M29" s="117">
        <v>70.21846008300781</v>
      </c>
      <c r="N29" s="101">
        <v>48.423030853271484</v>
      </c>
      <c r="O29" s="101">
        <v>0</v>
      </c>
      <c r="P29" s="101">
        <v>50</v>
      </c>
      <c r="Q29" s="101">
        <v>2.9123260974884033</v>
      </c>
      <c r="R29" s="101">
        <v>18.500429153442383</v>
      </c>
      <c r="S29" s="118">
        <v>93.39192199707031</v>
      </c>
      <c r="T29" s="118">
        <v>0</v>
      </c>
      <c r="U29" s="118">
        <v>0</v>
      </c>
      <c r="V29" s="118">
        <v>9.586588859558105</v>
      </c>
      <c r="W29" s="118">
        <v>80.49046325683594</v>
      </c>
      <c r="X29" s="118">
        <v>25</v>
      </c>
      <c r="Y29" s="118">
        <v>59.375179290771484</v>
      </c>
      <c r="Z29" s="118">
        <v>15.069809913635254</v>
      </c>
      <c r="AA29" s="118">
        <v>17.784290313720703</v>
      </c>
      <c r="AB29" s="118"/>
      <c r="AC29" s="105"/>
      <c r="AD29" s="105">
        <v>1.5479600429534912</v>
      </c>
      <c r="AE29" s="105">
        <v>0.0006462402525357902</v>
      </c>
      <c r="AF29" s="105"/>
      <c r="AG29" s="105">
        <v>27.629480361938477</v>
      </c>
      <c r="AH29" s="105"/>
      <c r="AI29" s="119"/>
      <c r="AJ29" s="119"/>
      <c r="AK29" s="119"/>
      <c r="AL29" s="119"/>
      <c r="AM29" s="119"/>
      <c r="AN29" s="105">
        <v>69.66869354248047</v>
      </c>
      <c r="AO29" s="106">
        <v>40.84563064575195</v>
      </c>
      <c r="AP29" s="107">
        <v>28.09425926208496</v>
      </c>
      <c r="AQ29" s="108">
        <v>37.778499603271484</v>
      </c>
      <c r="AR29" s="109">
        <v>-89.13845825195312</v>
      </c>
    </row>
    <row r="30" spans="2:44" ht="13.5" customHeight="1" x14ac:dyDescent="0.25">
      <c r="B30" s="14">
        <v>0.16666666666666666</v>
      </c>
      <c r="C30" s="101">
        <v>-81.77084350585938</v>
      </c>
      <c r="D30" s="101">
        <v>-84.00607299804688</v>
      </c>
      <c r="E30" s="101">
        <v>45.16059112548828</v>
      </c>
      <c r="F30" s="101">
        <v>0.1076389029622078</v>
      </c>
      <c r="G30" s="101">
        <v>0.00010308837954653427</v>
      </c>
      <c r="H30" s="101"/>
      <c r="I30" s="101"/>
      <c r="J30" s="101"/>
      <c r="K30" s="101"/>
      <c r="L30" s="102"/>
      <c r="M30" s="117">
        <v>73.55323791503906</v>
      </c>
      <c r="N30" s="101">
        <v>48.14815139770508</v>
      </c>
      <c r="O30" s="101">
        <v>0</v>
      </c>
      <c r="P30" s="101">
        <v>50</v>
      </c>
      <c r="Q30" s="101">
        <v>2.897135019302368</v>
      </c>
      <c r="R30" s="101">
        <v>18.033849716186523</v>
      </c>
      <c r="S30" s="118">
        <v>93.20384979248047</v>
      </c>
      <c r="T30" s="118">
        <v>0</v>
      </c>
      <c r="U30" s="118">
        <v>0</v>
      </c>
      <c r="V30" s="118">
        <v>10.99174976348877</v>
      </c>
      <c r="W30" s="118">
        <v>95.25824737548828</v>
      </c>
      <c r="X30" s="118">
        <v>25</v>
      </c>
      <c r="Y30" s="118">
        <v>59.99747085571289</v>
      </c>
      <c r="Z30" s="118">
        <v>14.615880012512207</v>
      </c>
      <c r="AA30" s="118">
        <v>17.263460159301758</v>
      </c>
      <c r="AB30" s="118"/>
      <c r="AC30" s="105"/>
      <c r="AD30" s="105">
        <v>0</v>
      </c>
      <c r="AE30" s="105">
        <v>0.0007088012644089758</v>
      </c>
      <c r="AF30" s="105"/>
      <c r="AG30" s="105">
        <v>26.519100189208984</v>
      </c>
      <c r="AH30" s="105"/>
      <c r="AI30" s="119"/>
      <c r="AJ30" s="119"/>
      <c r="AK30" s="119"/>
      <c r="AL30" s="119"/>
      <c r="AM30" s="119"/>
      <c r="AN30" s="105">
        <v>74.12471008300781</v>
      </c>
      <c r="AO30" s="106">
        <v>57.02040100097656</v>
      </c>
      <c r="AP30" s="107">
        <v>27.48843002319336</v>
      </c>
      <c r="AQ30" s="108">
        <v>37.55424880981445</v>
      </c>
      <c r="AR30" s="109">
        <v>-89.24696350097656</v>
      </c>
    </row>
    <row r="31" spans="2:44" ht="13.5" customHeight="1" x14ac:dyDescent="0.25">
      <c r="B31" s="14">
        <v>0.20833333333333334</v>
      </c>
      <c r="C31" s="101">
        <v>-81.84317016601562</v>
      </c>
      <c r="D31" s="101">
        <v>-83.98438262939453</v>
      </c>
      <c r="E31" s="101">
        <v>44.61082077026367</v>
      </c>
      <c r="F31" s="101">
        <v>0.0983072891831398</v>
      </c>
      <c r="G31" s="101">
        <v>0.00010353851394029334</v>
      </c>
      <c r="H31" s="101"/>
      <c r="I31" s="101"/>
      <c r="J31" s="101"/>
      <c r="K31" s="101"/>
      <c r="L31" s="102"/>
      <c r="M31" s="117">
        <v>69.21658325195312</v>
      </c>
      <c r="N31" s="101">
        <v>48.0070915222168</v>
      </c>
      <c r="O31" s="101">
        <v>0</v>
      </c>
      <c r="P31" s="101">
        <v>50</v>
      </c>
      <c r="Q31" s="101">
        <v>2.897568941116333</v>
      </c>
      <c r="R31" s="101">
        <v>18.4968204498291</v>
      </c>
      <c r="S31" s="118">
        <v>94.03211975097656</v>
      </c>
      <c r="T31" s="118">
        <v>0</v>
      </c>
      <c r="U31" s="118">
        <v>0</v>
      </c>
      <c r="V31" s="118">
        <v>17.33941078186035</v>
      </c>
      <c r="W31" s="118">
        <v>90.41883850097656</v>
      </c>
      <c r="X31" s="118">
        <v>25</v>
      </c>
      <c r="Y31" s="118">
        <v>59.58821105957031</v>
      </c>
      <c r="Z31" s="118">
        <v>15.158419609069824</v>
      </c>
      <c r="AA31" s="118">
        <v>17.713760375976562</v>
      </c>
      <c r="AB31" s="118"/>
      <c r="AC31" s="105"/>
      <c r="AD31" s="105">
        <v>0</v>
      </c>
      <c r="AE31" s="105">
        <v>0.0005713501013815403</v>
      </c>
      <c r="AF31" s="105"/>
      <c r="AG31" s="105">
        <v>52.756080627441406</v>
      </c>
      <c r="AH31" s="105"/>
      <c r="AI31" s="119"/>
      <c r="AJ31" s="119"/>
      <c r="AK31" s="119"/>
      <c r="AL31" s="119"/>
      <c r="AM31" s="119"/>
      <c r="AN31" s="105">
        <v>78.53009033203125</v>
      </c>
      <c r="AO31" s="106">
        <v>47.51519012451172</v>
      </c>
      <c r="AP31" s="107">
        <v>29.342090606689453</v>
      </c>
      <c r="AQ31" s="108">
        <v>38.07508087158203</v>
      </c>
      <c r="AR31" s="109">
        <v>-88.87803649902344</v>
      </c>
    </row>
    <row r="32" spans="2:44" ht="13.5" customHeight="1" x14ac:dyDescent="0.25">
      <c r="B32" s="14">
        <v>0.25</v>
      </c>
      <c r="C32" s="101">
        <v>-81.8865737915039</v>
      </c>
      <c r="D32" s="101">
        <v>-83.99884033203125</v>
      </c>
      <c r="E32" s="101">
        <v>44.79528045654297</v>
      </c>
      <c r="F32" s="101">
        <v>0.11328130215406418</v>
      </c>
      <c r="G32" s="101">
        <v>0.00010172271868214011</v>
      </c>
      <c r="H32" s="101"/>
      <c r="I32" s="101"/>
      <c r="J32" s="101"/>
      <c r="K32" s="101"/>
      <c r="L32" s="102"/>
      <c r="M32" s="117">
        <v>68.80425262451172</v>
      </c>
      <c r="N32" s="101">
        <v>47.83348083496094</v>
      </c>
      <c r="O32" s="101">
        <v>0</v>
      </c>
      <c r="P32" s="101">
        <v>50</v>
      </c>
      <c r="Q32" s="101">
        <v>2.9175350666046143</v>
      </c>
      <c r="R32" s="101">
        <v>18.65958023071289</v>
      </c>
      <c r="S32" s="118">
        <v>92.52387237548828</v>
      </c>
      <c r="T32" s="118">
        <v>0</v>
      </c>
      <c r="U32" s="118">
        <v>0</v>
      </c>
      <c r="V32" s="118">
        <v>17.702909469604492</v>
      </c>
      <c r="W32" s="118">
        <v>83.92469787597656</v>
      </c>
      <c r="X32" s="118">
        <v>25</v>
      </c>
      <c r="Y32" s="118">
        <v>58.9659309387207</v>
      </c>
      <c r="Z32" s="118">
        <v>14.469400405883789</v>
      </c>
      <c r="AA32" s="118">
        <v>17.616100311279297</v>
      </c>
      <c r="AB32" s="118"/>
      <c r="AC32" s="105"/>
      <c r="AD32" s="105">
        <v>1.5480140447616577</v>
      </c>
      <c r="AE32" s="105">
        <v>0.0008168335189111531</v>
      </c>
      <c r="AF32" s="105"/>
      <c r="AG32" s="105">
        <v>42.719181060791016</v>
      </c>
      <c r="AH32" s="105"/>
      <c r="AI32" s="119"/>
      <c r="AJ32" s="119"/>
      <c r="AK32" s="119"/>
      <c r="AL32" s="119"/>
      <c r="AM32" s="119"/>
      <c r="AN32" s="105">
        <v>73.89322662353516</v>
      </c>
      <c r="AO32" s="106">
        <v>42.82046127319336</v>
      </c>
      <c r="AP32" s="107">
        <v>10.3714599609375</v>
      </c>
      <c r="AQ32" s="108">
        <v>28.323930740356445</v>
      </c>
      <c r="AR32" s="109">
        <v>0.0217056293040514</v>
      </c>
    </row>
    <row r="33" spans="2:44" ht="13.5" customHeight="1" x14ac:dyDescent="0.25">
      <c r="B33" s="14">
        <v>0.29166666666666669</v>
      </c>
      <c r="C33" s="101">
        <v>-81.94444274902344</v>
      </c>
      <c r="D33" s="101">
        <v>-84.00607299804688</v>
      </c>
      <c r="E33" s="101">
        <v>45.1280403137207</v>
      </c>
      <c r="F33" s="101">
        <v>0.09903067350387573</v>
      </c>
      <c r="G33" s="101">
        <v>9.915923874359578E-05</v>
      </c>
      <c r="H33" s="101"/>
      <c r="I33" s="101"/>
      <c r="J33" s="101"/>
      <c r="K33" s="101"/>
      <c r="L33" s="102"/>
      <c r="M33" s="117">
        <v>72.52242279052734</v>
      </c>
      <c r="N33" s="101">
        <v>48.64004898071289</v>
      </c>
      <c r="O33" s="101">
        <v>0</v>
      </c>
      <c r="P33" s="101">
        <v>50</v>
      </c>
      <c r="Q33" s="101">
        <v>2.9322919845581055</v>
      </c>
      <c r="R33" s="101">
        <v>18.07002067565918</v>
      </c>
      <c r="S33" s="118">
        <v>94.29252624511719</v>
      </c>
      <c r="T33" s="118">
        <v>0</v>
      </c>
      <c r="U33" s="118">
        <v>0</v>
      </c>
      <c r="V33" s="118">
        <v>17.165800094604492</v>
      </c>
      <c r="W33" s="118">
        <v>78.94422912597656</v>
      </c>
      <c r="X33" s="118">
        <v>25</v>
      </c>
      <c r="Y33" s="118">
        <v>59.20138931274414</v>
      </c>
      <c r="Z33" s="118">
        <v>14.035369873046875</v>
      </c>
      <c r="AA33" s="118">
        <v>16.965059280395508</v>
      </c>
      <c r="AB33" s="118"/>
      <c r="AC33" s="105"/>
      <c r="AD33" s="105">
        <v>1.5480140447616577</v>
      </c>
      <c r="AE33" s="105">
        <v>0.0006242065574042499</v>
      </c>
      <c r="AF33" s="105"/>
      <c r="AG33" s="105">
        <v>52.83565139770508</v>
      </c>
      <c r="AH33" s="105"/>
      <c r="AI33" s="119"/>
      <c r="AJ33" s="119"/>
      <c r="AK33" s="119"/>
      <c r="AL33" s="119"/>
      <c r="AM33" s="119"/>
      <c r="AN33" s="105">
        <v>69.74102783203125</v>
      </c>
      <c r="AO33" s="106">
        <v>25.452110290527344</v>
      </c>
      <c r="AP33" s="107">
        <v>26.457609176635742</v>
      </c>
      <c r="AQ33" s="108">
        <v>26.25506019592285</v>
      </c>
      <c r="AR33" s="109">
        <v>-89.90885162353516</v>
      </c>
    </row>
    <row r="34" spans="2:44" ht="13.5" customHeight="1" x14ac:dyDescent="0.25">
      <c r="B34" s="42">
        <v>0.33333333333333331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1"/>
      <c r="M34" s="120"/>
      <c r="N34" s="110"/>
      <c r="O34" s="110"/>
      <c r="P34" s="110"/>
      <c r="Q34" s="110"/>
      <c r="R34" s="110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14"/>
      <c r="AD34" s="114"/>
      <c r="AE34" s="114"/>
      <c r="AF34" s="114"/>
      <c r="AG34" s="114"/>
      <c r="AH34" s="114"/>
      <c r="AI34" s="122"/>
      <c r="AJ34" s="122"/>
      <c r="AK34" s="122"/>
      <c r="AL34" s="122"/>
      <c r="AM34" s="122"/>
      <c r="AN34" s="114"/>
      <c r="AO34" s="115"/>
      <c r="AP34" s="123"/>
      <c r="AQ34" s="124"/>
      <c r="AR34" s="125"/>
    </row>
    <row r="35" spans="2:44" ht="15" customHeight="1" x14ac:dyDescent="0.25">
      <c r="B35" s="213" t="s">
        <v>181</v>
      </c>
      <c r="C35" s="159" t="s">
        <v>38</v>
      </c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1" t="s">
        <v>216</v>
      </c>
      <c r="X35" s="162"/>
      <c r="Y35" s="162"/>
      <c r="Z35" s="162"/>
      <c r="AA35" s="162"/>
      <c r="AB35" s="162"/>
      <c r="AC35" s="162"/>
      <c r="AD35" s="162"/>
      <c r="AE35" s="162"/>
      <c r="AF35" s="162"/>
      <c r="AG35" s="162"/>
      <c r="AH35" s="162"/>
      <c r="AI35" s="162"/>
      <c r="AJ35" s="163"/>
      <c r="AK35" s="178" t="s">
        <v>48</v>
      </c>
      <c r="AL35" s="179"/>
      <c r="AM35" s="164" t="s">
        <v>223</v>
      </c>
      <c r="AN35" s="165"/>
      <c r="AO35" s="43"/>
      <c r="AP35" s="43"/>
      <c r="AQ35" s="43"/>
      <c r="AR35" s="44"/>
    </row>
    <row r="36" spans="2:44" ht="20.15" customHeight="1" x14ac:dyDescent="0.25">
      <c r="B36" s="201"/>
      <c r="C36" s="170" t="s">
        <v>32</v>
      </c>
      <c r="D36" s="176"/>
      <c r="E36" s="170" t="s">
        <v>33</v>
      </c>
      <c r="F36" s="175"/>
      <c r="G36" s="176"/>
      <c r="H36" s="166" t="s">
        <v>276</v>
      </c>
      <c r="I36" s="167"/>
      <c r="J36" s="4" t="s">
        <v>27</v>
      </c>
      <c r="K36" s="4" t="s">
        <v>30</v>
      </c>
      <c r="L36" s="4" t="s">
        <v>191</v>
      </c>
      <c r="M36" s="168" t="s">
        <v>192</v>
      </c>
      <c r="N36" s="169"/>
      <c r="O36" s="4" t="s">
        <v>26</v>
      </c>
      <c r="P36" s="4" t="s">
        <v>197</v>
      </c>
      <c r="Q36" s="170" t="s">
        <v>199</v>
      </c>
      <c r="R36" s="177"/>
      <c r="S36" s="170" t="s">
        <v>202</v>
      </c>
      <c r="T36" s="177"/>
      <c r="U36" s="170" t="s">
        <v>201</v>
      </c>
      <c r="V36" s="171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72" t="s">
        <v>46</v>
      </c>
      <c r="AI36" s="173"/>
      <c r="AJ36" s="174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201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201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449</v>
      </c>
      <c r="N38" s="1" t="s">
        <v>450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41" t="s">
        <v>50</v>
      </c>
      <c r="C39" s="95">
        <v>0</v>
      </c>
      <c r="D39" s="95"/>
      <c r="E39" s="95">
        <v>18.967010498046875</v>
      </c>
      <c r="F39" s="95"/>
      <c r="G39" s="95"/>
      <c r="H39" s="95">
        <v>46.377681732177734</v>
      </c>
      <c r="I39" s="95"/>
      <c r="J39" s="95">
        <v>44.99420928955078</v>
      </c>
      <c r="K39" s="95">
        <v>0.18377460539340973</v>
      </c>
      <c r="L39" s="95">
        <v>259.86358642578125</v>
      </c>
      <c r="M39" s="95">
        <v>47.02872085571289</v>
      </c>
      <c r="N39" s="95"/>
      <c r="O39" s="95">
        <v>0</v>
      </c>
      <c r="P39" s="95">
        <v>6.102024078369141</v>
      </c>
      <c r="Q39" s="95">
        <v>0</v>
      </c>
      <c r="R39" s="95"/>
      <c r="S39" s="95">
        <v>0</v>
      </c>
      <c r="T39" s="95"/>
      <c r="U39" s="96">
        <v>92.58174133300781</v>
      </c>
      <c r="V39" s="97"/>
      <c r="W39" s="98">
        <v>30</v>
      </c>
      <c r="X39" s="96">
        <v>32.44792175292969</v>
      </c>
      <c r="Y39" s="96">
        <v>10.574000358581543</v>
      </c>
      <c r="Z39" s="96">
        <v>95.64344787597656</v>
      </c>
      <c r="AA39" s="96">
        <v>35</v>
      </c>
      <c r="AB39" s="96">
        <v>56.605899810791016</v>
      </c>
      <c r="AC39" s="96">
        <v>16.08254051208496</v>
      </c>
      <c r="AD39" s="96">
        <v>18.67947006225586</v>
      </c>
      <c r="AE39" s="87"/>
      <c r="AF39" s="87">
        <v>0</v>
      </c>
      <c r="AG39" s="87"/>
      <c r="AH39" s="87">
        <v>70.06218719482422</v>
      </c>
      <c r="AI39" s="87">
        <v>63.83102035522461</v>
      </c>
      <c r="AJ39" s="87"/>
      <c r="AK39" s="87"/>
      <c r="AL39" s="89"/>
      <c r="AM39" s="91"/>
      <c r="AN39" s="88"/>
      <c r="AO39" s="87"/>
      <c r="AP39" s="87"/>
      <c r="AQ39" s="87"/>
      <c r="AR39" s="90"/>
    </row>
    <row r="40" spans="2:44" ht="13.5" customHeight="1" x14ac:dyDescent="0.25">
      <c r="B40" s="14">
        <v>0.875</v>
      </c>
      <c r="C40" s="101">
        <v>0</v>
      </c>
      <c r="D40" s="101">
        <v>0.000754196138586849</v>
      </c>
      <c r="E40" s="101">
        <v>17.831310272216797</v>
      </c>
      <c r="F40" s="101"/>
      <c r="G40" s="101"/>
      <c r="H40" s="101">
        <v>48.51165008544922</v>
      </c>
      <c r="I40" s="101">
        <v>0</v>
      </c>
      <c r="J40" s="101">
        <v>42.8602409362793</v>
      </c>
      <c r="K40" s="101">
        <v>0.40927010774612427</v>
      </c>
      <c r="L40" s="101">
        <v>260.1852111816406</v>
      </c>
      <c r="M40" s="101">
        <v>48.03240966796875</v>
      </c>
      <c r="N40" s="101">
        <v>-29.2059326171875</v>
      </c>
      <c r="O40" s="101">
        <v>0</v>
      </c>
      <c r="P40" s="101">
        <v>6.102106094360352</v>
      </c>
      <c r="Q40" s="101">
        <v>897.2802124023438</v>
      </c>
      <c r="R40" s="101">
        <v>0</v>
      </c>
      <c r="S40" s="101">
        <v>897.2802124023438</v>
      </c>
      <c r="T40" s="101">
        <v>0.5069420337677002</v>
      </c>
      <c r="U40" s="118">
        <v>89.50013732910156</v>
      </c>
      <c r="V40" s="126">
        <v>-0.0029477805364876986</v>
      </c>
      <c r="W40" s="127">
        <v>25</v>
      </c>
      <c r="X40" s="118">
        <v>0</v>
      </c>
      <c r="Y40" s="118">
        <v>16.107860565185547</v>
      </c>
      <c r="Z40" s="118">
        <v>86.68620300292969</v>
      </c>
      <c r="AA40" s="118">
        <v>25</v>
      </c>
      <c r="AB40" s="118">
        <v>0</v>
      </c>
      <c r="AC40" s="118">
        <v>15.507450103759766</v>
      </c>
      <c r="AD40" s="118">
        <v>18.033859252929688</v>
      </c>
      <c r="AE40" s="105"/>
      <c r="AF40" s="105">
        <v>0</v>
      </c>
      <c r="AG40" s="105"/>
      <c r="AH40" s="105">
        <v>70.06218719482422</v>
      </c>
      <c r="AI40" s="105">
        <v>82.5267562866211</v>
      </c>
      <c r="AJ40" s="105">
        <v>0.0010850754333660007</v>
      </c>
      <c r="AK40" s="105"/>
      <c r="AL40" s="106"/>
      <c r="AM40" s="128"/>
      <c r="AN40" s="119"/>
      <c r="AO40" s="105"/>
      <c r="AP40" s="105"/>
      <c r="AQ40" s="105"/>
      <c r="AR40" s="109"/>
    </row>
    <row r="41" spans="2:44" ht="13.5" customHeight="1" x14ac:dyDescent="0.25">
      <c r="B41" s="41" t="s">
        <v>271</v>
      </c>
      <c r="C41" s="101">
        <v>0</v>
      </c>
      <c r="D41" s="101">
        <v>0</v>
      </c>
      <c r="E41" s="101">
        <v>16.977720260620117</v>
      </c>
      <c r="F41" s="101"/>
      <c r="G41" s="101"/>
      <c r="H41" s="101">
        <v>47.93294143676758</v>
      </c>
      <c r="I41" s="101">
        <v>0</v>
      </c>
      <c r="J41" s="101">
        <v>44.37934112548828</v>
      </c>
      <c r="K41" s="101">
        <v>0.3591037094593048</v>
      </c>
      <c r="L41" s="101">
        <v>260.6014099121094</v>
      </c>
      <c r="M41" s="101">
        <v>48.18613052368164</v>
      </c>
      <c r="N41" s="101">
        <v>27.301025390625</v>
      </c>
      <c r="O41" s="101">
        <v>0</v>
      </c>
      <c r="P41" s="101">
        <v>6.102108001708984</v>
      </c>
      <c r="Q41" s="101">
        <v>897.2802124023438</v>
      </c>
      <c r="R41" s="101">
        <v>0</v>
      </c>
      <c r="S41" s="101">
        <v>897.2802124023438</v>
      </c>
      <c r="T41" s="101">
        <v>0.4241200089454651</v>
      </c>
      <c r="U41" s="118">
        <v>86.25578308105469</v>
      </c>
      <c r="V41" s="126">
        <v>-0.0010018806206062436</v>
      </c>
      <c r="W41" s="127">
        <v>20</v>
      </c>
      <c r="X41" s="118">
        <v>0</v>
      </c>
      <c r="Y41" s="118">
        <v>14.78950023651123</v>
      </c>
      <c r="Z41" s="118">
        <v>82.50325775146484</v>
      </c>
      <c r="AA41" s="118">
        <v>20</v>
      </c>
      <c r="AB41" s="118">
        <v>0</v>
      </c>
      <c r="AC41" s="118">
        <v>15.362770080566406</v>
      </c>
      <c r="AD41" s="118">
        <v>17.838539123535156</v>
      </c>
      <c r="AE41" s="105"/>
      <c r="AF41" s="105">
        <v>0</v>
      </c>
      <c r="AG41" s="105"/>
      <c r="AH41" s="105">
        <v>70.06218719482422</v>
      </c>
      <c r="AI41" s="105">
        <v>82.38932037353516</v>
      </c>
      <c r="AJ41" s="105">
        <v>0.0027662047650665045</v>
      </c>
      <c r="AK41" s="105"/>
      <c r="AL41" s="106"/>
      <c r="AM41" s="128"/>
      <c r="AN41" s="119"/>
      <c r="AO41" s="105"/>
      <c r="AP41" s="105"/>
      <c r="AQ41" s="105"/>
      <c r="AR41" s="109"/>
    </row>
    <row r="42" spans="2:44" ht="13.5" customHeight="1" x14ac:dyDescent="0.25">
      <c r="B42" s="14">
        <v>0.95833333333333337</v>
      </c>
      <c r="C42" s="101">
        <v>0</v>
      </c>
      <c r="D42" s="101">
        <v>9.155273517080786E-08</v>
      </c>
      <c r="E42" s="101">
        <v>36.20515060424805</v>
      </c>
      <c r="F42" s="101"/>
      <c r="G42" s="101"/>
      <c r="H42" s="101">
        <v>46.96541976928711</v>
      </c>
      <c r="I42" s="101">
        <v>0</v>
      </c>
      <c r="J42" s="101">
        <v>44.13520050048828</v>
      </c>
      <c r="K42" s="101">
        <v>0.1484375</v>
      </c>
      <c r="L42" s="101">
        <v>260.8262939453125</v>
      </c>
      <c r="M42" s="101">
        <v>47.092010498046875</v>
      </c>
      <c r="N42" s="101">
        <v>19.1209716796875</v>
      </c>
      <c r="O42" s="101">
        <v>0</v>
      </c>
      <c r="P42" s="101">
        <v>6.102108001708984</v>
      </c>
      <c r="Q42" s="101">
        <v>0</v>
      </c>
      <c r="R42" s="101">
        <v>0</v>
      </c>
      <c r="S42" s="101">
        <v>0</v>
      </c>
      <c r="T42" s="101">
        <v>0.21183398365974426</v>
      </c>
      <c r="U42" s="118">
        <v>81.68041229248047</v>
      </c>
      <c r="V42" s="126">
        <v>0.0003363800060469657</v>
      </c>
      <c r="W42" s="127">
        <v>0</v>
      </c>
      <c r="X42" s="118">
        <v>0</v>
      </c>
      <c r="Y42" s="118">
        <v>10.693360328674316</v>
      </c>
      <c r="Z42" s="118">
        <v>78.51563262939453</v>
      </c>
      <c r="AA42" s="118">
        <v>0</v>
      </c>
      <c r="AB42" s="118">
        <v>0</v>
      </c>
      <c r="AC42" s="118">
        <v>14.784070014953613</v>
      </c>
      <c r="AD42" s="118">
        <v>17.377389907836914</v>
      </c>
      <c r="AE42" s="105"/>
      <c r="AF42" s="105">
        <v>0</v>
      </c>
      <c r="AG42" s="105">
        <v>172.60000610351562</v>
      </c>
      <c r="AH42" s="105">
        <v>70.06218719482422</v>
      </c>
      <c r="AI42" s="105">
        <v>68.66319274902344</v>
      </c>
      <c r="AJ42" s="105">
        <v>-2.899169885495212E-06</v>
      </c>
      <c r="AK42" s="105"/>
      <c r="AL42" s="106"/>
      <c r="AM42" s="128"/>
      <c r="AN42" s="119"/>
      <c r="AO42" s="105"/>
      <c r="AP42" s="105"/>
      <c r="AQ42" s="105"/>
      <c r="AR42" s="109"/>
    </row>
    <row r="43" spans="2:44" ht="13.5" customHeight="1" x14ac:dyDescent="0.25">
      <c r="B43" s="41" t="s">
        <v>272</v>
      </c>
      <c r="C43" s="101">
        <v>0</v>
      </c>
      <c r="D43" s="101">
        <v>-0.0051050870679318905</v>
      </c>
      <c r="E43" s="101">
        <v>37.26128005981445</v>
      </c>
      <c r="F43" s="101"/>
      <c r="G43" s="101"/>
      <c r="H43" s="101">
        <v>48.04145050048828</v>
      </c>
      <c r="I43" s="101">
        <v>0</v>
      </c>
      <c r="J43" s="101">
        <v>42.29058074951172</v>
      </c>
      <c r="K43" s="101">
        <v>0.06720195710659027</v>
      </c>
      <c r="L43" s="101">
        <v>254.52940368652344</v>
      </c>
      <c r="M43" s="101">
        <v>47.7340087890625</v>
      </c>
      <c r="N43" s="101">
        <v>6.0670166015625</v>
      </c>
      <c r="O43" s="101">
        <v>2.157768964767456</v>
      </c>
      <c r="P43" s="101">
        <v>0.2539517879486084</v>
      </c>
      <c r="Q43" s="101">
        <v>0</v>
      </c>
      <c r="R43" s="101">
        <v>-7.183412551879883</v>
      </c>
      <c r="S43" s="101">
        <v>0</v>
      </c>
      <c r="T43" s="101">
        <v>-1.776910662651062</v>
      </c>
      <c r="U43" s="118">
        <v>42.82769012451172</v>
      </c>
      <c r="V43" s="126">
        <v>-0.0009874191600829363</v>
      </c>
      <c r="W43" s="127">
        <v>30</v>
      </c>
      <c r="X43" s="118">
        <v>0</v>
      </c>
      <c r="Y43" s="118">
        <v>9.705946922302246</v>
      </c>
      <c r="Z43" s="118">
        <v>90.78777313232422</v>
      </c>
      <c r="AA43" s="118">
        <v>30</v>
      </c>
      <c r="AB43" s="118">
        <v>0</v>
      </c>
      <c r="AC43" s="118">
        <v>14.816619873046875</v>
      </c>
      <c r="AD43" s="118">
        <v>17.160369873046875</v>
      </c>
      <c r="AE43" s="105"/>
      <c r="AF43" s="105">
        <v>48.64004898071289</v>
      </c>
      <c r="AG43" s="105"/>
      <c r="AH43" s="105">
        <v>69.52046966552734</v>
      </c>
      <c r="AI43" s="105">
        <v>50.774009704589844</v>
      </c>
      <c r="AJ43" s="105">
        <v>-0.005199646111577749</v>
      </c>
      <c r="AK43" s="105"/>
      <c r="AL43" s="106"/>
      <c r="AM43" s="128"/>
      <c r="AN43" s="119"/>
      <c r="AO43" s="105"/>
      <c r="AP43" s="105"/>
      <c r="AQ43" s="105"/>
      <c r="AR43" s="109"/>
    </row>
    <row r="44" spans="2:44" ht="13.5" customHeight="1" x14ac:dyDescent="0.25">
      <c r="B44" s="14">
        <v>4.1666666666666664E-2</v>
      </c>
      <c r="C44" s="101">
        <v>0</v>
      </c>
      <c r="D44" s="101">
        <v>0</v>
      </c>
      <c r="E44" s="101">
        <v>30.454280853271484</v>
      </c>
      <c r="F44" s="101"/>
      <c r="G44" s="101"/>
      <c r="H44" s="101">
        <v>33.546730041503906</v>
      </c>
      <c r="I44" s="101">
        <v>0</v>
      </c>
      <c r="J44" s="101">
        <v>28.0852108001709</v>
      </c>
      <c r="K44" s="101">
        <v>0.0656467005610466</v>
      </c>
      <c r="L44" s="101">
        <v>254.58419799804688</v>
      </c>
      <c r="M44" s="101">
        <v>28.229890823364258</v>
      </c>
      <c r="N44" s="101">
        <v>0</v>
      </c>
      <c r="O44" s="101">
        <v>0</v>
      </c>
      <c r="P44" s="101">
        <v>1.508221983909607</v>
      </c>
      <c r="Q44" s="101">
        <v>0</v>
      </c>
      <c r="R44" s="101">
        <v>0</v>
      </c>
      <c r="S44" s="101">
        <v>0</v>
      </c>
      <c r="T44" s="101">
        <v>0</v>
      </c>
      <c r="U44" s="118">
        <v>91.44965362548828</v>
      </c>
      <c r="V44" s="126">
        <v>0.014963108114898205</v>
      </c>
      <c r="W44" s="127">
        <v>50</v>
      </c>
      <c r="X44" s="118">
        <v>86.01563262939453</v>
      </c>
      <c r="Y44" s="118">
        <v>9.700521469116211</v>
      </c>
      <c r="Z44" s="118">
        <v>87.13651275634766</v>
      </c>
      <c r="AA44" s="118">
        <v>50</v>
      </c>
      <c r="AB44" s="118">
        <v>85.18229675292969</v>
      </c>
      <c r="AC44" s="118">
        <v>15.407990455627441</v>
      </c>
      <c r="AD44" s="118">
        <v>18.14236068725586</v>
      </c>
      <c r="AE44" s="105"/>
      <c r="AF44" s="105">
        <v>0</v>
      </c>
      <c r="AG44" s="105"/>
      <c r="AH44" s="105">
        <v>69.52046966552734</v>
      </c>
      <c r="AI44" s="105">
        <v>35.94472885131836</v>
      </c>
      <c r="AJ44" s="105">
        <v>-0.00442419433966279</v>
      </c>
      <c r="AK44" s="105"/>
      <c r="AL44" s="106"/>
      <c r="AM44" s="128"/>
      <c r="AN44" s="119"/>
      <c r="AO44" s="105"/>
      <c r="AP44" s="105"/>
      <c r="AQ44" s="105"/>
      <c r="AR44" s="109"/>
    </row>
    <row r="45" spans="2:44" ht="13.5" customHeight="1" x14ac:dyDescent="0.25">
      <c r="B45" s="41" t="s">
        <v>273</v>
      </c>
      <c r="C45" s="101">
        <v>0</v>
      </c>
      <c r="D45" s="101">
        <v>0.00043579100747592747</v>
      </c>
      <c r="E45" s="101">
        <v>31.995080947875977</v>
      </c>
      <c r="F45" s="101"/>
      <c r="G45" s="101"/>
      <c r="H45" s="101">
        <v>46.875</v>
      </c>
      <c r="I45" s="101">
        <v>0</v>
      </c>
      <c r="J45" s="101">
        <v>52.03812026977539</v>
      </c>
      <c r="K45" s="101">
        <v>0.4084200859069824</v>
      </c>
      <c r="L45" s="101">
        <v>254.8365936279297</v>
      </c>
      <c r="M45" s="101">
        <v>48.35792922973633</v>
      </c>
      <c r="N45" s="101">
        <v>0</v>
      </c>
      <c r="O45" s="101">
        <v>0</v>
      </c>
      <c r="P45" s="101">
        <v>1.508357048034668</v>
      </c>
      <c r="Q45" s="101">
        <v>164.1204071044922</v>
      </c>
      <c r="R45" s="101">
        <v>0.367000013589859</v>
      </c>
      <c r="S45" s="101">
        <v>164.1204071044922</v>
      </c>
      <c r="T45" s="101">
        <v>0</v>
      </c>
      <c r="U45" s="118">
        <v>90.96137237548828</v>
      </c>
      <c r="V45" s="126">
        <v>-0.007816118188202381</v>
      </c>
      <c r="W45" s="127">
        <v>30.5</v>
      </c>
      <c r="X45" s="118">
        <v>51.41926956176758</v>
      </c>
      <c r="Y45" s="118">
        <v>9.423828125</v>
      </c>
      <c r="Z45" s="118">
        <v>83.60460662841797</v>
      </c>
      <c r="AA45" s="118">
        <v>31.5</v>
      </c>
      <c r="AB45" s="118">
        <v>52.5086784362793</v>
      </c>
      <c r="AC45" s="118">
        <v>14.921509742736816</v>
      </c>
      <c r="AD45" s="118">
        <v>17.57270050048828</v>
      </c>
      <c r="AE45" s="105"/>
      <c r="AF45" s="105">
        <v>0</v>
      </c>
      <c r="AG45" s="105"/>
      <c r="AH45" s="105">
        <v>69.52046966552734</v>
      </c>
      <c r="AI45" s="105">
        <v>35.87239074707031</v>
      </c>
      <c r="AJ45" s="105">
        <v>0.004039352294057608</v>
      </c>
      <c r="AK45" s="105"/>
      <c r="AL45" s="106"/>
      <c r="AM45" s="128"/>
      <c r="AN45" s="119"/>
      <c r="AO45" s="105"/>
      <c r="AP45" s="105"/>
      <c r="AQ45" s="105"/>
      <c r="AR45" s="109"/>
    </row>
    <row r="46" spans="2:44" ht="13.5" customHeight="1" x14ac:dyDescent="0.25">
      <c r="B46" s="14">
        <v>0.125</v>
      </c>
      <c r="C46" s="101">
        <v>0</v>
      </c>
      <c r="D46" s="101">
        <v>0.00013819885498378426</v>
      </c>
      <c r="E46" s="101">
        <v>30.15045928955078</v>
      </c>
      <c r="F46" s="101"/>
      <c r="G46" s="101"/>
      <c r="H46" s="101">
        <v>47.45370101928711</v>
      </c>
      <c r="I46" s="101">
        <v>0</v>
      </c>
      <c r="J46" s="101">
        <v>49.216941833496094</v>
      </c>
      <c r="K46" s="101">
        <v>0.36205148696899414</v>
      </c>
      <c r="L46" s="101">
        <v>255.20399475097656</v>
      </c>
      <c r="M46" s="101">
        <v>47.996238708496094</v>
      </c>
      <c r="N46" s="101">
        <v>-30.4400634765625</v>
      </c>
      <c r="O46" s="101">
        <v>0</v>
      </c>
      <c r="P46" s="101">
        <v>1.508357048034668</v>
      </c>
      <c r="Q46" s="101">
        <v>0</v>
      </c>
      <c r="R46" s="101">
        <v>0.6199030876159668</v>
      </c>
      <c r="S46" s="101">
        <v>0</v>
      </c>
      <c r="T46" s="101">
        <v>0</v>
      </c>
      <c r="U46" s="118">
        <v>89.08780670166016</v>
      </c>
      <c r="V46" s="126">
        <v>-0.006514030508697033</v>
      </c>
      <c r="W46" s="127">
        <v>27</v>
      </c>
      <c r="X46" s="118">
        <v>42.98176956176758</v>
      </c>
      <c r="Y46" s="118">
        <v>9.586588859558105</v>
      </c>
      <c r="Z46" s="118">
        <v>80.49046325683594</v>
      </c>
      <c r="AA46" s="118">
        <v>26</v>
      </c>
      <c r="AB46" s="118">
        <v>41.6102409362793</v>
      </c>
      <c r="AC46" s="118">
        <v>15.069809913635254</v>
      </c>
      <c r="AD46" s="118">
        <v>17.784290313720703</v>
      </c>
      <c r="AE46" s="105"/>
      <c r="AF46" s="105">
        <v>0</v>
      </c>
      <c r="AG46" s="105"/>
      <c r="AH46" s="105">
        <v>69.52046966552734</v>
      </c>
      <c r="AI46" s="105">
        <v>35.78921127319336</v>
      </c>
      <c r="AJ46" s="105">
        <v>-0.006125580053776503</v>
      </c>
      <c r="AK46" s="105"/>
      <c r="AL46" s="106"/>
      <c r="AM46" s="128"/>
      <c r="AN46" s="119"/>
      <c r="AO46" s="105"/>
      <c r="AP46" s="105"/>
      <c r="AQ46" s="105"/>
      <c r="AR46" s="109"/>
    </row>
    <row r="47" spans="2:44" ht="13.5" customHeight="1" x14ac:dyDescent="0.25">
      <c r="B47" s="14">
        <v>0.16666666666666666</v>
      </c>
      <c r="C47" s="101">
        <v>0</v>
      </c>
      <c r="D47" s="101">
        <v>5.680847243638709E-05</v>
      </c>
      <c r="E47" s="101">
        <v>28.414350509643555</v>
      </c>
      <c r="F47" s="101"/>
      <c r="G47" s="101"/>
      <c r="H47" s="101">
        <v>47.905818939208984</v>
      </c>
      <c r="I47" s="101">
        <v>0</v>
      </c>
      <c r="J47" s="101">
        <v>49.343528747558594</v>
      </c>
      <c r="K47" s="101">
        <v>0.36145469546318054</v>
      </c>
      <c r="L47" s="101">
        <v>255.56629943847656</v>
      </c>
      <c r="M47" s="101">
        <v>48.66535949707031</v>
      </c>
      <c r="N47" s="101">
        <v>0</v>
      </c>
      <c r="O47" s="101">
        <v>0</v>
      </c>
      <c r="P47" s="101">
        <v>1.508357048034668</v>
      </c>
      <c r="Q47" s="101">
        <v>111.14009857177734</v>
      </c>
      <c r="R47" s="101">
        <v>0.5893669724464417</v>
      </c>
      <c r="S47" s="101">
        <v>111.14009857177734</v>
      </c>
      <c r="T47" s="101">
        <v>0</v>
      </c>
      <c r="U47" s="118">
        <v>88.48380279541016</v>
      </c>
      <c r="V47" s="126">
        <v>-0.0020254591945558786</v>
      </c>
      <c r="W47" s="127">
        <v>27</v>
      </c>
      <c r="X47" s="118">
        <v>0</v>
      </c>
      <c r="Y47" s="118">
        <v>10.99174976348877</v>
      </c>
      <c r="Z47" s="118">
        <v>95.25824737548828</v>
      </c>
      <c r="AA47" s="118">
        <v>20</v>
      </c>
      <c r="AB47" s="118">
        <v>33.62413024902344</v>
      </c>
      <c r="AC47" s="118">
        <v>14.615880012512207</v>
      </c>
      <c r="AD47" s="118">
        <v>17.263460159301758</v>
      </c>
      <c r="AE47" s="105"/>
      <c r="AF47" s="105">
        <v>0</v>
      </c>
      <c r="AG47" s="105"/>
      <c r="AH47" s="105">
        <v>69.52046966552734</v>
      </c>
      <c r="AI47" s="105">
        <v>35.691551208496094</v>
      </c>
      <c r="AJ47" s="105">
        <v>0.008075812831521034</v>
      </c>
      <c r="AK47" s="105"/>
      <c r="AL47" s="106"/>
      <c r="AM47" s="128"/>
      <c r="AN47" s="119"/>
      <c r="AO47" s="105"/>
      <c r="AP47" s="105"/>
      <c r="AQ47" s="105"/>
      <c r="AR47" s="109"/>
    </row>
    <row r="48" spans="2:44" ht="13.5" customHeight="1" x14ac:dyDescent="0.25">
      <c r="B48" s="14">
        <v>0.20833333333333334</v>
      </c>
      <c r="C48" s="101">
        <v>0</v>
      </c>
      <c r="D48" s="101">
        <v>0.0003047943173442036</v>
      </c>
      <c r="E48" s="101">
        <v>26.851850509643555</v>
      </c>
      <c r="F48" s="101"/>
      <c r="G48" s="101"/>
      <c r="H48" s="101">
        <v>49.650970458984375</v>
      </c>
      <c r="I48" s="101">
        <v>0</v>
      </c>
      <c r="J48" s="101">
        <v>50.69083023071289</v>
      </c>
      <c r="K48" s="101">
        <v>0.33749279379844666</v>
      </c>
      <c r="L48" s="101">
        <v>255.90679931640625</v>
      </c>
      <c r="M48" s="101">
        <v>48.89141845703125</v>
      </c>
      <c r="N48" s="101">
        <v>49.5640869140625</v>
      </c>
      <c r="O48" s="101">
        <v>0</v>
      </c>
      <c r="P48" s="101">
        <v>1.508357048034668</v>
      </c>
      <c r="Q48" s="101">
        <v>897.251220703125</v>
      </c>
      <c r="R48" s="101">
        <v>0.5221601724624634</v>
      </c>
      <c r="S48" s="101">
        <v>897.251220703125</v>
      </c>
      <c r="T48" s="101">
        <v>0</v>
      </c>
      <c r="U48" s="118">
        <v>72.7358169555664</v>
      </c>
      <c r="V48" s="126">
        <v>1.0848999409063254E-05</v>
      </c>
      <c r="W48" s="127">
        <v>27</v>
      </c>
      <c r="X48" s="118">
        <v>0</v>
      </c>
      <c r="Y48" s="118">
        <v>17.33941078186035</v>
      </c>
      <c r="Z48" s="118">
        <v>90.41883850097656</v>
      </c>
      <c r="AA48" s="118">
        <v>20</v>
      </c>
      <c r="AB48" s="118">
        <v>0</v>
      </c>
      <c r="AC48" s="118">
        <v>15.158419609069824</v>
      </c>
      <c r="AD48" s="118">
        <v>17.713760375976562</v>
      </c>
      <c r="AE48" s="105"/>
      <c r="AF48" s="105">
        <v>0</v>
      </c>
      <c r="AG48" s="105"/>
      <c r="AH48" s="105">
        <v>69.52046966552734</v>
      </c>
      <c r="AI48" s="105">
        <v>35.597511291503906</v>
      </c>
      <c r="AJ48" s="105">
        <v>-0.006710059940814972</v>
      </c>
      <c r="AK48" s="105"/>
      <c r="AL48" s="106"/>
      <c r="AM48" s="128"/>
      <c r="AN48" s="119"/>
      <c r="AO48" s="105"/>
      <c r="AP48" s="105"/>
      <c r="AQ48" s="105"/>
      <c r="AR48" s="109"/>
    </row>
    <row r="49" spans="2:44" ht="13.5" customHeight="1" x14ac:dyDescent="0.25">
      <c r="B49" s="14">
        <v>0.25</v>
      </c>
      <c r="C49" s="101">
        <v>0</v>
      </c>
      <c r="D49" s="101">
        <v>5.950927857156785E-07</v>
      </c>
      <c r="E49" s="101">
        <v>30.070890426635742</v>
      </c>
      <c r="F49" s="101"/>
      <c r="G49" s="101"/>
      <c r="H49" s="101">
        <v>54.12688064575195</v>
      </c>
      <c r="I49" s="101">
        <v>0</v>
      </c>
      <c r="J49" s="101">
        <v>29.405380249023438</v>
      </c>
      <c r="K49" s="101">
        <v>0</v>
      </c>
      <c r="L49" s="101">
        <v>256.03948974609375</v>
      </c>
      <c r="M49" s="101">
        <v>37.832759857177734</v>
      </c>
      <c r="N49" s="101">
        <v>0.89794921875</v>
      </c>
      <c r="O49" s="101">
        <v>0</v>
      </c>
      <c r="P49" s="101">
        <v>2.978102922439575</v>
      </c>
      <c r="Q49" s="101">
        <v>0</v>
      </c>
      <c r="R49" s="101">
        <v>0.28245508670806885</v>
      </c>
      <c r="S49" s="101">
        <v>0</v>
      </c>
      <c r="T49" s="101">
        <v>0</v>
      </c>
      <c r="U49" s="118">
        <v>99.2983169555664</v>
      </c>
      <c r="V49" s="126">
        <v>0.018381070345640182</v>
      </c>
      <c r="W49" s="127">
        <v>35</v>
      </c>
      <c r="X49" s="118">
        <v>58.47222900390625</v>
      </c>
      <c r="Y49" s="118">
        <v>17.702909469604492</v>
      </c>
      <c r="Z49" s="118">
        <v>83.92469787597656</v>
      </c>
      <c r="AA49" s="118">
        <v>35</v>
      </c>
      <c r="AB49" s="118">
        <v>57.79513931274414</v>
      </c>
      <c r="AC49" s="118">
        <v>14.469400405883789</v>
      </c>
      <c r="AD49" s="118">
        <v>17.616100311279297</v>
      </c>
      <c r="AE49" s="105"/>
      <c r="AF49" s="105">
        <v>40.9758415222168</v>
      </c>
      <c r="AG49" s="105"/>
      <c r="AH49" s="105">
        <v>69.52046966552734</v>
      </c>
      <c r="AI49" s="105">
        <v>35.48176956176758</v>
      </c>
      <c r="AJ49" s="105">
        <v>0.010341431014239788</v>
      </c>
      <c r="AK49" s="105"/>
      <c r="AL49" s="106"/>
      <c r="AM49" s="128"/>
      <c r="AN49" s="119"/>
      <c r="AO49" s="105"/>
      <c r="AP49" s="105"/>
      <c r="AQ49" s="105"/>
      <c r="AR49" s="109"/>
    </row>
    <row r="50" spans="2:44" ht="13.5" customHeight="1" x14ac:dyDescent="0.25">
      <c r="B50" s="14">
        <v>0.29166666666666669</v>
      </c>
      <c r="C50" s="101">
        <v>0</v>
      </c>
      <c r="D50" s="101">
        <v>0.0006937103462405503</v>
      </c>
      <c r="E50" s="101">
        <v>35.88685989379883</v>
      </c>
      <c r="F50" s="101"/>
      <c r="G50" s="101"/>
      <c r="H50" s="101">
        <v>39.21622085571289</v>
      </c>
      <c r="I50" s="101">
        <v>0</v>
      </c>
      <c r="J50" s="101">
        <v>24.965639114379883</v>
      </c>
      <c r="K50" s="101">
        <v>0.4012767970561981</v>
      </c>
      <c r="L50" s="101">
        <v>256.1151123046875</v>
      </c>
      <c r="M50" s="101">
        <v>39.704498291015625</v>
      </c>
      <c r="N50" s="101">
        <v>0</v>
      </c>
      <c r="O50" s="101">
        <v>0</v>
      </c>
      <c r="P50" s="101">
        <v>2.978105068206787</v>
      </c>
      <c r="Q50" s="101">
        <v>0</v>
      </c>
      <c r="R50" s="101">
        <v>0.050150878727436066</v>
      </c>
      <c r="S50" s="101">
        <v>0</v>
      </c>
      <c r="T50" s="101">
        <v>0</v>
      </c>
      <c r="U50" s="118">
        <v>99.12471008300781</v>
      </c>
      <c r="V50" s="126">
        <v>-0.004166660364717245</v>
      </c>
      <c r="W50" s="127">
        <v>50</v>
      </c>
      <c r="X50" s="118">
        <v>85.05642700195312</v>
      </c>
      <c r="Y50" s="118">
        <v>17.165800094604492</v>
      </c>
      <c r="Z50" s="118">
        <v>78.94422912597656</v>
      </c>
      <c r="AA50" s="118">
        <v>50</v>
      </c>
      <c r="AB50" s="118">
        <v>85.71614837646484</v>
      </c>
      <c r="AC50" s="118">
        <v>14.035369873046875</v>
      </c>
      <c r="AD50" s="118">
        <v>16.965059280395508</v>
      </c>
      <c r="AE50" s="105"/>
      <c r="AF50" s="105">
        <v>0</v>
      </c>
      <c r="AG50" s="105"/>
      <c r="AH50" s="105">
        <v>69.52046966552734</v>
      </c>
      <c r="AI50" s="105">
        <v>35.344329833984375</v>
      </c>
      <c r="AJ50" s="105">
        <v>-0.009728011675179005</v>
      </c>
      <c r="AK50" s="105"/>
      <c r="AL50" s="106"/>
      <c r="AM50" s="128"/>
      <c r="AN50" s="119"/>
      <c r="AO50" s="105"/>
      <c r="AP50" s="105"/>
      <c r="AQ50" s="105"/>
      <c r="AR50" s="109"/>
    </row>
    <row r="51" spans="2:44" ht="13.5" customHeight="1" x14ac:dyDescent="0.25">
      <c r="B51" s="42">
        <v>0.33333333333333331</v>
      </c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21"/>
      <c r="V51" s="129"/>
      <c r="W51" s="130"/>
      <c r="X51" s="121"/>
      <c r="Y51" s="121"/>
      <c r="Z51" s="121"/>
      <c r="AA51" s="121"/>
      <c r="AB51" s="121"/>
      <c r="AC51" s="121"/>
      <c r="AD51" s="121"/>
      <c r="AE51" s="114"/>
      <c r="AF51" s="114"/>
      <c r="AG51" s="114"/>
      <c r="AH51" s="114"/>
      <c r="AI51" s="114"/>
      <c r="AJ51" s="114"/>
      <c r="AK51" s="114"/>
      <c r="AL51" s="115"/>
      <c r="AM51" s="131"/>
      <c r="AN51" s="122"/>
      <c r="AO51" s="114"/>
      <c r="AP51" s="114"/>
      <c r="AQ51" s="114"/>
      <c r="AR51" s="125"/>
    </row>
    <row r="52" spans="2:44" ht="13.5" customHeight="1" x14ac:dyDescent="0.25">
      <c r="B52" s="221" t="s">
        <v>459</v>
      </c>
      <c r="C52" s="222"/>
      <c r="D52" s="9" t="s">
        <v>274</v>
      </c>
      <c r="E52" s="202" t="s">
        <v>20</v>
      </c>
      <c r="F52" s="205"/>
      <c r="G52" s="206"/>
      <c r="H52" s="206"/>
      <c r="I52" s="206"/>
      <c r="J52" s="206"/>
      <c r="K52" s="206"/>
      <c r="L52" s="206"/>
      <c r="M52" s="206"/>
      <c r="N52" s="206"/>
      <c r="O52" s="206"/>
      <c r="P52" s="206"/>
      <c r="Q52" s="206"/>
      <c r="R52" s="206"/>
      <c r="S52" s="206"/>
      <c r="T52" s="206"/>
      <c r="U52" s="206"/>
      <c r="V52" s="206"/>
      <c r="W52" s="206"/>
      <c r="X52" s="206"/>
      <c r="Y52" s="206"/>
      <c r="Z52" s="206"/>
      <c r="AA52" s="206"/>
      <c r="AB52" s="206"/>
      <c r="AC52" s="206"/>
      <c r="AD52" s="206"/>
      <c r="AE52" s="206"/>
      <c r="AF52" s="206"/>
      <c r="AG52" s="206"/>
      <c r="AH52" s="206"/>
      <c r="AI52" s="206"/>
      <c r="AJ52" s="206"/>
      <c r="AK52" s="206"/>
      <c r="AL52" s="206"/>
      <c r="AM52" s="206"/>
      <c r="AN52" s="206"/>
      <c r="AO52" s="207"/>
      <c r="AP52" s="207"/>
      <c r="AQ52" s="207"/>
      <c r="AR52" s="208"/>
    </row>
    <row r="53" spans="2:44" ht="13.5" customHeight="1" x14ac:dyDescent="0.25">
      <c r="B53" s="201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  <c r="AB53" s="203"/>
      <c r="AC53" s="203"/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172"/>
      <c r="AP53" s="172"/>
      <c r="AQ53" s="172"/>
      <c r="AR53" s="209"/>
    </row>
    <row r="54" spans="2:44" ht="13.5" customHeight="1" thickBot="1" x14ac:dyDescent="0.3">
      <c r="B54" s="212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  <c r="AB54" s="204"/>
      <c r="AC54" s="204"/>
      <c r="AD54" s="204"/>
      <c r="AE54" s="204"/>
      <c r="AF54" s="204"/>
      <c r="AG54" s="204"/>
      <c r="AH54" s="204"/>
      <c r="AI54" s="204"/>
      <c r="AJ54" s="204"/>
      <c r="AK54" s="204"/>
      <c r="AL54" s="204"/>
      <c r="AM54" s="204"/>
      <c r="AN54" s="204"/>
      <c r="AO54" s="210"/>
      <c r="AP54" s="210"/>
      <c r="AQ54" s="210"/>
      <c r="AR54" s="211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</cols>
  <sheetData>
    <row r="1" spans="2:58" ht="17.5" customHeight="1" thickBot="1" x14ac:dyDescent="0.3">
      <c r="B1" s="180" t="s">
        <v>230</v>
      </c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</row>
    <row r="2" spans="2:58" ht="13" customHeight="1" x14ac:dyDescent="0.25">
      <c r="B2" s="261" t="s">
        <v>232</v>
      </c>
      <c r="C2" s="194"/>
      <c r="D2" s="194"/>
      <c r="E2" s="194"/>
      <c r="F2" s="194"/>
      <c r="G2" s="194"/>
      <c r="H2" s="194"/>
      <c r="I2" s="194"/>
      <c r="J2" s="194"/>
      <c r="K2" s="194"/>
      <c r="L2" s="199"/>
      <c r="M2" s="262" t="s">
        <v>231</v>
      </c>
      <c r="N2" s="194"/>
      <c r="O2" s="194"/>
      <c r="P2" s="194"/>
      <c r="Q2" s="194"/>
      <c r="R2" s="194"/>
      <c r="S2" s="194"/>
      <c r="T2" s="194"/>
      <c r="U2" s="194"/>
      <c r="V2" s="194"/>
      <c r="W2" s="199"/>
      <c r="X2" s="182" t="s">
        <v>233</v>
      </c>
      <c r="Y2" s="194"/>
      <c r="Z2" s="194"/>
      <c r="AA2" s="194"/>
      <c r="AB2" s="194"/>
      <c r="AC2" s="194"/>
      <c r="AD2" s="194"/>
      <c r="AE2" s="194"/>
      <c r="AF2" s="194"/>
      <c r="AG2" s="194"/>
      <c r="AH2" s="199"/>
      <c r="AI2" s="262" t="s">
        <v>234</v>
      </c>
      <c r="AJ2" s="194"/>
      <c r="AK2" s="194"/>
      <c r="AL2" s="194"/>
      <c r="AM2" s="194"/>
      <c r="AN2" s="194"/>
      <c r="AO2" s="194"/>
      <c r="AP2" s="194"/>
      <c r="AQ2" s="194"/>
      <c r="AR2" s="194"/>
      <c r="AS2" s="194"/>
      <c r="AT2" s="199"/>
      <c r="AU2" s="182" t="s">
        <v>235</v>
      </c>
      <c r="AV2" s="194"/>
      <c r="AW2" s="194"/>
      <c r="AX2" s="194"/>
      <c r="AY2" s="194"/>
      <c r="AZ2" s="194"/>
      <c r="BA2" s="194"/>
      <c r="BB2" s="194"/>
      <c r="BC2" s="194"/>
      <c r="BD2" s="194"/>
      <c r="BE2" s="194"/>
      <c r="BF2" s="263"/>
    </row>
    <row r="3" spans="2:58" ht="13" customHeight="1" x14ac:dyDescent="0.25">
      <c r="B3" s="229"/>
      <c r="C3" s="230"/>
      <c r="D3" s="230"/>
      <c r="E3" s="230"/>
      <c r="F3" s="230"/>
      <c r="G3" s="230"/>
      <c r="H3" s="230"/>
      <c r="I3" s="230"/>
      <c r="J3" s="230"/>
      <c r="K3" s="230"/>
      <c r="L3" s="231"/>
      <c r="M3" s="237"/>
      <c r="N3" s="230"/>
      <c r="O3" s="230"/>
      <c r="P3" s="230"/>
      <c r="Q3" s="230"/>
      <c r="R3" s="230"/>
      <c r="S3" s="230"/>
      <c r="T3" s="230"/>
      <c r="U3" s="230"/>
      <c r="V3" s="230"/>
      <c r="W3" s="231"/>
      <c r="X3" s="241"/>
      <c r="Y3" s="230"/>
      <c r="Z3" s="230"/>
      <c r="AA3" s="230"/>
      <c r="AB3" s="230"/>
      <c r="AC3" s="230"/>
      <c r="AD3" s="230"/>
      <c r="AE3" s="230"/>
      <c r="AF3" s="230"/>
      <c r="AG3" s="230"/>
      <c r="AH3" s="231"/>
      <c r="AI3" s="242"/>
      <c r="AJ3" s="230"/>
      <c r="AK3" s="230"/>
      <c r="AL3" s="230"/>
      <c r="AM3" s="230"/>
      <c r="AN3" s="230"/>
      <c r="AO3" s="230"/>
      <c r="AP3" s="230"/>
      <c r="AQ3" s="230"/>
      <c r="AR3" s="230"/>
      <c r="AS3" s="230"/>
      <c r="AT3" s="231"/>
      <c r="AU3" s="241"/>
      <c r="AV3" s="230"/>
      <c r="AW3" s="230"/>
      <c r="AX3" s="230"/>
      <c r="AY3" s="230"/>
      <c r="AZ3" s="230"/>
      <c r="BA3" s="230"/>
      <c r="BB3" s="230"/>
      <c r="BC3" s="230"/>
      <c r="BD3" s="230"/>
      <c r="BE3" s="230"/>
      <c r="BF3" s="243"/>
    </row>
    <row r="4" spans="2:58" ht="13" customHeight="1" x14ac:dyDescent="0.25">
      <c r="B4" s="232"/>
      <c r="C4" s="233"/>
      <c r="D4" s="233"/>
      <c r="E4" s="233"/>
      <c r="F4" s="233"/>
      <c r="G4" s="233"/>
      <c r="H4" s="233"/>
      <c r="I4" s="233"/>
      <c r="J4" s="233"/>
      <c r="K4" s="233"/>
      <c r="L4" s="234"/>
      <c r="M4" s="238"/>
      <c r="N4" s="233"/>
      <c r="O4" s="233"/>
      <c r="P4" s="233"/>
      <c r="Q4" s="233"/>
      <c r="R4" s="233"/>
      <c r="S4" s="233"/>
      <c r="T4" s="233"/>
      <c r="U4" s="233"/>
      <c r="V4" s="233"/>
      <c r="W4" s="234"/>
      <c r="X4" s="238"/>
      <c r="Y4" s="233"/>
      <c r="Z4" s="233"/>
      <c r="AA4" s="233"/>
      <c r="AB4" s="233"/>
      <c r="AC4" s="233"/>
      <c r="AD4" s="233"/>
      <c r="AE4" s="233"/>
      <c r="AF4" s="233"/>
      <c r="AG4" s="233"/>
      <c r="AH4" s="234"/>
      <c r="AI4" s="238"/>
      <c r="AJ4" s="233"/>
      <c r="AK4" s="233"/>
      <c r="AL4" s="233"/>
      <c r="AM4" s="233"/>
      <c r="AN4" s="233"/>
      <c r="AO4" s="233"/>
      <c r="AP4" s="233"/>
      <c r="AQ4" s="233"/>
      <c r="AR4" s="233"/>
      <c r="AS4" s="233"/>
      <c r="AT4" s="234"/>
      <c r="AU4" s="238"/>
      <c r="AV4" s="233"/>
      <c r="AW4" s="233"/>
      <c r="AX4" s="233"/>
      <c r="AY4" s="233"/>
      <c r="AZ4" s="233"/>
      <c r="BA4" s="233"/>
      <c r="BB4" s="233"/>
      <c r="BC4" s="233"/>
      <c r="BD4" s="233"/>
      <c r="BE4" s="233"/>
      <c r="BF4" s="244"/>
    </row>
    <row r="5" spans="2:58" ht="13" customHeight="1" x14ac:dyDescent="0.25">
      <c r="B5" s="232"/>
      <c r="C5" s="233"/>
      <c r="D5" s="233"/>
      <c r="E5" s="233"/>
      <c r="F5" s="233"/>
      <c r="G5" s="233"/>
      <c r="H5" s="233"/>
      <c r="I5" s="233"/>
      <c r="J5" s="233"/>
      <c r="K5" s="233"/>
      <c r="L5" s="234"/>
      <c r="M5" s="238"/>
      <c r="N5" s="233"/>
      <c r="O5" s="233"/>
      <c r="P5" s="233"/>
      <c r="Q5" s="233"/>
      <c r="R5" s="233"/>
      <c r="S5" s="233"/>
      <c r="T5" s="233"/>
      <c r="U5" s="233"/>
      <c r="V5" s="233"/>
      <c r="W5" s="234"/>
      <c r="X5" s="238"/>
      <c r="Y5" s="233"/>
      <c r="Z5" s="233"/>
      <c r="AA5" s="233"/>
      <c r="AB5" s="233"/>
      <c r="AC5" s="233"/>
      <c r="AD5" s="233"/>
      <c r="AE5" s="233"/>
      <c r="AF5" s="233"/>
      <c r="AG5" s="233"/>
      <c r="AH5" s="234"/>
      <c r="AI5" s="238"/>
      <c r="AJ5" s="233"/>
      <c r="AK5" s="233"/>
      <c r="AL5" s="233"/>
      <c r="AM5" s="233"/>
      <c r="AN5" s="233"/>
      <c r="AO5" s="233"/>
      <c r="AP5" s="233"/>
      <c r="AQ5" s="233"/>
      <c r="AR5" s="233"/>
      <c r="AS5" s="233"/>
      <c r="AT5" s="234"/>
      <c r="AU5" s="238"/>
      <c r="AV5" s="233"/>
      <c r="AW5" s="233"/>
      <c r="AX5" s="233"/>
      <c r="AY5" s="233"/>
      <c r="AZ5" s="233"/>
      <c r="BA5" s="233"/>
      <c r="BB5" s="233"/>
      <c r="BC5" s="233"/>
      <c r="BD5" s="233"/>
      <c r="BE5" s="233"/>
      <c r="BF5" s="244"/>
    </row>
    <row r="6" spans="2:58" ht="13" customHeight="1" x14ac:dyDescent="0.25">
      <c r="B6" s="232"/>
      <c r="C6" s="233"/>
      <c r="D6" s="233"/>
      <c r="E6" s="233"/>
      <c r="F6" s="233"/>
      <c r="G6" s="233"/>
      <c r="H6" s="233"/>
      <c r="I6" s="233"/>
      <c r="J6" s="233"/>
      <c r="K6" s="233"/>
      <c r="L6" s="234"/>
      <c r="M6" s="238"/>
      <c r="N6" s="233"/>
      <c r="O6" s="233"/>
      <c r="P6" s="233"/>
      <c r="Q6" s="233"/>
      <c r="R6" s="233"/>
      <c r="S6" s="233"/>
      <c r="T6" s="233"/>
      <c r="U6" s="233"/>
      <c r="V6" s="233"/>
      <c r="W6" s="234"/>
      <c r="X6" s="238"/>
      <c r="Y6" s="233"/>
      <c r="Z6" s="233"/>
      <c r="AA6" s="233"/>
      <c r="AB6" s="233"/>
      <c r="AC6" s="233"/>
      <c r="AD6" s="233"/>
      <c r="AE6" s="233"/>
      <c r="AF6" s="233"/>
      <c r="AG6" s="233"/>
      <c r="AH6" s="234"/>
      <c r="AI6" s="238"/>
      <c r="AJ6" s="233"/>
      <c r="AK6" s="233"/>
      <c r="AL6" s="233"/>
      <c r="AM6" s="233"/>
      <c r="AN6" s="233"/>
      <c r="AO6" s="233"/>
      <c r="AP6" s="233"/>
      <c r="AQ6" s="233"/>
      <c r="AR6" s="233"/>
      <c r="AS6" s="233"/>
      <c r="AT6" s="234"/>
      <c r="AU6" s="238"/>
      <c r="AV6" s="233"/>
      <c r="AW6" s="233"/>
      <c r="AX6" s="233"/>
      <c r="AY6" s="233"/>
      <c r="AZ6" s="233"/>
      <c r="BA6" s="233"/>
      <c r="BB6" s="233"/>
      <c r="BC6" s="233"/>
      <c r="BD6" s="233"/>
      <c r="BE6" s="233"/>
      <c r="BF6" s="244"/>
    </row>
    <row r="7" spans="2:58" ht="13" customHeight="1" x14ac:dyDescent="0.25">
      <c r="B7" s="232"/>
      <c r="C7" s="233"/>
      <c r="D7" s="233"/>
      <c r="E7" s="233"/>
      <c r="F7" s="233"/>
      <c r="G7" s="233"/>
      <c r="H7" s="233"/>
      <c r="I7" s="233"/>
      <c r="J7" s="233"/>
      <c r="K7" s="233"/>
      <c r="L7" s="234"/>
      <c r="M7" s="238"/>
      <c r="N7" s="233"/>
      <c r="O7" s="233"/>
      <c r="P7" s="233"/>
      <c r="Q7" s="233"/>
      <c r="R7" s="233"/>
      <c r="S7" s="233"/>
      <c r="T7" s="233"/>
      <c r="U7" s="233"/>
      <c r="V7" s="233"/>
      <c r="W7" s="234"/>
      <c r="X7" s="238"/>
      <c r="Y7" s="233"/>
      <c r="Z7" s="233"/>
      <c r="AA7" s="233"/>
      <c r="AB7" s="233"/>
      <c r="AC7" s="233"/>
      <c r="AD7" s="233"/>
      <c r="AE7" s="233"/>
      <c r="AF7" s="233"/>
      <c r="AG7" s="233"/>
      <c r="AH7" s="234"/>
      <c r="AI7" s="238"/>
      <c r="AJ7" s="233"/>
      <c r="AK7" s="233"/>
      <c r="AL7" s="233"/>
      <c r="AM7" s="233"/>
      <c r="AN7" s="233"/>
      <c r="AO7" s="233"/>
      <c r="AP7" s="233"/>
      <c r="AQ7" s="233"/>
      <c r="AR7" s="233"/>
      <c r="AS7" s="233"/>
      <c r="AT7" s="234"/>
      <c r="AU7" s="238"/>
      <c r="AV7" s="233"/>
      <c r="AW7" s="233"/>
      <c r="AX7" s="233"/>
      <c r="AY7" s="233"/>
      <c r="AZ7" s="233"/>
      <c r="BA7" s="233"/>
      <c r="BB7" s="233"/>
      <c r="BC7" s="233"/>
      <c r="BD7" s="233"/>
      <c r="BE7" s="233"/>
      <c r="BF7" s="244"/>
    </row>
    <row r="8" spans="2:58" ht="13" customHeight="1" x14ac:dyDescent="0.25">
      <c r="B8" s="232"/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38"/>
      <c r="N8" s="233"/>
      <c r="O8" s="233"/>
      <c r="P8" s="233"/>
      <c r="Q8" s="233"/>
      <c r="R8" s="233"/>
      <c r="S8" s="233"/>
      <c r="T8" s="233"/>
      <c r="U8" s="233"/>
      <c r="V8" s="233"/>
      <c r="W8" s="234"/>
      <c r="X8" s="238"/>
      <c r="Y8" s="233"/>
      <c r="Z8" s="233"/>
      <c r="AA8" s="233"/>
      <c r="AB8" s="233"/>
      <c r="AC8" s="233"/>
      <c r="AD8" s="233"/>
      <c r="AE8" s="233"/>
      <c r="AF8" s="233"/>
      <c r="AG8" s="233"/>
      <c r="AH8" s="234"/>
      <c r="AI8" s="238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4"/>
      <c r="AU8" s="238"/>
      <c r="AV8" s="233"/>
      <c r="AW8" s="233"/>
      <c r="AX8" s="233"/>
      <c r="AY8" s="233"/>
      <c r="AZ8" s="233"/>
      <c r="BA8" s="233"/>
      <c r="BB8" s="233"/>
      <c r="BC8" s="233"/>
      <c r="BD8" s="233"/>
      <c r="BE8" s="233"/>
      <c r="BF8" s="244"/>
    </row>
    <row r="9" spans="2:58" ht="13" customHeight="1" x14ac:dyDescent="0.25">
      <c r="B9" s="235"/>
      <c r="C9" s="236"/>
      <c r="D9" s="236"/>
      <c r="E9" s="236"/>
      <c r="F9" s="236"/>
      <c r="G9" s="236"/>
      <c r="H9" s="236"/>
      <c r="I9" s="236"/>
      <c r="J9" s="236"/>
      <c r="K9" s="236"/>
      <c r="L9" s="222"/>
      <c r="M9" s="239"/>
      <c r="N9" s="236"/>
      <c r="O9" s="236"/>
      <c r="P9" s="236"/>
      <c r="Q9" s="236"/>
      <c r="R9" s="236"/>
      <c r="S9" s="236"/>
      <c r="T9" s="236"/>
      <c r="U9" s="236"/>
      <c r="V9" s="236"/>
      <c r="W9" s="222"/>
      <c r="X9" s="239"/>
      <c r="Y9" s="236"/>
      <c r="Z9" s="236"/>
      <c r="AA9" s="236"/>
      <c r="AB9" s="236"/>
      <c r="AC9" s="236"/>
      <c r="AD9" s="236"/>
      <c r="AE9" s="236"/>
      <c r="AF9" s="236"/>
      <c r="AG9" s="236"/>
      <c r="AH9" s="222"/>
      <c r="AI9" s="239"/>
      <c r="AJ9" s="236"/>
      <c r="AK9" s="236"/>
      <c r="AL9" s="236"/>
      <c r="AM9" s="236"/>
      <c r="AN9" s="236"/>
      <c r="AO9" s="236"/>
      <c r="AP9" s="236"/>
      <c r="AQ9" s="236"/>
      <c r="AR9" s="236"/>
      <c r="AS9" s="236"/>
      <c r="AT9" s="222"/>
      <c r="AU9" s="239"/>
      <c r="AV9" s="236"/>
      <c r="AW9" s="236"/>
      <c r="AX9" s="236"/>
      <c r="AY9" s="236"/>
      <c r="AZ9" s="236"/>
      <c r="BA9" s="236"/>
      <c r="BB9" s="236"/>
      <c r="BC9" s="236"/>
      <c r="BD9" s="236"/>
      <c r="BE9" s="236"/>
      <c r="BF9" s="245"/>
    </row>
    <row r="10" spans="2:58" ht="13" customHeight="1" x14ac:dyDescent="0.25">
      <c r="B10" s="249" t="s">
        <v>236</v>
      </c>
      <c r="C10" s="175"/>
      <c r="D10" s="175"/>
      <c r="E10" s="175"/>
      <c r="F10" s="175"/>
      <c r="G10" s="175"/>
      <c r="H10" s="175"/>
      <c r="I10" s="175"/>
      <c r="J10" s="175"/>
      <c r="K10" s="175"/>
      <c r="L10" s="176"/>
      <c r="M10" s="260" t="s">
        <v>237</v>
      </c>
      <c r="N10" s="175"/>
      <c r="O10" s="175"/>
      <c r="P10" s="175"/>
      <c r="Q10" s="175"/>
      <c r="R10" s="175"/>
      <c r="S10" s="175"/>
      <c r="T10" s="175"/>
      <c r="U10" s="175"/>
      <c r="V10" s="175"/>
      <c r="W10" s="176"/>
      <c r="X10" s="187" t="s">
        <v>238</v>
      </c>
      <c r="Y10" s="175"/>
      <c r="Z10" s="175"/>
      <c r="AA10" s="175"/>
      <c r="AB10" s="175"/>
      <c r="AC10" s="175"/>
      <c r="AD10" s="175"/>
      <c r="AE10" s="175"/>
      <c r="AF10" s="175"/>
      <c r="AG10" s="175"/>
      <c r="AH10" s="176"/>
      <c r="AI10" s="187" t="s">
        <v>239</v>
      </c>
      <c r="AJ10" s="175"/>
      <c r="AK10" s="175"/>
      <c r="AL10" s="175"/>
      <c r="AM10" s="175"/>
      <c r="AN10" s="175"/>
      <c r="AO10" s="175"/>
      <c r="AP10" s="175"/>
      <c r="AQ10" s="175"/>
      <c r="AR10" s="175"/>
      <c r="AS10" s="175"/>
      <c r="AT10" s="176"/>
      <c r="AU10" s="172" t="s">
        <v>240</v>
      </c>
      <c r="AV10" s="175"/>
      <c r="AW10" s="175"/>
      <c r="AX10" s="175"/>
      <c r="AY10" s="175"/>
      <c r="AZ10" s="175"/>
      <c r="BA10" s="175"/>
      <c r="BB10" s="175"/>
      <c r="BC10" s="175"/>
      <c r="BD10" s="175"/>
      <c r="BE10" s="175"/>
      <c r="BF10" s="254"/>
    </row>
    <row r="11" spans="2:58" ht="13" customHeight="1" x14ac:dyDescent="0.25">
      <c r="B11" s="229"/>
      <c r="C11" s="230"/>
      <c r="D11" s="230"/>
      <c r="E11" s="230"/>
      <c r="F11" s="230"/>
      <c r="G11" s="230"/>
      <c r="H11" s="230"/>
      <c r="I11" s="230"/>
      <c r="J11" s="230"/>
      <c r="K11" s="230"/>
      <c r="L11" s="231"/>
      <c r="M11" s="237"/>
      <c r="N11" s="230"/>
      <c r="O11" s="230"/>
      <c r="P11" s="230"/>
      <c r="Q11" s="230"/>
      <c r="R11" s="230"/>
      <c r="S11" s="230"/>
      <c r="T11" s="230"/>
      <c r="U11" s="230"/>
      <c r="V11" s="230"/>
      <c r="W11" s="231"/>
      <c r="X11" s="237"/>
      <c r="Y11" s="230"/>
      <c r="Z11" s="230"/>
      <c r="AA11" s="230"/>
      <c r="AB11" s="230"/>
      <c r="AC11" s="230"/>
      <c r="AD11" s="230"/>
      <c r="AE11" s="230"/>
      <c r="AF11" s="230"/>
      <c r="AG11" s="230"/>
      <c r="AH11" s="231"/>
      <c r="AI11" s="237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1"/>
      <c r="AU11" s="246"/>
      <c r="AV11" s="230"/>
      <c r="AW11" s="230"/>
      <c r="AX11" s="230"/>
      <c r="AY11" s="230"/>
      <c r="AZ11" s="230"/>
      <c r="BA11" s="230"/>
      <c r="BB11" s="230"/>
      <c r="BC11" s="230"/>
      <c r="BD11" s="230"/>
      <c r="BE11" s="230"/>
      <c r="BF11" s="243"/>
    </row>
    <row r="12" spans="2:58" ht="13" customHeight="1" x14ac:dyDescent="0.25">
      <c r="B12" s="232"/>
      <c r="C12" s="233"/>
      <c r="D12" s="233"/>
      <c r="E12" s="233"/>
      <c r="F12" s="233"/>
      <c r="G12" s="233"/>
      <c r="H12" s="233"/>
      <c r="I12" s="233"/>
      <c r="J12" s="233"/>
      <c r="K12" s="233"/>
      <c r="L12" s="234"/>
      <c r="M12" s="238"/>
      <c r="N12" s="233"/>
      <c r="O12" s="233"/>
      <c r="P12" s="233"/>
      <c r="Q12" s="233"/>
      <c r="R12" s="233"/>
      <c r="S12" s="233"/>
      <c r="T12" s="233"/>
      <c r="U12" s="233"/>
      <c r="V12" s="233"/>
      <c r="W12" s="234"/>
      <c r="X12" s="238"/>
      <c r="Y12" s="233"/>
      <c r="Z12" s="233"/>
      <c r="AA12" s="233"/>
      <c r="AB12" s="233"/>
      <c r="AC12" s="233"/>
      <c r="AD12" s="233"/>
      <c r="AE12" s="233"/>
      <c r="AF12" s="233"/>
      <c r="AG12" s="233"/>
      <c r="AH12" s="234"/>
      <c r="AI12" s="238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  <c r="AU12" s="238"/>
      <c r="AV12" s="233"/>
      <c r="AW12" s="233"/>
      <c r="AX12" s="233"/>
      <c r="AY12" s="233"/>
      <c r="AZ12" s="233"/>
      <c r="BA12" s="233"/>
      <c r="BB12" s="233"/>
      <c r="BC12" s="233"/>
      <c r="BD12" s="233"/>
      <c r="BE12" s="233"/>
      <c r="BF12" s="244"/>
    </row>
    <row r="13" spans="2:58" ht="13" customHeight="1" x14ac:dyDescent="0.25">
      <c r="B13" s="232"/>
      <c r="C13" s="233"/>
      <c r="D13" s="233"/>
      <c r="E13" s="233"/>
      <c r="F13" s="233"/>
      <c r="G13" s="233"/>
      <c r="H13" s="233"/>
      <c r="I13" s="233"/>
      <c r="J13" s="233"/>
      <c r="K13" s="233"/>
      <c r="L13" s="234"/>
      <c r="M13" s="238"/>
      <c r="N13" s="233"/>
      <c r="O13" s="233"/>
      <c r="P13" s="233"/>
      <c r="Q13" s="233"/>
      <c r="R13" s="233"/>
      <c r="S13" s="233"/>
      <c r="T13" s="233"/>
      <c r="U13" s="233"/>
      <c r="V13" s="233"/>
      <c r="W13" s="234"/>
      <c r="X13" s="238"/>
      <c r="Y13" s="233"/>
      <c r="Z13" s="233"/>
      <c r="AA13" s="233"/>
      <c r="AB13" s="233"/>
      <c r="AC13" s="233"/>
      <c r="AD13" s="233"/>
      <c r="AE13" s="233"/>
      <c r="AF13" s="233"/>
      <c r="AG13" s="233"/>
      <c r="AH13" s="234"/>
      <c r="AI13" s="238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  <c r="AU13" s="238"/>
      <c r="AV13" s="233"/>
      <c r="AW13" s="233"/>
      <c r="AX13" s="233"/>
      <c r="AY13" s="233"/>
      <c r="AZ13" s="233"/>
      <c r="BA13" s="233"/>
      <c r="BB13" s="233"/>
      <c r="BC13" s="233"/>
      <c r="BD13" s="233"/>
      <c r="BE13" s="233"/>
      <c r="BF13" s="244"/>
    </row>
    <row r="14" spans="2:58" ht="13" customHeight="1" x14ac:dyDescent="0.25">
      <c r="B14" s="232"/>
      <c r="C14" s="233"/>
      <c r="D14" s="233"/>
      <c r="E14" s="233"/>
      <c r="F14" s="233"/>
      <c r="G14" s="233"/>
      <c r="H14" s="233"/>
      <c r="I14" s="233"/>
      <c r="J14" s="233"/>
      <c r="K14" s="233"/>
      <c r="L14" s="234"/>
      <c r="M14" s="238"/>
      <c r="N14" s="233"/>
      <c r="O14" s="233"/>
      <c r="P14" s="233"/>
      <c r="Q14" s="233"/>
      <c r="R14" s="233"/>
      <c r="S14" s="233"/>
      <c r="T14" s="233"/>
      <c r="U14" s="233"/>
      <c r="V14" s="233"/>
      <c r="W14" s="234"/>
      <c r="X14" s="238"/>
      <c r="Y14" s="233"/>
      <c r="Z14" s="233"/>
      <c r="AA14" s="233"/>
      <c r="AB14" s="233"/>
      <c r="AC14" s="233"/>
      <c r="AD14" s="233"/>
      <c r="AE14" s="233"/>
      <c r="AF14" s="233"/>
      <c r="AG14" s="233"/>
      <c r="AH14" s="234"/>
      <c r="AI14" s="238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4"/>
      <c r="AU14" s="238"/>
      <c r="AV14" s="233"/>
      <c r="AW14" s="233"/>
      <c r="AX14" s="233"/>
      <c r="AY14" s="233"/>
      <c r="AZ14" s="233"/>
      <c r="BA14" s="233"/>
      <c r="BB14" s="233"/>
      <c r="BC14" s="233"/>
      <c r="BD14" s="233"/>
      <c r="BE14" s="233"/>
      <c r="BF14" s="244"/>
    </row>
    <row r="15" spans="2:58" ht="13" customHeight="1" x14ac:dyDescent="0.25">
      <c r="B15" s="232"/>
      <c r="C15" s="233"/>
      <c r="D15" s="233"/>
      <c r="E15" s="233"/>
      <c r="F15" s="233"/>
      <c r="G15" s="233"/>
      <c r="H15" s="233"/>
      <c r="I15" s="233"/>
      <c r="J15" s="233"/>
      <c r="K15" s="233"/>
      <c r="L15" s="234"/>
      <c r="M15" s="238"/>
      <c r="N15" s="233"/>
      <c r="O15" s="233"/>
      <c r="P15" s="233"/>
      <c r="Q15" s="233"/>
      <c r="R15" s="233"/>
      <c r="S15" s="233"/>
      <c r="T15" s="233"/>
      <c r="U15" s="233"/>
      <c r="V15" s="233"/>
      <c r="W15" s="234"/>
      <c r="X15" s="238"/>
      <c r="Y15" s="233"/>
      <c r="Z15" s="233"/>
      <c r="AA15" s="233"/>
      <c r="AB15" s="233"/>
      <c r="AC15" s="233"/>
      <c r="AD15" s="233"/>
      <c r="AE15" s="233"/>
      <c r="AF15" s="233"/>
      <c r="AG15" s="233"/>
      <c r="AH15" s="234"/>
      <c r="AI15" s="238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4"/>
      <c r="AU15" s="238"/>
      <c r="AV15" s="233"/>
      <c r="AW15" s="233"/>
      <c r="AX15" s="233"/>
      <c r="AY15" s="233"/>
      <c r="AZ15" s="233"/>
      <c r="BA15" s="233"/>
      <c r="BB15" s="233"/>
      <c r="BC15" s="233"/>
      <c r="BD15" s="233"/>
      <c r="BE15" s="233"/>
      <c r="BF15" s="244"/>
    </row>
    <row r="16" spans="2:58" ht="13" customHeight="1" x14ac:dyDescent="0.25">
      <c r="B16" s="232"/>
      <c r="C16" s="233"/>
      <c r="D16" s="233"/>
      <c r="E16" s="233"/>
      <c r="F16" s="233"/>
      <c r="G16" s="233"/>
      <c r="H16" s="233"/>
      <c r="I16" s="233"/>
      <c r="J16" s="233"/>
      <c r="K16" s="233"/>
      <c r="L16" s="234"/>
      <c r="M16" s="238"/>
      <c r="N16" s="233"/>
      <c r="O16" s="233"/>
      <c r="P16" s="233"/>
      <c r="Q16" s="233"/>
      <c r="R16" s="233"/>
      <c r="S16" s="233"/>
      <c r="T16" s="233"/>
      <c r="U16" s="233"/>
      <c r="V16" s="233"/>
      <c r="W16" s="234"/>
      <c r="X16" s="238"/>
      <c r="Y16" s="233"/>
      <c r="Z16" s="233"/>
      <c r="AA16" s="233"/>
      <c r="AB16" s="233"/>
      <c r="AC16" s="233"/>
      <c r="AD16" s="233"/>
      <c r="AE16" s="233"/>
      <c r="AF16" s="233"/>
      <c r="AG16" s="233"/>
      <c r="AH16" s="234"/>
      <c r="AI16" s="238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4"/>
      <c r="AU16" s="238"/>
      <c r="AV16" s="233"/>
      <c r="AW16" s="233"/>
      <c r="AX16" s="233"/>
      <c r="AY16" s="233"/>
      <c r="AZ16" s="233"/>
      <c r="BA16" s="233"/>
      <c r="BB16" s="233"/>
      <c r="BC16" s="233"/>
      <c r="BD16" s="233"/>
      <c r="BE16" s="233"/>
      <c r="BF16" s="244"/>
    </row>
    <row r="17" spans="2:58" ht="13" customHeight="1" x14ac:dyDescent="0.25">
      <c r="B17" s="235"/>
      <c r="C17" s="236"/>
      <c r="D17" s="236"/>
      <c r="E17" s="236"/>
      <c r="F17" s="236"/>
      <c r="G17" s="236"/>
      <c r="H17" s="236"/>
      <c r="I17" s="236"/>
      <c r="J17" s="236"/>
      <c r="K17" s="236"/>
      <c r="L17" s="222"/>
      <c r="M17" s="239"/>
      <c r="N17" s="236"/>
      <c r="O17" s="236"/>
      <c r="P17" s="236"/>
      <c r="Q17" s="236"/>
      <c r="R17" s="236"/>
      <c r="S17" s="236"/>
      <c r="T17" s="236"/>
      <c r="U17" s="236"/>
      <c r="V17" s="236"/>
      <c r="W17" s="222"/>
      <c r="X17" s="239"/>
      <c r="Y17" s="236"/>
      <c r="Z17" s="236"/>
      <c r="AA17" s="236"/>
      <c r="AB17" s="236"/>
      <c r="AC17" s="236"/>
      <c r="AD17" s="236"/>
      <c r="AE17" s="236"/>
      <c r="AF17" s="236"/>
      <c r="AG17" s="236"/>
      <c r="AH17" s="222"/>
      <c r="AI17" s="239"/>
      <c r="AJ17" s="236"/>
      <c r="AK17" s="236"/>
      <c r="AL17" s="236"/>
      <c r="AM17" s="236"/>
      <c r="AN17" s="236"/>
      <c r="AO17" s="236"/>
      <c r="AP17" s="236"/>
      <c r="AQ17" s="236"/>
      <c r="AR17" s="236"/>
      <c r="AS17" s="236"/>
      <c r="AT17" s="222"/>
      <c r="AU17" s="239"/>
      <c r="AV17" s="236"/>
      <c r="AW17" s="236"/>
      <c r="AX17" s="236"/>
      <c r="AY17" s="236"/>
      <c r="AZ17" s="236"/>
      <c r="BA17" s="236"/>
      <c r="BB17" s="236"/>
      <c r="BC17" s="236"/>
      <c r="BD17" s="236"/>
      <c r="BE17" s="236"/>
      <c r="BF17" s="245"/>
    </row>
    <row r="18" spans="2:58" ht="13" customHeight="1" x14ac:dyDescent="0.25">
      <c r="B18" s="249" t="s">
        <v>241</v>
      </c>
      <c r="C18" s="175"/>
      <c r="D18" s="175"/>
      <c r="E18" s="175"/>
      <c r="F18" s="175"/>
      <c r="G18" s="175"/>
      <c r="H18" s="175"/>
      <c r="I18" s="175"/>
      <c r="J18" s="175"/>
      <c r="K18" s="175"/>
      <c r="L18" s="175"/>
      <c r="M18" s="250" t="s">
        <v>242</v>
      </c>
      <c r="N18" s="175"/>
      <c r="O18" s="175"/>
      <c r="P18" s="175"/>
      <c r="Q18" s="175"/>
      <c r="R18" s="175"/>
      <c r="S18" s="175"/>
      <c r="T18" s="175"/>
      <c r="U18" s="175"/>
      <c r="V18" s="175"/>
      <c r="W18" s="176"/>
      <c r="X18" s="248" t="s">
        <v>243</v>
      </c>
      <c r="Y18" s="175"/>
      <c r="Z18" s="175"/>
      <c r="AA18" s="175"/>
      <c r="AB18" s="175"/>
      <c r="AC18" s="175"/>
      <c r="AD18" s="175"/>
      <c r="AE18" s="175"/>
      <c r="AF18" s="175"/>
      <c r="AG18" s="175"/>
      <c r="AH18" s="176"/>
      <c r="AI18" s="170" t="s">
        <v>244</v>
      </c>
      <c r="AJ18" s="175"/>
      <c r="AK18" s="175"/>
      <c r="AL18" s="175"/>
      <c r="AM18" s="175"/>
      <c r="AN18" s="175"/>
      <c r="AO18" s="175"/>
      <c r="AP18" s="175"/>
      <c r="AQ18" s="175"/>
      <c r="AR18" s="175"/>
      <c r="AS18" s="175"/>
      <c r="AT18" s="176"/>
      <c r="AU18" s="172" t="s">
        <v>245</v>
      </c>
      <c r="AV18" s="175"/>
      <c r="AW18" s="175"/>
      <c r="AX18" s="175"/>
      <c r="AY18" s="175"/>
      <c r="AZ18" s="175"/>
      <c r="BA18" s="175"/>
      <c r="BB18" s="175"/>
      <c r="BC18" s="175"/>
      <c r="BD18" s="175"/>
      <c r="BE18" s="175"/>
      <c r="BF18" s="254"/>
    </row>
    <row r="19" spans="2:58" ht="13" customHeight="1" x14ac:dyDescent="0.25">
      <c r="B19" s="229"/>
      <c r="C19" s="230"/>
      <c r="D19" s="230"/>
      <c r="E19" s="230"/>
      <c r="F19" s="230"/>
      <c r="G19" s="230"/>
      <c r="H19" s="230"/>
      <c r="I19" s="230"/>
      <c r="J19" s="230"/>
      <c r="K19" s="230"/>
      <c r="L19" s="231"/>
      <c r="M19" s="247"/>
      <c r="N19" s="230"/>
      <c r="O19" s="230"/>
      <c r="P19" s="230"/>
      <c r="Q19" s="230"/>
      <c r="R19" s="230"/>
      <c r="S19" s="230"/>
      <c r="T19" s="230"/>
      <c r="U19" s="230"/>
      <c r="V19" s="230"/>
      <c r="W19" s="231"/>
      <c r="X19" s="264"/>
      <c r="Y19" s="230"/>
      <c r="Z19" s="230"/>
      <c r="AA19" s="230"/>
      <c r="AB19" s="230"/>
      <c r="AC19" s="230"/>
      <c r="AD19" s="230"/>
      <c r="AE19" s="230"/>
      <c r="AF19" s="230"/>
      <c r="AG19" s="230"/>
      <c r="AH19" s="231"/>
      <c r="AI19" s="241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1"/>
      <c r="AU19" s="246"/>
      <c r="AV19" s="230"/>
      <c r="AW19" s="230"/>
      <c r="AX19" s="230"/>
      <c r="AY19" s="230"/>
      <c r="AZ19" s="230"/>
      <c r="BA19" s="230"/>
      <c r="BB19" s="230"/>
      <c r="BC19" s="230"/>
      <c r="BD19" s="230"/>
      <c r="BE19" s="230"/>
      <c r="BF19" s="243"/>
    </row>
    <row r="20" spans="2:58" ht="13" customHeight="1" x14ac:dyDescent="0.25">
      <c r="B20" s="232"/>
      <c r="C20" s="233"/>
      <c r="D20" s="233"/>
      <c r="E20" s="233"/>
      <c r="F20" s="233"/>
      <c r="G20" s="233"/>
      <c r="H20" s="233"/>
      <c r="I20" s="233"/>
      <c r="J20" s="233"/>
      <c r="K20" s="233"/>
      <c r="L20" s="234"/>
      <c r="M20" s="238"/>
      <c r="N20" s="233"/>
      <c r="O20" s="233"/>
      <c r="P20" s="233"/>
      <c r="Q20" s="233"/>
      <c r="R20" s="233"/>
      <c r="S20" s="233"/>
      <c r="T20" s="233"/>
      <c r="U20" s="233"/>
      <c r="V20" s="233"/>
      <c r="W20" s="234"/>
      <c r="X20" s="238"/>
      <c r="Y20" s="233"/>
      <c r="Z20" s="233"/>
      <c r="AA20" s="233"/>
      <c r="AB20" s="233"/>
      <c r="AC20" s="233"/>
      <c r="AD20" s="233"/>
      <c r="AE20" s="233"/>
      <c r="AF20" s="233"/>
      <c r="AG20" s="233"/>
      <c r="AH20" s="234"/>
      <c r="AI20" s="238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4"/>
      <c r="AU20" s="238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44"/>
    </row>
    <row r="21" spans="2:58" ht="13" customHeight="1" x14ac:dyDescent="0.25">
      <c r="B21" s="232"/>
      <c r="C21" s="233"/>
      <c r="D21" s="233"/>
      <c r="E21" s="233"/>
      <c r="F21" s="233"/>
      <c r="G21" s="233"/>
      <c r="H21" s="233"/>
      <c r="I21" s="233"/>
      <c r="J21" s="233"/>
      <c r="K21" s="233"/>
      <c r="L21" s="234"/>
      <c r="M21" s="238"/>
      <c r="N21" s="233"/>
      <c r="O21" s="233"/>
      <c r="P21" s="233"/>
      <c r="Q21" s="233"/>
      <c r="R21" s="233"/>
      <c r="S21" s="233"/>
      <c r="T21" s="233"/>
      <c r="U21" s="233"/>
      <c r="V21" s="233"/>
      <c r="W21" s="234"/>
      <c r="X21" s="238"/>
      <c r="Y21" s="233"/>
      <c r="Z21" s="233"/>
      <c r="AA21" s="233"/>
      <c r="AB21" s="233"/>
      <c r="AC21" s="233"/>
      <c r="AD21" s="233"/>
      <c r="AE21" s="233"/>
      <c r="AF21" s="233"/>
      <c r="AG21" s="233"/>
      <c r="AH21" s="234"/>
      <c r="AI21" s="238"/>
      <c r="AJ21" s="233"/>
      <c r="AK21" s="233"/>
      <c r="AL21" s="233"/>
      <c r="AM21" s="233"/>
      <c r="AN21" s="233"/>
      <c r="AO21" s="233"/>
      <c r="AP21" s="233"/>
      <c r="AQ21" s="233"/>
      <c r="AR21" s="233"/>
      <c r="AS21" s="233"/>
      <c r="AT21" s="234"/>
      <c r="AU21" s="238"/>
      <c r="AV21" s="233"/>
      <c r="AW21" s="233"/>
      <c r="AX21" s="233"/>
      <c r="AY21" s="233"/>
      <c r="AZ21" s="233"/>
      <c r="BA21" s="233"/>
      <c r="BB21" s="233"/>
      <c r="BC21" s="233"/>
      <c r="BD21" s="233"/>
      <c r="BE21" s="233"/>
      <c r="BF21" s="244"/>
    </row>
    <row r="22" spans="2:58" ht="13" customHeight="1" x14ac:dyDescent="0.25">
      <c r="B22" s="232"/>
      <c r="C22" s="233"/>
      <c r="D22" s="233"/>
      <c r="E22" s="233"/>
      <c r="F22" s="233"/>
      <c r="G22" s="233"/>
      <c r="H22" s="233"/>
      <c r="I22" s="233"/>
      <c r="J22" s="233"/>
      <c r="K22" s="233"/>
      <c r="L22" s="234"/>
      <c r="M22" s="238"/>
      <c r="N22" s="233"/>
      <c r="O22" s="233"/>
      <c r="P22" s="233"/>
      <c r="Q22" s="233"/>
      <c r="R22" s="233"/>
      <c r="S22" s="233"/>
      <c r="T22" s="233"/>
      <c r="U22" s="233"/>
      <c r="V22" s="233"/>
      <c r="W22" s="234"/>
      <c r="X22" s="238"/>
      <c r="Y22" s="233"/>
      <c r="Z22" s="233"/>
      <c r="AA22" s="233"/>
      <c r="AB22" s="233"/>
      <c r="AC22" s="233"/>
      <c r="AD22" s="233"/>
      <c r="AE22" s="233"/>
      <c r="AF22" s="233"/>
      <c r="AG22" s="233"/>
      <c r="AH22" s="234"/>
      <c r="AI22" s="238"/>
      <c r="AJ22" s="233"/>
      <c r="AK22" s="233"/>
      <c r="AL22" s="233"/>
      <c r="AM22" s="233"/>
      <c r="AN22" s="233"/>
      <c r="AO22" s="233"/>
      <c r="AP22" s="233"/>
      <c r="AQ22" s="233"/>
      <c r="AR22" s="233"/>
      <c r="AS22" s="233"/>
      <c r="AT22" s="234"/>
      <c r="AU22" s="238"/>
      <c r="AV22" s="233"/>
      <c r="AW22" s="233"/>
      <c r="AX22" s="233"/>
      <c r="AY22" s="233"/>
      <c r="AZ22" s="233"/>
      <c r="BA22" s="233"/>
      <c r="BB22" s="233"/>
      <c r="BC22" s="233"/>
      <c r="BD22" s="233"/>
      <c r="BE22" s="233"/>
      <c r="BF22" s="244"/>
    </row>
    <row r="23" spans="2:58" ht="13" customHeight="1" x14ac:dyDescent="0.25">
      <c r="B23" s="232"/>
      <c r="C23" s="233"/>
      <c r="D23" s="233"/>
      <c r="E23" s="233"/>
      <c r="F23" s="233"/>
      <c r="G23" s="233"/>
      <c r="H23" s="233"/>
      <c r="I23" s="233"/>
      <c r="J23" s="233"/>
      <c r="K23" s="233"/>
      <c r="L23" s="234"/>
      <c r="M23" s="238"/>
      <c r="N23" s="233"/>
      <c r="O23" s="233"/>
      <c r="P23" s="233"/>
      <c r="Q23" s="233"/>
      <c r="R23" s="233"/>
      <c r="S23" s="233"/>
      <c r="T23" s="233"/>
      <c r="U23" s="233"/>
      <c r="V23" s="233"/>
      <c r="W23" s="234"/>
      <c r="X23" s="238"/>
      <c r="Y23" s="233"/>
      <c r="Z23" s="233"/>
      <c r="AA23" s="233"/>
      <c r="AB23" s="233"/>
      <c r="AC23" s="233"/>
      <c r="AD23" s="233"/>
      <c r="AE23" s="233"/>
      <c r="AF23" s="233"/>
      <c r="AG23" s="233"/>
      <c r="AH23" s="234"/>
      <c r="AI23" s="238"/>
      <c r="AJ23" s="233"/>
      <c r="AK23" s="233"/>
      <c r="AL23" s="233"/>
      <c r="AM23" s="233"/>
      <c r="AN23" s="233"/>
      <c r="AO23" s="233"/>
      <c r="AP23" s="233"/>
      <c r="AQ23" s="233"/>
      <c r="AR23" s="233"/>
      <c r="AS23" s="233"/>
      <c r="AT23" s="234"/>
      <c r="AU23" s="238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44"/>
    </row>
    <row r="24" spans="2:58" ht="13" customHeight="1" x14ac:dyDescent="0.25">
      <c r="B24" s="235"/>
      <c r="C24" s="236"/>
      <c r="D24" s="236"/>
      <c r="E24" s="236"/>
      <c r="F24" s="236"/>
      <c r="G24" s="236"/>
      <c r="H24" s="236"/>
      <c r="I24" s="236"/>
      <c r="J24" s="236"/>
      <c r="K24" s="236"/>
      <c r="L24" s="222"/>
      <c r="M24" s="239"/>
      <c r="N24" s="236"/>
      <c r="O24" s="236"/>
      <c r="P24" s="236"/>
      <c r="Q24" s="236"/>
      <c r="R24" s="236"/>
      <c r="S24" s="236"/>
      <c r="T24" s="236"/>
      <c r="U24" s="236"/>
      <c r="V24" s="236"/>
      <c r="W24" s="222"/>
      <c r="X24" s="239"/>
      <c r="Y24" s="236"/>
      <c r="Z24" s="236"/>
      <c r="AA24" s="236"/>
      <c r="AB24" s="236"/>
      <c r="AC24" s="236"/>
      <c r="AD24" s="236"/>
      <c r="AE24" s="236"/>
      <c r="AF24" s="236"/>
      <c r="AG24" s="236"/>
      <c r="AH24" s="222"/>
      <c r="AI24" s="239"/>
      <c r="AJ24" s="236"/>
      <c r="AK24" s="236"/>
      <c r="AL24" s="236"/>
      <c r="AM24" s="236"/>
      <c r="AN24" s="236"/>
      <c r="AO24" s="236"/>
      <c r="AP24" s="236"/>
      <c r="AQ24" s="236"/>
      <c r="AR24" s="236"/>
      <c r="AS24" s="236"/>
      <c r="AT24" s="222"/>
      <c r="AU24" s="239"/>
      <c r="AV24" s="236"/>
      <c r="AW24" s="236"/>
      <c r="AX24" s="236"/>
      <c r="AY24" s="236"/>
      <c r="AZ24" s="236"/>
      <c r="BA24" s="236"/>
      <c r="BB24" s="236"/>
      <c r="BC24" s="236"/>
      <c r="BD24" s="236"/>
      <c r="BE24" s="236"/>
      <c r="BF24" s="245"/>
    </row>
    <row r="25" spans="2:58" ht="13" customHeight="1" x14ac:dyDescent="0.25">
      <c r="B25" s="249" t="s">
        <v>246</v>
      </c>
      <c r="C25" s="175"/>
      <c r="D25" s="175"/>
      <c r="E25" s="175"/>
      <c r="F25" s="175"/>
      <c r="G25" s="175"/>
      <c r="H25" s="175"/>
      <c r="I25" s="175"/>
      <c r="J25" s="175"/>
      <c r="K25" s="175"/>
      <c r="L25" s="176"/>
      <c r="M25" s="187" t="s">
        <v>247</v>
      </c>
      <c r="N25" s="175"/>
      <c r="O25" s="175"/>
      <c r="P25" s="175"/>
      <c r="Q25" s="175"/>
      <c r="R25" s="175"/>
      <c r="S25" s="175"/>
      <c r="T25" s="175"/>
      <c r="U25" s="175"/>
      <c r="V25" s="175"/>
      <c r="W25" s="176"/>
      <c r="X25" s="253" t="s">
        <v>248</v>
      </c>
      <c r="Y25" s="175"/>
      <c r="Z25" s="175"/>
      <c r="AA25" s="175"/>
      <c r="AB25" s="175"/>
      <c r="AC25" s="175"/>
      <c r="AD25" s="175"/>
      <c r="AE25" s="175"/>
      <c r="AF25" s="175"/>
      <c r="AG25" s="175"/>
      <c r="AH25" s="176"/>
      <c r="AI25" s="172" t="s">
        <v>249</v>
      </c>
      <c r="AJ25" s="175"/>
      <c r="AK25" s="175"/>
      <c r="AL25" s="175"/>
      <c r="AM25" s="175"/>
      <c r="AN25" s="175"/>
      <c r="AO25" s="175"/>
      <c r="AP25" s="175"/>
      <c r="AQ25" s="175"/>
      <c r="AR25" s="175"/>
      <c r="AS25" s="175"/>
      <c r="AT25" s="176"/>
      <c r="AU25" s="172" t="s">
        <v>250</v>
      </c>
      <c r="AV25" s="175"/>
      <c r="AW25" s="175"/>
      <c r="AX25" s="175"/>
      <c r="AY25" s="175"/>
      <c r="AZ25" s="175"/>
      <c r="BA25" s="175"/>
      <c r="BB25" s="175"/>
      <c r="BC25" s="175"/>
      <c r="BD25" s="175"/>
      <c r="BE25" s="175"/>
      <c r="BF25" s="254"/>
    </row>
    <row r="26" spans="2:58" ht="13" customHeight="1" x14ac:dyDescent="0.25">
      <c r="B26" s="229"/>
      <c r="C26" s="230"/>
      <c r="D26" s="230"/>
      <c r="E26" s="230"/>
      <c r="F26" s="230"/>
      <c r="G26" s="230"/>
      <c r="H26" s="230"/>
      <c r="I26" s="230"/>
      <c r="J26" s="230"/>
      <c r="K26" s="230"/>
      <c r="L26" s="231"/>
      <c r="M26" s="251"/>
      <c r="N26" s="230"/>
      <c r="O26" s="230"/>
      <c r="P26" s="230"/>
      <c r="Q26" s="230"/>
      <c r="R26" s="230"/>
      <c r="S26" s="230"/>
      <c r="T26" s="230"/>
      <c r="U26" s="230"/>
      <c r="V26" s="230"/>
      <c r="W26" s="231"/>
      <c r="X26" s="240"/>
      <c r="Y26" s="230"/>
      <c r="Z26" s="230"/>
      <c r="AA26" s="230"/>
      <c r="AB26" s="230"/>
      <c r="AC26" s="230"/>
      <c r="AD26" s="230"/>
      <c r="AE26" s="230"/>
      <c r="AF26" s="230"/>
      <c r="AG26" s="230"/>
      <c r="AH26" s="231"/>
      <c r="AI26" s="246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1"/>
      <c r="AU26" s="246"/>
      <c r="AV26" s="230"/>
      <c r="AW26" s="230"/>
      <c r="AX26" s="230"/>
      <c r="AY26" s="230"/>
      <c r="AZ26" s="230"/>
      <c r="BA26" s="230"/>
      <c r="BB26" s="230"/>
      <c r="BC26" s="230"/>
      <c r="BD26" s="230"/>
      <c r="BE26" s="230"/>
      <c r="BF26" s="243"/>
    </row>
    <row r="27" spans="2:58" ht="13" customHeight="1" x14ac:dyDescent="0.25">
      <c r="B27" s="232"/>
      <c r="C27" s="233"/>
      <c r="D27" s="233"/>
      <c r="E27" s="233"/>
      <c r="F27" s="233"/>
      <c r="G27" s="233"/>
      <c r="H27" s="233"/>
      <c r="I27" s="233"/>
      <c r="J27" s="233"/>
      <c r="K27" s="233"/>
      <c r="L27" s="234"/>
      <c r="M27" s="238"/>
      <c r="N27" s="233"/>
      <c r="O27" s="233"/>
      <c r="P27" s="233"/>
      <c r="Q27" s="233"/>
      <c r="R27" s="233"/>
      <c r="S27" s="233"/>
      <c r="T27" s="233"/>
      <c r="U27" s="233"/>
      <c r="V27" s="233"/>
      <c r="W27" s="234"/>
      <c r="X27" s="238"/>
      <c r="Y27" s="233"/>
      <c r="Z27" s="233"/>
      <c r="AA27" s="233"/>
      <c r="AB27" s="233"/>
      <c r="AC27" s="233"/>
      <c r="AD27" s="233"/>
      <c r="AE27" s="233"/>
      <c r="AF27" s="233"/>
      <c r="AG27" s="233"/>
      <c r="AH27" s="234"/>
      <c r="AI27" s="238"/>
      <c r="AJ27" s="233"/>
      <c r="AK27" s="233"/>
      <c r="AL27" s="233"/>
      <c r="AM27" s="233"/>
      <c r="AN27" s="233"/>
      <c r="AO27" s="233"/>
      <c r="AP27" s="233"/>
      <c r="AQ27" s="233"/>
      <c r="AR27" s="233"/>
      <c r="AS27" s="233"/>
      <c r="AT27" s="234"/>
      <c r="AU27" s="238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44"/>
    </row>
    <row r="28" spans="2:58" ht="13" customHeight="1" x14ac:dyDescent="0.25">
      <c r="B28" s="232"/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M28" s="238"/>
      <c r="N28" s="233"/>
      <c r="O28" s="233"/>
      <c r="P28" s="233"/>
      <c r="Q28" s="233"/>
      <c r="R28" s="233"/>
      <c r="S28" s="233"/>
      <c r="T28" s="233"/>
      <c r="U28" s="233"/>
      <c r="V28" s="233"/>
      <c r="W28" s="234"/>
      <c r="X28" s="238"/>
      <c r="Y28" s="233"/>
      <c r="Z28" s="233"/>
      <c r="AA28" s="233"/>
      <c r="AB28" s="233"/>
      <c r="AC28" s="233"/>
      <c r="AD28" s="233"/>
      <c r="AE28" s="233"/>
      <c r="AF28" s="233"/>
      <c r="AG28" s="233"/>
      <c r="AH28" s="234"/>
      <c r="AI28" s="238"/>
      <c r="AJ28" s="233"/>
      <c r="AK28" s="233"/>
      <c r="AL28" s="233"/>
      <c r="AM28" s="233"/>
      <c r="AN28" s="233"/>
      <c r="AO28" s="233"/>
      <c r="AP28" s="233"/>
      <c r="AQ28" s="233"/>
      <c r="AR28" s="233"/>
      <c r="AS28" s="233"/>
      <c r="AT28" s="234"/>
      <c r="AU28" s="238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44"/>
    </row>
    <row r="29" spans="2:58" ht="13" customHeight="1" x14ac:dyDescent="0.2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M29" s="238"/>
      <c r="N29" s="233"/>
      <c r="O29" s="233"/>
      <c r="P29" s="233"/>
      <c r="Q29" s="233"/>
      <c r="R29" s="233"/>
      <c r="S29" s="233"/>
      <c r="T29" s="233"/>
      <c r="U29" s="233"/>
      <c r="V29" s="233"/>
      <c r="W29" s="234"/>
      <c r="X29" s="238"/>
      <c r="Y29" s="233"/>
      <c r="Z29" s="233"/>
      <c r="AA29" s="233"/>
      <c r="AB29" s="233"/>
      <c r="AC29" s="233"/>
      <c r="AD29" s="233"/>
      <c r="AE29" s="233"/>
      <c r="AF29" s="233"/>
      <c r="AG29" s="233"/>
      <c r="AH29" s="234"/>
      <c r="AI29" s="238"/>
      <c r="AJ29" s="233"/>
      <c r="AK29" s="233"/>
      <c r="AL29" s="233"/>
      <c r="AM29" s="233"/>
      <c r="AN29" s="233"/>
      <c r="AO29" s="233"/>
      <c r="AP29" s="233"/>
      <c r="AQ29" s="233"/>
      <c r="AR29" s="233"/>
      <c r="AS29" s="233"/>
      <c r="AT29" s="234"/>
      <c r="AU29" s="238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44"/>
    </row>
    <row r="30" spans="2:58" ht="13" customHeight="1" x14ac:dyDescent="0.2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M30" s="238"/>
      <c r="N30" s="233"/>
      <c r="O30" s="233"/>
      <c r="P30" s="233"/>
      <c r="Q30" s="233"/>
      <c r="R30" s="233"/>
      <c r="S30" s="233"/>
      <c r="T30" s="233"/>
      <c r="U30" s="233"/>
      <c r="V30" s="233"/>
      <c r="W30" s="234"/>
      <c r="X30" s="238"/>
      <c r="Y30" s="233"/>
      <c r="Z30" s="233"/>
      <c r="AA30" s="233"/>
      <c r="AB30" s="233"/>
      <c r="AC30" s="233"/>
      <c r="AD30" s="233"/>
      <c r="AE30" s="233"/>
      <c r="AF30" s="233"/>
      <c r="AG30" s="233"/>
      <c r="AH30" s="234"/>
      <c r="AI30" s="238"/>
      <c r="AJ30" s="233"/>
      <c r="AK30" s="233"/>
      <c r="AL30" s="233"/>
      <c r="AM30" s="233"/>
      <c r="AN30" s="233"/>
      <c r="AO30" s="233"/>
      <c r="AP30" s="233"/>
      <c r="AQ30" s="233"/>
      <c r="AR30" s="233"/>
      <c r="AS30" s="233"/>
      <c r="AT30" s="234"/>
      <c r="AU30" s="238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44"/>
    </row>
    <row r="31" spans="2:58" ht="13" customHeight="1" x14ac:dyDescent="0.2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22"/>
      <c r="M31" s="239"/>
      <c r="N31" s="236"/>
      <c r="O31" s="236"/>
      <c r="P31" s="236"/>
      <c r="Q31" s="236"/>
      <c r="R31" s="236"/>
      <c r="S31" s="236"/>
      <c r="T31" s="236"/>
      <c r="U31" s="236"/>
      <c r="V31" s="236"/>
      <c r="W31" s="222"/>
      <c r="X31" s="239"/>
      <c r="Y31" s="236"/>
      <c r="Z31" s="236"/>
      <c r="AA31" s="236"/>
      <c r="AB31" s="236"/>
      <c r="AC31" s="236"/>
      <c r="AD31" s="236"/>
      <c r="AE31" s="236"/>
      <c r="AF31" s="236"/>
      <c r="AG31" s="236"/>
      <c r="AH31" s="222"/>
      <c r="AI31" s="239"/>
      <c r="AJ31" s="236"/>
      <c r="AK31" s="236"/>
      <c r="AL31" s="236"/>
      <c r="AM31" s="236"/>
      <c r="AN31" s="236"/>
      <c r="AO31" s="236"/>
      <c r="AP31" s="236"/>
      <c r="AQ31" s="236"/>
      <c r="AR31" s="236"/>
      <c r="AS31" s="236"/>
      <c r="AT31" s="222"/>
      <c r="AU31" s="239"/>
      <c r="AV31" s="236"/>
      <c r="AW31" s="236"/>
      <c r="AX31" s="236"/>
      <c r="AY31" s="236"/>
      <c r="AZ31" s="236"/>
      <c r="BA31" s="236"/>
      <c r="BB31" s="236"/>
      <c r="BC31" s="236"/>
      <c r="BD31" s="236"/>
      <c r="BE31" s="236"/>
      <c r="BF31" s="245"/>
    </row>
    <row r="32" spans="2:58" ht="13" customHeight="1" x14ac:dyDescent="0.25">
      <c r="B32" s="249" t="s">
        <v>251</v>
      </c>
      <c r="C32" s="175"/>
      <c r="D32" s="175"/>
      <c r="E32" s="175"/>
      <c r="F32" s="175"/>
      <c r="G32" s="175"/>
      <c r="H32" s="175"/>
      <c r="I32" s="175"/>
      <c r="J32" s="175"/>
      <c r="K32" s="175"/>
      <c r="L32" s="176"/>
      <c r="M32" s="252" t="s">
        <v>252</v>
      </c>
      <c r="N32" s="175"/>
      <c r="O32" s="175"/>
      <c r="P32" s="175"/>
      <c r="Q32" s="175"/>
      <c r="R32" s="175"/>
      <c r="S32" s="175"/>
      <c r="T32" s="175"/>
      <c r="U32" s="175"/>
      <c r="V32" s="175"/>
      <c r="W32" s="176"/>
      <c r="X32" s="253" t="s">
        <v>253</v>
      </c>
      <c r="Y32" s="175"/>
      <c r="Z32" s="175"/>
      <c r="AA32" s="175"/>
      <c r="AB32" s="175"/>
      <c r="AC32" s="175"/>
      <c r="AD32" s="175"/>
      <c r="AE32" s="175"/>
      <c r="AF32" s="175"/>
      <c r="AG32" s="175"/>
      <c r="AH32" s="176"/>
      <c r="AI32" s="172" t="s">
        <v>254</v>
      </c>
      <c r="AJ32" s="175"/>
      <c r="AK32" s="175"/>
      <c r="AL32" s="175"/>
      <c r="AM32" s="175"/>
      <c r="AN32" s="175"/>
      <c r="AO32" s="175"/>
      <c r="AP32" s="175"/>
      <c r="AQ32" s="175"/>
      <c r="AR32" s="175"/>
      <c r="AS32" s="175"/>
      <c r="AT32" s="176"/>
      <c r="AU32" s="172" t="s">
        <v>255</v>
      </c>
      <c r="AV32" s="175"/>
      <c r="AW32" s="175"/>
      <c r="AX32" s="175"/>
      <c r="AY32" s="175"/>
      <c r="AZ32" s="175"/>
      <c r="BA32" s="175"/>
      <c r="BB32" s="175"/>
      <c r="BC32" s="175"/>
      <c r="BD32" s="175"/>
      <c r="BE32" s="175"/>
      <c r="BF32" s="254"/>
    </row>
    <row r="33" spans="2:58" ht="13" customHeight="1" x14ac:dyDescent="0.2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37"/>
      <c r="N33" s="230"/>
      <c r="O33" s="230"/>
      <c r="P33" s="230"/>
      <c r="Q33" s="230"/>
      <c r="R33" s="230"/>
      <c r="S33" s="230"/>
      <c r="T33" s="230"/>
      <c r="U33" s="230"/>
      <c r="V33" s="230"/>
      <c r="W33" s="231"/>
      <c r="X33" s="240"/>
      <c r="Y33" s="230"/>
      <c r="Z33" s="230"/>
      <c r="AA33" s="230"/>
      <c r="AB33" s="230"/>
      <c r="AC33" s="230"/>
      <c r="AD33" s="230"/>
      <c r="AE33" s="230"/>
      <c r="AF33" s="230"/>
      <c r="AG33" s="230"/>
      <c r="AH33" s="231"/>
      <c r="AI33" s="246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1"/>
      <c r="AU33" s="246"/>
      <c r="AV33" s="230"/>
      <c r="AW33" s="230"/>
      <c r="AX33" s="230"/>
      <c r="AY33" s="230"/>
      <c r="AZ33" s="230"/>
      <c r="BA33" s="230"/>
      <c r="BB33" s="230"/>
      <c r="BC33" s="230"/>
      <c r="BD33" s="230"/>
      <c r="BE33" s="230"/>
      <c r="BF33" s="243"/>
    </row>
    <row r="34" spans="2:58" ht="13" customHeight="1" x14ac:dyDescent="0.25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238"/>
      <c r="N34" s="233"/>
      <c r="O34" s="233"/>
      <c r="P34" s="233"/>
      <c r="Q34" s="233"/>
      <c r="R34" s="233"/>
      <c r="S34" s="233"/>
      <c r="T34" s="233"/>
      <c r="U34" s="233"/>
      <c r="V34" s="233"/>
      <c r="W34" s="234"/>
      <c r="X34" s="238"/>
      <c r="Y34" s="233"/>
      <c r="Z34" s="233"/>
      <c r="AA34" s="233"/>
      <c r="AB34" s="233"/>
      <c r="AC34" s="233"/>
      <c r="AD34" s="233"/>
      <c r="AE34" s="233"/>
      <c r="AF34" s="233"/>
      <c r="AG34" s="233"/>
      <c r="AH34" s="234"/>
      <c r="AI34" s="238"/>
      <c r="AJ34" s="233"/>
      <c r="AK34" s="233"/>
      <c r="AL34" s="233"/>
      <c r="AM34" s="233"/>
      <c r="AN34" s="233"/>
      <c r="AO34" s="233"/>
      <c r="AP34" s="233"/>
      <c r="AQ34" s="233"/>
      <c r="AR34" s="233"/>
      <c r="AS34" s="233"/>
      <c r="AT34" s="234"/>
      <c r="AU34" s="238"/>
      <c r="AV34" s="233"/>
      <c r="AW34" s="233"/>
      <c r="AX34" s="233"/>
      <c r="AY34" s="233"/>
      <c r="AZ34" s="233"/>
      <c r="BA34" s="233"/>
      <c r="BB34" s="233"/>
      <c r="BC34" s="233"/>
      <c r="BD34" s="233"/>
      <c r="BE34" s="233"/>
      <c r="BF34" s="244"/>
    </row>
    <row r="35" spans="2:58" ht="13" customHeight="1" x14ac:dyDescent="0.25">
      <c r="B35" s="232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38"/>
      <c r="N35" s="233"/>
      <c r="O35" s="233"/>
      <c r="P35" s="233"/>
      <c r="Q35" s="233"/>
      <c r="R35" s="233"/>
      <c r="S35" s="233"/>
      <c r="T35" s="233"/>
      <c r="U35" s="233"/>
      <c r="V35" s="233"/>
      <c r="W35" s="234"/>
      <c r="X35" s="238"/>
      <c r="Y35" s="233"/>
      <c r="Z35" s="233"/>
      <c r="AA35" s="233"/>
      <c r="AB35" s="233"/>
      <c r="AC35" s="233"/>
      <c r="AD35" s="233"/>
      <c r="AE35" s="233"/>
      <c r="AF35" s="233"/>
      <c r="AG35" s="233"/>
      <c r="AH35" s="234"/>
      <c r="AI35" s="238"/>
      <c r="AJ35" s="233"/>
      <c r="AK35" s="233"/>
      <c r="AL35" s="233"/>
      <c r="AM35" s="233"/>
      <c r="AN35" s="233"/>
      <c r="AO35" s="233"/>
      <c r="AP35" s="233"/>
      <c r="AQ35" s="233"/>
      <c r="AR35" s="233"/>
      <c r="AS35" s="233"/>
      <c r="AT35" s="234"/>
      <c r="AU35" s="238"/>
      <c r="AV35" s="233"/>
      <c r="AW35" s="233"/>
      <c r="AX35" s="233"/>
      <c r="AY35" s="233"/>
      <c r="AZ35" s="233"/>
      <c r="BA35" s="233"/>
      <c r="BB35" s="233"/>
      <c r="BC35" s="233"/>
      <c r="BD35" s="233"/>
      <c r="BE35" s="233"/>
      <c r="BF35" s="244"/>
    </row>
    <row r="36" spans="2:58" ht="13" customHeight="1" x14ac:dyDescent="0.2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38"/>
      <c r="N36" s="233"/>
      <c r="O36" s="233"/>
      <c r="P36" s="233"/>
      <c r="Q36" s="233"/>
      <c r="R36" s="233"/>
      <c r="S36" s="233"/>
      <c r="T36" s="233"/>
      <c r="U36" s="233"/>
      <c r="V36" s="233"/>
      <c r="W36" s="234"/>
      <c r="X36" s="238"/>
      <c r="Y36" s="233"/>
      <c r="Z36" s="233"/>
      <c r="AA36" s="233"/>
      <c r="AB36" s="233"/>
      <c r="AC36" s="233"/>
      <c r="AD36" s="233"/>
      <c r="AE36" s="233"/>
      <c r="AF36" s="233"/>
      <c r="AG36" s="233"/>
      <c r="AH36" s="234"/>
      <c r="AI36" s="238"/>
      <c r="AJ36" s="233"/>
      <c r="AK36" s="233"/>
      <c r="AL36" s="233"/>
      <c r="AM36" s="233"/>
      <c r="AN36" s="233"/>
      <c r="AO36" s="233"/>
      <c r="AP36" s="233"/>
      <c r="AQ36" s="233"/>
      <c r="AR36" s="233"/>
      <c r="AS36" s="233"/>
      <c r="AT36" s="234"/>
      <c r="AU36" s="238"/>
      <c r="AV36" s="233"/>
      <c r="AW36" s="233"/>
      <c r="AX36" s="233"/>
      <c r="AY36" s="233"/>
      <c r="AZ36" s="233"/>
      <c r="BA36" s="233"/>
      <c r="BB36" s="233"/>
      <c r="BC36" s="233"/>
      <c r="BD36" s="233"/>
      <c r="BE36" s="233"/>
      <c r="BF36" s="244"/>
    </row>
    <row r="37" spans="2:58" ht="13" customHeight="1" x14ac:dyDescent="0.2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38"/>
      <c r="N37" s="233"/>
      <c r="O37" s="233"/>
      <c r="P37" s="233"/>
      <c r="Q37" s="233"/>
      <c r="R37" s="233"/>
      <c r="S37" s="233"/>
      <c r="T37" s="233"/>
      <c r="U37" s="233"/>
      <c r="V37" s="233"/>
      <c r="W37" s="234"/>
      <c r="X37" s="238"/>
      <c r="Y37" s="233"/>
      <c r="Z37" s="233"/>
      <c r="AA37" s="233"/>
      <c r="AB37" s="233"/>
      <c r="AC37" s="233"/>
      <c r="AD37" s="233"/>
      <c r="AE37" s="233"/>
      <c r="AF37" s="233"/>
      <c r="AG37" s="233"/>
      <c r="AH37" s="234"/>
      <c r="AI37" s="238"/>
      <c r="AJ37" s="233"/>
      <c r="AK37" s="233"/>
      <c r="AL37" s="233"/>
      <c r="AM37" s="233"/>
      <c r="AN37" s="233"/>
      <c r="AO37" s="233"/>
      <c r="AP37" s="233"/>
      <c r="AQ37" s="233"/>
      <c r="AR37" s="233"/>
      <c r="AS37" s="233"/>
      <c r="AT37" s="234"/>
      <c r="AU37" s="238"/>
      <c r="AV37" s="233"/>
      <c r="AW37" s="233"/>
      <c r="AX37" s="233"/>
      <c r="AY37" s="233"/>
      <c r="AZ37" s="233"/>
      <c r="BA37" s="233"/>
      <c r="BB37" s="233"/>
      <c r="BC37" s="233"/>
      <c r="BD37" s="233"/>
      <c r="BE37" s="233"/>
      <c r="BF37" s="244"/>
    </row>
    <row r="38" spans="2:58" ht="13" customHeight="1" x14ac:dyDescent="0.25">
      <c r="B38" s="235"/>
      <c r="C38" s="236"/>
      <c r="D38" s="236"/>
      <c r="E38" s="236"/>
      <c r="F38" s="236"/>
      <c r="G38" s="236"/>
      <c r="H38" s="236"/>
      <c r="I38" s="236"/>
      <c r="J38" s="236"/>
      <c r="K38" s="236"/>
      <c r="L38" s="222"/>
      <c r="M38" s="239"/>
      <c r="N38" s="236"/>
      <c r="O38" s="236"/>
      <c r="P38" s="236"/>
      <c r="Q38" s="236"/>
      <c r="R38" s="236"/>
      <c r="S38" s="236"/>
      <c r="T38" s="236"/>
      <c r="U38" s="236"/>
      <c r="V38" s="236"/>
      <c r="W38" s="222"/>
      <c r="X38" s="239"/>
      <c r="Y38" s="236"/>
      <c r="Z38" s="236"/>
      <c r="AA38" s="236"/>
      <c r="AB38" s="236"/>
      <c r="AC38" s="236"/>
      <c r="AD38" s="236"/>
      <c r="AE38" s="236"/>
      <c r="AF38" s="236"/>
      <c r="AG38" s="236"/>
      <c r="AH38" s="222"/>
      <c r="AI38" s="239"/>
      <c r="AJ38" s="236"/>
      <c r="AK38" s="236"/>
      <c r="AL38" s="236"/>
      <c r="AM38" s="236"/>
      <c r="AN38" s="236"/>
      <c r="AO38" s="236"/>
      <c r="AP38" s="236"/>
      <c r="AQ38" s="236"/>
      <c r="AR38" s="236"/>
      <c r="AS38" s="236"/>
      <c r="AT38" s="222"/>
      <c r="AU38" s="239"/>
      <c r="AV38" s="236"/>
      <c r="AW38" s="236"/>
      <c r="AX38" s="236"/>
      <c r="AY38" s="236"/>
      <c r="AZ38" s="236"/>
      <c r="BA38" s="236"/>
      <c r="BB38" s="236"/>
      <c r="BC38" s="236"/>
      <c r="BD38" s="236"/>
      <c r="BE38" s="236"/>
      <c r="BF38" s="245"/>
    </row>
    <row r="39" spans="2:58" ht="13" customHeight="1" x14ac:dyDescent="0.25">
      <c r="B39" s="249" t="s">
        <v>256</v>
      </c>
      <c r="C39" s="175"/>
      <c r="D39" s="175"/>
      <c r="E39" s="175"/>
      <c r="F39" s="175"/>
      <c r="G39" s="175"/>
      <c r="H39" s="175"/>
      <c r="I39" s="175"/>
      <c r="J39" s="175"/>
      <c r="K39" s="175"/>
      <c r="L39" s="176"/>
      <c r="M39" s="252" t="s">
        <v>257</v>
      </c>
      <c r="N39" s="175"/>
      <c r="O39" s="175"/>
      <c r="P39" s="175"/>
      <c r="Q39" s="175"/>
      <c r="R39" s="175"/>
      <c r="S39" s="175"/>
      <c r="T39" s="175"/>
      <c r="U39" s="175"/>
      <c r="V39" s="175"/>
      <c r="W39" s="176"/>
      <c r="X39" s="253" t="s">
        <v>258</v>
      </c>
      <c r="Y39" s="175"/>
      <c r="Z39" s="175"/>
      <c r="AA39" s="175"/>
      <c r="AB39" s="175"/>
      <c r="AC39" s="175"/>
      <c r="AD39" s="175"/>
      <c r="AE39" s="175"/>
      <c r="AF39" s="175"/>
      <c r="AG39" s="175"/>
      <c r="AH39" s="176"/>
      <c r="AI39" s="172" t="s">
        <v>259</v>
      </c>
      <c r="AJ39" s="175"/>
      <c r="AK39" s="175"/>
      <c r="AL39" s="175"/>
      <c r="AM39" s="175"/>
      <c r="AN39" s="175"/>
      <c r="AO39" s="175"/>
      <c r="AP39" s="175"/>
      <c r="AQ39" s="175"/>
      <c r="AR39" s="175"/>
      <c r="AS39" s="175"/>
      <c r="AT39" s="176"/>
      <c r="AU39" s="172" t="s">
        <v>260</v>
      </c>
      <c r="AV39" s="175"/>
      <c r="AW39" s="175"/>
      <c r="AX39" s="175"/>
      <c r="AY39" s="175"/>
      <c r="AZ39" s="175"/>
      <c r="BA39" s="175"/>
      <c r="BB39" s="175"/>
      <c r="BC39" s="175"/>
      <c r="BD39" s="175"/>
      <c r="BE39" s="175"/>
      <c r="BF39" s="254"/>
    </row>
    <row r="40" spans="2:58" ht="13" customHeight="1" x14ac:dyDescent="0.25">
      <c r="B40" s="229"/>
      <c r="C40" s="230"/>
      <c r="D40" s="230"/>
      <c r="E40" s="230"/>
      <c r="F40" s="230"/>
      <c r="G40" s="230"/>
      <c r="H40" s="230"/>
      <c r="I40" s="230"/>
      <c r="J40" s="230"/>
      <c r="K40" s="230"/>
      <c r="L40" s="231"/>
      <c r="M40" s="237"/>
      <c r="N40" s="230"/>
      <c r="O40" s="230"/>
      <c r="P40" s="230"/>
      <c r="Q40" s="230"/>
      <c r="R40" s="230"/>
      <c r="S40" s="230"/>
      <c r="T40" s="230"/>
      <c r="U40" s="230"/>
      <c r="V40" s="230"/>
      <c r="W40" s="231"/>
      <c r="X40" s="240"/>
      <c r="Y40" s="230"/>
      <c r="Z40" s="230"/>
      <c r="AA40" s="230"/>
      <c r="AB40" s="230"/>
      <c r="AC40" s="230"/>
      <c r="AD40" s="230"/>
      <c r="AE40" s="230"/>
      <c r="AF40" s="230"/>
      <c r="AG40" s="230"/>
      <c r="AH40" s="231"/>
      <c r="AI40" s="246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1"/>
      <c r="AU40" s="246"/>
      <c r="AV40" s="230"/>
      <c r="AW40" s="230"/>
      <c r="AX40" s="230"/>
      <c r="AY40" s="230"/>
      <c r="AZ40" s="230"/>
      <c r="BA40" s="230"/>
      <c r="BB40" s="230"/>
      <c r="BC40" s="230"/>
      <c r="BD40" s="230"/>
      <c r="BE40" s="230"/>
      <c r="BF40" s="243"/>
    </row>
    <row r="41" spans="2:58" ht="13" customHeight="1" x14ac:dyDescent="0.25">
      <c r="B41" s="232"/>
      <c r="C41" s="233"/>
      <c r="D41" s="233"/>
      <c r="E41" s="233"/>
      <c r="F41" s="233"/>
      <c r="G41" s="233"/>
      <c r="H41" s="233"/>
      <c r="I41" s="233"/>
      <c r="J41" s="233"/>
      <c r="K41" s="233"/>
      <c r="L41" s="234"/>
      <c r="M41" s="238"/>
      <c r="N41" s="233"/>
      <c r="O41" s="233"/>
      <c r="P41" s="233"/>
      <c r="Q41" s="233"/>
      <c r="R41" s="233"/>
      <c r="S41" s="233"/>
      <c r="T41" s="233"/>
      <c r="U41" s="233"/>
      <c r="V41" s="233"/>
      <c r="W41" s="234"/>
      <c r="X41" s="238"/>
      <c r="Y41" s="233"/>
      <c r="Z41" s="233"/>
      <c r="AA41" s="233"/>
      <c r="AB41" s="233"/>
      <c r="AC41" s="233"/>
      <c r="AD41" s="233"/>
      <c r="AE41" s="233"/>
      <c r="AF41" s="233"/>
      <c r="AG41" s="233"/>
      <c r="AH41" s="234"/>
      <c r="AI41" s="238"/>
      <c r="AJ41" s="233"/>
      <c r="AK41" s="233"/>
      <c r="AL41" s="233"/>
      <c r="AM41" s="233"/>
      <c r="AN41" s="233"/>
      <c r="AO41" s="233"/>
      <c r="AP41" s="233"/>
      <c r="AQ41" s="233"/>
      <c r="AR41" s="233"/>
      <c r="AS41" s="233"/>
      <c r="AT41" s="234"/>
      <c r="AU41" s="238"/>
      <c r="AV41" s="233"/>
      <c r="AW41" s="233"/>
      <c r="AX41" s="233"/>
      <c r="AY41" s="233"/>
      <c r="AZ41" s="233"/>
      <c r="BA41" s="233"/>
      <c r="BB41" s="233"/>
      <c r="BC41" s="233"/>
      <c r="BD41" s="233"/>
      <c r="BE41" s="233"/>
      <c r="BF41" s="244"/>
    </row>
    <row r="42" spans="2:58" ht="13" customHeight="1" x14ac:dyDescent="0.25">
      <c r="B42" s="232"/>
      <c r="C42" s="233"/>
      <c r="D42" s="233"/>
      <c r="E42" s="233"/>
      <c r="F42" s="233"/>
      <c r="G42" s="233"/>
      <c r="H42" s="233"/>
      <c r="I42" s="233"/>
      <c r="J42" s="233"/>
      <c r="K42" s="233"/>
      <c r="L42" s="234"/>
      <c r="M42" s="238"/>
      <c r="N42" s="233"/>
      <c r="O42" s="233"/>
      <c r="P42" s="233"/>
      <c r="Q42" s="233"/>
      <c r="R42" s="233"/>
      <c r="S42" s="233"/>
      <c r="T42" s="233"/>
      <c r="U42" s="233"/>
      <c r="V42" s="233"/>
      <c r="W42" s="234"/>
      <c r="X42" s="238"/>
      <c r="Y42" s="233"/>
      <c r="Z42" s="233"/>
      <c r="AA42" s="233"/>
      <c r="AB42" s="233"/>
      <c r="AC42" s="233"/>
      <c r="AD42" s="233"/>
      <c r="AE42" s="233"/>
      <c r="AF42" s="233"/>
      <c r="AG42" s="233"/>
      <c r="AH42" s="234"/>
      <c r="AI42" s="238"/>
      <c r="AJ42" s="233"/>
      <c r="AK42" s="233"/>
      <c r="AL42" s="233"/>
      <c r="AM42" s="233"/>
      <c r="AN42" s="233"/>
      <c r="AO42" s="233"/>
      <c r="AP42" s="233"/>
      <c r="AQ42" s="233"/>
      <c r="AR42" s="233"/>
      <c r="AS42" s="233"/>
      <c r="AT42" s="234"/>
      <c r="AU42" s="238"/>
      <c r="AV42" s="233"/>
      <c r="AW42" s="233"/>
      <c r="AX42" s="233"/>
      <c r="AY42" s="233"/>
      <c r="AZ42" s="233"/>
      <c r="BA42" s="233"/>
      <c r="BB42" s="233"/>
      <c r="BC42" s="233"/>
      <c r="BD42" s="233"/>
      <c r="BE42" s="233"/>
      <c r="BF42" s="244"/>
    </row>
    <row r="43" spans="2:58" ht="13" customHeight="1" x14ac:dyDescent="0.25">
      <c r="B43" s="232"/>
      <c r="C43" s="233"/>
      <c r="D43" s="233"/>
      <c r="E43" s="233"/>
      <c r="F43" s="233"/>
      <c r="G43" s="233"/>
      <c r="H43" s="233"/>
      <c r="I43" s="233"/>
      <c r="J43" s="233"/>
      <c r="K43" s="233"/>
      <c r="L43" s="234"/>
      <c r="M43" s="238"/>
      <c r="N43" s="233"/>
      <c r="O43" s="233"/>
      <c r="P43" s="233"/>
      <c r="Q43" s="233"/>
      <c r="R43" s="233"/>
      <c r="S43" s="233"/>
      <c r="T43" s="233"/>
      <c r="U43" s="233"/>
      <c r="V43" s="233"/>
      <c r="W43" s="234"/>
      <c r="X43" s="238"/>
      <c r="Y43" s="233"/>
      <c r="Z43" s="233"/>
      <c r="AA43" s="233"/>
      <c r="AB43" s="233"/>
      <c r="AC43" s="233"/>
      <c r="AD43" s="233"/>
      <c r="AE43" s="233"/>
      <c r="AF43" s="233"/>
      <c r="AG43" s="233"/>
      <c r="AH43" s="234"/>
      <c r="AI43" s="238"/>
      <c r="AJ43" s="233"/>
      <c r="AK43" s="233"/>
      <c r="AL43" s="233"/>
      <c r="AM43" s="233"/>
      <c r="AN43" s="233"/>
      <c r="AO43" s="233"/>
      <c r="AP43" s="233"/>
      <c r="AQ43" s="233"/>
      <c r="AR43" s="233"/>
      <c r="AS43" s="233"/>
      <c r="AT43" s="234"/>
      <c r="AU43" s="238"/>
      <c r="AV43" s="233"/>
      <c r="AW43" s="233"/>
      <c r="AX43" s="233"/>
      <c r="AY43" s="233"/>
      <c r="AZ43" s="233"/>
      <c r="BA43" s="233"/>
      <c r="BB43" s="233"/>
      <c r="BC43" s="233"/>
      <c r="BD43" s="233"/>
      <c r="BE43" s="233"/>
      <c r="BF43" s="244"/>
    </row>
    <row r="44" spans="2:58" ht="13" customHeight="1" x14ac:dyDescent="0.25">
      <c r="B44" s="232"/>
      <c r="C44" s="233"/>
      <c r="D44" s="233"/>
      <c r="E44" s="233"/>
      <c r="F44" s="233"/>
      <c r="G44" s="233"/>
      <c r="H44" s="233"/>
      <c r="I44" s="233"/>
      <c r="J44" s="233"/>
      <c r="K44" s="233"/>
      <c r="L44" s="234"/>
      <c r="M44" s="238"/>
      <c r="N44" s="233"/>
      <c r="O44" s="233"/>
      <c r="P44" s="233"/>
      <c r="Q44" s="233"/>
      <c r="R44" s="233"/>
      <c r="S44" s="233"/>
      <c r="T44" s="233"/>
      <c r="U44" s="233"/>
      <c r="V44" s="233"/>
      <c r="W44" s="234"/>
      <c r="X44" s="238"/>
      <c r="Y44" s="233"/>
      <c r="Z44" s="233"/>
      <c r="AA44" s="233"/>
      <c r="AB44" s="233"/>
      <c r="AC44" s="233"/>
      <c r="AD44" s="233"/>
      <c r="AE44" s="233"/>
      <c r="AF44" s="233"/>
      <c r="AG44" s="233"/>
      <c r="AH44" s="234"/>
      <c r="AI44" s="238"/>
      <c r="AJ44" s="233"/>
      <c r="AK44" s="233"/>
      <c r="AL44" s="233"/>
      <c r="AM44" s="233"/>
      <c r="AN44" s="233"/>
      <c r="AO44" s="233"/>
      <c r="AP44" s="233"/>
      <c r="AQ44" s="233"/>
      <c r="AR44" s="233"/>
      <c r="AS44" s="233"/>
      <c r="AT44" s="234"/>
      <c r="AU44" s="238"/>
      <c r="AV44" s="233"/>
      <c r="AW44" s="233"/>
      <c r="AX44" s="233"/>
      <c r="AY44" s="233"/>
      <c r="AZ44" s="233"/>
      <c r="BA44" s="233"/>
      <c r="BB44" s="233"/>
      <c r="BC44" s="233"/>
      <c r="BD44" s="233"/>
      <c r="BE44" s="233"/>
      <c r="BF44" s="244"/>
    </row>
    <row r="45" spans="2:58" ht="13" customHeight="1" x14ac:dyDescent="0.25">
      <c r="B45" s="235"/>
      <c r="C45" s="236"/>
      <c r="D45" s="236"/>
      <c r="E45" s="236"/>
      <c r="F45" s="236"/>
      <c r="G45" s="236"/>
      <c r="H45" s="236"/>
      <c r="I45" s="236"/>
      <c r="J45" s="236"/>
      <c r="K45" s="236"/>
      <c r="L45" s="222"/>
      <c r="M45" s="239"/>
      <c r="N45" s="236"/>
      <c r="O45" s="236"/>
      <c r="P45" s="236"/>
      <c r="Q45" s="236"/>
      <c r="R45" s="236"/>
      <c r="S45" s="236"/>
      <c r="T45" s="236"/>
      <c r="U45" s="236"/>
      <c r="V45" s="236"/>
      <c r="W45" s="222"/>
      <c r="X45" s="239"/>
      <c r="Y45" s="236"/>
      <c r="Z45" s="236"/>
      <c r="AA45" s="236"/>
      <c r="AB45" s="236"/>
      <c r="AC45" s="236"/>
      <c r="AD45" s="236"/>
      <c r="AE45" s="236"/>
      <c r="AF45" s="236"/>
      <c r="AG45" s="236"/>
      <c r="AH45" s="222"/>
      <c r="AI45" s="239"/>
      <c r="AJ45" s="236"/>
      <c r="AK45" s="236"/>
      <c r="AL45" s="236"/>
      <c r="AM45" s="236"/>
      <c r="AN45" s="236"/>
      <c r="AO45" s="236"/>
      <c r="AP45" s="236"/>
      <c r="AQ45" s="236"/>
      <c r="AR45" s="236"/>
      <c r="AS45" s="236"/>
      <c r="AT45" s="222"/>
      <c r="AU45" s="239"/>
      <c r="AV45" s="236"/>
      <c r="AW45" s="236"/>
      <c r="AX45" s="236"/>
      <c r="AY45" s="236"/>
      <c r="AZ45" s="236"/>
      <c r="BA45" s="236"/>
      <c r="BB45" s="236"/>
      <c r="BC45" s="236"/>
      <c r="BD45" s="236"/>
      <c r="BE45" s="236"/>
      <c r="BF45" s="245"/>
    </row>
    <row r="46" spans="2:58" ht="13" customHeight="1" x14ac:dyDescent="0.25">
      <c r="B46" s="249" t="s">
        <v>261</v>
      </c>
      <c r="C46" s="175"/>
      <c r="D46" s="175"/>
      <c r="E46" s="175"/>
      <c r="F46" s="175"/>
      <c r="G46" s="175"/>
      <c r="H46" s="175"/>
      <c r="I46" s="175"/>
      <c r="J46" s="175"/>
      <c r="K46" s="175"/>
      <c r="L46" s="176"/>
      <c r="M46" s="187" t="s">
        <v>262</v>
      </c>
      <c r="N46" s="175"/>
      <c r="O46" s="175"/>
      <c r="P46" s="175"/>
      <c r="Q46" s="175"/>
      <c r="R46" s="175"/>
      <c r="S46" s="175"/>
      <c r="T46" s="175"/>
      <c r="U46" s="175"/>
      <c r="V46" s="175"/>
      <c r="W46" s="176"/>
      <c r="X46" s="253" t="s">
        <v>263</v>
      </c>
      <c r="Y46" s="175"/>
      <c r="Z46" s="175"/>
      <c r="AA46" s="175"/>
      <c r="AB46" s="175"/>
      <c r="AC46" s="175"/>
      <c r="AD46" s="175"/>
      <c r="AE46" s="175"/>
      <c r="AF46" s="175"/>
      <c r="AG46" s="175"/>
      <c r="AH46" s="176"/>
      <c r="AI46" s="172" t="s">
        <v>264</v>
      </c>
      <c r="AJ46" s="175"/>
      <c r="AK46" s="175"/>
      <c r="AL46" s="175"/>
      <c r="AM46" s="175"/>
      <c r="AN46" s="175"/>
      <c r="AO46" s="175"/>
      <c r="AP46" s="175"/>
      <c r="AQ46" s="175"/>
      <c r="AR46" s="175"/>
      <c r="AS46" s="175"/>
      <c r="AT46" s="176"/>
      <c r="AU46" s="172" t="s">
        <v>265</v>
      </c>
      <c r="AV46" s="175"/>
      <c r="AW46" s="175"/>
      <c r="AX46" s="175"/>
      <c r="AY46" s="175"/>
      <c r="AZ46" s="175"/>
      <c r="BA46" s="175"/>
      <c r="BB46" s="175"/>
      <c r="BC46" s="175"/>
      <c r="BD46" s="175"/>
      <c r="BE46" s="175"/>
      <c r="BF46" s="254"/>
    </row>
    <row r="47" spans="2:58" ht="13" customHeight="1" x14ac:dyDescent="0.25">
      <c r="B47" s="229"/>
      <c r="C47" s="230"/>
      <c r="D47" s="230"/>
      <c r="E47" s="230"/>
      <c r="F47" s="230"/>
      <c r="G47" s="230"/>
      <c r="H47" s="230"/>
      <c r="I47" s="230"/>
      <c r="J47" s="230"/>
      <c r="K47" s="230"/>
      <c r="L47" s="231"/>
      <c r="M47" s="237"/>
      <c r="N47" s="230"/>
      <c r="O47" s="230"/>
      <c r="P47" s="230"/>
      <c r="Q47" s="230"/>
      <c r="R47" s="230"/>
      <c r="S47" s="230"/>
      <c r="T47" s="230"/>
      <c r="U47" s="230"/>
      <c r="V47" s="230"/>
      <c r="W47" s="231"/>
      <c r="X47" s="240"/>
      <c r="Y47" s="230"/>
      <c r="Z47" s="230"/>
      <c r="AA47" s="230"/>
      <c r="AB47" s="230"/>
      <c r="AC47" s="230"/>
      <c r="AD47" s="230"/>
      <c r="AE47" s="230"/>
      <c r="AF47" s="230"/>
      <c r="AG47" s="230"/>
      <c r="AH47" s="231"/>
      <c r="AI47" s="246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1"/>
      <c r="AU47" s="246"/>
      <c r="AV47" s="230"/>
      <c r="AW47" s="230"/>
      <c r="AX47" s="230"/>
      <c r="AY47" s="230"/>
      <c r="AZ47" s="230"/>
      <c r="BA47" s="230"/>
      <c r="BB47" s="230"/>
      <c r="BC47" s="230"/>
      <c r="BD47" s="230"/>
      <c r="BE47" s="230"/>
      <c r="BF47" s="243"/>
    </row>
    <row r="48" spans="2:58" ht="13" customHeight="1" x14ac:dyDescent="0.25">
      <c r="B48" s="232"/>
      <c r="C48" s="233"/>
      <c r="D48" s="233"/>
      <c r="E48" s="233"/>
      <c r="F48" s="233"/>
      <c r="G48" s="233"/>
      <c r="H48" s="233"/>
      <c r="I48" s="233"/>
      <c r="J48" s="233"/>
      <c r="K48" s="233"/>
      <c r="L48" s="234"/>
      <c r="M48" s="238"/>
      <c r="N48" s="233"/>
      <c r="O48" s="233"/>
      <c r="P48" s="233"/>
      <c r="Q48" s="233"/>
      <c r="R48" s="233"/>
      <c r="S48" s="233"/>
      <c r="T48" s="233"/>
      <c r="U48" s="233"/>
      <c r="V48" s="233"/>
      <c r="W48" s="234"/>
      <c r="X48" s="238"/>
      <c r="Y48" s="233"/>
      <c r="Z48" s="233"/>
      <c r="AA48" s="233"/>
      <c r="AB48" s="233"/>
      <c r="AC48" s="233"/>
      <c r="AD48" s="233"/>
      <c r="AE48" s="233"/>
      <c r="AF48" s="233"/>
      <c r="AG48" s="233"/>
      <c r="AH48" s="234"/>
      <c r="AI48" s="238"/>
      <c r="AJ48" s="233"/>
      <c r="AK48" s="233"/>
      <c r="AL48" s="233"/>
      <c r="AM48" s="233"/>
      <c r="AN48" s="233"/>
      <c r="AO48" s="233"/>
      <c r="AP48" s="233"/>
      <c r="AQ48" s="233"/>
      <c r="AR48" s="233"/>
      <c r="AS48" s="233"/>
      <c r="AT48" s="234"/>
      <c r="AU48" s="238"/>
      <c r="AV48" s="233"/>
      <c r="AW48" s="233"/>
      <c r="AX48" s="233"/>
      <c r="AY48" s="233"/>
      <c r="AZ48" s="233"/>
      <c r="BA48" s="233"/>
      <c r="BB48" s="233"/>
      <c r="BC48" s="233"/>
      <c r="BD48" s="233"/>
      <c r="BE48" s="233"/>
      <c r="BF48" s="244"/>
    </row>
    <row r="49" spans="2:58" ht="13" customHeight="1" x14ac:dyDescent="0.25">
      <c r="B49" s="232"/>
      <c r="C49" s="233"/>
      <c r="D49" s="233"/>
      <c r="E49" s="233"/>
      <c r="F49" s="233"/>
      <c r="G49" s="233"/>
      <c r="H49" s="233"/>
      <c r="I49" s="233"/>
      <c r="J49" s="233"/>
      <c r="K49" s="233"/>
      <c r="L49" s="234"/>
      <c r="M49" s="238"/>
      <c r="N49" s="233"/>
      <c r="O49" s="233"/>
      <c r="P49" s="233"/>
      <c r="Q49" s="233"/>
      <c r="R49" s="233"/>
      <c r="S49" s="233"/>
      <c r="T49" s="233"/>
      <c r="U49" s="233"/>
      <c r="V49" s="233"/>
      <c r="W49" s="234"/>
      <c r="X49" s="238"/>
      <c r="Y49" s="233"/>
      <c r="Z49" s="233"/>
      <c r="AA49" s="233"/>
      <c r="AB49" s="233"/>
      <c r="AC49" s="233"/>
      <c r="AD49" s="233"/>
      <c r="AE49" s="233"/>
      <c r="AF49" s="233"/>
      <c r="AG49" s="233"/>
      <c r="AH49" s="234"/>
      <c r="AI49" s="238"/>
      <c r="AJ49" s="233"/>
      <c r="AK49" s="233"/>
      <c r="AL49" s="233"/>
      <c r="AM49" s="233"/>
      <c r="AN49" s="233"/>
      <c r="AO49" s="233"/>
      <c r="AP49" s="233"/>
      <c r="AQ49" s="233"/>
      <c r="AR49" s="233"/>
      <c r="AS49" s="233"/>
      <c r="AT49" s="234"/>
      <c r="AU49" s="238"/>
      <c r="AV49" s="233"/>
      <c r="AW49" s="233"/>
      <c r="AX49" s="233"/>
      <c r="AY49" s="233"/>
      <c r="AZ49" s="233"/>
      <c r="BA49" s="233"/>
      <c r="BB49" s="233"/>
      <c r="BC49" s="233"/>
      <c r="BD49" s="233"/>
      <c r="BE49" s="233"/>
      <c r="BF49" s="244"/>
    </row>
    <row r="50" spans="2:58" ht="13" customHeight="1" x14ac:dyDescent="0.25">
      <c r="B50" s="232"/>
      <c r="C50" s="233"/>
      <c r="D50" s="233"/>
      <c r="E50" s="233"/>
      <c r="F50" s="233"/>
      <c r="G50" s="233"/>
      <c r="H50" s="233"/>
      <c r="I50" s="233"/>
      <c r="J50" s="233"/>
      <c r="K50" s="233"/>
      <c r="L50" s="234"/>
      <c r="M50" s="238"/>
      <c r="N50" s="233"/>
      <c r="O50" s="233"/>
      <c r="P50" s="233"/>
      <c r="Q50" s="233"/>
      <c r="R50" s="233"/>
      <c r="S50" s="233"/>
      <c r="T50" s="233"/>
      <c r="U50" s="233"/>
      <c r="V50" s="233"/>
      <c r="W50" s="234"/>
      <c r="X50" s="238"/>
      <c r="Y50" s="233"/>
      <c r="Z50" s="233"/>
      <c r="AA50" s="233"/>
      <c r="AB50" s="233"/>
      <c r="AC50" s="233"/>
      <c r="AD50" s="233"/>
      <c r="AE50" s="233"/>
      <c r="AF50" s="233"/>
      <c r="AG50" s="233"/>
      <c r="AH50" s="234"/>
      <c r="AI50" s="238"/>
      <c r="AJ50" s="233"/>
      <c r="AK50" s="233"/>
      <c r="AL50" s="233"/>
      <c r="AM50" s="233"/>
      <c r="AN50" s="233"/>
      <c r="AO50" s="233"/>
      <c r="AP50" s="233"/>
      <c r="AQ50" s="233"/>
      <c r="AR50" s="233"/>
      <c r="AS50" s="233"/>
      <c r="AT50" s="234"/>
      <c r="AU50" s="238"/>
      <c r="AV50" s="233"/>
      <c r="AW50" s="233"/>
      <c r="AX50" s="233"/>
      <c r="AY50" s="233"/>
      <c r="AZ50" s="233"/>
      <c r="BA50" s="233"/>
      <c r="BB50" s="233"/>
      <c r="BC50" s="233"/>
      <c r="BD50" s="233"/>
      <c r="BE50" s="233"/>
      <c r="BF50" s="244"/>
    </row>
    <row r="51" spans="2:58" ht="13" customHeight="1" x14ac:dyDescent="0.25">
      <c r="B51" s="232"/>
      <c r="C51" s="233"/>
      <c r="D51" s="233"/>
      <c r="E51" s="233"/>
      <c r="F51" s="233"/>
      <c r="G51" s="233"/>
      <c r="H51" s="233"/>
      <c r="I51" s="233"/>
      <c r="J51" s="233"/>
      <c r="K51" s="233"/>
      <c r="L51" s="234"/>
      <c r="M51" s="238"/>
      <c r="N51" s="233"/>
      <c r="O51" s="233"/>
      <c r="P51" s="233"/>
      <c r="Q51" s="233"/>
      <c r="R51" s="233"/>
      <c r="S51" s="233"/>
      <c r="T51" s="233"/>
      <c r="U51" s="233"/>
      <c r="V51" s="233"/>
      <c r="W51" s="234"/>
      <c r="X51" s="238"/>
      <c r="Y51" s="233"/>
      <c r="Z51" s="233"/>
      <c r="AA51" s="233"/>
      <c r="AB51" s="233"/>
      <c r="AC51" s="233"/>
      <c r="AD51" s="233"/>
      <c r="AE51" s="233"/>
      <c r="AF51" s="233"/>
      <c r="AG51" s="233"/>
      <c r="AH51" s="234"/>
      <c r="AI51" s="238"/>
      <c r="AJ51" s="233"/>
      <c r="AK51" s="233"/>
      <c r="AL51" s="233"/>
      <c r="AM51" s="233"/>
      <c r="AN51" s="233"/>
      <c r="AO51" s="233"/>
      <c r="AP51" s="233"/>
      <c r="AQ51" s="233"/>
      <c r="AR51" s="233"/>
      <c r="AS51" s="233"/>
      <c r="AT51" s="234"/>
      <c r="AU51" s="238"/>
      <c r="AV51" s="233"/>
      <c r="AW51" s="233"/>
      <c r="AX51" s="233"/>
      <c r="AY51" s="233"/>
      <c r="AZ51" s="233"/>
      <c r="BA51" s="233"/>
      <c r="BB51" s="233"/>
      <c r="BC51" s="233"/>
      <c r="BD51" s="233"/>
      <c r="BE51" s="233"/>
      <c r="BF51" s="244"/>
    </row>
    <row r="52" spans="2:58" ht="13" customHeight="1" x14ac:dyDescent="0.25">
      <c r="B52" s="235"/>
      <c r="C52" s="236"/>
      <c r="D52" s="236"/>
      <c r="E52" s="236"/>
      <c r="F52" s="236"/>
      <c r="G52" s="236"/>
      <c r="H52" s="236"/>
      <c r="I52" s="236"/>
      <c r="J52" s="236"/>
      <c r="K52" s="236"/>
      <c r="L52" s="222"/>
      <c r="M52" s="239"/>
      <c r="N52" s="236"/>
      <c r="O52" s="236"/>
      <c r="P52" s="236"/>
      <c r="Q52" s="236"/>
      <c r="R52" s="236"/>
      <c r="S52" s="236"/>
      <c r="T52" s="236"/>
      <c r="U52" s="236"/>
      <c r="V52" s="236"/>
      <c r="W52" s="222"/>
      <c r="X52" s="239"/>
      <c r="Y52" s="236"/>
      <c r="Z52" s="236"/>
      <c r="AA52" s="236"/>
      <c r="AB52" s="236"/>
      <c r="AC52" s="236"/>
      <c r="AD52" s="236"/>
      <c r="AE52" s="236"/>
      <c r="AF52" s="236"/>
      <c r="AG52" s="236"/>
      <c r="AH52" s="222"/>
      <c r="AI52" s="239"/>
      <c r="AJ52" s="236"/>
      <c r="AK52" s="236"/>
      <c r="AL52" s="236"/>
      <c r="AM52" s="236"/>
      <c r="AN52" s="236"/>
      <c r="AO52" s="236"/>
      <c r="AP52" s="236"/>
      <c r="AQ52" s="236"/>
      <c r="AR52" s="236"/>
      <c r="AS52" s="236"/>
      <c r="AT52" s="222"/>
      <c r="AU52" s="239"/>
      <c r="AV52" s="236"/>
      <c r="AW52" s="236"/>
      <c r="AX52" s="236"/>
      <c r="AY52" s="236"/>
      <c r="AZ52" s="236"/>
      <c r="BA52" s="236"/>
      <c r="BB52" s="236"/>
      <c r="BC52" s="236"/>
      <c r="BD52" s="236"/>
      <c r="BE52" s="236"/>
      <c r="BF52" s="245"/>
    </row>
    <row r="53" spans="2:58" ht="13" customHeight="1" x14ac:dyDescent="0.25">
      <c r="B53" s="249" t="s">
        <v>266</v>
      </c>
      <c r="C53" s="175"/>
      <c r="D53" s="175"/>
      <c r="E53" s="175"/>
      <c r="F53" s="175"/>
      <c r="G53" s="175"/>
      <c r="H53" s="175"/>
      <c r="I53" s="175"/>
      <c r="J53" s="175"/>
      <c r="K53" s="175"/>
      <c r="L53" s="176"/>
      <c r="M53" s="252" t="s">
        <v>267</v>
      </c>
      <c r="N53" s="175"/>
      <c r="O53" s="175"/>
      <c r="P53" s="175"/>
      <c r="Q53" s="175"/>
      <c r="R53" s="175"/>
      <c r="S53" s="175"/>
      <c r="T53" s="175"/>
      <c r="U53" s="175"/>
      <c r="V53" s="175"/>
      <c r="W53" s="176"/>
      <c r="X53" s="253" t="s">
        <v>268</v>
      </c>
      <c r="Y53" s="175"/>
      <c r="Z53" s="175"/>
      <c r="AA53" s="175"/>
      <c r="AB53" s="175"/>
      <c r="AC53" s="175"/>
      <c r="AD53" s="175"/>
      <c r="AE53" s="175"/>
      <c r="AF53" s="175"/>
      <c r="AG53" s="175"/>
      <c r="AH53" s="176"/>
      <c r="AI53" s="172" t="s">
        <v>269</v>
      </c>
      <c r="AJ53" s="175"/>
      <c r="AK53" s="175"/>
      <c r="AL53" s="175"/>
      <c r="AM53" s="175"/>
      <c r="AN53" s="175"/>
      <c r="AO53" s="175"/>
      <c r="AP53" s="175"/>
      <c r="AQ53" s="175"/>
      <c r="AR53" s="175"/>
      <c r="AS53" s="175"/>
      <c r="AT53" s="176"/>
      <c r="AU53" s="172" t="s">
        <v>270</v>
      </c>
      <c r="AV53" s="175"/>
      <c r="AW53" s="175"/>
      <c r="AX53" s="175"/>
      <c r="AY53" s="175"/>
      <c r="AZ53" s="175"/>
      <c r="BA53" s="175"/>
      <c r="BB53" s="175"/>
      <c r="BC53" s="175"/>
      <c r="BD53" s="175"/>
      <c r="BE53" s="175"/>
      <c r="BF53" s="254"/>
    </row>
    <row r="54" spans="2:58" ht="13" customHeight="1" x14ac:dyDescent="0.25">
      <c r="B54" s="229"/>
      <c r="C54" s="230"/>
      <c r="D54" s="230"/>
      <c r="E54" s="230"/>
      <c r="F54" s="230"/>
      <c r="G54" s="230"/>
      <c r="H54" s="230"/>
      <c r="I54" s="230"/>
      <c r="J54" s="230"/>
      <c r="K54" s="230"/>
      <c r="L54" s="231"/>
      <c r="M54" s="251"/>
      <c r="N54" s="230"/>
      <c r="O54" s="230"/>
      <c r="P54" s="230"/>
      <c r="Q54" s="230"/>
      <c r="R54" s="230"/>
      <c r="S54" s="230"/>
      <c r="T54" s="230"/>
      <c r="U54" s="230"/>
      <c r="V54" s="230"/>
      <c r="W54" s="231"/>
      <c r="X54" s="240"/>
      <c r="Y54" s="230"/>
      <c r="Z54" s="230"/>
      <c r="AA54" s="230"/>
      <c r="AB54" s="230"/>
      <c r="AC54" s="230"/>
      <c r="AD54" s="230"/>
      <c r="AE54" s="230"/>
      <c r="AF54" s="230"/>
      <c r="AG54" s="230"/>
      <c r="AH54" s="231"/>
      <c r="AI54" s="246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1"/>
      <c r="AU54" s="246"/>
      <c r="AV54" s="230"/>
      <c r="AW54" s="230"/>
      <c r="AX54" s="230"/>
      <c r="AY54" s="230"/>
      <c r="AZ54" s="230"/>
      <c r="BA54" s="230"/>
      <c r="BB54" s="230"/>
      <c r="BC54" s="230"/>
      <c r="BD54" s="230"/>
      <c r="BE54" s="230"/>
      <c r="BF54" s="243"/>
    </row>
    <row r="55" spans="2:58" ht="13" customHeight="1" x14ac:dyDescent="0.25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4"/>
      <c r="M55" s="238"/>
      <c r="N55" s="233"/>
      <c r="O55" s="233"/>
      <c r="P55" s="233"/>
      <c r="Q55" s="233"/>
      <c r="R55" s="233"/>
      <c r="S55" s="233"/>
      <c r="T55" s="233"/>
      <c r="U55" s="233"/>
      <c r="V55" s="233"/>
      <c r="W55" s="234"/>
      <c r="X55" s="238"/>
      <c r="Y55" s="233"/>
      <c r="Z55" s="233"/>
      <c r="AA55" s="233"/>
      <c r="AB55" s="233"/>
      <c r="AC55" s="233"/>
      <c r="AD55" s="233"/>
      <c r="AE55" s="233"/>
      <c r="AF55" s="233"/>
      <c r="AG55" s="233"/>
      <c r="AH55" s="234"/>
      <c r="AI55" s="238"/>
      <c r="AJ55" s="233"/>
      <c r="AK55" s="233"/>
      <c r="AL55" s="233"/>
      <c r="AM55" s="233"/>
      <c r="AN55" s="233"/>
      <c r="AO55" s="233"/>
      <c r="AP55" s="233"/>
      <c r="AQ55" s="233"/>
      <c r="AR55" s="233"/>
      <c r="AS55" s="233"/>
      <c r="AT55" s="234"/>
      <c r="AU55" s="238"/>
      <c r="AV55" s="233"/>
      <c r="AW55" s="233"/>
      <c r="AX55" s="233"/>
      <c r="AY55" s="233"/>
      <c r="AZ55" s="233"/>
      <c r="BA55" s="233"/>
      <c r="BB55" s="233"/>
      <c r="BC55" s="233"/>
      <c r="BD55" s="233"/>
      <c r="BE55" s="233"/>
      <c r="BF55" s="244"/>
    </row>
    <row r="56" spans="2:58" ht="13" customHeight="1" x14ac:dyDescent="0.25">
      <c r="B56" s="232"/>
      <c r="C56" s="233"/>
      <c r="D56" s="233"/>
      <c r="E56" s="233"/>
      <c r="F56" s="233"/>
      <c r="G56" s="233"/>
      <c r="H56" s="233"/>
      <c r="I56" s="233"/>
      <c r="J56" s="233"/>
      <c r="K56" s="233"/>
      <c r="L56" s="234"/>
      <c r="M56" s="238"/>
      <c r="N56" s="233"/>
      <c r="O56" s="233"/>
      <c r="P56" s="233"/>
      <c r="Q56" s="233"/>
      <c r="R56" s="233"/>
      <c r="S56" s="233"/>
      <c r="T56" s="233"/>
      <c r="U56" s="233"/>
      <c r="V56" s="233"/>
      <c r="W56" s="234"/>
      <c r="X56" s="238"/>
      <c r="Y56" s="233"/>
      <c r="Z56" s="233"/>
      <c r="AA56" s="233"/>
      <c r="AB56" s="233"/>
      <c r="AC56" s="233"/>
      <c r="AD56" s="233"/>
      <c r="AE56" s="233"/>
      <c r="AF56" s="233"/>
      <c r="AG56" s="233"/>
      <c r="AH56" s="234"/>
      <c r="AI56" s="238"/>
      <c r="AJ56" s="233"/>
      <c r="AK56" s="233"/>
      <c r="AL56" s="233"/>
      <c r="AM56" s="233"/>
      <c r="AN56" s="233"/>
      <c r="AO56" s="233"/>
      <c r="AP56" s="233"/>
      <c r="AQ56" s="233"/>
      <c r="AR56" s="233"/>
      <c r="AS56" s="233"/>
      <c r="AT56" s="234"/>
      <c r="AU56" s="238"/>
      <c r="AV56" s="233"/>
      <c r="AW56" s="233"/>
      <c r="AX56" s="233"/>
      <c r="AY56" s="233"/>
      <c r="AZ56" s="233"/>
      <c r="BA56" s="233"/>
      <c r="BB56" s="233"/>
      <c r="BC56" s="233"/>
      <c r="BD56" s="233"/>
      <c r="BE56" s="233"/>
      <c r="BF56" s="244"/>
    </row>
    <row r="57" spans="2:58" ht="13" customHeight="1" x14ac:dyDescent="0.25">
      <c r="B57" s="232"/>
      <c r="C57" s="233"/>
      <c r="D57" s="233"/>
      <c r="E57" s="233"/>
      <c r="F57" s="233"/>
      <c r="G57" s="233"/>
      <c r="H57" s="233"/>
      <c r="I57" s="233"/>
      <c r="J57" s="233"/>
      <c r="K57" s="233"/>
      <c r="L57" s="234"/>
      <c r="M57" s="238"/>
      <c r="N57" s="233"/>
      <c r="O57" s="233"/>
      <c r="P57" s="233"/>
      <c r="Q57" s="233"/>
      <c r="R57" s="233"/>
      <c r="S57" s="233"/>
      <c r="T57" s="233"/>
      <c r="U57" s="233"/>
      <c r="V57" s="233"/>
      <c r="W57" s="234"/>
      <c r="X57" s="238"/>
      <c r="Y57" s="233"/>
      <c r="Z57" s="233"/>
      <c r="AA57" s="233"/>
      <c r="AB57" s="233"/>
      <c r="AC57" s="233"/>
      <c r="AD57" s="233"/>
      <c r="AE57" s="233"/>
      <c r="AF57" s="233"/>
      <c r="AG57" s="233"/>
      <c r="AH57" s="234"/>
      <c r="AI57" s="238"/>
      <c r="AJ57" s="233"/>
      <c r="AK57" s="233"/>
      <c r="AL57" s="233"/>
      <c r="AM57" s="233"/>
      <c r="AN57" s="233"/>
      <c r="AO57" s="233"/>
      <c r="AP57" s="233"/>
      <c r="AQ57" s="233"/>
      <c r="AR57" s="233"/>
      <c r="AS57" s="233"/>
      <c r="AT57" s="234"/>
      <c r="AU57" s="238"/>
      <c r="AV57" s="233"/>
      <c r="AW57" s="233"/>
      <c r="AX57" s="233"/>
      <c r="AY57" s="233"/>
      <c r="AZ57" s="233"/>
      <c r="BA57" s="233"/>
      <c r="BB57" s="233"/>
      <c r="BC57" s="233"/>
      <c r="BD57" s="233"/>
      <c r="BE57" s="233"/>
      <c r="BF57" s="244"/>
    </row>
    <row r="58" spans="2:58" ht="13" customHeight="1" x14ac:dyDescent="0.25">
      <c r="B58" s="232"/>
      <c r="C58" s="233"/>
      <c r="D58" s="233"/>
      <c r="E58" s="233"/>
      <c r="F58" s="233"/>
      <c r="G58" s="233"/>
      <c r="H58" s="233"/>
      <c r="I58" s="233"/>
      <c r="J58" s="233"/>
      <c r="K58" s="233"/>
      <c r="L58" s="234"/>
      <c r="M58" s="238"/>
      <c r="N58" s="233"/>
      <c r="O58" s="233"/>
      <c r="P58" s="233"/>
      <c r="Q58" s="233"/>
      <c r="R58" s="233"/>
      <c r="S58" s="233"/>
      <c r="T58" s="233"/>
      <c r="U58" s="233"/>
      <c r="V58" s="233"/>
      <c r="W58" s="234"/>
      <c r="X58" s="238"/>
      <c r="Y58" s="233"/>
      <c r="Z58" s="233"/>
      <c r="AA58" s="233"/>
      <c r="AB58" s="233"/>
      <c r="AC58" s="233"/>
      <c r="AD58" s="233"/>
      <c r="AE58" s="233"/>
      <c r="AF58" s="233"/>
      <c r="AG58" s="233"/>
      <c r="AH58" s="234"/>
      <c r="AI58" s="238"/>
      <c r="AJ58" s="233"/>
      <c r="AK58" s="233"/>
      <c r="AL58" s="233"/>
      <c r="AM58" s="233"/>
      <c r="AN58" s="233"/>
      <c r="AO58" s="233"/>
      <c r="AP58" s="233"/>
      <c r="AQ58" s="233"/>
      <c r="AR58" s="233"/>
      <c r="AS58" s="233"/>
      <c r="AT58" s="234"/>
      <c r="AU58" s="238"/>
      <c r="AV58" s="233"/>
      <c r="AW58" s="233"/>
      <c r="AX58" s="233"/>
      <c r="AY58" s="233"/>
      <c r="AZ58" s="233"/>
      <c r="BA58" s="233"/>
      <c r="BB58" s="233"/>
      <c r="BC58" s="233"/>
      <c r="BD58" s="233"/>
      <c r="BE58" s="233"/>
      <c r="BF58" s="244"/>
    </row>
    <row r="59" spans="2:58" ht="13" customHeight="1" x14ac:dyDescent="0.25">
      <c r="B59" s="255"/>
      <c r="C59" s="256"/>
      <c r="D59" s="256"/>
      <c r="E59" s="256"/>
      <c r="F59" s="256"/>
      <c r="G59" s="256"/>
      <c r="H59" s="256"/>
      <c r="I59" s="256"/>
      <c r="J59" s="256"/>
      <c r="K59" s="256"/>
      <c r="L59" s="257"/>
      <c r="M59" s="258"/>
      <c r="N59" s="256"/>
      <c r="O59" s="256"/>
      <c r="P59" s="256"/>
      <c r="Q59" s="256"/>
      <c r="R59" s="256"/>
      <c r="S59" s="256"/>
      <c r="T59" s="256"/>
      <c r="U59" s="256"/>
      <c r="V59" s="256"/>
      <c r="W59" s="257"/>
      <c r="X59" s="258"/>
      <c r="Y59" s="256"/>
      <c r="Z59" s="256"/>
      <c r="AA59" s="256"/>
      <c r="AB59" s="256"/>
      <c r="AC59" s="256"/>
      <c r="AD59" s="256"/>
      <c r="AE59" s="256"/>
      <c r="AF59" s="256"/>
      <c r="AG59" s="256"/>
      <c r="AH59" s="257"/>
      <c r="AI59" s="258"/>
      <c r="AJ59" s="256"/>
      <c r="AK59" s="256"/>
      <c r="AL59" s="256"/>
      <c r="AM59" s="256"/>
      <c r="AN59" s="256"/>
      <c r="AO59" s="256"/>
      <c r="AP59" s="256"/>
      <c r="AQ59" s="256"/>
      <c r="AR59" s="256"/>
      <c r="AS59" s="256"/>
      <c r="AT59" s="257"/>
      <c r="AU59" s="258"/>
      <c r="AV59" s="256"/>
      <c r="AW59" s="256"/>
      <c r="AX59" s="256"/>
      <c r="AY59" s="256"/>
      <c r="AZ59" s="256"/>
      <c r="BA59" s="256"/>
      <c r="BB59" s="256"/>
      <c r="BC59" s="256"/>
      <c r="BD59" s="256"/>
      <c r="BE59" s="256"/>
      <c r="BF59" s="259"/>
    </row>
    <row r="60" spans="2:58" ht="13" customHeight="1" x14ac:dyDescent="0.25">
      <c r="B60" s="221" t="s">
        <v>459</v>
      </c>
      <c r="C60" s="222"/>
      <c r="D60" s="9" t="s">
        <v>274</v>
      </c>
      <c r="E60" s="202" t="s">
        <v>20</v>
      </c>
      <c r="F60" s="205"/>
      <c r="G60" s="206"/>
      <c r="H60" s="206"/>
      <c r="I60" s="206"/>
      <c r="J60" s="206"/>
      <c r="K60" s="206"/>
      <c r="L60" s="206"/>
      <c r="M60" s="206"/>
      <c r="N60" s="206"/>
      <c r="O60" s="206"/>
      <c r="P60" s="206"/>
      <c r="Q60" s="206"/>
      <c r="R60" s="206"/>
      <c r="S60" s="206"/>
      <c r="T60" s="206"/>
      <c r="U60" s="206"/>
      <c r="V60" s="206"/>
      <c r="W60" s="206"/>
      <c r="X60" s="206"/>
      <c r="Y60" s="206"/>
      <c r="Z60" s="206"/>
      <c r="AA60" s="206"/>
      <c r="AB60" s="206"/>
      <c r="AC60" s="206"/>
      <c r="AD60" s="206"/>
      <c r="AE60" s="206"/>
      <c r="AF60" s="206"/>
      <c r="AG60" s="206"/>
      <c r="AH60" s="206"/>
      <c r="AI60" s="206"/>
      <c r="AJ60" s="206"/>
      <c r="AK60" s="206"/>
      <c r="AL60" s="206"/>
      <c r="AM60" s="206"/>
      <c r="AN60" s="206"/>
      <c r="AO60" s="207"/>
      <c r="AP60" s="207"/>
      <c r="AQ60" s="207"/>
      <c r="AR60" s="207"/>
      <c r="AS60" s="207"/>
      <c r="AT60" s="207"/>
      <c r="AU60" s="207"/>
      <c r="AV60" s="207"/>
      <c r="AW60" s="207"/>
      <c r="AX60" s="207"/>
      <c r="AY60" s="207"/>
      <c r="AZ60" s="207"/>
      <c r="BA60" s="207"/>
      <c r="BB60" s="207"/>
      <c r="BC60" s="207"/>
      <c r="BD60" s="207"/>
      <c r="BE60" s="207"/>
      <c r="BF60" s="208"/>
    </row>
    <row r="61" spans="2:58" ht="13" customHeight="1" x14ac:dyDescent="0.25">
      <c r="B61" s="201" t="s">
        <v>275</v>
      </c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  <c r="AB61" s="203"/>
      <c r="AC61" s="203"/>
      <c r="AD61" s="203"/>
      <c r="AE61" s="203"/>
      <c r="AF61" s="203"/>
      <c r="AG61" s="203"/>
      <c r="AH61" s="203"/>
      <c r="AI61" s="203"/>
      <c r="AJ61" s="203"/>
      <c r="AK61" s="203"/>
      <c r="AL61" s="203"/>
      <c r="AM61" s="203"/>
      <c r="AN61" s="203"/>
      <c r="AO61" s="172"/>
      <c r="AP61" s="172"/>
      <c r="AQ61" s="172"/>
      <c r="AR61" s="172"/>
      <c r="AS61" s="172"/>
      <c r="AT61" s="172"/>
      <c r="AU61" s="172"/>
      <c r="AV61" s="172"/>
      <c r="AW61" s="172"/>
      <c r="AX61" s="172"/>
      <c r="AY61" s="172"/>
      <c r="AZ61" s="172"/>
      <c r="BA61" s="172"/>
      <c r="BB61" s="172"/>
      <c r="BC61" s="172"/>
      <c r="BD61" s="172"/>
      <c r="BE61" s="172"/>
      <c r="BF61" s="209"/>
    </row>
    <row r="62" spans="2:58" ht="13" customHeight="1" thickBot="1" x14ac:dyDescent="0.3">
      <c r="B62" s="212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  <c r="AB62" s="204"/>
      <c r="AC62" s="204"/>
      <c r="AD62" s="204"/>
      <c r="AE62" s="204"/>
      <c r="AF62" s="204"/>
      <c r="AG62" s="204"/>
      <c r="AH62" s="204"/>
      <c r="AI62" s="204"/>
      <c r="AJ62" s="204"/>
      <c r="AK62" s="204"/>
      <c r="AL62" s="204"/>
      <c r="AM62" s="204"/>
      <c r="AN62" s="204"/>
      <c r="AO62" s="210"/>
      <c r="AP62" s="210"/>
      <c r="AQ62" s="210"/>
      <c r="AR62" s="210"/>
      <c r="AS62" s="210"/>
      <c r="AT62" s="210"/>
      <c r="AU62" s="210"/>
      <c r="AV62" s="210"/>
      <c r="AW62" s="210"/>
      <c r="AX62" s="210"/>
      <c r="AY62" s="210"/>
      <c r="AZ62" s="210"/>
      <c r="BA62" s="210"/>
      <c r="BB62" s="210"/>
      <c r="BC62" s="210"/>
      <c r="BD62" s="210"/>
      <c r="BE62" s="210"/>
      <c r="BF62" s="211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B1:AK479"/>
  <sheetViews>
    <sheetView tabSelected="1" zoomScaleNormal="100" workbookViewId="0">
      <selection activeCell="S12" sqref="S12"/>
    </sheetView>
  </sheetViews>
  <sheetFormatPr defaultRowHeight="11.5" x14ac:dyDescent="0.25"/>
  <cols>
    <col min="1" max="1" width="1.54296875" style="45" customWidth="1"/>
    <col min="2" max="2" width="9" style="45" customWidth="1"/>
    <col min="3" max="3" width="2.54296875" style="45" customWidth="1"/>
    <col min="4" max="36" width="7.08984375" style="45" customWidth="1"/>
    <col min="37" max="37" width="6.453125" style="45" customWidth="1"/>
    <col min="38" max="270" width="8.81640625" style="45"/>
    <col min="271" max="271" width="2.08984375" style="45" customWidth="1"/>
    <col min="272" max="272" width="5.81640625" style="45" customWidth="1"/>
    <col min="273" max="273" width="6.81640625" style="45" customWidth="1"/>
    <col min="274" max="274" width="6.08984375" style="45" customWidth="1"/>
    <col min="275" max="275" width="6.81640625" style="45" customWidth="1"/>
    <col min="276" max="276" width="10.81640625" style="45" customWidth="1"/>
    <col min="277" max="277" width="11.54296875" style="45" customWidth="1"/>
    <col min="278" max="278" width="5.54296875" style="45" customWidth="1"/>
    <col min="279" max="279" width="6" style="45" customWidth="1"/>
    <col min="280" max="280" width="6.54296875" style="45" customWidth="1"/>
    <col min="281" max="281" width="11.08984375" style="45" customWidth="1"/>
    <col min="282" max="282" width="7.08984375" style="45" customWidth="1"/>
    <col min="283" max="284" width="5.81640625" style="45" customWidth="1"/>
    <col min="285" max="285" width="6" style="45" customWidth="1"/>
    <col min="286" max="286" width="6.81640625" style="45" customWidth="1"/>
    <col min="287" max="287" width="6" style="45" customWidth="1"/>
    <col min="288" max="288" width="18.08984375" style="45" customWidth="1"/>
    <col min="289" max="526" width="8.81640625" style="45"/>
    <col min="527" max="527" width="2.08984375" style="45" customWidth="1"/>
    <col min="528" max="528" width="5.81640625" style="45" customWidth="1"/>
    <col min="529" max="529" width="6.81640625" style="45" customWidth="1"/>
    <col min="530" max="530" width="6.08984375" style="45" customWidth="1"/>
    <col min="531" max="531" width="6.81640625" style="45" customWidth="1"/>
    <col min="532" max="532" width="10.81640625" style="45" customWidth="1"/>
    <col min="533" max="533" width="11.54296875" style="45" customWidth="1"/>
    <col min="534" max="534" width="5.54296875" style="45" customWidth="1"/>
    <col min="535" max="535" width="6" style="45" customWidth="1"/>
    <col min="536" max="536" width="6.54296875" style="45" customWidth="1"/>
    <col min="537" max="537" width="11.08984375" style="45" customWidth="1"/>
    <col min="538" max="538" width="7.08984375" style="45" customWidth="1"/>
    <col min="539" max="540" width="5.81640625" style="45" customWidth="1"/>
    <col min="541" max="541" width="6" style="45" customWidth="1"/>
    <col min="542" max="542" width="6.81640625" style="45" customWidth="1"/>
    <col min="543" max="543" width="6" style="45" customWidth="1"/>
    <col min="544" max="544" width="18.08984375" style="45" customWidth="1"/>
    <col min="545" max="782" width="8.81640625" style="45"/>
    <col min="783" max="783" width="2.08984375" style="45" customWidth="1"/>
    <col min="784" max="784" width="5.81640625" style="45" customWidth="1"/>
    <col min="785" max="785" width="6.81640625" style="45" customWidth="1"/>
    <col min="786" max="786" width="6.08984375" style="45" customWidth="1"/>
    <col min="787" max="787" width="6.81640625" style="45" customWidth="1"/>
    <col min="788" max="788" width="10.81640625" style="45" customWidth="1"/>
    <col min="789" max="789" width="11.54296875" style="45" customWidth="1"/>
    <col min="790" max="790" width="5.54296875" style="45" customWidth="1"/>
    <col min="791" max="791" width="6" style="45" customWidth="1"/>
    <col min="792" max="792" width="6.54296875" style="45" customWidth="1"/>
    <col min="793" max="793" width="11.08984375" style="45" customWidth="1"/>
    <col min="794" max="794" width="7.08984375" style="45" customWidth="1"/>
    <col min="795" max="796" width="5.81640625" style="45" customWidth="1"/>
    <col min="797" max="797" width="6" style="45" customWidth="1"/>
    <col min="798" max="798" width="6.81640625" style="45" customWidth="1"/>
    <col min="799" max="799" width="6" style="45" customWidth="1"/>
    <col min="800" max="800" width="18.08984375" style="45" customWidth="1"/>
    <col min="801" max="1038" width="8.81640625" style="45"/>
    <col min="1039" max="1039" width="2.08984375" style="45" customWidth="1"/>
    <col min="1040" max="1040" width="5.81640625" style="45" customWidth="1"/>
    <col min="1041" max="1041" width="6.81640625" style="45" customWidth="1"/>
    <col min="1042" max="1042" width="6.08984375" style="45" customWidth="1"/>
    <col min="1043" max="1043" width="6.81640625" style="45" customWidth="1"/>
    <col min="1044" max="1044" width="10.81640625" style="45" customWidth="1"/>
    <col min="1045" max="1045" width="11.54296875" style="45" customWidth="1"/>
    <col min="1046" max="1046" width="5.54296875" style="45" customWidth="1"/>
    <col min="1047" max="1047" width="6" style="45" customWidth="1"/>
    <col min="1048" max="1048" width="6.54296875" style="45" customWidth="1"/>
    <col min="1049" max="1049" width="11.08984375" style="45" customWidth="1"/>
    <col min="1050" max="1050" width="7.08984375" style="45" customWidth="1"/>
    <col min="1051" max="1052" width="5.81640625" style="45" customWidth="1"/>
    <col min="1053" max="1053" width="6" style="45" customWidth="1"/>
    <col min="1054" max="1054" width="6.81640625" style="45" customWidth="1"/>
    <col min="1055" max="1055" width="6" style="45" customWidth="1"/>
    <col min="1056" max="1056" width="18.08984375" style="45" customWidth="1"/>
    <col min="1057" max="1294" width="8.81640625" style="45"/>
    <col min="1295" max="1295" width="2.08984375" style="45" customWidth="1"/>
    <col min="1296" max="1296" width="5.81640625" style="45" customWidth="1"/>
    <col min="1297" max="1297" width="6.81640625" style="45" customWidth="1"/>
    <col min="1298" max="1298" width="6.08984375" style="45" customWidth="1"/>
    <col min="1299" max="1299" width="6.81640625" style="45" customWidth="1"/>
    <col min="1300" max="1300" width="10.81640625" style="45" customWidth="1"/>
    <col min="1301" max="1301" width="11.54296875" style="45" customWidth="1"/>
    <col min="1302" max="1302" width="5.54296875" style="45" customWidth="1"/>
    <col min="1303" max="1303" width="6" style="45" customWidth="1"/>
    <col min="1304" max="1304" width="6.54296875" style="45" customWidth="1"/>
    <col min="1305" max="1305" width="11.08984375" style="45" customWidth="1"/>
    <col min="1306" max="1306" width="7.08984375" style="45" customWidth="1"/>
    <col min="1307" max="1308" width="5.81640625" style="45" customWidth="1"/>
    <col min="1309" max="1309" width="6" style="45" customWidth="1"/>
    <col min="1310" max="1310" width="6.81640625" style="45" customWidth="1"/>
    <col min="1311" max="1311" width="6" style="45" customWidth="1"/>
    <col min="1312" max="1312" width="18.08984375" style="45" customWidth="1"/>
    <col min="1313" max="1550" width="8.81640625" style="45"/>
    <col min="1551" max="1551" width="2.08984375" style="45" customWidth="1"/>
    <col min="1552" max="1552" width="5.81640625" style="45" customWidth="1"/>
    <col min="1553" max="1553" width="6.81640625" style="45" customWidth="1"/>
    <col min="1554" max="1554" width="6.08984375" style="45" customWidth="1"/>
    <col min="1555" max="1555" width="6.81640625" style="45" customWidth="1"/>
    <col min="1556" max="1556" width="10.81640625" style="45" customWidth="1"/>
    <col min="1557" max="1557" width="11.54296875" style="45" customWidth="1"/>
    <col min="1558" max="1558" width="5.54296875" style="45" customWidth="1"/>
    <col min="1559" max="1559" width="6" style="45" customWidth="1"/>
    <col min="1560" max="1560" width="6.54296875" style="45" customWidth="1"/>
    <col min="1561" max="1561" width="11.08984375" style="45" customWidth="1"/>
    <col min="1562" max="1562" width="7.08984375" style="45" customWidth="1"/>
    <col min="1563" max="1564" width="5.81640625" style="45" customWidth="1"/>
    <col min="1565" max="1565" width="6" style="45" customWidth="1"/>
    <col min="1566" max="1566" width="6.81640625" style="45" customWidth="1"/>
    <col min="1567" max="1567" width="6" style="45" customWidth="1"/>
    <col min="1568" max="1568" width="18.08984375" style="45" customWidth="1"/>
    <col min="1569" max="1806" width="8.81640625" style="45"/>
    <col min="1807" max="1807" width="2.08984375" style="45" customWidth="1"/>
    <col min="1808" max="1808" width="5.81640625" style="45" customWidth="1"/>
    <col min="1809" max="1809" width="6.81640625" style="45" customWidth="1"/>
    <col min="1810" max="1810" width="6.08984375" style="45" customWidth="1"/>
    <col min="1811" max="1811" width="6.81640625" style="45" customWidth="1"/>
    <col min="1812" max="1812" width="10.81640625" style="45" customWidth="1"/>
    <col min="1813" max="1813" width="11.54296875" style="45" customWidth="1"/>
    <col min="1814" max="1814" width="5.54296875" style="45" customWidth="1"/>
    <col min="1815" max="1815" width="6" style="45" customWidth="1"/>
    <col min="1816" max="1816" width="6.54296875" style="45" customWidth="1"/>
    <col min="1817" max="1817" width="11.08984375" style="45" customWidth="1"/>
    <col min="1818" max="1818" width="7.08984375" style="45" customWidth="1"/>
    <col min="1819" max="1820" width="5.81640625" style="45" customWidth="1"/>
    <col min="1821" max="1821" width="6" style="45" customWidth="1"/>
    <col min="1822" max="1822" width="6.81640625" style="45" customWidth="1"/>
    <col min="1823" max="1823" width="6" style="45" customWidth="1"/>
    <col min="1824" max="1824" width="18.08984375" style="45" customWidth="1"/>
    <col min="1825" max="2062" width="8.81640625" style="45"/>
    <col min="2063" max="2063" width="2.08984375" style="45" customWidth="1"/>
    <col min="2064" max="2064" width="5.81640625" style="45" customWidth="1"/>
    <col min="2065" max="2065" width="6.81640625" style="45" customWidth="1"/>
    <col min="2066" max="2066" width="6.08984375" style="45" customWidth="1"/>
    <col min="2067" max="2067" width="6.81640625" style="45" customWidth="1"/>
    <col min="2068" max="2068" width="10.81640625" style="45" customWidth="1"/>
    <col min="2069" max="2069" width="11.54296875" style="45" customWidth="1"/>
    <col min="2070" max="2070" width="5.54296875" style="45" customWidth="1"/>
    <col min="2071" max="2071" width="6" style="45" customWidth="1"/>
    <col min="2072" max="2072" width="6.54296875" style="45" customWidth="1"/>
    <col min="2073" max="2073" width="11.08984375" style="45" customWidth="1"/>
    <col min="2074" max="2074" width="7.08984375" style="45" customWidth="1"/>
    <col min="2075" max="2076" width="5.81640625" style="45" customWidth="1"/>
    <col min="2077" max="2077" width="6" style="45" customWidth="1"/>
    <col min="2078" max="2078" width="6.81640625" style="45" customWidth="1"/>
    <col min="2079" max="2079" width="6" style="45" customWidth="1"/>
    <col min="2080" max="2080" width="18.08984375" style="45" customWidth="1"/>
    <col min="2081" max="2318" width="8.81640625" style="45"/>
    <col min="2319" max="2319" width="2.08984375" style="45" customWidth="1"/>
    <col min="2320" max="2320" width="5.81640625" style="45" customWidth="1"/>
    <col min="2321" max="2321" width="6.81640625" style="45" customWidth="1"/>
    <col min="2322" max="2322" width="6.08984375" style="45" customWidth="1"/>
    <col min="2323" max="2323" width="6.81640625" style="45" customWidth="1"/>
    <col min="2324" max="2324" width="10.81640625" style="45" customWidth="1"/>
    <col min="2325" max="2325" width="11.54296875" style="45" customWidth="1"/>
    <col min="2326" max="2326" width="5.54296875" style="45" customWidth="1"/>
    <col min="2327" max="2327" width="6" style="45" customWidth="1"/>
    <col min="2328" max="2328" width="6.54296875" style="45" customWidth="1"/>
    <col min="2329" max="2329" width="11.08984375" style="45" customWidth="1"/>
    <col min="2330" max="2330" width="7.08984375" style="45" customWidth="1"/>
    <col min="2331" max="2332" width="5.81640625" style="45" customWidth="1"/>
    <col min="2333" max="2333" width="6" style="45" customWidth="1"/>
    <col min="2334" max="2334" width="6.81640625" style="45" customWidth="1"/>
    <col min="2335" max="2335" width="6" style="45" customWidth="1"/>
    <col min="2336" max="2336" width="18.08984375" style="45" customWidth="1"/>
    <col min="2337" max="2574" width="8.81640625" style="45"/>
    <col min="2575" max="2575" width="2.08984375" style="45" customWidth="1"/>
    <col min="2576" max="2576" width="5.81640625" style="45" customWidth="1"/>
    <col min="2577" max="2577" width="6.81640625" style="45" customWidth="1"/>
    <col min="2578" max="2578" width="6.08984375" style="45" customWidth="1"/>
    <col min="2579" max="2579" width="6.81640625" style="45" customWidth="1"/>
    <col min="2580" max="2580" width="10.81640625" style="45" customWidth="1"/>
    <col min="2581" max="2581" width="11.54296875" style="45" customWidth="1"/>
    <col min="2582" max="2582" width="5.54296875" style="45" customWidth="1"/>
    <col min="2583" max="2583" width="6" style="45" customWidth="1"/>
    <col min="2584" max="2584" width="6.54296875" style="45" customWidth="1"/>
    <col min="2585" max="2585" width="11.08984375" style="45" customWidth="1"/>
    <col min="2586" max="2586" width="7.08984375" style="45" customWidth="1"/>
    <col min="2587" max="2588" width="5.81640625" style="45" customWidth="1"/>
    <col min="2589" max="2589" width="6" style="45" customWidth="1"/>
    <col min="2590" max="2590" width="6.81640625" style="45" customWidth="1"/>
    <col min="2591" max="2591" width="6" style="45" customWidth="1"/>
    <col min="2592" max="2592" width="18.08984375" style="45" customWidth="1"/>
    <col min="2593" max="2830" width="8.81640625" style="45"/>
    <col min="2831" max="2831" width="2.08984375" style="45" customWidth="1"/>
    <col min="2832" max="2832" width="5.81640625" style="45" customWidth="1"/>
    <col min="2833" max="2833" width="6.81640625" style="45" customWidth="1"/>
    <col min="2834" max="2834" width="6.08984375" style="45" customWidth="1"/>
    <col min="2835" max="2835" width="6.81640625" style="45" customWidth="1"/>
    <col min="2836" max="2836" width="10.81640625" style="45" customWidth="1"/>
    <col min="2837" max="2837" width="11.54296875" style="45" customWidth="1"/>
    <col min="2838" max="2838" width="5.54296875" style="45" customWidth="1"/>
    <col min="2839" max="2839" width="6" style="45" customWidth="1"/>
    <col min="2840" max="2840" width="6.54296875" style="45" customWidth="1"/>
    <col min="2841" max="2841" width="11.08984375" style="45" customWidth="1"/>
    <col min="2842" max="2842" width="7.08984375" style="45" customWidth="1"/>
    <col min="2843" max="2844" width="5.81640625" style="45" customWidth="1"/>
    <col min="2845" max="2845" width="6" style="45" customWidth="1"/>
    <col min="2846" max="2846" width="6.81640625" style="45" customWidth="1"/>
    <col min="2847" max="2847" width="6" style="45" customWidth="1"/>
    <col min="2848" max="2848" width="18.08984375" style="45" customWidth="1"/>
    <col min="2849" max="3086" width="8.81640625" style="45"/>
    <col min="3087" max="3087" width="2.08984375" style="45" customWidth="1"/>
    <col min="3088" max="3088" width="5.81640625" style="45" customWidth="1"/>
    <col min="3089" max="3089" width="6.81640625" style="45" customWidth="1"/>
    <col min="3090" max="3090" width="6.08984375" style="45" customWidth="1"/>
    <col min="3091" max="3091" width="6.81640625" style="45" customWidth="1"/>
    <col min="3092" max="3092" width="10.81640625" style="45" customWidth="1"/>
    <col min="3093" max="3093" width="11.54296875" style="45" customWidth="1"/>
    <col min="3094" max="3094" width="5.54296875" style="45" customWidth="1"/>
    <col min="3095" max="3095" width="6" style="45" customWidth="1"/>
    <col min="3096" max="3096" width="6.54296875" style="45" customWidth="1"/>
    <col min="3097" max="3097" width="11.08984375" style="45" customWidth="1"/>
    <col min="3098" max="3098" width="7.08984375" style="45" customWidth="1"/>
    <col min="3099" max="3100" width="5.81640625" style="45" customWidth="1"/>
    <col min="3101" max="3101" width="6" style="45" customWidth="1"/>
    <col min="3102" max="3102" width="6.81640625" style="45" customWidth="1"/>
    <col min="3103" max="3103" width="6" style="45" customWidth="1"/>
    <col min="3104" max="3104" width="18.08984375" style="45" customWidth="1"/>
    <col min="3105" max="3342" width="8.81640625" style="45"/>
    <col min="3343" max="3343" width="2.08984375" style="45" customWidth="1"/>
    <col min="3344" max="3344" width="5.81640625" style="45" customWidth="1"/>
    <col min="3345" max="3345" width="6.81640625" style="45" customWidth="1"/>
    <col min="3346" max="3346" width="6.08984375" style="45" customWidth="1"/>
    <col min="3347" max="3347" width="6.81640625" style="45" customWidth="1"/>
    <col min="3348" max="3348" width="10.81640625" style="45" customWidth="1"/>
    <col min="3349" max="3349" width="11.54296875" style="45" customWidth="1"/>
    <col min="3350" max="3350" width="5.54296875" style="45" customWidth="1"/>
    <col min="3351" max="3351" width="6" style="45" customWidth="1"/>
    <col min="3352" max="3352" width="6.54296875" style="45" customWidth="1"/>
    <col min="3353" max="3353" width="11.08984375" style="45" customWidth="1"/>
    <col min="3354" max="3354" width="7.08984375" style="45" customWidth="1"/>
    <col min="3355" max="3356" width="5.81640625" style="45" customWidth="1"/>
    <col min="3357" max="3357" width="6" style="45" customWidth="1"/>
    <col min="3358" max="3358" width="6.81640625" style="45" customWidth="1"/>
    <col min="3359" max="3359" width="6" style="45" customWidth="1"/>
    <col min="3360" max="3360" width="18.08984375" style="45" customWidth="1"/>
    <col min="3361" max="3598" width="8.81640625" style="45"/>
    <col min="3599" max="3599" width="2.08984375" style="45" customWidth="1"/>
    <col min="3600" max="3600" width="5.81640625" style="45" customWidth="1"/>
    <col min="3601" max="3601" width="6.81640625" style="45" customWidth="1"/>
    <col min="3602" max="3602" width="6.08984375" style="45" customWidth="1"/>
    <col min="3603" max="3603" width="6.81640625" style="45" customWidth="1"/>
    <col min="3604" max="3604" width="10.81640625" style="45" customWidth="1"/>
    <col min="3605" max="3605" width="11.54296875" style="45" customWidth="1"/>
    <col min="3606" max="3606" width="5.54296875" style="45" customWidth="1"/>
    <col min="3607" max="3607" width="6" style="45" customWidth="1"/>
    <col min="3608" max="3608" width="6.54296875" style="45" customWidth="1"/>
    <col min="3609" max="3609" width="11.08984375" style="45" customWidth="1"/>
    <col min="3610" max="3610" width="7.08984375" style="45" customWidth="1"/>
    <col min="3611" max="3612" width="5.81640625" style="45" customWidth="1"/>
    <col min="3613" max="3613" width="6" style="45" customWidth="1"/>
    <col min="3614" max="3614" width="6.81640625" style="45" customWidth="1"/>
    <col min="3615" max="3615" width="6" style="45" customWidth="1"/>
    <col min="3616" max="3616" width="18.08984375" style="45" customWidth="1"/>
    <col min="3617" max="3854" width="8.81640625" style="45"/>
    <col min="3855" max="3855" width="2.08984375" style="45" customWidth="1"/>
    <col min="3856" max="3856" width="5.81640625" style="45" customWidth="1"/>
    <col min="3857" max="3857" width="6.81640625" style="45" customWidth="1"/>
    <col min="3858" max="3858" width="6.08984375" style="45" customWidth="1"/>
    <col min="3859" max="3859" width="6.81640625" style="45" customWidth="1"/>
    <col min="3860" max="3860" width="10.81640625" style="45" customWidth="1"/>
    <col min="3861" max="3861" width="11.54296875" style="45" customWidth="1"/>
    <col min="3862" max="3862" width="5.54296875" style="45" customWidth="1"/>
    <col min="3863" max="3863" width="6" style="45" customWidth="1"/>
    <col min="3864" max="3864" width="6.54296875" style="45" customWidth="1"/>
    <col min="3865" max="3865" width="11.08984375" style="45" customWidth="1"/>
    <col min="3866" max="3866" width="7.08984375" style="45" customWidth="1"/>
    <col min="3867" max="3868" width="5.81640625" style="45" customWidth="1"/>
    <col min="3869" max="3869" width="6" style="45" customWidth="1"/>
    <col min="3870" max="3870" width="6.81640625" style="45" customWidth="1"/>
    <col min="3871" max="3871" width="6" style="45" customWidth="1"/>
    <col min="3872" max="3872" width="18.08984375" style="45" customWidth="1"/>
    <col min="3873" max="4110" width="8.81640625" style="45"/>
    <col min="4111" max="4111" width="2.08984375" style="45" customWidth="1"/>
    <col min="4112" max="4112" width="5.81640625" style="45" customWidth="1"/>
    <col min="4113" max="4113" width="6.81640625" style="45" customWidth="1"/>
    <col min="4114" max="4114" width="6.08984375" style="45" customWidth="1"/>
    <col min="4115" max="4115" width="6.81640625" style="45" customWidth="1"/>
    <col min="4116" max="4116" width="10.81640625" style="45" customWidth="1"/>
    <col min="4117" max="4117" width="11.54296875" style="45" customWidth="1"/>
    <col min="4118" max="4118" width="5.54296875" style="45" customWidth="1"/>
    <col min="4119" max="4119" width="6" style="45" customWidth="1"/>
    <col min="4120" max="4120" width="6.54296875" style="45" customWidth="1"/>
    <col min="4121" max="4121" width="11.08984375" style="45" customWidth="1"/>
    <col min="4122" max="4122" width="7.08984375" style="45" customWidth="1"/>
    <col min="4123" max="4124" width="5.81640625" style="45" customWidth="1"/>
    <col min="4125" max="4125" width="6" style="45" customWidth="1"/>
    <col min="4126" max="4126" width="6.81640625" style="45" customWidth="1"/>
    <col min="4127" max="4127" width="6" style="45" customWidth="1"/>
    <col min="4128" max="4128" width="18.08984375" style="45" customWidth="1"/>
    <col min="4129" max="4366" width="8.81640625" style="45"/>
    <col min="4367" max="4367" width="2.08984375" style="45" customWidth="1"/>
    <col min="4368" max="4368" width="5.81640625" style="45" customWidth="1"/>
    <col min="4369" max="4369" width="6.81640625" style="45" customWidth="1"/>
    <col min="4370" max="4370" width="6.08984375" style="45" customWidth="1"/>
    <col min="4371" max="4371" width="6.81640625" style="45" customWidth="1"/>
    <col min="4372" max="4372" width="10.81640625" style="45" customWidth="1"/>
    <col min="4373" max="4373" width="11.54296875" style="45" customWidth="1"/>
    <col min="4374" max="4374" width="5.54296875" style="45" customWidth="1"/>
    <col min="4375" max="4375" width="6" style="45" customWidth="1"/>
    <col min="4376" max="4376" width="6.54296875" style="45" customWidth="1"/>
    <col min="4377" max="4377" width="11.08984375" style="45" customWidth="1"/>
    <col min="4378" max="4378" width="7.08984375" style="45" customWidth="1"/>
    <col min="4379" max="4380" width="5.81640625" style="45" customWidth="1"/>
    <col min="4381" max="4381" width="6" style="45" customWidth="1"/>
    <col min="4382" max="4382" width="6.81640625" style="45" customWidth="1"/>
    <col min="4383" max="4383" width="6" style="45" customWidth="1"/>
    <col min="4384" max="4384" width="18.08984375" style="45" customWidth="1"/>
    <col min="4385" max="4622" width="8.81640625" style="45"/>
    <col min="4623" max="4623" width="2.08984375" style="45" customWidth="1"/>
    <col min="4624" max="4624" width="5.81640625" style="45" customWidth="1"/>
    <col min="4625" max="4625" width="6.81640625" style="45" customWidth="1"/>
    <col min="4626" max="4626" width="6.08984375" style="45" customWidth="1"/>
    <col min="4627" max="4627" width="6.81640625" style="45" customWidth="1"/>
    <col min="4628" max="4628" width="10.81640625" style="45" customWidth="1"/>
    <col min="4629" max="4629" width="11.54296875" style="45" customWidth="1"/>
    <col min="4630" max="4630" width="5.54296875" style="45" customWidth="1"/>
    <col min="4631" max="4631" width="6" style="45" customWidth="1"/>
    <col min="4632" max="4632" width="6.54296875" style="45" customWidth="1"/>
    <col min="4633" max="4633" width="11.08984375" style="45" customWidth="1"/>
    <col min="4634" max="4634" width="7.08984375" style="45" customWidth="1"/>
    <col min="4635" max="4636" width="5.81640625" style="45" customWidth="1"/>
    <col min="4637" max="4637" width="6" style="45" customWidth="1"/>
    <col min="4638" max="4638" width="6.81640625" style="45" customWidth="1"/>
    <col min="4639" max="4639" width="6" style="45" customWidth="1"/>
    <col min="4640" max="4640" width="18.08984375" style="45" customWidth="1"/>
    <col min="4641" max="4878" width="8.81640625" style="45"/>
    <col min="4879" max="4879" width="2.08984375" style="45" customWidth="1"/>
    <col min="4880" max="4880" width="5.81640625" style="45" customWidth="1"/>
    <col min="4881" max="4881" width="6.81640625" style="45" customWidth="1"/>
    <col min="4882" max="4882" width="6.08984375" style="45" customWidth="1"/>
    <col min="4883" max="4883" width="6.81640625" style="45" customWidth="1"/>
    <col min="4884" max="4884" width="10.81640625" style="45" customWidth="1"/>
    <col min="4885" max="4885" width="11.54296875" style="45" customWidth="1"/>
    <col min="4886" max="4886" width="5.54296875" style="45" customWidth="1"/>
    <col min="4887" max="4887" width="6" style="45" customWidth="1"/>
    <col min="4888" max="4888" width="6.54296875" style="45" customWidth="1"/>
    <col min="4889" max="4889" width="11.08984375" style="45" customWidth="1"/>
    <col min="4890" max="4890" width="7.08984375" style="45" customWidth="1"/>
    <col min="4891" max="4892" width="5.81640625" style="45" customWidth="1"/>
    <col min="4893" max="4893" width="6" style="45" customWidth="1"/>
    <col min="4894" max="4894" width="6.81640625" style="45" customWidth="1"/>
    <col min="4895" max="4895" width="6" style="45" customWidth="1"/>
    <col min="4896" max="4896" width="18.08984375" style="45" customWidth="1"/>
    <col min="4897" max="5134" width="8.81640625" style="45"/>
    <col min="5135" max="5135" width="2.08984375" style="45" customWidth="1"/>
    <col min="5136" max="5136" width="5.81640625" style="45" customWidth="1"/>
    <col min="5137" max="5137" width="6.81640625" style="45" customWidth="1"/>
    <col min="5138" max="5138" width="6.08984375" style="45" customWidth="1"/>
    <col min="5139" max="5139" width="6.81640625" style="45" customWidth="1"/>
    <col min="5140" max="5140" width="10.81640625" style="45" customWidth="1"/>
    <col min="5141" max="5141" width="11.54296875" style="45" customWidth="1"/>
    <col min="5142" max="5142" width="5.54296875" style="45" customWidth="1"/>
    <col min="5143" max="5143" width="6" style="45" customWidth="1"/>
    <col min="5144" max="5144" width="6.54296875" style="45" customWidth="1"/>
    <col min="5145" max="5145" width="11.08984375" style="45" customWidth="1"/>
    <col min="5146" max="5146" width="7.08984375" style="45" customWidth="1"/>
    <col min="5147" max="5148" width="5.81640625" style="45" customWidth="1"/>
    <col min="5149" max="5149" width="6" style="45" customWidth="1"/>
    <col min="5150" max="5150" width="6.81640625" style="45" customWidth="1"/>
    <col min="5151" max="5151" width="6" style="45" customWidth="1"/>
    <col min="5152" max="5152" width="18.08984375" style="45" customWidth="1"/>
    <col min="5153" max="5390" width="8.81640625" style="45"/>
    <col min="5391" max="5391" width="2.08984375" style="45" customWidth="1"/>
    <col min="5392" max="5392" width="5.81640625" style="45" customWidth="1"/>
    <col min="5393" max="5393" width="6.81640625" style="45" customWidth="1"/>
    <col min="5394" max="5394" width="6.08984375" style="45" customWidth="1"/>
    <col min="5395" max="5395" width="6.81640625" style="45" customWidth="1"/>
    <col min="5396" max="5396" width="10.81640625" style="45" customWidth="1"/>
    <col min="5397" max="5397" width="11.54296875" style="45" customWidth="1"/>
    <col min="5398" max="5398" width="5.54296875" style="45" customWidth="1"/>
    <col min="5399" max="5399" width="6" style="45" customWidth="1"/>
    <col min="5400" max="5400" width="6.54296875" style="45" customWidth="1"/>
    <col min="5401" max="5401" width="11.08984375" style="45" customWidth="1"/>
    <col min="5402" max="5402" width="7.08984375" style="45" customWidth="1"/>
    <col min="5403" max="5404" width="5.81640625" style="45" customWidth="1"/>
    <col min="5405" max="5405" width="6" style="45" customWidth="1"/>
    <col min="5406" max="5406" width="6.81640625" style="45" customWidth="1"/>
    <col min="5407" max="5407" width="6" style="45" customWidth="1"/>
    <col min="5408" max="5408" width="18.08984375" style="45" customWidth="1"/>
    <col min="5409" max="5646" width="8.81640625" style="45"/>
    <col min="5647" max="5647" width="2.08984375" style="45" customWidth="1"/>
    <col min="5648" max="5648" width="5.81640625" style="45" customWidth="1"/>
    <col min="5649" max="5649" width="6.81640625" style="45" customWidth="1"/>
    <col min="5650" max="5650" width="6.08984375" style="45" customWidth="1"/>
    <col min="5651" max="5651" width="6.81640625" style="45" customWidth="1"/>
    <col min="5652" max="5652" width="10.81640625" style="45" customWidth="1"/>
    <col min="5653" max="5653" width="11.54296875" style="45" customWidth="1"/>
    <col min="5654" max="5654" width="5.54296875" style="45" customWidth="1"/>
    <col min="5655" max="5655" width="6" style="45" customWidth="1"/>
    <col min="5656" max="5656" width="6.54296875" style="45" customWidth="1"/>
    <col min="5657" max="5657" width="11.08984375" style="45" customWidth="1"/>
    <col min="5658" max="5658" width="7.08984375" style="45" customWidth="1"/>
    <col min="5659" max="5660" width="5.81640625" style="45" customWidth="1"/>
    <col min="5661" max="5661" width="6" style="45" customWidth="1"/>
    <col min="5662" max="5662" width="6.81640625" style="45" customWidth="1"/>
    <col min="5663" max="5663" width="6" style="45" customWidth="1"/>
    <col min="5664" max="5664" width="18.08984375" style="45" customWidth="1"/>
    <col min="5665" max="5902" width="8.81640625" style="45"/>
    <col min="5903" max="5903" width="2.08984375" style="45" customWidth="1"/>
    <col min="5904" max="5904" width="5.81640625" style="45" customWidth="1"/>
    <col min="5905" max="5905" width="6.81640625" style="45" customWidth="1"/>
    <col min="5906" max="5906" width="6.08984375" style="45" customWidth="1"/>
    <col min="5907" max="5907" width="6.81640625" style="45" customWidth="1"/>
    <col min="5908" max="5908" width="10.81640625" style="45" customWidth="1"/>
    <col min="5909" max="5909" width="11.54296875" style="45" customWidth="1"/>
    <col min="5910" max="5910" width="5.54296875" style="45" customWidth="1"/>
    <col min="5911" max="5911" width="6" style="45" customWidth="1"/>
    <col min="5912" max="5912" width="6.54296875" style="45" customWidth="1"/>
    <col min="5913" max="5913" width="11.08984375" style="45" customWidth="1"/>
    <col min="5914" max="5914" width="7.08984375" style="45" customWidth="1"/>
    <col min="5915" max="5916" width="5.81640625" style="45" customWidth="1"/>
    <col min="5917" max="5917" width="6" style="45" customWidth="1"/>
    <col min="5918" max="5918" width="6.81640625" style="45" customWidth="1"/>
    <col min="5919" max="5919" width="6" style="45" customWidth="1"/>
    <col min="5920" max="5920" width="18.08984375" style="45" customWidth="1"/>
    <col min="5921" max="6158" width="8.81640625" style="45"/>
    <col min="6159" max="6159" width="2.08984375" style="45" customWidth="1"/>
    <col min="6160" max="6160" width="5.81640625" style="45" customWidth="1"/>
    <col min="6161" max="6161" width="6.81640625" style="45" customWidth="1"/>
    <col min="6162" max="6162" width="6.08984375" style="45" customWidth="1"/>
    <col min="6163" max="6163" width="6.81640625" style="45" customWidth="1"/>
    <col min="6164" max="6164" width="10.81640625" style="45" customWidth="1"/>
    <col min="6165" max="6165" width="11.54296875" style="45" customWidth="1"/>
    <col min="6166" max="6166" width="5.54296875" style="45" customWidth="1"/>
    <col min="6167" max="6167" width="6" style="45" customWidth="1"/>
    <col min="6168" max="6168" width="6.54296875" style="45" customWidth="1"/>
    <col min="6169" max="6169" width="11.08984375" style="45" customWidth="1"/>
    <col min="6170" max="6170" width="7.08984375" style="45" customWidth="1"/>
    <col min="6171" max="6172" width="5.81640625" style="45" customWidth="1"/>
    <col min="6173" max="6173" width="6" style="45" customWidth="1"/>
    <col min="6174" max="6174" width="6.81640625" style="45" customWidth="1"/>
    <col min="6175" max="6175" width="6" style="45" customWidth="1"/>
    <col min="6176" max="6176" width="18.08984375" style="45" customWidth="1"/>
    <col min="6177" max="6414" width="8.81640625" style="45"/>
    <col min="6415" max="6415" width="2.08984375" style="45" customWidth="1"/>
    <col min="6416" max="6416" width="5.81640625" style="45" customWidth="1"/>
    <col min="6417" max="6417" width="6.81640625" style="45" customWidth="1"/>
    <col min="6418" max="6418" width="6.08984375" style="45" customWidth="1"/>
    <col min="6419" max="6419" width="6.81640625" style="45" customWidth="1"/>
    <col min="6420" max="6420" width="10.81640625" style="45" customWidth="1"/>
    <col min="6421" max="6421" width="11.54296875" style="45" customWidth="1"/>
    <col min="6422" max="6422" width="5.54296875" style="45" customWidth="1"/>
    <col min="6423" max="6423" width="6" style="45" customWidth="1"/>
    <col min="6424" max="6424" width="6.54296875" style="45" customWidth="1"/>
    <col min="6425" max="6425" width="11.08984375" style="45" customWidth="1"/>
    <col min="6426" max="6426" width="7.08984375" style="45" customWidth="1"/>
    <col min="6427" max="6428" width="5.81640625" style="45" customWidth="1"/>
    <col min="6429" max="6429" width="6" style="45" customWidth="1"/>
    <col min="6430" max="6430" width="6.81640625" style="45" customWidth="1"/>
    <col min="6431" max="6431" width="6" style="45" customWidth="1"/>
    <col min="6432" max="6432" width="18.08984375" style="45" customWidth="1"/>
    <col min="6433" max="6670" width="8.81640625" style="45"/>
    <col min="6671" max="6671" width="2.08984375" style="45" customWidth="1"/>
    <col min="6672" max="6672" width="5.81640625" style="45" customWidth="1"/>
    <col min="6673" max="6673" width="6.81640625" style="45" customWidth="1"/>
    <col min="6674" max="6674" width="6.08984375" style="45" customWidth="1"/>
    <col min="6675" max="6675" width="6.81640625" style="45" customWidth="1"/>
    <col min="6676" max="6676" width="10.81640625" style="45" customWidth="1"/>
    <col min="6677" max="6677" width="11.54296875" style="45" customWidth="1"/>
    <col min="6678" max="6678" width="5.54296875" style="45" customWidth="1"/>
    <col min="6679" max="6679" width="6" style="45" customWidth="1"/>
    <col min="6680" max="6680" width="6.54296875" style="45" customWidth="1"/>
    <col min="6681" max="6681" width="11.08984375" style="45" customWidth="1"/>
    <col min="6682" max="6682" width="7.08984375" style="45" customWidth="1"/>
    <col min="6683" max="6684" width="5.81640625" style="45" customWidth="1"/>
    <col min="6685" max="6685" width="6" style="45" customWidth="1"/>
    <col min="6686" max="6686" width="6.81640625" style="45" customWidth="1"/>
    <col min="6687" max="6687" width="6" style="45" customWidth="1"/>
    <col min="6688" max="6688" width="18.08984375" style="45" customWidth="1"/>
    <col min="6689" max="6926" width="8.81640625" style="45"/>
    <col min="6927" max="6927" width="2.08984375" style="45" customWidth="1"/>
    <col min="6928" max="6928" width="5.81640625" style="45" customWidth="1"/>
    <col min="6929" max="6929" width="6.81640625" style="45" customWidth="1"/>
    <col min="6930" max="6930" width="6.08984375" style="45" customWidth="1"/>
    <col min="6931" max="6931" width="6.81640625" style="45" customWidth="1"/>
    <col min="6932" max="6932" width="10.81640625" style="45" customWidth="1"/>
    <col min="6933" max="6933" width="11.54296875" style="45" customWidth="1"/>
    <col min="6934" max="6934" width="5.54296875" style="45" customWidth="1"/>
    <col min="6935" max="6935" width="6" style="45" customWidth="1"/>
    <col min="6936" max="6936" width="6.54296875" style="45" customWidth="1"/>
    <col min="6937" max="6937" width="11.08984375" style="45" customWidth="1"/>
    <col min="6938" max="6938" width="7.08984375" style="45" customWidth="1"/>
    <col min="6939" max="6940" width="5.81640625" style="45" customWidth="1"/>
    <col min="6941" max="6941" width="6" style="45" customWidth="1"/>
    <col min="6942" max="6942" width="6.81640625" style="45" customWidth="1"/>
    <col min="6943" max="6943" width="6" style="45" customWidth="1"/>
    <col min="6944" max="6944" width="18.08984375" style="45" customWidth="1"/>
    <col min="6945" max="7182" width="8.81640625" style="45"/>
    <col min="7183" max="7183" width="2.08984375" style="45" customWidth="1"/>
    <col min="7184" max="7184" width="5.81640625" style="45" customWidth="1"/>
    <col min="7185" max="7185" width="6.81640625" style="45" customWidth="1"/>
    <col min="7186" max="7186" width="6.08984375" style="45" customWidth="1"/>
    <col min="7187" max="7187" width="6.81640625" style="45" customWidth="1"/>
    <col min="7188" max="7188" width="10.81640625" style="45" customWidth="1"/>
    <col min="7189" max="7189" width="11.54296875" style="45" customWidth="1"/>
    <col min="7190" max="7190" width="5.54296875" style="45" customWidth="1"/>
    <col min="7191" max="7191" width="6" style="45" customWidth="1"/>
    <col min="7192" max="7192" width="6.54296875" style="45" customWidth="1"/>
    <col min="7193" max="7193" width="11.08984375" style="45" customWidth="1"/>
    <col min="7194" max="7194" width="7.08984375" style="45" customWidth="1"/>
    <col min="7195" max="7196" width="5.81640625" style="45" customWidth="1"/>
    <col min="7197" max="7197" width="6" style="45" customWidth="1"/>
    <col min="7198" max="7198" width="6.81640625" style="45" customWidth="1"/>
    <col min="7199" max="7199" width="6" style="45" customWidth="1"/>
    <col min="7200" max="7200" width="18.08984375" style="45" customWidth="1"/>
    <col min="7201" max="7438" width="8.81640625" style="45"/>
    <col min="7439" max="7439" width="2.08984375" style="45" customWidth="1"/>
    <col min="7440" max="7440" width="5.81640625" style="45" customWidth="1"/>
    <col min="7441" max="7441" width="6.81640625" style="45" customWidth="1"/>
    <col min="7442" max="7442" width="6.08984375" style="45" customWidth="1"/>
    <col min="7443" max="7443" width="6.81640625" style="45" customWidth="1"/>
    <col min="7444" max="7444" width="10.81640625" style="45" customWidth="1"/>
    <col min="7445" max="7445" width="11.54296875" style="45" customWidth="1"/>
    <col min="7446" max="7446" width="5.54296875" style="45" customWidth="1"/>
    <col min="7447" max="7447" width="6" style="45" customWidth="1"/>
    <col min="7448" max="7448" width="6.54296875" style="45" customWidth="1"/>
    <col min="7449" max="7449" width="11.08984375" style="45" customWidth="1"/>
    <col min="7450" max="7450" width="7.08984375" style="45" customWidth="1"/>
    <col min="7451" max="7452" width="5.81640625" style="45" customWidth="1"/>
    <col min="7453" max="7453" width="6" style="45" customWidth="1"/>
    <col min="7454" max="7454" width="6.81640625" style="45" customWidth="1"/>
    <col min="7455" max="7455" width="6" style="45" customWidth="1"/>
    <col min="7456" max="7456" width="18.08984375" style="45" customWidth="1"/>
    <col min="7457" max="7694" width="8.81640625" style="45"/>
    <col min="7695" max="7695" width="2.08984375" style="45" customWidth="1"/>
    <col min="7696" max="7696" width="5.81640625" style="45" customWidth="1"/>
    <col min="7697" max="7697" width="6.81640625" style="45" customWidth="1"/>
    <col min="7698" max="7698" width="6.08984375" style="45" customWidth="1"/>
    <col min="7699" max="7699" width="6.81640625" style="45" customWidth="1"/>
    <col min="7700" max="7700" width="10.81640625" style="45" customWidth="1"/>
    <col min="7701" max="7701" width="11.54296875" style="45" customWidth="1"/>
    <col min="7702" max="7702" width="5.54296875" style="45" customWidth="1"/>
    <col min="7703" max="7703" width="6" style="45" customWidth="1"/>
    <col min="7704" max="7704" width="6.54296875" style="45" customWidth="1"/>
    <col min="7705" max="7705" width="11.08984375" style="45" customWidth="1"/>
    <col min="7706" max="7706" width="7.08984375" style="45" customWidth="1"/>
    <col min="7707" max="7708" width="5.81640625" style="45" customWidth="1"/>
    <col min="7709" max="7709" width="6" style="45" customWidth="1"/>
    <col min="7710" max="7710" width="6.81640625" style="45" customWidth="1"/>
    <col min="7711" max="7711" width="6" style="45" customWidth="1"/>
    <col min="7712" max="7712" width="18.08984375" style="45" customWidth="1"/>
    <col min="7713" max="7950" width="8.81640625" style="45"/>
    <col min="7951" max="7951" width="2.08984375" style="45" customWidth="1"/>
    <col min="7952" max="7952" width="5.81640625" style="45" customWidth="1"/>
    <col min="7953" max="7953" width="6.81640625" style="45" customWidth="1"/>
    <col min="7954" max="7954" width="6.08984375" style="45" customWidth="1"/>
    <col min="7955" max="7955" width="6.81640625" style="45" customWidth="1"/>
    <col min="7956" max="7956" width="10.81640625" style="45" customWidth="1"/>
    <col min="7957" max="7957" width="11.54296875" style="45" customWidth="1"/>
    <col min="7958" max="7958" width="5.54296875" style="45" customWidth="1"/>
    <col min="7959" max="7959" width="6" style="45" customWidth="1"/>
    <col min="7960" max="7960" width="6.54296875" style="45" customWidth="1"/>
    <col min="7961" max="7961" width="11.08984375" style="45" customWidth="1"/>
    <col min="7962" max="7962" width="7.08984375" style="45" customWidth="1"/>
    <col min="7963" max="7964" width="5.81640625" style="45" customWidth="1"/>
    <col min="7965" max="7965" width="6" style="45" customWidth="1"/>
    <col min="7966" max="7966" width="6.81640625" style="45" customWidth="1"/>
    <col min="7967" max="7967" width="6" style="45" customWidth="1"/>
    <col min="7968" max="7968" width="18.08984375" style="45" customWidth="1"/>
    <col min="7969" max="8206" width="8.81640625" style="45"/>
    <col min="8207" max="8207" width="2.08984375" style="45" customWidth="1"/>
    <col min="8208" max="8208" width="5.81640625" style="45" customWidth="1"/>
    <col min="8209" max="8209" width="6.81640625" style="45" customWidth="1"/>
    <col min="8210" max="8210" width="6.08984375" style="45" customWidth="1"/>
    <col min="8211" max="8211" width="6.81640625" style="45" customWidth="1"/>
    <col min="8212" max="8212" width="10.81640625" style="45" customWidth="1"/>
    <col min="8213" max="8213" width="11.54296875" style="45" customWidth="1"/>
    <col min="8214" max="8214" width="5.54296875" style="45" customWidth="1"/>
    <col min="8215" max="8215" width="6" style="45" customWidth="1"/>
    <col min="8216" max="8216" width="6.54296875" style="45" customWidth="1"/>
    <col min="8217" max="8217" width="11.08984375" style="45" customWidth="1"/>
    <col min="8218" max="8218" width="7.08984375" style="45" customWidth="1"/>
    <col min="8219" max="8220" width="5.81640625" style="45" customWidth="1"/>
    <col min="8221" max="8221" width="6" style="45" customWidth="1"/>
    <col min="8222" max="8222" width="6.81640625" style="45" customWidth="1"/>
    <col min="8223" max="8223" width="6" style="45" customWidth="1"/>
    <col min="8224" max="8224" width="18.08984375" style="45" customWidth="1"/>
    <col min="8225" max="8462" width="8.81640625" style="45"/>
    <col min="8463" max="8463" width="2.08984375" style="45" customWidth="1"/>
    <col min="8464" max="8464" width="5.81640625" style="45" customWidth="1"/>
    <col min="8465" max="8465" width="6.81640625" style="45" customWidth="1"/>
    <col min="8466" max="8466" width="6.08984375" style="45" customWidth="1"/>
    <col min="8467" max="8467" width="6.81640625" style="45" customWidth="1"/>
    <col min="8468" max="8468" width="10.81640625" style="45" customWidth="1"/>
    <col min="8469" max="8469" width="11.54296875" style="45" customWidth="1"/>
    <col min="8470" max="8470" width="5.54296875" style="45" customWidth="1"/>
    <col min="8471" max="8471" width="6" style="45" customWidth="1"/>
    <col min="8472" max="8472" width="6.54296875" style="45" customWidth="1"/>
    <col min="8473" max="8473" width="11.08984375" style="45" customWidth="1"/>
    <col min="8474" max="8474" width="7.08984375" style="45" customWidth="1"/>
    <col min="8475" max="8476" width="5.81640625" style="45" customWidth="1"/>
    <col min="8477" max="8477" width="6" style="45" customWidth="1"/>
    <col min="8478" max="8478" width="6.81640625" style="45" customWidth="1"/>
    <col min="8479" max="8479" width="6" style="45" customWidth="1"/>
    <col min="8480" max="8480" width="18.08984375" style="45" customWidth="1"/>
    <col min="8481" max="8718" width="8.81640625" style="45"/>
    <col min="8719" max="8719" width="2.08984375" style="45" customWidth="1"/>
    <col min="8720" max="8720" width="5.81640625" style="45" customWidth="1"/>
    <col min="8721" max="8721" width="6.81640625" style="45" customWidth="1"/>
    <col min="8722" max="8722" width="6.08984375" style="45" customWidth="1"/>
    <col min="8723" max="8723" width="6.81640625" style="45" customWidth="1"/>
    <col min="8724" max="8724" width="10.81640625" style="45" customWidth="1"/>
    <col min="8725" max="8725" width="11.54296875" style="45" customWidth="1"/>
    <col min="8726" max="8726" width="5.54296875" style="45" customWidth="1"/>
    <col min="8727" max="8727" width="6" style="45" customWidth="1"/>
    <col min="8728" max="8728" width="6.54296875" style="45" customWidth="1"/>
    <col min="8729" max="8729" width="11.08984375" style="45" customWidth="1"/>
    <col min="8730" max="8730" width="7.08984375" style="45" customWidth="1"/>
    <col min="8731" max="8732" width="5.81640625" style="45" customWidth="1"/>
    <col min="8733" max="8733" width="6" style="45" customWidth="1"/>
    <col min="8734" max="8734" width="6.81640625" style="45" customWidth="1"/>
    <col min="8735" max="8735" width="6" style="45" customWidth="1"/>
    <col min="8736" max="8736" width="18.08984375" style="45" customWidth="1"/>
    <col min="8737" max="8974" width="8.81640625" style="45"/>
    <col min="8975" max="8975" width="2.08984375" style="45" customWidth="1"/>
    <col min="8976" max="8976" width="5.81640625" style="45" customWidth="1"/>
    <col min="8977" max="8977" width="6.81640625" style="45" customWidth="1"/>
    <col min="8978" max="8978" width="6.08984375" style="45" customWidth="1"/>
    <col min="8979" max="8979" width="6.81640625" style="45" customWidth="1"/>
    <col min="8980" max="8980" width="10.81640625" style="45" customWidth="1"/>
    <col min="8981" max="8981" width="11.54296875" style="45" customWidth="1"/>
    <col min="8982" max="8982" width="5.54296875" style="45" customWidth="1"/>
    <col min="8983" max="8983" width="6" style="45" customWidth="1"/>
    <col min="8984" max="8984" width="6.54296875" style="45" customWidth="1"/>
    <col min="8985" max="8985" width="11.08984375" style="45" customWidth="1"/>
    <col min="8986" max="8986" width="7.08984375" style="45" customWidth="1"/>
    <col min="8987" max="8988" width="5.81640625" style="45" customWidth="1"/>
    <col min="8989" max="8989" width="6" style="45" customWidth="1"/>
    <col min="8990" max="8990" width="6.81640625" style="45" customWidth="1"/>
    <col min="8991" max="8991" width="6" style="45" customWidth="1"/>
    <col min="8992" max="8992" width="18.08984375" style="45" customWidth="1"/>
    <col min="8993" max="9230" width="8.81640625" style="45"/>
    <col min="9231" max="9231" width="2.08984375" style="45" customWidth="1"/>
    <col min="9232" max="9232" width="5.81640625" style="45" customWidth="1"/>
    <col min="9233" max="9233" width="6.81640625" style="45" customWidth="1"/>
    <col min="9234" max="9234" width="6.08984375" style="45" customWidth="1"/>
    <col min="9235" max="9235" width="6.81640625" style="45" customWidth="1"/>
    <col min="9236" max="9236" width="10.81640625" style="45" customWidth="1"/>
    <col min="9237" max="9237" width="11.54296875" style="45" customWidth="1"/>
    <col min="9238" max="9238" width="5.54296875" style="45" customWidth="1"/>
    <col min="9239" max="9239" width="6" style="45" customWidth="1"/>
    <col min="9240" max="9240" width="6.54296875" style="45" customWidth="1"/>
    <col min="9241" max="9241" width="11.08984375" style="45" customWidth="1"/>
    <col min="9242" max="9242" width="7.08984375" style="45" customWidth="1"/>
    <col min="9243" max="9244" width="5.81640625" style="45" customWidth="1"/>
    <col min="9245" max="9245" width="6" style="45" customWidth="1"/>
    <col min="9246" max="9246" width="6.81640625" style="45" customWidth="1"/>
    <col min="9247" max="9247" width="6" style="45" customWidth="1"/>
    <col min="9248" max="9248" width="18.08984375" style="45" customWidth="1"/>
    <col min="9249" max="9486" width="8.81640625" style="45"/>
    <col min="9487" max="9487" width="2.08984375" style="45" customWidth="1"/>
    <col min="9488" max="9488" width="5.81640625" style="45" customWidth="1"/>
    <col min="9489" max="9489" width="6.81640625" style="45" customWidth="1"/>
    <col min="9490" max="9490" width="6.08984375" style="45" customWidth="1"/>
    <col min="9491" max="9491" width="6.81640625" style="45" customWidth="1"/>
    <col min="9492" max="9492" width="10.81640625" style="45" customWidth="1"/>
    <col min="9493" max="9493" width="11.54296875" style="45" customWidth="1"/>
    <col min="9494" max="9494" width="5.54296875" style="45" customWidth="1"/>
    <col min="9495" max="9495" width="6" style="45" customWidth="1"/>
    <col min="9496" max="9496" width="6.54296875" style="45" customWidth="1"/>
    <col min="9497" max="9497" width="11.08984375" style="45" customWidth="1"/>
    <col min="9498" max="9498" width="7.08984375" style="45" customWidth="1"/>
    <col min="9499" max="9500" width="5.81640625" style="45" customWidth="1"/>
    <col min="9501" max="9501" width="6" style="45" customWidth="1"/>
    <col min="9502" max="9502" width="6.81640625" style="45" customWidth="1"/>
    <col min="9503" max="9503" width="6" style="45" customWidth="1"/>
    <col min="9504" max="9504" width="18.08984375" style="45" customWidth="1"/>
    <col min="9505" max="9742" width="8.81640625" style="45"/>
    <col min="9743" max="9743" width="2.08984375" style="45" customWidth="1"/>
    <col min="9744" max="9744" width="5.81640625" style="45" customWidth="1"/>
    <col min="9745" max="9745" width="6.81640625" style="45" customWidth="1"/>
    <col min="9746" max="9746" width="6.08984375" style="45" customWidth="1"/>
    <col min="9747" max="9747" width="6.81640625" style="45" customWidth="1"/>
    <col min="9748" max="9748" width="10.81640625" style="45" customWidth="1"/>
    <col min="9749" max="9749" width="11.54296875" style="45" customWidth="1"/>
    <col min="9750" max="9750" width="5.54296875" style="45" customWidth="1"/>
    <col min="9751" max="9751" width="6" style="45" customWidth="1"/>
    <col min="9752" max="9752" width="6.54296875" style="45" customWidth="1"/>
    <col min="9753" max="9753" width="11.08984375" style="45" customWidth="1"/>
    <col min="9754" max="9754" width="7.08984375" style="45" customWidth="1"/>
    <col min="9755" max="9756" width="5.81640625" style="45" customWidth="1"/>
    <col min="9757" max="9757" width="6" style="45" customWidth="1"/>
    <col min="9758" max="9758" width="6.81640625" style="45" customWidth="1"/>
    <col min="9759" max="9759" width="6" style="45" customWidth="1"/>
    <col min="9760" max="9760" width="18.08984375" style="45" customWidth="1"/>
    <col min="9761" max="9998" width="8.81640625" style="45"/>
    <col min="9999" max="9999" width="2.08984375" style="45" customWidth="1"/>
    <col min="10000" max="10000" width="5.81640625" style="45" customWidth="1"/>
    <col min="10001" max="10001" width="6.81640625" style="45" customWidth="1"/>
    <col min="10002" max="10002" width="6.08984375" style="45" customWidth="1"/>
    <col min="10003" max="10003" width="6.81640625" style="45" customWidth="1"/>
    <col min="10004" max="10004" width="10.81640625" style="45" customWidth="1"/>
    <col min="10005" max="10005" width="11.54296875" style="45" customWidth="1"/>
    <col min="10006" max="10006" width="5.54296875" style="45" customWidth="1"/>
    <col min="10007" max="10007" width="6" style="45" customWidth="1"/>
    <col min="10008" max="10008" width="6.54296875" style="45" customWidth="1"/>
    <col min="10009" max="10009" width="11.08984375" style="45" customWidth="1"/>
    <col min="10010" max="10010" width="7.08984375" style="45" customWidth="1"/>
    <col min="10011" max="10012" width="5.81640625" style="45" customWidth="1"/>
    <col min="10013" max="10013" width="6" style="45" customWidth="1"/>
    <col min="10014" max="10014" width="6.81640625" style="45" customWidth="1"/>
    <col min="10015" max="10015" width="6" style="45" customWidth="1"/>
    <col min="10016" max="10016" width="18.08984375" style="45" customWidth="1"/>
    <col min="10017" max="10254" width="8.81640625" style="45"/>
    <col min="10255" max="10255" width="2.08984375" style="45" customWidth="1"/>
    <col min="10256" max="10256" width="5.81640625" style="45" customWidth="1"/>
    <col min="10257" max="10257" width="6.81640625" style="45" customWidth="1"/>
    <col min="10258" max="10258" width="6.08984375" style="45" customWidth="1"/>
    <col min="10259" max="10259" width="6.81640625" style="45" customWidth="1"/>
    <col min="10260" max="10260" width="10.81640625" style="45" customWidth="1"/>
    <col min="10261" max="10261" width="11.54296875" style="45" customWidth="1"/>
    <col min="10262" max="10262" width="5.54296875" style="45" customWidth="1"/>
    <col min="10263" max="10263" width="6" style="45" customWidth="1"/>
    <col min="10264" max="10264" width="6.54296875" style="45" customWidth="1"/>
    <col min="10265" max="10265" width="11.08984375" style="45" customWidth="1"/>
    <col min="10266" max="10266" width="7.08984375" style="45" customWidth="1"/>
    <col min="10267" max="10268" width="5.81640625" style="45" customWidth="1"/>
    <col min="10269" max="10269" width="6" style="45" customWidth="1"/>
    <col min="10270" max="10270" width="6.81640625" style="45" customWidth="1"/>
    <col min="10271" max="10271" width="6" style="45" customWidth="1"/>
    <col min="10272" max="10272" width="18.08984375" style="45" customWidth="1"/>
    <col min="10273" max="10510" width="8.81640625" style="45"/>
    <col min="10511" max="10511" width="2.08984375" style="45" customWidth="1"/>
    <col min="10512" max="10512" width="5.81640625" style="45" customWidth="1"/>
    <col min="10513" max="10513" width="6.81640625" style="45" customWidth="1"/>
    <col min="10514" max="10514" width="6.08984375" style="45" customWidth="1"/>
    <col min="10515" max="10515" width="6.81640625" style="45" customWidth="1"/>
    <col min="10516" max="10516" width="10.81640625" style="45" customWidth="1"/>
    <col min="10517" max="10517" width="11.54296875" style="45" customWidth="1"/>
    <col min="10518" max="10518" width="5.54296875" style="45" customWidth="1"/>
    <col min="10519" max="10519" width="6" style="45" customWidth="1"/>
    <col min="10520" max="10520" width="6.54296875" style="45" customWidth="1"/>
    <col min="10521" max="10521" width="11.08984375" style="45" customWidth="1"/>
    <col min="10522" max="10522" width="7.08984375" style="45" customWidth="1"/>
    <col min="10523" max="10524" width="5.81640625" style="45" customWidth="1"/>
    <col min="10525" max="10525" width="6" style="45" customWidth="1"/>
    <col min="10526" max="10526" width="6.81640625" style="45" customWidth="1"/>
    <col min="10527" max="10527" width="6" style="45" customWidth="1"/>
    <col min="10528" max="10528" width="18.08984375" style="45" customWidth="1"/>
    <col min="10529" max="10766" width="8.81640625" style="45"/>
    <col min="10767" max="10767" width="2.08984375" style="45" customWidth="1"/>
    <col min="10768" max="10768" width="5.81640625" style="45" customWidth="1"/>
    <col min="10769" max="10769" width="6.81640625" style="45" customWidth="1"/>
    <col min="10770" max="10770" width="6.08984375" style="45" customWidth="1"/>
    <col min="10771" max="10771" width="6.81640625" style="45" customWidth="1"/>
    <col min="10772" max="10772" width="10.81640625" style="45" customWidth="1"/>
    <col min="10773" max="10773" width="11.54296875" style="45" customWidth="1"/>
    <col min="10774" max="10774" width="5.54296875" style="45" customWidth="1"/>
    <col min="10775" max="10775" width="6" style="45" customWidth="1"/>
    <col min="10776" max="10776" width="6.54296875" style="45" customWidth="1"/>
    <col min="10777" max="10777" width="11.08984375" style="45" customWidth="1"/>
    <col min="10778" max="10778" width="7.08984375" style="45" customWidth="1"/>
    <col min="10779" max="10780" width="5.81640625" style="45" customWidth="1"/>
    <col min="10781" max="10781" width="6" style="45" customWidth="1"/>
    <col min="10782" max="10782" width="6.81640625" style="45" customWidth="1"/>
    <col min="10783" max="10783" width="6" style="45" customWidth="1"/>
    <col min="10784" max="10784" width="18.08984375" style="45" customWidth="1"/>
    <col min="10785" max="11022" width="8.81640625" style="45"/>
    <col min="11023" max="11023" width="2.08984375" style="45" customWidth="1"/>
    <col min="11024" max="11024" width="5.81640625" style="45" customWidth="1"/>
    <col min="11025" max="11025" width="6.81640625" style="45" customWidth="1"/>
    <col min="11026" max="11026" width="6.08984375" style="45" customWidth="1"/>
    <col min="11027" max="11027" width="6.81640625" style="45" customWidth="1"/>
    <col min="11028" max="11028" width="10.81640625" style="45" customWidth="1"/>
    <col min="11029" max="11029" width="11.54296875" style="45" customWidth="1"/>
    <col min="11030" max="11030" width="5.54296875" style="45" customWidth="1"/>
    <col min="11031" max="11031" width="6" style="45" customWidth="1"/>
    <col min="11032" max="11032" width="6.54296875" style="45" customWidth="1"/>
    <col min="11033" max="11033" width="11.08984375" style="45" customWidth="1"/>
    <col min="11034" max="11034" width="7.08984375" style="45" customWidth="1"/>
    <col min="11035" max="11036" width="5.81640625" style="45" customWidth="1"/>
    <col min="11037" max="11037" width="6" style="45" customWidth="1"/>
    <col min="11038" max="11038" width="6.81640625" style="45" customWidth="1"/>
    <col min="11039" max="11039" width="6" style="45" customWidth="1"/>
    <col min="11040" max="11040" width="18.08984375" style="45" customWidth="1"/>
    <col min="11041" max="11278" width="8.81640625" style="45"/>
    <col min="11279" max="11279" width="2.08984375" style="45" customWidth="1"/>
    <col min="11280" max="11280" width="5.81640625" style="45" customWidth="1"/>
    <col min="11281" max="11281" width="6.81640625" style="45" customWidth="1"/>
    <col min="11282" max="11282" width="6.08984375" style="45" customWidth="1"/>
    <col min="11283" max="11283" width="6.81640625" style="45" customWidth="1"/>
    <col min="11284" max="11284" width="10.81640625" style="45" customWidth="1"/>
    <col min="11285" max="11285" width="11.54296875" style="45" customWidth="1"/>
    <col min="11286" max="11286" width="5.54296875" style="45" customWidth="1"/>
    <col min="11287" max="11287" width="6" style="45" customWidth="1"/>
    <col min="11288" max="11288" width="6.54296875" style="45" customWidth="1"/>
    <col min="11289" max="11289" width="11.08984375" style="45" customWidth="1"/>
    <col min="11290" max="11290" width="7.08984375" style="45" customWidth="1"/>
    <col min="11291" max="11292" width="5.81640625" style="45" customWidth="1"/>
    <col min="11293" max="11293" width="6" style="45" customWidth="1"/>
    <col min="11294" max="11294" width="6.81640625" style="45" customWidth="1"/>
    <col min="11295" max="11295" width="6" style="45" customWidth="1"/>
    <col min="11296" max="11296" width="18.08984375" style="45" customWidth="1"/>
    <col min="11297" max="11534" width="8.81640625" style="45"/>
    <col min="11535" max="11535" width="2.08984375" style="45" customWidth="1"/>
    <col min="11536" max="11536" width="5.81640625" style="45" customWidth="1"/>
    <col min="11537" max="11537" width="6.81640625" style="45" customWidth="1"/>
    <col min="11538" max="11538" width="6.08984375" style="45" customWidth="1"/>
    <col min="11539" max="11539" width="6.81640625" style="45" customWidth="1"/>
    <col min="11540" max="11540" width="10.81640625" style="45" customWidth="1"/>
    <col min="11541" max="11541" width="11.54296875" style="45" customWidth="1"/>
    <col min="11542" max="11542" width="5.54296875" style="45" customWidth="1"/>
    <col min="11543" max="11543" width="6" style="45" customWidth="1"/>
    <col min="11544" max="11544" width="6.54296875" style="45" customWidth="1"/>
    <col min="11545" max="11545" width="11.08984375" style="45" customWidth="1"/>
    <col min="11546" max="11546" width="7.08984375" style="45" customWidth="1"/>
    <col min="11547" max="11548" width="5.81640625" style="45" customWidth="1"/>
    <col min="11549" max="11549" width="6" style="45" customWidth="1"/>
    <col min="11550" max="11550" width="6.81640625" style="45" customWidth="1"/>
    <col min="11551" max="11551" width="6" style="45" customWidth="1"/>
    <col min="11552" max="11552" width="18.08984375" style="45" customWidth="1"/>
    <col min="11553" max="11790" width="8.81640625" style="45"/>
    <col min="11791" max="11791" width="2.08984375" style="45" customWidth="1"/>
    <col min="11792" max="11792" width="5.81640625" style="45" customWidth="1"/>
    <col min="11793" max="11793" width="6.81640625" style="45" customWidth="1"/>
    <col min="11794" max="11794" width="6.08984375" style="45" customWidth="1"/>
    <col min="11795" max="11795" width="6.81640625" style="45" customWidth="1"/>
    <col min="11796" max="11796" width="10.81640625" style="45" customWidth="1"/>
    <col min="11797" max="11797" width="11.54296875" style="45" customWidth="1"/>
    <col min="11798" max="11798" width="5.54296875" style="45" customWidth="1"/>
    <col min="11799" max="11799" width="6" style="45" customWidth="1"/>
    <col min="11800" max="11800" width="6.54296875" style="45" customWidth="1"/>
    <col min="11801" max="11801" width="11.08984375" style="45" customWidth="1"/>
    <col min="11802" max="11802" width="7.08984375" style="45" customWidth="1"/>
    <col min="11803" max="11804" width="5.81640625" style="45" customWidth="1"/>
    <col min="11805" max="11805" width="6" style="45" customWidth="1"/>
    <col min="11806" max="11806" width="6.81640625" style="45" customWidth="1"/>
    <col min="11807" max="11807" width="6" style="45" customWidth="1"/>
    <col min="11808" max="11808" width="18.08984375" style="45" customWidth="1"/>
    <col min="11809" max="12046" width="8.81640625" style="45"/>
    <col min="12047" max="12047" width="2.08984375" style="45" customWidth="1"/>
    <col min="12048" max="12048" width="5.81640625" style="45" customWidth="1"/>
    <col min="12049" max="12049" width="6.81640625" style="45" customWidth="1"/>
    <col min="12050" max="12050" width="6.08984375" style="45" customWidth="1"/>
    <col min="12051" max="12051" width="6.81640625" style="45" customWidth="1"/>
    <col min="12052" max="12052" width="10.81640625" style="45" customWidth="1"/>
    <col min="12053" max="12053" width="11.54296875" style="45" customWidth="1"/>
    <col min="12054" max="12054" width="5.54296875" style="45" customWidth="1"/>
    <col min="12055" max="12055" width="6" style="45" customWidth="1"/>
    <col min="12056" max="12056" width="6.54296875" style="45" customWidth="1"/>
    <col min="12057" max="12057" width="11.08984375" style="45" customWidth="1"/>
    <col min="12058" max="12058" width="7.08984375" style="45" customWidth="1"/>
    <col min="12059" max="12060" width="5.81640625" style="45" customWidth="1"/>
    <col min="12061" max="12061" width="6" style="45" customWidth="1"/>
    <col min="12062" max="12062" width="6.81640625" style="45" customWidth="1"/>
    <col min="12063" max="12063" width="6" style="45" customWidth="1"/>
    <col min="12064" max="12064" width="18.08984375" style="45" customWidth="1"/>
    <col min="12065" max="12302" width="8.81640625" style="45"/>
    <col min="12303" max="12303" width="2.08984375" style="45" customWidth="1"/>
    <col min="12304" max="12304" width="5.81640625" style="45" customWidth="1"/>
    <col min="12305" max="12305" width="6.81640625" style="45" customWidth="1"/>
    <col min="12306" max="12306" width="6.08984375" style="45" customWidth="1"/>
    <col min="12307" max="12307" width="6.81640625" style="45" customWidth="1"/>
    <col min="12308" max="12308" width="10.81640625" style="45" customWidth="1"/>
    <col min="12309" max="12309" width="11.54296875" style="45" customWidth="1"/>
    <col min="12310" max="12310" width="5.54296875" style="45" customWidth="1"/>
    <col min="12311" max="12311" width="6" style="45" customWidth="1"/>
    <col min="12312" max="12312" width="6.54296875" style="45" customWidth="1"/>
    <col min="12313" max="12313" width="11.08984375" style="45" customWidth="1"/>
    <col min="12314" max="12314" width="7.08984375" style="45" customWidth="1"/>
    <col min="12315" max="12316" width="5.81640625" style="45" customWidth="1"/>
    <col min="12317" max="12317" width="6" style="45" customWidth="1"/>
    <col min="12318" max="12318" width="6.81640625" style="45" customWidth="1"/>
    <col min="12319" max="12319" width="6" style="45" customWidth="1"/>
    <col min="12320" max="12320" width="18.08984375" style="45" customWidth="1"/>
    <col min="12321" max="12558" width="8.81640625" style="45"/>
    <col min="12559" max="12559" width="2.08984375" style="45" customWidth="1"/>
    <col min="12560" max="12560" width="5.81640625" style="45" customWidth="1"/>
    <col min="12561" max="12561" width="6.81640625" style="45" customWidth="1"/>
    <col min="12562" max="12562" width="6.08984375" style="45" customWidth="1"/>
    <col min="12563" max="12563" width="6.81640625" style="45" customWidth="1"/>
    <col min="12564" max="12564" width="10.81640625" style="45" customWidth="1"/>
    <col min="12565" max="12565" width="11.54296875" style="45" customWidth="1"/>
    <col min="12566" max="12566" width="5.54296875" style="45" customWidth="1"/>
    <col min="12567" max="12567" width="6" style="45" customWidth="1"/>
    <col min="12568" max="12568" width="6.54296875" style="45" customWidth="1"/>
    <col min="12569" max="12569" width="11.08984375" style="45" customWidth="1"/>
    <col min="12570" max="12570" width="7.08984375" style="45" customWidth="1"/>
    <col min="12571" max="12572" width="5.81640625" style="45" customWidth="1"/>
    <col min="12573" max="12573" width="6" style="45" customWidth="1"/>
    <col min="12574" max="12574" width="6.81640625" style="45" customWidth="1"/>
    <col min="12575" max="12575" width="6" style="45" customWidth="1"/>
    <col min="12576" max="12576" width="18.08984375" style="45" customWidth="1"/>
    <col min="12577" max="12814" width="8.81640625" style="45"/>
    <col min="12815" max="12815" width="2.08984375" style="45" customWidth="1"/>
    <col min="12816" max="12816" width="5.81640625" style="45" customWidth="1"/>
    <col min="12817" max="12817" width="6.81640625" style="45" customWidth="1"/>
    <col min="12818" max="12818" width="6.08984375" style="45" customWidth="1"/>
    <col min="12819" max="12819" width="6.81640625" style="45" customWidth="1"/>
    <col min="12820" max="12820" width="10.81640625" style="45" customWidth="1"/>
    <col min="12821" max="12821" width="11.54296875" style="45" customWidth="1"/>
    <col min="12822" max="12822" width="5.54296875" style="45" customWidth="1"/>
    <col min="12823" max="12823" width="6" style="45" customWidth="1"/>
    <col min="12824" max="12824" width="6.54296875" style="45" customWidth="1"/>
    <col min="12825" max="12825" width="11.08984375" style="45" customWidth="1"/>
    <col min="12826" max="12826" width="7.08984375" style="45" customWidth="1"/>
    <col min="12827" max="12828" width="5.81640625" style="45" customWidth="1"/>
    <col min="12829" max="12829" width="6" style="45" customWidth="1"/>
    <col min="12830" max="12830" width="6.81640625" style="45" customWidth="1"/>
    <col min="12831" max="12831" width="6" style="45" customWidth="1"/>
    <col min="12832" max="12832" width="18.08984375" style="45" customWidth="1"/>
    <col min="12833" max="13070" width="8.81640625" style="45"/>
    <col min="13071" max="13071" width="2.08984375" style="45" customWidth="1"/>
    <col min="13072" max="13072" width="5.81640625" style="45" customWidth="1"/>
    <col min="13073" max="13073" width="6.81640625" style="45" customWidth="1"/>
    <col min="13074" max="13074" width="6.08984375" style="45" customWidth="1"/>
    <col min="13075" max="13075" width="6.81640625" style="45" customWidth="1"/>
    <col min="13076" max="13076" width="10.81640625" style="45" customWidth="1"/>
    <col min="13077" max="13077" width="11.54296875" style="45" customWidth="1"/>
    <col min="13078" max="13078" width="5.54296875" style="45" customWidth="1"/>
    <col min="13079" max="13079" width="6" style="45" customWidth="1"/>
    <col min="13080" max="13080" width="6.54296875" style="45" customWidth="1"/>
    <col min="13081" max="13081" width="11.08984375" style="45" customWidth="1"/>
    <col min="13082" max="13082" width="7.08984375" style="45" customWidth="1"/>
    <col min="13083" max="13084" width="5.81640625" style="45" customWidth="1"/>
    <col min="13085" max="13085" width="6" style="45" customWidth="1"/>
    <col min="13086" max="13086" width="6.81640625" style="45" customWidth="1"/>
    <col min="13087" max="13087" width="6" style="45" customWidth="1"/>
    <col min="13088" max="13088" width="18.08984375" style="45" customWidth="1"/>
    <col min="13089" max="13326" width="8.81640625" style="45"/>
    <col min="13327" max="13327" width="2.08984375" style="45" customWidth="1"/>
    <col min="13328" max="13328" width="5.81640625" style="45" customWidth="1"/>
    <col min="13329" max="13329" width="6.81640625" style="45" customWidth="1"/>
    <col min="13330" max="13330" width="6.08984375" style="45" customWidth="1"/>
    <col min="13331" max="13331" width="6.81640625" style="45" customWidth="1"/>
    <col min="13332" max="13332" width="10.81640625" style="45" customWidth="1"/>
    <col min="13333" max="13333" width="11.54296875" style="45" customWidth="1"/>
    <col min="13334" max="13334" width="5.54296875" style="45" customWidth="1"/>
    <col min="13335" max="13335" width="6" style="45" customWidth="1"/>
    <col min="13336" max="13336" width="6.54296875" style="45" customWidth="1"/>
    <col min="13337" max="13337" width="11.08984375" style="45" customWidth="1"/>
    <col min="13338" max="13338" width="7.08984375" style="45" customWidth="1"/>
    <col min="13339" max="13340" width="5.81640625" style="45" customWidth="1"/>
    <col min="13341" max="13341" width="6" style="45" customWidth="1"/>
    <col min="13342" max="13342" width="6.81640625" style="45" customWidth="1"/>
    <col min="13343" max="13343" width="6" style="45" customWidth="1"/>
    <col min="13344" max="13344" width="18.08984375" style="45" customWidth="1"/>
    <col min="13345" max="13582" width="8.81640625" style="45"/>
    <col min="13583" max="13583" width="2.08984375" style="45" customWidth="1"/>
    <col min="13584" max="13584" width="5.81640625" style="45" customWidth="1"/>
    <col min="13585" max="13585" width="6.81640625" style="45" customWidth="1"/>
    <col min="13586" max="13586" width="6.08984375" style="45" customWidth="1"/>
    <col min="13587" max="13587" width="6.81640625" style="45" customWidth="1"/>
    <col min="13588" max="13588" width="10.81640625" style="45" customWidth="1"/>
    <col min="13589" max="13589" width="11.54296875" style="45" customWidth="1"/>
    <col min="13590" max="13590" width="5.54296875" style="45" customWidth="1"/>
    <col min="13591" max="13591" width="6" style="45" customWidth="1"/>
    <col min="13592" max="13592" width="6.54296875" style="45" customWidth="1"/>
    <col min="13593" max="13593" width="11.08984375" style="45" customWidth="1"/>
    <col min="13594" max="13594" width="7.08984375" style="45" customWidth="1"/>
    <col min="13595" max="13596" width="5.81640625" style="45" customWidth="1"/>
    <col min="13597" max="13597" width="6" style="45" customWidth="1"/>
    <col min="13598" max="13598" width="6.81640625" style="45" customWidth="1"/>
    <col min="13599" max="13599" width="6" style="45" customWidth="1"/>
    <col min="13600" max="13600" width="18.08984375" style="45" customWidth="1"/>
    <col min="13601" max="13838" width="8.81640625" style="45"/>
    <col min="13839" max="13839" width="2.08984375" style="45" customWidth="1"/>
    <col min="13840" max="13840" width="5.81640625" style="45" customWidth="1"/>
    <col min="13841" max="13841" width="6.81640625" style="45" customWidth="1"/>
    <col min="13842" max="13842" width="6.08984375" style="45" customWidth="1"/>
    <col min="13843" max="13843" width="6.81640625" style="45" customWidth="1"/>
    <col min="13844" max="13844" width="10.81640625" style="45" customWidth="1"/>
    <col min="13845" max="13845" width="11.54296875" style="45" customWidth="1"/>
    <col min="13846" max="13846" width="5.54296875" style="45" customWidth="1"/>
    <col min="13847" max="13847" width="6" style="45" customWidth="1"/>
    <col min="13848" max="13848" width="6.54296875" style="45" customWidth="1"/>
    <col min="13849" max="13849" width="11.08984375" style="45" customWidth="1"/>
    <col min="13850" max="13850" width="7.08984375" style="45" customWidth="1"/>
    <col min="13851" max="13852" width="5.81640625" style="45" customWidth="1"/>
    <col min="13853" max="13853" width="6" style="45" customWidth="1"/>
    <col min="13854" max="13854" width="6.81640625" style="45" customWidth="1"/>
    <col min="13855" max="13855" width="6" style="45" customWidth="1"/>
    <col min="13856" max="13856" width="18.08984375" style="45" customWidth="1"/>
    <col min="13857" max="14094" width="8.81640625" style="45"/>
    <col min="14095" max="14095" width="2.08984375" style="45" customWidth="1"/>
    <col min="14096" max="14096" width="5.81640625" style="45" customWidth="1"/>
    <col min="14097" max="14097" width="6.81640625" style="45" customWidth="1"/>
    <col min="14098" max="14098" width="6.08984375" style="45" customWidth="1"/>
    <col min="14099" max="14099" width="6.81640625" style="45" customWidth="1"/>
    <col min="14100" max="14100" width="10.81640625" style="45" customWidth="1"/>
    <col min="14101" max="14101" width="11.54296875" style="45" customWidth="1"/>
    <col min="14102" max="14102" width="5.54296875" style="45" customWidth="1"/>
    <col min="14103" max="14103" width="6" style="45" customWidth="1"/>
    <col min="14104" max="14104" width="6.54296875" style="45" customWidth="1"/>
    <col min="14105" max="14105" width="11.08984375" style="45" customWidth="1"/>
    <col min="14106" max="14106" width="7.08984375" style="45" customWidth="1"/>
    <col min="14107" max="14108" width="5.81640625" style="45" customWidth="1"/>
    <col min="14109" max="14109" width="6" style="45" customWidth="1"/>
    <col min="14110" max="14110" width="6.81640625" style="45" customWidth="1"/>
    <col min="14111" max="14111" width="6" style="45" customWidth="1"/>
    <col min="14112" max="14112" width="18.08984375" style="45" customWidth="1"/>
    <col min="14113" max="14350" width="8.81640625" style="45"/>
    <col min="14351" max="14351" width="2.08984375" style="45" customWidth="1"/>
    <col min="14352" max="14352" width="5.81640625" style="45" customWidth="1"/>
    <col min="14353" max="14353" width="6.81640625" style="45" customWidth="1"/>
    <col min="14354" max="14354" width="6.08984375" style="45" customWidth="1"/>
    <col min="14355" max="14355" width="6.81640625" style="45" customWidth="1"/>
    <col min="14356" max="14356" width="10.81640625" style="45" customWidth="1"/>
    <col min="14357" max="14357" width="11.54296875" style="45" customWidth="1"/>
    <col min="14358" max="14358" width="5.54296875" style="45" customWidth="1"/>
    <col min="14359" max="14359" width="6" style="45" customWidth="1"/>
    <col min="14360" max="14360" width="6.54296875" style="45" customWidth="1"/>
    <col min="14361" max="14361" width="11.08984375" style="45" customWidth="1"/>
    <col min="14362" max="14362" width="7.08984375" style="45" customWidth="1"/>
    <col min="14363" max="14364" width="5.81640625" style="45" customWidth="1"/>
    <col min="14365" max="14365" width="6" style="45" customWidth="1"/>
    <col min="14366" max="14366" width="6.81640625" style="45" customWidth="1"/>
    <col min="14367" max="14367" width="6" style="45" customWidth="1"/>
    <col min="14368" max="14368" width="18.08984375" style="45" customWidth="1"/>
    <col min="14369" max="14606" width="8.81640625" style="45"/>
    <col min="14607" max="14607" width="2.08984375" style="45" customWidth="1"/>
    <col min="14608" max="14608" width="5.81640625" style="45" customWidth="1"/>
    <col min="14609" max="14609" width="6.81640625" style="45" customWidth="1"/>
    <col min="14610" max="14610" width="6.08984375" style="45" customWidth="1"/>
    <col min="14611" max="14611" width="6.81640625" style="45" customWidth="1"/>
    <col min="14612" max="14612" width="10.81640625" style="45" customWidth="1"/>
    <col min="14613" max="14613" width="11.54296875" style="45" customWidth="1"/>
    <col min="14614" max="14614" width="5.54296875" style="45" customWidth="1"/>
    <col min="14615" max="14615" width="6" style="45" customWidth="1"/>
    <col min="14616" max="14616" width="6.54296875" style="45" customWidth="1"/>
    <col min="14617" max="14617" width="11.08984375" style="45" customWidth="1"/>
    <col min="14618" max="14618" width="7.08984375" style="45" customWidth="1"/>
    <col min="14619" max="14620" width="5.81640625" style="45" customWidth="1"/>
    <col min="14621" max="14621" width="6" style="45" customWidth="1"/>
    <col min="14622" max="14622" width="6.81640625" style="45" customWidth="1"/>
    <col min="14623" max="14623" width="6" style="45" customWidth="1"/>
    <col min="14624" max="14624" width="18.08984375" style="45" customWidth="1"/>
    <col min="14625" max="14862" width="8.81640625" style="45"/>
    <col min="14863" max="14863" width="2.08984375" style="45" customWidth="1"/>
    <col min="14864" max="14864" width="5.81640625" style="45" customWidth="1"/>
    <col min="14865" max="14865" width="6.81640625" style="45" customWidth="1"/>
    <col min="14866" max="14866" width="6.08984375" style="45" customWidth="1"/>
    <col min="14867" max="14867" width="6.81640625" style="45" customWidth="1"/>
    <col min="14868" max="14868" width="10.81640625" style="45" customWidth="1"/>
    <col min="14869" max="14869" width="11.54296875" style="45" customWidth="1"/>
    <col min="14870" max="14870" width="5.54296875" style="45" customWidth="1"/>
    <col min="14871" max="14871" width="6" style="45" customWidth="1"/>
    <col min="14872" max="14872" width="6.54296875" style="45" customWidth="1"/>
    <col min="14873" max="14873" width="11.08984375" style="45" customWidth="1"/>
    <col min="14874" max="14874" width="7.08984375" style="45" customWidth="1"/>
    <col min="14875" max="14876" width="5.81640625" style="45" customWidth="1"/>
    <col min="14877" max="14877" width="6" style="45" customWidth="1"/>
    <col min="14878" max="14878" width="6.81640625" style="45" customWidth="1"/>
    <col min="14879" max="14879" width="6" style="45" customWidth="1"/>
    <col min="14880" max="14880" width="18.08984375" style="45" customWidth="1"/>
    <col min="14881" max="15118" width="8.81640625" style="45"/>
    <col min="15119" max="15119" width="2.08984375" style="45" customWidth="1"/>
    <col min="15120" max="15120" width="5.81640625" style="45" customWidth="1"/>
    <col min="15121" max="15121" width="6.81640625" style="45" customWidth="1"/>
    <col min="15122" max="15122" width="6.08984375" style="45" customWidth="1"/>
    <col min="15123" max="15123" width="6.81640625" style="45" customWidth="1"/>
    <col min="15124" max="15124" width="10.81640625" style="45" customWidth="1"/>
    <col min="15125" max="15125" width="11.54296875" style="45" customWidth="1"/>
    <col min="15126" max="15126" width="5.54296875" style="45" customWidth="1"/>
    <col min="15127" max="15127" width="6" style="45" customWidth="1"/>
    <col min="15128" max="15128" width="6.54296875" style="45" customWidth="1"/>
    <col min="15129" max="15129" width="11.08984375" style="45" customWidth="1"/>
    <col min="15130" max="15130" width="7.08984375" style="45" customWidth="1"/>
    <col min="15131" max="15132" width="5.81640625" style="45" customWidth="1"/>
    <col min="15133" max="15133" width="6" style="45" customWidth="1"/>
    <col min="15134" max="15134" width="6.81640625" style="45" customWidth="1"/>
    <col min="15135" max="15135" width="6" style="45" customWidth="1"/>
    <col min="15136" max="15136" width="18.08984375" style="45" customWidth="1"/>
    <col min="15137" max="15374" width="8.81640625" style="45"/>
    <col min="15375" max="15375" width="2.08984375" style="45" customWidth="1"/>
    <col min="15376" max="15376" width="5.81640625" style="45" customWidth="1"/>
    <col min="15377" max="15377" width="6.81640625" style="45" customWidth="1"/>
    <col min="15378" max="15378" width="6.08984375" style="45" customWidth="1"/>
    <col min="15379" max="15379" width="6.81640625" style="45" customWidth="1"/>
    <col min="15380" max="15380" width="10.81640625" style="45" customWidth="1"/>
    <col min="15381" max="15381" width="11.54296875" style="45" customWidth="1"/>
    <col min="15382" max="15382" width="5.54296875" style="45" customWidth="1"/>
    <col min="15383" max="15383" width="6" style="45" customWidth="1"/>
    <col min="15384" max="15384" width="6.54296875" style="45" customWidth="1"/>
    <col min="15385" max="15385" width="11.08984375" style="45" customWidth="1"/>
    <col min="15386" max="15386" width="7.08984375" style="45" customWidth="1"/>
    <col min="15387" max="15388" width="5.81640625" style="45" customWidth="1"/>
    <col min="15389" max="15389" width="6" style="45" customWidth="1"/>
    <col min="15390" max="15390" width="6.81640625" style="45" customWidth="1"/>
    <col min="15391" max="15391" width="6" style="45" customWidth="1"/>
    <col min="15392" max="15392" width="18.08984375" style="45" customWidth="1"/>
    <col min="15393" max="15630" width="8.81640625" style="45"/>
    <col min="15631" max="15631" width="2.08984375" style="45" customWidth="1"/>
    <col min="15632" max="15632" width="5.81640625" style="45" customWidth="1"/>
    <col min="15633" max="15633" width="6.81640625" style="45" customWidth="1"/>
    <col min="15634" max="15634" width="6.08984375" style="45" customWidth="1"/>
    <col min="15635" max="15635" width="6.81640625" style="45" customWidth="1"/>
    <col min="15636" max="15636" width="10.81640625" style="45" customWidth="1"/>
    <col min="15637" max="15637" width="11.54296875" style="45" customWidth="1"/>
    <col min="15638" max="15638" width="5.54296875" style="45" customWidth="1"/>
    <col min="15639" max="15639" width="6" style="45" customWidth="1"/>
    <col min="15640" max="15640" width="6.54296875" style="45" customWidth="1"/>
    <col min="15641" max="15641" width="11.08984375" style="45" customWidth="1"/>
    <col min="15642" max="15642" width="7.08984375" style="45" customWidth="1"/>
    <col min="15643" max="15644" width="5.81640625" style="45" customWidth="1"/>
    <col min="15645" max="15645" width="6" style="45" customWidth="1"/>
    <col min="15646" max="15646" width="6.81640625" style="45" customWidth="1"/>
    <col min="15647" max="15647" width="6" style="45" customWidth="1"/>
    <col min="15648" max="15648" width="18.08984375" style="45" customWidth="1"/>
    <col min="15649" max="15886" width="8.81640625" style="45"/>
    <col min="15887" max="15887" width="2.08984375" style="45" customWidth="1"/>
    <col min="15888" max="15888" width="5.81640625" style="45" customWidth="1"/>
    <col min="15889" max="15889" width="6.81640625" style="45" customWidth="1"/>
    <col min="15890" max="15890" width="6.08984375" style="45" customWidth="1"/>
    <col min="15891" max="15891" width="6.81640625" style="45" customWidth="1"/>
    <col min="15892" max="15892" width="10.81640625" style="45" customWidth="1"/>
    <col min="15893" max="15893" width="11.54296875" style="45" customWidth="1"/>
    <col min="15894" max="15894" width="5.54296875" style="45" customWidth="1"/>
    <col min="15895" max="15895" width="6" style="45" customWidth="1"/>
    <col min="15896" max="15896" width="6.54296875" style="45" customWidth="1"/>
    <col min="15897" max="15897" width="11.08984375" style="45" customWidth="1"/>
    <col min="15898" max="15898" width="7.08984375" style="45" customWidth="1"/>
    <col min="15899" max="15900" width="5.81640625" style="45" customWidth="1"/>
    <col min="15901" max="15901" width="6" style="45" customWidth="1"/>
    <col min="15902" max="15902" width="6.81640625" style="45" customWidth="1"/>
    <col min="15903" max="15903" width="6" style="45" customWidth="1"/>
    <col min="15904" max="15904" width="18.08984375" style="45" customWidth="1"/>
    <col min="15905" max="16142" width="8.81640625" style="45"/>
    <col min="16143" max="16143" width="2.08984375" style="45" customWidth="1"/>
    <col min="16144" max="16144" width="5.81640625" style="45" customWidth="1"/>
    <col min="16145" max="16145" width="6.81640625" style="45" customWidth="1"/>
    <col min="16146" max="16146" width="6.08984375" style="45" customWidth="1"/>
    <col min="16147" max="16147" width="6.81640625" style="45" customWidth="1"/>
    <col min="16148" max="16148" width="10.81640625" style="45" customWidth="1"/>
    <col min="16149" max="16149" width="11.54296875" style="45" customWidth="1"/>
    <col min="16150" max="16150" width="5.54296875" style="45" customWidth="1"/>
    <col min="16151" max="16151" width="6" style="45" customWidth="1"/>
    <col min="16152" max="16152" width="6.54296875" style="45" customWidth="1"/>
    <col min="16153" max="16153" width="11.08984375" style="45" customWidth="1"/>
    <col min="16154" max="16154" width="7.08984375" style="45" customWidth="1"/>
    <col min="16155" max="16156" width="5.81640625" style="45" customWidth="1"/>
    <col min="16157" max="16157" width="6" style="45" customWidth="1"/>
    <col min="16158" max="16158" width="6.81640625" style="45" customWidth="1"/>
    <col min="16159" max="16159" width="6" style="45" customWidth="1"/>
    <col min="16160" max="16160" width="18.08984375" style="45" customWidth="1"/>
  </cols>
  <sheetData>
    <row r="1" spans="2:36" ht="10" customHeight="1" x14ac:dyDescent="0.25"/>
    <row r="2" spans="2:36" ht="35.4" customHeight="1" thickBot="1" x14ac:dyDescent="0.3">
      <c r="B2" s="306" t="s">
        <v>451</v>
      </c>
      <c r="C2" s="307"/>
      <c r="D2" s="307"/>
      <c r="E2" s="307"/>
      <c r="F2" s="307"/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307"/>
      <c r="U2" s="307"/>
      <c r="V2" s="307"/>
      <c r="W2" s="307"/>
      <c r="X2" s="307"/>
      <c r="Y2" s="307"/>
      <c r="Z2" s="307"/>
      <c r="AA2" s="307"/>
      <c r="AB2" s="307"/>
      <c r="AC2" s="307"/>
      <c r="AD2" s="307"/>
      <c r="AE2" s="307"/>
      <c r="AF2" s="307"/>
      <c r="AG2" s="307"/>
      <c r="AH2" s="307"/>
      <c r="AI2" s="307"/>
      <c r="AJ2" s="308"/>
    </row>
    <row r="3" spans="2:36" s="46" customFormat="1" ht="17.5" customHeight="1" x14ac:dyDescent="0.25">
      <c r="B3" s="309" t="s">
        <v>406</v>
      </c>
      <c r="C3" s="310" t="s">
        <v>405</v>
      </c>
      <c r="D3" s="311" t="s">
        <v>404</v>
      </c>
      <c r="E3" s="311"/>
      <c r="F3" s="311"/>
      <c r="G3" s="311"/>
      <c r="H3" s="311"/>
      <c r="I3" s="311"/>
      <c r="J3" s="311"/>
      <c r="K3" s="311"/>
      <c r="L3" s="311"/>
      <c r="M3" s="311"/>
      <c r="N3" s="311"/>
      <c r="O3" s="311"/>
      <c r="P3" s="311"/>
      <c r="Q3" s="311"/>
      <c r="R3" s="311"/>
      <c r="S3" s="311"/>
      <c r="T3" s="311"/>
      <c r="U3" s="311"/>
      <c r="V3" s="311"/>
      <c r="W3" s="311"/>
      <c r="X3" s="311"/>
      <c r="Y3" s="311"/>
      <c r="Z3" s="311"/>
      <c r="AA3" s="312" t="s">
        <v>403</v>
      </c>
      <c r="AB3" s="313"/>
      <c r="AC3" s="313"/>
      <c r="AD3" s="313"/>
      <c r="AE3" s="313"/>
      <c r="AF3" s="313"/>
      <c r="AG3" s="313"/>
      <c r="AH3" s="313"/>
      <c r="AI3" s="313"/>
      <c r="AJ3" s="314"/>
    </row>
    <row r="4" spans="2:36" s="46" customFormat="1" ht="17.5" customHeight="1" x14ac:dyDescent="0.25">
      <c r="B4" s="280"/>
      <c r="C4" s="283"/>
      <c r="D4" s="296" t="s">
        <v>402</v>
      </c>
      <c r="E4" s="297"/>
      <c r="F4" s="297"/>
      <c r="G4" s="297"/>
      <c r="H4" s="297"/>
      <c r="I4" s="297"/>
      <c r="J4" s="298" t="s">
        <v>401</v>
      </c>
      <c r="K4" s="299"/>
      <c r="L4" s="299"/>
      <c r="M4" s="299"/>
      <c r="N4" s="299"/>
      <c r="O4" s="299"/>
      <c r="P4" s="299"/>
      <c r="Q4" s="299"/>
      <c r="R4" s="299"/>
      <c r="S4" s="299"/>
      <c r="T4" s="300"/>
      <c r="U4" s="272" t="s">
        <v>400</v>
      </c>
      <c r="V4" s="274"/>
      <c r="W4" s="274"/>
      <c r="X4" s="274"/>
      <c r="Y4" s="274"/>
      <c r="Z4" s="273"/>
      <c r="AA4" s="272" t="s">
        <v>399</v>
      </c>
      <c r="AB4" s="301" t="s">
        <v>398</v>
      </c>
      <c r="AC4" s="303" t="s">
        <v>397</v>
      </c>
      <c r="AD4" s="303" t="s">
        <v>306</v>
      </c>
      <c r="AE4" s="303" t="s">
        <v>396</v>
      </c>
      <c r="AF4" s="304" t="s">
        <v>395</v>
      </c>
      <c r="AG4" s="303" t="s">
        <v>394</v>
      </c>
      <c r="AH4" s="304" t="s">
        <v>393</v>
      </c>
      <c r="AI4" s="303" t="s">
        <v>392</v>
      </c>
      <c r="AJ4" s="305" t="s">
        <v>391</v>
      </c>
    </row>
    <row r="5" spans="2:36" s="46" customFormat="1" ht="37.5" customHeight="1" x14ac:dyDescent="0.25">
      <c r="B5" s="287"/>
      <c r="C5" s="289"/>
      <c r="D5" s="85" t="s">
        <v>390</v>
      </c>
      <c r="E5" s="82" t="s">
        <v>389</v>
      </c>
      <c r="F5" s="82" t="s">
        <v>388</v>
      </c>
      <c r="G5" s="82" t="s">
        <v>387</v>
      </c>
      <c r="H5" s="82" t="s">
        <v>378</v>
      </c>
      <c r="I5" s="66" t="s">
        <v>377</v>
      </c>
      <c r="J5" s="85" t="s">
        <v>381</v>
      </c>
      <c r="K5" s="82" t="s">
        <v>380</v>
      </c>
      <c r="L5" s="82" t="s">
        <v>379</v>
      </c>
      <c r="M5" s="82" t="s">
        <v>386</v>
      </c>
      <c r="N5" s="82" t="s">
        <v>386</v>
      </c>
      <c r="O5" s="82" t="s">
        <v>378</v>
      </c>
      <c r="P5" s="82" t="s">
        <v>385</v>
      </c>
      <c r="Q5" s="82" t="s">
        <v>384</v>
      </c>
      <c r="R5" s="82" t="s">
        <v>377</v>
      </c>
      <c r="S5" s="82" t="s">
        <v>383</v>
      </c>
      <c r="T5" s="84" t="s">
        <v>382</v>
      </c>
      <c r="U5" s="85" t="s">
        <v>381</v>
      </c>
      <c r="V5" s="65" t="s">
        <v>380</v>
      </c>
      <c r="W5" s="82" t="s">
        <v>379</v>
      </c>
      <c r="X5" s="82" t="s">
        <v>378</v>
      </c>
      <c r="Y5" s="82" t="s">
        <v>377</v>
      </c>
      <c r="Z5" s="84" t="s">
        <v>376</v>
      </c>
      <c r="AA5" s="285"/>
      <c r="AB5" s="302"/>
      <c r="AC5" s="266"/>
      <c r="AD5" s="266"/>
      <c r="AE5" s="266"/>
      <c r="AF5" s="266"/>
      <c r="AG5" s="266"/>
      <c r="AH5" s="266"/>
      <c r="AI5" s="266"/>
      <c r="AJ5" s="270"/>
    </row>
    <row r="6" spans="2:36" s="46" customFormat="1" ht="17.5" customHeight="1" x14ac:dyDescent="0.25">
      <c r="B6" s="279" t="s">
        <v>459</v>
      </c>
      <c r="C6" s="282" t="s">
        <v>407</v>
      </c>
      <c r="D6" s="50" t="s">
        <v>281</v>
      </c>
      <c r="E6" s="49" t="s">
        <v>281</v>
      </c>
      <c r="F6" s="49" t="s">
        <v>4</v>
      </c>
      <c r="G6" s="49" t="s">
        <v>281</v>
      </c>
      <c r="H6" s="49" t="s">
        <v>284</v>
      </c>
      <c r="I6" s="64" t="s">
        <v>284</v>
      </c>
      <c r="J6" s="50" t="s">
        <v>281</v>
      </c>
      <c r="K6" s="49" t="s">
        <v>281</v>
      </c>
      <c r="L6" s="49" t="s">
        <v>284</v>
      </c>
      <c r="M6" s="49" t="s">
        <v>284</v>
      </c>
      <c r="N6" s="49" t="s">
        <v>284</v>
      </c>
      <c r="O6" s="49" t="s">
        <v>284</v>
      </c>
      <c r="P6" s="49" t="s">
        <v>284</v>
      </c>
      <c r="Q6" s="49" t="s">
        <v>284</v>
      </c>
      <c r="R6" s="49" t="s">
        <v>284</v>
      </c>
      <c r="S6" s="49" t="s">
        <v>284</v>
      </c>
      <c r="T6" s="57" t="s">
        <v>284</v>
      </c>
      <c r="U6" s="50" t="s">
        <v>281</v>
      </c>
      <c r="V6" s="63" t="s">
        <v>281</v>
      </c>
      <c r="W6" s="49" t="s">
        <v>284</v>
      </c>
      <c r="X6" s="49" t="s">
        <v>284</v>
      </c>
      <c r="Y6" s="49" t="s">
        <v>284</v>
      </c>
      <c r="Z6" s="57" t="s">
        <v>284</v>
      </c>
      <c r="AA6" s="50" t="s">
        <v>297</v>
      </c>
      <c r="AB6" s="49" t="s">
        <v>297</v>
      </c>
      <c r="AC6" s="49" t="s">
        <v>372</v>
      </c>
      <c r="AD6" s="49" t="s">
        <v>297</v>
      </c>
      <c r="AE6" s="48" t="s">
        <v>372</v>
      </c>
      <c r="AF6" s="47" t="s">
        <v>374</v>
      </c>
      <c r="AG6" s="49" t="s">
        <v>297</v>
      </c>
      <c r="AH6" s="47" t="s">
        <v>373</v>
      </c>
      <c r="AI6" s="48" t="s">
        <v>372</v>
      </c>
      <c r="AJ6" s="61" t="s">
        <v>372</v>
      </c>
    </row>
    <row r="7" spans="2:36" s="143" customFormat="1" ht="24" customHeight="1" x14ac:dyDescent="0.25">
      <c r="B7" s="280"/>
      <c r="C7" s="283"/>
      <c r="D7" s="132">
        <v>1858.5001220703125</v>
      </c>
      <c r="E7" s="133">
        <f>K7+V7</f>
        <v>1520.8978271484375</v>
      </c>
      <c r="F7" s="150" t="str">
        <f>IF(D7="","",IF(D28="","",IF(D7=(D7+D28)/2,"--",IF(D7&gt;=(D7+D28)/2,"↑","↓"))))</f>
        <v/>
      </c>
      <c r="G7" s="133">
        <v>540.2501220703125</v>
      </c>
      <c r="H7" s="133">
        <v>0</v>
      </c>
      <c r="I7" s="134">
        <v>0</v>
      </c>
      <c r="J7" s="135">
        <v>1655.5999755859375</v>
      </c>
      <c r="K7" s="136">
        <v>1342.30517578125</v>
      </c>
      <c r="L7" s="136">
        <v>81.07666778564453</v>
      </c>
      <c r="M7" s="136"/>
      <c r="N7" s="136"/>
      <c r="O7" s="136">
        <v>0</v>
      </c>
      <c r="P7" s="136"/>
      <c r="Q7" s="136"/>
      <c r="R7" s="136">
        <v>0</v>
      </c>
      <c r="S7" s="136"/>
      <c r="T7" s="137"/>
      <c r="U7" s="135">
        <v>202.89999389648438</v>
      </c>
      <c r="V7" s="138">
        <v>178.59255981445312</v>
      </c>
      <c r="W7" s="133">
        <v>88.01998901367188</v>
      </c>
      <c r="X7" s="133">
        <v>0</v>
      </c>
      <c r="Y7" s="133">
        <v>0</v>
      </c>
      <c r="Z7" s="139">
        <f>U7/D7</f>
        <v>0.0769580826163292</v>
      </c>
      <c r="AA7" s="140"/>
      <c r="AB7" s="133"/>
      <c r="AC7" s="133"/>
      <c r="AD7" s="133"/>
      <c r="AE7" s="141"/>
      <c r="AF7" s="141"/>
      <c r="AG7" s="141"/>
      <c r="AH7" s="141"/>
      <c r="AI7" s="141"/>
      <c r="AJ7" s="142"/>
    </row>
    <row r="8" spans="2:36" s="46" customFormat="1" ht="17.5" customHeight="1" x14ac:dyDescent="0.25">
      <c r="B8" s="280"/>
      <c r="C8" s="283"/>
      <c r="D8" s="272" t="s">
        <v>371</v>
      </c>
      <c r="E8" s="274"/>
      <c r="F8" s="273"/>
      <c r="G8" s="272" t="s">
        <v>370</v>
      </c>
      <c r="H8" s="274"/>
      <c r="I8" s="274"/>
      <c r="J8" s="274"/>
      <c r="K8" s="274"/>
      <c r="L8" s="274"/>
      <c r="M8" s="274"/>
      <c r="N8" s="274"/>
      <c r="O8" s="273"/>
      <c r="P8" s="272" t="s">
        <v>369</v>
      </c>
      <c r="Q8" s="274"/>
      <c r="R8" s="274"/>
      <c r="S8" s="274"/>
      <c r="T8" s="274"/>
      <c r="U8" s="274"/>
      <c r="V8" s="274"/>
      <c r="W8" s="274"/>
      <c r="X8" s="274"/>
      <c r="Y8" s="274"/>
      <c r="Z8" s="274"/>
      <c r="AA8" s="274"/>
      <c r="AB8" s="274"/>
      <c r="AC8" s="274"/>
      <c r="AD8" s="273"/>
      <c r="AE8" s="275" t="s">
        <v>336</v>
      </c>
      <c r="AF8" s="274"/>
      <c r="AG8" s="274"/>
      <c r="AH8" s="274"/>
      <c r="AI8" s="274"/>
      <c r="AJ8" s="273"/>
    </row>
    <row r="9" spans="2:36" s="46" customFormat="1" ht="15" customHeight="1" x14ac:dyDescent="0.25">
      <c r="B9" s="280"/>
      <c r="C9" s="283"/>
      <c r="D9" s="276" t="s">
        <v>368</v>
      </c>
      <c r="E9" s="267" t="s">
        <v>367</v>
      </c>
      <c r="F9" s="269" t="s">
        <v>366</v>
      </c>
      <c r="G9" s="276" t="s">
        <v>365</v>
      </c>
      <c r="H9" s="266"/>
      <c r="I9" s="271" t="s">
        <v>364</v>
      </c>
      <c r="J9" s="271" t="s">
        <v>363</v>
      </c>
      <c r="K9" s="271" t="s">
        <v>362</v>
      </c>
      <c r="L9" s="271" t="s">
        <v>361</v>
      </c>
      <c r="M9" s="271" t="s">
        <v>360</v>
      </c>
      <c r="N9" s="271" t="s">
        <v>359</v>
      </c>
      <c r="O9" s="277" t="s">
        <v>358</v>
      </c>
      <c r="P9" s="276" t="s">
        <v>357</v>
      </c>
      <c r="Q9" s="266"/>
      <c r="R9" s="267" t="s">
        <v>356</v>
      </c>
      <c r="S9" s="266"/>
      <c r="T9" s="266"/>
      <c r="U9" s="267" t="s">
        <v>355</v>
      </c>
      <c r="V9" s="265" t="s">
        <v>354</v>
      </c>
      <c r="W9" s="266"/>
      <c r="X9" s="265" t="s">
        <v>353</v>
      </c>
      <c r="Y9" s="266"/>
      <c r="Z9" s="266"/>
      <c r="AA9" s="265" t="s">
        <v>352</v>
      </c>
      <c r="AB9" s="267" t="s">
        <v>351</v>
      </c>
      <c r="AC9" s="268" t="s">
        <v>350</v>
      </c>
      <c r="AD9" s="269" t="s">
        <v>349</v>
      </c>
      <c r="AE9" s="278" t="s">
        <v>348</v>
      </c>
      <c r="AF9" s="266"/>
      <c r="AG9" s="266"/>
      <c r="AH9" s="271" t="s">
        <v>332</v>
      </c>
      <c r="AI9" s="266"/>
      <c r="AJ9" s="270"/>
    </row>
    <row r="10" spans="2:36" s="46" customFormat="1" ht="15" customHeight="1" x14ac:dyDescent="0.25">
      <c r="B10" s="280"/>
      <c r="C10" s="283"/>
      <c r="D10" s="285"/>
      <c r="E10" s="266"/>
      <c r="F10" s="270"/>
      <c r="G10" s="83" t="s">
        <v>347</v>
      </c>
      <c r="H10" s="80" t="s">
        <v>346</v>
      </c>
      <c r="I10" s="266"/>
      <c r="J10" s="266"/>
      <c r="K10" s="266"/>
      <c r="L10" s="266"/>
      <c r="M10" s="266"/>
      <c r="N10" s="266"/>
      <c r="O10" s="270"/>
      <c r="P10" s="83" t="s">
        <v>345</v>
      </c>
      <c r="Q10" s="80" t="s">
        <v>344</v>
      </c>
      <c r="R10" s="80" t="s">
        <v>344</v>
      </c>
      <c r="S10" s="80" t="s">
        <v>343</v>
      </c>
      <c r="T10" s="79" t="s">
        <v>342</v>
      </c>
      <c r="U10" s="266"/>
      <c r="V10" s="79" t="s">
        <v>345</v>
      </c>
      <c r="W10" s="80" t="s">
        <v>344</v>
      </c>
      <c r="X10" s="79" t="s">
        <v>344</v>
      </c>
      <c r="Y10" s="80" t="s">
        <v>343</v>
      </c>
      <c r="Z10" s="79" t="s">
        <v>342</v>
      </c>
      <c r="AA10" s="266"/>
      <c r="AB10" s="266"/>
      <c r="AC10" s="266"/>
      <c r="AD10" s="270"/>
      <c r="AE10" s="85" t="s">
        <v>1</v>
      </c>
      <c r="AF10" s="82" t="s">
        <v>12</v>
      </c>
      <c r="AG10" s="82" t="s">
        <v>15</v>
      </c>
      <c r="AH10" s="52" t="s">
        <v>103</v>
      </c>
      <c r="AI10" s="82" t="s">
        <v>341</v>
      </c>
      <c r="AJ10" s="81" t="s">
        <v>340</v>
      </c>
    </row>
    <row r="11" spans="2:36" s="46" customFormat="1" ht="17.5" customHeight="1" x14ac:dyDescent="0.25">
      <c r="B11" s="280"/>
      <c r="C11" s="283"/>
      <c r="D11" s="83" t="s">
        <v>4</v>
      </c>
      <c r="E11" s="80" t="s">
        <v>4</v>
      </c>
      <c r="F11" s="81" t="s">
        <v>4</v>
      </c>
      <c r="G11" s="50" t="s">
        <v>299</v>
      </c>
      <c r="H11" s="49" t="s">
        <v>283</v>
      </c>
      <c r="I11" s="49" t="s">
        <v>339</v>
      </c>
      <c r="J11" s="49" t="s">
        <v>299</v>
      </c>
      <c r="K11" s="58" t="s">
        <v>302</v>
      </c>
      <c r="L11" s="49" t="s">
        <v>301</v>
      </c>
      <c r="M11" s="58" t="s">
        <v>302</v>
      </c>
      <c r="N11" s="58" t="s">
        <v>302</v>
      </c>
      <c r="O11" s="57" t="s">
        <v>301</v>
      </c>
      <c r="P11" s="50" t="s">
        <v>284</v>
      </c>
      <c r="Q11" s="48" t="s">
        <v>284</v>
      </c>
      <c r="R11" s="49" t="s">
        <v>284</v>
      </c>
      <c r="S11" s="48" t="s">
        <v>284</v>
      </c>
      <c r="T11" s="47" t="s">
        <v>4</v>
      </c>
      <c r="U11" s="48" t="s">
        <v>283</v>
      </c>
      <c r="V11" s="47" t="s">
        <v>284</v>
      </c>
      <c r="W11" s="48" t="s">
        <v>283</v>
      </c>
      <c r="X11" s="47" t="s">
        <v>283</v>
      </c>
      <c r="Y11" s="48" t="s">
        <v>283</v>
      </c>
      <c r="Z11" s="62" t="s">
        <v>4</v>
      </c>
      <c r="AA11" s="62" t="s">
        <v>339</v>
      </c>
      <c r="AB11" s="58" t="s">
        <v>338</v>
      </c>
      <c r="AC11" s="58" t="s">
        <v>338</v>
      </c>
      <c r="AD11" s="61" t="s">
        <v>4</v>
      </c>
      <c r="AE11" s="60" t="s">
        <v>301</v>
      </c>
      <c r="AF11" s="53" t="s">
        <v>302</v>
      </c>
      <c r="AG11" s="52" t="s">
        <v>284</v>
      </c>
      <c r="AH11" s="52" t="s">
        <v>303</v>
      </c>
      <c r="AI11" s="52" t="s">
        <v>303</v>
      </c>
      <c r="AJ11" s="51" t="s">
        <v>303</v>
      </c>
    </row>
    <row r="12" spans="2:36" s="143" customFormat="1" ht="24" customHeight="1" x14ac:dyDescent="0.25">
      <c r="B12" s="280"/>
      <c r="C12" s="283"/>
      <c r="D12" s="151">
        <v>0.53</v>
      </c>
      <c r="E12" s="144"/>
      <c r="F12" s="156" t="str">
        <f>IF(E12="","",IF(AND(E12&gt;=0.525,E12&lt;=0.53),"合格","不合格"))</f>
        <v/>
      </c>
      <c r="G12" s="132">
        <v>0.32992836833000183</v>
      </c>
      <c r="H12" s="133">
        <v>416.2462158203125</v>
      </c>
      <c r="I12" s="133">
        <v>23.40885353088379</v>
      </c>
      <c r="J12" s="133">
        <v>2.7129924297332764</v>
      </c>
      <c r="K12" s="133">
        <v>150.5491485595703</v>
      </c>
      <c r="L12" s="133">
        <v>0.8572242259979248</v>
      </c>
      <c r="M12" s="133">
        <v>165.43150329589844</v>
      </c>
      <c r="N12" s="133">
        <v>156.3229522705078</v>
      </c>
      <c r="O12" s="139">
        <v>0.4546048939228058</v>
      </c>
      <c r="P12" s="152">
        <v>29.1</v>
      </c>
      <c r="Q12" s="153" t="s">
        <v>337</v>
      </c>
      <c r="R12" s="133">
        <v>2</v>
      </c>
      <c r="S12" s="133">
        <f>R12-Q12</f>
        <v>-33.1</v>
      </c>
      <c r="T12" s="150" t="str">
        <f>IF(S12&gt;=0,"↑","↓")</f>
        <v>↓</v>
      </c>
      <c r="U12" s="141" t="s">
        <v>82</v>
      </c>
      <c r="V12" s="153">
        <v>1.6</v>
      </c>
      <c r="W12" s="153">
        <v>17.600000000000001</v>
      </c>
      <c r="X12" s="133">
        <v>4</v>
      </c>
      <c r="Y12" s="133">
        <f>X12-W12</f>
        <v>-17.600000000000001</v>
      </c>
      <c r="Z12" s="150" t="str">
        <f>IF(Y12&gt;=0,"↑","↓")</f>
        <v>↓</v>
      </c>
      <c r="AA12" s="153">
        <v>6.28</v>
      </c>
      <c r="AB12" s="133">
        <v>21.42333984375</v>
      </c>
      <c r="AC12" s="133">
        <f>AB12-AA12</f>
        <v>-6.28</v>
      </c>
      <c r="AD12" s="150" t="str">
        <f>IF(AC12&gt;=0,"↑","↓")</f>
        <v>↓</v>
      </c>
      <c r="AE12" s="145"/>
      <c r="AF12" s="133"/>
      <c r="AG12" s="141"/>
      <c r="AH12" s="141">
        <v>3</v>
      </c>
      <c r="AI12" s="141">
        <v>4</v>
      </c>
      <c r="AJ12" s="142">
        <v>5</v>
      </c>
    </row>
    <row r="13" spans="2:36" s="46" customFormat="1" ht="15" customHeight="1" x14ac:dyDescent="0.25">
      <c r="B13" s="280"/>
      <c r="C13" s="283"/>
      <c r="D13" s="272" t="s">
        <v>336</v>
      </c>
      <c r="E13" s="273"/>
      <c r="F13" s="272" t="s">
        <v>335</v>
      </c>
      <c r="G13" s="274"/>
      <c r="H13" s="274"/>
      <c r="I13" s="274"/>
      <c r="J13" s="274"/>
      <c r="K13" s="274"/>
      <c r="L13" s="274"/>
      <c r="M13" s="273"/>
      <c r="N13" s="272" t="s">
        <v>334</v>
      </c>
      <c r="O13" s="274"/>
      <c r="P13" s="274"/>
      <c r="Q13" s="274"/>
      <c r="R13" s="274"/>
      <c r="S13" s="274"/>
      <c r="T13" s="274"/>
      <c r="U13" s="273"/>
      <c r="V13" s="275" t="s">
        <v>333</v>
      </c>
      <c r="W13" s="274"/>
      <c r="X13" s="274"/>
      <c r="Y13" s="274"/>
      <c r="Z13" s="274"/>
      <c r="AA13" s="274"/>
      <c r="AB13" s="274"/>
      <c r="AC13" s="274"/>
      <c r="AD13" s="274"/>
      <c r="AE13" s="274"/>
      <c r="AF13" s="274"/>
      <c r="AG13" s="274"/>
      <c r="AH13" s="274"/>
      <c r="AI13" s="274"/>
      <c r="AJ13" s="273"/>
    </row>
    <row r="14" spans="2:36" s="46" customFormat="1" ht="15" customHeight="1" x14ac:dyDescent="0.25">
      <c r="B14" s="280"/>
      <c r="C14" s="283"/>
      <c r="D14" s="276" t="s">
        <v>332</v>
      </c>
      <c r="E14" s="270"/>
      <c r="F14" s="276" t="s">
        <v>331</v>
      </c>
      <c r="G14" s="266"/>
      <c r="H14" s="266"/>
      <c r="I14" s="266"/>
      <c r="J14" s="266"/>
      <c r="K14" s="271" t="s">
        <v>330</v>
      </c>
      <c r="L14" s="266"/>
      <c r="M14" s="270"/>
      <c r="N14" s="276" t="s">
        <v>329</v>
      </c>
      <c r="O14" s="266"/>
      <c r="P14" s="266"/>
      <c r="Q14" s="266"/>
      <c r="R14" s="266"/>
      <c r="S14" s="267" t="s">
        <v>328</v>
      </c>
      <c r="T14" s="266"/>
      <c r="U14" s="270"/>
      <c r="V14" s="278" t="s">
        <v>327</v>
      </c>
      <c r="W14" s="266"/>
      <c r="X14" s="266"/>
      <c r="Y14" s="266"/>
      <c r="Z14" s="271" t="s">
        <v>326</v>
      </c>
      <c r="AA14" s="266"/>
      <c r="AB14" s="266"/>
      <c r="AC14" s="266"/>
      <c r="AD14" s="266"/>
      <c r="AE14" s="266"/>
      <c r="AF14" s="266"/>
      <c r="AG14" s="266"/>
      <c r="AH14" s="266"/>
      <c r="AI14" s="266"/>
      <c r="AJ14" s="270"/>
    </row>
    <row r="15" spans="2:36" s="46" customFormat="1" ht="25" customHeight="1" x14ac:dyDescent="0.25">
      <c r="B15" s="280"/>
      <c r="C15" s="283"/>
      <c r="D15" s="83" t="s">
        <v>325</v>
      </c>
      <c r="E15" s="81" t="s">
        <v>322</v>
      </c>
      <c r="F15" s="83" t="s">
        <v>324</v>
      </c>
      <c r="G15" s="80" t="s">
        <v>317</v>
      </c>
      <c r="H15" s="80" t="s">
        <v>323</v>
      </c>
      <c r="I15" s="82" t="s">
        <v>15</v>
      </c>
      <c r="J15" s="52" t="s">
        <v>322</v>
      </c>
      <c r="K15" s="82" t="s">
        <v>321</v>
      </c>
      <c r="L15" s="82" t="s">
        <v>320</v>
      </c>
      <c r="M15" s="81" t="s">
        <v>319</v>
      </c>
      <c r="N15" s="83" t="s">
        <v>324</v>
      </c>
      <c r="O15" s="80" t="s">
        <v>317</v>
      </c>
      <c r="P15" s="80" t="s">
        <v>323</v>
      </c>
      <c r="Q15" s="80" t="s">
        <v>15</v>
      </c>
      <c r="R15" s="79" t="s">
        <v>322</v>
      </c>
      <c r="S15" s="82" t="s">
        <v>321</v>
      </c>
      <c r="T15" s="82" t="s">
        <v>320</v>
      </c>
      <c r="U15" s="81" t="s">
        <v>319</v>
      </c>
      <c r="V15" s="85" t="s">
        <v>318</v>
      </c>
      <c r="W15" s="82" t="s">
        <v>317</v>
      </c>
      <c r="X15" s="82" t="s">
        <v>316</v>
      </c>
      <c r="Y15" s="82" t="s">
        <v>315</v>
      </c>
      <c r="Z15" s="82" t="s">
        <v>314</v>
      </c>
      <c r="AA15" s="82" t="s">
        <v>313</v>
      </c>
      <c r="AB15" s="82" t="s">
        <v>312</v>
      </c>
      <c r="AC15" s="82" t="s">
        <v>311</v>
      </c>
      <c r="AD15" s="82" t="s">
        <v>310</v>
      </c>
      <c r="AE15" s="82" t="s">
        <v>309</v>
      </c>
      <c r="AF15" s="82" t="s">
        <v>308</v>
      </c>
      <c r="AG15" s="82" t="s">
        <v>307</v>
      </c>
      <c r="AH15" s="82" t="s">
        <v>306</v>
      </c>
      <c r="AI15" s="82" t="s">
        <v>305</v>
      </c>
      <c r="AJ15" s="84" t="s">
        <v>304</v>
      </c>
    </row>
    <row r="16" spans="2:36" s="46" customFormat="1" ht="15" customHeight="1" x14ac:dyDescent="0.25">
      <c r="B16" s="280"/>
      <c r="C16" s="283"/>
      <c r="D16" s="60" t="s">
        <v>303</v>
      </c>
      <c r="E16" s="51" t="s">
        <v>4</v>
      </c>
      <c r="F16" s="54" t="s">
        <v>302</v>
      </c>
      <c r="G16" s="53" t="s">
        <v>302</v>
      </c>
      <c r="H16" s="53" t="s">
        <v>302</v>
      </c>
      <c r="I16" s="52" t="s">
        <v>284</v>
      </c>
      <c r="J16" s="52" t="s">
        <v>4</v>
      </c>
      <c r="K16" s="52" t="s">
        <v>284</v>
      </c>
      <c r="L16" s="52" t="s">
        <v>284</v>
      </c>
      <c r="M16" s="57" t="s">
        <v>284</v>
      </c>
      <c r="N16" s="59" t="s">
        <v>302</v>
      </c>
      <c r="O16" s="80" t="s">
        <v>302</v>
      </c>
      <c r="P16" s="58" t="s">
        <v>302</v>
      </c>
      <c r="Q16" s="49" t="s">
        <v>284</v>
      </c>
      <c r="R16" s="49" t="s">
        <v>4</v>
      </c>
      <c r="S16" s="52" t="s">
        <v>284</v>
      </c>
      <c r="T16" s="52" t="s">
        <v>284</v>
      </c>
      <c r="U16" s="57" t="s">
        <v>284</v>
      </c>
      <c r="V16" s="54" t="s">
        <v>302</v>
      </c>
      <c r="W16" s="53" t="s">
        <v>302</v>
      </c>
      <c r="X16" s="52" t="s">
        <v>301</v>
      </c>
      <c r="Y16" s="52" t="s">
        <v>284</v>
      </c>
      <c r="Z16" s="52" t="s">
        <v>300</v>
      </c>
      <c r="AA16" s="52" t="s">
        <v>299</v>
      </c>
      <c r="AB16" s="52" t="s">
        <v>300</v>
      </c>
      <c r="AC16" s="53" t="s">
        <v>299</v>
      </c>
      <c r="AD16" s="53" t="s">
        <v>283</v>
      </c>
      <c r="AE16" s="53" t="s">
        <v>4</v>
      </c>
      <c r="AF16" s="52" t="s">
        <v>282</v>
      </c>
      <c r="AG16" s="52" t="s">
        <v>298</v>
      </c>
      <c r="AH16" s="52" t="s">
        <v>297</v>
      </c>
      <c r="AI16" s="52" t="s">
        <v>297</v>
      </c>
      <c r="AJ16" s="51" t="s">
        <v>4</v>
      </c>
    </row>
    <row r="17" spans="2:36" s="143" customFormat="1" ht="24" customHeight="1" x14ac:dyDescent="0.25">
      <c r="B17" s="280"/>
      <c r="C17" s="283"/>
      <c r="D17" s="145">
        <v>6</v>
      </c>
      <c r="E17" s="139">
        <v>7</v>
      </c>
      <c r="F17" s="145">
        <v>19.544363021850586</v>
      </c>
      <c r="G17" s="141">
        <v>21.136245727539062</v>
      </c>
      <c r="H17" s="141">
        <v>1.5918827056884766</v>
      </c>
      <c r="I17" s="133">
        <v>92.4425048828125</v>
      </c>
      <c r="J17" s="133">
        <v>2.909541368484497</v>
      </c>
      <c r="K17" s="133">
        <v>1342.30517578125</v>
      </c>
      <c r="L17" s="133">
        <v>0</v>
      </c>
      <c r="M17" s="139">
        <v>0</v>
      </c>
      <c r="N17" s="132">
        <v>29.83333396911621</v>
      </c>
      <c r="O17" s="133">
        <v>22.52495765686035</v>
      </c>
      <c r="P17" s="133">
        <v>-7.308376312255859</v>
      </c>
      <c r="Q17" s="133">
        <v>27.29166603088379</v>
      </c>
      <c r="R17" s="133"/>
      <c r="S17" s="133">
        <v>178.59255981445312</v>
      </c>
      <c r="T17" s="133">
        <v>0</v>
      </c>
      <c r="U17" s="139">
        <v>0</v>
      </c>
      <c r="V17" s="132">
        <v>258.2288818359375</v>
      </c>
      <c r="W17" s="133">
        <v>43.10890197753906</v>
      </c>
      <c r="X17" s="133">
        <v>-66.63410949707031</v>
      </c>
      <c r="Y17" s="133"/>
      <c r="Z17" s="133">
        <v>-10.46187973022461</v>
      </c>
      <c r="AA17" s="133">
        <v>0</v>
      </c>
      <c r="AB17" s="133">
        <v>0</v>
      </c>
      <c r="AC17" s="133">
        <v>318.3822021484375</v>
      </c>
      <c r="AD17" s="133">
        <v>4.1182942390441895</v>
      </c>
      <c r="AE17" s="133" t="e">
        <f>Z17/AB17</f>
        <v>#DIV/0!</v>
      </c>
      <c r="AF17" s="133">
        <v>-111.2440185546875</v>
      </c>
      <c r="AG17" s="133">
        <v>1146.3043212890625</v>
      </c>
      <c r="AH17" s="133" t="e">
        <f>AF17/(Z17-AB17)</f>
        <v>#DIV/0!</v>
      </c>
      <c r="AI17" s="153" t="s">
        <v>296</v>
      </c>
      <c r="AJ17" s="150" t="e">
        <f>IF((AH17-AI17)&gt;=0,"↑","↓")</f>
        <v>#DIV/0!</v>
      </c>
    </row>
    <row r="18" spans="2:36" s="46" customFormat="1" ht="15" customHeight="1" x14ac:dyDescent="0.25">
      <c r="B18" s="280"/>
      <c r="C18" s="283"/>
      <c r="D18" s="275" t="s">
        <v>295</v>
      </c>
      <c r="E18" s="274"/>
      <c r="F18" s="274"/>
      <c r="G18" s="274"/>
      <c r="H18" s="274"/>
      <c r="I18" s="274"/>
      <c r="J18" s="274"/>
      <c r="K18" s="274"/>
      <c r="L18" s="274"/>
      <c r="M18" s="274"/>
      <c r="N18" s="274"/>
      <c r="O18" s="274"/>
      <c r="P18" s="274"/>
      <c r="Q18" s="273"/>
      <c r="R18" s="86" t="s">
        <v>4</v>
      </c>
      <c r="S18" s="56" t="s">
        <v>4</v>
      </c>
      <c r="T18" s="56" t="s">
        <v>4</v>
      </c>
      <c r="U18" s="56" t="s">
        <v>4</v>
      </c>
      <c r="V18" s="56" t="s">
        <v>82</v>
      </c>
      <c r="W18" s="56" t="s">
        <v>82</v>
      </c>
      <c r="X18" s="56" t="s">
        <v>82</v>
      </c>
      <c r="Y18" s="56" t="s">
        <v>82</v>
      </c>
      <c r="Z18" s="56" t="s">
        <v>82</v>
      </c>
      <c r="AA18" s="56" t="s">
        <v>82</v>
      </c>
      <c r="AB18" s="56" t="s">
        <v>82</v>
      </c>
      <c r="AC18" s="56" t="s">
        <v>82</v>
      </c>
      <c r="AD18" s="56" t="s">
        <v>82</v>
      </c>
      <c r="AE18" s="56" t="s">
        <v>82</v>
      </c>
      <c r="AF18" s="55" t="s">
        <v>82</v>
      </c>
      <c r="AG18" s="55" t="s">
        <v>82</v>
      </c>
      <c r="AH18" s="55" t="s">
        <v>82</v>
      </c>
      <c r="AI18" s="55" t="s">
        <v>82</v>
      </c>
      <c r="AJ18" s="92" t="s">
        <v>82</v>
      </c>
    </row>
    <row r="19" spans="2:36" s="46" customFormat="1" ht="15" customHeight="1" x14ac:dyDescent="0.25">
      <c r="B19" s="280"/>
      <c r="C19" s="283"/>
      <c r="D19" s="278" t="s">
        <v>294</v>
      </c>
      <c r="E19" s="266"/>
      <c r="F19" s="266"/>
      <c r="G19" s="271" t="s">
        <v>293</v>
      </c>
      <c r="H19" s="266"/>
      <c r="I19" s="266"/>
      <c r="J19" s="271" t="s">
        <v>292</v>
      </c>
      <c r="K19" s="266"/>
      <c r="L19" s="266"/>
      <c r="M19" s="271" t="s">
        <v>291</v>
      </c>
      <c r="N19" s="271" t="s">
        <v>290</v>
      </c>
      <c r="O19" s="271" t="s">
        <v>289</v>
      </c>
      <c r="P19" s="271" t="s">
        <v>225</v>
      </c>
      <c r="Q19" s="277" t="s">
        <v>288</v>
      </c>
      <c r="R19" s="50" t="s">
        <v>4</v>
      </c>
      <c r="S19" s="49" t="s">
        <v>4</v>
      </c>
      <c r="T19" s="49" t="s">
        <v>4</v>
      </c>
      <c r="U19" s="49" t="s">
        <v>82</v>
      </c>
      <c r="V19" s="49" t="s">
        <v>82</v>
      </c>
      <c r="W19" s="49" t="s">
        <v>82</v>
      </c>
      <c r="X19" s="49" t="s">
        <v>82</v>
      </c>
      <c r="Y19" s="49" t="s">
        <v>82</v>
      </c>
      <c r="Z19" s="49" t="s">
        <v>82</v>
      </c>
      <c r="AA19" s="49" t="s">
        <v>82</v>
      </c>
      <c r="AB19" s="49" t="s">
        <v>82</v>
      </c>
      <c r="AC19" s="49" t="s">
        <v>452</v>
      </c>
      <c r="AD19" s="49" t="s">
        <v>82</v>
      </c>
      <c r="AE19" s="49" t="s">
        <v>82</v>
      </c>
      <c r="AF19" s="47" t="s">
        <v>82</v>
      </c>
      <c r="AG19" s="47" t="s">
        <v>82</v>
      </c>
      <c r="AH19" s="47" t="s">
        <v>82</v>
      </c>
      <c r="AI19" s="47" t="s">
        <v>82</v>
      </c>
      <c r="AJ19" s="61" t="s">
        <v>82</v>
      </c>
    </row>
    <row r="20" spans="2:36" s="46" customFormat="1" ht="25" customHeight="1" x14ac:dyDescent="0.25">
      <c r="B20" s="280"/>
      <c r="C20" s="283"/>
      <c r="D20" s="85" t="s">
        <v>287</v>
      </c>
      <c r="E20" s="82" t="s">
        <v>286</v>
      </c>
      <c r="F20" s="82" t="s">
        <v>285</v>
      </c>
      <c r="G20" s="82" t="s">
        <v>287</v>
      </c>
      <c r="H20" s="82" t="s">
        <v>286</v>
      </c>
      <c r="I20" s="82" t="s">
        <v>285</v>
      </c>
      <c r="J20" s="82" t="s">
        <v>287</v>
      </c>
      <c r="K20" s="82" t="s">
        <v>286</v>
      </c>
      <c r="L20" s="82" t="s">
        <v>285</v>
      </c>
      <c r="M20" s="266"/>
      <c r="N20" s="266"/>
      <c r="O20" s="266"/>
      <c r="P20" s="266"/>
      <c r="Q20" s="270"/>
      <c r="R20" s="83" t="s">
        <v>4</v>
      </c>
      <c r="S20" s="80" t="s">
        <v>4</v>
      </c>
      <c r="T20" s="80" t="s">
        <v>4</v>
      </c>
      <c r="U20" s="80" t="s">
        <v>82</v>
      </c>
      <c r="V20" s="80" t="s">
        <v>82</v>
      </c>
      <c r="W20" s="82" t="s">
        <v>82</v>
      </c>
      <c r="X20" s="80" t="s">
        <v>82</v>
      </c>
      <c r="Y20" s="80" t="s">
        <v>82</v>
      </c>
      <c r="Z20" s="82" t="s">
        <v>82</v>
      </c>
      <c r="AA20" s="49" t="s">
        <v>82</v>
      </c>
      <c r="AB20" s="49" t="s">
        <v>82</v>
      </c>
      <c r="AC20" s="49" t="s">
        <v>82</v>
      </c>
      <c r="AD20" s="49" t="s">
        <v>82</v>
      </c>
      <c r="AE20" s="49" t="s">
        <v>82</v>
      </c>
      <c r="AF20" s="47" t="s">
        <v>82</v>
      </c>
      <c r="AG20" s="47" t="s">
        <v>82</v>
      </c>
      <c r="AH20" s="47" t="s">
        <v>82</v>
      </c>
      <c r="AI20" s="47" t="s">
        <v>82</v>
      </c>
      <c r="AJ20" s="61" t="s">
        <v>82</v>
      </c>
    </row>
    <row r="21" spans="2:36" s="46" customFormat="1" ht="15" customHeight="1" x14ac:dyDescent="0.25">
      <c r="B21" s="280"/>
      <c r="C21" s="283" t="s">
        <v>460</v>
      </c>
      <c r="D21" s="54" t="s">
        <v>284</v>
      </c>
      <c r="E21" s="53" t="s">
        <v>284</v>
      </c>
      <c r="F21" s="52" t="s">
        <v>284</v>
      </c>
      <c r="G21" s="52" t="s">
        <v>283</v>
      </c>
      <c r="H21" s="49" t="s">
        <v>283</v>
      </c>
      <c r="I21" s="49" t="s">
        <v>283</v>
      </c>
      <c r="J21" s="52" t="s">
        <v>283</v>
      </c>
      <c r="K21" s="49" t="s">
        <v>283</v>
      </c>
      <c r="L21" s="49" t="s">
        <v>283</v>
      </c>
      <c r="M21" s="49" t="s">
        <v>282</v>
      </c>
      <c r="N21" s="49" t="s">
        <v>281</v>
      </c>
      <c r="O21" s="52" t="s">
        <v>280</v>
      </c>
      <c r="P21" s="52" t="s">
        <v>4</v>
      </c>
      <c r="Q21" s="51" t="s">
        <v>4</v>
      </c>
      <c r="R21" s="50" t="s">
        <v>4</v>
      </c>
      <c r="S21" s="49" t="s">
        <v>4</v>
      </c>
      <c r="T21" s="49" t="s">
        <v>4</v>
      </c>
      <c r="U21" s="49" t="s">
        <v>82</v>
      </c>
      <c r="V21" s="49" t="s">
        <v>82</v>
      </c>
      <c r="W21" s="49" t="s">
        <v>82</v>
      </c>
      <c r="X21" s="49" t="s">
        <v>82</v>
      </c>
      <c r="Y21" s="49" t="s">
        <v>82</v>
      </c>
      <c r="Z21" s="49" t="s">
        <v>82</v>
      </c>
      <c r="AA21" s="49" t="s">
        <v>82</v>
      </c>
      <c r="AB21" s="49" t="s">
        <v>82</v>
      </c>
      <c r="AC21" s="49" t="s">
        <v>82</v>
      </c>
      <c r="AD21" s="49" t="s">
        <v>82</v>
      </c>
      <c r="AE21" s="48" t="s">
        <v>82</v>
      </c>
      <c r="AF21" s="47" t="s">
        <v>82</v>
      </c>
      <c r="AG21" s="47" t="s">
        <v>82</v>
      </c>
      <c r="AH21" s="47" t="s">
        <v>82</v>
      </c>
      <c r="AI21" s="47" t="s">
        <v>82</v>
      </c>
      <c r="AJ21" s="61" t="s">
        <v>82</v>
      </c>
    </row>
    <row r="22" spans="2:36" s="143" customFormat="1" ht="24" customHeight="1" x14ac:dyDescent="0.25">
      <c r="B22" s="280"/>
      <c r="C22" s="283"/>
      <c r="D22" s="146">
        <v>18</v>
      </c>
      <c r="E22" s="147">
        <v>44</v>
      </c>
      <c r="F22" s="147">
        <f>D22-E22</f>
        <v>0</v>
      </c>
      <c r="G22" s="147">
        <v>546</v>
      </c>
      <c r="H22" s="147">
        <v>123</v>
      </c>
      <c r="I22" s="147">
        <f>G22-H22</f>
        <v>0</v>
      </c>
      <c r="J22" s="147">
        <v>13</v>
      </c>
      <c r="K22" s="147">
        <v>123</v>
      </c>
      <c r="L22" s="147">
        <f>J22-K22</f>
        <v>0</v>
      </c>
      <c r="M22" s="147">
        <v>-2.53240966796875</v>
      </c>
      <c r="N22" s="147">
        <v>123</v>
      </c>
      <c r="O22" s="147" t="e">
        <f>N22/M22</f>
        <v>#DIV/0!</v>
      </c>
      <c r="P22" s="147">
        <v>5</v>
      </c>
      <c r="Q22" s="154">
        <v>301</v>
      </c>
      <c r="R22" s="146" t="s">
        <v>4</v>
      </c>
      <c r="S22" s="147" t="s">
        <v>4</v>
      </c>
      <c r="T22" s="147" t="s">
        <v>4</v>
      </c>
      <c r="U22" s="147" t="s">
        <v>82</v>
      </c>
      <c r="V22" s="147" t="s">
        <v>82</v>
      </c>
      <c r="W22" s="147" t="s">
        <v>82</v>
      </c>
      <c r="X22" s="147" t="s">
        <v>82</v>
      </c>
      <c r="Y22" s="147" t="s">
        <v>82</v>
      </c>
      <c r="Z22" s="147" t="s">
        <v>82</v>
      </c>
      <c r="AA22" s="147" t="s">
        <v>82</v>
      </c>
      <c r="AB22" s="147" t="s">
        <v>82</v>
      </c>
      <c r="AC22" s="147" t="s">
        <v>82</v>
      </c>
      <c r="AD22" s="147" t="s">
        <v>82</v>
      </c>
      <c r="AE22" s="148" t="s">
        <v>82</v>
      </c>
      <c r="AF22" s="148" t="s">
        <v>82</v>
      </c>
      <c r="AG22" s="148" t="s">
        <v>82</v>
      </c>
      <c r="AH22" s="148" t="s">
        <v>82</v>
      </c>
      <c r="AI22" s="148" t="s">
        <v>82</v>
      </c>
      <c r="AJ22" s="149" t="s">
        <v>82</v>
      </c>
    </row>
    <row r="23" spans="2:36" s="46" customFormat="1" ht="7.5" customHeight="1" x14ac:dyDescent="0.25">
      <c r="B23" s="93"/>
      <c r="C23" s="70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8"/>
      <c r="AF23" s="67"/>
      <c r="AG23" s="68"/>
      <c r="AH23" s="67"/>
      <c r="AI23" s="67"/>
      <c r="AJ23" s="94"/>
    </row>
    <row r="24" spans="2:36" s="46" customFormat="1" ht="17.5" customHeight="1" x14ac:dyDescent="0.25">
      <c r="B24" s="286" t="s">
        <v>406</v>
      </c>
      <c r="C24" s="288" t="s">
        <v>405</v>
      </c>
      <c r="D24" s="290" t="s">
        <v>404</v>
      </c>
      <c r="E24" s="291"/>
      <c r="F24" s="291"/>
      <c r="G24" s="291"/>
      <c r="H24" s="291"/>
      <c r="I24" s="291"/>
      <c r="J24" s="291"/>
      <c r="K24" s="291"/>
      <c r="L24" s="291"/>
      <c r="M24" s="291"/>
      <c r="N24" s="291"/>
      <c r="O24" s="291"/>
      <c r="P24" s="291"/>
      <c r="Q24" s="291"/>
      <c r="R24" s="291"/>
      <c r="S24" s="291"/>
      <c r="T24" s="291"/>
      <c r="U24" s="291"/>
      <c r="V24" s="291"/>
      <c r="W24" s="291"/>
      <c r="X24" s="291"/>
      <c r="Y24" s="291"/>
      <c r="Z24" s="292"/>
      <c r="AA24" s="293" t="s">
        <v>403</v>
      </c>
      <c r="AB24" s="294"/>
      <c r="AC24" s="294"/>
      <c r="AD24" s="294"/>
      <c r="AE24" s="294"/>
      <c r="AF24" s="294"/>
      <c r="AG24" s="294"/>
      <c r="AH24" s="294"/>
      <c r="AI24" s="294"/>
      <c r="AJ24" s="295"/>
    </row>
    <row r="25" spans="2:36" s="46" customFormat="1" ht="17.5" customHeight="1" x14ac:dyDescent="0.25">
      <c r="B25" s="280"/>
      <c r="C25" s="283"/>
      <c r="D25" s="296" t="s">
        <v>402</v>
      </c>
      <c r="E25" s="297"/>
      <c r="F25" s="297"/>
      <c r="G25" s="297"/>
      <c r="H25" s="297"/>
      <c r="I25" s="297"/>
      <c r="J25" s="298" t="s">
        <v>401</v>
      </c>
      <c r="K25" s="299"/>
      <c r="L25" s="299"/>
      <c r="M25" s="299"/>
      <c r="N25" s="299"/>
      <c r="O25" s="299"/>
      <c r="P25" s="299"/>
      <c r="Q25" s="299"/>
      <c r="R25" s="299"/>
      <c r="S25" s="299"/>
      <c r="T25" s="300"/>
      <c r="U25" s="272" t="s">
        <v>400</v>
      </c>
      <c r="V25" s="274"/>
      <c r="W25" s="274"/>
      <c r="X25" s="274"/>
      <c r="Y25" s="274"/>
      <c r="Z25" s="273"/>
      <c r="AA25" s="272" t="s">
        <v>399</v>
      </c>
      <c r="AB25" s="301" t="s">
        <v>398</v>
      </c>
      <c r="AC25" s="303" t="s">
        <v>397</v>
      </c>
      <c r="AD25" s="303" t="s">
        <v>306</v>
      </c>
      <c r="AE25" s="303" t="s">
        <v>396</v>
      </c>
      <c r="AF25" s="304" t="s">
        <v>395</v>
      </c>
      <c r="AG25" s="303" t="s">
        <v>394</v>
      </c>
      <c r="AH25" s="304" t="s">
        <v>393</v>
      </c>
      <c r="AI25" s="303" t="s">
        <v>392</v>
      </c>
      <c r="AJ25" s="305" t="s">
        <v>391</v>
      </c>
    </row>
    <row r="26" spans="2:36" s="46" customFormat="1" ht="37.5" customHeight="1" x14ac:dyDescent="0.25">
      <c r="B26" s="287"/>
      <c r="C26" s="289"/>
      <c r="D26" s="85" t="s">
        <v>390</v>
      </c>
      <c r="E26" s="82" t="s">
        <v>389</v>
      </c>
      <c r="F26" s="82" t="s">
        <v>388</v>
      </c>
      <c r="G26" s="82" t="s">
        <v>387</v>
      </c>
      <c r="H26" s="82" t="s">
        <v>378</v>
      </c>
      <c r="I26" s="66" t="s">
        <v>377</v>
      </c>
      <c r="J26" s="85" t="s">
        <v>381</v>
      </c>
      <c r="K26" s="82" t="s">
        <v>380</v>
      </c>
      <c r="L26" s="82" t="s">
        <v>379</v>
      </c>
      <c r="M26" s="82" t="s">
        <v>386</v>
      </c>
      <c r="N26" s="82" t="s">
        <v>386</v>
      </c>
      <c r="O26" s="82" t="s">
        <v>378</v>
      </c>
      <c r="P26" s="82" t="s">
        <v>385</v>
      </c>
      <c r="Q26" s="82" t="s">
        <v>384</v>
      </c>
      <c r="R26" s="82" t="s">
        <v>377</v>
      </c>
      <c r="S26" s="82" t="s">
        <v>383</v>
      </c>
      <c r="T26" s="84" t="s">
        <v>382</v>
      </c>
      <c r="U26" s="85" t="s">
        <v>381</v>
      </c>
      <c r="V26" s="65" t="s">
        <v>380</v>
      </c>
      <c r="W26" s="82" t="s">
        <v>379</v>
      </c>
      <c r="X26" s="82" t="s">
        <v>378</v>
      </c>
      <c r="Y26" s="82" t="s">
        <v>377</v>
      </c>
      <c r="Z26" s="84" t="s">
        <v>376</v>
      </c>
      <c r="AA26" s="285"/>
      <c r="AB26" s="302"/>
      <c r="AC26" s="266"/>
      <c r="AD26" s="266"/>
      <c r="AE26" s="266"/>
      <c r="AF26" s="266"/>
      <c r="AG26" s="266"/>
      <c r="AH26" s="266"/>
      <c r="AI26" s="266"/>
      <c r="AJ26" s="270"/>
    </row>
    <row r="27" spans="2:36" s="46" customFormat="1" ht="17.5" customHeight="1" x14ac:dyDescent="0.25">
      <c r="B27" s="279" t="s">
        <v>459</v>
      </c>
      <c r="C27" s="282" t="s">
        <v>375</v>
      </c>
      <c r="D27" s="50" t="s">
        <v>281</v>
      </c>
      <c r="E27" s="49" t="s">
        <v>281</v>
      </c>
      <c r="F27" s="49" t="s">
        <v>4</v>
      </c>
      <c r="G27" s="49" t="s">
        <v>281</v>
      </c>
      <c r="H27" s="49" t="s">
        <v>284</v>
      </c>
      <c r="I27" s="64" t="s">
        <v>284</v>
      </c>
      <c r="J27" s="50" t="s">
        <v>281</v>
      </c>
      <c r="K27" s="49" t="s">
        <v>281</v>
      </c>
      <c r="L27" s="49" t="s">
        <v>284</v>
      </c>
      <c r="M27" s="49" t="s">
        <v>284</v>
      </c>
      <c r="N27" s="49" t="s">
        <v>284</v>
      </c>
      <c r="O27" s="49" t="s">
        <v>284</v>
      </c>
      <c r="P27" s="49" t="s">
        <v>284</v>
      </c>
      <c r="Q27" s="49" t="s">
        <v>284</v>
      </c>
      <c r="R27" s="49" t="s">
        <v>284</v>
      </c>
      <c r="S27" s="49" t="s">
        <v>284</v>
      </c>
      <c r="T27" s="57" t="s">
        <v>284</v>
      </c>
      <c r="U27" s="50" t="s">
        <v>281</v>
      </c>
      <c r="V27" s="63" t="s">
        <v>281</v>
      </c>
      <c r="W27" s="49" t="s">
        <v>284</v>
      </c>
      <c r="X27" s="49" t="s">
        <v>284</v>
      </c>
      <c r="Y27" s="49" t="s">
        <v>284</v>
      </c>
      <c r="Z27" s="57" t="s">
        <v>284</v>
      </c>
      <c r="AA27" s="50" t="s">
        <v>297</v>
      </c>
      <c r="AB27" s="49" t="s">
        <v>297</v>
      </c>
      <c r="AC27" s="49" t="s">
        <v>372</v>
      </c>
      <c r="AD27" s="49" t="s">
        <v>297</v>
      </c>
      <c r="AE27" s="48" t="s">
        <v>372</v>
      </c>
      <c r="AF27" s="47" t="s">
        <v>374</v>
      </c>
      <c r="AG27" s="49" t="s">
        <v>297</v>
      </c>
      <c r="AH27" s="47" t="s">
        <v>373</v>
      </c>
      <c r="AI27" s="48" t="s">
        <v>372</v>
      </c>
      <c r="AJ27" s="61" t="s">
        <v>372</v>
      </c>
    </row>
    <row r="28" spans="2:36" s="143" customFormat="1" ht="24" customHeight="1" x14ac:dyDescent="0.25">
      <c r="B28" s="280"/>
      <c r="C28" s="283"/>
      <c r="D28" s="132">
        <v>778</v>
      </c>
      <c r="E28" s="133">
        <f>K28+V28</f>
        <v>622.9119873046875</v>
      </c>
      <c r="F28" s="150" t="str">
        <f>IF(D28="","",IF(D7="","",IF(D28=(D7+D28)/2,"--",IF(D28&gt;=(D7+D28)/2,"↑","↓"))))</f>
        <v/>
      </c>
      <c r="G28" s="133">
        <v>-540.25</v>
      </c>
      <c r="H28" s="133">
        <v>0</v>
      </c>
      <c r="I28" s="134">
        <v>0</v>
      </c>
      <c r="J28" s="135">
        <v>605.4000244140625</v>
      </c>
      <c r="K28" s="136">
        <v>473.5439147949219</v>
      </c>
      <c r="L28" s="136">
        <v>78.22000122070312</v>
      </c>
      <c r="M28" s="136"/>
      <c r="N28" s="136"/>
      <c r="O28" s="136">
        <v>0</v>
      </c>
      <c r="P28" s="136"/>
      <c r="Q28" s="136"/>
      <c r="R28" s="136">
        <v>0</v>
      </c>
      <c r="S28" s="136"/>
      <c r="T28" s="137"/>
      <c r="U28" s="135">
        <v>172.60000610351562</v>
      </c>
      <c r="V28" s="138">
        <v>149.3680419921875</v>
      </c>
      <c r="W28" s="133">
        <v>86.54000091552734</v>
      </c>
      <c r="X28" s="133">
        <v>0</v>
      </c>
      <c r="Y28" s="133">
        <v>0</v>
      </c>
      <c r="Z28" s="139">
        <f>U28/D28</f>
        <v>0.06546558439731598</v>
      </c>
      <c r="AA28" s="140"/>
      <c r="AB28" s="133"/>
      <c r="AC28" s="133"/>
      <c r="AD28" s="133"/>
      <c r="AE28" s="141"/>
      <c r="AF28" s="141"/>
      <c r="AG28" s="141"/>
      <c r="AH28" s="141"/>
      <c r="AI28" s="141"/>
      <c r="AJ28" s="142"/>
    </row>
    <row r="29" spans="2:36" s="46" customFormat="1" ht="17.5" customHeight="1" x14ac:dyDescent="0.25">
      <c r="B29" s="280"/>
      <c r="C29" s="283"/>
      <c r="D29" s="272" t="s">
        <v>371</v>
      </c>
      <c r="E29" s="274"/>
      <c r="F29" s="273"/>
      <c r="G29" s="272" t="s">
        <v>370</v>
      </c>
      <c r="H29" s="274"/>
      <c r="I29" s="274"/>
      <c r="J29" s="274"/>
      <c r="K29" s="274"/>
      <c r="L29" s="274"/>
      <c r="M29" s="274"/>
      <c r="N29" s="274"/>
      <c r="O29" s="273"/>
      <c r="P29" s="272" t="s">
        <v>369</v>
      </c>
      <c r="Q29" s="274"/>
      <c r="R29" s="274"/>
      <c r="S29" s="274"/>
      <c r="T29" s="274"/>
      <c r="U29" s="274"/>
      <c r="V29" s="274"/>
      <c r="W29" s="274"/>
      <c r="X29" s="274"/>
      <c r="Y29" s="274"/>
      <c r="Z29" s="274"/>
      <c r="AA29" s="274"/>
      <c r="AB29" s="274"/>
      <c r="AC29" s="274"/>
      <c r="AD29" s="273"/>
      <c r="AE29" s="275" t="s">
        <v>336</v>
      </c>
      <c r="AF29" s="274"/>
      <c r="AG29" s="274"/>
      <c r="AH29" s="274"/>
      <c r="AI29" s="274"/>
      <c r="AJ29" s="273"/>
    </row>
    <row r="30" spans="2:36" s="46" customFormat="1" ht="15" customHeight="1" x14ac:dyDescent="0.25">
      <c r="B30" s="280"/>
      <c r="C30" s="283"/>
      <c r="D30" s="276" t="s">
        <v>368</v>
      </c>
      <c r="E30" s="267" t="s">
        <v>367</v>
      </c>
      <c r="F30" s="269" t="s">
        <v>366</v>
      </c>
      <c r="G30" s="276" t="s">
        <v>365</v>
      </c>
      <c r="H30" s="266"/>
      <c r="I30" s="271" t="s">
        <v>364</v>
      </c>
      <c r="J30" s="271" t="s">
        <v>363</v>
      </c>
      <c r="K30" s="271" t="s">
        <v>362</v>
      </c>
      <c r="L30" s="271" t="s">
        <v>361</v>
      </c>
      <c r="M30" s="271" t="s">
        <v>360</v>
      </c>
      <c r="N30" s="271" t="s">
        <v>359</v>
      </c>
      <c r="O30" s="277" t="s">
        <v>358</v>
      </c>
      <c r="P30" s="276" t="s">
        <v>357</v>
      </c>
      <c r="Q30" s="266"/>
      <c r="R30" s="267" t="s">
        <v>356</v>
      </c>
      <c r="S30" s="266"/>
      <c r="T30" s="266"/>
      <c r="U30" s="267" t="s">
        <v>355</v>
      </c>
      <c r="V30" s="265" t="s">
        <v>354</v>
      </c>
      <c r="W30" s="266"/>
      <c r="X30" s="265" t="s">
        <v>353</v>
      </c>
      <c r="Y30" s="266"/>
      <c r="Z30" s="266"/>
      <c r="AA30" s="265" t="s">
        <v>352</v>
      </c>
      <c r="AB30" s="267" t="s">
        <v>351</v>
      </c>
      <c r="AC30" s="268" t="s">
        <v>350</v>
      </c>
      <c r="AD30" s="269" t="s">
        <v>349</v>
      </c>
      <c r="AE30" s="278" t="s">
        <v>348</v>
      </c>
      <c r="AF30" s="266"/>
      <c r="AG30" s="266"/>
      <c r="AH30" s="271" t="s">
        <v>332</v>
      </c>
      <c r="AI30" s="266"/>
      <c r="AJ30" s="270"/>
    </row>
    <row r="31" spans="2:36" s="46" customFormat="1" ht="15" customHeight="1" x14ac:dyDescent="0.25">
      <c r="B31" s="280"/>
      <c r="C31" s="283"/>
      <c r="D31" s="285"/>
      <c r="E31" s="266"/>
      <c r="F31" s="270"/>
      <c r="G31" s="83" t="s">
        <v>347</v>
      </c>
      <c r="H31" s="80" t="s">
        <v>346</v>
      </c>
      <c r="I31" s="266"/>
      <c r="J31" s="266"/>
      <c r="K31" s="266"/>
      <c r="L31" s="266"/>
      <c r="M31" s="266"/>
      <c r="N31" s="266"/>
      <c r="O31" s="270"/>
      <c r="P31" s="83" t="s">
        <v>345</v>
      </c>
      <c r="Q31" s="80" t="s">
        <v>344</v>
      </c>
      <c r="R31" s="80" t="s">
        <v>344</v>
      </c>
      <c r="S31" s="80" t="s">
        <v>343</v>
      </c>
      <c r="T31" s="79" t="s">
        <v>342</v>
      </c>
      <c r="U31" s="266"/>
      <c r="V31" s="79" t="s">
        <v>345</v>
      </c>
      <c r="W31" s="80" t="s">
        <v>344</v>
      </c>
      <c r="X31" s="79" t="s">
        <v>344</v>
      </c>
      <c r="Y31" s="80" t="s">
        <v>343</v>
      </c>
      <c r="Z31" s="79" t="s">
        <v>342</v>
      </c>
      <c r="AA31" s="266"/>
      <c r="AB31" s="266"/>
      <c r="AC31" s="266"/>
      <c r="AD31" s="270"/>
      <c r="AE31" s="85" t="s">
        <v>1</v>
      </c>
      <c r="AF31" s="82" t="s">
        <v>12</v>
      </c>
      <c r="AG31" s="82" t="s">
        <v>15</v>
      </c>
      <c r="AH31" s="52" t="s">
        <v>103</v>
      </c>
      <c r="AI31" s="82" t="s">
        <v>341</v>
      </c>
      <c r="AJ31" s="81" t="s">
        <v>340</v>
      </c>
    </row>
    <row r="32" spans="2:36" s="46" customFormat="1" ht="17.5" customHeight="1" x14ac:dyDescent="0.25">
      <c r="B32" s="280"/>
      <c r="C32" s="283"/>
      <c r="D32" s="83" t="s">
        <v>4</v>
      </c>
      <c r="E32" s="80" t="s">
        <v>4</v>
      </c>
      <c r="F32" s="81" t="s">
        <v>4</v>
      </c>
      <c r="G32" s="50" t="s">
        <v>299</v>
      </c>
      <c r="H32" s="49" t="s">
        <v>283</v>
      </c>
      <c r="I32" s="49" t="s">
        <v>339</v>
      </c>
      <c r="J32" s="49" t="s">
        <v>299</v>
      </c>
      <c r="K32" s="58" t="s">
        <v>302</v>
      </c>
      <c r="L32" s="49" t="s">
        <v>301</v>
      </c>
      <c r="M32" s="58" t="s">
        <v>302</v>
      </c>
      <c r="N32" s="58" t="s">
        <v>302</v>
      </c>
      <c r="O32" s="57" t="s">
        <v>301</v>
      </c>
      <c r="P32" s="50" t="s">
        <v>284</v>
      </c>
      <c r="Q32" s="48" t="s">
        <v>284</v>
      </c>
      <c r="R32" s="49" t="s">
        <v>284</v>
      </c>
      <c r="S32" s="48" t="s">
        <v>284</v>
      </c>
      <c r="T32" s="47" t="s">
        <v>4</v>
      </c>
      <c r="U32" s="48" t="s">
        <v>283</v>
      </c>
      <c r="V32" s="47" t="s">
        <v>284</v>
      </c>
      <c r="W32" s="48" t="s">
        <v>283</v>
      </c>
      <c r="X32" s="47" t="s">
        <v>283</v>
      </c>
      <c r="Y32" s="48" t="s">
        <v>283</v>
      </c>
      <c r="Z32" s="62" t="s">
        <v>4</v>
      </c>
      <c r="AA32" s="62" t="s">
        <v>339</v>
      </c>
      <c r="AB32" s="58" t="s">
        <v>338</v>
      </c>
      <c r="AC32" s="58" t="s">
        <v>338</v>
      </c>
      <c r="AD32" s="61" t="s">
        <v>4</v>
      </c>
      <c r="AE32" s="60" t="s">
        <v>301</v>
      </c>
      <c r="AF32" s="53" t="s">
        <v>302</v>
      </c>
      <c r="AG32" s="52" t="s">
        <v>284</v>
      </c>
      <c r="AH32" s="52" t="s">
        <v>303</v>
      </c>
      <c r="AI32" s="52" t="s">
        <v>303</v>
      </c>
      <c r="AJ32" s="51" t="s">
        <v>303</v>
      </c>
    </row>
    <row r="33" spans="2:36" s="143" customFormat="1" ht="24" customHeight="1" x14ac:dyDescent="0.25">
      <c r="B33" s="280"/>
      <c r="C33" s="283"/>
      <c r="D33" s="151">
        <v>0.53</v>
      </c>
      <c r="E33" s="144"/>
      <c r="F33" s="156" t="str">
        <f>IF(E33="","",IF(AND(E33&gt;=0.525,E33&lt;=0.53),"合格","不合格"))</f>
        <v/>
      </c>
      <c r="G33" s="132">
        <v>-0.3898763060569763</v>
      </c>
      <c r="H33" s="133">
        <v>414.8708190917969</v>
      </c>
      <c r="I33" s="133">
        <v>-27.65511131286621</v>
      </c>
      <c r="J33" s="133">
        <v>-3.20782470703125</v>
      </c>
      <c r="K33" s="133">
        <v>150.49671936035156</v>
      </c>
      <c r="L33" s="133">
        <v>0.8582320809364319</v>
      </c>
      <c r="M33" s="133">
        <v>165.37904357910156</v>
      </c>
      <c r="N33" s="133">
        <v>156.10472106933594</v>
      </c>
      <c r="O33" s="139">
        <v>0.481403112411499</v>
      </c>
      <c r="P33" s="152">
        <v>29.1</v>
      </c>
      <c r="Q33" s="153" t="s">
        <v>337</v>
      </c>
      <c r="R33" s="133">
        <v>22</v>
      </c>
      <c r="S33" s="133">
        <f>R33-33.1</f>
        <v>-33.1</v>
      </c>
      <c r="T33" s="150" t="str">
        <f>IF(S33&gt;=0,"↑","↓")</f>
        <v>↓</v>
      </c>
      <c r="U33" s="141" t="s">
        <v>82</v>
      </c>
      <c r="V33" s="153">
        <v>1.6</v>
      </c>
      <c r="W33" s="153">
        <v>17.600000000000001</v>
      </c>
      <c r="X33" s="133">
        <v>44</v>
      </c>
      <c r="Y33" s="133">
        <f>X33-W33</f>
        <v>-17.600000000000001</v>
      </c>
      <c r="Z33" s="150" t="str">
        <f>IF(Y33&gt;=0,"↑","↓")</f>
        <v>↓</v>
      </c>
      <c r="AA33" s="153">
        <v>6.28</v>
      </c>
      <c r="AB33" s="133">
        <v>-25.28165626525879</v>
      </c>
      <c r="AC33" s="133">
        <f>AB33-AA33</f>
        <v>-6.28</v>
      </c>
      <c r="AD33" s="150" t="str">
        <f>IF(AC33&gt;=0,"↑","↓")</f>
        <v>↓</v>
      </c>
      <c r="AE33" s="145"/>
      <c r="AF33" s="133"/>
      <c r="AG33" s="141"/>
      <c r="AH33" s="141">
        <v>33</v>
      </c>
      <c r="AI33" s="141">
        <v>44</v>
      </c>
      <c r="AJ33" s="142">
        <v>55</v>
      </c>
    </row>
    <row r="34" spans="2:36" s="46" customFormat="1" ht="15" customHeight="1" x14ac:dyDescent="0.25">
      <c r="B34" s="280"/>
      <c r="C34" s="283"/>
      <c r="D34" s="272" t="s">
        <v>336</v>
      </c>
      <c r="E34" s="273"/>
      <c r="F34" s="272" t="s">
        <v>335</v>
      </c>
      <c r="G34" s="274"/>
      <c r="H34" s="274"/>
      <c r="I34" s="274"/>
      <c r="J34" s="274"/>
      <c r="K34" s="274"/>
      <c r="L34" s="274"/>
      <c r="M34" s="273"/>
      <c r="N34" s="272" t="s">
        <v>334</v>
      </c>
      <c r="O34" s="274"/>
      <c r="P34" s="274"/>
      <c r="Q34" s="274"/>
      <c r="R34" s="274"/>
      <c r="S34" s="274"/>
      <c r="T34" s="274"/>
      <c r="U34" s="273"/>
      <c r="V34" s="275" t="s">
        <v>333</v>
      </c>
      <c r="W34" s="274"/>
      <c r="X34" s="274"/>
      <c r="Y34" s="274"/>
      <c r="Z34" s="274"/>
      <c r="AA34" s="274"/>
      <c r="AB34" s="274"/>
      <c r="AC34" s="274"/>
      <c r="AD34" s="274"/>
      <c r="AE34" s="274"/>
      <c r="AF34" s="274"/>
      <c r="AG34" s="274"/>
      <c r="AH34" s="274"/>
      <c r="AI34" s="274"/>
      <c r="AJ34" s="273"/>
    </row>
    <row r="35" spans="2:36" s="46" customFormat="1" ht="15" customHeight="1" x14ac:dyDescent="0.25">
      <c r="B35" s="280"/>
      <c r="C35" s="283"/>
      <c r="D35" s="276" t="s">
        <v>332</v>
      </c>
      <c r="E35" s="270"/>
      <c r="F35" s="276" t="s">
        <v>331</v>
      </c>
      <c r="G35" s="266"/>
      <c r="H35" s="266"/>
      <c r="I35" s="266"/>
      <c r="J35" s="266"/>
      <c r="K35" s="271" t="s">
        <v>330</v>
      </c>
      <c r="L35" s="266"/>
      <c r="M35" s="270"/>
      <c r="N35" s="276" t="s">
        <v>329</v>
      </c>
      <c r="O35" s="266"/>
      <c r="P35" s="266"/>
      <c r="Q35" s="266"/>
      <c r="R35" s="266"/>
      <c r="S35" s="267" t="s">
        <v>328</v>
      </c>
      <c r="T35" s="266"/>
      <c r="U35" s="270"/>
      <c r="V35" s="278" t="s">
        <v>327</v>
      </c>
      <c r="W35" s="266"/>
      <c r="X35" s="266"/>
      <c r="Y35" s="266"/>
      <c r="Z35" s="271" t="s">
        <v>326</v>
      </c>
      <c r="AA35" s="266"/>
      <c r="AB35" s="266"/>
      <c r="AC35" s="266"/>
      <c r="AD35" s="266"/>
      <c r="AE35" s="266"/>
      <c r="AF35" s="266"/>
      <c r="AG35" s="266"/>
      <c r="AH35" s="266"/>
      <c r="AI35" s="266"/>
      <c r="AJ35" s="270"/>
    </row>
    <row r="36" spans="2:36" s="46" customFormat="1" ht="25" customHeight="1" x14ac:dyDescent="0.25">
      <c r="B36" s="280"/>
      <c r="C36" s="283"/>
      <c r="D36" s="83" t="s">
        <v>325</v>
      </c>
      <c r="E36" s="81" t="s">
        <v>322</v>
      </c>
      <c r="F36" s="83" t="s">
        <v>324</v>
      </c>
      <c r="G36" s="80" t="s">
        <v>317</v>
      </c>
      <c r="H36" s="80" t="s">
        <v>323</v>
      </c>
      <c r="I36" s="82" t="s">
        <v>15</v>
      </c>
      <c r="J36" s="52" t="s">
        <v>322</v>
      </c>
      <c r="K36" s="82" t="s">
        <v>321</v>
      </c>
      <c r="L36" s="82" t="s">
        <v>320</v>
      </c>
      <c r="M36" s="81" t="s">
        <v>319</v>
      </c>
      <c r="N36" s="83" t="s">
        <v>324</v>
      </c>
      <c r="O36" s="80" t="s">
        <v>317</v>
      </c>
      <c r="P36" s="80" t="s">
        <v>323</v>
      </c>
      <c r="Q36" s="80" t="s">
        <v>15</v>
      </c>
      <c r="R36" s="79" t="s">
        <v>322</v>
      </c>
      <c r="S36" s="82" t="s">
        <v>321</v>
      </c>
      <c r="T36" s="82" t="s">
        <v>320</v>
      </c>
      <c r="U36" s="81" t="s">
        <v>319</v>
      </c>
      <c r="V36" s="85" t="s">
        <v>318</v>
      </c>
      <c r="W36" s="82" t="s">
        <v>317</v>
      </c>
      <c r="X36" s="82" t="s">
        <v>316</v>
      </c>
      <c r="Y36" s="82" t="s">
        <v>315</v>
      </c>
      <c r="Z36" s="82" t="s">
        <v>314</v>
      </c>
      <c r="AA36" s="82" t="s">
        <v>313</v>
      </c>
      <c r="AB36" s="82" t="s">
        <v>312</v>
      </c>
      <c r="AC36" s="82" t="s">
        <v>311</v>
      </c>
      <c r="AD36" s="82" t="s">
        <v>310</v>
      </c>
      <c r="AE36" s="82" t="s">
        <v>309</v>
      </c>
      <c r="AF36" s="82" t="s">
        <v>308</v>
      </c>
      <c r="AG36" s="82" t="s">
        <v>307</v>
      </c>
      <c r="AH36" s="82" t="s">
        <v>306</v>
      </c>
      <c r="AI36" s="82" t="s">
        <v>305</v>
      </c>
      <c r="AJ36" s="84" t="s">
        <v>304</v>
      </c>
    </row>
    <row r="37" spans="2:36" s="46" customFormat="1" ht="15" customHeight="1" x14ac:dyDescent="0.25">
      <c r="B37" s="280"/>
      <c r="C37" s="283"/>
      <c r="D37" s="60" t="s">
        <v>303</v>
      </c>
      <c r="E37" s="51" t="s">
        <v>4</v>
      </c>
      <c r="F37" s="54" t="s">
        <v>302</v>
      </c>
      <c r="G37" s="53" t="s">
        <v>302</v>
      </c>
      <c r="H37" s="53" t="s">
        <v>302</v>
      </c>
      <c r="I37" s="52" t="s">
        <v>284</v>
      </c>
      <c r="J37" s="52" t="s">
        <v>4</v>
      </c>
      <c r="K37" s="52" t="s">
        <v>284</v>
      </c>
      <c r="L37" s="52" t="s">
        <v>284</v>
      </c>
      <c r="M37" s="57" t="s">
        <v>284</v>
      </c>
      <c r="N37" s="59" t="s">
        <v>302</v>
      </c>
      <c r="O37" s="80" t="s">
        <v>302</v>
      </c>
      <c r="P37" s="58" t="s">
        <v>302</v>
      </c>
      <c r="Q37" s="49" t="s">
        <v>284</v>
      </c>
      <c r="R37" s="49" t="s">
        <v>4</v>
      </c>
      <c r="S37" s="52" t="s">
        <v>284</v>
      </c>
      <c r="T37" s="52" t="s">
        <v>284</v>
      </c>
      <c r="U37" s="57" t="s">
        <v>284</v>
      </c>
      <c r="V37" s="54" t="s">
        <v>302</v>
      </c>
      <c r="W37" s="53" t="s">
        <v>302</v>
      </c>
      <c r="X37" s="52" t="s">
        <v>301</v>
      </c>
      <c r="Y37" s="52" t="s">
        <v>284</v>
      </c>
      <c r="Z37" s="52" t="s">
        <v>300</v>
      </c>
      <c r="AA37" s="52" t="s">
        <v>299</v>
      </c>
      <c r="AB37" s="52" t="s">
        <v>300</v>
      </c>
      <c r="AC37" s="53" t="s">
        <v>299</v>
      </c>
      <c r="AD37" s="53" t="s">
        <v>283</v>
      </c>
      <c r="AE37" s="53" t="s">
        <v>4</v>
      </c>
      <c r="AF37" s="52" t="s">
        <v>282</v>
      </c>
      <c r="AG37" s="52" t="s">
        <v>298</v>
      </c>
      <c r="AH37" s="52" t="s">
        <v>297</v>
      </c>
      <c r="AI37" s="52" t="s">
        <v>297</v>
      </c>
      <c r="AJ37" s="51" t="s">
        <v>4</v>
      </c>
    </row>
    <row r="38" spans="2:36" s="143" customFormat="1" ht="24" customHeight="1" x14ac:dyDescent="0.25">
      <c r="B38" s="280"/>
      <c r="C38" s="283"/>
      <c r="D38" s="145">
        <v>66</v>
      </c>
      <c r="E38" s="139">
        <v>77</v>
      </c>
      <c r="F38" s="145">
        <v>12.815123558044434</v>
      </c>
      <c r="G38" s="141">
        <v>18.592363357543945</v>
      </c>
      <c r="H38" s="141">
        <v>5.777239799499512</v>
      </c>
      <c r="I38" s="133">
        <v>92.77855682373047</v>
      </c>
      <c r="J38" s="133">
        <v>2.8712384700775146</v>
      </c>
      <c r="K38" s="133">
        <v>473.5439147949219</v>
      </c>
      <c r="L38" s="133">
        <v>0</v>
      </c>
      <c r="M38" s="139">
        <v>0</v>
      </c>
      <c r="N38" s="132">
        <v>28.54166603088379</v>
      </c>
      <c r="O38" s="133">
        <v>29.699438095092773</v>
      </c>
      <c r="P38" s="133">
        <v>1.1577720642089844</v>
      </c>
      <c r="Q38" s="133">
        <v>29.29166603088379</v>
      </c>
      <c r="R38" s="133"/>
      <c r="S38" s="133">
        <v>149.3680419921875</v>
      </c>
      <c r="T38" s="133">
        <v>0</v>
      </c>
      <c r="U38" s="139">
        <v>0</v>
      </c>
      <c r="V38" s="132">
        <v>257.0215759277344</v>
      </c>
      <c r="W38" s="133">
        <v>41.86709976196289</v>
      </c>
      <c r="X38" s="133">
        <v>-74.51261901855469</v>
      </c>
      <c r="Y38" s="133"/>
      <c r="Z38" s="133">
        <v>-7.161460876464844</v>
      </c>
      <c r="AA38" s="133">
        <v>0</v>
      </c>
      <c r="AB38" s="133">
        <v>0</v>
      </c>
      <c r="AC38" s="133">
        <v>-396.0313720703125</v>
      </c>
      <c r="AD38" s="133">
        <v>3.180013418197632</v>
      </c>
      <c r="AE38" s="133" t="e">
        <f>Z38/AB38</f>
        <v>#DIV/0!</v>
      </c>
      <c r="AF38" s="133">
        <v>43.3050537109375</v>
      </c>
      <c r="AG38" s="133">
        <v>1196.3125</v>
      </c>
      <c r="AH38" s="133" t="e">
        <f>AF38/(Z38-AB38)</f>
        <v>#DIV/0!</v>
      </c>
      <c r="AI38" s="153" t="s">
        <v>296</v>
      </c>
      <c r="AJ38" s="150" t="e">
        <f>IF((AH38-AI38)&gt;=0,"↑","↓")</f>
        <v>#DIV/0!</v>
      </c>
    </row>
    <row r="39" spans="2:36" s="46" customFormat="1" ht="15" customHeight="1" x14ac:dyDescent="0.25">
      <c r="B39" s="280"/>
      <c r="C39" s="283"/>
      <c r="D39" s="275" t="s">
        <v>295</v>
      </c>
      <c r="E39" s="274"/>
      <c r="F39" s="274"/>
      <c r="G39" s="274"/>
      <c r="H39" s="274"/>
      <c r="I39" s="274"/>
      <c r="J39" s="274"/>
      <c r="K39" s="274"/>
      <c r="L39" s="274"/>
      <c r="M39" s="274"/>
      <c r="N39" s="274"/>
      <c r="O39" s="274"/>
      <c r="P39" s="274"/>
      <c r="Q39" s="273"/>
      <c r="R39" s="86" t="s">
        <v>4</v>
      </c>
      <c r="S39" s="56" t="s">
        <v>4</v>
      </c>
      <c r="T39" s="56" t="s">
        <v>4</v>
      </c>
      <c r="U39" s="56" t="s">
        <v>82</v>
      </c>
      <c r="V39" s="56" t="s">
        <v>82</v>
      </c>
      <c r="W39" s="56" t="s">
        <v>82</v>
      </c>
      <c r="X39" s="56" t="s">
        <v>82</v>
      </c>
      <c r="Y39" s="56" t="s">
        <v>82</v>
      </c>
      <c r="Z39" s="56" t="s">
        <v>82</v>
      </c>
      <c r="AA39" s="56" t="s">
        <v>82</v>
      </c>
      <c r="AB39" s="56" t="s">
        <v>82</v>
      </c>
      <c r="AC39" s="56" t="s">
        <v>82</v>
      </c>
      <c r="AD39" s="56" t="s">
        <v>82</v>
      </c>
      <c r="AE39" s="56" t="s">
        <v>82</v>
      </c>
      <c r="AF39" s="55" t="s">
        <v>82</v>
      </c>
      <c r="AG39" s="55" t="s">
        <v>82</v>
      </c>
      <c r="AH39" s="55" t="s">
        <v>82</v>
      </c>
      <c r="AI39" s="55" t="s">
        <v>82</v>
      </c>
      <c r="AJ39" s="92" t="s">
        <v>82</v>
      </c>
    </row>
    <row r="40" spans="2:36" s="46" customFormat="1" ht="15" customHeight="1" x14ac:dyDescent="0.25">
      <c r="B40" s="280"/>
      <c r="C40" s="283"/>
      <c r="D40" s="278" t="s">
        <v>294</v>
      </c>
      <c r="E40" s="266"/>
      <c r="F40" s="266"/>
      <c r="G40" s="271" t="s">
        <v>293</v>
      </c>
      <c r="H40" s="266"/>
      <c r="I40" s="266"/>
      <c r="J40" s="271" t="s">
        <v>292</v>
      </c>
      <c r="K40" s="266"/>
      <c r="L40" s="266"/>
      <c r="M40" s="271" t="s">
        <v>291</v>
      </c>
      <c r="N40" s="271" t="s">
        <v>290</v>
      </c>
      <c r="O40" s="271" t="s">
        <v>289</v>
      </c>
      <c r="P40" s="271" t="s">
        <v>225</v>
      </c>
      <c r="Q40" s="277" t="s">
        <v>288</v>
      </c>
      <c r="R40" s="50" t="s">
        <v>4</v>
      </c>
      <c r="S40" s="49" t="s">
        <v>4</v>
      </c>
      <c r="T40" s="49" t="s">
        <v>4</v>
      </c>
      <c r="U40" s="49" t="s">
        <v>82</v>
      </c>
      <c r="V40" s="49" t="s">
        <v>82</v>
      </c>
      <c r="W40" s="49" t="s">
        <v>82</v>
      </c>
      <c r="X40" s="49" t="s">
        <v>82</v>
      </c>
      <c r="Y40" s="49" t="s">
        <v>82</v>
      </c>
      <c r="Z40" s="49" t="s">
        <v>82</v>
      </c>
      <c r="AA40" s="49" t="s">
        <v>82</v>
      </c>
      <c r="AB40" s="49" t="s">
        <v>82</v>
      </c>
      <c r="AC40" s="49" t="s">
        <v>82</v>
      </c>
      <c r="AD40" s="49" t="s">
        <v>82</v>
      </c>
      <c r="AE40" s="49" t="s">
        <v>82</v>
      </c>
      <c r="AF40" s="47" t="s">
        <v>82</v>
      </c>
      <c r="AG40" s="47" t="s">
        <v>82</v>
      </c>
      <c r="AH40" s="47" t="s">
        <v>82</v>
      </c>
      <c r="AI40" s="47" t="s">
        <v>82</v>
      </c>
      <c r="AJ40" s="61" t="s">
        <v>82</v>
      </c>
    </row>
    <row r="41" spans="2:36" s="46" customFormat="1" ht="25" customHeight="1" x14ac:dyDescent="0.25">
      <c r="B41" s="280"/>
      <c r="C41" s="283"/>
      <c r="D41" s="85" t="s">
        <v>287</v>
      </c>
      <c r="E41" s="82" t="s">
        <v>286</v>
      </c>
      <c r="F41" s="82" t="s">
        <v>285</v>
      </c>
      <c r="G41" s="82" t="s">
        <v>287</v>
      </c>
      <c r="H41" s="82" t="s">
        <v>286</v>
      </c>
      <c r="I41" s="82" t="s">
        <v>285</v>
      </c>
      <c r="J41" s="82" t="s">
        <v>287</v>
      </c>
      <c r="K41" s="82" t="s">
        <v>286</v>
      </c>
      <c r="L41" s="82" t="s">
        <v>285</v>
      </c>
      <c r="M41" s="266"/>
      <c r="N41" s="266"/>
      <c r="O41" s="266"/>
      <c r="P41" s="266"/>
      <c r="Q41" s="270"/>
      <c r="R41" s="83" t="s">
        <v>4</v>
      </c>
      <c r="S41" s="80" t="s">
        <v>4</v>
      </c>
      <c r="T41" s="80" t="s">
        <v>4</v>
      </c>
      <c r="U41" s="80" t="s">
        <v>82</v>
      </c>
      <c r="V41" s="80" t="s">
        <v>82</v>
      </c>
      <c r="W41" s="82" t="s">
        <v>82</v>
      </c>
      <c r="X41" s="80" t="s">
        <v>82</v>
      </c>
      <c r="Y41" s="80" t="s">
        <v>82</v>
      </c>
      <c r="Z41" s="82" t="s">
        <v>82</v>
      </c>
      <c r="AA41" s="49" t="s">
        <v>82</v>
      </c>
      <c r="AB41" s="49" t="s">
        <v>82</v>
      </c>
      <c r="AC41" s="49" t="s">
        <v>82</v>
      </c>
      <c r="AD41" s="49" t="s">
        <v>82</v>
      </c>
      <c r="AE41" s="49" t="s">
        <v>82</v>
      </c>
      <c r="AF41" s="47" t="s">
        <v>82</v>
      </c>
      <c r="AG41" s="47" t="s">
        <v>82</v>
      </c>
      <c r="AH41" s="47" t="s">
        <v>82</v>
      </c>
      <c r="AI41" s="47" t="s">
        <v>82</v>
      </c>
      <c r="AJ41" s="61" t="s">
        <v>82</v>
      </c>
    </row>
    <row r="42" spans="2:36" s="46" customFormat="1" ht="22.5" customHeight="1" x14ac:dyDescent="0.25">
      <c r="B42" s="280"/>
      <c r="C42" s="283"/>
      <c r="D42" s="54" t="s">
        <v>284</v>
      </c>
      <c r="E42" s="53" t="s">
        <v>284</v>
      </c>
      <c r="F42" s="52" t="s">
        <v>284</v>
      </c>
      <c r="G42" s="52" t="s">
        <v>283</v>
      </c>
      <c r="H42" s="49" t="s">
        <v>283</v>
      </c>
      <c r="I42" s="49" t="s">
        <v>283</v>
      </c>
      <c r="J42" s="52" t="s">
        <v>283</v>
      </c>
      <c r="K42" s="49" t="s">
        <v>283</v>
      </c>
      <c r="L42" s="49" t="s">
        <v>283</v>
      </c>
      <c r="M42" s="49" t="s">
        <v>282</v>
      </c>
      <c r="N42" s="49" t="s">
        <v>281</v>
      </c>
      <c r="O42" s="52" t="s">
        <v>280</v>
      </c>
      <c r="P42" s="52" t="s">
        <v>4</v>
      </c>
      <c r="Q42" s="51" t="s">
        <v>4</v>
      </c>
      <c r="R42" s="50" t="s">
        <v>4</v>
      </c>
      <c r="S42" s="49" t="s">
        <v>4</v>
      </c>
      <c r="T42" s="49" t="s">
        <v>4</v>
      </c>
      <c r="U42" s="49" t="s">
        <v>82</v>
      </c>
      <c r="V42" s="49" t="s">
        <v>82</v>
      </c>
      <c r="W42" s="49" t="s">
        <v>82</v>
      </c>
      <c r="X42" s="49" t="s">
        <v>82</v>
      </c>
      <c r="Y42" s="49" t="s">
        <v>82</v>
      </c>
      <c r="Z42" s="49" t="s">
        <v>82</v>
      </c>
      <c r="AA42" s="49" t="s">
        <v>82</v>
      </c>
      <c r="AB42" s="49" t="s">
        <v>82</v>
      </c>
      <c r="AC42" s="49" t="s">
        <v>82</v>
      </c>
      <c r="AD42" s="49" t="s">
        <v>82</v>
      </c>
      <c r="AE42" s="48" t="s">
        <v>82</v>
      </c>
      <c r="AF42" s="47" t="s">
        <v>82</v>
      </c>
      <c r="AG42" s="47" t="s">
        <v>82</v>
      </c>
      <c r="AH42" s="47" t="s">
        <v>82</v>
      </c>
      <c r="AI42" s="47" t="s">
        <v>82</v>
      </c>
      <c r="AJ42" s="61" t="s">
        <v>82</v>
      </c>
    </row>
    <row r="43" spans="2:36" s="143" customFormat="1" ht="24" customHeight="1" x14ac:dyDescent="0.25">
      <c r="B43" s="281"/>
      <c r="C43" s="284"/>
      <c r="D43" s="132"/>
      <c r="E43" s="133"/>
      <c r="F43" s="133">
        <f>D43-E43</f>
        <v>0</v>
      </c>
      <c r="G43" s="133"/>
      <c r="H43" s="133"/>
      <c r="I43" s="133">
        <f>G43-H43</f>
        <v>0</v>
      </c>
      <c r="J43" s="133"/>
      <c r="K43" s="133"/>
      <c r="L43" s="133">
        <f>J43-K43</f>
        <v>0</v>
      </c>
      <c r="M43" s="133">
        <v>2.7209014892578125</v>
      </c>
      <c r="N43" s="133"/>
      <c r="O43" s="133" t="e">
        <f>N43/M43</f>
        <v>#DIV/0!</v>
      </c>
      <c r="P43" s="133"/>
      <c r="Q43" s="155">
        <v>301</v>
      </c>
      <c r="R43" s="132" t="s">
        <v>4</v>
      </c>
      <c r="S43" s="133" t="s">
        <v>4</v>
      </c>
      <c r="T43" s="133" t="s">
        <v>4</v>
      </c>
      <c r="U43" s="133" t="s">
        <v>82</v>
      </c>
      <c r="V43" s="133" t="s">
        <v>82</v>
      </c>
      <c r="W43" s="133" t="s">
        <v>82</v>
      </c>
      <c r="X43" s="133" t="s">
        <v>82</v>
      </c>
      <c r="Y43" s="133" t="s">
        <v>82</v>
      </c>
      <c r="Z43" s="133" t="s">
        <v>82</v>
      </c>
      <c r="AA43" s="133" t="s">
        <v>82</v>
      </c>
      <c r="AB43" s="133" t="s">
        <v>82</v>
      </c>
      <c r="AC43" s="133" t="s">
        <v>82</v>
      </c>
      <c r="AD43" s="133" t="s">
        <v>82</v>
      </c>
      <c r="AE43" s="141" t="s">
        <v>82</v>
      </c>
      <c r="AF43" s="141" t="s">
        <v>82</v>
      </c>
      <c r="AG43" s="141" t="s">
        <v>82</v>
      </c>
      <c r="AH43" s="141" t="s">
        <v>82</v>
      </c>
      <c r="AI43" s="141" t="s">
        <v>82</v>
      </c>
      <c r="AJ43" s="142" t="s">
        <v>82</v>
      </c>
    </row>
    <row r="44" spans="2:36" ht="15" customHeight="1" x14ac:dyDescent="0.25"/>
    <row r="45" spans="2:36" ht="18" customHeight="1" x14ac:dyDescent="0.25"/>
    <row r="46" spans="2:36" ht="18" customHeight="1" x14ac:dyDescent="0.25"/>
    <row r="47" spans="2:36" ht="18" customHeight="1" x14ac:dyDescent="0.25"/>
    <row r="48" spans="2:36" ht="18" customHeight="1" x14ac:dyDescent="0.25"/>
    <row r="49" ht="18" customHeight="1" x14ac:dyDescent="0.25"/>
    <row r="50" ht="18" customHeight="1" x14ac:dyDescent="0.25"/>
    <row r="51" ht="18" customHeight="1" x14ac:dyDescent="0.25"/>
    <row r="52" ht="18" customHeight="1" x14ac:dyDescent="0.25"/>
    <row r="53" ht="18" customHeight="1" x14ac:dyDescent="0.25"/>
    <row r="54" ht="18" customHeight="1" x14ac:dyDescent="0.25"/>
    <row r="55" ht="18" customHeight="1" x14ac:dyDescent="0.25"/>
    <row r="56" ht="18" customHeight="1" x14ac:dyDescent="0.25"/>
    <row r="57" ht="18" customHeight="1" x14ac:dyDescent="0.25"/>
    <row r="58" ht="18" customHeight="1" x14ac:dyDescent="0.25"/>
    <row r="59" ht="18" customHeight="1" x14ac:dyDescent="0.25"/>
    <row r="60" ht="18" customHeight="1" x14ac:dyDescent="0.25"/>
    <row r="61" ht="18" customHeight="1" x14ac:dyDescent="0.25"/>
    <row r="62" ht="18" customHeight="1" x14ac:dyDescent="0.25"/>
    <row r="63" ht="18" customHeight="1" x14ac:dyDescent="0.25"/>
    <row r="64" ht="18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  <row r="70" ht="18" customHeight="1" x14ac:dyDescent="0.25"/>
    <row r="71" ht="18" customHeight="1" x14ac:dyDescent="0.25"/>
    <row r="72" ht="18" customHeight="1" x14ac:dyDescent="0.25"/>
    <row r="73" ht="18" customHeight="1" x14ac:dyDescent="0.25"/>
    <row r="74" ht="18" customHeight="1" x14ac:dyDescent="0.25"/>
    <row r="75" ht="18" customHeight="1" x14ac:dyDescent="0.25"/>
    <row r="76" ht="18" customHeight="1" x14ac:dyDescent="0.25"/>
    <row r="77" ht="18" customHeight="1" x14ac:dyDescent="0.25"/>
    <row r="78" ht="18" customHeight="1" x14ac:dyDescent="0.25"/>
    <row r="79" ht="18" customHeight="1" x14ac:dyDescent="0.25"/>
    <row r="80" ht="18" customHeight="1" x14ac:dyDescent="0.25"/>
    <row r="81" ht="18" customHeight="1" x14ac:dyDescent="0.25"/>
    <row r="82" ht="18" customHeight="1" x14ac:dyDescent="0.25"/>
    <row r="83" ht="18" customHeight="1" x14ac:dyDescent="0.25"/>
    <row r="84" ht="18" customHeight="1" x14ac:dyDescent="0.25"/>
    <row r="85" ht="18" customHeight="1" x14ac:dyDescent="0.25"/>
    <row r="86" ht="18" customHeight="1" x14ac:dyDescent="0.25"/>
    <row r="87" ht="18" customHeight="1" x14ac:dyDescent="0.25"/>
    <row r="88" ht="18" customHeight="1" x14ac:dyDescent="0.25"/>
    <row r="89" ht="18" customHeight="1" x14ac:dyDescent="0.25"/>
    <row r="90" ht="18" customHeight="1" x14ac:dyDescent="0.25"/>
    <row r="91" ht="18" customHeight="1" x14ac:dyDescent="0.25"/>
    <row r="92" ht="18" customHeight="1" x14ac:dyDescent="0.25"/>
    <row r="93" ht="18" customHeight="1" x14ac:dyDescent="0.25"/>
    <row r="94" ht="18" customHeight="1" x14ac:dyDescent="0.25"/>
    <row r="95" ht="18" customHeight="1" x14ac:dyDescent="0.25"/>
    <row r="96" ht="18" customHeight="1" x14ac:dyDescent="0.25"/>
    <row r="97" ht="18" customHeight="1" x14ac:dyDescent="0.25"/>
    <row r="98" ht="18" customHeight="1" x14ac:dyDescent="0.25"/>
    <row r="99" ht="18" customHeight="1" x14ac:dyDescent="0.25"/>
    <row r="100" ht="18" customHeight="1" x14ac:dyDescent="0.25"/>
    <row r="101" ht="18" customHeight="1" x14ac:dyDescent="0.25"/>
    <row r="102" ht="18" customHeight="1" x14ac:dyDescent="0.25"/>
    <row r="103" ht="18" customHeight="1" x14ac:dyDescent="0.25"/>
    <row r="104" ht="18" customHeight="1" x14ac:dyDescent="0.25"/>
    <row r="105" ht="18" customHeight="1" x14ac:dyDescent="0.25"/>
    <row r="106" ht="18" customHeight="1" x14ac:dyDescent="0.25"/>
    <row r="107" ht="18" customHeight="1" x14ac:dyDescent="0.25"/>
    <row r="108" ht="18" customHeight="1" x14ac:dyDescent="0.25"/>
    <row r="109" ht="18" customHeight="1" x14ac:dyDescent="0.25"/>
    <row r="110" ht="18" customHeight="1" x14ac:dyDescent="0.25"/>
    <row r="111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</sheetData>
  <sheetCalcPr fullCalcOnLoad="1"/>
  <mergeCells count="131"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</mergeCells>
  <phoneticPr fontId="1" type="noConversion"/>
  <conditionalFormatting sqref="F7">
    <cfRule type="cellIs" dxfId="32" priority="25" aboveAverage="1" operator="equal">
      <formula>"↓"</formula>
    </cfRule>
    <cfRule type="cellIs" dxfId="31" priority="26" aboveAverage="1" operator="equal">
      <formula>"↑"</formula>
    </cfRule>
  </conditionalFormatting>
  <conditionalFormatting sqref="F12">
    <cfRule type="cellIs" dxfId="30" priority="5" aboveAverage="1" operator="equal">
      <formula>"↓"</formula>
    </cfRule>
    <cfRule type="cellIs" dxfId="29" priority="6" aboveAverage="1" operator="equal">
      <formula>"↑"</formula>
    </cfRule>
  </conditionalFormatting>
  <conditionalFormatting sqref="F28">
    <cfRule type="cellIs" dxfId="28" priority="23" aboveAverage="1" operator="equal">
      <formula>"↓"</formula>
    </cfRule>
    <cfRule type="cellIs" dxfId="27" priority="24" aboveAverage="1" operator="equal">
      <formula>"↑"</formula>
    </cfRule>
  </conditionalFormatting>
  <conditionalFormatting sqref="F33">
    <cfRule type="cellIs" dxfId="26" priority="1" aboveAverage="1" operator="equal">
      <formula>"↓"</formula>
    </cfRule>
    <cfRule type="cellIs" dxfId="25" priority="2" aboveAverage="1" operator="equal">
      <formula>"↑"</formula>
    </cfRule>
  </conditionalFormatting>
  <conditionalFormatting sqref="T12">
    <cfRule type="cellIs" dxfId="24" priority="21" aboveAverage="1" operator="equal">
      <formula>"↓"</formula>
    </cfRule>
    <cfRule type="cellIs" dxfId="23" priority="22" aboveAverage="1" operator="equal">
      <formula>"↑"</formula>
    </cfRule>
  </conditionalFormatting>
  <conditionalFormatting sqref="T33">
    <cfRule type="cellIs" dxfId="22" priority="19" aboveAverage="1" operator="equal">
      <formula>"↓"</formula>
    </cfRule>
    <cfRule type="cellIs" dxfId="21" priority="20" aboveAverage="1" operator="equal">
      <formula>"↑"</formula>
    </cfRule>
  </conditionalFormatting>
  <conditionalFormatting sqref="Z12">
    <cfRule type="cellIs" dxfId="20" priority="17" aboveAverage="1" operator="equal">
      <formula>"↓"</formula>
    </cfRule>
    <cfRule type="cellIs" dxfId="19" priority="18" aboveAverage="1" operator="equal">
      <formula>"↑"</formula>
    </cfRule>
  </conditionalFormatting>
  <conditionalFormatting sqref="Z33">
    <cfRule type="cellIs" dxfId="18" priority="15" aboveAverage="1" operator="equal">
      <formula>"↓"</formula>
    </cfRule>
    <cfRule type="cellIs" dxfId="17" priority="16" aboveAverage="1" operator="equal">
      <formula>"↑"</formula>
    </cfRule>
  </conditionalFormatting>
  <conditionalFormatting sqref="AD12">
    <cfRule type="cellIs" dxfId="16" priority="13" aboveAverage="1" operator="equal">
      <formula>"↓"</formula>
    </cfRule>
    <cfRule type="cellIs" dxfId="15" priority="14" aboveAverage="1" operator="equal">
      <formula>"↑"</formula>
    </cfRule>
  </conditionalFormatting>
  <conditionalFormatting sqref="AD33">
    <cfRule type="cellIs" dxfId="14" priority="11" aboveAverage="1" operator="equal">
      <formula>"↓"</formula>
    </cfRule>
    <cfRule type="cellIs" dxfId="13" priority="12" aboveAverage="1" operator="equal">
      <formula>"↑"</formula>
    </cfRule>
  </conditionalFormatting>
  <conditionalFormatting sqref="AJ17">
    <cfRule type="cellIs" dxfId="12" priority="9" aboveAverage="1" operator="equal">
      <formula>"↓"</formula>
    </cfRule>
    <cfRule type="cellIs" dxfId="11" priority="10" aboveAverage="1" operator="equal">
      <formula>"↑"</formula>
    </cfRule>
  </conditionalFormatting>
  <conditionalFormatting sqref="AJ38">
    <cfRule type="cellIs" dxfId="10" priority="7" aboveAverage="1" operator="equal">
      <formula>"↓"</formula>
    </cfRule>
    <cfRule type="cellIs" dxfId="9" priority="8" aboveAverage="1" operator="equal">
      <formula>"↑"</formula>
    </cfRule>
  </conditionalFormatting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V24"/>
  <sheetViews>
    <sheetView topLeftCell="A4" zoomScale="85" zoomScaleNormal="85" workbookViewId="0">
      <selection activeCell="J12" sqref="J12:R12"/>
    </sheetView>
  </sheetViews>
  <sheetFormatPr defaultColWidth="9" defaultRowHeight="45" customHeight="1" x14ac:dyDescent="0.3"/>
  <cols>
    <col min="1" max="1" width="2.08984375" style="72" customWidth="1"/>
    <col min="2" max="3" width="6.90625" style="72" customWidth="1"/>
    <col min="4" max="5" width="7.08984375" style="72" customWidth="1"/>
    <col min="6" max="7" width="6.08984375" style="72" customWidth="1"/>
    <col min="8" max="9" width="5.08984375" style="100" customWidth="1"/>
    <col min="10" max="11" width="6.08984375" style="72" customWidth="1"/>
    <col min="12" max="13" width="7.54296875" style="72" customWidth="1"/>
    <col min="14" max="18" width="6.08984375" style="72" customWidth="1"/>
    <col min="19" max="19" width="5.08984375" style="72" hidden="1" customWidth="1"/>
    <col min="20" max="20" width="25.26953125" style="72" customWidth="1"/>
    <col min="21" max="21" width="16.7265625" style="72" customWidth="1"/>
  </cols>
  <sheetData>
    <row r="1" spans="2:21" ht="13.5" thickBot="1" x14ac:dyDescent="0.35">
      <c r="B1" s="71"/>
      <c r="C1" s="71"/>
      <c r="D1" s="71"/>
      <c r="E1" s="71"/>
      <c r="F1" s="71"/>
      <c r="G1" s="71"/>
      <c r="H1" s="99"/>
      <c r="I1" s="99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</row>
    <row r="2" spans="2:21" ht="45" customHeight="1" x14ac:dyDescent="0.3">
      <c r="B2" s="413" t="s">
        <v>454</v>
      </c>
      <c r="C2" s="414"/>
      <c r="D2" s="414"/>
      <c r="E2" s="414"/>
      <c r="F2" s="414"/>
      <c r="G2" s="414"/>
      <c r="H2" s="414"/>
      <c r="I2" s="414"/>
      <c r="J2" s="414"/>
      <c r="K2" s="414"/>
      <c r="L2" s="414"/>
      <c r="M2" s="414"/>
      <c r="N2" s="414"/>
      <c r="O2" s="414"/>
      <c r="P2" s="414"/>
      <c r="Q2" s="414"/>
      <c r="R2" s="414"/>
      <c r="S2" s="414"/>
      <c r="T2" s="415"/>
    </row>
    <row r="3" spans="2:21" ht="45" customHeight="1" thickBot="1" x14ac:dyDescent="0.35">
      <c r="B3" s="416"/>
      <c r="C3" s="417"/>
      <c r="D3" s="417"/>
      <c r="E3" s="417"/>
      <c r="F3" s="417"/>
      <c r="G3" s="417"/>
      <c r="H3" s="417"/>
      <c r="I3" s="417"/>
      <c r="J3" s="417"/>
      <c r="K3" s="417"/>
      <c r="L3" s="417"/>
      <c r="M3" s="417"/>
      <c r="N3" s="417"/>
      <c r="O3" s="417"/>
      <c r="P3" s="417"/>
      <c r="Q3" s="417"/>
      <c r="R3" s="417"/>
      <c r="S3" s="417"/>
      <c r="T3" s="418"/>
    </row>
    <row r="4" spans="2:21" s="73" customFormat="1" ht="45" customHeight="1" thickBot="1" x14ac:dyDescent="0.4">
      <c r="B4" s="424" t="s">
        <v>453</v>
      </c>
      <c r="C4" s="425"/>
      <c r="D4" s="426" t="s">
        <v>459</v>
      </c>
      <c r="E4" s="427"/>
      <c r="F4" s="427"/>
      <c r="G4" s="428"/>
      <c r="H4" s="426"/>
      <c r="I4" s="427"/>
      <c r="J4" s="427"/>
      <c r="K4" s="427"/>
      <c r="L4" s="427"/>
      <c r="M4" s="427"/>
      <c r="N4" s="427"/>
      <c r="O4" s="427"/>
      <c r="P4" s="427"/>
      <c r="Q4" s="427"/>
      <c r="R4" s="428"/>
      <c r="S4" s="157"/>
      <c r="T4" s="158" t="s">
        <v>447</v>
      </c>
      <c r="U4" s="78"/>
    </row>
    <row r="5" spans="2:21" s="75" customFormat="1" ht="45" customHeight="1" x14ac:dyDescent="0.25">
      <c r="B5" s="359" t="s">
        <v>408</v>
      </c>
      <c r="C5" s="360"/>
      <c r="D5" s="361"/>
      <c r="E5" s="74" t="s">
        <v>453</v>
      </c>
      <c r="F5" s="365" t="s">
        <v>409</v>
      </c>
      <c r="G5" s="364"/>
      <c r="H5" s="419" t="s">
        <v>410</v>
      </c>
      <c r="I5" s="420"/>
      <c r="J5" s="421" t="s">
        <v>411</v>
      </c>
      <c r="K5" s="422"/>
      <c r="L5" s="422"/>
      <c r="M5" s="422"/>
      <c r="N5" s="422"/>
      <c r="O5" s="422"/>
      <c r="P5" s="422"/>
      <c r="Q5" s="422"/>
      <c r="R5" s="420"/>
      <c r="S5" s="419" t="s">
        <v>412</v>
      </c>
      <c r="T5" s="423"/>
    </row>
    <row r="6" spans="2:21" s="73" customFormat="1" ht="45" customHeight="1" x14ac:dyDescent="0.35">
      <c r="B6" s="407" t="s">
        <v>413</v>
      </c>
      <c r="C6" s="408"/>
      <c r="D6" s="408"/>
      <c r="E6" s="76" t="s">
        <v>457</v>
      </c>
      <c r="F6" s="409" t="s">
        <v>455</v>
      </c>
      <c r="G6" s="409"/>
      <c r="H6" s="387">
        <v>0</v>
      </c>
      <c r="I6" s="388"/>
      <c r="J6" s="410"/>
      <c r="K6" s="411"/>
      <c r="L6" s="411"/>
      <c r="M6" s="411"/>
      <c r="N6" s="411"/>
      <c r="O6" s="411"/>
      <c r="P6" s="411"/>
      <c r="Q6" s="411"/>
      <c r="R6" s="411"/>
      <c r="S6" s="410"/>
      <c r="T6" s="412"/>
    </row>
    <row r="7" spans="2:21" s="73" customFormat="1" ht="45" customHeight="1" x14ac:dyDescent="0.35">
      <c r="B7" s="407" t="s">
        <v>415</v>
      </c>
      <c r="C7" s="408"/>
      <c r="D7" s="408"/>
      <c r="E7" s="76" t="s">
        <v>457</v>
      </c>
      <c r="F7" s="409" t="s">
        <v>455</v>
      </c>
      <c r="G7" s="409"/>
      <c r="H7" s="387">
        <v>0</v>
      </c>
      <c r="I7" s="388"/>
      <c r="J7" s="410"/>
      <c r="K7" s="411"/>
      <c r="L7" s="411"/>
      <c r="M7" s="411"/>
      <c r="N7" s="411"/>
      <c r="O7" s="411"/>
      <c r="P7" s="411"/>
      <c r="Q7" s="411"/>
      <c r="R7" s="411"/>
      <c r="S7" s="410"/>
      <c r="T7" s="412"/>
    </row>
    <row r="8" spans="2:21" s="73" customFormat="1" ht="45" customHeight="1" x14ac:dyDescent="0.35">
      <c r="B8" s="402" t="s">
        <v>416</v>
      </c>
      <c r="C8" s="403"/>
      <c r="D8" s="403"/>
      <c r="E8" s="77" t="s">
        <v>457</v>
      </c>
      <c r="F8" s="396" t="s">
        <v>414</v>
      </c>
      <c r="G8" s="397"/>
      <c r="H8" s="387">
        <v>1</v>
      </c>
      <c r="I8" s="388"/>
      <c r="J8" s="404"/>
      <c r="K8" s="405"/>
      <c r="L8" s="405"/>
      <c r="M8" s="405"/>
      <c r="N8" s="405"/>
      <c r="O8" s="405"/>
      <c r="P8" s="405"/>
      <c r="Q8" s="405"/>
      <c r="R8" s="405"/>
      <c r="S8" s="404"/>
      <c r="T8" s="406"/>
    </row>
    <row r="9" spans="2:21" s="75" customFormat="1" ht="45" customHeight="1" x14ac:dyDescent="0.25">
      <c r="B9" s="359" t="s">
        <v>417</v>
      </c>
      <c r="C9" s="360"/>
      <c r="D9" s="361"/>
      <c r="E9" s="74" t="s">
        <v>453</v>
      </c>
      <c r="F9" s="365" t="s">
        <v>409</v>
      </c>
      <c r="G9" s="364"/>
      <c r="H9" s="365" t="s">
        <v>410</v>
      </c>
      <c r="I9" s="364"/>
      <c r="J9" s="362" t="s">
        <v>411</v>
      </c>
      <c r="K9" s="363"/>
      <c r="L9" s="363"/>
      <c r="M9" s="363"/>
      <c r="N9" s="363"/>
      <c r="O9" s="363"/>
      <c r="P9" s="363"/>
      <c r="Q9" s="363"/>
      <c r="R9" s="364"/>
      <c r="S9" s="365" t="s">
        <v>412</v>
      </c>
      <c r="T9" s="366"/>
    </row>
    <row r="10" spans="2:21" s="73" customFormat="1" ht="45" customHeight="1" x14ac:dyDescent="0.35">
      <c r="B10" s="393" t="s">
        <v>418</v>
      </c>
      <c r="C10" s="394"/>
      <c r="D10" s="395"/>
      <c r="E10" s="76" t="s">
        <v>457</v>
      </c>
      <c r="F10" s="396">
        <v>1</v>
      </c>
      <c r="G10" s="397"/>
      <c r="H10" s="387">
        <v>0</v>
      </c>
      <c r="I10" s="388"/>
      <c r="J10" s="398"/>
      <c r="K10" s="342"/>
      <c r="L10" s="342"/>
      <c r="M10" s="342"/>
      <c r="N10" s="342"/>
      <c r="O10" s="342"/>
      <c r="P10" s="342"/>
      <c r="Q10" s="342"/>
      <c r="R10" s="399"/>
      <c r="S10" s="398"/>
      <c r="T10" s="343"/>
    </row>
    <row r="11" spans="2:21" s="73" customFormat="1" ht="45" customHeight="1" x14ac:dyDescent="0.35">
      <c r="B11" s="381" t="s">
        <v>419</v>
      </c>
      <c r="C11" s="382"/>
      <c r="D11" s="383"/>
      <c r="E11" s="77" t="s">
        <v>457</v>
      </c>
      <c r="F11" s="400">
        <v>1</v>
      </c>
      <c r="G11" s="401"/>
      <c r="H11" s="387">
        <v>0</v>
      </c>
      <c r="I11" s="388"/>
      <c r="J11" s="389"/>
      <c r="K11" s="390"/>
      <c r="L11" s="390"/>
      <c r="M11" s="390"/>
      <c r="N11" s="390"/>
      <c r="O11" s="390"/>
      <c r="P11" s="390"/>
      <c r="Q11" s="390"/>
      <c r="R11" s="391"/>
      <c r="S11" s="389"/>
      <c r="T11" s="392"/>
    </row>
    <row r="12" spans="2:21" s="75" customFormat="1" ht="45" customHeight="1" x14ac:dyDescent="0.25">
      <c r="B12" s="359" t="s">
        <v>420</v>
      </c>
      <c r="C12" s="360"/>
      <c r="D12" s="361"/>
      <c r="E12" s="362" t="s">
        <v>421</v>
      </c>
      <c r="F12" s="326"/>
      <c r="G12" s="324"/>
      <c r="H12" s="365" t="s">
        <v>458</v>
      </c>
      <c r="I12" s="364"/>
      <c r="J12" s="362" t="s">
        <v>411</v>
      </c>
      <c r="K12" s="363"/>
      <c r="L12" s="363"/>
      <c r="M12" s="363"/>
      <c r="N12" s="363"/>
      <c r="O12" s="363"/>
      <c r="P12" s="363"/>
      <c r="Q12" s="363"/>
      <c r="R12" s="364"/>
      <c r="S12" s="365" t="s">
        <v>412</v>
      </c>
      <c r="T12" s="366"/>
    </row>
    <row r="13" spans="2:21" s="73" customFormat="1" ht="45" customHeight="1" x14ac:dyDescent="0.35">
      <c r="B13" s="381" t="s">
        <v>422</v>
      </c>
      <c r="C13" s="382"/>
      <c r="D13" s="383"/>
      <c r="E13" s="384" t="s">
        <v>456</v>
      </c>
      <c r="F13" s="385"/>
      <c r="G13" s="386"/>
      <c r="H13" s="387">
        <v>0.8131271004676819</v>
      </c>
      <c r="I13" s="388"/>
      <c r="J13" s="389"/>
      <c r="K13" s="390"/>
      <c r="L13" s="390"/>
      <c r="M13" s="390"/>
      <c r="N13" s="390"/>
      <c r="O13" s="390"/>
      <c r="P13" s="390"/>
      <c r="Q13" s="390"/>
      <c r="R13" s="391"/>
      <c r="S13" s="389"/>
      <c r="T13" s="392"/>
    </row>
    <row r="14" spans="2:21" s="75" customFormat="1" ht="45" customHeight="1" x14ac:dyDescent="0.25">
      <c r="B14" s="359" t="s">
        <v>423</v>
      </c>
      <c r="C14" s="360"/>
      <c r="D14" s="361"/>
      <c r="E14" s="362" t="s">
        <v>424</v>
      </c>
      <c r="F14" s="326"/>
      <c r="G14" s="326"/>
      <c r="H14" s="326"/>
      <c r="I14" s="324"/>
      <c r="J14" s="362" t="s">
        <v>411</v>
      </c>
      <c r="K14" s="363"/>
      <c r="L14" s="363"/>
      <c r="M14" s="363"/>
      <c r="N14" s="363"/>
      <c r="O14" s="363"/>
      <c r="P14" s="363"/>
      <c r="Q14" s="363"/>
      <c r="R14" s="364"/>
      <c r="S14" s="365" t="s">
        <v>412</v>
      </c>
      <c r="T14" s="366"/>
    </row>
    <row r="15" spans="2:21" s="73" customFormat="1" ht="45" customHeight="1" x14ac:dyDescent="0.35">
      <c r="B15" s="367" t="s">
        <v>425</v>
      </c>
      <c r="C15" s="368"/>
      <c r="D15" s="369"/>
      <c r="E15" s="373"/>
      <c r="F15" s="374"/>
      <c r="G15" s="374"/>
      <c r="H15" s="374"/>
      <c r="I15" s="375"/>
      <c r="J15" s="373"/>
      <c r="K15" s="374"/>
      <c r="L15" s="374"/>
      <c r="M15" s="374"/>
      <c r="N15" s="374"/>
      <c r="O15" s="374"/>
      <c r="P15" s="374"/>
      <c r="Q15" s="374"/>
      <c r="R15" s="375"/>
      <c r="S15" s="373"/>
      <c r="T15" s="379"/>
    </row>
    <row r="16" spans="2:21" s="73" customFormat="1" ht="45" customHeight="1" x14ac:dyDescent="0.35">
      <c r="B16" s="370"/>
      <c r="C16" s="371"/>
      <c r="D16" s="372"/>
      <c r="E16" s="376"/>
      <c r="F16" s="377"/>
      <c r="G16" s="377"/>
      <c r="H16" s="377"/>
      <c r="I16" s="378"/>
      <c r="J16" s="376"/>
      <c r="K16" s="377"/>
      <c r="L16" s="377"/>
      <c r="M16" s="377"/>
      <c r="N16" s="377"/>
      <c r="O16" s="377"/>
      <c r="P16" s="377"/>
      <c r="Q16" s="377"/>
      <c r="R16" s="378"/>
      <c r="S16" s="376"/>
      <c r="T16" s="380"/>
    </row>
    <row r="17" spans="2:20" s="73" customFormat="1" ht="45" customHeight="1" x14ac:dyDescent="0.35">
      <c r="B17" s="347" t="s">
        <v>426</v>
      </c>
      <c r="C17" s="348"/>
      <c r="D17" s="349"/>
      <c r="E17" s="353" t="s">
        <v>427</v>
      </c>
      <c r="F17" s="354"/>
      <c r="G17" s="354"/>
      <c r="H17" s="354"/>
      <c r="I17" s="355"/>
      <c r="J17" s="353" t="s">
        <v>411</v>
      </c>
      <c r="K17" s="354"/>
      <c r="L17" s="354"/>
      <c r="M17" s="354"/>
      <c r="N17" s="354"/>
      <c r="O17" s="354"/>
      <c r="P17" s="354"/>
      <c r="Q17" s="354"/>
      <c r="R17" s="355"/>
      <c r="S17" s="356" t="s">
        <v>428</v>
      </c>
      <c r="T17" s="357"/>
    </row>
    <row r="18" spans="2:20" s="73" customFormat="1" ht="45" customHeight="1" thickBot="1" x14ac:dyDescent="0.4">
      <c r="B18" s="350"/>
      <c r="C18" s="351"/>
      <c r="D18" s="352"/>
      <c r="E18" s="319" t="s">
        <v>429</v>
      </c>
      <c r="F18" s="316"/>
      <c r="G18" s="316"/>
      <c r="H18" s="316"/>
      <c r="I18" s="317"/>
      <c r="J18" s="318" t="s">
        <v>4</v>
      </c>
      <c r="K18" s="316"/>
      <c r="L18" s="316"/>
      <c r="M18" s="316"/>
      <c r="N18" s="316"/>
      <c r="O18" s="316"/>
      <c r="P18" s="316"/>
      <c r="Q18" s="316"/>
      <c r="R18" s="317"/>
      <c r="S18" s="358"/>
      <c r="T18" s="346"/>
    </row>
    <row r="19" spans="2:20" s="73" customFormat="1" ht="45" customHeight="1" x14ac:dyDescent="0.35">
      <c r="B19" s="332" t="s">
        <v>430</v>
      </c>
      <c r="C19" s="333"/>
      <c r="D19" s="333"/>
      <c r="E19" s="333"/>
      <c r="F19" s="333"/>
      <c r="G19" s="333"/>
      <c r="H19" s="333"/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4"/>
    </row>
    <row r="20" spans="2:20" s="73" customFormat="1" ht="45" customHeight="1" x14ac:dyDescent="0.35">
      <c r="B20" s="327" t="s">
        <v>431</v>
      </c>
      <c r="C20" s="324"/>
      <c r="D20" s="325" t="s">
        <v>432</v>
      </c>
      <c r="E20" s="324"/>
      <c r="F20" s="325" t="s">
        <v>433</v>
      </c>
      <c r="G20" s="324"/>
      <c r="H20" s="325" t="s">
        <v>434</v>
      </c>
      <c r="I20" s="324"/>
      <c r="J20" s="325" t="s">
        <v>435</v>
      </c>
      <c r="K20" s="324"/>
      <c r="L20" s="325" t="s">
        <v>436</v>
      </c>
      <c r="M20" s="324"/>
      <c r="N20" s="325" t="s">
        <v>437</v>
      </c>
      <c r="O20" s="335"/>
      <c r="P20" s="336" t="s">
        <v>438</v>
      </c>
      <c r="Q20" s="326"/>
      <c r="R20" s="326"/>
      <c r="S20" s="326"/>
      <c r="T20" s="337"/>
    </row>
    <row r="21" spans="2:20" s="73" customFormat="1" ht="45" customHeight="1" x14ac:dyDescent="0.35">
      <c r="B21" s="328" t="s">
        <v>439</v>
      </c>
      <c r="C21" s="329"/>
      <c r="D21" s="330" t="s">
        <v>439</v>
      </c>
      <c r="E21" s="329"/>
      <c r="F21" s="330" t="s">
        <v>439</v>
      </c>
      <c r="G21" s="329"/>
      <c r="H21" s="330" t="s">
        <v>440</v>
      </c>
      <c r="I21" s="329"/>
      <c r="J21" s="330" t="s">
        <v>284</v>
      </c>
      <c r="K21" s="329"/>
      <c r="L21" s="330" t="s">
        <v>284</v>
      </c>
      <c r="M21" s="329"/>
      <c r="N21" s="330" t="s">
        <v>284</v>
      </c>
      <c r="O21" s="338"/>
      <c r="P21" s="339"/>
      <c r="Q21" s="338"/>
      <c r="R21" s="338"/>
      <c r="S21" s="338"/>
      <c r="T21" s="340"/>
    </row>
    <row r="22" spans="2:20" s="73" customFormat="1" ht="45" customHeight="1" x14ac:dyDescent="0.35">
      <c r="B22" s="331">
        <v>2636.5</v>
      </c>
      <c r="C22" s="321"/>
      <c r="D22" s="320">
        <v>2143.809814453125</v>
      </c>
      <c r="E22" s="321"/>
      <c r="F22" s="320">
        <v>2143.809814453125</v>
      </c>
      <c r="G22" s="321"/>
      <c r="H22" s="320">
        <v>0</v>
      </c>
      <c r="I22" s="321"/>
      <c r="J22" s="320">
        <v>0</v>
      </c>
      <c r="K22" s="321"/>
      <c r="L22" s="320">
        <v>0</v>
      </c>
      <c r="M22" s="321"/>
      <c r="N22" s="320">
        <v>0</v>
      </c>
      <c r="O22" s="322"/>
      <c r="P22" s="341"/>
      <c r="Q22" s="342"/>
      <c r="R22" s="342"/>
      <c r="S22" s="342"/>
      <c r="T22" s="343"/>
    </row>
    <row r="23" spans="2:20" s="73" customFormat="1" ht="45" customHeight="1" x14ac:dyDescent="0.35">
      <c r="B23" s="327" t="s">
        <v>441</v>
      </c>
      <c r="C23" s="326"/>
      <c r="D23" s="324"/>
      <c r="E23" s="323"/>
      <c r="F23" s="324"/>
      <c r="G23" s="325" t="s">
        <v>442</v>
      </c>
      <c r="H23" s="326"/>
      <c r="I23" s="324"/>
      <c r="J23" s="323"/>
      <c r="K23" s="324"/>
      <c r="L23" s="325" t="s">
        <v>443</v>
      </c>
      <c r="M23" s="324"/>
      <c r="N23" s="323"/>
      <c r="O23" s="326"/>
      <c r="P23" s="341"/>
      <c r="Q23" s="342"/>
      <c r="R23" s="342"/>
      <c r="S23" s="342"/>
      <c r="T23" s="343"/>
    </row>
    <row r="24" spans="2:20" s="73" customFormat="1" ht="45" customHeight="1" thickBot="1" x14ac:dyDescent="0.4">
      <c r="B24" s="315" t="s">
        <v>444</v>
      </c>
      <c r="C24" s="316"/>
      <c r="D24" s="317"/>
      <c r="E24" s="318"/>
      <c r="F24" s="317"/>
      <c r="G24" s="319" t="s">
        <v>445</v>
      </c>
      <c r="H24" s="316"/>
      <c r="I24" s="317"/>
      <c r="J24" s="318"/>
      <c r="K24" s="317"/>
      <c r="L24" s="319" t="s">
        <v>446</v>
      </c>
      <c r="M24" s="317"/>
      <c r="N24" s="318"/>
      <c r="O24" s="316"/>
      <c r="P24" s="344"/>
      <c r="Q24" s="345"/>
      <c r="R24" s="345"/>
      <c r="S24" s="345"/>
      <c r="T24" s="346"/>
    </row>
  </sheetData>
  <mergeCells count="100">
    <mergeCell ref="B2:T3"/>
    <mergeCell ref="B5:D5"/>
    <mergeCell ref="F5:G5"/>
    <mergeCell ref="H5:I5"/>
    <mergeCell ref="J5:R5"/>
    <mergeCell ref="S5:T5"/>
    <mergeCell ref="B4:C4"/>
    <mergeCell ref="D4:G4"/>
    <mergeCell ref="H4:R4"/>
    <mergeCell ref="B7:D7"/>
    <mergeCell ref="F7:G7"/>
    <mergeCell ref="H7:I7"/>
    <mergeCell ref="J7:R7"/>
    <mergeCell ref="S7:T7"/>
    <mergeCell ref="B6:D6"/>
    <mergeCell ref="F6:G6"/>
    <mergeCell ref="H6:I6"/>
    <mergeCell ref="J6:R6"/>
    <mergeCell ref="S6:T6"/>
    <mergeCell ref="B9:D9"/>
    <mergeCell ref="F9:G9"/>
    <mergeCell ref="H9:I9"/>
    <mergeCell ref="J9:R9"/>
    <mergeCell ref="S9:T9"/>
    <mergeCell ref="B8:D8"/>
    <mergeCell ref="F8:G8"/>
    <mergeCell ref="H8:I8"/>
    <mergeCell ref="J8:R8"/>
    <mergeCell ref="S8:T8"/>
    <mergeCell ref="B11:D11"/>
    <mergeCell ref="F11:G11"/>
    <mergeCell ref="H11:I11"/>
    <mergeCell ref="J11:R11"/>
    <mergeCell ref="S11:T11"/>
    <mergeCell ref="B10:D10"/>
    <mergeCell ref="F10:G10"/>
    <mergeCell ref="H10:I10"/>
    <mergeCell ref="J10:R10"/>
    <mergeCell ref="S10:T10"/>
    <mergeCell ref="B13:D13"/>
    <mergeCell ref="E13:G13"/>
    <mergeCell ref="H13:I13"/>
    <mergeCell ref="J13:R13"/>
    <mergeCell ref="S13:T13"/>
    <mergeCell ref="B12:D12"/>
    <mergeCell ref="E12:G12"/>
    <mergeCell ref="H12:I12"/>
    <mergeCell ref="J12:R12"/>
    <mergeCell ref="S12:T12"/>
    <mergeCell ref="B14:D14"/>
    <mergeCell ref="E14:I14"/>
    <mergeCell ref="J14:R14"/>
    <mergeCell ref="S14:T14"/>
    <mergeCell ref="B15:D16"/>
    <mergeCell ref="E15:I16"/>
    <mergeCell ref="J15:R16"/>
    <mergeCell ref="S15:T16"/>
    <mergeCell ref="B17:D18"/>
    <mergeCell ref="E17:I17"/>
    <mergeCell ref="J17:R17"/>
    <mergeCell ref="S17:T17"/>
    <mergeCell ref="E18:I18"/>
    <mergeCell ref="J18:R18"/>
    <mergeCell ref="S18:T18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N21:O21"/>
    <mergeCell ref="P21:T24"/>
    <mergeCell ref="B21:C21"/>
    <mergeCell ref="D21:E21"/>
    <mergeCell ref="F21:G21"/>
    <mergeCell ref="H21:I21"/>
    <mergeCell ref="F22:G22"/>
    <mergeCell ref="H22:I22"/>
    <mergeCell ref="B22:C22"/>
    <mergeCell ref="J22:K22"/>
    <mergeCell ref="L22:M22"/>
    <mergeCell ref="N22:O22"/>
    <mergeCell ref="N24:O24"/>
    <mergeCell ref="E23:F23"/>
    <mergeCell ref="G23:I23"/>
    <mergeCell ref="J23:K23"/>
    <mergeCell ref="L23:M23"/>
    <mergeCell ref="N23:O23"/>
    <mergeCell ref="D22:E22"/>
    <mergeCell ref="B23:D23"/>
    <mergeCell ref="B24:D24"/>
    <mergeCell ref="E24:F24"/>
    <mergeCell ref="G24:I24"/>
    <mergeCell ref="J24:K24"/>
    <mergeCell ref="L24:M24"/>
  </mergeCells>
  <phoneticPr fontId="1" type="noConversion"/>
  <conditionalFormatting sqref="H6:I8">
    <cfRule type="cellIs" dxfId="8" priority="10" aboveAverage="1" operator="lessThan">
      <formula>0.98</formula>
    </cfRule>
    <cfRule type="cellIs" dxfId="7" priority="11" aboveAverage="1" operator="greaterThanOrEqual">
      <formula>0.98</formula>
    </cfRule>
  </conditionalFormatting>
  <conditionalFormatting sqref="H10:I11">
    <cfRule type="cellIs" dxfId="6" priority="4" aboveAverage="1" operator="lessThan">
      <formula>1</formula>
    </cfRule>
    <cfRule type="cellIs" dxfId="5" priority="5" aboveAverage="1" operator="equal">
      <formula>1</formula>
    </cfRule>
    <cfRule type="cellIs" dxfId="4" priority="7" aboveAverage="1" operator="greaterThanOrEqual">
      <formula>0.98</formula>
    </cfRule>
  </conditionalFormatting>
  <conditionalFormatting sqref="H11:I11">
    <cfRule type="cellIs" dxfId="3" priority="6" aboveAverage="1" operator="lessThan">
      <formula>0.98</formula>
    </cfRule>
  </conditionalFormatting>
  <conditionalFormatting sqref="H13:I13">
    <cfRule type="cellIs" dxfId="2" priority="1" aboveAverage="1" operator="equal">
      <formula>0.9</formula>
    </cfRule>
    <cfRule type="cellIs" dxfId="1" priority="2" aboveAverage="1" operator="greaterThan">
      <formula>0.9</formula>
    </cfRule>
    <cfRule type="cellIs" dxfId="0" priority="3" aboveAverage="1" operator="lessThan">
      <formula>0.9</formula>
    </cfRule>
  </conditionalFormatting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  <vt:lpstr>'班组＆日生产过程运行质量考评表'!Print_Area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2026-05-15T05:50:02Z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