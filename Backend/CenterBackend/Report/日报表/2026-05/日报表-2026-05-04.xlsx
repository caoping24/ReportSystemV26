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20" yWindow="-16320" windowWidth="29040" windowHeight="1572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externalReferences>
    <externalReference r:id="rId7"/>
  </externalReferences>
  <definedNames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H11" i="11" l="1"/>
  <c r="H10" i="11"/>
  <c r="M9" i="11"/>
  <c r="H9" i="11"/>
  <c r="I9" i="11" s="1"/>
  <c r="G9" i="11"/>
  <c r="H8" i="11"/>
  <c r="H7" i="11"/>
  <c r="M6" i="11"/>
  <c r="N6" i="11" s="1"/>
  <c r="H6" i="11"/>
  <c r="G6" i="11"/>
  <c r="N9" i="11" l="1"/>
  <c r="I6" i="11"/>
  <c r="O9" i="11"/>
  <c r="J6" i="11"/>
  <c r="J9" i="11" s="1"/>
  <c r="Q6" i="1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<sst xmlns="http://schemas.openxmlformats.org/spreadsheetml/2006/main" count="884" uniqueCount="373">
  <si>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</si>
  <si>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</si>
  <si>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</si>
  <si>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</si>
  <si>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</si>
  <si>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</si>
  <si>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</si>
  <si>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</si>
  <si>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</si>
  <si>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</si>
  <si>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</si>
  <si>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</si>
  <si>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</si>
  <si>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</si>
  <si>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</si>
  <si>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</si>
  <si>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</si>
  <si>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</si>
  <si>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</si>
  <si>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</si>
  <si>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</si>
  <si>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</si>
  <si>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</si>
  <si>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</si>
  <si>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</si>
  <si>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</si>
  <si>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</si>
  <si>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</si>
  <si>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</si>
  <si>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</si>
  <si>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</si>
  <si>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</si>
  <si>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</si>
  <si>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</si>
  <si>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</si>
  <si>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</si>
  <si>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</si>
  <si>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</si>
  <si>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</si>
  <si>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</si>
  <si>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</si>
  <si>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</si>
  <si>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</si>
  <si>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</si>
  <si>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</si>
  <si>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</si>
  <si>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</si>
  <si>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</si>
  <si>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</si>
  <si>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</si>
  <si>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</si>
  <si>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</si>
  <si>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</si>
  <si>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</si>
  <si>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</si>
  <si>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</si>
  <si>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</si>
  <si>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</si>
  <si>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</si>
  <si>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</si>
  <si>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</si>
  <si>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</si>
  <si>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</si>
  <si>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</si>
  <si>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</si>
  <si>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</si>
  <si>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</si>
  <si>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</si>
  <si>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</si>
  <si>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</si>
  <si>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</si>
  <si>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</si>
  <si>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</si>
  <si>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</si>
  <si>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</si>
  <si>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</si>
  <si>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</si>
  <si>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</si>
  <si>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</si>
  <si>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</si>
  <si>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</si>
  <si>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</si>
  <si>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</si>
  <si>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</si>
  <si>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</si>
  <si>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</si>
  <si>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</si>
  <si>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</si>
  <si>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</si>
  <si>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</si>
  <si>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</si>
  <si>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</si>
  <si>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</si>
  <si>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</si>
  <si>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</si>
  <si>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</si>
  <si>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</si>
  <si>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</si>
  <si>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</si>
  <si>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</si>
  <si>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</si>
  <si>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</si>
  <si>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</si>
  <si>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</si>
  <si>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</si>
  <si>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</si>
  <si>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</si>
  <si>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</si>
  <si>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</si>
  <si>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</si>
  <si>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</si>
  <si>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</si>
  <si>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</si>
  <si>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</si>
  <si>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</si>
  <si>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</si>
  <si>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</si>
  <si>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</si>
  <si>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</si>
  <si>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</si>
  <si>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</si>
  <si>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</si>
  <si>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</si>
  <si>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</si>
  <si>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</si>
  <si>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</si>
  <si>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</si>
  <si>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</si>
  <si>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</si>
  <si>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</si>
  <si>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</si>
  <si>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</si>
  <si>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</si>
  <si>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</si>
  <si>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</si>
  <si>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</si>
  <si>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</si>
  <si>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</si>
  <si>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</si>
  <si>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</si>
  <si>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</si>
  <si>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</si>
  <si>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</si>
  <si>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</si>
  <si>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</si>
  <si>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</si>
  <si>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</si>
  <si>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</si>
  <si>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</si>
  <si>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</si>
  <si>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</si>
  <si>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</si>
  <si>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</si>
  <si>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</si>
  <si>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</si>
  <si>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</si>
  <si>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</si>
  <si>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</si>
  <si>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</si>
  <si>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</si>
  <si>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</si>
  <si>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</si>
  <si>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</si>
  <si>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</si>
  <si>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</si>
  <si>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</si>
  <si>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</si>
  <si>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</si>
  <si>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</si>
  <si>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</si>
  <si>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</si>
  <si>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</si>
  <si>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</si>
  <si>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</si>
  <si>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</si>
  <si>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</si>
  <si>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</si>
  <si>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</si>
  <si>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</si>
  <si>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</si>
  <si>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</si>
  <si>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</si>
  <si>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</si>
  <si>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</si>
  <si>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</si>
  <si>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</si>
  <si>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</si>
  <si>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</si>
  <si>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</si>
  <si>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</si>
  <si>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</si>
  <si>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</si>
  <si>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</si>
  <si>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</si>
  <si>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</si>
  <si>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</si>
  <si>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</si>
  <si>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</si>
  <si>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</si>
  <si>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</si>
  <si>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</si>
  <si>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</si>
  <si>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</si>
  <si>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</si>
  <si>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</si>
  <si>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</si>
  <si>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</si>
  <si>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</si>
  <si>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</si>
  <si>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</si>
  <si>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</si>
  <si>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</si>
  <si>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</si>
  <si>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</si>
  <si>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</si>
  <si>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</si>
  <si>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</si>
  <si>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</si>
  <si>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</si>
  <si>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</si>
  <si>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</si>
  <si>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</si>
  <si>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</si>
  <si>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</si>
  <si>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</si>
  <si>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</si>
  <si>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</si>
  <si>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</si>
  <si>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</si>
  <si>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</si>
  <si>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</si>
  <si>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</si>
  <si>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</si>
  <si>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</si>
  <si>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</si>
  <si>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</si>
  <si>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</si>
  <si>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</si>
  <si>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</si>
  <si>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</si>
  <si>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</si>
  <si>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</si>
  <si>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</si>
  <si>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</si>
  <si>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</si>
  <si>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</si>
  <si>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</si>
  <si>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</si>
  <si>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</si>
  <si>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</si>
  <si>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</si>
  <si>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</si>
  <si>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</si>
  <si>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</si>
  <si>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</si>
  <si>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</si>
  <si>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</si>
  <si>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</si>
  <si>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</si>
  <si>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</si>
  <si>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</si>
  <si>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</si>
  <si>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</si>
  <si>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</si>
  <si>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</si>
  <si>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</si>
  <si>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</si>
  <si>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</si>
  <si>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</si>
  <si>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</si>
  <si>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</si>
  <si>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</si>
  <si>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</si>
  <si>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</si>
  <si>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</si>
  <si>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</si>
  <si>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</si>
  <si>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</si>
  <si>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</si>
  <si>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</si>
  <si>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</si>
  <si>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</si>
  <si>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</si>
  <si>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</si>
  <si>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</si>
  <si>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</si>
  <si>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</si>
  <si>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</si>
  <si>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</si>
  <si>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</si>
  <si>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</si>
  <si>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</si>
  <si>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</si>
  <si>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</si>
  <si>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</si>
  <si>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</si>
  <si>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</si>
  <si>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</si>
  <si>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</si>
  <si>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</si>
  <si>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</si>
  <si>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</si>
  <si>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</si>
  <si>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</si>
  <si>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</si>
  <si>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</si>
  <si>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</si>
  <si>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</si>
  <si>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</si>
  <si>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</si>
  <si>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</si>
  <si>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</si>
  <si>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</si>
  <si>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</si>
  <si>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</si>
  <si>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</si>
  <si>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</si>
  <si>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</si>
  <si>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</si>
  <si>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</si>
  <si>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</si>
  <si>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</si>
  <si>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</si>
  <si>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</si>
  <si>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</si>
  <si>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</si>
  <si>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</si>
  <si>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</si>
  <si>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</si>
  <si>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</si>
  <si>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</si>
  <si>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</si>
  <si>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</si>
  <si>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</si>
  <si>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</si>
  <si>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</si>
  <si>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</si>
  <si>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</si>
  <si>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</si>
  <si>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</si>
  <si>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</si>
  <si>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</si>
  <si>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</si>
  <si>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</si>
  <si>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</si>
  <si>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</si>
  <si>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</si>
  <si>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</si>
  <si>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</si>
  <si>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</si>
  <si>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</si>
  <si>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</si>
  <si>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</si>
  <si>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</si>
  <si>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</si>
  <si>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</si>
  <si>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</si>
  <si>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</si>
  <si>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</si>
  <si>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</si>
  <si>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</si>
  <si>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</si>
  <si>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</si>
  <si>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</si>
  <si>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</si>
  <si>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</si>
  <si>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</si>
  <si>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星期一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</si>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</sst>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9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253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176" fontId="18" fillId="0" borderId="4" xfId="0" applyNumberFormat="1" applyFont="1" applyBorder="1" applyAlignment="1">
      <alignment horizontal="center" vertical="center" wrapText="1"/>
    </xf>
    <xf numFmtId="176" fontId="18" fillId="0" borderId="47" xfId="0" applyNumberFormat="1" applyFont="1" applyBorder="1" applyAlignment="1">
      <alignment horizontal="center" vertical="center" wrapText="1"/>
    </xf>
    <xf numFmtId="176" fontId="18" fillId="0" borderId="51" xfId="0" applyNumberFormat="1" applyFont="1" applyBorder="1" applyAlignment="1">
      <alignment horizontal="center" vertical="center" wrapText="1"/>
    </xf>
    <xf numFmtId="177" fontId="17" fillId="0" borderId="4" xfId="0" applyNumberFormat="1" applyFont="1" applyBorder="1" applyAlignment="1">
      <alignment horizontal="center" vertical="center" wrapText="1"/>
    </xf>
    <xf numFmtId="177" fontId="17" fillId="0" borderId="47" xfId="0" applyNumberFormat="1" applyFont="1" applyBorder="1" applyAlignment="1">
      <alignment horizontal="center" vertical="center" wrapText="1"/>
    </xf>
    <xf numFmtId="177" fontId="17" fillId="0" borderId="51" xfId="0" applyNumberFormat="1" applyFont="1" applyBorder="1" applyAlignment="1">
      <alignment horizontal="center" vertical="center" wrapText="1"/>
    </xf>
    <xf numFmtId="177" fontId="17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17" fillId="0" borderId="30" xfId="0" applyNumberFormat="1" applyFont="1" applyBorder="1" applyAlignment="1">
      <alignment horizontal="center" vertical="center" wrapText="1"/>
    </xf>
    <xf numFmtId="177" fontId="17" fillId="0" borderId="48" xfId="0" applyNumberFormat="1" applyFont="1" applyBorder="1" applyAlignment="1">
      <alignment horizontal="center" vertical="center" wrapText="1"/>
    </xf>
    <xf numFmtId="177" fontId="17" fillId="0" borderId="52" xfId="0" applyNumberFormat="1" applyFont="1" applyBorder="1" applyAlignment="1">
      <alignment horizontal="center" vertical="center" wrapText="1"/>
    </xf>
    <xf numFmtId="177" fontId="17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17" fillId="0" borderId="12" xfId="0" applyNumberFormat="1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17" fillId="0" borderId="45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18" fillId="0" borderId="47" xfId="0" applyNumberFormat="1" applyFont="1" applyBorder="1" applyAlignment="1">
      <alignment horizontal="center" vertical="center" wrapText="1"/>
    </xf>
    <xf numFmtId="177" fontId="18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0" fontId="20" fillId="3" borderId="61" xfId="0" applyFont="1" applyFill="1" applyBorder="1" applyAlignment="1">
      <alignment vertical="center"/>
    </xf>
    <xf numFmtId="0" fontId="20" fillId="3" borderId="62" xfId="0" applyFont="1" applyFill="1" applyBorder="1" applyAlignment="1">
      <alignment vertical="center"/>
    </xf>
    <xf numFmtId="0" fontId="20" fillId="3" borderId="62" xfId="0" applyFont="1" applyFill="1" applyBorder="1" applyAlignment="1">
      <alignment horizontal="right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21" fillId="0" borderId="77" xfId="0" applyFont="1" applyBorder="1" applyAlignment="1">
      <alignment horizontal="left" vertical="center"/>
    </xf>
    <xf numFmtId="0" fontId="21" fillId="0" borderId="75" xfId="0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16" fillId="0" borderId="75" xfId="0" applyNumberFormat="1" applyFont="1" applyBorder="1" applyAlignment="1">
      <alignment horizontal="center" vertical="center"/>
    </xf>
    <xf numFmtId="178" fontId="22" fillId="0" borderId="75" xfId="0" applyNumberFormat="1" applyFont="1" applyBorder="1" applyAlignment="1">
      <alignment horizontal="center" vertical="center"/>
    </xf>
    <xf numFmtId="178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21" fillId="0" borderId="75" xfId="0" quotePrefix="1" applyFont="1" applyBorder="1" applyAlignment="1">
      <alignment horizontal="center" vertical="center"/>
    </xf>
    <xf numFmtId="177" fontId="21" fillId="0" borderId="75" xfId="0" quotePrefix="1" applyNumberFormat="1" applyFont="1" applyBorder="1" applyAlignment="1">
      <alignment horizontal="center" vertical="center"/>
    </xf>
    <xf numFmtId="0" fontId="22" fillId="0" borderId="75" xfId="0" quotePrefix="1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177" fontId="22" fillId="0" borderId="81" xfId="0" applyNumberFormat="1" applyFont="1" applyBorder="1" applyAlignment="1">
      <alignment horizontal="center" vertical="center"/>
    </xf>
    <xf numFmtId="177" fontId="16" fillId="0" borderId="8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7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 wrapText="1"/>
    </xf>
    <xf numFmtId="179" fontId="21" fillId="5" borderId="75" xfId="0" applyNumberFormat="1" applyFont="1" applyFill="1" applyBorder="1" applyAlignment="1">
      <alignment vertical="center"/>
    </xf>
    <xf numFmtId="178" fontId="21" fillId="5" borderId="75" xfId="0" applyNumberFormat="1" applyFont="1" applyFill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1" fillId="0" borderId="75" xfId="0" applyFont="1" applyBorder="1" applyAlignment="1">
      <alignment horizontal="center" vertical="center"/>
    </xf>
    <xf numFmtId="0" fontId="21" fillId="0" borderId="78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19" fillId="3" borderId="71" xfId="0" applyFont="1" applyFill="1" applyBorder="1" applyAlignment="1">
      <alignment horizontal="center" vertical="center"/>
    </xf>
    <xf numFmtId="0" fontId="19" fillId="3" borderId="70" xfId="0" applyFont="1" applyFill="1" applyBorder="1" applyAlignment="1">
      <alignment horizontal="center" vertical="center"/>
    </xf>
    <xf numFmtId="0" fontId="19" fillId="3" borderId="69" xfId="0" applyFont="1" applyFill="1" applyBorder="1" applyAlignment="1">
      <alignment horizontal="center" vertical="center"/>
    </xf>
    <xf numFmtId="0" fontId="20" fillId="3" borderId="62" xfId="0" applyFont="1" applyFill="1" applyBorder="1" applyAlignment="1">
      <alignment horizontal="center" vertical="center"/>
    </xf>
    <xf numFmtId="0" fontId="20" fillId="3" borderId="65" xfId="0" applyFont="1" applyFill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21" fillId="0" borderId="77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90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21" fillId="0" borderId="86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89" xfId="0" applyFont="1" applyBorder="1" applyAlignment="1">
      <alignment horizontal="center" vertical="center"/>
    </xf>
    <xf numFmtId="0" fontId="21" fillId="0" borderId="91" xfId="0" applyFont="1" applyBorder="1" applyAlignment="1">
      <alignment horizontal="center" vertical="center"/>
    </xf>
    <xf numFmtId="0" fontId="21" fillId="0" borderId="92" xfId="0" applyFont="1" applyBorder="1" applyAlignment="1">
      <alignment horizontal="center" vertical="center"/>
    </xf>
    <xf numFmtId="0" fontId="21" fillId="0" borderId="93" xfId="0" applyFont="1" applyBorder="1" applyAlignment="1">
      <alignment horizontal="center" vertical="center"/>
    </xf>
    <xf numFmtId="0" fontId="23" fillId="0" borderId="72" xfId="0" applyFont="1" applyBorder="1" applyAlignment="1">
      <alignment horizontal="center" vertical="center"/>
    </xf>
    <xf numFmtId="0" fontId="23" fillId="0" borderId="68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180" fontId="21" fillId="5" borderId="75" xfId="0" applyNumberFormat="1" applyFont="1" applyFill="1" applyBorder="1" applyAlignment="1">
      <alignment horizontal="center"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haredStrings" Target="sharedStrings.xml" /><Relationship Id="rId11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externalLink" Target="externalLinks/externalLink1.xml" /><Relationship Id="rId8" Type="http://schemas.openxmlformats.org/officeDocument/2006/relationships/theme" Target="theme/theme1.xml" /><Relationship Id="rId9" Type="http://schemas.openxmlformats.org/officeDocument/2006/relationships/styles" Target="styles.xml" /></Relationships>
</file>

<file path=xl/externalLinks/_rels/externalLink1.xml.rels>&#65279;<?xml version="1.0" encoding="utf-8"?><Relationships xmlns="http://schemas.openxmlformats.org/package/2006/relationships"><Relationship Id="rId1" Type="http://schemas.openxmlformats.org/officeDocument/2006/relationships/externalLinkPath" TargetMode="External" Target="/Users/caoping/Documents/xwechat_files/wxid_2926589266112_ac06/msg/file/2026-05/&#20135;&#37327;&#21488;&#36134;2025.12-2026.12%20(2).xlsx" /><Relationship Id="rId2" Type="http://schemas.openxmlformats.org/officeDocument/2006/relationships/externalLinkPath" TargetMode="External" Target="file:///C:/Users/caoping/Documents/xwechat_files/wxid_2926589266112_ac06/msg/file/2026-05/&#20135;&#37327;&#21488;&#36134;2025.12-2026.12%20(2).xlsx" /></Relationships>
</file>

<file path=xl/externalLinks/externalLink1.xml><?xml version="1.0" encoding="utf-8"?>
<externalLin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mc:Ignorable="x14">
  <externalBook r:id="rId1"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5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5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54">
        <v>14.543547630310059</v>
      </c>
      <c r="D6" s="54">
        <v>18.27256965637207</v>
      </c>
      <c r="E6" s="54">
        <v>417.39556884765625</v>
      </c>
      <c r="F6" s="54"/>
      <c r="G6" s="54"/>
      <c r="H6" s="55">
        <v>416.306396484375</v>
      </c>
      <c r="I6" s="56">
        <v>29.24262237548828</v>
      </c>
      <c r="J6" s="54"/>
      <c r="K6" s="54">
        <v>41.261573791503906</v>
      </c>
      <c r="L6" s="54">
        <v>1.3217051029205322</v>
      </c>
      <c r="M6" s="54">
        <v>111.52886962890625</v>
      </c>
      <c r="N6" s="54">
        <v>112.63744354248047</v>
      </c>
      <c r="O6" s="54">
        <v>20.220611572265625</v>
      </c>
      <c r="P6" s="54"/>
      <c r="Q6" s="54"/>
      <c r="R6" s="54"/>
      <c r="S6" s="54">
        <v>139.29397583007812</v>
      </c>
      <c r="T6" s="54">
        <v>1.6078377962112427</v>
      </c>
      <c r="U6" s="54">
        <v>0.2995966374874115</v>
      </c>
      <c r="V6" s="54"/>
      <c r="W6" s="54">
        <v>90.56713104248047</v>
      </c>
      <c r="X6" s="54">
        <v>0.5306353569030762</v>
      </c>
      <c r="Y6" s="54"/>
      <c r="Z6" s="54">
        <v>0.7369213104248047</v>
      </c>
      <c r="AA6" s="54">
        <v>149.6744842529297</v>
      </c>
      <c r="AB6" s="54">
        <v>162.44212341308594</v>
      </c>
      <c r="AC6" s="54">
        <v>0.42487701773643494</v>
      </c>
      <c r="AD6" s="54">
        <v>154.44154357910156</v>
      </c>
      <c r="AE6" s="57">
        <v>33.290000915527344</v>
      </c>
      <c r="AF6" s="57">
        <v>33.4900016784668</v>
      </c>
      <c r="AG6" s="57">
        <v>33.59000015258789</v>
      </c>
      <c r="AH6" s="57">
        <v>10.970000267028809</v>
      </c>
      <c r="AI6" s="57">
        <v>33.689998626708984</v>
      </c>
      <c r="AJ6" s="57">
        <v>33.790000915527344</v>
      </c>
      <c r="AK6" s="57">
        <v>6.929999828338623</v>
      </c>
      <c r="AL6" s="54">
        <v>35.998985290527344</v>
      </c>
      <c r="AM6" s="58"/>
      <c r="AN6" s="59">
        <v>60.923030853271484</v>
      </c>
      <c r="AO6" s="60"/>
      <c r="AP6" s="61">
        <v>-79.62963104248047</v>
      </c>
      <c r="AQ6" s="61">
        <v>0.2918836772441864</v>
      </c>
      <c r="AR6" s="62"/>
    </row>
    <row r="7" spans="2:47" ht="13.5" customHeight="1" x14ac:dyDescent="0.25">
      <c r="B7" s="14">
        <v>0.375</v>
      </c>
      <c r="C7" s="54">
        <v>10.55772590637207</v>
      </c>
      <c r="D7" s="54">
        <v>18.83138084411621</v>
      </c>
      <c r="E7" s="54">
        <v>416.46282958984375</v>
      </c>
      <c r="F7" s="54">
        <v>0.14446093142032623</v>
      </c>
      <c r="G7" s="54">
        <v>0</v>
      </c>
      <c r="H7" s="55">
        <v>416.994140625</v>
      </c>
      <c r="I7" s="56">
        <v>22.507957458496094</v>
      </c>
      <c r="J7" s="54">
        <v>0.019886231049895287</v>
      </c>
      <c r="K7" s="54">
        <v>40.66116714477539</v>
      </c>
      <c r="L7" s="54">
        <v>1.2937644720077515</v>
      </c>
      <c r="M7" s="54">
        <v>107.94813537597656</v>
      </c>
      <c r="N7" s="54">
        <v>112.42042541503906</v>
      </c>
      <c r="O7" s="54">
        <v>20.280738830566406</v>
      </c>
      <c r="P7" s="54">
        <v>20.17236328125</v>
      </c>
      <c r="Q7" s="54"/>
      <c r="R7" s="54">
        <v>2.623779296875</v>
      </c>
      <c r="S7" s="54">
        <v>139.6050262451172</v>
      </c>
      <c r="T7" s="54">
        <v>1.6088504791259766</v>
      </c>
      <c r="U7" s="54">
        <v>0.3023645281791687</v>
      </c>
      <c r="V7" s="54">
        <v>0.299992173910141</v>
      </c>
      <c r="W7" s="54">
        <v>90.0173568725586</v>
      </c>
      <c r="X7" s="54">
        <v>0.530626118183136</v>
      </c>
      <c r="Y7" s="54" t="s">
        <v>82</v>
      </c>
      <c r="Z7" s="54">
        <v>0.7236689925193787</v>
      </c>
      <c r="AA7" s="54">
        <v>149.50086975097656</v>
      </c>
      <c r="AB7" s="54">
        <v>162.18894958496094</v>
      </c>
      <c r="AC7" s="54">
        <v>0.36302807927131653</v>
      </c>
      <c r="AD7" s="54">
        <v>154.12326049804688</v>
      </c>
      <c r="AE7" s="57"/>
      <c r="AF7" s="57"/>
      <c r="AG7" s="57"/>
      <c r="AH7" s="57"/>
      <c r="AI7" s="57"/>
      <c r="AJ7" s="57"/>
      <c r="AK7" s="57"/>
      <c r="AL7" s="54">
        <v>0</v>
      </c>
      <c r="AM7" s="58">
        <v>0.021224120631814003</v>
      </c>
      <c r="AN7" s="59">
        <v>58.71672439575195</v>
      </c>
      <c r="AO7" s="60"/>
      <c r="AP7" s="61">
        <v>-79.50665283203125</v>
      </c>
      <c r="AQ7" s="61">
        <v>0.28899016976356506</v>
      </c>
      <c r="AR7" s="62">
        <v>0.00029189299675635993</v>
      </c>
    </row>
    <row r="8" spans="2:47" ht="13.5" customHeight="1" x14ac:dyDescent="0.25">
      <c r="B8" s="14">
        <v>0.41666666666666669</v>
      </c>
      <c r="C8" s="54">
        <v>11.624710083007812</v>
      </c>
      <c r="D8" s="54">
        <v>19.580078125</v>
      </c>
      <c r="E8" s="54">
        <v>416.81121826171875</v>
      </c>
      <c r="F8" s="54">
        <v>0.3365546762943268</v>
      </c>
      <c r="G8" s="54">
        <v>0</v>
      </c>
      <c r="H8" s="55">
        <v>417.49163818359375</v>
      </c>
      <c r="I8" s="56">
        <v>23.01432228088379</v>
      </c>
      <c r="J8" s="54">
        <v>0.01980322226881981</v>
      </c>
      <c r="K8" s="54">
        <v>42.447914123535156</v>
      </c>
      <c r="L8" s="54">
        <v>1.3783094882965088</v>
      </c>
      <c r="M8" s="54">
        <v>108.01324462890625</v>
      </c>
      <c r="N8" s="54">
        <v>111.19068145751953</v>
      </c>
      <c r="O8" s="54">
        <v>20.34540557861328</v>
      </c>
      <c r="P8" s="54">
        <v>20.1708984375</v>
      </c>
      <c r="Q8" s="54"/>
      <c r="R8" s="54">
        <v>2.59478759765625</v>
      </c>
      <c r="S8" s="54">
        <v>139.3301544189453</v>
      </c>
      <c r="T8" s="54">
        <v>1.6058123111724854</v>
      </c>
      <c r="U8" s="54">
        <v>0.2986709475517273</v>
      </c>
      <c r="V8" s="54">
        <v>0.2999609410762787</v>
      </c>
      <c r="W8" s="54">
        <v>90.37181854248047</v>
      </c>
      <c r="X8" s="54">
        <v>0.5286146402359009</v>
      </c>
      <c r="Y8" s="54" t="s">
        <v>82</v>
      </c>
      <c r="Z8" s="54">
        <v>0.7423032522201538</v>
      </c>
      <c r="AA8" s="54">
        <v>149.13194274902344</v>
      </c>
      <c r="AB8" s="54">
        <v>162.2757568359375</v>
      </c>
      <c r="AC8" s="54">
        <v>0.3486328125</v>
      </c>
      <c r="AD8" s="54">
        <v>154.6151580810547</v>
      </c>
      <c r="AE8" s="57"/>
      <c r="AF8" s="57"/>
      <c r="AG8" s="57"/>
      <c r="AH8" s="57"/>
      <c r="AI8" s="57"/>
      <c r="AJ8" s="57"/>
      <c r="AK8" s="57"/>
      <c r="AL8" s="54">
        <v>28.399883270263672</v>
      </c>
      <c r="AM8" s="58">
        <v>0.01723388582468033</v>
      </c>
      <c r="AN8" s="59">
        <v>57.16145706176758</v>
      </c>
      <c r="AO8" s="60"/>
      <c r="AP8" s="61">
        <v>-79.53559112548828</v>
      </c>
      <c r="AQ8" s="61">
        <v>0.29550057649612427</v>
      </c>
      <c r="AR8" s="62">
        <v>0.0002917404053732753</v>
      </c>
    </row>
    <row r="9" spans="2:47" ht="13.5" customHeight="1" x14ac:dyDescent="0.25">
      <c r="B9" s="14">
        <v>0.45833333333333298</v>
      </c>
      <c r="C9" s="54">
        <v>12.51085090637207</v>
      </c>
      <c r="D9" s="54">
        <v>20.39388084411621</v>
      </c>
      <c r="E9" s="54">
        <v>417.5484924316406</v>
      </c>
      <c r="F9" s="54">
        <v>0.337101548910141</v>
      </c>
      <c r="G9" s="54">
        <v>0</v>
      </c>
      <c r="H9" s="55">
        <v>417.7165222167969</v>
      </c>
      <c r="I9" s="56">
        <v>19.925491333007812</v>
      </c>
      <c r="J9" s="54">
        <v>0.019936034455895424</v>
      </c>
      <c r="K9" s="54">
        <v>44.596351623535156</v>
      </c>
      <c r="L9" s="54">
        <v>1.457338809967041</v>
      </c>
      <c r="M9" s="54">
        <v>109.4455337524414</v>
      </c>
      <c r="N9" s="54">
        <v>110.6915512084961</v>
      </c>
      <c r="O9" s="54">
        <v>20.107412338256836</v>
      </c>
      <c r="P9" s="54">
        <v>20.17578125</v>
      </c>
      <c r="Q9" s="54"/>
      <c r="R9" s="54">
        <v>2.6124267578125</v>
      </c>
      <c r="S9" s="54">
        <v>139.44589233398438</v>
      </c>
      <c r="T9" s="54">
        <v>1.606571912765503</v>
      </c>
      <c r="U9" s="54">
        <v>0.29845982789993286</v>
      </c>
      <c r="V9" s="54">
        <v>0.2999843657016754</v>
      </c>
      <c r="W9" s="54">
        <v>90.50202178955078</v>
      </c>
      <c r="X9" s="54">
        <v>0.5308617949485779</v>
      </c>
      <c r="Y9" s="54" t="s">
        <v>82</v>
      </c>
      <c r="Z9" s="54">
        <v>0.7456597685813904</v>
      </c>
      <c r="AA9" s="54">
        <v>150.02169799804688</v>
      </c>
      <c r="AB9" s="54">
        <v>162.41319274902344</v>
      </c>
      <c r="AC9" s="54">
        <v>0.38744214177131653</v>
      </c>
      <c r="AD9" s="54">
        <v>154.6875</v>
      </c>
      <c r="AE9" s="57"/>
      <c r="AF9" s="57"/>
      <c r="AG9" s="57"/>
      <c r="AH9" s="57"/>
      <c r="AI9" s="57"/>
      <c r="AJ9" s="57"/>
      <c r="AK9" s="57"/>
      <c r="AL9" s="54">
        <v>4.87196159362793</v>
      </c>
      <c r="AM9" s="58">
        <v>0.01744384691119194</v>
      </c>
      <c r="AN9" s="59">
        <v>55.29513931274414</v>
      </c>
      <c r="AO9" s="60"/>
      <c r="AP9" s="61">
        <v>-79.55729675292969</v>
      </c>
      <c r="AQ9" s="61">
        <v>0.29325810074806213</v>
      </c>
      <c r="AR9" s="62">
        <v>0.0002919311518780887</v>
      </c>
    </row>
    <row r="10" spans="2:47" ht="13.5" customHeight="1" x14ac:dyDescent="0.25">
      <c r="B10" s="14">
        <v>0.5</v>
      </c>
      <c r="C10" s="54">
        <v>13.762297630310059</v>
      </c>
      <c r="D10" s="54">
        <v>21.034072875976562</v>
      </c>
      <c r="E10" s="54">
        <v>418.9635009765625</v>
      </c>
      <c r="F10" s="54">
        <v>0.33726561069488525</v>
      </c>
      <c r="G10" s="54">
        <v>0</v>
      </c>
      <c r="H10" s="55">
        <v>418.5356750488281</v>
      </c>
      <c r="I10" s="56">
        <v>0</v>
      </c>
      <c r="J10" s="54">
        <v>0.018853027373552322</v>
      </c>
      <c r="K10" s="54">
        <v>40.625</v>
      </c>
      <c r="L10" s="54">
        <v>1.3230613470077515</v>
      </c>
      <c r="M10" s="54">
        <v>106.92274475097656</v>
      </c>
      <c r="N10" s="54">
        <v>108.26099395751953</v>
      </c>
      <c r="O10" s="54">
        <v>20.24608039855957</v>
      </c>
      <c r="P10" s="54">
        <v>20.17578125</v>
      </c>
      <c r="Q10" s="54"/>
      <c r="R10" s="54">
        <v>2.645751953125</v>
      </c>
      <c r="S10" s="54">
        <v>139.53993225097656</v>
      </c>
      <c r="T10" s="54">
        <v>1.606318712234497</v>
      </c>
      <c r="U10" s="54">
        <v>0.2993253767490387</v>
      </c>
      <c r="V10" s="54">
        <v>0.3001406192779541</v>
      </c>
      <c r="W10" s="54">
        <v>90.625</v>
      </c>
      <c r="X10" s="54">
        <v>0.5288318991661072</v>
      </c>
      <c r="Y10" s="54" t="s">
        <v>82</v>
      </c>
      <c r="Z10" s="54">
        <v>0.7333912253379822</v>
      </c>
      <c r="AA10" s="54">
        <v>150.17361450195312</v>
      </c>
      <c r="AB10" s="54">
        <v>162.51446533203125</v>
      </c>
      <c r="AC10" s="54">
        <v>0.38028067350387573</v>
      </c>
      <c r="AD10" s="54">
        <v>154.8828125</v>
      </c>
      <c r="AE10" s="57"/>
      <c r="AF10" s="57"/>
      <c r="AG10" s="57"/>
      <c r="AH10" s="57"/>
      <c r="AI10" s="57"/>
      <c r="AJ10" s="57"/>
      <c r="AK10" s="57"/>
      <c r="AL10" s="54">
        <v>16.2109375</v>
      </c>
      <c r="AM10" s="58">
        <v>0.014707031659781933</v>
      </c>
      <c r="AN10" s="59">
        <v>52.72713851928711</v>
      </c>
      <c r="AO10" s="60"/>
      <c r="AP10" s="61">
        <v>-79.67303466796875</v>
      </c>
      <c r="AQ10" s="61">
        <v>0.29050925374031067</v>
      </c>
      <c r="AR10" s="62">
        <v>0.0002953643852379173</v>
      </c>
    </row>
    <row r="11" spans="2:47" ht="13.5" customHeight="1" x14ac:dyDescent="0.25">
      <c r="B11" s="14">
        <v>0.54166666666666696</v>
      </c>
      <c r="C11" s="54">
        <v>12.890625</v>
      </c>
      <c r="D11" s="54">
        <v>21.26193618774414</v>
      </c>
      <c r="E11" s="54">
        <v>418.7310791015625</v>
      </c>
      <c r="F11" s="54">
        <v>0.2580625116825104</v>
      </c>
      <c r="G11" s="54">
        <v>0</v>
      </c>
      <c r="H11" s="55">
        <v>419.45989990234375</v>
      </c>
      <c r="I11" s="56">
        <v>22.25477409362793</v>
      </c>
      <c r="J11" s="54">
        <v>0.019876953214406967</v>
      </c>
      <c r="K11" s="54">
        <v>44.719329833984375</v>
      </c>
      <c r="L11" s="54">
        <v>1.4530888795852661</v>
      </c>
      <c r="M11" s="54">
        <v>110.25933837890625</v>
      </c>
      <c r="N11" s="54">
        <v>111.74044799804688</v>
      </c>
      <c r="O11" s="54">
        <v>20.43851661682129</v>
      </c>
      <c r="P11" s="54">
        <v>20.17724609375</v>
      </c>
      <c r="Q11" s="54"/>
      <c r="R11" s="54">
        <v>2.6214599609375</v>
      </c>
      <c r="S11" s="54">
        <v>139.43142700195312</v>
      </c>
      <c r="T11" s="54">
        <v>1.606571912765503</v>
      </c>
      <c r="U11" s="54">
        <v>0.30119743943214417</v>
      </c>
      <c r="V11" s="54">
        <v>0.299992173910141</v>
      </c>
      <c r="W11" s="54">
        <v>90.43692016601562</v>
      </c>
      <c r="X11" s="54">
        <v>0.5285480618476868</v>
      </c>
      <c r="Y11" s="54" t="s">
        <v>82</v>
      </c>
      <c r="Z11" s="54">
        <v>0.7301505208015442</v>
      </c>
      <c r="AA11" s="54">
        <v>149.78298950195312</v>
      </c>
      <c r="AB11" s="54">
        <v>162.6953125</v>
      </c>
      <c r="AC11" s="54">
        <v>0.36895978450775146</v>
      </c>
      <c r="AD11" s="54">
        <v>154.8104705810547</v>
      </c>
      <c r="AE11" s="57"/>
      <c r="AF11" s="57"/>
      <c r="AG11" s="57"/>
      <c r="AH11" s="57"/>
      <c r="AI11" s="57"/>
      <c r="AJ11" s="57"/>
      <c r="AK11" s="57"/>
      <c r="AL11" s="54">
        <v>0</v>
      </c>
      <c r="AM11" s="58">
        <v>0.013063964433968067</v>
      </c>
      <c r="AN11" s="59">
        <v>51.46122741699219</v>
      </c>
      <c r="AO11" s="60"/>
      <c r="AP11" s="61">
        <v>-79.69473266601562</v>
      </c>
      <c r="AQ11" s="61">
        <v>0.29152199625968933</v>
      </c>
      <c r="AR11" s="62">
        <v>0.0002935485972557217</v>
      </c>
    </row>
    <row r="12" spans="2:47" ht="13.5" customHeight="1" x14ac:dyDescent="0.25">
      <c r="B12" s="14">
        <v>0.58333333333333304</v>
      </c>
      <c r="C12" s="54">
        <v>10.745803833007812</v>
      </c>
      <c r="D12" s="54">
        <v>22.086589813232422</v>
      </c>
      <c r="E12" s="54">
        <v>418.68170166015625</v>
      </c>
      <c r="F12" s="54">
        <v>0.21492968499660492</v>
      </c>
      <c r="G12" s="54">
        <v>0</v>
      </c>
      <c r="H12" s="55">
        <v>419.8551025390625</v>
      </c>
      <c r="I12" s="56">
        <v>24.254919052124023</v>
      </c>
      <c r="J12" s="54">
        <v>0.019840331748127937</v>
      </c>
      <c r="K12" s="54">
        <v>42.55642318725586</v>
      </c>
      <c r="L12" s="54">
        <v>1.3707140684127808</v>
      </c>
      <c r="M12" s="54">
        <v>109.6896743774414</v>
      </c>
      <c r="N12" s="54">
        <v>108.10908508300781</v>
      </c>
      <c r="O12" s="54">
        <v>19.921993255615234</v>
      </c>
      <c r="P12" s="54">
        <v>20.154296875</v>
      </c>
      <c r="Q12" s="54"/>
      <c r="R12" s="54">
        <v>2.59625244140625</v>
      </c>
      <c r="S12" s="54">
        <v>139.510986328125</v>
      </c>
      <c r="T12" s="54">
        <v>1.6053059101104736</v>
      </c>
      <c r="U12" s="54">
        <v>0.3000049293041229</v>
      </c>
      <c r="V12" s="54">
        <v>0.29978126287460327</v>
      </c>
      <c r="W12" s="54">
        <v>90.58882904052734</v>
      </c>
      <c r="X12" s="54">
        <v>0.5307188034057617</v>
      </c>
      <c r="Y12" s="54" t="s">
        <v>82</v>
      </c>
      <c r="Z12" s="54">
        <v>0.7432870864868164</v>
      </c>
      <c r="AA12" s="54">
        <v>150.7378387451172</v>
      </c>
      <c r="AB12" s="54">
        <v>162.83274841308594</v>
      </c>
      <c r="AC12" s="54">
        <v>0.4794921875</v>
      </c>
      <c r="AD12" s="54">
        <v>155.3023681640625</v>
      </c>
      <c r="AE12" s="57"/>
      <c r="AF12" s="57"/>
      <c r="AG12" s="57"/>
      <c r="AH12" s="57"/>
      <c r="AI12" s="57"/>
      <c r="AJ12" s="57"/>
      <c r="AK12" s="57"/>
      <c r="AL12" s="54">
        <v>1.0271990299224854</v>
      </c>
      <c r="AM12" s="58">
        <v>0.011453613638877869</v>
      </c>
      <c r="AN12" s="59">
        <v>49.609375</v>
      </c>
      <c r="AO12" s="60"/>
      <c r="AP12" s="61">
        <v>-79.89727783203125</v>
      </c>
      <c r="AQ12" s="61">
        <v>0.29615160822868347</v>
      </c>
      <c r="AR12" s="62">
        <v>0.0002947311440948397</v>
      </c>
    </row>
    <row r="13" spans="2:47" ht="13.5" customHeight="1" x14ac:dyDescent="0.25">
      <c r="B13" s="14">
        <v>0.625</v>
      </c>
      <c r="C13" s="54">
        <v>11.7042818069458</v>
      </c>
      <c r="D13" s="54">
        <v>22.30902862548828</v>
      </c>
      <c r="E13" s="54">
        <v>418.7147216796875</v>
      </c>
      <c r="F13" s="54">
        <v>0.3385937511920929</v>
      </c>
      <c r="G13" s="54">
        <v>0</v>
      </c>
      <c r="H13" s="55">
        <v>420.2416687011719</v>
      </c>
      <c r="I13" s="56">
        <v>21.849681854248047</v>
      </c>
      <c r="J13" s="54">
        <v>0.019911132752895355</v>
      </c>
      <c r="K13" s="54">
        <v>43.229164123535156</v>
      </c>
      <c r="L13" s="54">
        <v>1.3969365358352661</v>
      </c>
      <c r="M13" s="54">
        <v>106.83052062988281</v>
      </c>
      <c r="N13" s="54">
        <v>108.73119354248047</v>
      </c>
      <c r="O13" s="54">
        <v>20.180110931396484</v>
      </c>
      <c r="P13" s="54">
        <v>20.1669921875</v>
      </c>
      <c r="Q13" s="54"/>
      <c r="R13" s="54">
        <v>2.60333251953125</v>
      </c>
      <c r="S13" s="54">
        <v>139.75694274902344</v>
      </c>
      <c r="T13" s="54">
        <v>1.6058123111724854</v>
      </c>
      <c r="U13" s="54">
        <v>0.2990140914916992</v>
      </c>
      <c r="V13" s="54">
        <v>0.299867182970047</v>
      </c>
      <c r="W13" s="54">
        <v>91.015625</v>
      </c>
      <c r="X13" s="54">
        <v>0.5303102135658264</v>
      </c>
      <c r="Y13" s="54" t="s">
        <v>82</v>
      </c>
      <c r="Z13" s="54">
        <v>0.7396412491798401</v>
      </c>
      <c r="AA13" s="54">
        <v>151.89524841308594</v>
      </c>
      <c r="AB13" s="54">
        <v>162.89785766601562</v>
      </c>
      <c r="AC13" s="54">
        <v>0.3671875</v>
      </c>
      <c r="AD13" s="54">
        <v>155.11428833007812</v>
      </c>
      <c r="AE13" s="57"/>
      <c r="AF13" s="57"/>
      <c r="AG13" s="57"/>
      <c r="AH13" s="57"/>
      <c r="AI13" s="57"/>
      <c r="AJ13" s="57"/>
      <c r="AK13" s="57"/>
      <c r="AL13" s="54">
        <v>1.5588830709457397</v>
      </c>
      <c r="AM13" s="58">
        <v>0.009480956941843033</v>
      </c>
      <c r="AN13" s="59">
        <v>47.90581512451172</v>
      </c>
      <c r="AO13" s="60"/>
      <c r="AP13" s="61">
        <v>-80.07089233398438</v>
      </c>
      <c r="AQ13" s="61">
        <v>0.30244502425193787</v>
      </c>
      <c r="AR13" s="62">
        <v>0.00029328156961128116</v>
      </c>
    </row>
    <row r="14" spans="2:47" ht="13.5" customHeight="1" x14ac:dyDescent="0.25">
      <c r="B14" s="14">
        <v>0.66666666666666696</v>
      </c>
      <c r="C14" s="54">
        <v>12.622974395751953</v>
      </c>
      <c r="D14" s="54">
        <v>22.254776000976562</v>
      </c>
      <c r="E14" s="54">
        <v>418.8760070800781</v>
      </c>
      <c r="F14" s="54">
        <v>0.3381406366825104</v>
      </c>
      <c r="G14" s="54">
        <v>0</v>
      </c>
      <c r="H14" s="55">
        <v>420.51495361328125</v>
      </c>
      <c r="I14" s="56">
        <v>23.520689010620117</v>
      </c>
      <c r="J14" s="54">
        <v>0.01979345642030239</v>
      </c>
      <c r="K14" s="54">
        <v>43.79340362548828</v>
      </c>
      <c r="L14" s="54">
        <v>1.415834903717041</v>
      </c>
      <c r="M14" s="54">
        <v>103.94422912597656</v>
      </c>
      <c r="N14" s="54">
        <v>107.2048568725586</v>
      </c>
      <c r="O14" s="54">
        <v>20.25262451171875</v>
      </c>
      <c r="P14" s="54">
        <v>20.18896484375</v>
      </c>
      <c r="Q14" s="54"/>
      <c r="R14" s="54">
        <v>2.620849609375</v>
      </c>
      <c r="S14" s="54">
        <v>139.5471649169922</v>
      </c>
      <c r="T14" s="54">
        <v>1.6035336256027222</v>
      </c>
      <c r="U14" s="54">
        <v>0.29926222562789917</v>
      </c>
      <c r="V14" s="54">
        <v>0.30018749833106995</v>
      </c>
      <c r="W14" s="54">
        <v>90.06076049804688</v>
      </c>
      <c r="X14" s="54">
        <v>0.5329369902610779</v>
      </c>
      <c r="Y14" s="54" t="s">
        <v>82</v>
      </c>
      <c r="Z14" s="54">
        <v>0.7303240895271301</v>
      </c>
      <c r="AA14" s="54">
        <v>149.75404357910156</v>
      </c>
      <c r="AB14" s="54">
        <v>162.70254516601562</v>
      </c>
      <c r="AC14" s="54">
        <v>0.40881800651550293</v>
      </c>
      <c r="AD14" s="54">
        <v>155.09259033203125</v>
      </c>
      <c r="AE14" s="57"/>
      <c r="AF14" s="57"/>
      <c r="AG14" s="57"/>
      <c r="AH14" s="57"/>
      <c r="AI14" s="57"/>
      <c r="AJ14" s="57"/>
      <c r="AK14" s="57"/>
      <c r="AL14" s="54">
        <v>12.561487197875977</v>
      </c>
      <c r="AM14" s="58">
        <v>0.007887206971645355</v>
      </c>
      <c r="AN14" s="59">
        <v>46.30714797973633</v>
      </c>
      <c r="AO14" s="60"/>
      <c r="AP14" s="61">
        <v>-80.21556854248047</v>
      </c>
      <c r="AQ14" s="61">
        <v>0.30078125</v>
      </c>
      <c r="AR14" s="62">
        <v>0.0002935714728664607</v>
      </c>
    </row>
    <row r="15" spans="2:47" ht="13.5" customHeight="1" x14ac:dyDescent="0.25">
      <c r="B15" s="14">
        <v>0.70833333333333304</v>
      </c>
      <c r="C15" s="54">
        <v>13.440393447875977</v>
      </c>
      <c r="D15" s="54">
        <v>21.99435806274414</v>
      </c>
      <c r="E15" s="54">
        <v>415.7048034667969</v>
      </c>
      <c r="F15" s="54">
        <v>0.33778905868530273</v>
      </c>
      <c r="G15" s="54">
        <v>0</v>
      </c>
      <c r="H15" s="55">
        <v>420.21136474609375</v>
      </c>
      <c r="I15" s="56">
        <v>23.748554229736328</v>
      </c>
      <c r="J15" s="54">
        <v>0.019886719062924385</v>
      </c>
      <c r="K15" s="54">
        <v>43.48234939575195</v>
      </c>
      <c r="L15" s="54">
        <v>1.408329725265503</v>
      </c>
      <c r="M15" s="54">
        <v>107.80165100097656</v>
      </c>
      <c r="N15" s="54">
        <v>108.85416412353516</v>
      </c>
      <c r="O15" s="54">
        <v>20.107202529907227</v>
      </c>
      <c r="P15" s="54">
        <v>20.1884765625</v>
      </c>
      <c r="Q15" s="54"/>
      <c r="R15" s="54">
        <v>2.552001953125</v>
      </c>
      <c r="S15" s="54">
        <v>139.65567016601562</v>
      </c>
      <c r="T15" s="54">
        <v>1.6021411418914795</v>
      </c>
      <c r="U15" s="54">
        <v>0.30006322264671326</v>
      </c>
      <c r="V15" s="54">
        <v>0.3002343773841858</v>
      </c>
      <c r="W15" s="54">
        <v>90.625</v>
      </c>
      <c r="X15" s="54">
        <v>0.5298131704330444</v>
      </c>
      <c r="Y15" s="54" t="s">
        <v>82</v>
      </c>
      <c r="Z15" s="54">
        <v>0.7382523417472839</v>
      </c>
      <c r="AA15" s="54">
        <v>150.30381774902344</v>
      </c>
      <c r="AB15" s="54">
        <v>162.97743225097656</v>
      </c>
      <c r="AC15" s="54">
        <v>0.5317202210426331</v>
      </c>
      <c r="AD15" s="54">
        <v>155.94618225097656</v>
      </c>
      <c r="AE15" s="57"/>
      <c r="AF15" s="57"/>
      <c r="AG15" s="57"/>
      <c r="AH15" s="57"/>
      <c r="AI15" s="57"/>
      <c r="AJ15" s="57"/>
      <c r="AK15" s="57"/>
      <c r="AL15" s="54">
        <v>31.322338104248047</v>
      </c>
      <c r="AM15" s="58">
        <v>0.008960937149822712</v>
      </c>
      <c r="AN15" s="59">
        <v>44.70847702026367</v>
      </c>
      <c r="AO15" s="60"/>
      <c r="AP15" s="61">
        <v>-80.2445068359375</v>
      </c>
      <c r="AQ15" s="61">
        <v>0.29072627425193787</v>
      </c>
      <c r="AR15" s="62">
        <v>0.000295082078082487</v>
      </c>
    </row>
    <row r="16" spans="2:47" ht="13.5" customHeight="1" x14ac:dyDescent="0.25">
      <c r="B16" s="14">
        <v>0.75</v>
      </c>
      <c r="C16" s="54">
        <v>14.413338661193848</v>
      </c>
      <c r="D16" s="54">
        <v>21.793621063232422</v>
      </c>
      <c r="E16" s="54">
        <v>416.2760009765625</v>
      </c>
      <c r="F16" s="54">
        <v>0.337765634059906</v>
      </c>
      <c r="G16" s="54">
        <v>0</v>
      </c>
      <c r="H16" s="55">
        <v>419.6504211425781</v>
      </c>
      <c r="I16" s="56">
        <v>25.039785385131836</v>
      </c>
      <c r="J16" s="54">
        <v>0.019997069612145424</v>
      </c>
      <c r="K16" s="54">
        <v>42.26707077026367</v>
      </c>
      <c r="L16" s="54">
        <v>1.3466616868972778</v>
      </c>
      <c r="M16" s="54">
        <v>106.33138275146484</v>
      </c>
      <c r="N16" s="54">
        <v>106.62615203857422</v>
      </c>
      <c r="O16" s="54">
        <v>20.304119110107422</v>
      </c>
      <c r="P16" s="54">
        <v>20.17431640625</v>
      </c>
      <c r="Q16" s="54"/>
      <c r="R16" s="54">
        <v>2.5946044921875</v>
      </c>
      <c r="S16" s="54">
        <v>139.53993225097656</v>
      </c>
      <c r="T16" s="54">
        <v>1.6026475429534912</v>
      </c>
      <c r="U16" s="54">
        <v>0.30027368664741516</v>
      </c>
      <c r="V16" s="54">
        <v>0.30003905296325684</v>
      </c>
      <c r="W16" s="54">
        <v>90.56713104248047</v>
      </c>
      <c r="X16" s="54">
        <v>0.5297172665596008</v>
      </c>
      <c r="Y16" s="54" t="s">
        <v>82</v>
      </c>
      <c r="Z16" s="54">
        <v>0.7394097447395325</v>
      </c>
      <c r="AA16" s="54">
        <v>150.57147216796875</v>
      </c>
      <c r="AB16" s="54">
        <v>162.97743225097656</v>
      </c>
      <c r="AC16" s="54">
        <v>0.3959418535232544</v>
      </c>
      <c r="AD16" s="54">
        <v>155.4976806640625</v>
      </c>
      <c r="AE16" s="57"/>
      <c r="AF16" s="57"/>
      <c r="AG16" s="57"/>
      <c r="AH16" s="57"/>
      <c r="AI16" s="57"/>
      <c r="AJ16" s="57"/>
      <c r="AK16" s="57"/>
      <c r="AL16" s="54">
        <v>11.953847885131836</v>
      </c>
      <c r="AM16" s="58">
        <v>0.008928710594773293</v>
      </c>
      <c r="AN16" s="59">
        <v>61.295570373535156</v>
      </c>
      <c r="AO16" s="60"/>
      <c r="AP16" s="61">
        <v>-80.33854675292969</v>
      </c>
      <c r="AQ16" s="61">
        <v>0.2986111044883728</v>
      </c>
      <c r="AR16" s="62">
        <v>0.00029564666328951716</v>
      </c>
    </row>
    <row r="17" spans="2:44" ht="13.5" customHeight="1" x14ac:dyDescent="0.25">
      <c r="B17" s="14">
        <v>0.79166666666666696</v>
      </c>
      <c r="C17" s="54">
        <v>10.109230041503906</v>
      </c>
      <c r="D17" s="54">
        <v>21.256511688232422</v>
      </c>
      <c r="E17" s="54">
        <v>416.6485595703125</v>
      </c>
      <c r="F17" s="54">
        <v>0.15354686975479126</v>
      </c>
      <c r="G17" s="54">
        <v>0</v>
      </c>
      <c r="H17" s="55">
        <v>419.49127197265625</v>
      </c>
      <c r="I17" s="56">
        <v>22.17881965637207</v>
      </c>
      <c r="J17" s="54">
        <v>0.01958349533379078</v>
      </c>
      <c r="K17" s="54">
        <v>42.6649284362793</v>
      </c>
      <c r="L17" s="54">
        <v>1.3733363151550293</v>
      </c>
      <c r="M17" s="54">
        <v>109.67340087890625</v>
      </c>
      <c r="N17" s="54">
        <v>112.21064758300781</v>
      </c>
      <c r="O17" s="54">
        <v>19.978174209594727</v>
      </c>
      <c r="P17" s="54">
        <v>20.17724609375</v>
      </c>
      <c r="Q17" s="54"/>
      <c r="R17" s="54">
        <v>2.52874755859375</v>
      </c>
      <c r="S17" s="54">
        <v>139.56163024902344</v>
      </c>
      <c r="T17" s="54">
        <v>1.6056857109069824</v>
      </c>
      <c r="U17" s="54">
        <v>0.297247976064682</v>
      </c>
      <c r="V17" s="54">
        <v>0.3000468611717224</v>
      </c>
      <c r="W17" s="54">
        <v>90.86371612548828</v>
      </c>
      <c r="X17" s="54">
        <v>0.5309193134307861</v>
      </c>
      <c r="Y17" s="54" t="s">
        <v>82</v>
      </c>
      <c r="Z17" s="54">
        <v>0.7382523417472839</v>
      </c>
      <c r="AA17" s="54">
        <v>150.1663818359375</v>
      </c>
      <c r="AB17" s="54">
        <v>163.20167541503906</v>
      </c>
      <c r="AC17" s="54">
        <v>0.3733724057674408</v>
      </c>
      <c r="AD17" s="54">
        <v>155.67129516601562</v>
      </c>
      <c r="AE17" s="57"/>
      <c r="AF17" s="57"/>
      <c r="AG17" s="57"/>
      <c r="AH17" s="57"/>
      <c r="AI17" s="57"/>
      <c r="AJ17" s="57"/>
      <c r="AK17" s="57"/>
      <c r="AL17" s="54">
        <v>64.12760162353516</v>
      </c>
      <c r="AM17" s="58">
        <v>0.02246435545384884</v>
      </c>
      <c r="AN17" s="59">
        <v>58.86501693725586</v>
      </c>
      <c r="AO17" s="60"/>
      <c r="AP17" s="61">
        <v>-80.25173950195312</v>
      </c>
      <c r="AQ17" s="61">
        <v>0.30222800374031067</v>
      </c>
      <c r="AR17" s="62">
        <v>0.00029443358653225005</v>
      </c>
    </row>
    <row r="18" spans="2:44" ht="13.5" customHeight="1" x14ac:dyDescent="0.25">
      <c r="B18" s="42">
        <v>0.83333333333333404</v>
      </c>
      <c r="C18" s="63">
        <v>11.02430534362793</v>
      </c>
      <c r="D18" s="63">
        <v>20.70855140686035</v>
      </c>
      <c r="E18" s="63">
        <v>418.50799560546875</v>
      </c>
      <c r="F18" s="63">
        <v>0.33720311522483826</v>
      </c>
      <c r="G18" s="63">
        <v>0</v>
      </c>
      <c r="H18" s="64">
        <v>418.9869689941406</v>
      </c>
      <c r="I18" s="65">
        <v>0</v>
      </c>
      <c r="J18" s="63">
        <v>0.019672852009534836</v>
      </c>
      <c r="K18" s="63">
        <v>41.25434112548828</v>
      </c>
      <c r="L18" s="63">
        <v>1.3109447956085205</v>
      </c>
      <c r="M18" s="63">
        <v>109.53234100341797</v>
      </c>
      <c r="N18" s="63">
        <v>112.39872741699219</v>
      </c>
      <c r="O18" s="63">
        <v>20.52520179748535</v>
      </c>
      <c r="P18" s="63">
        <v>20.1630859375</v>
      </c>
      <c r="Q18" s="63"/>
      <c r="R18" s="63">
        <v>2.4686279296875</v>
      </c>
      <c r="S18" s="63">
        <v>139.315673828125</v>
      </c>
      <c r="T18" s="63">
        <v>1.6060655117034912</v>
      </c>
      <c r="U18" s="63">
        <v>0.30376720428466797</v>
      </c>
      <c r="V18" s="63">
        <v>0.2998984456062317</v>
      </c>
      <c r="W18" s="63">
        <v>90.69010162353516</v>
      </c>
      <c r="X18" s="63">
        <v>0.5284513831138611</v>
      </c>
      <c r="Y18" s="63">
        <v>0.5303537249565125</v>
      </c>
      <c r="Z18" s="63">
        <v>0.7119792103767395</v>
      </c>
      <c r="AA18" s="63">
        <v>149.6383056640625</v>
      </c>
      <c r="AB18" s="63">
        <v>162.94125366210938</v>
      </c>
      <c r="AC18" s="63">
        <v>0.31311488151550293</v>
      </c>
      <c r="AD18" s="63">
        <v>154.05091857910156</v>
      </c>
      <c r="AE18" s="66">
        <v>33.720001220703125</v>
      </c>
      <c r="AF18" s="66"/>
      <c r="AG18" s="66"/>
      <c r="AH18" s="66">
        <v>17.170000076293945</v>
      </c>
      <c r="AI18" s="66"/>
      <c r="AJ18" s="66"/>
      <c r="AK18" s="66">
        <v>6.840000152587891</v>
      </c>
      <c r="AL18" s="63">
        <v>0</v>
      </c>
      <c r="AM18" s="67">
        <v>0.019418945536017418</v>
      </c>
      <c r="AN18" s="68">
        <v>56.98784637451172</v>
      </c>
      <c r="AO18" s="60"/>
      <c r="AP18" s="61">
        <v>-80.25173950195312</v>
      </c>
      <c r="AQ18" s="61">
        <v>0.28964120149612427</v>
      </c>
      <c r="AR18" s="69">
        <v>0.0002916869998443872</v>
      </c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5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54">
        <v>-79.62963104248047</v>
      </c>
      <c r="D22" s="54">
        <v>-80.48321533203125</v>
      </c>
      <c r="E22" s="54">
        <v>103.11776733398438</v>
      </c>
      <c r="F22" s="54">
        <v>0.1414930522441864</v>
      </c>
      <c r="G22" s="54"/>
      <c r="H22" s="54"/>
      <c r="I22" s="54"/>
      <c r="J22" s="54"/>
      <c r="K22" s="54"/>
      <c r="L22" s="55"/>
      <c r="M22" s="70">
        <v>78.09606170654297</v>
      </c>
      <c r="N22" s="54">
        <v>47.29817581176758</v>
      </c>
      <c r="O22" s="54">
        <v>39.5</v>
      </c>
      <c r="P22" s="54">
        <v>22</v>
      </c>
      <c r="Q22" s="54">
        <v>3.28125</v>
      </c>
      <c r="R22" s="54">
        <v>18.030237197875977</v>
      </c>
      <c r="S22" s="71">
        <v>93.8295669555664</v>
      </c>
      <c r="T22" s="71">
        <v>35</v>
      </c>
      <c r="U22" s="71">
        <v>0</v>
      </c>
      <c r="V22" s="71">
        <v>76.63845825195312</v>
      </c>
      <c r="W22" s="71">
        <v>93.02301025390625</v>
      </c>
      <c r="X22" s="71">
        <v>28.5</v>
      </c>
      <c r="Y22" s="71">
        <v>75.05009460449219</v>
      </c>
      <c r="Z22" s="71">
        <v>13.037109375</v>
      </c>
      <c r="AA22" s="71">
        <v>17.469619750976562</v>
      </c>
      <c r="AB22" s="71"/>
      <c r="AC22" s="58"/>
      <c r="AD22" s="58">
        <v>1.5482313632965088</v>
      </c>
      <c r="AE22" s="58"/>
      <c r="AF22" s="58">
        <v>19.74826431274414</v>
      </c>
      <c r="AG22" s="58">
        <v>16.52560806274414</v>
      </c>
      <c r="AH22" s="58"/>
      <c r="AI22" s="72">
        <v>5</v>
      </c>
      <c r="AJ22" s="72">
        <v>5.019999980926514</v>
      </c>
      <c r="AK22" s="72">
        <v>5.03000020980835</v>
      </c>
      <c r="AL22" s="72">
        <v>5.039999961853027</v>
      </c>
      <c r="AM22" s="72">
        <v>5.050000190734863</v>
      </c>
      <c r="AN22" s="58">
        <v>42.180267333984375</v>
      </c>
      <c r="AO22" s="59">
        <v>50</v>
      </c>
      <c r="AP22" s="60">
        <v>19.513164520263672</v>
      </c>
      <c r="AQ22" s="61">
        <v>39.64482116699219</v>
      </c>
      <c r="AR22" s="62">
        <v>0.0434112548828125</v>
      </c>
    </row>
    <row r="23" spans="2:44" ht="13.5" customHeight="1" x14ac:dyDescent="0.25">
      <c r="B23" s="14">
        <v>0.375</v>
      </c>
      <c r="C23" s="54">
        <v>-79.50665283203125</v>
      </c>
      <c r="D23" s="54">
        <v>-80.46875</v>
      </c>
      <c r="E23" s="54">
        <v>103.12138366699219</v>
      </c>
      <c r="F23" s="54">
        <v>0.08427372574806213</v>
      </c>
      <c r="G23" s="54">
        <v>9.941100870491937E-05</v>
      </c>
      <c r="H23" s="54"/>
      <c r="I23" s="54"/>
      <c r="J23" s="54"/>
      <c r="K23" s="54"/>
      <c r="L23" s="55"/>
      <c r="M23" s="70">
        <v>77.75607299804688</v>
      </c>
      <c r="N23" s="54">
        <v>47.27647399902344</v>
      </c>
      <c r="O23" s="54">
        <v>39.5</v>
      </c>
      <c r="P23" s="54">
        <v>22</v>
      </c>
      <c r="Q23" s="54">
        <v>3.4049479961395264</v>
      </c>
      <c r="R23" s="54">
        <v>19.288917541503906</v>
      </c>
      <c r="S23" s="71">
        <v>92.93981170654297</v>
      </c>
      <c r="T23" s="71">
        <v>35</v>
      </c>
      <c r="U23" s="71">
        <v>82.70254516601562</v>
      </c>
      <c r="V23" s="71">
        <v>16.531034469604492</v>
      </c>
      <c r="W23" s="71">
        <v>19.92730140686035</v>
      </c>
      <c r="X23" s="71">
        <v>0</v>
      </c>
      <c r="Y23" s="71">
        <v>18.3154296875</v>
      </c>
      <c r="Z23" s="71">
        <v>13.861762046813965</v>
      </c>
      <c r="AA23" s="71">
        <v>81.36393737792969</v>
      </c>
      <c r="AB23" s="71"/>
      <c r="AC23" s="58"/>
      <c r="AD23" s="58">
        <v>1.5483940839767456</v>
      </c>
      <c r="AE23" s="58">
        <v>0.0014179230201989412</v>
      </c>
      <c r="AF23" s="58">
        <v>19.69400978088379</v>
      </c>
      <c r="AG23" s="58">
        <v>47.79730987548828</v>
      </c>
      <c r="AH23" s="58">
        <v>541.5</v>
      </c>
      <c r="AI23" s="72"/>
      <c r="AJ23" s="72"/>
      <c r="AK23" s="72"/>
      <c r="AL23" s="72"/>
      <c r="AM23" s="72"/>
      <c r="AN23" s="58">
        <v>68.359375</v>
      </c>
      <c r="AO23" s="59">
        <v>50</v>
      </c>
      <c r="AP23" s="60">
        <v>19.684968948364258</v>
      </c>
      <c r="AQ23" s="61">
        <v>39.52907943725586</v>
      </c>
      <c r="AR23" s="62">
        <v>0.0434112548828125</v>
      </c>
    </row>
    <row r="24" spans="2:44" ht="13.5" customHeight="1" x14ac:dyDescent="0.25">
      <c r="B24" s="14">
        <v>0.41666666666666702</v>
      </c>
      <c r="C24" s="54">
        <v>-79.53559112548828</v>
      </c>
      <c r="D24" s="54">
        <v>-80.46875</v>
      </c>
      <c r="E24" s="54">
        <v>103.125</v>
      </c>
      <c r="F24" s="54">
        <v>0.08036747574806213</v>
      </c>
      <c r="G24" s="54">
        <v>0.00010016822488978505</v>
      </c>
      <c r="H24" s="54"/>
      <c r="I24" s="54"/>
      <c r="J24" s="54"/>
      <c r="K24" s="54"/>
      <c r="L24" s="55"/>
      <c r="M24" s="70">
        <v>78.90625</v>
      </c>
      <c r="N24" s="54">
        <v>47.39583206176758</v>
      </c>
      <c r="O24" s="54">
        <v>39.5</v>
      </c>
      <c r="P24" s="54">
        <v>22</v>
      </c>
      <c r="Q24" s="54">
        <v>3.3693575859069824</v>
      </c>
      <c r="R24" s="54">
        <v>19.57465171813965</v>
      </c>
      <c r="S24" s="71">
        <v>91.2905044555664</v>
      </c>
      <c r="T24" s="71">
        <v>35</v>
      </c>
      <c r="U24" s="71">
        <v>82.5567855834961</v>
      </c>
      <c r="V24" s="71">
        <v>16.35199737548828</v>
      </c>
      <c r="W24" s="71">
        <v>19.303386688232422</v>
      </c>
      <c r="X24" s="71">
        <v>0</v>
      </c>
      <c r="Y24" s="71">
        <v>0</v>
      </c>
      <c r="Z24" s="71">
        <v>16.728153228759766</v>
      </c>
      <c r="AA24" s="71">
        <v>81.47244262695312</v>
      </c>
      <c r="AB24" s="71"/>
      <c r="AC24" s="58"/>
      <c r="AD24" s="58">
        <v>1.5482856035232544</v>
      </c>
      <c r="AE24" s="58">
        <v>0.0013643646379932761</v>
      </c>
      <c r="AF24" s="58">
        <v>19.08637046813965</v>
      </c>
      <c r="AG24" s="58">
        <v>44.91825866699219</v>
      </c>
      <c r="AH24" s="58">
        <v>508.70001220703125</v>
      </c>
      <c r="AI24" s="72"/>
      <c r="AJ24" s="72"/>
      <c r="AK24" s="72"/>
      <c r="AL24" s="72"/>
      <c r="AM24" s="72"/>
      <c r="AN24" s="58">
        <v>66.27603912353516</v>
      </c>
      <c r="AO24" s="59">
        <v>50</v>
      </c>
      <c r="AP24" s="60">
        <v>19.892940521240234</v>
      </c>
      <c r="AQ24" s="61">
        <v>39.579715728759766</v>
      </c>
      <c r="AR24" s="62">
        <v>0.0434112548828125</v>
      </c>
    </row>
    <row r="25" spans="2:44" ht="13.5" customHeight="1" x14ac:dyDescent="0.25">
      <c r="B25" s="14">
        <v>0.45833333333333298</v>
      </c>
      <c r="C25" s="54">
        <v>-79.55729675292969</v>
      </c>
      <c r="D25" s="54">
        <v>-80.5193862915039</v>
      </c>
      <c r="E25" s="54">
        <v>103.125</v>
      </c>
      <c r="F25" s="54">
        <v>0.1111111119389534</v>
      </c>
      <c r="G25" s="54">
        <v>0.00010044861119240522</v>
      </c>
      <c r="H25" s="54"/>
      <c r="I25" s="54"/>
      <c r="J25" s="54"/>
      <c r="K25" s="54"/>
      <c r="L25" s="55"/>
      <c r="M25" s="70">
        <v>77.7162857055664</v>
      </c>
      <c r="N25" s="54">
        <v>47.37774658203125</v>
      </c>
      <c r="O25" s="54">
        <v>39.5</v>
      </c>
      <c r="P25" s="54">
        <v>22</v>
      </c>
      <c r="Q25" s="54">
        <v>3.4739582538604736</v>
      </c>
      <c r="R25" s="54">
        <v>19.87847137451172</v>
      </c>
      <c r="S25" s="71">
        <v>92.40451049804688</v>
      </c>
      <c r="T25" s="71">
        <v>35</v>
      </c>
      <c r="U25" s="71">
        <v>81.1944808959961</v>
      </c>
      <c r="V25" s="71">
        <v>16.471355438232422</v>
      </c>
      <c r="W25" s="71">
        <v>19.63433265686035</v>
      </c>
      <c r="X25" s="71">
        <v>0</v>
      </c>
      <c r="Y25" s="71">
        <v>0</v>
      </c>
      <c r="Z25" s="71">
        <v>18.173105239868164</v>
      </c>
      <c r="AA25" s="71">
        <v>73.193359375</v>
      </c>
      <c r="AB25" s="71"/>
      <c r="AC25" s="58"/>
      <c r="AD25" s="58">
        <v>1.5482856035232544</v>
      </c>
      <c r="AE25" s="58">
        <v>0.0012335204519331455</v>
      </c>
      <c r="AF25" s="58">
        <v>19.288917541503906</v>
      </c>
      <c r="AG25" s="58">
        <v>25.484663009643555</v>
      </c>
      <c r="AH25" s="58">
        <v>202.89999389648438</v>
      </c>
      <c r="AI25" s="72"/>
      <c r="AJ25" s="72"/>
      <c r="AK25" s="72"/>
      <c r="AL25" s="72"/>
      <c r="AM25" s="72"/>
      <c r="AN25" s="58">
        <v>60.575809478759766</v>
      </c>
      <c r="AO25" s="59">
        <v>50</v>
      </c>
      <c r="AP25" s="60">
        <v>20.146121978759766</v>
      </c>
      <c r="AQ25" s="61">
        <v>39.60503387451172</v>
      </c>
      <c r="AR25" s="62">
        <v>0.0434112548828125</v>
      </c>
    </row>
    <row r="26" spans="2:44" ht="13.5" customHeight="1" x14ac:dyDescent="0.25">
      <c r="B26" s="14">
        <v>0.5</v>
      </c>
      <c r="C26" s="54">
        <v>-79.67303466796875</v>
      </c>
      <c r="D26" s="54">
        <v>-80.46151733398438</v>
      </c>
      <c r="E26" s="54">
        <v>103.125</v>
      </c>
      <c r="F26" s="54">
        <v>0.0813802108168602</v>
      </c>
      <c r="G26" s="54">
        <v>9.211921860696748E-05</v>
      </c>
      <c r="H26" s="54"/>
      <c r="I26" s="54"/>
      <c r="J26" s="54"/>
      <c r="K26" s="54"/>
      <c r="L26" s="55"/>
      <c r="M26" s="70">
        <v>78.11776733398438</v>
      </c>
      <c r="N26" s="54">
        <v>47.29817581176758</v>
      </c>
      <c r="O26" s="54">
        <v>39.5</v>
      </c>
      <c r="P26" s="54">
        <v>22</v>
      </c>
      <c r="Q26" s="54">
        <v>3.340711832046509</v>
      </c>
      <c r="R26" s="54">
        <v>20.012296676635742</v>
      </c>
      <c r="S26" s="71">
        <v>91.59432983398438</v>
      </c>
      <c r="T26" s="71">
        <v>35</v>
      </c>
      <c r="U26" s="71">
        <v>80.9982681274414</v>
      </c>
      <c r="V26" s="71">
        <v>16.433378219604492</v>
      </c>
      <c r="W26" s="71">
        <v>19.775390625</v>
      </c>
      <c r="X26" s="71">
        <v>0</v>
      </c>
      <c r="Y26" s="71">
        <v>0</v>
      </c>
      <c r="Z26" s="71">
        <v>19.165943145751953</v>
      </c>
      <c r="AA26" s="71">
        <v>69.22743225097656</v>
      </c>
      <c r="AB26" s="71"/>
      <c r="AC26" s="58"/>
      <c r="AD26" s="58">
        <v>1.5482856035232544</v>
      </c>
      <c r="AE26" s="58">
        <v>0.001351562445051968</v>
      </c>
      <c r="AF26" s="58">
        <v>19.245513916015625</v>
      </c>
      <c r="AG26" s="58">
        <v>38.37890625</v>
      </c>
      <c r="AH26" s="58"/>
      <c r="AI26" s="72"/>
      <c r="AJ26" s="72"/>
      <c r="AK26" s="72"/>
      <c r="AL26" s="72"/>
      <c r="AM26" s="72"/>
      <c r="AN26" s="58">
        <v>56.5827522277832</v>
      </c>
      <c r="AO26" s="59">
        <v>50</v>
      </c>
      <c r="AP26" s="60">
        <v>20.42643165588379</v>
      </c>
      <c r="AQ26" s="61">
        <v>39.43142318725586</v>
      </c>
      <c r="AR26" s="62">
        <v>0.0651092529296875</v>
      </c>
    </row>
    <row r="27" spans="2:44" ht="13.5" customHeight="1" x14ac:dyDescent="0.25">
      <c r="B27" s="14">
        <v>0.54166666666666596</v>
      </c>
      <c r="C27" s="54">
        <v>-79.69473266601562</v>
      </c>
      <c r="D27" s="54">
        <v>-80.44705200195312</v>
      </c>
      <c r="E27" s="54">
        <v>103.125</v>
      </c>
      <c r="F27" s="54">
        <v>0.08955439925193787</v>
      </c>
      <c r="G27" s="54">
        <v>9.346198930870742E-05</v>
      </c>
      <c r="H27" s="54"/>
      <c r="I27" s="54"/>
      <c r="J27" s="54"/>
      <c r="K27" s="54"/>
      <c r="L27" s="55"/>
      <c r="M27" s="70">
        <v>78.90986633300781</v>
      </c>
      <c r="N27" s="54">
        <v>47.49710464477539</v>
      </c>
      <c r="O27" s="54">
        <v>39.5</v>
      </c>
      <c r="P27" s="54">
        <v>22</v>
      </c>
      <c r="Q27" s="54">
        <v>3.3693575859069824</v>
      </c>
      <c r="R27" s="54">
        <v>20.16058921813965</v>
      </c>
      <c r="S27" s="71">
        <v>91.50028991699219</v>
      </c>
      <c r="T27" s="71">
        <v>36</v>
      </c>
      <c r="U27" s="71">
        <v>83.34725952148438</v>
      </c>
      <c r="V27" s="71">
        <v>16.824003219604492</v>
      </c>
      <c r="W27" s="71">
        <v>19.99240493774414</v>
      </c>
      <c r="X27" s="71">
        <v>0</v>
      </c>
      <c r="Y27" s="71">
        <v>0</v>
      </c>
      <c r="Z27" s="71">
        <v>20.005064010620117</v>
      </c>
      <c r="AA27" s="71">
        <v>66.39540100097656</v>
      </c>
      <c r="AB27" s="71"/>
      <c r="AC27" s="58"/>
      <c r="AD27" s="58">
        <v>1.54833984375</v>
      </c>
      <c r="AE27" s="58">
        <v>0.0012626342941075563</v>
      </c>
      <c r="AF27" s="58">
        <v>20.446325302124023</v>
      </c>
      <c r="AG27" s="58">
        <v>27.813945770263672</v>
      </c>
      <c r="AH27" s="58"/>
      <c r="AI27" s="72"/>
      <c r="AJ27" s="72"/>
      <c r="AK27" s="72"/>
      <c r="AL27" s="72"/>
      <c r="AM27" s="72"/>
      <c r="AN27" s="58">
        <v>53.739871978759766</v>
      </c>
      <c r="AO27" s="59">
        <v>50</v>
      </c>
      <c r="AP27" s="60">
        <v>20.878543853759766</v>
      </c>
      <c r="AQ27" s="61">
        <v>39.54716491699219</v>
      </c>
      <c r="AR27" s="62">
        <v>0.075958251953125</v>
      </c>
    </row>
    <row r="28" spans="2:44" ht="13.5" customHeight="1" x14ac:dyDescent="0.25">
      <c r="B28" s="14">
        <v>0.58333333333333304</v>
      </c>
      <c r="C28" s="54">
        <v>-79.89727783203125</v>
      </c>
      <c r="D28" s="54">
        <v>-80.41088104248047</v>
      </c>
      <c r="E28" s="54">
        <v>103.13223266601562</v>
      </c>
      <c r="F28" s="54">
        <v>0.0785590261220932</v>
      </c>
      <c r="G28" s="54">
        <v>8.753204019740224E-05</v>
      </c>
      <c r="H28" s="54">
        <v>13.199999809265137</v>
      </c>
      <c r="I28" s="54">
        <v>13.300000190734863</v>
      </c>
      <c r="J28" s="54">
        <v>13.399999618530273</v>
      </c>
      <c r="K28" s="54">
        <v>13.5</v>
      </c>
      <c r="L28" s="55">
        <v>13.600000381469727</v>
      </c>
      <c r="M28" s="70">
        <v>80.87022399902344</v>
      </c>
      <c r="N28" s="54">
        <v>47.37413024902344</v>
      </c>
      <c r="O28" s="54">
        <v>39.5</v>
      </c>
      <c r="P28" s="54">
        <v>22</v>
      </c>
      <c r="Q28" s="54">
        <v>3.389756917953491</v>
      </c>
      <c r="R28" s="54">
        <v>20.363136291503906</v>
      </c>
      <c r="S28" s="71">
        <v>92.2381362915039</v>
      </c>
      <c r="T28" s="71">
        <v>36</v>
      </c>
      <c r="U28" s="71">
        <v>83.4649887084961</v>
      </c>
      <c r="V28" s="71">
        <v>19.167753219604492</v>
      </c>
      <c r="W28" s="71">
        <v>20.18771743774414</v>
      </c>
      <c r="X28" s="71">
        <v>0</v>
      </c>
      <c r="Y28" s="71">
        <v>0</v>
      </c>
      <c r="Z28" s="71">
        <v>29.998552322387695</v>
      </c>
      <c r="AA28" s="71">
        <v>71.39757537841797</v>
      </c>
      <c r="AB28" s="71"/>
      <c r="AC28" s="58"/>
      <c r="AD28" s="58">
        <v>1.5482313632965088</v>
      </c>
      <c r="AE28" s="58">
        <v>0.001087280223146081</v>
      </c>
      <c r="AF28" s="58">
        <v>19.632522583007812</v>
      </c>
      <c r="AG28" s="58">
        <v>19.241897583007812</v>
      </c>
      <c r="AH28" s="58"/>
      <c r="AI28" s="72"/>
      <c r="AJ28" s="72"/>
      <c r="AK28" s="72"/>
      <c r="AL28" s="72"/>
      <c r="AM28" s="72"/>
      <c r="AN28" s="58">
        <v>53.20457077026367</v>
      </c>
      <c r="AO28" s="59">
        <v>50</v>
      </c>
      <c r="AP28" s="60">
        <v>21.56575584411621</v>
      </c>
      <c r="AQ28" s="61">
        <v>39.6484375</v>
      </c>
      <c r="AR28" s="62">
        <v>0.075958251953125</v>
      </c>
    </row>
    <row r="29" spans="2:44" ht="13.5" customHeight="1" x14ac:dyDescent="0.25">
      <c r="B29" s="14">
        <v>0.625</v>
      </c>
      <c r="C29" s="54">
        <v>-80.07089233398438</v>
      </c>
      <c r="D29" s="54">
        <v>-80.49044799804688</v>
      </c>
      <c r="E29" s="54">
        <v>103.13223266601562</v>
      </c>
      <c r="F29" s="54">
        <v>0.080078125</v>
      </c>
      <c r="G29" s="54">
        <v>8.436966163571924E-05</v>
      </c>
      <c r="H29" s="54"/>
      <c r="I29" s="54"/>
      <c r="J29" s="54"/>
      <c r="K29" s="54"/>
      <c r="L29" s="55"/>
      <c r="M29" s="70">
        <v>80.58448791503906</v>
      </c>
      <c r="N29" s="54">
        <v>47.50434112548828</v>
      </c>
      <c r="O29" s="54">
        <v>39.5</v>
      </c>
      <c r="P29" s="54">
        <v>22</v>
      </c>
      <c r="Q29" s="54">
        <v>3.40625</v>
      </c>
      <c r="R29" s="54">
        <v>20.786314010620117</v>
      </c>
      <c r="S29" s="71">
        <v>96.42288970947266</v>
      </c>
      <c r="T29" s="71">
        <v>0</v>
      </c>
      <c r="U29" s="71">
        <v>0</v>
      </c>
      <c r="V29" s="71">
        <v>14.697266578674316</v>
      </c>
      <c r="W29" s="71">
        <v>80.9787368774414</v>
      </c>
      <c r="X29" s="71">
        <v>30</v>
      </c>
      <c r="Y29" s="71">
        <v>84.1769790649414</v>
      </c>
      <c r="Z29" s="71">
        <v>17.422597885131836</v>
      </c>
      <c r="AA29" s="71">
        <v>20.29622459411621</v>
      </c>
      <c r="AB29" s="71"/>
      <c r="AC29" s="58"/>
      <c r="AD29" s="58">
        <v>1.5482856035232544</v>
      </c>
      <c r="AE29" s="58">
        <v>0.001365905744023621</v>
      </c>
      <c r="AF29" s="58">
        <v>19.979745864868164</v>
      </c>
      <c r="AG29" s="58">
        <v>36.494503021240234</v>
      </c>
      <c r="AH29" s="58"/>
      <c r="AI29" s="72"/>
      <c r="AJ29" s="72"/>
      <c r="AK29" s="72"/>
      <c r="AL29" s="72"/>
      <c r="AM29" s="72"/>
      <c r="AN29" s="58">
        <v>54.9696159362793</v>
      </c>
      <c r="AO29" s="59">
        <v>50</v>
      </c>
      <c r="AP29" s="60">
        <v>22.289134979248047</v>
      </c>
      <c r="AQ29" s="61">
        <v>42.75535202026367</v>
      </c>
      <c r="AR29" s="62">
        <v>0.0651092529296875</v>
      </c>
    </row>
    <row r="30" spans="2:44" ht="13.5" customHeight="1" x14ac:dyDescent="0.25">
      <c r="B30" s="14">
        <v>0.66666666666666596</v>
      </c>
      <c r="C30" s="54">
        <v>-80.21556854248047</v>
      </c>
      <c r="D30" s="54">
        <v>-80.47598266601562</v>
      </c>
      <c r="E30" s="54">
        <v>103.12861633300781</v>
      </c>
      <c r="F30" s="54">
        <v>0.07819733768701553</v>
      </c>
      <c r="G30" s="54">
        <v>9.122466872213408E-05</v>
      </c>
      <c r="H30" s="54"/>
      <c r="I30" s="54"/>
      <c r="J30" s="54"/>
      <c r="K30" s="54"/>
      <c r="L30" s="55"/>
      <c r="M30" s="70">
        <v>77.8609619140625</v>
      </c>
      <c r="N30" s="54">
        <v>47.18605422973633</v>
      </c>
      <c r="O30" s="54">
        <v>39.5</v>
      </c>
      <c r="P30" s="54">
        <v>22</v>
      </c>
      <c r="Q30" s="54">
        <v>3.4748263359069824</v>
      </c>
      <c r="R30" s="54">
        <v>20.36675262451172</v>
      </c>
      <c r="S30" s="71">
        <v>92.1694107055664</v>
      </c>
      <c r="T30" s="71">
        <v>0</v>
      </c>
      <c r="U30" s="71">
        <v>0</v>
      </c>
      <c r="V30" s="71">
        <v>17.50217056274414</v>
      </c>
      <c r="W30" s="71">
        <v>67.52387237548828</v>
      </c>
      <c r="X30" s="71">
        <v>29</v>
      </c>
      <c r="Y30" s="71">
        <v>81.50843048095703</v>
      </c>
      <c r="Z30" s="71">
        <v>16.869213104248047</v>
      </c>
      <c r="AA30" s="71">
        <v>19.618057250976562</v>
      </c>
      <c r="AB30" s="71"/>
      <c r="AC30" s="58"/>
      <c r="AD30" s="58">
        <v>1.5482856035232544</v>
      </c>
      <c r="AE30" s="58">
        <v>0.0014148864429444075</v>
      </c>
      <c r="AF30" s="58">
        <v>19.83506965637207</v>
      </c>
      <c r="AG30" s="58">
        <v>12.431279182434082</v>
      </c>
      <c r="AH30" s="58"/>
      <c r="AI30" s="72"/>
      <c r="AJ30" s="72"/>
      <c r="AK30" s="72"/>
      <c r="AL30" s="72"/>
      <c r="AM30" s="72"/>
      <c r="AN30" s="58">
        <v>57.29890060424805</v>
      </c>
      <c r="AO30" s="59">
        <v>50</v>
      </c>
      <c r="AP30" s="60">
        <v>22.614656448364258</v>
      </c>
      <c r="AQ30" s="61">
        <v>40.83477783203125</v>
      </c>
      <c r="AR30" s="62">
        <v>0.075958251953125</v>
      </c>
    </row>
    <row r="31" spans="2:44" ht="13.5" customHeight="1" x14ac:dyDescent="0.25">
      <c r="B31" s="14">
        <v>0.70833333333333304</v>
      </c>
      <c r="C31" s="54">
        <v>-80.2445068359375</v>
      </c>
      <c r="D31" s="54">
        <v>-80.49768829345703</v>
      </c>
      <c r="E31" s="54">
        <v>103.13584899902344</v>
      </c>
      <c r="F31" s="54">
        <v>0.09903067350387573</v>
      </c>
      <c r="G31" s="54">
        <v>8.273887942777947E-05</v>
      </c>
      <c r="H31" s="54"/>
      <c r="I31" s="54"/>
      <c r="J31" s="54"/>
      <c r="K31" s="54"/>
      <c r="L31" s="55"/>
      <c r="M31" s="70">
        <v>79.7164306640625</v>
      </c>
      <c r="N31" s="54">
        <v>47.120948791503906</v>
      </c>
      <c r="O31" s="54">
        <v>39.5</v>
      </c>
      <c r="P31" s="54">
        <v>22</v>
      </c>
      <c r="Q31" s="54">
        <v>3.4830729961395264</v>
      </c>
      <c r="R31" s="54">
        <v>19.115306854248047</v>
      </c>
      <c r="S31" s="71">
        <v>90.83839416503906</v>
      </c>
      <c r="T31" s="71">
        <v>0</v>
      </c>
      <c r="U31" s="71">
        <v>0</v>
      </c>
      <c r="V31" s="71">
        <v>18.863933563232422</v>
      </c>
      <c r="W31" s="71">
        <v>63.183597564697266</v>
      </c>
      <c r="X31" s="71">
        <v>29</v>
      </c>
      <c r="Y31" s="71">
        <v>81.50282287597656</v>
      </c>
      <c r="Z31" s="71">
        <v>15.94509506225586</v>
      </c>
      <c r="AA31" s="71">
        <v>18.45703125</v>
      </c>
      <c r="AB31" s="71"/>
      <c r="AC31" s="58"/>
      <c r="AD31" s="58">
        <v>0</v>
      </c>
      <c r="AE31" s="58">
        <v>0.0012343444395810366</v>
      </c>
      <c r="AF31" s="58">
        <v>20.164207458496094</v>
      </c>
      <c r="AG31" s="58">
        <v>47.77560806274414</v>
      </c>
      <c r="AH31" s="58"/>
      <c r="AI31" s="72"/>
      <c r="AJ31" s="72"/>
      <c r="AK31" s="72"/>
      <c r="AL31" s="72"/>
      <c r="AM31" s="72"/>
      <c r="AN31" s="58">
        <v>56.50318145751953</v>
      </c>
      <c r="AO31" s="59">
        <v>50</v>
      </c>
      <c r="AP31" s="60">
        <v>23.509838104248047</v>
      </c>
      <c r="AQ31" s="61">
        <v>40.48394012451172</v>
      </c>
      <c r="AR31" s="62">
        <v>0.075958251953125</v>
      </c>
    </row>
    <row r="32" spans="2:44" ht="13.5" customHeight="1" x14ac:dyDescent="0.25">
      <c r="B32" s="14">
        <v>0.75</v>
      </c>
      <c r="C32" s="54">
        <v>-80.33854675292969</v>
      </c>
      <c r="D32" s="54">
        <v>-80.49044799804688</v>
      </c>
      <c r="E32" s="54">
        <v>103.13223266601562</v>
      </c>
      <c r="F32" s="54">
        <v>0.07761863619089127</v>
      </c>
      <c r="G32" s="54">
        <v>9.278488141717389E-05</v>
      </c>
      <c r="H32" s="54"/>
      <c r="I32" s="54"/>
      <c r="J32" s="54"/>
      <c r="K32" s="54"/>
      <c r="L32" s="55"/>
      <c r="M32" s="70">
        <v>80.04195404052734</v>
      </c>
      <c r="N32" s="54">
        <v>47.21137237548828</v>
      </c>
      <c r="O32" s="54">
        <v>39.5</v>
      </c>
      <c r="P32" s="54">
        <v>22</v>
      </c>
      <c r="Q32" s="54">
        <v>3.523003578186035</v>
      </c>
      <c r="R32" s="54">
        <v>18.485965728759766</v>
      </c>
      <c r="S32" s="71">
        <v>93.61617279052734</v>
      </c>
      <c r="T32" s="71">
        <v>0</v>
      </c>
      <c r="U32" s="71">
        <v>0</v>
      </c>
      <c r="V32" s="71">
        <v>19.19487953186035</v>
      </c>
      <c r="W32" s="71">
        <v>60.009769439697266</v>
      </c>
      <c r="X32" s="71">
        <v>29</v>
      </c>
      <c r="Y32" s="71">
        <v>80.91416931152344</v>
      </c>
      <c r="Z32" s="71">
        <v>15.281394004821777</v>
      </c>
      <c r="AA32" s="71">
        <v>17.83311653137207</v>
      </c>
      <c r="AB32" s="71"/>
      <c r="AC32" s="58"/>
      <c r="AD32" s="58">
        <v>1.5484483242034912</v>
      </c>
      <c r="AE32" s="58">
        <v>0.0011562195140868425</v>
      </c>
      <c r="AF32" s="58">
        <v>19.827835083007812</v>
      </c>
      <c r="AG32" s="58">
        <v>0</v>
      </c>
      <c r="AH32" s="58"/>
      <c r="AI32" s="72"/>
      <c r="AJ32" s="72"/>
      <c r="AK32" s="72"/>
      <c r="AL32" s="72"/>
      <c r="AM32" s="72"/>
      <c r="AN32" s="58">
        <v>55.07088851928711</v>
      </c>
      <c r="AO32" s="59">
        <v>50</v>
      </c>
      <c r="AP32" s="60">
        <v>23.89865493774414</v>
      </c>
      <c r="AQ32" s="61">
        <v>40.74797439575195</v>
      </c>
      <c r="AR32" s="62">
        <v>0.075958251953125</v>
      </c>
    </row>
    <row r="33" spans="2:44" ht="13.5" customHeight="1" x14ac:dyDescent="0.25">
      <c r="B33" s="14">
        <v>0.79166666666666696</v>
      </c>
      <c r="C33" s="54">
        <v>-80.25173950195312</v>
      </c>
      <c r="D33" s="54">
        <v>-80.47598266601562</v>
      </c>
      <c r="E33" s="54">
        <v>103.12861633300781</v>
      </c>
      <c r="F33" s="54">
        <v>0.0991753488779068</v>
      </c>
      <c r="G33" s="54">
        <v>9.239005885319784E-05</v>
      </c>
      <c r="H33" s="54"/>
      <c r="I33" s="54"/>
      <c r="J33" s="54"/>
      <c r="K33" s="54"/>
      <c r="L33" s="55"/>
      <c r="M33" s="70">
        <v>79.93706512451172</v>
      </c>
      <c r="N33" s="54">
        <v>47.135414123535156</v>
      </c>
      <c r="O33" s="54">
        <v>39.5</v>
      </c>
      <c r="P33" s="54">
        <v>22</v>
      </c>
      <c r="Q33" s="54">
        <v>3.390191078186035</v>
      </c>
      <c r="R33" s="54">
        <v>18.073638916015625</v>
      </c>
      <c r="S33" s="71">
        <v>92.78067016601562</v>
      </c>
      <c r="T33" s="71">
        <v>0</v>
      </c>
      <c r="U33" s="71">
        <v>0</v>
      </c>
      <c r="V33" s="71">
        <v>18.896484375</v>
      </c>
      <c r="W33" s="71">
        <v>57.373050689697266</v>
      </c>
      <c r="X33" s="71">
        <v>29</v>
      </c>
      <c r="Y33" s="71">
        <v>80.01718139648438</v>
      </c>
      <c r="Z33" s="71">
        <v>14.874493598937988</v>
      </c>
      <c r="AA33" s="71">
        <v>17.469619750976562</v>
      </c>
      <c r="AB33" s="71"/>
      <c r="AC33" s="58"/>
      <c r="AD33" s="58">
        <v>1.5482856035232544</v>
      </c>
      <c r="AE33" s="58">
        <v>0.00098361202981323</v>
      </c>
      <c r="AF33" s="58">
        <v>20.272714614868164</v>
      </c>
      <c r="AG33" s="58">
        <v>16.247106552124023</v>
      </c>
      <c r="AH33" s="58"/>
      <c r="AI33" s="72"/>
      <c r="AJ33" s="72"/>
      <c r="AK33" s="72"/>
      <c r="AL33" s="72"/>
      <c r="AM33" s="72"/>
      <c r="AN33" s="58">
        <v>53.61689758300781</v>
      </c>
      <c r="AO33" s="59">
        <v>50</v>
      </c>
      <c r="AP33" s="60">
        <v>23.663555145263672</v>
      </c>
      <c r="AQ33" s="61">
        <v>41.52199172973633</v>
      </c>
      <c r="AR33" s="62">
        <v>0.0651092529296875</v>
      </c>
    </row>
    <row r="34" spans="2:44" ht="13.5" customHeight="1" x14ac:dyDescent="0.25">
      <c r="B34" s="15">
        <v>0.83333333333333304</v>
      </c>
      <c r="C34" s="63">
        <v>-80.25173950195312</v>
      </c>
      <c r="D34" s="63">
        <v>-80.52661895751953</v>
      </c>
      <c r="E34" s="63">
        <v>103.12861633300781</v>
      </c>
      <c r="F34" s="63">
        <v>0.08253761380910873</v>
      </c>
      <c r="G34" s="63">
        <v>9.071922249859199E-05</v>
      </c>
      <c r="H34" s="63"/>
      <c r="I34" s="63"/>
      <c r="J34" s="63"/>
      <c r="K34" s="63"/>
      <c r="L34" s="64"/>
      <c r="M34" s="73">
        <v>79.5717544555664</v>
      </c>
      <c r="N34" s="63">
        <v>47.37413024902344</v>
      </c>
      <c r="O34" s="63">
        <v>39.5</v>
      </c>
      <c r="P34" s="63">
        <v>22</v>
      </c>
      <c r="Q34" s="63">
        <v>3.442274332046509</v>
      </c>
      <c r="R34" s="63">
        <v>17.4515323638916</v>
      </c>
      <c r="S34" s="74">
        <v>92.62152862548828</v>
      </c>
      <c r="T34" s="74">
        <v>0</v>
      </c>
      <c r="U34" s="74">
        <v>0</v>
      </c>
      <c r="V34" s="74">
        <v>18.59809112548828</v>
      </c>
      <c r="W34" s="74">
        <v>55.154083251953125</v>
      </c>
      <c r="X34" s="74">
        <v>29</v>
      </c>
      <c r="Y34" s="74">
        <v>80.04521179199219</v>
      </c>
      <c r="Z34" s="74">
        <v>14.0480318069458</v>
      </c>
      <c r="AA34" s="74">
        <v>16.71006965637207</v>
      </c>
      <c r="AB34" s="74"/>
      <c r="AC34" s="67"/>
      <c r="AD34" s="67">
        <v>0</v>
      </c>
      <c r="AE34" s="67">
        <v>0.0006342162960208952</v>
      </c>
      <c r="AF34" s="67">
        <v>20.36675262451172</v>
      </c>
      <c r="AG34" s="67">
        <v>19.610820770263672</v>
      </c>
      <c r="AH34" s="67"/>
      <c r="AI34" s="75"/>
      <c r="AJ34" s="75"/>
      <c r="AK34" s="75"/>
      <c r="AL34" s="75"/>
      <c r="AM34" s="75"/>
      <c r="AN34" s="67">
        <v>52.177371978759766</v>
      </c>
      <c r="AO34" s="68">
        <v>50</v>
      </c>
      <c r="AP34" s="76">
        <v>23.943864822387695</v>
      </c>
      <c r="AQ34" s="77">
        <v>41.58347702026367</v>
      </c>
      <c r="AR34" s="78">
        <v>0.075958251953125</v>
      </c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5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54">
        <v>0</v>
      </c>
      <c r="D39" s="54"/>
      <c r="E39" s="54">
        <v>35.575809478759766</v>
      </c>
      <c r="F39" s="54"/>
      <c r="G39" s="54"/>
      <c r="H39" s="54">
        <v>0</v>
      </c>
      <c r="I39" s="54"/>
      <c r="J39" s="54">
        <v>19.920066833496094</v>
      </c>
      <c r="K39" s="54">
        <v>40</v>
      </c>
      <c r="L39" s="54">
        <v>46.296295166015625</v>
      </c>
      <c r="M39" s="54">
        <v>0</v>
      </c>
      <c r="N39" s="54"/>
      <c r="O39" s="54">
        <v>22.063077926635742</v>
      </c>
      <c r="P39" s="54">
        <v>0.05000000074505806</v>
      </c>
      <c r="Q39" s="54">
        <v>0.19133391976356506</v>
      </c>
      <c r="R39" s="54"/>
      <c r="S39" s="54">
        <v>0</v>
      </c>
      <c r="T39" s="54"/>
      <c r="U39" s="71">
        <v>0</v>
      </c>
      <c r="V39" s="79"/>
      <c r="W39" s="80">
        <v>96.29991149902344</v>
      </c>
      <c r="X39" s="71">
        <v>16.673900604248047</v>
      </c>
      <c r="Y39" s="71">
        <v>35</v>
      </c>
      <c r="Z39" s="71">
        <v>86.57986450195312</v>
      </c>
      <c r="AA39" s="71">
        <v>76.63845825195312</v>
      </c>
      <c r="AB39" s="71">
        <v>93.02301025390625</v>
      </c>
      <c r="AC39" s="71">
        <v>35</v>
      </c>
      <c r="AD39" s="71">
        <v>87.10504150390625</v>
      </c>
      <c r="AE39" s="58">
        <v>13.037109375</v>
      </c>
      <c r="AF39" s="58">
        <v>17.469619750976562</v>
      </c>
      <c r="AG39" s="58"/>
      <c r="AH39" s="58">
        <v>0</v>
      </c>
      <c r="AI39" s="58">
        <v>0</v>
      </c>
      <c r="AJ39" s="58"/>
      <c r="AK39" s="58">
        <v>60.185184478759766</v>
      </c>
      <c r="AL39" s="59">
        <v>48.13657760620117</v>
      </c>
      <c r="AM39" s="81">
        <v>3.490000009536743</v>
      </c>
      <c r="AN39" s="72">
        <v>0.05999999865889549</v>
      </c>
      <c r="AO39" s="58"/>
      <c r="AP39" s="58"/>
      <c r="AQ39" s="58"/>
      <c r="AR39" s="62"/>
    </row>
    <row r="40" spans="2:44" ht="13.5" customHeight="1" x14ac:dyDescent="0.25">
      <c r="B40" s="14">
        <v>0.375</v>
      </c>
      <c r="C40" s="54">
        <v>0</v>
      </c>
      <c r="D40" s="54">
        <v>0</v>
      </c>
      <c r="E40" s="54">
        <v>59.99710464477539</v>
      </c>
      <c r="F40" s="54"/>
      <c r="G40" s="54"/>
      <c r="H40" s="54">
        <v>0</v>
      </c>
      <c r="I40" s="54">
        <v>0</v>
      </c>
      <c r="J40" s="54">
        <v>20.037614822387695</v>
      </c>
      <c r="K40" s="54">
        <v>40</v>
      </c>
      <c r="L40" s="54">
        <v>46.30533981323242</v>
      </c>
      <c r="M40" s="54">
        <v>0</v>
      </c>
      <c r="N40" s="54">
        <v>0</v>
      </c>
      <c r="O40" s="54">
        <v>22.614656448364258</v>
      </c>
      <c r="P40" s="54">
        <v>0.05000000074505806</v>
      </c>
      <c r="Q40" s="54">
        <v>0.18829572200775146</v>
      </c>
      <c r="R40" s="54">
        <v>0.00019774628162849694</v>
      </c>
      <c r="S40" s="54">
        <v>0</v>
      </c>
      <c r="T40" s="54">
        <v>0</v>
      </c>
      <c r="U40" s="71">
        <v>0</v>
      </c>
      <c r="V40" s="79">
        <v>0</v>
      </c>
      <c r="W40" s="80">
        <v>90.13671875</v>
      </c>
      <c r="X40" s="71">
        <v>20.196758270263672</v>
      </c>
      <c r="Y40" s="71">
        <v>35</v>
      </c>
      <c r="Z40" s="71">
        <v>86.05902862548828</v>
      </c>
      <c r="AA40" s="71">
        <v>16.531034469604492</v>
      </c>
      <c r="AB40" s="71">
        <v>19.92730140686035</v>
      </c>
      <c r="AC40" s="71">
        <v>35</v>
      </c>
      <c r="AD40" s="71">
        <v>88.90191650390625</v>
      </c>
      <c r="AE40" s="58">
        <v>13.861762046813965</v>
      </c>
      <c r="AF40" s="58">
        <v>81.36393737792969</v>
      </c>
      <c r="AG40" s="58">
        <v>202.89999389648438</v>
      </c>
      <c r="AH40" s="58">
        <v>0</v>
      </c>
      <c r="AI40" s="58">
        <v>0</v>
      </c>
      <c r="AJ40" s="58">
        <v>0</v>
      </c>
      <c r="AK40" s="58">
        <v>60.217735290527344</v>
      </c>
      <c r="AL40" s="59">
        <v>47.58391571044922</v>
      </c>
      <c r="AM40" s="81"/>
      <c r="AN40" s="72"/>
      <c r="AO40" s="58"/>
      <c r="AP40" s="58"/>
      <c r="AQ40" s="58"/>
      <c r="AR40" s="62"/>
    </row>
    <row r="41" spans="2:44" ht="13.5" customHeight="1" x14ac:dyDescent="0.25">
      <c r="B41" s="14">
        <v>0.41666666666666702</v>
      </c>
      <c r="C41" s="54">
        <v>0</v>
      </c>
      <c r="D41" s="54">
        <v>1.285076081103398E-07</v>
      </c>
      <c r="E41" s="54">
        <v>73.52430725097656</v>
      </c>
      <c r="F41" s="54"/>
      <c r="G41" s="54"/>
      <c r="H41" s="54">
        <v>0</v>
      </c>
      <c r="I41" s="54">
        <v>0</v>
      </c>
      <c r="J41" s="54">
        <v>20.254629135131836</v>
      </c>
      <c r="K41" s="54">
        <v>40</v>
      </c>
      <c r="L41" s="54">
        <v>46.45905685424805</v>
      </c>
      <c r="M41" s="54">
        <v>0</v>
      </c>
      <c r="N41" s="54">
        <v>0</v>
      </c>
      <c r="O41" s="54">
        <v>23.121021270751953</v>
      </c>
      <c r="P41" s="54">
        <v>0.05000000074505806</v>
      </c>
      <c r="Q41" s="54">
        <v>0.1896701455116272</v>
      </c>
      <c r="R41" s="54">
        <v>0.00019736099056899548</v>
      </c>
      <c r="S41" s="54">
        <v>0</v>
      </c>
      <c r="T41" s="54">
        <v>0</v>
      </c>
      <c r="U41" s="71">
        <v>0</v>
      </c>
      <c r="V41" s="79">
        <v>0</v>
      </c>
      <c r="W41" s="80">
        <v>94.82060241699219</v>
      </c>
      <c r="X41" s="71">
        <v>18.655960083007812</v>
      </c>
      <c r="Y41" s="71">
        <v>35</v>
      </c>
      <c r="Z41" s="71">
        <v>85.42535400390625</v>
      </c>
      <c r="AA41" s="71">
        <v>16.35199737548828</v>
      </c>
      <c r="AB41" s="71">
        <v>19.303386688232422</v>
      </c>
      <c r="AC41" s="71">
        <v>35</v>
      </c>
      <c r="AD41" s="71">
        <v>88.88455200195312</v>
      </c>
      <c r="AE41" s="58">
        <v>16.728153228759766</v>
      </c>
      <c r="AF41" s="58">
        <v>81.47244262695312</v>
      </c>
      <c r="AG41" s="58"/>
      <c r="AH41" s="58">
        <v>5.374710559844971</v>
      </c>
      <c r="AI41" s="58">
        <v>0</v>
      </c>
      <c r="AJ41" s="58">
        <v>0</v>
      </c>
      <c r="AK41" s="58">
        <v>60.24666976928711</v>
      </c>
      <c r="AL41" s="59">
        <v>47.031253814697266</v>
      </c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0.45833333333333298</v>
      </c>
      <c r="C42" s="54">
        <v>0</v>
      </c>
      <c r="D42" s="54">
        <v>1.1334419696140685E-06</v>
      </c>
      <c r="E42" s="54">
        <v>66.47135162353516</v>
      </c>
      <c r="F42" s="54"/>
      <c r="G42" s="54"/>
      <c r="H42" s="54">
        <v>0</v>
      </c>
      <c r="I42" s="54">
        <v>0</v>
      </c>
      <c r="J42" s="54">
        <v>20.553024291992188</v>
      </c>
      <c r="K42" s="54">
        <v>40</v>
      </c>
      <c r="L42" s="54">
        <v>46.39575958251953</v>
      </c>
      <c r="M42" s="54">
        <v>0</v>
      </c>
      <c r="N42" s="54">
        <v>0</v>
      </c>
      <c r="O42" s="54">
        <v>23.618345260620117</v>
      </c>
      <c r="P42" s="54">
        <v>0.05000000074505806</v>
      </c>
      <c r="Q42" s="54">
        <v>0.18894675374031067</v>
      </c>
      <c r="R42" s="54">
        <v>0.00020045852579642087</v>
      </c>
      <c r="S42" s="54">
        <v>0</v>
      </c>
      <c r="T42" s="54">
        <v>0</v>
      </c>
      <c r="U42" s="71">
        <v>0</v>
      </c>
      <c r="V42" s="79">
        <v>0</v>
      </c>
      <c r="W42" s="80">
        <v>97.15349578857422</v>
      </c>
      <c r="X42" s="71">
        <v>16.64496421813965</v>
      </c>
      <c r="Y42" s="71">
        <v>32.5</v>
      </c>
      <c r="Z42" s="71">
        <v>78.203125</v>
      </c>
      <c r="AA42" s="71">
        <v>16.471355438232422</v>
      </c>
      <c r="AB42" s="71">
        <v>19.63433265686035</v>
      </c>
      <c r="AC42" s="71">
        <v>33</v>
      </c>
      <c r="AD42" s="71">
        <v>83.37673950195312</v>
      </c>
      <c r="AE42" s="58">
        <v>18.173105239868164</v>
      </c>
      <c r="AF42" s="58">
        <v>73.193359375</v>
      </c>
      <c r="AG42" s="58"/>
      <c r="AH42" s="58">
        <v>7.689525127410889</v>
      </c>
      <c r="AI42" s="58">
        <v>0</v>
      </c>
      <c r="AJ42" s="58">
        <v>0</v>
      </c>
      <c r="AK42" s="58">
        <v>60.2430534362793</v>
      </c>
      <c r="AL42" s="59">
        <v>46.576969146728516</v>
      </c>
      <c r="AM42" s="81"/>
      <c r="AN42" s="72"/>
      <c r="AO42" s="58"/>
      <c r="AP42" s="58"/>
      <c r="AQ42" s="58"/>
      <c r="AR42" s="62"/>
    </row>
    <row r="43" spans="2:44" ht="13.5" customHeight="1" x14ac:dyDescent="0.25">
      <c r="B43" s="14">
        <v>0.5</v>
      </c>
      <c r="C43" s="54">
        <v>0</v>
      </c>
      <c r="D43" s="54">
        <v>0</v>
      </c>
      <c r="E43" s="54">
        <v>59.89583206176758</v>
      </c>
      <c r="F43" s="54"/>
      <c r="G43" s="54"/>
      <c r="H43" s="54">
        <v>0</v>
      </c>
      <c r="I43" s="54">
        <v>0</v>
      </c>
      <c r="J43" s="54">
        <v>20.905672073364258</v>
      </c>
      <c r="K43" s="54">
        <v>40</v>
      </c>
      <c r="L43" s="54">
        <v>46.46809768676758</v>
      </c>
      <c r="M43" s="54">
        <v>0</v>
      </c>
      <c r="N43" s="54">
        <v>0</v>
      </c>
      <c r="O43" s="54">
        <v>24.206090927124023</v>
      </c>
      <c r="P43" s="54">
        <v>0.05000000074505806</v>
      </c>
      <c r="Q43" s="54">
        <v>0.19104456901550293</v>
      </c>
      <c r="R43" s="54">
        <v>0.00019688796601258218</v>
      </c>
      <c r="S43" s="54">
        <v>0</v>
      </c>
      <c r="T43" s="54">
        <v>0</v>
      </c>
      <c r="U43" s="71">
        <v>0</v>
      </c>
      <c r="V43" s="79">
        <v>0</v>
      </c>
      <c r="W43" s="80">
        <v>91.81134033203125</v>
      </c>
      <c r="X43" s="71">
        <v>16.272424697875977</v>
      </c>
      <c r="Y43" s="71">
        <v>30</v>
      </c>
      <c r="Z43" s="71">
        <v>71.97048950195312</v>
      </c>
      <c r="AA43" s="71">
        <v>16.433378219604492</v>
      </c>
      <c r="AB43" s="71">
        <v>19.775390625</v>
      </c>
      <c r="AC43" s="71">
        <v>30</v>
      </c>
      <c r="AD43" s="71">
        <v>75.46875</v>
      </c>
      <c r="AE43" s="58">
        <v>19.165943145751953</v>
      </c>
      <c r="AF43" s="58">
        <v>69.22743225097656</v>
      </c>
      <c r="AG43" s="58"/>
      <c r="AH43" s="58">
        <v>0</v>
      </c>
      <c r="AI43" s="58">
        <v>0</v>
      </c>
      <c r="AJ43" s="58">
        <v>0.0002486941812094301</v>
      </c>
      <c r="AK43" s="58">
        <v>60.300926208496094</v>
      </c>
      <c r="AL43" s="59">
        <v>46.07928466796875</v>
      </c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0.54166666666666596</v>
      </c>
      <c r="C44" s="54">
        <v>0</v>
      </c>
      <c r="D44" s="54">
        <v>1.622199988560169E-06</v>
      </c>
      <c r="E44" s="54">
        <v>42.14409637451172</v>
      </c>
      <c r="F44" s="54"/>
      <c r="G44" s="54"/>
      <c r="H44" s="54">
        <v>0</v>
      </c>
      <c r="I44" s="54">
        <v>0</v>
      </c>
      <c r="J44" s="54">
        <v>21.285446166992188</v>
      </c>
      <c r="K44" s="54">
        <v>40</v>
      </c>
      <c r="L44" s="54">
        <v>46.60373306274414</v>
      </c>
      <c r="M44" s="54">
        <v>0</v>
      </c>
      <c r="N44" s="54">
        <v>0</v>
      </c>
      <c r="O44" s="54">
        <v>25.074146270751953</v>
      </c>
      <c r="P44" s="54">
        <v>0.05000000074505806</v>
      </c>
      <c r="Q44" s="54">
        <v>0.20023147761821747</v>
      </c>
      <c r="R44" s="54">
        <v>0.00019718933617696166</v>
      </c>
      <c r="S44" s="54">
        <v>0</v>
      </c>
      <c r="T44" s="54">
        <v>0</v>
      </c>
      <c r="U44" s="71">
        <v>0</v>
      </c>
      <c r="V44" s="79">
        <v>0</v>
      </c>
      <c r="W44" s="80">
        <v>94.84591674804688</v>
      </c>
      <c r="X44" s="71">
        <v>17.031972885131836</v>
      </c>
      <c r="Y44" s="71">
        <v>28</v>
      </c>
      <c r="Z44" s="71">
        <v>66.9921875</v>
      </c>
      <c r="AA44" s="71">
        <v>16.824003219604492</v>
      </c>
      <c r="AB44" s="71">
        <v>19.99240493774414</v>
      </c>
      <c r="AC44" s="71">
        <v>28</v>
      </c>
      <c r="AD44" s="71">
        <v>70.3342056274414</v>
      </c>
      <c r="AE44" s="58">
        <v>20.005064010620117</v>
      </c>
      <c r="AF44" s="58">
        <v>66.39540100097656</v>
      </c>
      <c r="AG44" s="58">
        <v>1</v>
      </c>
      <c r="AH44" s="58">
        <v>12.785735130310059</v>
      </c>
      <c r="AI44" s="58">
        <v>0</v>
      </c>
      <c r="AJ44" s="58">
        <v>0</v>
      </c>
      <c r="AK44" s="58">
        <v>60.322628021240234</v>
      </c>
      <c r="AL44" s="59">
        <v>45.622108459472656</v>
      </c>
      <c r="AM44" s="81"/>
      <c r="AN44" s="72"/>
      <c r="AO44" s="58"/>
      <c r="AP44" s="58"/>
      <c r="AQ44" s="58"/>
      <c r="AR44" s="62"/>
    </row>
    <row r="45" spans="2:44" ht="13.5" customHeight="1" x14ac:dyDescent="0.25">
      <c r="B45" s="14">
        <v>0.58333333333333304</v>
      </c>
      <c r="C45" s="54">
        <v>0</v>
      </c>
      <c r="D45" s="54">
        <v>1.528978373244172E-06</v>
      </c>
      <c r="E45" s="54">
        <v>56.8359375</v>
      </c>
      <c r="F45" s="54"/>
      <c r="G45" s="54"/>
      <c r="H45" s="54">
        <v>0</v>
      </c>
      <c r="I45" s="54">
        <v>0</v>
      </c>
      <c r="J45" s="54">
        <v>21.86414909362793</v>
      </c>
      <c r="K45" s="54">
        <v>40</v>
      </c>
      <c r="L45" s="54">
        <v>46.757450103759766</v>
      </c>
      <c r="M45" s="54">
        <v>0</v>
      </c>
      <c r="N45" s="54">
        <v>0</v>
      </c>
      <c r="O45" s="54">
        <v>26.213468551635742</v>
      </c>
      <c r="P45" s="54">
        <v>0.05000000074505806</v>
      </c>
      <c r="Q45" s="54">
        <v>0.20102719962596893</v>
      </c>
      <c r="R45" s="54">
        <v>0.000198871610336937</v>
      </c>
      <c r="S45" s="54">
        <v>0</v>
      </c>
      <c r="T45" s="54">
        <v>0</v>
      </c>
      <c r="U45" s="71">
        <v>0</v>
      </c>
      <c r="V45" s="79">
        <v>0</v>
      </c>
      <c r="W45" s="80">
        <v>97.18243408203125</v>
      </c>
      <c r="X45" s="71">
        <v>16.10243034362793</v>
      </c>
      <c r="Y45" s="71">
        <v>28</v>
      </c>
      <c r="Z45" s="71">
        <v>66.64930725097656</v>
      </c>
      <c r="AA45" s="71">
        <v>19.167753219604492</v>
      </c>
      <c r="AB45" s="71">
        <v>20.18771743774414</v>
      </c>
      <c r="AC45" s="71">
        <v>28</v>
      </c>
      <c r="AD45" s="71">
        <v>70.19097900390625</v>
      </c>
      <c r="AE45" s="58">
        <v>29.998552322387695</v>
      </c>
      <c r="AF45" s="58">
        <v>71.39757537841797</v>
      </c>
      <c r="AG45" s="58"/>
      <c r="AH45" s="58">
        <v>0</v>
      </c>
      <c r="AI45" s="58">
        <v>0</v>
      </c>
      <c r="AJ45" s="58">
        <v>0</v>
      </c>
      <c r="AK45" s="58">
        <v>60.37688064575195</v>
      </c>
      <c r="AL45" s="59">
        <v>45.22859191894531</v>
      </c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0.625</v>
      </c>
      <c r="C46" s="54">
        <v>0</v>
      </c>
      <c r="D46" s="54">
        <v>0</v>
      </c>
      <c r="E46" s="54">
        <v>62.08767318725586</v>
      </c>
      <c r="F46" s="54"/>
      <c r="G46" s="54"/>
      <c r="H46" s="54">
        <v>0</v>
      </c>
      <c r="I46" s="54">
        <v>0</v>
      </c>
      <c r="J46" s="54">
        <v>22.35243034362793</v>
      </c>
      <c r="K46" s="54">
        <v>40</v>
      </c>
      <c r="L46" s="54">
        <v>46.71223831176758</v>
      </c>
      <c r="M46" s="54">
        <v>0</v>
      </c>
      <c r="N46" s="54">
        <v>0</v>
      </c>
      <c r="O46" s="54">
        <v>27.054397583007812</v>
      </c>
      <c r="P46" s="54">
        <v>0.05000000074505806</v>
      </c>
      <c r="Q46" s="54">
        <v>0.1940104216337204</v>
      </c>
      <c r="R46" s="54">
        <v>0.00019589996372815222</v>
      </c>
      <c r="S46" s="54">
        <v>0</v>
      </c>
      <c r="T46" s="54">
        <v>0</v>
      </c>
      <c r="U46" s="71">
        <v>0</v>
      </c>
      <c r="V46" s="79">
        <v>0</v>
      </c>
      <c r="W46" s="80">
        <v>92.37196350097656</v>
      </c>
      <c r="X46" s="71">
        <v>17.064525604248047</v>
      </c>
      <c r="Y46" s="71">
        <v>28</v>
      </c>
      <c r="Z46" s="71">
        <v>67.19618225097656</v>
      </c>
      <c r="AA46" s="71">
        <v>14.697266578674316</v>
      </c>
      <c r="AB46" s="71">
        <v>80.9787368774414</v>
      </c>
      <c r="AC46" s="71">
        <v>28</v>
      </c>
      <c r="AD46" s="71">
        <v>70.31684112548828</v>
      </c>
      <c r="AE46" s="58">
        <v>17.422597885131836</v>
      </c>
      <c r="AF46" s="58">
        <v>20.29622459411621</v>
      </c>
      <c r="AG46" s="58"/>
      <c r="AH46" s="58">
        <v>0</v>
      </c>
      <c r="AI46" s="58">
        <v>0</v>
      </c>
      <c r="AJ46" s="58">
        <v>0</v>
      </c>
      <c r="AK46" s="58">
        <v>60.42390060424805</v>
      </c>
      <c r="AL46" s="59">
        <v>66.26736450195312</v>
      </c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0.66666666666666596</v>
      </c>
      <c r="C47" s="54">
        <v>0</v>
      </c>
      <c r="D47" s="54">
        <v>5.72681415178522E-07</v>
      </c>
      <c r="E47" s="54">
        <v>75.0795669555664</v>
      </c>
      <c r="F47" s="54"/>
      <c r="G47" s="54"/>
      <c r="H47" s="54">
        <v>0</v>
      </c>
      <c r="I47" s="54">
        <v>0</v>
      </c>
      <c r="J47" s="54">
        <v>22.92209243774414</v>
      </c>
      <c r="K47" s="54">
        <v>40</v>
      </c>
      <c r="L47" s="54">
        <v>43.78255081176758</v>
      </c>
      <c r="M47" s="54">
        <v>0</v>
      </c>
      <c r="N47" s="54">
        <v>0</v>
      </c>
      <c r="O47" s="54">
        <v>27.714481353759766</v>
      </c>
      <c r="P47" s="54">
        <v>0.05000000074505806</v>
      </c>
      <c r="Q47" s="54">
        <v>0.19437210261821747</v>
      </c>
      <c r="R47" s="54">
        <v>0.00019904327928088605</v>
      </c>
      <c r="S47" s="54">
        <v>0</v>
      </c>
      <c r="T47" s="54">
        <v>0</v>
      </c>
      <c r="U47" s="71">
        <v>0</v>
      </c>
      <c r="V47" s="79">
        <v>0</v>
      </c>
      <c r="W47" s="80">
        <v>96.87138366699219</v>
      </c>
      <c r="X47" s="71">
        <v>17.118778228759766</v>
      </c>
      <c r="Y47" s="71">
        <v>28</v>
      </c>
      <c r="Z47" s="71">
        <v>66.61458587646484</v>
      </c>
      <c r="AA47" s="71">
        <v>17.50217056274414</v>
      </c>
      <c r="AB47" s="71">
        <v>67.52387237548828</v>
      </c>
      <c r="AC47" s="71">
        <v>28</v>
      </c>
      <c r="AD47" s="71">
        <v>69.921875</v>
      </c>
      <c r="AE47" s="58">
        <v>16.869213104248047</v>
      </c>
      <c r="AF47" s="58">
        <v>19.618057250976562</v>
      </c>
      <c r="AG47" s="58"/>
      <c r="AH47" s="58">
        <v>2.8971352577209473</v>
      </c>
      <c r="AI47" s="58">
        <v>0</v>
      </c>
      <c r="AJ47" s="58">
        <v>0</v>
      </c>
      <c r="AK47" s="58">
        <v>60.42390060424805</v>
      </c>
      <c r="AL47" s="59">
        <v>65.82755279541016</v>
      </c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0.70833333333333304</v>
      </c>
      <c r="C48" s="54">
        <v>0</v>
      </c>
      <c r="D48" s="54">
        <v>1.6028881191232358E-06</v>
      </c>
      <c r="E48" s="54">
        <v>57.5086784362793</v>
      </c>
      <c r="F48" s="54"/>
      <c r="G48" s="54"/>
      <c r="H48" s="54">
        <v>0</v>
      </c>
      <c r="I48" s="54">
        <v>0</v>
      </c>
      <c r="J48" s="54">
        <v>23.54600715637207</v>
      </c>
      <c r="K48" s="54">
        <v>40</v>
      </c>
      <c r="L48" s="54">
        <v>42.04644012451172</v>
      </c>
      <c r="M48" s="54">
        <v>0</v>
      </c>
      <c r="N48" s="54">
        <v>0</v>
      </c>
      <c r="O48" s="54">
        <v>28.058086395263672</v>
      </c>
      <c r="P48" s="54">
        <v>0.05000000074505806</v>
      </c>
      <c r="Q48" s="54">
        <v>0.20015914738178253</v>
      </c>
      <c r="R48" s="54">
        <v>0.00019742202130146325</v>
      </c>
      <c r="S48" s="54">
        <v>0</v>
      </c>
      <c r="T48" s="54">
        <v>0</v>
      </c>
      <c r="U48" s="71">
        <v>0</v>
      </c>
      <c r="V48" s="79">
        <v>0</v>
      </c>
      <c r="W48" s="80">
        <v>98.52792358398438</v>
      </c>
      <c r="X48" s="71">
        <v>16.717302322387695</v>
      </c>
      <c r="Y48" s="71">
        <v>28</v>
      </c>
      <c r="Z48" s="71">
        <v>66.11111450195312</v>
      </c>
      <c r="AA48" s="71">
        <v>18.863933563232422</v>
      </c>
      <c r="AB48" s="71">
        <v>63.183597564697266</v>
      </c>
      <c r="AC48" s="71">
        <v>28</v>
      </c>
      <c r="AD48" s="71">
        <v>69.61371612548828</v>
      </c>
      <c r="AE48" s="58">
        <v>15.94509506225586</v>
      </c>
      <c r="AF48" s="58">
        <v>18.45703125</v>
      </c>
      <c r="AG48" s="58"/>
      <c r="AH48" s="58">
        <v>0</v>
      </c>
      <c r="AI48" s="58">
        <v>0</v>
      </c>
      <c r="AJ48" s="58">
        <v>0</v>
      </c>
      <c r="AK48" s="58">
        <v>60.46730041503906</v>
      </c>
      <c r="AL48" s="59">
        <v>63.30150604248047</v>
      </c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0.75</v>
      </c>
      <c r="C49" s="54">
        <v>0</v>
      </c>
      <c r="D49" s="54">
        <v>1.1760711458919104E-05</v>
      </c>
      <c r="E49" s="54">
        <v>51.822914123535156</v>
      </c>
      <c r="F49" s="54"/>
      <c r="G49" s="54"/>
      <c r="H49" s="54">
        <v>0</v>
      </c>
      <c r="I49" s="54">
        <v>0</v>
      </c>
      <c r="J49" s="54">
        <v>24.06141471862793</v>
      </c>
      <c r="K49" s="54">
        <v>40</v>
      </c>
      <c r="L49" s="54">
        <v>39.28855514526367</v>
      </c>
      <c r="M49" s="54">
        <v>0</v>
      </c>
      <c r="N49" s="54">
        <v>0</v>
      </c>
      <c r="O49" s="54">
        <v>28.229890823364258</v>
      </c>
      <c r="P49" s="54">
        <v>0.05000000074505806</v>
      </c>
      <c r="Q49" s="54">
        <v>0.19567419588565826</v>
      </c>
      <c r="R49" s="54">
        <v>0.00019756698748096824</v>
      </c>
      <c r="S49" s="54">
        <v>0</v>
      </c>
      <c r="T49" s="54">
        <v>0</v>
      </c>
      <c r="U49" s="71">
        <v>0</v>
      </c>
      <c r="V49" s="79">
        <v>0</v>
      </c>
      <c r="W49" s="80">
        <v>93.16044616699219</v>
      </c>
      <c r="X49" s="71">
        <v>17.701099395751953</v>
      </c>
      <c r="Y49" s="71">
        <v>28</v>
      </c>
      <c r="Z49" s="71">
        <v>66.84027862548828</v>
      </c>
      <c r="AA49" s="71">
        <v>19.19487953186035</v>
      </c>
      <c r="AB49" s="71">
        <v>60.009769439697266</v>
      </c>
      <c r="AC49" s="71">
        <v>28</v>
      </c>
      <c r="AD49" s="71">
        <v>69.82205200195312</v>
      </c>
      <c r="AE49" s="58">
        <v>15.281394004821777</v>
      </c>
      <c r="AF49" s="58">
        <v>17.83311653137207</v>
      </c>
      <c r="AG49" s="58"/>
      <c r="AH49" s="58">
        <v>0</v>
      </c>
      <c r="AI49" s="58">
        <v>0</v>
      </c>
      <c r="AJ49" s="58">
        <v>9.403777221450582E-05</v>
      </c>
      <c r="AK49" s="58">
        <v>60.496238708496094</v>
      </c>
      <c r="AL49" s="59">
        <v>61.16030502319336</v>
      </c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0.79166666666666696</v>
      </c>
      <c r="C50" s="54">
        <v>0.018807871267199516</v>
      </c>
      <c r="D50" s="54">
        <v>1.7230511275556637E-06</v>
      </c>
      <c r="E50" s="54">
        <v>44.40827560424805</v>
      </c>
      <c r="F50" s="54"/>
      <c r="G50" s="54"/>
      <c r="H50" s="54">
        <v>0</v>
      </c>
      <c r="I50" s="54">
        <v>0</v>
      </c>
      <c r="J50" s="54">
        <v>24.504484176635742</v>
      </c>
      <c r="K50" s="54">
        <v>40</v>
      </c>
      <c r="L50" s="54">
        <v>37.10033416748047</v>
      </c>
      <c r="M50" s="54">
        <v>0</v>
      </c>
      <c r="N50" s="54">
        <v>0</v>
      </c>
      <c r="O50" s="54">
        <v>28.15755271911621</v>
      </c>
      <c r="P50" s="54">
        <v>0.05000000074505806</v>
      </c>
      <c r="Q50" s="54">
        <v>0.11877893656492233</v>
      </c>
      <c r="R50" s="54">
        <v>0.00015316010103560984</v>
      </c>
      <c r="S50" s="54">
        <v>0</v>
      </c>
      <c r="T50" s="54">
        <v>0</v>
      </c>
      <c r="U50" s="71">
        <v>0</v>
      </c>
      <c r="V50" s="79">
        <v>0</v>
      </c>
      <c r="W50" s="80">
        <v>95.73929595947266</v>
      </c>
      <c r="X50" s="71">
        <v>17.0609073638916</v>
      </c>
      <c r="Y50" s="71">
        <v>28</v>
      </c>
      <c r="Z50" s="71">
        <v>66.14149475097656</v>
      </c>
      <c r="AA50" s="71">
        <v>18.896484375</v>
      </c>
      <c r="AB50" s="71">
        <v>57.373050689697266</v>
      </c>
      <c r="AC50" s="71">
        <v>28</v>
      </c>
      <c r="AD50" s="71">
        <v>69.53559112548828</v>
      </c>
      <c r="AE50" s="58">
        <v>14.874493598937988</v>
      </c>
      <c r="AF50" s="58">
        <v>17.469619750976562</v>
      </c>
      <c r="AG50" s="58"/>
      <c r="AH50" s="58">
        <v>0</v>
      </c>
      <c r="AI50" s="58">
        <v>0</v>
      </c>
      <c r="AJ50" s="58">
        <v>0</v>
      </c>
      <c r="AK50" s="58">
        <v>60.46006774902344</v>
      </c>
      <c r="AL50" s="59">
        <v>59.55150604248047</v>
      </c>
      <c r="AM50" s="81"/>
      <c r="AN50" s="72"/>
      <c r="AO50" s="58"/>
      <c r="AP50" s="58"/>
      <c r="AQ50" s="58"/>
      <c r="AR50" s="62"/>
    </row>
    <row r="51" spans="2:44" ht="13.5" customHeight="1" x14ac:dyDescent="0.25">
      <c r="B51" s="14">
        <v>0.83333333333333304</v>
      </c>
      <c r="C51" s="63">
        <v>0</v>
      </c>
      <c r="D51" s="63">
        <v>1.3794183360005263E-05</v>
      </c>
      <c r="E51" s="63">
        <v>50.15190887451172</v>
      </c>
      <c r="F51" s="63"/>
      <c r="G51" s="63"/>
      <c r="H51" s="63">
        <v>0</v>
      </c>
      <c r="I51" s="63">
        <v>0</v>
      </c>
      <c r="J51" s="63">
        <v>24.775753021240234</v>
      </c>
      <c r="K51" s="63">
        <v>40</v>
      </c>
      <c r="L51" s="63">
        <v>36.14185333251953</v>
      </c>
      <c r="M51" s="63">
        <v>0</v>
      </c>
      <c r="N51" s="63">
        <v>0</v>
      </c>
      <c r="O51" s="63">
        <v>27.931495666503906</v>
      </c>
      <c r="P51" s="63">
        <v>0.05000000074505806</v>
      </c>
      <c r="Q51" s="63">
        <v>0.12709780037403107</v>
      </c>
      <c r="R51" s="63">
        <v>0.0001249771157745272</v>
      </c>
      <c r="S51" s="63">
        <v>0</v>
      </c>
      <c r="T51" s="63">
        <v>0</v>
      </c>
      <c r="U51" s="74">
        <v>0</v>
      </c>
      <c r="V51" s="82">
        <v>0</v>
      </c>
      <c r="W51" s="83">
        <v>93.07002258300781</v>
      </c>
      <c r="X51" s="74">
        <v>16.030092239379883</v>
      </c>
      <c r="Y51" s="74">
        <v>28</v>
      </c>
      <c r="Z51" s="74">
        <v>65.97222900390625</v>
      </c>
      <c r="AA51" s="74">
        <v>18.59809112548828</v>
      </c>
      <c r="AB51" s="74">
        <v>55.154083251953125</v>
      </c>
      <c r="AC51" s="74">
        <v>28</v>
      </c>
      <c r="AD51" s="74">
        <v>69.12760925292969</v>
      </c>
      <c r="AE51" s="67">
        <v>14.0480318069458</v>
      </c>
      <c r="AF51" s="67">
        <v>16.71006965637207</v>
      </c>
      <c r="AG51" s="67"/>
      <c r="AH51" s="67">
        <v>0</v>
      </c>
      <c r="AI51" s="67">
        <v>0</v>
      </c>
      <c r="AJ51" s="67">
        <v>0</v>
      </c>
      <c r="AK51" s="67">
        <v>60.40943145751953</v>
      </c>
      <c r="AL51" s="68">
        <v>58.07291793823242</v>
      </c>
      <c r="AM51" s="84"/>
      <c r="AN51" s="75"/>
      <c r="AO51" s="67"/>
      <c r="AP51" s="67"/>
      <c r="AQ51" s="67"/>
      <c r="AR51" s="78"/>
    </row>
    <row r="52" spans="2:44" ht="13.5" customHeight="1" x14ac:dyDescent="0.25">
      <c r="B52" s="147" t="s">
        <v>372</v>
      </c>
      <c r="C52" s="148"/>
      <c r="D52" s="9" t="s">
        <v>19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372</v>
      </c>
      <c r="C60" s="148"/>
      <c r="D60" s="9" t="s">
        <v>19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226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50" t="s">
        <v>227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</row>
    <row r="3" spans="2:47" ht="20.15" customHeight="1" x14ac:dyDescent="0.25">
      <c r="B3" s="152" t="s">
        <v>181</v>
      </c>
      <c r="C3" s="110" t="s">
        <v>163</v>
      </c>
      <c r="D3" s="160"/>
      <c r="E3" s="160"/>
      <c r="F3" s="160"/>
      <c r="G3" s="160"/>
      <c r="H3" s="161"/>
      <c r="I3" s="164" t="s">
        <v>8</v>
      </c>
      <c r="J3" s="160"/>
      <c r="K3" s="160"/>
      <c r="L3" s="160"/>
      <c r="M3" s="160"/>
      <c r="N3" s="160"/>
      <c r="O3" s="160"/>
      <c r="P3" s="165"/>
      <c r="Q3" s="110" t="s">
        <v>77</v>
      </c>
      <c r="R3" s="160"/>
      <c r="S3" s="165"/>
      <c r="T3" s="110" t="s">
        <v>10</v>
      </c>
      <c r="U3" s="160"/>
      <c r="V3" s="160"/>
      <c r="W3" s="165"/>
      <c r="X3" s="110" t="s">
        <v>80</v>
      </c>
      <c r="Y3" s="111"/>
      <c r="Z3" s="110" t="s">
        <v>11</v>
      </c>
      <c r="AA3" s="111"/>
      <c r="AB3" s="13" t="s">
        <v>13</v>
      </c>
      <c r="AC3" s="110" t="s">
        <v>14</v>
      </c>
      <c r="AD3" s="111"/>
      <c r="AE3" s="114" t="s">
        <v>88</v>
      </c>
      <c r="AF3" s="115"/>
      <c r="AG3" s="115"/>
      <c r="AH3" s="115"/>
      <c r="AI3" s="115"/>
      <c r="AJ3" s="115"/>
      <c r="AK3" s="116"/>
      <c r="AL3" s="110" t="s">
        <v>18</v>
      </c>
      <c r="AM3" s="156"/>
      <c r="AN3" s="157"/>
      <c r="AO3" s="156" t="s">
        <v>16</v>
      </c>
      <c r="AP3" s="156"/>
      <c r="AQ3" s="156"/>
      <c r="AR3" s="159"/>
    </row>
    <row r="4" spans="2:47" ht="30" customHeight="1" x14ac:dyDescent="0.25">
      <c r="B4" s="153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2" t="s">
        <v>62</v>
      </c>
      <c r="J4" s="163"/>
      <c r="K4" s="3" t="s">
        <v>6</v>
      </c>
      <c r="L4" s="3" t="s">
        <v>66</v>
      </c>
      <c r="M4" s="3" t="s">
        <v>164</v>
      </c>
      <c r="N4" s="3" t="s">
        <v>165</v>
      </c>
      <c r="O4" s="117" t="s">
        <v>7</v>
      </c>
      <c r="P4" s="118"/>
      <c r="Q4" s="155" t="s">
        <v>71</v>
      </c>
      <c r="R4" s="118"/>
      <c r="S4" s="3" t="s">
        <v>51</v>
      </c>
      <c r="T4" s="3" t="s">
        <v>75</v>
      </c>
      <c r="U4" s="155" t="s">
        <v>78</v>
      </c>
      <c r="V4" s="118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2" t="s">
        <v>89</v>
      </c>
      <c r="AF4" s="113"/>
      <c r="AG4" s="112" t="s">
        <v>92</v>
      </c>
      <c r="AH4" s="113"/>
      <c r="AI4" s="10" t="s">
        <v>166</v>
      </c>
      <c r="AJ4" s="10" t="s">
        <v>167</v>
      </c>
      <c r="AK4" s="11" t="s">
        <v>115</v>
      </c>
      <c r="AL4" s="155" t="s">
        <v>110</v>
      </c>
      <c r="AM4" s="118"/>
      <c r="AN4" s="29" t="s">
        <v>111</v>
      </c>
      <c r="AO4" s="26" t="s">
        <v>12</v>
      </c>
      <c r="AP4" s="3" t="s">
        <v>1</v>
      </c>
      <c r="AQ4" s="131" t="s">
        <v>161</v>
      </c>
      <c r="AR4" s="158"/>
      <c r="AU4" s="20"/>
    </row>
    <row r="5" spans="2:47" ht="20.15" customHeight="1" x14ac:dyDescent="0.25">
      <c r="B5" s="154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54">
        <v>11.02430534362793</v>
      </c>
      <c r="D6" s="54">
        <v>20.70855140686035</v>
      </c>
      <c r="E6" s="54">
        <v>418.50799560546875</v>
      </c>
      <c r="F6" s="54"/>
      <c r="G6" s="54"/>
      <c r="H6" s="55">
        <v>418.9869689941406</v>
      </c>
      <c r="I6" s="56">
        <v>0</v>
      </c>
      <c r="J6" s="54"/>
      <c r="K6" s="54">
        <v>41.25434112548828</v>
      </c>
      <c r="L6" s="54">
        <v>1.3109447956085205</v>
      </c>
      <c r="M6" s="54">
        <v>109.53234100341797</v>
      </c>
      <c r="N6" s="54">
        <v>112.39872741699219</v>
      </c>
      <c r="O6" s="54">
        <v>20.52520179748535</v>
      </c>
      <c r="P6" s="54"/>
      <c r="Q6" s="54"/>
      <c r="R6" s="54"/>
      <c r="S6" s="54">
        <v>139.315673828125</v>
      </c>
      <c r="T6" s="54">
        <v>1.6060655117034912</v>
      </c>
      <c r="U6" s="54">
        <v>0.30376720428466797</v>
      </c>
      <c r="V6" s="54"/>
      <c r="W6" s="54">
        <v>90.69010162353516</v>
      </c>
      <c r="X6" s="54">
        <v>0.5284513831138611</v>
      </c>
      <c r="Y6" s="54" t="s">
        <v>4</v>
      </c>
      <c r="Z6" s="54">
        <v>0.7119792103767395</v>
      </c>
      <c r="AA6" s="54">
        <v>149.6383056640625</v>
      </c>
      <c r="AB6" s="54">
        <v>162.94125366210938</v>
      </c>
      <c r="AC6" s="54">
        <v>0.31311488151550293</v>
      </c>
      <c r="AD6" s="54">
        <v>154.05091857910156</v>
      </c>
      <c r="AE6" s="57">
        <v>33.720001220703125</v>
      </c>
      <c r="AF6" s="57"/>
      <c r="AG6" s="57"/>
      <c r="AH6" s="57">
        <v>17.170000076293945</v>
      </c>
      <c r="AI6" s="57"/>
      <c r="AJ6" s="57"/>
      <c r="AK6" s="57">
        <v>6.840000152587891</v>
      </c>
      <c r="AL6" s="54">
        <v>0</v>
      </c>
      <c r="AM6" s="58"/>
      <c r="AN6" s="59">
        <v>56.98784637451172</v>
      </c>
      <c r="AO6" s="60"/>
      <c r="AP6" s="61">
        <v>-80.25173950195312</v>
      </c>
      <c r="AQ6" s="61">
        <v>0.28964120149612427</v>
      </c>
      <c r="AR6" s="62"/>
    </row>
    <row r="7" spans="2:47" ht="13.5" customHeight="1" x14ac:dyDescent="0.25">
      <c r="B7" s="14">
        <v>0.875</v>
      </c>
      <c r="C7" s="54">
        <v>7.718460559844971</v>
      </c>
      <c r="D7" s="54">
        <v>20.05208396911621</v>
      </c>
      <c r="E7" s="54">
        <v>416.9864807128906</v>
      </c>
      <c r="F7" s="54">
        <v>0.18424218893051147</v>
      </c>
      <c r="G7" s="54">
        <v>0</v>
      </c>
      <c r="H7" s="55">
        <v>418.766845703125</v>
      </c>
      <c r="I7" s="56">
        <v>28.584346771240234</v>
      </c>
      <c r="J7" s="54">
        <v>0.019722167402505875</v>
      </c>
      <c r="K7" s="54">
        <v>41.2109375</v>
      </c>
      <c r="L7" s="54">
        <v>1.3230613470077515</v>
      </c>
      <c r="M7" s="54">
        <v>111.22505187988281</v>
      </c>
      <c r="N7" s="54">
        <v>115.4586181640625</v>
      </c>
      <c r="O7" s="54">
        <v>20.013710021972656</v>
      </c>
      <c r="P7" s="54">
        <v>20.162109375</v>
      </c>
      <c r="Q7" s="54"/>
      <c r="R7" s="54">
        <v>2.5390625</v>
      </c>
      <c r="S7" s="54">
        <v>139.50375366210938</v>
      </c>
      <c r="T7" s="54">
        <v>1.6056857109069824</v>
      </c>
      <c r="U7" s="54">
        <v>0.29851141571998596</v>
      </c>
      <c r="V7" s="54">
        <v>0.29984375834465027</v>
      </c>
      <c r="W7" s="54">
        <v>90.44415283203125</v>
      </c>
      <c r="X7" s="54">
        <v>0.5313541293144226</v>
      </c>
      <c r="Y7" s="54" t="s">
        <v>82</v>
      </c>
      <c r="Z7" s="54">
        <v>0.7412616014480591</v>
      </c>
      <c r="AA7" s="54">
        <v>150.17361450195312</v>
      </c>
      <c r="AB7" s="54">
        <v>162.95571899414062</v>
      </c>
      <c r="AC7" s="54">
        <v>0.36744067072868347</v>
      </c>
      <c r="AD7" s="54">
        <v>155.331298828125</v>
      </c>
      <c r="AE7" s="57"/>
      <c r="AF7" s="57"/>
      <c r="AG7" s="57"/>
      <c r="AH7" s="57"/>
      <c r="AI7" s="57"/>
      <c r="AJ7" s="57"/>
      <c r="AK7" s="57"/>
      <c r="AL7" s="54">
        <v>0</v>
      </c>
      <c r="AM7" s="58">
        <v>0.018174316734075546</v>
      </c>
      <c r="AN7" s="59">
        <v>55.342159271240234</v>
      </c>
      <c r="AO7" s="60"/>
      <c r="AP7" s="61">
        <v>-80.078125</v>
      </c>
      <c r="AQ7" s="61">
        <v>0.2907986044883728</v>
      </c>
      <c r="AR7" s="62">
        <v>0.00028996277251280844</v>
      </c>
    </row>
    <row r="8" spans="2:47" ht="13.5" customHeight="1" x14ac:dyDescent="0.25">
      <c r="B8" s="41" t="s">
        <v>271</v>
      </c>
      <c r="C8" s="54">
        <v>3.4541375637054443</v>
      </c>
      <c r="D8" s="54">
        <v>19.80794334411621</v>
      </c>
      <c r="E8" s="54">
        <v>415.0252990722656</v>
      </c>
      <c r="F8" s="54">
        <v>0.1598515659570694</v>
      </c>
      <c r="G8" s="54">
        <v>0</v>
      </c>
      <c r="H8" s="55">
        <v>418.3848571777344</v>
      </c>
      <c r="I8" s="56">
        <v>27.141204833984375</v>
      </c>
      <c r="J8" s="54">
        <v>0.019882813096046448</v>
      </c>
      <c r="K8" s="54">
        <v>40.97222137451172</v>
      </c>
      <c r="L8" s="54">
        <v>1.3091363906860352</v>
      </c>
      <c r="M8" s="54">
        <v>108.82704162597656</v>
      </c>
      <c r="N8" s="54">
        <v>112.92678833007812</v>
      </c>
      <c r="O8" s="54">
        <v>20.235557556152344</v>
      </c>
      <c r="P8" s="54">
        <v>20.17431640625</v>
      </c>
      <c r="Q8" s="54"/>
      <c r="R8" s="54">
        <v>2.50616455078125</v>
      </c>
      <c r="S8" s="54">
        <v>139.56886291503906</v>
      </c>
      <c r="T8" s="54">
        <v>1.6066985130310059</v>
      </c>
      <c r="U8" s="54">
        <v>0.2992057800292969</v>
      </c>
      <c r="V8" s="54">
        <v>0.3000468611717224</v>
      </c>
      <c r="W8" s="54">
        <v>90.5092544555664</v>
      </c>
      <c r="X8" s="54">
        <v>0.5322097539901733</v>
      </c>
      <c r="Y8" s="54" t="s">
        <v>82</v>
      </c>
      <c r="Z8" s="54">
        <v>0.7348380088806152</v>
      </c>
      <c r="AA8" s="54">
        <v>150.3616943359375</v>
      </c>
      <c r="AB8" s="54">
        <v>162.9918975830078</v>
      </c>
      <c r="AC8" s="54">
        <v>0.32201245427131653</v>
      </c>
      <c r="AD8" s="54">
        <v>155.135986328125</v>
      </c>
      <c r="AE8" s="57"/>
      <c r="AF8" s="57"/>
      <c r="AG8" s="57"/>
      <c r="AH8" s="57"/>
      <c r="AI8" s="57"/>
      <c r="AJ8" s="57"/>
      <c r="AK8" s="57"/>
      <c r="AL8" s="54">
        <v>10.930266380310059</v>
      </c>
      <c r="AM8" s="58">
        <v>0.01354687474668026</v>
      </c>
      <c r="AN8" s="59">
        <v>53.16840362548828</v>
      </c>
      <c r="AO8" s="60"/>
      <c r="AP8" s="61">
        <v>-80.16493225097656</v>
      </c>
      <c r="AQ8" s="61">
        <v>0.2951388955116272</v>
      </c>
      <c r="AR8" s="62">
        <v>0.00029225158505141735</v>
      </c>
    </row>
    <row r="9" spans="2:47" ht="13.5" customHeight="1" x14ac:dyDescent="0.25">
      <c r="B9" s="14">
        <v>0.95833333333333337</v>
      </c>
      <c r="C9" s="54">
        <v>4.528356552124023</v>
      </c>
      <c r="D9" s="54">
        <v>19.16232681274414</v>
      </c>
      <c r="E9" s="54">
        <v>416.6368408203125</v>
      </c>
      <c r="F9" s="54">
        <v>0.3362421989440918</v>
      </c>
      <c r="G9" s="54">
        <v>0</v>
      </c>
      <c r="H9" s="55">
        <v>417.67388916015625</v>
      </c>
      <c r="I9" s="56">
        <v>23.16623306274414</v>
      </c>
      <c r="J9" s="54">
        <v>0.019632812589406967</v>
      </c>
      <c r="K9" s="54">
        <v>40.219905853271484</v>
      </c>
      <c r="L9" s="54">
        <v>1.2760417461395264</v>
      </c>
      <c r="M9" s="54">
        <v>107.0041275024414</v>
      </c>
      <c r="N9" s="54">
        <v>112.61573791503906</v>
      </c>
      <c r="O9" s="54">
        <v>20.20440673828125</v>
      </c>
      <c r="P9" s="54">
        <v>20.1728515625</v>
      </c>
      <c r="Q9" s="54"/>
      <c r="R9" s="54">
        <v>2.59814453125</v>
      </c>
      <c r="S9" s="54">
        <v>139.510986328125</v>
      </c>
      <c r="T9" s="54">
        <v>1.6058123111724854</v>
      </c>
      <c r="U9" s="54">
        <v>0.3013398349285126</v>
      </c>
      <c r="V9" s="54">
        <v>0.30003905296325684</v>
      </c>
      <c r="W9" s="54">
        <v>90.8203125</v>
      </c>
      <c r="X9" s="54">
        <v>0.529670000076294</v>
      </c>
      <c r="Y9" s="54" t="s">
        <v>82</v>
      </c>
      <c r="Z9" s="54">
        <v>0.7269097566604614</v>
      </c>
      <c r="AA9" s="54">
        <v>149.3706512451172</v>
      </c>
      <c r="AB9" s="54">
        <v>162.6229705810547</v>
      </c>
      <c r="AC9" s="54">
        <v>0.3127170205116272</v>
      </c>
      <c r="AD9" s="54">
        <v>154.7887725830078</v>
      </c>
      <c r="AE9" s="57"/>
      <c r="AF9" s="57"/>
      <c r="AG9" s="57"/>
      <c r="AH9" s="57"/>
      <c r="AI9" s="57"/>
      <c r="AJ9" s="57"/>
      <c r="AK9" s="57"/>
      <c r="AL9" s="54">
        <v>11.975549697875977</v>
      </c>
      <c r="AM9" s="58">
        <v>0.00954882800579071</v>
      </c>
      <c r="AN9" s="59">
        <v>51.840999603271484</v>
      </c>
      <c r="AO9" s="60"/>
      <c r="AP9" s="61">
        <v>-80.11429595947266</v>
      </c>
      <c r="AQ9" s="61">
        <v>0.28291377425193787</v>
      </c>
      <c r="AR9" s="62">
        <v>0.0002930984483100474</v>
      </c>
    </row>
    <row r="10" spans="2:47" ht="13.5" customHeight="1" x14ac:dyDescent="0.25">
      <c r="B10" s="41" t="s">
        <v>272</v>
      </c>
      <c r="C10" s="54">
        <v>5.421730041503906</v>
      </c>
      <c r="D10" s="54">
        <v>19.021268844604492</v>
      </c>
      <c r="E10" s="54">
        <v>416.71771240234375</v>
      </c>
      <c r="F10" s="54">
        <v>0.34014061093330383</v>
      </c>
      <c r="G10" s="54">
        <v>0</v>
      </c>
      <c r="H10" s="55">
        <v>417.878662109375</v>
      </c>
      <c r="I10" s="56">
        <v>24.128328323364258</v>
      </c>
      <c r="J10" s="54">
        <v>0.01996484398841858</v>
      </c>
      <c r="K10" s="54">
        <v>41.587093353271484</v>
      </c>
      <c r="L10" s="54">
        <v>1.322880506515503</v>
      </c>
      <c r="M10" s="54">
        <v>105.85938262939453</v>
      </c>
      <c r="N10" s="54">
        <v>114.34461975097656</v>
      </c>
      <c r="O10" s="54">
        <v>20.428485870361328</v>
      </c>
      <c r="P10" s="54">
        <v>20.1591796875</v>
      </c>
      <c r="Q10" s="54"/>
      <c r="R10" s="54">
        <v>2.5269775390625</v>
      </c>
      <c r="S10" s="54">
        <v>139.30120849609375</v>
      </c>
      <c r="T10" s="54">
        <v>1.6177119016647339</v>
      </c>
      <c r="U10" s="54">
        <v>0.30406755208969116</v>
      </c>
      <c r="V10" s="54">
        <v>0.2997734248638153</v>
      </c>
      <c r="W10" s="54">
        <v>90.8492431640625</v>
      </c>
      <c r="X10" s="54">
        <v>0.5285388231277466</v>
      </c>
      <c r="Y10" s="54" t="s">
        <v>82</v>
      </c>
      <c r="Z10" s="54">
        <v>0.72806715965271</v>
      </c>
      <c r="AA10" s="54">
        <v>149.4864044189453</v>
      </c>
      <c r="AB10" s="54">
        <v>162.70254516601562</v>
      </c>
      <c r="AC10" s="54">
        <v>0.5170717835426331</v>
      </c>
      <c r="AD10" s="54">
        <v>154.745361328125</v>
      </c>
      <c r="AE10" s="57"/>
      <c r="AF10" s="57"/>
      <c r="AG10" s="57"/>
      <c r="AH10" s="57"/>
      <c r="AI10" s="57"/>
      <c r="AJ10" s="57"/>
      <c r="AK10" s="57"/>
      <c r="AL10" s="54">
        <v>3.0454282760620117</v>
      </c>
      <c r="AM10" s="58">
        <v>0.009296875447034836</v>
      </c>
      <c r="AN10" s="59">
        <v>50.53168487548828</v>
      </c>
      <c r="AO10" s="60"/>
      <c r="AP10" s="61">
        <v>-80.1287612915039</v>
      </c>
      <c r="AQ10" s="61">
        <v>0.2979600727558136</v>
      </c>
      <c r="AR10" s="62">
        <v>0.00029176331008784473</v>
      </c>
    </row>
    <row r="11" spans="2:47" ht="13.5" customHeight="1" x14ac:dyDescent="0.25">
      <c r="B11" s="14">
        <v>4.1666666666666664E-2</v>
      </c>
      <c r="C11" s="54">
        <v>7.165075302124023</v>
      </c>
      <c r="D11" s="54">
        <v>18.787979125976562</v>
      </c>
      <c r="E11" s="54">
        <v>416.7234802246094</v>
      </c>
      <c r="F11" s="54">
        <v>0.3603593707084656</v>
      </c>
      <c r="G11" s="54">
        <v>0</v>
      </c>
      <c r="H11" s="55">
        <v>417.8902587890625</v>
      </c>
      <c r="I11" s="56">
        <v>26.255064010620117</v>
      </c>
      <c r="J11" s="54">
        <v>0.0196689460426569</v>
      </c>
      <c r="K11" s="54">
        <v>40.675636291503906</v>
      </c>
      <c r="L11" s="54">
        <v>1.303078055381775</v>
      </c>
      <c r="M11" s="54">
        <v>109.4943618774414</v>
      </c>
      <c r="N11" s="54">
        <v>113.26677703857422</v>
      </c>
      <c r="O11" s="54">
        <v>20.16731071472168</v>
      </c>
      <c r="P11" s="54">
        <v>20.1328125</v>
      </c>
      <c r="Q11" s="54"/>
      <c r="R11" s="54">
        <v>2.54620361328125</v>
      </c>
      <c r="S11" s="54">
        <v>139.5543975830078</v>
      </c>
      <c r="T11" s="54">
        <v>1.6042932271957397</v>
      </c>
      <c r="U11" s="54">
        <v>0.2998347878456116</v>
      </c>
      <c r="V11" s="54">
        <v>0.2993749976158142</v>
      </c>
      <c r="W11" s="54">
        <v>90.79137420654297</v>
      </c>
      <c r="X11" s="54">
        <v>0.5271506309509277</v>
      </c>
      <c r="Y11" s="54" t="s">
        <v>82</v>
      </c>
      <c r="Z11" s="54">
        <v>0.7418981790542603</v>
      </c>
      <c r="AA11" s="54">
        <v>150.40509033203125</v>
      </c>
      <c r="AB11" s="54">
        <v>162.7965850830078</v>
      </c>
      <c r="AC11" s="54">
        <v>0.41767939925193787</v>
      </c>
      <c r="AD11" s="54">
        <v>155.2300262451172</v>
      </c>
      <c r="AE11" s="57"/>
      <c r="AF11" s="57"/>
      <c r="AG11" s="57"/>
      <c r="AH11" s="57"/>
      <c r="AI11" s="57"/>
      <c r="AJ11" s="57"/>
      <c r="AK11" s="57"/>
      <c r="AL11" s="54">
        <v>21.770109176635742</v>
      </c>
      <c r="AM11" s="58">
        <v>0.01040966808795929</v>
      </c>
      <c r="AN11" s="59">
        <v>61.62109375</v>
      </c>
      <c r="AO11" s="60"/>
      <c r="AP11" s="61">
        <v>-80.14323425292969</v>
      </c>
      <c r="AQ11" s="61">
        <v>0.27379918098449707</v>
      </c>
      <c r="AR11" s="62">
        <v>0.00029327391530387104</v>
      </c>
    </row>
    <row r="12" spans="2:47" ht="13.5" customHeight="1" x14ac:dyDescent="0.25">
      <c r="B12" s="41" t="s">
        <v>273</v>
      </c>
      <c r="C12" s="54">
        <v>10.199652671813965</v>
      </c>
      <c r="D12" s="54">
        <v>18.57638931274414</v>
      </c>
      <c r="E12" s="54">
        <v>418.24957275390625</v>
      </c>
      <c r="F12" s="54">
        <v>0.4151250123977661</v>
      </c>
      <c r="G12" s="54">
        <v>0</v>
      </c>
      <c r="H12" s="55">
        <v>418.1492614746094</v>
      </c>
      <c r="I12" s="56">
        <v>28.1539363861084</v>
      </c>
      <c r="J12" s="54">
        <v>0.020031249150633812</v>
      </c>
      <c r="K12" s="54">
        <v>40.99392318725586</v>
      </c>
      <c r="L12" s="54">
        <v>1.3090459108352661</v>
      </c>
      <c r="M12" s="54">
        <v>110.54145812988281</v>
      </c>
      <c r="N12" s="54">
        <v>113.44039154052734</v>
      </c>
      <c r="O12" s="54">
        <v>20.740766525268555</v>
      </c>
      <c r="P12" s="54">
        <v>20.19580078125</v>
      </c>
      <c r="Q12" s="54"/>
      <c r="R12" s="54">
        <v>2.61480712890625</v>
      </c>
      <c r="S12" s="54">
        <v>139.49652099609375</v>
      </c>
      <c r="T12" s="54">
        <v>1.607078194618225</v>
      </c>
      <c r="U12" s="54">
        <v>0.30787745118141174</v>
      </c>
      <c r="V12" s="54">
        <v>0.30030468106269836</v>
      </c>
      <c r="W12" s="54">
        <v>90.64669799804688</v>
      </c>
      <c r="X12" s="54">
        <v>0.52138352394104</v>
      </c>
      <c r="Y12" s="54" t="s">
        <v>82</v>
      </c>
      <c r="Z12" s="54">
        <v>0.7402199506759644</v>
      </c>
      <c r="AA12" s="54">
        <v>150.05062866210938</v>
      </c>
      <c r="AB12" s="54">
        <v>162.5289306640625</v>
      </c>
      <c r="AC12" s="54">
        <v>0.451714426279068</v>
      </c>
      <c r="AD12" s="54">
        <v>155.135986328125</v>
      </c>
      <c r="AE12" s="57"/>
      <c r="AF12" s="57"/>
      <c r="AG12" s="57"/>
      <c r="AH12" s="57"/>
      <c r="AI12" s="57"/>
      <c r="AJ12" s="57"/>
      <c r="AK12" s="57"/>
      <c r="AL12" s="54">
        <v>31.127025604248047</v>
      </c>
      <c r="AM12" s="58">
        <v>0.01724511757493019</v>
      </c>
      <c r="AN12" s="59">
        <v>59.25202560424805</v>
      </c>
      <c r="AO12" s="60"/>
      <c r="AP12" s="61">
        <v>-80.20833587646484</v>
      </c>
      <c r="AQ12" s="61">
        <v>0.3046875</v>
      </c>
      <c r="AR12" s="62">
        <v>0.0002943649305962026</v>
      </c>
    </row>
    <row r="13" spans="2:47" ht="13.5" customHeight="1" x14ac:dyDescent="0.25">
      <c r="B13" s="14">
        <v>0.125</v>
      </c>
      <c r="C13" s="54">
        <v>10.1417818069458</v>
      </c>
      <c r="D13" s="54">
        <v>18.69574737548828</v>
      </c>
      <c r="E13" s="54">
        <v>418.756591796875</v>
      </c>
      <c r="F13" s="54">
        <v>0.30067187547683716</v>
      </c>
      <c r="G13" s="54">
        <v>0</v>
      </c>
      <c r="H13" s="55">
        <v>418.7976989746094</v>
      </c>
      <c r="I13" s="56">
        <v>0</v>
      </c>
      <c r="J13" s="54">
        <v>0.019957520067691803</v>
      </c>
      <c r="K13" s="54">
        <v>41.160301208496094</v>
      </c>
      <c r="L13" s="54">
        <v>1.300998330116272</v>
      </c>
      <c r="M13" s="54">
        <v>110.29731750488281</v>
      </c>
      <c r="N13" s="54">
        <v>113.0353012084961</v>
      </c>
      <c r="O13" s="54">
        <v>20.340381622314453</v>
      </c>
      <c r="P13" s="54">
        <v>20.193359375</v>
      </c>
      <c r="Q13" s="54"/>
      <c r="R13" s="54">
        <v>2.6341552734375</v>
      </c>
      <c r="S13" s="54">
        <v>139.4820556640625</v>
      </c>
      <c r="T13" s="54">
        <v>1.6077111959457397</v>
      </c>
      <c r="U13" s="54">
        <v>0.3016776442527771</v>
      </c>
      <c r="V13" s="54">
        <v>0.30031248927116394</v>
      </c>
      <c r="W13" s="54">
        <v>91.07349395751953</v>
      </c>
      <c r="X13" s="54">
        <v>0.5268148183822632</v>
      </c>
      <c r="Y13" s="54" t="s">
        <v>82</v>
      </c>
      <c r="Z13" s="54">
        <v>0.7323495745658875</v>
      </c>
      <c r="AA13" s="54">
        <v>150.1229705810547</v>
      </c>
      <c r="AB13" s="54">
        <v>162.6663818359375</v>
      </c>
      <c r="AC13" s="54">
        <v>0.46650752425193787</v>
      </c>
      <c r="AD13" s="54">
        <v>155.26620483398438</v>
      </c>
      <c r="AE13" s="57"/>
      <c r="AF13" s="57"/>
      <c r="AG13" s="57"/>
      <c r="AH13" s="57"/>
      <c r="AI13" s="57"/>
      <c r="AJ13" s="57"/>
      <c r="AK13" s="57"/>
      <c r="AL13" s="54">
        <v>0</v>
      </c>
      <c r="AM13" s="58">
        <v>0.014849609695374966</v>
      </c>
      <c r="AN13" s="59">
        <v>57.295284271240234</v>
      </c>
      <c r="AO13" s="60"/>
      <c r="AP13" s="61">
        <v>-80.33130645751953</v>
      </c>
      <c r="AQ13" s="61">
        <v>0.30027487874031067</v>
      </c>
      <c r="AR13" s="62">
        <v>0.00029444886604323983</v>
      </c>
    </row>
    <row r="14" spans="2:47" ht="13.5" customHeight="1" x14ac:dyDescent="0.25">
      <c r="B14" s="14">
        <v>0.16666666666666666</v>
      </c>
      <c r="C14" s="54">
        <v>11.4113130569458</v>
      </c>
      <c r="D14" s="54">
        <v>18.53841209411621</v>
      </c>
      <c r="E14" s="54">
        <v>418.78790283203125</v>
      </c>
      <c r="F14" s="54">
        <v>0.35646092891693115</v>
      </c>
      <c r="G14" s="54">
        <v>0</v>
      </c>
      <c r="H14" s="55">
        <v>419.1732177734375</v>
      </c>
      <c r="I14" s="56">
        <v>18.583621978759766</v>
      </c>
      <c r="J14" s="54">
        <v>0.019966796040534973</v>
      </c>
      <c r="K14" s="54">
        <v>41.05902862548828</v>
      </c>
      <c r="L14" s="54">
        <v>1.3019930124282837</v>
      </c>
      <c r="M14" s="54">
        <v>110.45465087890625</v>
      </c>
      <c r="N14" s="54">
        <v>113.71527862548828</v>
      </c>
      <c r="O14" s="54">
        <v>20.249601364135742</v>
      </c>
      <c r="P14" s="54">
        <v>20.1826171875</v>
      </c>
      <c r="Q14" s="54"/>
      <c r="R14" s="54">
        <v>2.6226806640625</v>
      </c>
      <c r="S14" s="54">
        <v>139.3229217529297</v>
      </c>
      <c r="T14" s="54">
        <v>1.6051793098449707</v>
      </c>
      <c r="U14" s="54">
        <v>0.29794976115226746</v>
      </c>
      <c r="V14" s="54">
        <v>0.3001093864440918</v>
      </c>
      <c r="W14" s="54">
        <v>90.19820404052734</v>
      </c>
      <c r="X14" s="54">
        <v>0.528501033782959</v>
      </c>
      <c r="Y14" s="54" t="s">
        <v>82</v>
      </c>
      <c r="Z14" s="54">
        <v>0.734259307384491</v>
      </c>
      <c r="AA14" s="54">
        <v>149.39236450195312</v>
      </c>
      <c r="AB14" s="54">
        <v>162.49276733398438</v>
      </c>
      <c r="AC14" s="54">
        <v>0.4886067807674408</v>
      </c>
      <c r="AD14" s="54">
        <v>154.86834716796875</v>
      </c>
      <c r="AE14" s="57"/>
      <c r="AF14" s="57"/>
      <c r="AG14" s="57"/>
      <c r="AH14" s="57"/>
      <c r="AI14" s="57"/>
      <c r="AJ14" s="57"/>
      <c r="AK14" s="57"/>
      <c r="AL14" s="54">
        <v>7.360387802124023</v>
      </c>
      <c r="AM14" s="58">
        <v>0.01351318322122097</v>
      </c>
      <c r="AN14" s="59">
        <v>56.56828689575195</v>
      </c>
      <c r="AO14" s="60"/>
      <c r="AP14" s="61">
        <v>-80.31684112548828</v>
      </c>
      <c r="AQ14" s="61">
        <v>0.2914496660232544</v>
      </c>
      <c r="AR14" s="62">
        <v>0.0002937622193712741</v>
      </c>
    </row>
    <row r="15" spans="2:47" ht="13.5" customHeight="1" x14ac:dyDescent="0.25">
      <c r="B15" s="14">
        <v>0.20833333333333334</v>
      </c>
      <c r="C15" s="54">
        <v>12.557869911193848</v>
      </c>
      <c r="D15" s="54">
        <v>18.522136688232422</v>
      </c>
      <c r="E15" s="54">
        <v>418.78790283203125</v>
      </c>
      <c r="F15" s="54">
        <v>0.33549219369888306</v>
      </c>
      <c r="G15" s="54">
        <v>0</v>
      </c>
      <c r="H15" s="55">
        <v>419.1732177734375</v>
      </c>
      <c r="I15" s="56">
        <v>25.951244354248047</v>
      </c>
      <c r="J15" s="54">
        <v>0.0197148434817791</v>
      </c>
      <c r="K15" s="54">
        <v>41.64496612548828</v>
      </c>
      <c r="L15" s="54">
        <v>1.3301143646240234</v>
      </c>
      <c r="M15" s="54">
        <v>105.21919250488281</v>
      </c>
      <c r="N15" s="54">
        <v>111.95022583007812</v>
      </c>
      <c r="O15" s="54">
        <v>20.13160514831543</v>
      </c>
      <c r="P15" s="54">
        <v>20.189453125</v>
      </c>
      <c r="Q15" s="54"/>
      <c r="R15" s="54">
        <v>2.589111328125</v>
      </c>
      <c r="S15" s="54">
        <v>139.53993225097656</v>
      </c>
      <c r="T15" s="54">
        <v>1.6085972785949707</v>
      </c>
      <c r="U15" s="54">
        <v>0.30127668380737305</v>
      </c>
      <c r="V15" s="54">
        <v>0.30017969012260437</v>
      </c>
      <c r="W15" s="54">
        <v>90.63223266601562</v>
      </c>
      <c r="X15" s="54">
        <v>0.5291847586631775</v>
      </c>
      <c r="Y15" s="54" t="s">
        <v>82</v>
      </c>
      <c r="Z15" s="54">
        <v>0.7303240895271301</v>
      </c>
      <c r="AA15" s="54">
        <v>149.4791717529297</v>
      </c>
      <c r="AB15" s="54">
        <v>162.73147583007812</v>
      </c>
      <c r="AC15" s="54">
        <v>0.4914279580116272</v>
      </c>
      <c r="AD15" s="54">
        <v>154.96961975097656</v>
      </c>
      <c r="AE15" s="57"/>
      <c r="AF15" s="57"/>
      <c r="AG15" s="57"/>
      <c r="AH15" s="57"/>
      <c r="AI15" s="57"/>
      <c r="AJ15" s="57"/>
      <c r="AK15" s="57"/>
      <c r="AL15" s="54">
        <v>0</v>
      </c>
      <c r="AM15" s="58">
        <v>0.010323730297386646</v>
      </c>
      <c r="AN15" s="59">
        <v>54.296875</v>
      </c>
      <c r="AO15" s="60"/>
      <c r="AP15" s="61">
        <v>-80.37471008300781</v>
      </c>
      <c r="AQ15" s="61">
        <v>0.2938368022441864</v>
      </c>
      <c r="AR15" s="62">
        <v>0.0002930602931883186</v>
      </c>
    </row>
    <row r="16" spans="2:47" ht="13.5" customHeight="1" x14ac:dyDescent="0.25">
      <c r="B16" s="14">
        <v>0.25</v>
      </c>
      <c r="C16" s="54">
        <v>13.447627067565918</v>
      </c>
      <c r="D16" s="54">
        <v>18.41362953186035</v>
      </c>
      <c r="E16" s="54">
        <v>418.78790283203125</v>
      </c>
      <c r="F16" s="54">
        <v>0.3355781137943268</v>
      </c>
      <c r="G16" s="54">
        <v>0</v>
      </c>
      <c r="H16" s="55">
        <v>419.1732177734375</v>
      </c>
      <c r="I16" s="56">
        <v>23.571325302124023</v>
      </c>
      <c r="J16" s="54">
        <v>0.02008349634706974</v>
      </c>
      <c r="K16" s="54">
        <v>41.471351623535156</v>
      </c>
      <c r="L16" s="54">
        <v>1.3171839714050293</v>
      </c>
      <c r="M16" s="54">
        <v>109.36958312988281</v>
      </c>
      <c r="N16" s="54">
        <v>112.1383056640625</v>
      </c>
      <c r="O16" s="54">
        <v>20.08095359802246</v>
      </c>
      <c r="P16" s="54">
        <v>20.17529296875</v>
      </c>
      <c r="Q16" s="54"/>
      <c r="R16" s="54">
        <v>2.62017822265625</v>
      </c>
      <c r="S16" s="54">
        <v>139.4169464111328</v>
      </c>
      <c r="T16" s="54">
        <v>1.6059389114379883</v>
      </c>
      <c r="U16" s="54">
        <v>0.2981208264827728</v>
      </c>
      <c r="V16" s="54">
        <v>0.30003905296325684</v>
      </c>
      <c r="W16" s="54">
        <v>90.625</v>
      </c>
      <c r="X16" s="54">
        <v>0.5295670628547668</v>
      </c>
      <c r="Y16" s="54" t="s">
        <v>82</v>
      </c>
      <c r="Z16" s="54">
        <v>0.7322338223457336</v>
      </c>
      <c r="AA16" s="54">
        <v>149.39236450195312</v>
      </c>
      <c r="AB16" s="54">
        <v>162.4059600830078</v>
      </c>
      <c r="AC16" s="54">
        <v>0.42842158675193787</v>
      </c>
      <c r="AD16" s="54">
        <v>154.6875</v>
      </c>
      <c r="AE16" s="57"/>
      <c r="AF16" s="57"/>
      <c r="AG16" s="57"/>
      <c r="AH16" s="57"/>
      <c r="AI16" s="57"/>
      <c r="AJ16" s="57"/>
      <c r="AK16" s="57"/>
      <c r="AL16" s="54">
        <v>26.58420181274414</v>
      </c>
      <c r="AM16" s="58">
        <v>0.007490234449505806</v>
      </c>
      <c r="AN16" s="59">
        <v>52.32566452026367</v>
      </c>
      <c r="AO16" s="60"/>
      <c r="AP16" s="61">
        <v>-80.39640808105469</v>
      </c>
      <c r="AQ16" s="61">
        <v>0.28920719027519226</v>
      </c>
      <c r="AR16" s="62">
        <v>0.00029438018100336194</v>
      </c>
    </row>
    <row r="17" spans="2:44" ht="13.5" customHeight="1" x14ac:dyDescent="0.25">
      <c r="B17" s="14">
        <v>0.29166666666666669</v>
      </c>
      <c r="C17" s="54">
        <v>14.0625</v>
      </c>
      <c r="D17" s="54">
        <v>18.25629425048828</v>
      </c>
      <c r="E17" s="54">
        <v>418.78790283203125</v>
      </c>
      <c r="F17" s="54">
        <v>0.33580470085144043</v>
      </c>
      <c r="G17" s="54">
        <v>0</v>
      </c>
      <c r="H17" s="55">
        <v>419.1732177734375</v>
      </c>
      <c r="I17" s="56">
        <v>6.45616340637207</v>
      </c>
      <c r="J17" s="54">
        <v>0.019783202558755875</v>
      </c>
      <c r="K17" s="54">
        <v>39.82204818725586</v>
      </c>
      <c r="L17" s="54">
        <v>1.2709780931472778</v>
      </c>
      <c r="M17" s="54">
        <v>109.94466400146484</v>
      </c>
      <c r="N17" s="54">
        <v>112.04426574707031</v>
      </c>
      <c r="O17" s="54">
        <v>20.065750122070312</v>
      </c>
      <c r="P17" s="54">
        <v>20.173828125</v>
      </c>
      <c r="Q17" s="54"/>
      <c r="R17" s="54">
        <v>2.64581298828125</v>
      </c>
      <c r="S17" s="54">
        <v>139.64120483398438</v>
      </c>
      <c r="T17" s="54">
        <v>1.6058123111724854</v>
      </c>
      <c r="U17" s="54">
        <v>0.2993570864200592</v>
      </c>
      <c r="V17" s="54">
        <v>0.3000546991825104</v>
      </c>
      <c r="W17" s="54">
        <v>90.234375</v>
      </c>
      <c r="X17" s="54">
        <v>0.5308480262756348</v>
      </c>
      <c r="Y17" s="54" t="s">
        <v>82</v>
      </c>
      <c r="Z17" s="54">
        <v>0.7359954118728638</v>
      </c>
      <c r="AA17" s="54">
        <v>149.3127899169922</v>
      </c>
      <c r="AB17" s="54">
        <v>162.3770294189453</v>
      </c>
      <c r="AC17" s="54">
        <v>0.4051287770271301</v>
      </c>
      <c r="AD17" s="54">
        <v>154.94790649414062</v>
      </c>
      <c r="AE17" s="57"/>
      <c r="AF17" s="57"/>
      <c r="AG17" s="57"/>
      <c r="AH17" s="57"/>
      <c r="AI17" s="57"/>
      <c r="AJ17" s="57"/>
      <c r="AK17" s="57"/>
      <c r="AL17" s="54">
        <v>0</v>
      </c>
      <c r="AM17" s="58">
        <v>0.007026367355138063</v>
      </c>
      <c r="AN17" s="59">
        <v>50.60402297973633</v>
      </c>
      <c r="AO17" s="60"/>
      <c r="AP17" s="61">
        <v>-80.31684112548828</v>
      </c>
      <c r="AQ17" s="61">
        <v>0.29824942350387573</v>
      </c>
      <c r="AR17" s="62">
        <v>0.00029492186149582267</v>
      </c>
    </row>
    <row r="18" spans="2:44" ht="13.5" customHeight="1" x14ac:dyDescent="0.25">
      <c r="B18" s="42">
        <v>0.33333333333333331</v>
      </c>
      <c r="C18" s="63">
        <v>11.664496421813965</v>
      </c>
      <c r="D18" s="63">
        <v>18.48958396911621</v>
      </c>
      <c r="E18" s="63">
        <v>418.78790283203125</v>
      </c>
      <c r="F18" s="63">
        <v>0.1922890692949295</v>
      </c>
      <c r="G18" s="63">
        <v>0</v>
      </c>
      <c r="H18" s="64">
        <v>419.1732177734375</v>
      </c>
      <c r="I18" s="65">
        <v>28.8375301361084</v>
      </c>
      <c r="J18" s="63">
        <v>0.01991943269968033</v>
      </c>
      <c r="K18" s="63">
        <v>39.127601623535156</v>
      </c>
      <c r="L18" s="63">
        <v>1.2358037233352661</v>
      </c>
      <c r="M18" s="63">
        <v>109.2502212524414</v>
      </c>
      <c r="N18" s="63">
        <v>114.14930725097656</v>
      </c>
      <c r="O18" s="63">
        <v>20.399320602416992</v>
      </c>
      <c r="P18" s="63">
        <v>20.154296875</v>
      </c>
      <c r="Q18" s="63"/>
      <c r="R18" s="63">
        <v>2.5968017578125</v>
      </c>
      <c r="S18" s="63">
        <v>139.5833282470703</v>
      </c>
      <c r="T18" s="63">
        <v>1.6077111959457397</v>
      </c>
      <c r="U18" s="63">
        <v>0.30161771178245544</v>
      </c>
      <c r="V18" s="63">
        <v>0.2997343838214874</v>
      </c>
      <c r="W18" s="63">
        <v>90.66117095947266</v>
      </c>
      <c r="X18" s="63">
        <v>0.5272961854934692</v>
      </c>
      <c r="Y18" s="63">
        <v>0.5303375720977783</v>
      </c>
      <c r="Z18" s="63">
        <v>0.7283565402030945</v>
      </c>
      <c r="AA18" s="63">
        <v>149.4429931640625</v>
      </c>
      <c r="AB18" s="63">
        <v>162.6591339111328</v>
      </c>
      <c r="AC18" s="63">
        <v>0.6271701455116272</v>
      </c>
      <c r="AD18" s="63">
        <v>154.73812866210938</v>
      </c>
      <c r="AE18" s="66">
        <v>32.7400016784668</v>
      </c>
      <c r="AF18" s="66"/>
      <c r="AG18" s="66"/>
      <c r="AH18" s="66">
        <v>16.459999084472656</v>
      </c>
      <c r="AI18" s="66"/>
      <c r="AJ18" s="66"/>
      <c r="AK18" s="66">
        <v>7.039999961853027</v>
      </c>
      <c r="AL18" s="63">
        <v>3.501157283782959</v>
      </c>
      <c r="AM18" s="67">
        <v>0.006937500089406967</v>
      </c>
      <c r="AN18" s="68">
        <v>48.5243034362793</v>
      </c>
      <c r="AO18" s="60"/>
      <c r="AP18" s="61">
        <v>-80.2228012084961</v>
      </c>
      <c r="AQ18" s="61">
        <v>0.2840711772441864</v>
      </c>
      <c r="AR18" s="69">
        <v>0.00029203033773228526</v>
      </c>
    </row>
    <row r="19" spans="2:44" ht="18" customHeight="1" x14ac:dyDescent="0.25">
      <c r="B19" s="122" t="s">
        <v>181</v>
      </c>
      <c r="C19" s="36" t="s">
        <v>168</v>
      </c>
      <c r="D19" s="36" t="s">
        <v>171</v>
      </c>
      <c r="E19" s="137" t="s">
        <v>17</v>
      </c>
      <c r="F19" s="138"/>
      <c r="G19" s="139"/>
      <c r="H19" s="140" t="s">
        <v>108</v>
      </c>
      <c r="I19" s="138"/>
      <c r="J19" s="138"/>
      <c r="K19" s="138"/>
      <c r="L19" s="141"/>
      <c r="M19" s="142" t="s">
        <v>123</v>
      </c>
      <c r="N19" s="138"/>
      <c r="O19" s="138"/>
      <c r="P19" s="138"/>
      <c r="Q19" s="139"/>
      <c r="R19" s="140" t="s">
        <v>147</v>
      </c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9"/>
      <c r="AG19" s="143" t="s">
        <v>24</v>
      </c>
      <c r="AH19" s="139"/>
      <c r="AI19" s="119" t="s">
        <v>173</v>
      </c>
      <c r="AJ19" s="120"/>
      <c r="AK19" s="120"/>
      <c r="AL19" s="120"/>
      <c r="AM19" s="121"/>
      <c r="AN19" s="143" t="s">
        <v>47</v>
      </c>
      <c r="AO19" s="144"/>
      <c r="AP19" s="138" t="s">
        <v>180</v>
      </c>
      <c r="AQ19" s="145"/>
      <c r="AR19" s="146"/>
    </row>
    <row r="20" spans="2:44" ht="20.15" customHeight="1" x14ac:dyDescent="0.25">
      <c r="B20" s="123"/>
      <c r="C20" s="3" t="s">
        <v>169</v>
      </c>
      <c r="D20" s="3" t="s">
        <v>113</v>
      </c>
      <c r="E20" s="3" t="s">
        <v>15</v>
      </c>
      <c r="F20" s="117" t="s">
        <v>100</v>
      </c>
      <c r="G20" s="118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1" t="s">
        <v>148</v>
      </c>
      <c r="AE20" s="118"/>
      <c r="AF20" s="17" t="s">
        <v>151</v>
      </c>
      <c r="AG20" s="17" t="s">
        <v>153</v>
      </c>
      <c r="AH20" s="17" t="s">
        <v>155</v>
      </c>
      <c r="AI20" s="112" t="s">
        <v>89</v>
      </c>
      <c r="AJ20" s="113"/>
      <c r="AK20" s="112" t="s">
        <v>92</v>
      </c>
      <c r="AL20" s="113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3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54">
        <v>-80.25173950195312</v>
      </c>
      <c r="D22" s="54">
        <v>-80.52661895751953</v>
      </c>
      <c r="E22" s="54">
        <v>103.12861633300781</v>
      </c>
      <c r="F22" s="54">
        <v>0.08253761380910873</v>
      </c>
      <c r="G22" s="54"/>
      <c r="H22" s="54"/>
      <c r="I22" s="54"/>
      <c r="J22" s="54"/>
      <c r="K22" s="54"/>
      <c r="L22" s="55"/>
      <c r="M22" s="70">
        <v>79.5717544555664</v>
      </c>
      <c r="N22" s="54">
        <v>47.37413024902344</v>
      </c>
      <c r="O22" s="54">
        <v>39.5</v>
      </c>
      <c r="P22" s="54">
        <v>22</v>
      </c>
      <c r="Q22" s="54">
        <v>3.442274332046509</v>
      </c>
      <c r="R22" s="54">
        <v>17.4515323638916</v>
      </c>
      <c r="S22" s="71">
        <v>92.62152862548828</v>
      </c>
      <c r="T22" s="71">
        <v>0</v>
      </c>
      <c r="U22" s="71">
        <v>0</v>
      </c>
      <c r="V22" s="71">
        <v>18.59809112548828</v>
      </c>
      <c r="W22" s="71">
        <v>55.154083251953125</v>
      </c>
      <c r="X22" s="71">
        <v>29</v>
      </c>
      <c r="Y22" s="71">
        <v>80.04521179199219</v>
      </c>
      <c r="Z22" s="71">
        <v>14.0480318069458</v>
      </c>
      <c r="AA22" s="71">
        <v>16.71006965637207</v>
      </c>
      <c r="AB22" s="71"/>
      <c r="AC22" s="58"/>
      <c r="AD22" s="58">
        <v>0</v>
      </c>
      <c r="AE22" s="58"/>
      <c r="AF22" s="58">
        <v>20.36675262451172</v>
      </c>
      <c r="AG22" s="58">
        <v>19.610820770263672</v>
      </c>
      <c r="AH22" s="58"/>
      <c r="AI22" s="72"/>
      <c r="AJ22" s="72"/>
      <c r="AK22" s="72"/>
      <c r="AL22" s="72"/>
      <c r="AM22" s="72"/>
      <c r="AN22" s="58">
        <v>52.177371978759766</v>
      </c>
      <c r="AO22" s="59">
        <v>50</v>
      </c>
      <c r="AP22" s="60">
        <v>23.943864822387695</v>
      </c>
      <c r="AQ22" s="61">
        <v>41.58347702026367</v>
      </c>
      <c r="AR22" s="62">
        <v>0.075958251953125</v>
      </c>
    </row>
    <row r="23" spans="2:44" ht="13.5" customHeight="1" x14ac:dyDescent="0.25">
      <c r="B23" s="14">
        <v>0.875</v>
      </c>
      <c r="C23" s="54">
        <v>-80.078125</v>
      </c>
      <c r="D23" s="54">
        <v>-80.46875</v>
      </c>
      <c r="E23" s="54">
        <v>103.13584899902344</v>
      </c>
      <c r="F23" s="54">
        <v>0.10648148506879807</v>
      </c>
      <c r="G23" s="54">
        <v>9.515952842775732E-05</v>
      </c>
      <c r="H23" s="54"/>
      <c r="I23" s="54"/>
      <c r="J23" s="54"/>
      <c r="K23" s="54"/>
      <c r="L23" s="55"/>
      <c r="M23" s="70">
        <v>79.64771270751953</v>
      </c>
      <c r="N23" s="54">
        <v>47.47540283203125</v>
      </c>
      <c r="O23" s="54">
        <v>39.5</v>
      </c>
      <c r="P23" s="54">
        <v>22</v>
      </c>
      <c r="Q23" s="54">
        <v>3.3138020038604736</v>
      </c>
      <c r="R23" s="54">
        <v>18.211082458496094</v>
      </c>
      <c r="S23" s="71">
        <v>94.04296875</v>
      </c>
      <c r="T23" s="71">
        <v>0</v>
      </c>
      <c r="U23" s="71">
        <v>0</v>
      </c>
      <c r="V23" s="71">
        <v>18.41362953186035</v>
      </c>
      <c r="W23" s="71">
        <v>53.21723175048828</v>
      </c>
      <c r="X23" s="71">
        <v>29</v>
      </c>
      <c r="Y23" s="71">
        <v>80.84129333496094</v>
      </c>
      <c r="Z23" s="71">
        <v>14.36631965637207</v>
      </c>
      <c r="AA23" s="71">
        <v>17.57270050048828</v>
      </c>
      <c r="AB23" s="71"/>
      <c r="AC23" s="58"/>
      <c r="AD23" s="58">
        <v>1.54833984375</v>
      </c>
      <c r="AE23" s="58">
        <v>0.0014170226640999317</v>
      </c>
      <c r="AF23" s="58">
        <v>20.60546875</v>
      </c>
      <c r="AG23" s="58">
        <v>31.094472885131836</v>
      </c>
      <c r="AH23" s="58">
        <v>605.4000244140625</v>
      </c>
      <c r="AI23" s="72"/>
      <c r="AJ23" s="72"/>
      <c r="AK23" s="72"/>
      <c r="AL23" s="72"/>
      <c r="AM23" s="72"/>
      <c r="AN23" s="58">
        <v>51.09953689575195</v>
      </c>
      <c r="AO23" s="59">
        <v>50</v>
      </c>
      <c r="AP23" s="60">
        <v>25.517215728759766</v>
      </c>
      <c r="AQ23" s="61">
        <v>41.015625</v>
      </c>
      <c r="AR23" s="62">
        <v>0.075958251953125</v>
      </c>
    </row>
    <row r="24" spans="2:44" ht="13.5" customHeight="1" x14ac:dyDescent="0.25">
      <c r="B24" s="41" t="s">
        <v>271</v>
      </c>
      <c r="C24" s="54">
        <v>-80.16493225097656</v>
      </c>
      <c r="D24" s="54">
        <v>-80.57002258300781</v>
      </c>
      <c r="E24" s="54">
        <v>103.13223266601562</v>
      </c>
      <c r="F24" s="54">
        <v>0.0980902761220932</v>
      </c>
      <c r="G24" s="54">
        <v>9.389686601934955E-05</v>
      </c>
      <c r="H24" s="54"/>
      <c r="I24" s="54"/>
      <c r="J24" s="54"/>
      <c r="K24" s="54"/>
      <c r="L24" s="55"/>
      <c r="M24" s="70">
        <v>80.13599395751953</v>
      </c>
      <c r="N24" s="54">
        <v>47.424766540527344</v>
      </c>
      <c r="O24" s="54">
        <v>39.5</v>
      </c>
      <c r="P24" s="54">
        <v>22</v>
      </c>
      <c r="Q24" s="54">
        <v>3.2408854961395264</v>
      </c>
      <c r="R24" s="54">
        <v>18.359375</v>
      </c>
      <c r="S24" s="71">
        <v>96.49522399902344</v>
      </c>
      <c r="T24" s="71">
        <v>0</v>
      </c>
      <c r="U24" s="71">
        <v>0</v>
      </c>
      <c r="V24" s="71">
        <v>18.359375</v>
      </c>
      <c r="W24" s="71">
        <v>51.681861877441406</v>
      </c>
      <c r="X24" s="71">
        <v>29</v>
      </c>
      <c r="Y24" s="71">
        <v>81.16645050048828</v>
      </c>
      <c r="Z24" s="71">
        <v>14.398871421813965</v>
      </c>
      <c r="AA24" s="71">
        <v>17.7734375</v>
      </c>
      <c r="AB24" s="71"/>
      <c r="AC24" s="58"/>
      <c r="AD24" s="58">
        <v>1.5482856035232544</v>
      </c>
      <c r="AE24" s="58">
        <v>0.0015037842094898224</v>
      </c>
      <c r="AF24" s="58">
        <v>20.540363311767578</v>
      </c>
      <c r="AG24" s="58">
        <v>15.14756965637207</v>
      </c>
      <c r="AH24" s="58">
        <v>555.2999877929688</v>
      </c>
      <c r="AI24" s="72"/>
      <c r="AJ24" s="72"/>
      <c r="AK24" s="72"/>
      <c r="AL24" s="72"/>
      <c r="AM24" s="72"/>
      <c r="AN24" s="58">
        <v>50.0868034362793</v>
      </c>
      <c r="AO24" s="59">
        <v>50</v>
      </c>
      <c r="AP24" s="60">
        <v>26.756004333496094</v>
      </c>
      <c r="AQ24" s="61">
        <v>40.227142333984375</v>
      </c>
      <c r="AR24" s="62">
        <v>0.075958251953125</v>
      </c>
    </row>
    <row r="25" spans="2:44" ht="13.5" customHeight="1" x14ac:dyDescent="0.25">
      <c r="B25" s="14">
        <v>0.95833333333333337</v>
      </c>
      <c r="C25" s="54">
        <v>-80.11429595947266</v>
      </c>
      <c r="D25" s="54">
        <v>-80.50492095947266</v>
      </c>
      <c r="E25" s="54">
        <v>103.13223266601562</v>
      </c>
      <c r="F25" s="54">
        <v>0.10062211006879807</v>
      </c>
      <c r="G25" s="54">
        <v>9.729767043609172E-05</v>
      </c>
      <c r="H25" s="54"/>
      <c r="I25" s="54"/>
      <c r="J25" s="54"/>
      <c r="K25" s="54"/>
      <c r="L25" s="55"/>
      <c r="M25" s="70">
        <v>79.95153045654297</v>
      </c>
      <c r="N25" s="54">
        <v>47.14265060424805</v>
      </c>
      <c r="O25" s="54">
        <v>39.5</v>
      </c>
      <c r="P25" s="54">
        <v>22</v>
      </c>
      <c r="Q25" s="54">
        <v>3.527777910232544</v>
      </c>
      <c r="R25" s="54">
        <v>18.362991333007812</v>
      </c>
      <c r="S25" s="71">
        <v>95.59823608398438</v>
      </c>
      <c r="T25" s="71">
        <v>0</v>
      </c>
      <c r="U25" s="71">
        <v>0</v>
      </c>
      <c r="V25" s="71">
        <v>18.27256965637207</v>
      </c>
      <c r="W25" s="71">
        <v>50.57508850097656</v>
      </c>
      <c r="X25" s="71">
        <v>25.5</v>
      </c>
      <c r="Y25" s="71">
        <v>70.79499816894531</v>
      </c>
      <c r="Z25" s="71">
        <v>13.92686653137207</v>
      </c>
      <c r="AA25" s="71">
        <v>17.654081344604492</v>
      </c>
      <c r="AB25" s="71"/>
      <c r="AC25" s="58"/>
      <c r="AD25" s="58">
        <v>1.5483940839767456</v>
      </c>
      <c r="AE25" s="58">
        <v>0.0014379272470250726</v>
      </c>
      <c r="AF25" s="58">
        <v>20.449941635131836</v>
      </c>
      <c r="AG25" s="58">
        <v>17.50217056274414</v>
      </c>
      <c r="AH25" s="58">
        <v>172.60000610351562</v>
      </c>
      <c r="AI25" s="72"/>
      <c r="AJ25" s="72"/>
      <c r="AK25" s="72"/>
      <c r="AL25" s="72"/>
      <c r="AM25" s="72"/>
      <c r="AN25" s="58">
        <v>49.1102409362793</v>
      </c>
      <c r="AO25" s="59">
        <v>50</v>
      </c>
      <c r="AP25" s="60">
        <v>27.352792739868164</v>
      </c>
      <c r="AQ25" s="61">
        <v>40.2235221862793</v>
      </c>
      <c r="AR25" s="62">
        <v>0.075958251953125</v>
      </c>
    </row>
    <row r="26" spans="2:44" ht="13.5" customHeight="1" x14ac:dyDescent="0.25">
      <c r="B26" s="41" t="s">
        <v>272</v>
      </c>
      <c r="C26" s="54">
        <v>-80.1287612915039</v>
      </c>
      <c r="D26" s="54">
        <v>-80.51215362548828</v>
      </c>
      <c r="E26" s="54">
        <v>103.125</v>
      </c>
      <c r="F26" s="54">
        <v>0.10170717537403107</v>
      </c>
      <c r="G26" s="54">
        <v>9.846687316894531E-05</v>
      </c>
      <c r="H26" s="54"/>
      <c r="I26" s="54"/>
      <c r="J26" s="54"/>
      <c r="K26" s="54"/>
      <c r="L26" s="55"/>
      <c r="M26" s="70">
        <v>79.85025787353516</v>
      </c>
      <c r="N26" s="54">
        <v>47.120948791503906</v>
      </c>
      <c r="O26" s="54">
        <v>39.5</v>
      </c>
      <c r="P26" s="54">
        <v>22</v>
      </c>
      <c r="Q26" s="54">
        <v>3.6896700859069824</v>
      </c>
      <c r="R26" s="54">
        <v>18.362991333007812</v>
      </c>
      <c r="S26" s="71">
        <v>95.81886291503906</v>
      </c>
      <c r="T26" s="71">
        <v>0</v>
      </c>
      <c r="U26" s="71">
        <v>0</v>
      </c>
      <c r="V26" s="71">
        <v>18.38107681274414</v>
      </c>
      <c r="W26" s="71">
        <v>49.40321350097656</v>
      </c>
      <c r="X26" s="71">
        <v>25.5</v>
      </c>
      <c r="Y26" s="71">
        <v>70.85105895996094</v>
      </c>
      <c r="Z26" s="71">
        <v>14.055266380310059</v>
      </c>
      <c r="AA26" s="71">
        <v>17.68120765686035</v>
      </c>
      <c r="AB26" s="71"/>
      <c r="AC26" s="58"/>
      <c r="AD26" s="58">
        <v>1.5482856035232544</v>
      </c>
      <c r="AE26" s="58">
        <v>0.0015477599808946252</v>
      </c>
      <c r="AF26" s="58">
        <v>20.905670166015625</v>
      </c>
      <c r="AG26" s="58">
        <v>26.11762046813965</v>
      </c>
      <c r="AH26" s="58"/>
      <c r="AI26" s="72"/>
      <c r="AJ26" s="72"/>
      <c r="AK26" s="72"/>
      <c r="AL26" s="72"/>
      <c r="AM26" s="72"/>
      <c r="AN26" s="58">
        <v>47.97453689575195</v>
      </c>
      <c r="AO26" s="59">
        <v>50</v>
      </c>
      <c r="AP26" s="60">
        <v>27.39800262451172</v>
      </c>
      <c r="AQ26" s="61">
        <v>39.65928649902344</v>
      </c>
      <c r="AR26" s="62">
        <v>0.075958251953125</v>
      </c>
    </row>
    <row r="27" spans="2:44" ht="13.5" customHeight="1" x14ac:dyDescent="0.25">
      <c r="B27" s="14">
        <v>4.1666666666666664E-2</v>
      </c>
      <c r="C27" s="54">
        <v>-80.14323425292969</v>
      </c>
      <c r="D27" s="54">
        <v>-80.52661895751953</v>
      </c>
      <c r="E27" s="54">
        <v>103.125</v>
      </c>
      <c r="F27" s="54">
        <v>0.08666087687015533</v>
      </c>
      <c r="G27" s="54">
        <v>9.524726920062676E-05</v>
      </c>
      <c r="H27" s="54"/>
      <c r="I27" s="54"/>
      <c r="J27" s="54"/>
      <c r="K27" s="54"/>
      <c r="L27" s="55"/>
      <c r="M27" s="70">
        <v>79.48857116699219</v>
      </c>
      <c r="N27" s="54">
        <v>46.99797439575195</v>
      </c>
      <c r="O27" s="54">
        <v>39.5</v>
      </c>
      <c r="P27" s="54">
        <v>22</v>
      </c>
      <c r="Q27" s="54">
        <v>3.4518229961395264</v>
      </c>
      <c r="R27" s="54">
        <v>18.645109176635742</v>
      </c>
      <c r="S27" s="71">
        <v>95.79716491699219</v>
      </c>
      <c r="T27" s="71">
        <v>0</v>
      </c>
      <c r="U27" s="71">
        <v>0</v>
      </c>
      <c r="V27" s="71">
        <v>18.60894203186035</v>
      </c>
      <c r="W27" s="71">
        <v>48.28016662597656</v>
      </c>
      <c r="X27" s="71">
        <v>25.5</v>
      </c>
      <c r="Y27" s="71">
        <v>70.36892700195312</v>
      </c>
      <c r="Z27" s="71">
        <v>13.85633659362793</v>
      </c>
      <c r="AA27" s="71">
        <v>18.05013084411621</v>
      </c>
      <c r="AB27" s="71"/>
      <c r="AC27" s="58"/>
      <c r="AD27" s="58">
        <v>1.5482313632965088</v>
      </c>
      <c r="AE27" s="58">
        <v>0.0014833068707957864</v>
      </c>
      <c r="AF27" s="58">
        <v>20.68142318725586</v>
      </c>
      <c r="AG27" s="58">
        <v>21.607349395751953</v>
      </c>
      <c r="AH27" s="58"/>
      <c r="AI27" s="72"/>
      <c r="AJ27" s="72"/>
      <c r="AK27" s="72"/>
      <c r="AL27" s="72"/>
      <c r="AM27" s="72"/>
      <c r="AN27" s="58">
        <v>46.86776351928711</v>
      </c>
      <c r="AO27" s="59">
        <v>50</v>
      </c>
      <c r="AP27" s="60">
        <v>27.135778427124023</v>
      </c>
      <c r="AQ27" s="61">
        <v>39.96310806274414</v>
      </c>
      <c r="AR27" s="62">
        <v>0.075958251953125</v>
      </c>
    </row>
    <row r="28" spans="2:44" ht="13.5" customHeight="1" x14ac:dyDescent="0.25">
      <c r="B28" s="41" t="s">
        <v>273</v>
      </c>
      <c r="C28" s="54">
        <v>-80.20833587646484</v>
      </c>
      <c r="D28" s="54">
        <v>-80.48321533203125</v>
      </c>
      <c r="E28" s="54">
        <v>103.12861633300781</v>
      </c>
      <c r="F28" s="54">
        <v>0.10163483768701553</v>
      </c>
      <c r="G28" s="54">
        <v>9.928893996402621E-05</v>
      </c>
      <c r="H28" s="54"/>
      <c r="I28" s="54"/>
      <c r="J28" s="54"/>
      <c r="K28" s="54"/>
      <c r="L28" s="55"/>
      <c r="M28" s="70">
        <v>77.85372924804688</v>
      </c>
      <c r="N28" s="54">
        <v>47.507957458496094</v>
      </c>
      <c r="O28" s="54">
        <v>39.5</v>
      </c>
      <c r="P28" s="54">
        <v>22</v>
      </c>
      <c r="Q28" s="54">
        <v>3.4192707538604736</v>
      </c>
      <c r="R28" s="54">
        <v>18.82595443725586</v>
      </c>
      <c r="S28" s="71">
        <v>96.62543487548828</v>
      </c>
      <c r="T28" s="71">
        <v>0</v>
      </c>
      <c r="U28" s="71">
        <v>0</v>
      </c>
      <c r="V28" s="71">
        <v>19.24913215637207</v>
      </c>
      <c r="W28" s="71">
        <v>47.37955856323242</v>
      </c>
      <c r="X28" s="71">
        <v>25.5</v>
      </c>
      <c r="Y28" s="71">
        <v>70.2960433959961</v>
      </c>
      <c r="Z28" s="71">
        <v>13.932291030883789</v>
      </c>
      <c r="AA28" s="71">
        <v>18.37022590637207</v>
      </c>
      <c r="AB28" s="71"/>
      <c r="AC28" s="58"/>
      <c r="AD28" s="58">
        <v>1.5482856035232544</v>
      </c>
      <c r="AE28" s="58">
        <v>0.001226165797561407</v>
      </c>
      <c r="AF28" s="58">
        <v>20.782695770263672</v>
      </c>
      <c r="AG28" s="58">
        <v>16.691984176635742</v>
      </c>
      <c r="AH28" s="58"/>
      <c r="AI28" s="72"/>
      <c r="AJ28" s="72"/>
      <c r="AK28" s="72"/>
      <c r="AL28" s="72"/>
      <c r="AM28" s="72"/>
      <c r="AN28" s="58">
        <v>45.99971008300781</v>
      </c>
      <c r="AO28" s="59">
        <v>50</v>
      </c>
      <c r="AP28" s="60">
        <v>27.53363800048828</v>
      </c>
      <c r="AQ28" s="61">
        <v>39.56163024902344</v>
      </c>
      <c r="AR28" s="62">
        <v>0.0651092529296875</v>
      </c>
    </row>
    <row r="29" spans="2:44" ht="13.5" customHeight="1" x14ac:dyDescent="0.25">
      <c r="B29" s="14">
        <v>0.125</v>
      </c>
      <c r="C29" s="54">
        <v>-80.33130645751953</v>
      </c>
      <c r="D29" s="54">
        <v>-80.50492095947266</v>
      </c>
      <c r="E29" s="54">
        <v>103.125</v>
      </c>
      <c r="F29" s="54">
        <v>0.10141782462596893</v>
      </c>
      <c r="G29" s="54">
        <v>9.325408609583974E-05</v>
      </c>
      <c r="H29" s="54"/>
      <c r="I29" s="54"/>
      <c r="J29" s="54"/>
      <c r="K29" s="54"/>
      <c r="L29" s="55"/>
      <c r="M29" s="70">
        <v>77.74884033203125</v>
      </c>
      <c r="N29" s="54">
        <v>47.39944839477539</v>
      </c>
      <c r="O29" s="54">
        <v>39.5</v>
      </c>
      <c r="P29" s="54">
        <v>22</v>
      </c>
      <c r="Q29" s="54">
        <v>3.3381075859069824</v>
      </c>
      <c r="R29" s="54">
        <v>19.285301208496094</v>
      </c>
      <c r="S29" s="71">
        <v>93.3376693725586</v>
      </c>
      <c r="T29" s="71">
        <v>0</v>
      </c>
      <c r="U29" s="71">
        <v>0</v>
      </c>
      <c r="V29" s="71">
        <v>19.862197875976562</v>
      </c>
      <c r="W29" s="71">
        <v>46.565757751464844</v>
      </c>
      <c r="X29" s="71">
        <v>26</v>
      </c>
      <c r="Y29" s="71">
        <v>71.51819610595703</v>
      </c>
      <c r="Z29" s="71">
        <v>13.916015625</v>
      </c>
      <c r="AA29" s="71">
        <v>18.619792938232422</v>
      </c>
      <c r="AB29" s="71"/>
      <c r="AC29" s="58"/>
      <c r="AD29" s="58">
        <v>1.5482856035232544</v>
      </c>
      <c r="AE29" s="58">
        <v>0.0014581909636035562</v>
      </c>
      <c r="AF29" s="58">
        <v>20.80078125</v>
      </c>
      <c r="AG29" s="58">
        <v>19.071903228759766</v>
      </c>
      <c r="AH29" s="58"/>
      <c r="AI29" s="72"/>
      <c r="AJ29" s="72"/>
      <c r="AK29" s="72"/>
      <c r="AL29" s="72"/>
      <c r="AM29" s="72"/>
      <c r="AN29" s="58">
        <v>45.13888931274414</v>
      </c>
      <c r="AO29" s="59">
        <v>50</v>
      </c>
      <c r="AP29" s="60">
        <v>27.651185989379883</v>
      </c>
      <c r="AQ29" s="61">
        <v>39.76055908203125</v>
      </c>
      <c r="AR29" s="62">
        <v>0.075958251953125</v>
      </c>
    </row>
    <row r="30" spans="2:44" ht="13.5" customHeight="1" x14ac:dyDescent="0.25">
      <c r="B30" s="14">
        <v>0.16666666666666666</v>
      </c>
      <c r="C30" s="54">
        <v>-80.31684112548828</v>
      </c>
      <c r="D30" s="54">
        <v>-80.51215362548828</v>
      </c>
      <c r="E30" s="54">
        <v>103.12138366699219</v>
      </c>
      <c r="F30" s="54">
        <v>0.0822482630610466</v>
      </c>
      <c r="G30" s="54">
        <v>9.175873128697276E-05</v>
      </c>
      <c r="H30" s="54"/>
      <c r="I30" s="54"/>
      <c r="J30" s="54"/>
      <c r="K30" s="54"/>
      <c r="L30" s="55"/>
      <c r="M30" s="70">
        <v>79.39814758300781</v>
      </c>
      <c r="N30" s="54">
        <v>47.04499435424805</v>
      </c>
      <c r="O30" s="54">
        <v>39.5</v>
      </c>
      <c r="P30" s="54">
        <v>22</v>
      </c>
      <c r="Q30" s="54">
        <v>3.62890625</v>
      </c>
      <c r="R30" s="54">
        <v>19.09722137451172</v>
      </c>
      <c r="S30" s="71">
        <v>91.9740982055664</v>
      </c>
      <c r="T30" s="71">
        <v>0</v>
      </c>
      <c r="U30" s="71">
        <v>0</v>
      </c>
      <c r="V30" s="71">
        <v>20.55121612548828</v>
      </c>
      <c r="W30" s="71">
        <v>45.730255126953125</v>
      </c>
      <c r="X30" s="71">
        <v>26</v>
      </c>
      <c r="Y30" s="71">
        <v>71.42849731445312</v>
      </c>
      <c r="Z30" s="71">
        <v>13.666449546813965</v>
      </c>
      <c r="AA30" s="71">
        <v>18.47873306274414</v>
      </c>
      <c r="AB30" s="71"/>
      <c r="AC30" s="58"/>
      <c r="AD30" s="58">
        <v>1.5482856035232544</v>
      </c>
      <c r="AE30" s="58">
        <v>0.0015220337081700563</v>
      </c>
      <c r="AF30" s="58">
        <v>20.46440887451172</v>
      </c>
      <c r="AG30" s="58">
        <v>19.006799697875977</v>
      </c>
      <c r="AH30" s="58"/>
      <c r="AI30" s="72"/>
      <c r="AJ30" s="72"/>
      <c r="AK30" s="72"/>
      <c r="AL30" s="72"/>
      <c r="AM30" s="72"/>
      <c r="AN30" s="58">
        <v>44.299766540527344</v>
      </c>
      <c r="AO30" s="59">
        <v>50</v>
      </c>
      <c r="AP30" s="60">
        <v>26.566116333007812</v>
      </c>
      <c r="AQ30" s="61">
        <v>39.53269577026367</v>
      </c>
      <c r="AR30" s="62">
        <v>0.05426025390625</v>
      </c>
    </row>
    <row r="31" spans="2:44" ht="13.5" customHeight="1" x14ac:dyDescent="0.25">
      <c r="B31" s="14">
        <v>0.20833333333333334</v>
      </c>
      <c r="C31" s="54">
        <v>-80.37471008300781</v>
      </c>
      <c r="D31" s="54">
        <v>-80.50492095947266</v>
      </c>
      <c r="E31" s="54">
        <v>103.12138366699219</v>
      </c>
      <c r="F31" s="54">
        <v>0.0978732630610466</v>
      </c>
      <c r="G31" s="54">
        <v>9.460067667532712E-05</v>
      </c>
      <c r="H31" s="54"/>
      <c r="I31" s="54"/>
      <c r="J31" s="54"/>
      <c r="K31" s="54"/>
      <c r="L31" s="55"/>
      <c r="M31" s="70">
        <v>79.65494537353516</v>
      </c>
      <c r="N31" s="54">
        <v>47.39944839477539</v>
      </c>
      <c r="O31" s="54">
        <v>39.5</v>
      </c>
      <c r="P31" s="54">
        <v>22</v>
      </c>
      <c r="Q31" s="54">
        <v>3.515625</v>
      </c>
      <c r="R31" s="54">
        <v>18.948928833007812</v>
      </c>
      <c r="S31" s="71">
        <v>94.26359558105469</v>
      </c>
      <c r="T31" s="71">
        <v>0</v>
      </c>
      <c r="U31" s="71">
        <v>0</v>
      </c>
      <c r="V31" s="71">
        <v>21.522354125976562</v>
      </c>
      <c r="W31" s="71">
        <v>44.927303314208984</v>
      </c>
      <c r="X31" s="71">
        <v>26</v>
      </c>
      <c r="Y31" s="71">
        <v>70.98560333251953</v>
      </c>
      <c r="Z31" s="71">
        <v>13.572409629821777</v>
      </c>
      <c r="AA31" s="71">
        <v>18.45160675048828</v>
      </c>
      <c r="AB31" s="71"/>
      <c r="AC31" s="58"/>
      <c r="AD31" s="58">
        <v>1.5482856035232544</v>
      </c>
      <c r="AE31" s="58">
        <v>0.001450836192816496</v>
      </c>
      <c r="AF31" s="58">
        <v>19.871238708496094</v>
      </c>
      <c r="AG31" s="58">
        <v>19.950809478759766</v>
      </c>
      <c r="AH31" s="58"/>
      <c r="AI31" s="72"/>
      <c r="AJ31" s="72"/>
      <c r="AK31" s="72"/>
      <c r="AL31" s="72"/>
      <c r="AM31" s="72"/>
      <c r="AN31" s="58">
        <v>43.40277862548828</v>
      </c>
      <c r="AO31" s="59">
        <v>50</v>
      </c>
      <c r="AP31" s="60">
        <v>25.345413208007812</v>
      </c>
      <c r="AQ31" s="61">
        <v>39.890769958496094</v>
      </c>
      <c r="AR31" s="62">
        <v>0.05426025390625</v>
      </c>
    </row>
    <row r="32" spans="2:44" ht="13.5" customHeight="1" x14ac:dyDescent="0.25">
      <c r="B32" s="14">
        <v>0.25</v>
      </c>
      <c r="C32" s="54">
        <v>-80.39640808105469</v>
      </c>
      <c r="D32" s="54">
        <v>-80.52661895751953</v>
      </c>
      <c r="E32" s="54">
        <v>103.11776733398438</v>
      </c>
      <c r="F32" s="54">
        <v>0.0948350727558136</v>
      </c>
      <c r="G32" s="54">
        <v>8.930587500799447E-05</v>
      </c>
      <c r="H32" s="54"/>
      <c r="I32" s="54"/>
      <c r="J32" s="54"/>
      <c r="K32" s="54"/>
      <c r="L32" s="55"/>
      <c r="M32" s="70">
        <v>80.04195404052734</v>
      </c>
      <c r="N32" s="54">
        <v>47.38498306274414</v>
      </c>
      <c r="O32" s="54">
        <v>39.5</v>
      </c>
      <c r="P32" s="54">
        <v>22</v>
      </c>
      <c r="Q32" s="54">
        <v>3.4513888359069824</v>
      </c>
      <c r="R32" s="54">
        <v>18.99956512451172</v>
      </c>
      <c r="S32" s="71">
        <v>92.97959899902344</v>
      </c>
      <c r="T32" s="71">
        <v>0</v>
      </c>
      <c r="U32" s="71">
        <v>0</v>
      </c>
      <c r="V32" s="71">
        <v>22.16254425048828</v>
      </c>
      <c r="W32" s="71">
        <v>44.140628814697266</v>
      </c>
      <c r="X32" s="71">
        <v>26</v>
      </c>
      <c r="Y32" s="71">
        <v>72.10684204101562</v>
      </c>
      <c r="Z32" s="71">
        <v>13.321035385131836</v>
      </c>
      <c r="AA32" s="71">
        <v>18.484159469604492</v>
      </c>
      <c r="AB32" s="71"/>
      <c r="AC32" s="58"/>
      <c r="AD32" s="58">
        <v>1.5482856035232544</v>
      </c>
      <c r="AE32" s="58">
        <v>0.001548858592286706</v>
      </c>
      <c r="AF32" s="58">
        <v>20.5078125</v>
      </c>
      <c r="AG32" s="58">
        <v>16.825809478759766</v>
      </c>
      <c r="AH32" s="58"/>
      <c r="AI32" s="72"/>
      <c r="AJ32" s="72"/>
      <c r="AK32" s="72"/>
      <c r="AL32" s="72"/>
      <c r="AM32" s="72"/>
      <c r="AN32" s="58">
        <v>42.585357666015625</v>
      </c>
      <c r="AO32" s="59">
        <v>50</v>
      </c>
      <c r="AP32" s="60">
        <v>24.947555541992188</v>
      </c>
      <c r="AQ32" s="61">
        <v>39.948638916015625</v>
      </c>
      <c r="AR32" s="62">
        <v>0.0434112548828125</v>
      </c>
    </row>
    <row r="33" spans="2:44" ht="13.5" customHeight="1" x14ac:dyDescent="0.25">
      <c r="B33" s="14">
        <v>0.29166666666666669</v>
      </c>
      <c r="C33" s="54">
        <v>-80.31684112548828</v>
      </c>
      <c r="D33" s="54">
        <v>-80.51215362548828</v>
      </c>
      <c r="E33" s="54">
        <v>103.125</v>
      </c>
      <c r="F33" s="54">
        <v>0.0993923619389534</v>
      </c>
      <c r="G33" s="54">
        <v>9.29641755647026E-05</v>
      </c>
      <c r="H33" s="54"/>
      <c r="I33" s="54"/>
      <c r="J33" s="54"/>
      <c r="K33" s="54"/>
      <c r="L33" s="55"/>
      <c r="M33" s="70">
        <v>79.91535949707031</v>
      </c>
      <c r="N33" s="54">
        <v>47.12456512451172</v>
      </c>
      <c r="O33" s="54">
        <v>39.5</v>
      </c>
      <c r="P33" s="54">
        <v>22</v>
      </c>
      <c r="Q33" s="54">
        <v>3.499131917953491</v>
      </c>
      <c r="R33" s="54">
        <v>19.115306854248047</v>
      </c>
      <c r="S33" s="71">
        <v>91.64496612548828</v>
      </c>
      <c r="T33" s="71">
        <v>0</v>
      </c>
      <c r="U33" s="71">
        <v>0</v>
      </c>
      <c r="V33" s="71">
        <v>22.59114646911621</v>
      </c>
      <c r="W33" s="71">
        <v>43.38107681274414</v>
      </c>
      <c r="X33" s="71">
        <v>26</v>
      </c>
      <c r="Y33" s="71">
        <v>71.55183410644531</v>
      </c>
      <c r="Z33" s="71">
        <v>13.198060989379883</v>
      </c>
      <c r="AA33" s="71">
        <v>18.54926300048828</v>
      </c>
      <c r="AB33" s="71"/>
      <c r="AC33" s="58"/>
      <c r="AD33" s="58">
        <v>1.5482313632965088</v>
      </c>
      <c r="AE33" s="58">
        <v>0.0014155884273350239</v>
      </c>
      <c r="AF33" s="58">
        <v>20.370370864868164</v>
      </c>
      <c r="AG33" s="58">
        <v>15.657551765441895</v>
      </c>
      <c r="AH33" s="58"/>
      <c r="AI33" s="72"/>
      <c r="AJ33" s="72"/>
      <c r="AK33" s="72"/>
      <c r="AL33" s="72"/>
      <c r="AM33" s="72"/>
      <c r="AN33" s="58">
        <v>41.746238708496094</v>
      </c>
      <c r="AO33" s="59">
        <v>50</v>
      </c>
      <c r="AP33" s="60">
        <v>24.287471771240234</v>
      </c>
      <c r="AQ33" s="61">
        <v>39.76055908203125</v>
      </c>
      <c r="AR33" s="62">
        <v>0.0434112548828125</v>
      </c>
    </row>
    <row r="34" spans="2:44" ht="13.5" customHeight="1" x14ac:dyDescent="0.25">
      <c r="B34" s="42">
        <v>0.33333333333333331</v>
      </c>
      <c r="C34" s="63">
        <v>-80.2228012084961</v>
      </c>
      <c r="D34" s="63">
        <v>-80.52661895751953</v>
      </c>
      <c r="E34" s="63">
        <v>103.125</v>
      </c>
      <c r="F34" s="63">
        <v>0.15726272761821747</v>
      </c>
      <c r="G34" s="63">
        <v>9.321594552602619E-05</v>
      </c>
      <c r="H34" s="63"/>
      <c r="I34" s="63"/>
      <c r="J34" s="63"/>
      <c r="K34" s="63"/>
      <c r="L34" s="64"/>
      <c r="M34" s="73">
        <v>79.01837158203125</v>
      </c>
      <c r="N34" s="63">
        <v>47.27647399902344</v>
      </c>
      <c r="O34" s="63">
        <v>39.5</v>
      </c>
      <c r="P34" s="63">
        <v>22</v>
      </c>
      <c r="Q34" s="63">
        <v>3.4513888359069824</v>
      </c>
      <c r="R34" s="63">
        <v>18.952545166015625</v>
      </c>
      <c r="S34" s="74">
        <v>94.29976654052734</v>
      </c>
      <c r="T34" s="74">
        <v>0</v>
      </c>
      <c r="U34" s="74">
        <v>0</v>
      </c>
      <c r="V34" s="74">
        <v>92.75716400146484</v>
      </c>
      <c r="W34" s="74">
        <v>101.31294250488281</v>
      </c>
      <c r="X34" s="74">
        <v>29</v>
      </c>
      <c r="Y34" s="74">
        <v>79.20989227294922</v>
      </c>
      <c r="Z34" s="74">
        <v>13.335503578186035</v>
      </c>
      <c r="AA34" s="74">
        <v>18.505859375</v>
      </c>
      <c r="AB34" s="74"/>
      <c r="AC34" s="67"/>
      <c r="AD34" s="67">
        <v>1.5481228828430176</v>
      </c>
      <c r="AE34" s="67">
        <v>0.0009281006059609354</v>
      </c>
      <c r="AF34" s="67">
        <v>19.96527671813965</v>
      </c>
      <c r="AG34" s="67">
        <v>53.02010726928711</v>
      </c>
      <c r="AH34" s="67"/>
      <c r="AI34" s="75">
        <v>5.809999942779541</v>
      </c>
      <c r="AJ34" s="75"/>
      <c r="AK34" s="75"/>
      <c r="AL34" s="75"/>
      <c r="AM34" s="75"/>
      <c r="AN34" s="67">
        <v>41.261573791503906</v>
      </c>
      <c r="AO34" s="68">
        <v>50</v>
      </c>
      <c r="AP34" s="76">
        <v>23.889612197875977</v>
      </c>
      <c r="AQ34" s="77">
        <v>39.558013916015625</v>
      </c>
      <c r="AR34" s="78">
        <v>0.05426025390625</v>
      </c>
    </row>
    <row r="35" spans="2:44" ht="15" customHeight="1" x14ac:dyDescent="0.25">
      <c r="B35" s="136" t="s">
        <v>181</v>
      </c>
      <c r="C35" s="137" t="s">
        <v>38</v>
      </c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  <c r="R35" s="166"/>
      <c r="S35" s="166"/>
      <c r="T35" s="166"/>
      <c r="U35" s="166"/>
      <c r="V35" s="166"/>
      <c r="W35" s="167" t="s">
        <v>216</v>
      </c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  <c r="AH35" s="168"/>
      <c r="AI35" s="168"/>
      <c r="AJ35" s="169"/>
      <c r="AK35" s="143" t="s">
        <v>48</v>
      </c>
      <c r="AL35" s="141"/>
      <c r="AM35" s="170" t="s">
        <v>223</v>
      </c>
      <c r="AN35" s="171"/>
      <c r="AO35" s="43"/>
      <c r="AP35" s="43"/>
      <c r="AQ35" s="43"/>
      <c r="AR35" s="44"/>
    </row>
    <row r="36" spans="2:44" ht="20.15" customHeight="1" x14ac:dyDescent="0.25">
      <c r="B36" s="123"/>
      <c r="C36" s="117" t="s">
        <v>32</v>
      </c>
      <c r="D36" s="149"/>
      <c r="E36" s="117" t="s">
        <v>33</v>
      </c>
      <c r="F36" s="178"/>
      <c r="G36" s="149"/>
      <c r="H36" s="172" t="s">
        <v>276</v>
      </c>
      <c r="I36" s="173"/>
      <c r="J36" s="4" t="s">
        <v>27</v>
      </c>
      <c r="K36" s="4" t="s">
        <v>30</v>
      </c>
      <c r="L36" s="4" t="s">
        <v>191</v>
      </c>
      <c r="M36" s="174" t="s">
        <v>192</v>
      </c>
      <c r="N36" s="175"/>
      <c r="O36" s="4" t="s">
        <v>26</v>
      </c>
      <c r="P36" s="4" t="s">
        <v>197</v>
      </c>
      <c r="Q36" s="117" t="s">
        <v>199</v>
      </c>
      <c r="R36" s="179"/>
      <c r="S36" s="117" t="s">
        <v>202</v>
      </c>
      <c r="T36" s="179"/>
      <c r="U36" s="117" t="s">
        <v>201</v>
      </c>
      <c r="V36" s="176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1" t="s">
        <v>46</v>
      </c>
      <c r="AI36" s="177"/>
      <c r="AJ36" s="118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3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3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50">
        <v>0</v>
      </c>
      <c r="D39" s="50"/>
      <c r="E39" s="50">
        <v>50.15190887451172</v>
      </c>
      <c r="F39" s="50"/>
      <c r="G39" s="50"/>
      <c r="H39" s="50">
        <v>0</v>
      </c>
      <c r="I39" s="50"/>
      <c r="J39" s="50">
        <v>24.775753021240234</v>
      </c>
      <c r="K39" s="50">
        <v>40</v>
      </c>
      <c r="L39" s="50">
        <v>36.14185333251953</v>
      </c>
      <c r="M39" s="50">
        <v>0</v>
      </c>
      <c r="N39" s="50"/>
      <c r="O39" s="50">
        <v>27.931495666503906</v>
      </c>
      <c r="P39" s="50">
        <v>0.05000000074505806</v>
      </c>
      <c r="Q39" s="50">
        <v>0.12709780037403107</v>
      </c>
      <c r="R39" s="50"/>
      <c r="S39" s="50">
        <v>0</v>
      </c>
      <c r="T39" s="50"/>
      <c r="U39" s="51">
        <v>0</v>
      </c>
      <c r="V39" s="52"/>
      <c r="W39" s="53">
        <v>93.07002258300781</v>
      </c>
      <c r="X39" s="51">
        <v>16.030092239379883</v>
      </c>
      <c r="Y39" s="51">
        <v>28</v>
      </c>
      <c r="Z39" s="51">
        <v>65.97222900390625</v>
      </c>
      <c r="AA39" s="51">
        <v>18.59809112548828</v>
      </c>
      <c r="AB39" s="51">
        <v>55.154083251953125</v>
      </c>
      <c r="AC39" s="51">
        <v>28</v>
      </c>
      <c r="AD39" s="51">
        <v>69.12760925292969</v>
      </c>
      <c r="AE39" s="45">
        <v>14.0480318069458</v>
      </c>
      <c r="AF39" s="45">
        <v>16.71006965637207</v>
      </c>
      <c r="AG39" s="45"/>
      <c r="AH39" s="45">
        <v>0</v>
      </c>
      <c r="AI39" s="45">
        <v>0</v>
      </c>
      <c r="AJ39" s="45"/>
      <c r="AK39" s="45">
        <v>60.40943145751953</v>
      </c>
      <c r="AL39" s="47">
        <v>58.07291793823242</v>
      </c>
      <c r="AM39" s="49"/>
      <c r="AN39" s="46"/>
      <c r="AO39" s="45"/>
      <c r="AP39" s="45"/>
      <c r="AQ39" s="45"/>
      <c r="AR39" s="48"/>
    </row>
    <row r="40" spans="2:44" ht="13.5" customHeight="1" x14ac:dyDescent="0.25">
      <c r="B40" s="14">
        <v>0.875</v>
      </c>
      <c r="C40" s="54">
        <v>0</v>
      </c>
      <c r="D40" s="54">
        <v>2.092838258249685E-06</v>
      </c>
      <c r="E40" s="54">
        <v>50.10850524902344</v>
      </c>
      <c r="F40" s="54"/>
      <c r="G40" s="54"/>
      <c r="H40" s="54">
        <v>0</v>
      </c>
      <c r="I40" s="54">
        <v>0</v>
      </c>
      <c r="J40" s="54">
        <v>24.893301010131836</v>
      </c>
      <c r="K40" s="54">
        <v>40</v>
      </c>
      <c r="L40" s="54">
        <v>35.526981353759766</v>
      </c>
      <c r="M40" s="54">
        <v>0</v>
      </c>
      <c r="N40" s="54">
        <v>0</v>
      </c>
      <c r="O40" s="54">
        <v>27.280454635620117</v>
      </c>
      <c r="P40" s="54">
        <v>0.05000000074505806</v>
      </c>
      <c r="Q40" s="54">
        <v>0.12796585261821747</v>
      </c>
      <c r="R40" s="54">
        <v>0.00012705993140116334</v>
      </c>
      <c r="S40" s="54">
        <v>0</v>
      </c>
      <c r="T40" s="54">
        <v>0</v>
      </c>
      <c r="U40" s="71">
        <v>0</v>
      </c>
      <c r="V40" s="79">
        <v>0</v>
      </c>
      <c r="W40" s="80">
        <v>89.0914306640625</v>
      </c>
      <c r="X40" s="71">
        <v>19.513164520263672</v>
      </c>
      <c r="Y40" s="71">
        <v>25</v>
      </c>
      <c r="Z40" s="71">
        <v>62.46528244018555</v>
      </c>
      <c r="AA40" s="71">
        <v>18.41362953186035</v>
      </c>
      <c r="AB40" s="71">
        <v>53.21723175048828</v>
      </c>
      <c r="AC40" s="71">
        <v>28</v>
      </c>
      <c r="AD40" s="71">
        <v>69.28385925292969</v>
      </c>
      <c r="AE40" s="58">
        <v>14.36631965637207</v>
      </c>
      <c r="AF40" s="58">
        <v>17.57270050048828</v>
      </c>
      <c r="AG40" s="58"/>
      <c r="AH40" s="58">
        <v>0</v>
      </c>
      <c r="AI40" s="58">
        <v>0</v>
      </c>
      <c r="AJ40" s="58">
        <v>0</v>
      </c>
      <c r="AK40" s="58">
        <v>60.37688064575195</v>
      </c>
      <c r="AL40" s="59">
        <v>56.79977035522461</v>
      </c>
      <c r="AM40" s="81"/>
      <c r="AN40" s="72"/>
      <c r="AO40" s="58"/>
      <c r="AP40" s="58"/>
      <c r="AQ40" s="58"/>
      <c r="AR40" s="62"/>
    </row>
    <row r="41" spans="2:44" ht="13.5" customHeight="1" x14ac:dyDescent="0.25">
      <c r="B41" s="41" t="s">
        <v>271</v>
      </c>
      <c r="C41" s="54">
        <v>0</v>
      </c>
      <c r="D41" s="54">
        <v>0</v>
      </c>
      <c r="E41" s="54">
        <v>49.0234375</v>
      </c>
      <c r="F41" s="54"/>
      <c r="G41" s="54"/>
      <c r="H41" s="54">
        <v>0</v>
      </c>
      <c r="I41" s="54">
        <v>0</v>
      </c>
      <c r="J41" s="54">
        <v>24.911386489868164</v>
      </c>
      <c r="K41" s="54">
        <v>40</v>
      </c>
      <c r="L41" s="54">
        <v>34.77647399902344</v>
      </c>
      <c r="M41" s="54">
        <v>0</v>
      </c>
      <c r="N41" s="54">
        <v>0</v>
      </c>
      <c r="O41" s="54">
        <v>26.710792541503906</v>
      </c>
      <c r="P41" s="54">
        <v>0.05000000074505806</v>
      </c>
      <c r="Q41" s="54">
        <v>0.1280381977558136</v>
      </c>
      <c r="R41" s="54">
        <v>0.0001269187923753634</v>
      </c>
      <c r="S41" s="54">
        <v>0</v>
      </c>
      <c r="T41" s="54">
        <v>0</v>
      </c>
      <c r="U41" s="71">
        <v>0</v>
      </c>
      <c r="V41" s="79">
        <v>0</v>
      </c>
      <c r="W41" s="80">
        <v>95.2654800415039</v>
      </c>
      <c r="X41" s="71">
        <v>17.94704818725586</v>
      </c>
      <c r="Y41" s="71">
        <v>25</v>
      </c>
      <c r="Z41" s="71">
        <v>61.72743225097656</v>
      </c>
      <c r="AA41" s="71">
        <v>18.359375</v>
      </c>
      <c r="AB41" s="71">
        <v>51.681861877441406</v>
      </c>
      <c r="AC41" s="71">
        <v>28</v>
      </c>
      <c r="AD41" s="71">
        <v>68.65885925292969</v>
      </c>
      <c r="AE41" s="58">
        <v>14.398871421813965</v>
      </c>
      <c r="AF41" s="58">
        <v>17.7734375</v>
      </c>
      <c r="AG41" s="58"/>
      <c r="AH41" s="58">
        <v>0</v>
      </c>
      <c r="AI41" s="58">
        <v>0</v>
      </c>
      <c r="AJ41" s="58">
        <v>0</v>
      </c>
      <c r="AK41" s="58">
        <v>60.34432601928711</v>
      </c>
      <c r="AL41" s="59">
        <v>55.66261672973633</v>
      </c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0.95833333333333337</v>
      </c>
      <c r="C42" s="54">
        <v>0</v>
      </c>
      <c r="D42" s="54">
        <v>6.350278908939799E-06</v>
      </c>
      <c r="E42" s="54">
        <v>39.35908508300781</v>
      </c>
      <c r="F42" s="54"/>
      <c r="G42" s="54"/>
      <c r="H42" s="54">
        <v>0</v>
      </c>
      <c r="I42" s="54">
        <v>0</v>
      </c>
      <c r="J42" s="54">
        <v>24.893301010131836</v>
      </c>
      <c r="K42" s="54">
        <v>40</v>
      </c>
      <c r="L42" s="54">
        <v>34.279151916503906</v>
      </c>
      <c r="M42" s="54">
        <v>0</v>
      </c>
      <c r="N42" s="54">
        <v>0</v>
      </c>
      <c r="O42" s="54">
        <v>26.15017318725586</v>
      </c>
      <c r="P42" s="54">
        <v>0.05000000074505806</v>
      </c>
      <c r="Q42" s="54">
        <v>0.15849247574806213</v>
      </c>
      <c r="R42" s="54">
        <v>0.0001464767410652712</v>
      </c>
      <c r="S42" s="54">
        <v>0</v>
      </c>
      <c r="T42" s="54">
        <v>0</v>
      </c>
      <c r="U42" s="71">
        <v>0</v>
      </c>
      <c r="V42" s="79">
        <v>0</v>
      </c>
      <c r="W42" s="80">
        <v>92.79875183105469</v>
      </c>
      <c r="X42" s="71">
        <v>16.218170166015625</v>
      </c>
      <c r="Y42" s="71">
        <v>25</v>
      </c>
      <c r="Z42" s="71">
        <v>60.27778244018555</v>
      </c>
      <c r="AA42" s="71">
        <v>18.27256965637207</v>
      </c>
      <c r="AB42" s="71">
        <v>50.57508850097656</v>
      </c>
      <c r="AC42" s="71">
        <v>30</v>
      </c>
      <c r="AD42" s="71">
        <v>72.76042175292969</v>
      </c>
      <c r="AE42" s="58">
        <v>13.92686653137207</v>
      </c>
      <c r="AF42" s="58">
        <v>17.654081344604492</v>
      </c>
      <c r="AG42" s="58"/>
      <c r="AH42" s="58">
        <v>0</v>
      </c>
      <c r="AI42" s="58">
        <v>0</v>
      </c>
      <c r="AJ42" s="58">
        <v>0</v>
      </c>
      <c r="AK42" s="58">
        <v>60.304542541503906</v>
      </c>
      <c r="AL42" s="59">
        <v>54.69039535522461</v>
      </c>
      <c r="AM42" s="81"/>
      <c r="AN42" s="72"/>
      <c r="AO42" s="58"/>
      <c r="AP42" s="58"/>
      <c r="AQ42" s="58"/>
      <c r="AR42" s="62"/>
    </row>
    <row r="43" spans="2:44" ht="13.5" customHeight="1" x14ac:dyDescent="0.25">
      <c r="B43" s="41" t="s">
        <v>272</v>
      </c>
      <c r="C43" s="54">
        <v>0</v>
      </c>
      <c r="D43" s="54">
        <v>0</v>
      </c>
      <c r="E43" s="54">
        <v>42.03559112548828</v>
      </c>
      <c r="F43" s="54"/>
      <c r="G43" s="54"/>
      <c r="H43" s="54">
        <v>0</v>
      </c>
      <c r="I43" s="54">
        <v>0</v>
      </c>
      <c r="J43" s="54">
        <v>24.730541229248047</v>
      </c>
      <c r="K43" s="54">
        <v>40</v>
      </c>
      <c r="L43" s="54">
        <v>33.61002731323242</v>
      </c>
      <c r="M43" s="54">
        <v>0</v>
      </c>
      <c r="N43" s="54">
        <v>0</v>
      </c>
      <c r="O43" s="54">
        <v>25.60763931274414</v>
      </c>
      <c r="P43" s="54">
        <v>0.05000000074505806</v>
      </c>
      <c r="Q43" s="54">
        <v>0.15530960261821747</v>
      </c>
      <c r="R43" s="54">
        <v>0.00015674209862481803</v>
      </c>
      <c r="S43" s="54">
        <v>0</v>
      </c>
      <c r="T43" s="54">
        <v>0</v>
      </c>
      <c r="U43" s="71">
        <v>0</v>
      </c>
      <c r="V43" s="79">
        <v>0</v>
      </c>
      <c r="W43" s="80">
        <v>93.22193145751953</v>
      </c>
      <c r="X43" s="71">
        <v>16.977720260620117</v>
      </c>
      <c r="Y43" s="71">
        <v>25</v>
      </c>
      <c r="Z43" s="71">
        <v>60.41666793823242</v>
      </c>
      <c r="AA43" s="71">
        <v>18.38107681274414</v>
      </c>
      <c r="AB43" s="71">
        <v>49.40321350097656</v>
      </c>
      <c r="AC43" s="71">
        <v>25</v>
      </c>
      <c r="AD43" s="71">
        <v>60.26041793823242</v>
      </c>
      <c r="AE43" s="58">
        <v>14.055266380310059</v>
      </c>
      <c r="AF43" s="58">
        <v>17.68120765686035</v>
      </c>
      <c r="AG43" s="58">
        <v>1</v>
      </c>
      <c r="AH43" s="58">
        <v>0</v>
      </c>
      <c r="AI43" s="58">
        <v>0</v>
      </c>
      <c r="AJ43" s="58">
        <v>0</v>
      </c>
      <c r="AK43" s="58">
        <v>60.261138916015625</v>
      </c>
      <c r="AL43" s="59">
        <v>53.71817398071289</v>
      </c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4.1666666666666664E-2</v>
      </c>
      <c r="C44" s="54">
        <v>0</v>
      </c>
      <c r="D44" s="54">
        <v>0</v>
      </c>
      <c r="E44" s="54">
        <v>41.977718353271484</v>
      </c>
      <c r="F44" s="54"/>
      <c r="G44" s="54"/>
      <c r="H44" s="54">
        <v>0</v>
      </c>
      <c r="I44" s="54">
        <v>0</v>
      </c>
      <c r="J44" s="54">
        <v>24.323640823364258</v>
      </c>
      <c r="K44" s="54">
        <v>40</v>
      </c>
      <c r="L44" s="54">
        <v>32.97706985473633</v>
      </c>
      <c r="M44" s="54">
        <v>0</v>
      </c>
      <c r="N44" s="54">
        <v>0</v>
      </c>
      <c r="O44" s="54">
        <v>24.920427322387695</v>
      </c>
      <c r="P44" s="54">
        <v>0.05000000074505806</v>
      </c>
      <c r="Q44" s="54">
        <v>0.1644965261220932</v>
      </c>
      <c r="R44" s="54">
        <v>0.00015647888358216733</v>
      </c>
      <c r="S44" s="54">
        <v>0</v>
      </c>
      <c r="T44" s="54">
        <v>0</v>
      </c>
      <c r="U44" s="71">
        <v>0</v>
      </c>
      <c r="V44" s="79">
        <v>0</v>
      </c>
      <c r="W44" s="80">
        <v>90.23799133300781</v>
      </c>
      <c r="X44" s="71">
        <v>16.880064010620117</v>
      </c>
      <c r="Y44" s="71">
        <v>25</v>
      </c>
      <c r="Z44" s="71">
        <v>60.10416793823242</v>
      </c>
      <c r="AA44" s="71">
        <v>18.60894203186035</v>
      </c>
      <c r="AB44" s="71">
        <v>48.28016662597656</v>
      </c>
      <c r="AC44" s="71">
        <v>25</v>
      </c>
      <c r="AD44" s="71">
        <v>60.20399475097656</v>
      </c>
      <c r="AE44" s="58">
        <v>13.85633659362793</v>
      </c>
      <c r="AF44" s="58">
        <v>18.05013084411621</v>
      </c>
      <c r="AG44" s="58"/>
      <c r="AH44" s="58">
        <v>0</v>
      </c>
      <c r="AI44" s="58">
        <v>0</v>
      </c>
      <c r="AJ44" s="58">
        <v>0</v>
      </c>
      <c r="AK44" s="58">
        <v>60.221351623535156</v>
      </c>
      <c r="AL44" s="59">
        <v>52.81829071044922</v>
      </c>
      <c r="AM44" s="81"/>
      <c r="AN44" s="72"/>
      <c r="AO44" s="58"/>
      <c r="AP44" s="58"/>
      <c r="AQ44" s="58"/>
      <c r="AR44" s="62"/>
    </row>
    <row r="45" spans="2:44" ht="13.5" customHeight="1" x14ac:dyDescent="0.25">
      <c r="B45" s="41" t="s">
        <v>273</v>
      </c>
      <c r="C45" s="54">
        <v>0</v>
      </c>
      <c r="D45" s="54">
        <v>7.099628419382498E-06</v>
      </c>
      <c r="E45" s="54">
        <v>49.13917922973633</v>
      </c>
      <c r="F45" s="54"/>
      <c r="G45" s="54"/>
      <c r="H45" s="54">
        <v>0</v>
      </c>
      <c r="I45" s="54">
        <v>0</v>
      </c>
      <c r="J45" s="54">
        <v>24.06141471862793</v>
      </c>
      <c r="K45" s="54">
        <v>40</v>
      </c>
      <c r="L45" s="54">
        <v>32.407405853271484</v>
      </c>
      <c r="M45" s="54">
        <v>0</v>
      </c>
      <c r="N45" s="54">
        <v>0</v>
      </c>
      <c r="O45" s="54">
        <v>24.30555534362793</v>
      </c>
      <c r="P45" s="54">
        <v>0.05000000074505806</v>
      </c>
      <c r="Q45" s="54">
        <v>0.18742766976356506</v>
      </c>
      <c r="R45" s="54">
        <v>0.00015698623610660434</v>
      </c>
      <c r="S45" s="54">
        <v>0</v>
      </c>
      <c r="T45" s="54">
        <v>0</v>
      </c>
      <c r="U45" s="71">
        <v>0</v>
      </c>
      <c r="V45" s="79">
        <v>0</v>
      </c>
      <c r="W45" s="80">
        <v>96.78457641601562</v>
      </c>
      <c r="X45" s="71">
        <v>16.087963104248047</v>
      </c>
      <c r="Y45" s="71">
        <v>50</v>
      </c>
      <c r="Z45" s="71">
        <v>119.9826431274414</v>
      </c>
      <c r="AA45" s="71">
        <v>19.24913215637207</v>
      </c>
      <c r="AB45" s="71">
        <v>47.37955856323242</v>
      </c>
      <c r="AC45" s="71">
        <v>50</v>
      </c>
      <c r="AD45" s="71">
        <v>122.49132537841797</v>
      </c>
      <c r="AE45" s="58">
        <v>13.932291030883789</v>
      </c>
      <c r="AF45" s="58">
        <v>18.37022590637207</v>
      </c>
      <c r="AG45" s="58"/>
      <c r="AH45" s="58">
        <v>0</v>
      </c>
      <c r="AI45" s="58">
        <v>0</v>
      </c>
      <c r="AJ45" s="58">
        <v>0</v>
      </c>
      <c r="AK45" s="58">
        <v>60.18156814575195</v>
      </c>
      <c r="AL45" s="59">
        <v>51.97338104248047</v>
      </c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0.125</v>
      </c>
      <c r="C46" s="54">
        <v>0</v>
      </c>
      <c r="D46" s="54">
        <v>8.0258841990144E-06</v>
      </c>
      <c r="E46" s="54">
        <v>49.9421272277832</v>
      </c>
      <c r="F46" s="54"/>
      <c r="G46" s="54"/>
      <c r="H46" s="54">
        <v>0</v>
      </c>
      <c r="I46" s="54">
        <v>0</v>
      </c>
      <c r="J46" s="54">
        <v>23.65451431274414</v>
      </c>
      <c r="K46" s="54">
        <v>40</v>
      </c>
      <c r="L46" s="54">
        <v>31.84678840637207</v>
      </c>
      <c r="M46" s="54">
        <v>0</v>
      </c>
      <c r="N46" s="54">
        <v>0</v>
      </c>
      <c r="O46" s="54">
        <v>23.73589324951172</v>
      </c>
      <c r="P46" s="54">
        <v>0.05000000074505806</v>
      </c>
      <c r="Q46" s="54">
        <v>0.1486545205116272</v>
      </c>
      <c r="R46" s="54">
        <v>0.0001532325695734471</v>
      </c>
      <c r="S46" s="54">
        <v>0</v>
      </c>
      <c r="T46" s="54">
        <v>0</v>
      </c>
      <c r="U46" s="71">
        <v>0</v>
      </c>
      <c r="V46" s="79">
        <v>0</v>
      </c>
      <c r="W46" s="80">
        <v>95.37760162353516</v>
      </c>
      <c r="X46" s="71">
        <v>16.93793296813965</v>
      </c>
      <c r="Y46" s="71">
        <v>50</v>
      </c>
      <c r="Z46" s="71">
        <v>120.0086898803711</v>
      </c>
      <c r="AA46" s="71">
        <v>19.862197875976562</v>
      </c>
      <c r="AB46" s="71">
        <v>46.565757751464844</v>
      </c>
      <c r="AC46" s="71">
        <v>50</v>
      </c>
      <c r="AD46" s="71">
        <v>121.86632537841797</v>
      </c>
      <c r="AE46" s="58">
        <v>13.916015625</v>
      </c>
      <c r="AF46" s="58">
        <v>18.619792938232422</v>
      </c>
      <c r="AG46" s="58"/>
      <c r="AH46" s="58">
        <v>0</v>
      </c>
      <c r="AI46" s="58">
        <v>0</v>
      </c>
      <c r="AJ46" s="58">
        <v>0</v>
      </c>
      <c r="AK46" s="58">
        <v>60.1453971862793</v>
      </c>
      <c r="AL46" s="59">
        <v>51.16609191894531</v>
      </c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0.16666666666666666</v>
      </c>
      <c r="C47" s="54">
        <v>0</v>
      </c>
      <c r="D47" s="54">
        <v>0</v>
      </c>
      <c r="E47" s="54">
        <v>49.182579040527344</v>
      </c>
      <c r="F47" s="54"/>
      <c r="G47" s="54"/>
      <c r="H47" s="54">
        <v>0</v>
      </c>
      <c r="I47" s="54">
        <v>0</v>
      </c>
      <c r="J47" s="54">
        <v>23.256654739379883</v>
      </c>
      <c r="K47" s="54">
        <v>40</v>
      </c>
      <c r="L47" s="54">
        <v>31.46701431274414</v>
      </c>
      <c r="M47" s="54">
        <v>0</v>
      </c>
      <c r="N47" s="54">
        <v>0</v>
      </c>
      <c r="O47" s="54">
        <v>23.292823791503906</v>
      </c>
      <c r="P47" s="54">
        <v>0.05000000074505806</v>
      </c>
      <c r="Q47" s="54">
        <v>0.1729600727558136</v>
      </c>
      <c r="R47" s="54">
        <v>0.00015956115385051817</v>
      </c>
      <c r="S47" s="54">
        <v>0</v>
      </c>
      <c r="T47" s="54">
        <v>0</v>
      </c>
      <c r="U47" s="71">
        <v>0</v>
      </c>
      <c r="V47" s="79">
        <v>0</v>
      </c>
      <c r="W47" s="80">
        <v>93.18937683105469</v>
      </c>
      <c r="X47" s="71">
        <v>16.84027671813965</v>
      </c>
      <c r="Y47" s="71">
        <v>50</v>
      </c>
      <c r="Z47" s="71">
        <v>121.06771087646484</v>
      </c>
      <c r="AA47" s="71">
        <v>20.55121612548828</v>
      </c>
      <c r="AB47" s="71">
        <v>45.730255126953125</v>
      </c>
      <c r="AC47" s="71">
        <v>50</v>
      </c>
      <c r="AD47" s="71">
        <v>121.61458587646484</v>
      </c>
      <c r="AE47" s="58">
        <v>13.666449546813965</v>
      </c>
      <c r="AF47" s="58">
        <v>18.47873306274414</v>
      </c>
      <c r="AG47" s="58"/>
      <c r="AH47" s="58">
        <v>0</v>
      </c>
      <c r="AI47" s="58">
        <v>0</v>
      </c>
      <c r="AJ47" s="58">
        <v>0</v>
      </c>
      <c r="AK47" s="58">
        <v>60.127315521240234</v>
      </c>
      <c r="AL47" s="59">
        <v>50.364585876464844</v>
      </c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0.20833333333333334</v>
      </c>
      <c r="C48" s="54">
        <v>0</v>
      </c>
      <c r="D48" s="54">
        <v>1.1599540812312625E-05</v>
      </c>
      <c r="E48" s="54">
        <v>51.38888931274414</v>
      </c>
      <c r="F48" s="54"/>
      <c r="G48" s="54"/>
      <c r="H48" s="54">
        <v>0</v>
      </c>
      <c r="I48" s="54">
        <v>0</v>
      </c>
      <c r="J48" s="54">
        <v>22.804542541503906</v>
      </c>
      <c r="K48" s="54">
        <v>40</v>
      </c>
      <c r="L48" s="54">
        <v>31.123409271240234</v>
      </c>
      <c r="M48" s="54">
        <v>0</v>
      </c>
      <c r="N48" s="54">
        <v>0</v>
      </c>
      <c r="O48" s="54">
        <v>22.885923385620117</v>
      </c>
      <c r="P48" s="54">
        <v>0.05000000074505806</v>
      </c>
      <c r="Q48" s="54">
        <v>0.1553819477558136</v>
      </c>
      <c r="R48" s="54">
        <v>0.00015364837599918246</v>
      </c>
      <c r="S48" s="54">
        <v>0</v>
      </c>
      <c r="T48" s="54">
        <v>0</v>
      </c>
      <c r="U48" s="71">
        <v>0</v>
      </c>
      <c r="V48" s="79">
        <v>0</v>
      </c>
      <c r="W48" s="80">
        <v>97.06307983398438</v>
      </c>
      <c r="X48" s="71">
        <v>17.36111068725586</v>
      </c>
      <c r="Y48" s="71">
        <v>25</v>
      </c>
      <c r="Z48" s="71">
        <v>59.939239501953125</v>
      </c>
      <c r="AA48" s="71">
        <v>21.522354125976562</v>
      </c>
      <c r="AB48" s="71">
        <v>44.927303314208984</v>
      </c>
      <c r="AC48" s="71">
        <v>25</v>
      </c>
      <c r="AD48" s="71">
        <v>59.6788215637207</v>
      </c>
      <c r="AE48" s="58">
        <v>13.572409629821777</v>
      </c>
      <c r="AF48" s="58">
        <v>18.45160675048828</v>
      </c>
      <c r="AG48" s="58">
        <v>172.60000610351562</v>
      </c>
      <c r="AH48" s="58">
        <v>0</v>
      </c>
      <c r="AI48" s="58">
        <v>0</v>
      </c>
      <c r="AJ48" s="58">
        <v>0</v>
      </c>
      <c r="AK48" s="58">
        <v>60.065826416015625</v>
      </c>
      <c r="AL48" s="59">
        <v>49.6672477722168</v>
      </c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0.25</v>
      </c>
      <c r="C49" s="54">
        <v>0</v>
      </c>
      <c r="D49" s="54">
        <v>0</v>
      </c>
      <c r="E49" s="54">
        <v>57.841434478759766</v>
      </c>
      <c r="F49" s="54"/>
      <c r="G49" s="54"/>
      <c r="H49" s="54">
        <v>0</v>
      </c>
      <c r="I49" s="54">
        <v>0</v>
      </c>
      <c r="J49" s="54">
        <v>22.343387603759766</v>
      </c>
      <c r="K49" s="54">
        <v>40</v>
      </c>
      <c r="L49" s="54">
        <v>31.73828125</v>
      </c>
      <c r="M49" s="54">
        <v>0</v>
      </c>
      <c r="N49" s="54">
        <v>0</v>
      </c>
      <c r="O49" s="54">
        <v>22.451894760131836</v>
      </c>
      <c r="P49" s="54">
        <v>0.05000000074505806</v>
      </c>
      <c r="Q49" s="54">
        <v>0.20862269401550293</v>
      </c>
      <c r="R49" s="54">
        <v>0.00018626403470989317</v>
      </c>
      <c r="S49" s="54">
        <v>0</v>
      </c>
      <c r="T49" s="54">
        <v>0</v>
      </c>
      <c r="U49" s="71">
        <v>0</v>
      </c>
      <c r="V49" s="79">
        <v>0</v>
      </c>
      <c r="W49" s="80">
        <v>94.40827178955078</v>
      </c>
      <c r="X49" s="71">
        <v>17.84939193725586</v>
      </c>
      <c r="Y49" s="71">
        <v>15</v>
      </c>
      <c r="Z49" s="71">
        <v>35.7335090637207</v>
      </c>
      <c r="AA49" s="71">
        <v>22.16254425048828</v>
      </c>
      <c r="AB49" s="71">
        <v>44.140628814697266</v>
      </c>
      <c r="AC49" s="71">
        <v>15</v>
      </c>
      <c r="AD49" s="71">
        <v>35.013023376464844</v>
      </c>
      <c r="AE49" s="58">
        <v>13.321035385131836</v>
      </c>
      <c r="AF49" s="58">
        <v>18.484159469604492</v>
      </c>
      <c r="AG49" s="58"/>
      <c r="AH49" s="58">
        <v>0</v>
      </c>
      <c r="AI49" s="58">
        <v>0</v>
      </c>
      <c r="AJ49" s="58">
        <v>0</v>
      </c>
      <c r="AK49" s="58">
        <v>60.065826416015625</v>
      </c>
      <c r="AL49" s="59">
        <v>48.94676208496094</v>
      </c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0.29166666666666669</v>
      </c>
      <c r="C50" s="54">
        <v>0</v>
      </c>
      <c r="D50" s="54">
        <v>1.9111872461508028E-05</v>
      </c>
      <c r="E50" s="54">
        <v>57.1686897277832</v>
      </c>
      <c r="F50" s="54"/>
      <c r="G50" s="54"/>
      <c r="H50" s="54">
        <v>0</v>
      </c>
      <c r="I50" s="54">
        <v>0</v>
      </c>
      <c r="J50" s="54">
        <v>21.900318145751953</v>
      </c>
      <c r="K50" s="54">
        <v>40</v>
      </c>
      <c r="L50" s="54">
        <v>33.356842041015625</v>
      </c>
      <c r="M50" s="54">
        <v>0</v>
      </c>
      <c r="N50" s="54">
        <v>0</v>
      </c>
      <c r="O50" s="54">
        <v>22.063077926635742</v>
      </c>
      <c r="P50" s="54">
        <v>0.05000000074505806</v>
      </c>
      <c r="Q50" s="54">
        <v>0.1271701455116272</v>
      </c>
      <c r="R50" s="54">
        <v>0.00014018249930813909</v>
      </c>
      <c r="S50" s="54">
        <v>0</v>
      </c>
      <c r="T50" s="54">
        <v>0</v>
      </c>
      <c r="U50" s="71">
        <v>0</v>
      </c>
      <c r="V50" s="79">
        <v>0</v>
      </c>
      <c r="W50" s="80">
        <v>93.35214233398438</v>
      </c>
      <c r="X50" s="71">
        <v>16.49305534362793</v>
      </c>
      <c r="Y50" s="71">
        <v>30</v>
      </c>
      <c r="Z50" s="71">
        <v>71.83160400390625</v>
      </c>
      <c r="AA50" s="71">
        <v>22.59114646911621</v>
      </c>
      <c r="AB50" s="71">
        <v>43.38107681274414</v>
      </c>
      <c r="AC50" s="71">
        <v>30</v>
      </c>
      <c r="AD50" s="71">
        <v>72.2482681274414</v>
      </c>
      <c r="AE50" s="58">
        <v>13.198060989379883</v>
      </c>
      <c r="AF50" s="58">
        <v>18.54926300048828</v>
      </c>
      <c r="AG50" s="58"/>
      <c r="AH50" s="58">
        <v>0</v>
      </c>
      <c r="AI50" s="58">
        <v>0</v>
      </c>
      <c r="AJ50" s="58">
        <v>0</v>
      </c>
      <c r="AK50" s="58">
        <v>60.044124603271484</v>
      </c>
      <c r="AL50" s="59">
        <v>48.30729293823242</v>
      </c>
      <c r="AM50" s="81"/>
      <c r="AN50" s="72"/>
      <c r="AO50" s="58"/>
      <c r="AP50" s="58"/>
      <c r="AQ50" s="58"/>
      <c r="AR50" s="62"/>
    </row>
    <row r="51" spans="2:44" ht="13.5" customHeight="1" x14ac:dyDescent="0.25">
      <c r="B51" s="42">
        <v>0.33333333333333331</v>
      </c>
      <c r="C51" s="63">
        <v>0</v>
      </c>
      <c r="D51" s="63">
        <v>2.55107892144224E-07</v>
      </c>
      <c r="E51" s="63">
        <v>54.33304214477539</v>
      </c>
      <c r="F51" s="63"/>
      <c r="G51" s="63"/>
      <c r="H51" s="63">
        <v>0</v>
      </c>
      <c r="I51" s="63">
        <v>0</v>
      </c>
      <c r="J51" s="63">
        <v>21.56575584411621</v>
      </c>
      <c r="K51" s="63">
        <v>40</v>
      </c>
      <c r="L51" s="63">
        <v>35.38230514526367</v>
      </c>
      <c r="M51" s="63">
        <v>0</v>
      </c>
      <c r="N51" s="63">
        <v>0</v>
      </c>
      <c r="O51" s="63">
        <v>22.27104949951172</v>
      </c>
      <c r="P51" s="63">
        <v>0.05000000074505806</v>
      </c>
      <c r="Q51" s="63">
        <v>0.17527487874031067</v>
      </c>
      <c r="R51" s="63">
        <v>0.0001613540662219748</v>
      </c>
      <c r="S51" s="63">
        <v>0</v>
      </c>
      <c r="T51" s="63">
        <v>0</v>
      </c>
      <c r="U51" s="74">
        <v>0</v>
      </c>
      <c r="V51" s="82">
        <v>0</v>
      </c>
      <c r="W51" s="83">
        <v>96.40480041503906</v>
      </c>
      <c r="X51" s="74">
        <v>16.453269958496094</v>
      </c>
      <c r="Y51" s="74">
        <v>50</v>
      </c>
      <c r="Z51" s="74">
        <v>121.71441650390625</v>
      </c>
      <c r="AA51" s="74">
        <v>92.75716400146484</v>
      </c>
      <c r="AB51" s="74">
        <v>101.31294250488281</v>
      </c>
      <c r="AC51" s="74">
        <v>30</v>
      </c>
      <c r="AD51" s="74">
        <v>52.031253814697266</v>
      </c>
      <c r="AE51" s="67">
        <v>13.335503578186035</v>
      </c>
      <c r="AF51" s="67">
        <v>18.505859375</v>
      </c>
      <c r="AG51" s="67"/>
      <c r="AH51" s="67">
        <v>0</v>
      </c>
      <c r="AI51" s="67">
        <v>0</v>
      </c>
      <c r="AJ51" s="67">
        <v>0</v>
      </c>
      <c r="AK51" s="67">
        <v>60.065826416015625</v>
      </c>
      <c r="AL51" s="68">
        <v>47.69676208496094</v>
      </c>
      <c r="AM51" s="84"/>
      <c r="AN51" s="75"/>
      <c r="AO51" s="67"/>
      <c r="AP51" s="67"/>
      <c r="AQ51" s="67"/>
      <c r="AR51" s="78"/>
    </row>
    <row r="52" spans="2:44" ht="13.5" customHeight="1" x14ac:dyDescent="0.25">
      <c r="B52" s="147" t="s">
        <v>372</v>
      </c>
      <c r="C52" s="148"/>
      <c r="D52" s="9" t="s">
        <v>274</v>
      </c>
      <c r="E52" s="124" t="s">
        <v>20</v>
      </c>
      <c r="F52" s="127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9"/>
      <c r="AP52" s="129"/>
      <c r="AQ52" s="129"/>
      <c r="AR52" s="130"/>
    </row>
    <row r="53" spans="2:44" ht="13.5" customHeight="1" x14ac:dyDescent="0.25">
      <c r="B53" s="123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31"/>
      <c r="AP53" s="131"/>
      <c r="AQ53" s="131"/>
      <c r="AR53" s="132"/>
    </row>
    <row r="54" spans="2:44" ht="13.5" customHeight="1" thickBot="1" x14ac:dyDescent="0.3">
      <c r="B54" s="135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33"/>
      <c r="AP54" s="133"/>
      <c r="AQ54" s="133"/>
      <c r="AR54" s="134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50" t="s">
        <v>230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</row>
    <row r="2" spans="2:58" ht="13" customHeight="1" x14ac:dyDescent="0.25">
      <c r="B2" s="197" t="s">
        <v>232</v>
      </c>
      <c r="C2" s="160"/>
      <c r="D2" s="160"/>
      <c r="E2" s="160"/>
      <c r="F2" s="160"/>
      <c r="G2" s="160"/>
      <c r="H2" s="160"/>
      <c r="I2" s="160"/>
      <c r="J2" s="160"/>
      <c r="K2" s="160"/>
      <c r="L2" s="165"/>
      <c r="M2" s="198" t="s">
        <v>231</v>
      </c>
      <c r="N2" s="160"/>
      <c r="O2" s="160"/>
      <c r="P2" s="160"/>
      <c r="Q2" s="160"/>
      <c r="R2" s="160"/>
      <c r="S2" s="160"/>
      <c r="T2" s="160"/>
      <c r="U2" s="160"/>
      <c r="V2" s="160"/>
      <c r="W2" s="165"/>
      <c r="X2" s="110" t="s">
        <v>233</v>
      </c>
      <c r="Y2" s="160"/>
      <c r="Z2" s="160"/>
      <c r="AA2" s="160"/>
      <c r="AB2" s="160"/>
      <c r="AC2" s="160"/>
      <c r="AD2" s="160"/>
      <c r="AE2" s="160"/>
      <c r="AF2" s="160"/>
      <c r="AG2" s="160"/>
      <c r="AH2" s="165"/>
      <c r="AI2" s="198" t="s">
        <v>234</v>
      </c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5"/>
      <c r="AU2" s="110" t="s">
        <v>235</v>
      </c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99"/>
    </row>
    <row r="3" spans="2:58" ht="13" customHeight="1" x14ac:dyDescent="0.25">
      <c r="B3" s="201"/>
      <c r="C3" s="185"/>
      <c r="D3" s="185"/>
      <c r="E3" s="185"/>
      <c r="F3" s="185"/>
      <c r="G3" s="185"/>
      <c r="H3" s="185"/>
      <c r="I3" s="185"/>
      <c r="J3" s="185"/>
      <c r="K3" s="185"/>
      <c r="L3" s="186"/>
      <c r="M3" s="204"/>
      <c r="N3" s="185"/>
      <c r="O3" s="185"/>
      <c r="P3" s="185"/>
      <c r="Q3" s="185"/>
      <c r="R3" s="185"/>
      <c r="S3" s="185"/>
      <c r="T3" s="185"/>
      <c r="U3" s="185"/>
      <c r="V3" s="185"/>
      <c r="W3" s="186"/>
      <c r="X3" s="192"/>
      <c r="Y3" s="185"/>
      <c r="Z3" s="185"/>
      <c r="AA3" s="185"/>
      <c r="AB3" s="185"/>
      <c r="AC3" s="185"/>
      <c r="AD3" s="185"/>
      <c r="AE3" s="185"/>
      <c r="AF3" s="185"/>
      <c r="AG3" s="185"/>
      <c r="AH3" s="186"/>
      <c r="AI3" s="214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6"/>
      <c r="AU3" s="192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94"/>
    </row>
    <row r="4" spans="2:58" ht="13" customHeight="1" x14ac:dyDescent="0.25">
      <c r="B4" s="202"/>
      <c r="C4" s="188"/>
      <c r="D4" s="188"/>
      <c r="E4" s="188"/>
      <c r="F4" s="188"/>
      <c r="G4" s="188"/>
      <c r="H4" s="188"/>
      <c r="I4" s="188"/>
      <c r="J4" s="188"/>
      <c r="K4" s="188"/>
      <c r="L4" s="189"/>
      <c r="M4" s="187"/>
      <c r="N4" s="188"/>
      <c r="O4" s="188"/>
      <c r="P4" s="188"/>
      <c r="Q4" s="188"/>
      <c r="R4" s="188"/>
      <c r="S4" s="188"/>
      <c r="T4" s="188"/>
      <c r="U4" s="188"/>
      <c r="V4" s="188"/>
      <c r="W4" s="189"/>
      <c r="X4" s="187"/>
      <c r="Y4" s="188"/>
      <c r="Z4" s="188"/>
      <c r="AA4" s="188"/>
      <c r="AB4" s="188"/>
      <c r="AC4" s="188"/>
      <c r="AD4" s="188"/>
      <c r="AE4" s="188"/>
      <c r="AF4" s="188"/>
      <c r="AG4" s="188"/>
      <c r="AH4" s="189"/>
      <c r="AI4" s="187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9"/>
      <c r="AU4" s="187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95"/>
    </row>
    <row r="5" spans="2:58" ht="13" customHeight="1" x14ac:dyDescent="0.25">
      <c r="B5" s="202"/>
      <c r="C5" s="188"/>
      <c r="D5" s="188"/>
      <c r="E5" s="188"/>
      <c r="F5" s="188"/>
      <c r="G5" s="188"/>
      <c r="H5" s="188"/>
      <c r="I5" s="188"/>
      <c r="J5" s="188"/>
      <c r="K5" s="188"/>
      <c r="L5" s="189"/>
      <c r="M5" s="187"/>
      <c r="N5" s="188"/>
      <c r="O5" s="188"/>
      <c r="P5" s="188"/>
      <c r="Q5" s="188"/>
      <c r="R5" s="188"/>
      <c r="S5" s="188"/>
      <c r="T5" s="188"/>
      <c r="U5" s="188"/>
      <c r="V5" s="188"/>
      <c r="W5" s="189"/>
      <c r="X5" s="187"/>
      <c r="Y5" s="188"/>
      <c r="Z5" s="188"/>
      <c r="AA5" s="188"/>
      <c r="AB5" s="188"/>
      <c r="AC5" s="188"/>
      <c r="AD5" s="188"/>
      <c r="AE5" s="188"/>
      <c r="AF5" s="188"/>
      <c r="AG5" s="188"/>
      <c r="AH5" s="189"/>
      <c r="AI5" s="187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9"/>
      <c r="AU5" s="187"/>
      <c r="AV5" s="188"/>
      <c r="AW5" s="188"/>
      <c r="AX5" s="188"/>
      <c r="AY5" s="188"/>
      <c r="AZ5" s="188"/>
      <c r="BA5" s="188"/>
      <c r="BB5" s="188"/>
      <c r="BC5" s="188"/>
      <c r="BD5" s="188"/>
      <c r="BE5" s="188"/>
      <c r="BF5" s="195"/>
    </row>
    <row r="6" spans="2:58" ht="13" customHeight="1" x14ac:dyDescent="0.25">
      <c r="B6" s="202"/>
      <c r="C6" s="188"/>
      <c r="D6" s="188"/>
      <c r="E6" s="188"/>
      <c r="F6" s="188"/>
      <c r="G6" s="188"/>
      <c r="H6" s="188"/>
      <c r="I6" s="188"/>
      <c r="J6" s="188"/>
      <c r="K6" s="188"/>
      <c r="L6" s="189"/>
      <c r="M6" s="187"/>
      <c r="N6" s="188"/>
      <c r="O6" s="188"/>
      <c r="P6" s="188"/>
      <c r="Q6" s="188"/>
      <c r="R6" s="188"/>
      <c r="S6" s="188"/>
      <c r="T6" s="188"/>
      <c r="U6" s="188"/>
      <c r="V6" s="188"/>
      <c r="W6" s="189"/>
      <c r="X6" s="187"/>
      <c r="Y6" s="188"/>
      <c r="Z6" s="188"/>
      <c r="AA6" s="188"/>
      <c r="AB6" s="188"/>
      <c r="AC6" s="188"/>
      <c r="AD6" s="188"/>
      <c r="AE6" s="188"/>
      <c r="AF6" s="188"/>
      <c r="AG6" s="188"/>
      <c r="AH6" s="189"/>
      <c r="AI6" s="187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9"/>
      <c r="AU6" s="187"/>
      <c r="AV6" s="188"/>
      <c r="AW6" s="188"/>
      <c r="AX6" s="188"/>
      <c r="AY6" s="188"/>
      <c r="AZ6" s="188"/>
      <c r="BA6" s="188"/>
      <c r="BB6" s="188"/>
      <c r="BC6" s="188"/>
      <c r="BD6" s="188"/>
      <c r="BE6" s="188"/>
      <c r="BF6" s="195"/>
    </row>
    <row r="7" spans="2:58" ht="13" customHeight="1" x14ac:dyDescent="0.25">
      <c r="B7" s="202"/>
      <c r="C7" s="188"/>
      <c r="D7" s="188"/>
      <c r="E7" s="188"/>
      <c r="F7" s="188"/>
      <c r="G7" s="188"/>
      <c r="H7" s="188"/>
      <c r="I7" s="188"/>
      <c r="J7" s="188"/>
      <c r="K7" s="188"/>
      <c r="L7" s="189"/>
      <c r="M7" s="187"/>
      <c r="N7" s="188"/>
      <c r="O7" s="188"/>
      <c r="P7" s="188"/>
      <c r="Q7" s="188"/>
      <c r="R7" s="188"/>
      <c r="S7" s="188"/>
      <c r="T7" s="188"/>
      <c r="U7" s="188"/>
      <c r="V7" s="188"/>
      <c r="W7" s="189"/>
      <c r="X7" s="187"/>
      <c r="Y7" s="188"/>
      <c r="Z7" s="188"/>
      <c r="AA7" s="188"/>
      <c r="AB7" s="188"/>
      <c r="AC7" s="188"/>
      <c r="AD7" s="188"/>
      <c r="AE7" s="188"/>
      <c r="AF7" s="188"/>
      <c r="AG7" s="188"/>
      <c r="AH7" s="189"/>
      <c r="AI7" s="187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9"/>
      <c r="AU7" s="187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95"/>
    </row>
    <row r="8" spans="2:58" ht="13" customHeight="1" x14ac:dyDescent="0.25">
      <c r="B8" s="202"/>
      <c r="C8" s="188"/>
      <c r="D8" s="188"/>
      <c r="E8" s="188"/>
      <c r="F8" s="188"/>
      <c r="G8" s="188"/>
      <c r="H8" s="188"/>
      <c r="I8" s="188"/>
      <c r="J8" s="188"/>
      <c r="K8" s="188"/>
      <c r="L8" s="189"/>
      <c r="M8" s="187"/>
      <c r="N8" s="188"/>
      <c r="O8" s="188"/>
      <c r="P8" s="188"/>
      <c r="Q8" s="188"/>
      <c r="R8" s="188"/>
      <c r="S8" s="188"/>
      <c r="T8" s="188"/>
      <c r="U8" s="188"/>
      <c r="V8" s="188"/>
      <c r="W8" s="189"/>
      <c r="X8" s="187"/>
      <c r="Y8" s="188"/>
      <c r="Z8" s="188"/>
      <c r="AA8" s="188"/>
      <c r="AB8" s="188"/>
      <c r="AC8" s="188"/>
      <c r="AD8" s="188"/>
      <c r="AE8" s="188"/>
      <c r="AF8" s="188"/>
      <c r="AG8" s="188"/>
      <c r="AH8" s="189"/>
      <c r="AI8" s="187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9"/>
      <c r="AU8" s="187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95"/>
    </row>
    <row r="9" spans="2:58" ht="13" customHeight="1" x14ac:dyDescent="0.25">
      <c r="B9" s="203"/>
      <c r="C9" s="191"/>
      <c r="D9" s="191"/>
      <c r="E9" s="191"/>
      <c r="F9" s="191"/>
      <c r="G9" s="191"/>
      <c r="H9" s="191"/>
      <c r="I9" s="191"/>
      <c r="J9" s="191"/>
      <c r="K9" s="191"/>
      <c r="L9" s="148"/>
      <c r="M9" s="190"/>
      <c r="N9" s="191"/>
      <c r="O9" s="191"/>
      <c r="P9" s="191"/>
      <c r="Q9" s="191"/>
      <c r="R9" s="191"/>
      <c r="S9" s="191"/>
      <c r="T9" s="191"/>
      <c r="U9" s="191"/>
      <c r="V9" s="191"/>
      <c r="W9" s="148"/>
      <c r="X9" s="190"/>
      <c r="Y9" s="191"/>
      <c r="Z9" s="191"/>
      <c r="AA9" s="191"/>
      <c r="AB9" s="191"/>
      <c r="AC9" s="191"/>
      <c r="AD9" s="191"/>
      <c r="AE9" s="191"/>
      <c r="AF9" s="191"/>
      <c r="AG9" s="191"/>
      <c r="AH9" s="148"/>
      <c r="AI9" s="190"/>
      <c r="AJ9" s="191"/>
      <c r="AK9" s="191"/>
      <c r="AL9" s="191"/>
      <c r="AM9" s="191"/>
      <c r="AN9" s="191"/>
      <c r="AO9" s="191"/>
      <c r="AP9" s="191"/>
      <c r="AQ9" s="191"/>
      <c r="AR9" s="191"/>
      <c r="AS9" s="191"/>
      <c r="AT9" s="148"/>
      <c r="AU9" s="190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6"/>
    </row>
    <row r="10" spans="2:58" ht="13" customHeight="1" x14ac:dyDescent="0.25">
      <c r="B10" s="180" t="s">
        <v>236</v>
      </c>
      <c r="C10" s="178"/>
      <c r="D10" s="178"/>
      <c r="E10" s="178"/>
      <c r="F10" s="178"/>
      <c r="G10" s="178"/>
      <c r="H10" s="178"/>
      <c r="I10" s="178"/>
      <c r="J10" s="178"/>
      <c r="K10" s="178"/>
      <c r="L10" s="149"/>
      <c r="M10" s="200" t="s">
        <v>237</v>
      </c>
      <c r="N10" s="178"/>
      <c r="O10" s="178"/>
      <c r="P10" s="178"/>
      <c r="Q10" s="178"/>
      <c r="R10" s="178"/>
      <c r="S10" s="178"/>
      <c r="T10" s="178"/>
      <c r="U10" s="178"/>
      <c r="V10" s="178"/>
      <c r="W10" s="149"/>
      <c r="X10" s="155" t="s">
        <v>238</v>
      </c>
      <c r="Y10" s="178"/>
      <c r="Z10" s="178"/>
      <c r="AA10" s="178"/>
      <c r="AB10" s="178"/>
      <c r="AC10" s="178"/>
      <c r="AD10" s="178"/>
      <c r="AE10" s="178"/>
      <c r="AF10" s="178"/>
      <c r="AG10" s="178"/>
      <c r="AH10" s="149"/>
      <c r="AI10" s="155" t="s">
        <v>239</v>
      </c>
      <c r="AJ10" s="178"/>
      <c r="AK10" s="178"/>
      <c r="AL10" s="178"/>
      <c r="AM10" s="178"/>
      <c r="AN10" s="178"/>
      <c r="AO10" s="178"/>
      <c r="AP10" s="178"/>
      <c r="AQ10" s="178"/>
      <c r="AR10" s="178"/>
      <c r="AS10" s="178"/>
      <c r="AT10" s="149"/>
      <c r="AU10" s="131" t="s">
        <v>240</v>
      </c>
      <c r="AV10" s="178"/>
      <c r="AW10" s="178"/>
      <c r="AX10" s="178"/>
      <c r="AY10" s="178"/>
      <c r="AZ10" s="178"/>
      <c r="BA10" s="178"/>
      <c r="BB10" s="178"/>
      <c r="BC10" s="178"/>
      <c r="BD10" s="178"/>
      <c r="BE10" s="178"/>
      <c r="BF10" s="182"/>
    </row>
    <row r="11" spans="2:58" ht="13" customHeight="1" x14ac:dyDescent="0.25">
      <c r="B11" s="201"/>
      <c r="C11" s="185"/>
      <c r="D11" s="185"/>
      <c r="E11" s="185"/>
      <c r="F11" s="185"/>
      <c r="G11" s="185"/>
      <c r="H11" s="185"/>
      <c r="I11" s="185"/>
      <c r="J11" s="185"/>
      <c r="K11" s="185"/>
      <c r="L11" s="186"/>
      <c r="M11" s="204"/>
      <c r="N11" s="185"/>
      <c r="O11" s="185"/>
      <c r="P11" s="185"/>
      <c r="Q11" s="185"/>
      <c r="R11" s="185"/>
      <c r="S11" s="185"/>
      <c r="T11" s="185"/>
      <c r="U11" s="185"/>
      <c r="V11" s="185"/>
      <c r="W11" s="186"/>
      <c r="X11" s="204"/>
      <c r="Y11" s="185"/>
      <c r="Z11" s="185"/>
      <c r="AA11" s="185"/>
      <c r="AB11" s="185"/>
      <c r="AC11" s="185"/>
      <c r="AD11" s="185"/>
      <c r="AE11" s="185"/>
      <c r="AF11" s="185"/>
      <c r="AG11" s="185"/>
      <c r="AH11" s="186"/>
      <c r="AI11" s="204"/>
      <c r="AJ11" s="185"/>
      <c r="AK11" s="185"/>
      <c r="AL11" s="185"/>
      <c r="AM11" s="185"/>
      <c r="AN11" s="185"/>
      <c r="AO11" s="185"/>
      <c r="AP11" s="185"/>
      <c r="AQ11" s="185"/>
      <c r="AR11" s="185"/>
      <c r="AS11" s="185"/>
      <c r="AT11" s="186"/>
      <c r="AU11" s="193"/>
      <c r="AV11" s="185"/>
      <c r="AW11" s="185"/>
      <c r="AX11" s="185"/>
      <c r="AY11" s="185"/>
      <c r="AZ11" s="185"/>
      <c r="BA11" s="185"/>
      <c r="BB11" s="185"/>
      <c r="BC11" s="185"/>
      <c r="BD11" s="185"/>
      <c r="BE11" s="185"/>
      <c r="BF11" s="194"/>
    </row>
    <row r="12" spans="2:58" ht="13" customHeight="1" x14ac:dyDescent="0.25">
      <c r="B12" s="202"/>
      <c r="C12" s="188"/>
      <c r="D12" s="188"/>
      <c r="E12" s="188"/>
      <c r="F12" s="188"/>
      <c r="G12" s="188"/>
      <c r="H12" s="188"/>
      <c r="I12" s="188"/>
      <c r="J12" s="188"/>
      <c r="K12" s="188"/>
      <c r="L12" s="189"/>
      <c r="M12" s="187"/>
      <c r="N12" s="188"/>
      <c r="O12" s="188"/>
      <c r="P12" s="188"/>
      <c r="Q12" s="188"/>
      <c r="R12" s="188"/>
      <c r="S12" s="188"/>
      <c r="T12" s="188"/>
      <c r="U12" s="188"/>
      <c r="V12" s="188"/>
      <c r="W12" s="189"/>
      <c r="X12" s="187"/>
      <c r="Y12" s="188"/>
      <c r="Z12" s="188"/>
      <c r="AA12" s="188"/>
      <c r="AB12" s="188"/>
      <c r="AC12" s="188"/>
      <c r="AD12" s="188"/>
      <c r="AE12" s="188"/>
      <c r="AF12" s="188"/>
      <c r="AG12" s="188"/>
      <c r="AH12" s="189"/>
      <c r="AI12" s="187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9"/>
      <c r="AU12" s="187"/>
      <c r="AV12" s="188"/>
      <c r="AW12" s="188"/>
      <c r="AX12" s="188"/>
      <c r="AY12" s="188"/>
      <c r="AZ12" s="188"/>
      <c r="BA12" s="188"/>
      <c r="BB12" s="188"/>
      <c r="BC12" s="188"/>
      <c r="BD12" s="188"/>
      <c r="BE12" s="188"/>
      <c r="BF12" s="195"/>
    </row>
    <row r="13" spans="2:58" ht="13" customHeight="1" x14ac:dyDescent="0.25">
      <c r="B13" s="202"/>
      <c r="C13" s="188"/>
      <c r="D13" s="188"/>
      <c r="E13" s="188"/>
      <c r="F13" s="188"/>
      <c r="G13" s="188"/>
      <c r="H13" s="188"/>
      <c r="I13" s="188"/>
      <c r="J13" s="188"/>
      <c r="K13" s="188"/>
      <c r="L13" s="189"/>
      <c r="M13" s="187"/>
      <c r="N13" s="188"/>
      <c r="O13" s="188"/>
      <c r="P13" s="188"/>
      <c r="Q13" s="188"/>
      <c r="R13" s="188"/>
      <c r="S13" s="188"/>
      <c r="T13" s="188"/>
      <c r="U13" s="188"/>
      <c r="V13" s="188"/>
      <c r="W13" s="189"/>
      <c r="X13" s="187"/>
      <c r="Y13" s="188"/>
      <c r="Z13" s="188"/>
      <c r="AA13" s="188"/>
      <c r="AB13" s="188"/>
      <c r="AC13" s="188"/>
      <c r="AD13" s="188"/>
      <c r="AE13" s="188"/>
      <c r="AF13" s="188"/>
      <c r="AG13" s="188"/>
      <c r="AH13" s="189"/>
      <c r="AI13" s="187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9"/>
      <c r="AU13" s="187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95"/>
    </row>
    <row r="14" spans="2:58" ht="13" customHeight="1" x14ac:dyDescent="0.25">
      <c r="B14" s="202"/>
      <c r="C14" s="188"/>
      <c r="D14" s="188"/>
      <c r="E14" s="188"/>
      <c r="F14" s="188"/>
      <c r="G14" s="188"/>
      <c r="H14" s="188"/>
      <c r="I14" s="188"/>
      <c r="J14" s="188"/>
      <c r="K14" s="188"/>
      <c r="L14" s="189"/>
      <c r="M14" s="187"/>
      <c r="N14" s="188"/>
      <c r="O14" s="188"/>
      <c r="P14" s="188"/>
      <c r="Q14" s="188"/>
      <c r="R14" s="188"/>
      <c r="S14" s="188"/>
      <c r="T14" s="188"/>
      <c r="U14" s="188"/>
      <c r="V14" s="188"/>
      <c r="W14" s="189"/>
      <c r="X14" s="187"/>
      <c r="Y14" s="188"/>
      <c r="Z14" s="188"/>
      <c r="AA14" s="188"/>
      <c r="AB14" s="188"/>
      <c r="AC14" s="188"/>
      <c r="AD14" s="188"/>
      <c r="AE14" s="188"/>
      <c r="AF14" s="188"/>
      <c r="AG14" s="188"/>
      <c r="AH14" s="189"/>
      <c r="AI14" s="187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9"/>
      <c r="AU14" s="187"/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95"/>
    </row>
    <row r="15" spans="2:58" ht="13" customHeight="1" x14ac:dyDescent="0.25">
      <c r="B15" s="202"/>
      <c r="C15" s="188"/>
      <c r="D15" s="188"/>
      <c r="E15" s="188"/>
      <c r="F15" s="188"/>
      <c r="G15" s="188"/>
      <c r="H15" s="188"/>
      <c r="I15" s="188"/>
      <c r="J15" s="188"/>
      <c r="K15" s="188"/>
      <c r="L15" s="189"/>
      <c r="M15" s="187"/>
      <c r="N15" s="188"/>
      <c r="O15" s="188"/>
      <c r="P15" s="188"/>
      <c r="Q15" s="188"/>
      <c r="R15" s="188"/>
      <c r="S15" s="188"/>
      <c r="T15" s="188"/>
      <c r="U15" s="188"/>
      <c r="V15" s="188"/>
      <c r="W15" s="189"/>
      <c r="X15" s="187"/>
      <c r="Y15" s="188"/>
      <c r="Z15" s="188"/>
      <c r="AA15" s="188"/>
      <c r="AB15" s="188"/>
      <c r="AC15" s="188"/>
      <c r="AD15" s="188"/>
      <c r="AE15" s="188"/>
      <c r="AF15" s="188"/>
      <c r="AG15" s="188"/>
      <c r="AH15" s="189"/>
      <c r="AI15" s="187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9"/>
      <c r="AU15" s="187"/>
      <c r="AV15" s="188"/>
      <c r="AW15" s="188"/>
      <c r="AX15" s="188"/>
      <c r="AY15" s="188"/>
      <c r="AZ15" s="188"/>
      <c r="BA15" s="188"/>
      <c r="BB15" s="188"/>
      <c r="BC15" s="188"/>
      <c r="BD15" s="188"/>
      <c r="BE15" s="188"/>
      <c r="BF15" s="195"/>
    </row>
    <row r="16" spans="2:58" ht="13" customHeight="1" x14ac:dyDescent="0.25">
      <c r="B16" s="202"/>
      <c r="C16" s="188"/>
      <c r="D16" s="188"/>
      <c r="E16" s="188"/>
      <c r="F16" s="188"/>
      <c r="G16" s="188"/>
      <c r="H16" s="188"/>
      <c r="I16" s="188"/>
      <c r="J16" s="188"/>
      <c r="K16" s="188"/>
      <c r="L16" s="189"/>
      <c r="M16" s="187"/>
      <c r="N16" s="188"/>
      <c r="O16" s="188"/>
      <c r="P16" s="188"/>
      <c r="Q16" s="188"/>
      <c r="R16" s="188"/>
      <c r="S16" s="188"/>
      <c r="T16" s="188"/>
      <c r="U16" s="188"/>
      <c r="V16" s="188"/>
      <c r="W16" s="189"/>
      <c r="X16" s="187"/>
      <c r="Y16" s="188"/>
      <c r="Z16" s="188"/>
      <c r="AA16" s="188"/>
      <c r="AB16" s="188"/>
      <c r="AC16" s="188"/>
      <c r="AD16" s="188"/>
      <c r="AE16" s="188"/>
      <c r="AF16" s="188"/>
      <c r="AG16" s="188"/>
      <c r="AH16" s="189"/>
      <c r="AI16" s="187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9"/>
      <c r="AU16" s="187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95"/>
    </row>
    <row r="17" spans="2:58" ht="13" customHeight="1" x14ac:dyDescent="0.25">
      <c r="B17" s="203"/>
      <c r="C17" s="191"/>
      <c r="D17" s="191"/>
      <c r="E17" s="191"/>
      <c r="F17" s="191"/>
      <c r="G17" s="191"/>
      <c r="H17" s="191"/>
      <c r="I17" s="191"/>
      <c r="J17" s="191"/>
      <c r="K17" s="191"/>
      <c r="L17" s="148"/>
      <c r="M17" s="190"/>
      <c r="N17" s="191"/>
      <c r="O17" s="191"/>
      <c r="P17" s="191"/>
      <c r="Q17" s="191"/>
      <c r="R17" s="191"/>
      <c r="S17" s="191"/>
      <c r="T17" s="191"/>
      <c r="U17" s="191"/>
      <c r="V17" s="191"/>
      <c r="W17" s="148"/>
      <c r="X17" s="190"/>
      <c r="Y17" s="191"/>
      <c r="Z17" s="191"/>
      <c r="AA17" s="191"/>
      <c r="AB17" s="191"/>
      <c r="AC17" s="191"/>
      <c r="AD17" s="191"/>
      <c r="AE17" s="191"/>
      <c r="AF17" s="191"/>
      <c r="AG17" s="191"/>
      <c r="AH17" s="148"/>
      <c r="AI17" s="190"/>
      <c r="AJ17" s="191"/>
      <c r="AK17" s="191"/>
      <c r="AL17" s="191"/>
      <c r="AM17" s="191"/>
      <c r="AN17" s="191"/>
      <c r="AO17" s="191"/>
      <c r="AP17" s="191"/>
      <c r="AQ17" s="191"/>
      <c r="AR17" s="191"/>
      <c r="AS17" s="191"/>
      <c r="AT17" s="148"/>
      <c r="AU17" s="190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6"/>
    </row>
    <row r="18" spans="2:58" ht="13" customHeight="1" x14ac:dyDescent="0.25">
      <c r="B18" s="180" t="s">
        <v>241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213" t="s">
        <v>242</v>
      </c>
      <c r="N18" s="178"/>
      <c r="O18" s="178"/>
      <c r="P18" s="178"/>
      <c r="Q18" s="178"/>
      <c r="R18" s="178"/>
      <c r="S18" s="178"/>
      <c r="T18" s="178"/>
      <c r="U18" s="178"/>
      <c r="V18" s="178"/>
      <c r="W18" s="149"/>
      <c r="X18" s="212" t="s">
        <v>243</v>
      </c>
      <c r="Y18" s="178"/>
      <c r="Z18" s="178"/>
      <c r="AA18" s="178"/>
      <c r="AB18" s="178"/>
      <c r="AC18" s="178"/>
      <c r="AD18" s="178"/>
      <c r="AE18" s="178"/>
      <c r="AF18" s="178"/>
      <c r="AG18" s="178"/>
      <c r="AH18" s="149"/>
      <c r="AI18" s="117" t="s">
        <v>244</v>
      </c>
      <c r="AJ18" s="178"/>
      <c r="AK18" s="178"/>
      <c r="AL18" s="178"/>
      <c r="AM18" s="178"/>
      <c r="AN18" s="178"/>
      <c r="AO18" s="178"/>
      <c r="AP18" s="178"/>
      <c r="AQ18" s="178"/>
      <c r="AR18" s="178"/>
      <c r="AS18" s="178"/>
      <c r="AT18" s="149"/>
      <c r="AU18" s="131" t="s">
        <v>245</v>
      </c>
      <c r="AV18" s="178"/>
      <c r="AW18" s="178"/>
      <c r="AX18" s="178"/>
      <c r="AY18" s="178"/>
      <c r="AZ18" s="178"/>
      <c r="BA18" s="178"/>
      <c r="BB18" s="178"/>
      <c r="BC18" s="178"/>
      <c r="BD18" s="178"/>
      <c r="BE18" s="178"/>
      <c r="BF18" s="182"/>
    </row>
    <row r="19" spans="2:58" ht="13" customHeight="1" x14ac:dyDescent="0.25">
      <c r="B19" s="201"/>
      <c r="C19" s="185"/>
      <c r="D19" s="185"/>
      <c r="E19" s="185"/>
      <c r="F19" s="185"/>
      <c r="G19" s="185"/>
      <c r="H19" s="185"/>
      <c r="I19" s="185"/>
      <c r="J19" s="185"/>
      <c r="K19" s="185"/>
      <c r="L19" s="186"/>
      <c r="M19" s="215"/>
      <c r="N19" s="185"/>
      <c r="O19" s="185"/>
      <c r="P19" s="185"/>
      <c r="Q19" s="185"/>
      <c r="R19" s="185"/>
      <c r="S19" s="185"/>
      <c r="T19" s="185"/>
      <c r="U19" s="185"/>
      <c r="V19" s="185"/>
      <c r="W19" s="186"/>
      <c r="X19" s="184"/>
      <c r="Y19" s="185"/>
      <c r="Z19" s="185"/>
      <c r="AA19" s="185"/>
      <c r="AB19" s="185"/>
      <c r="AC19" s="185"/>
      <c r="AD19" s="185"/>
      <c r="AE19" s="185"/>
      <c r="AF19" s="185"/>
      <c r="AG19" s="185"/>
      <c r="AH19" s="186"/>
      <c r="AI19" s="192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6"/>
      <c r="AU19" s="193"/>
      <c r="AV19" s="185"/>
      <c r="AW19" s="185"/>
      <c r="AX19" s="185"/>
      <c r="AY19" s="185"/>
      <c r="AZ19" s="185"/>
      <c r="BA19" s="185"/>
      <c r="BB19" s="185"/>
      <c r="BC19" s="185"/>
      <c r="BD19" s="185"/>
      <c r="BE19" s="185"/>
      <c r="BF19" s="194"/>
    </row>
    <row r="20" spans="2:58" ht="13" customHeight="1" x14ac:dyDescent="0.25">
      <c r="B20" s="202"/>
      <c r="C20" s="188"/>
      <c r="D20" s="188"/>
      <c r="E20" s="188"/>
      <c r="F20" s="188"/>
      <c r="G20" s="188"/>
      <c r="H20" s="188"/>
      <c r="I20" s="188"/>
      <c r="J20" s="188"/>
      <c r="K20" s="188"/>
      <c r="L20" s="189"/>
      <c r="M20" s="187"/>
      <c r="N20" s="188"/>
      <c r="O20" s="188"/>
      <c r="P20" s="188"/>
      <c r="Q20" s="188"/>
      <c r="R20" s="188"/>
      <c r="S20" s="188"/>
      <c r="T20" s="188"/>
      <c r="U20" s="188"/>
      <c r="V20" s="188"/>
      <c r="W20" s="189"/>
      <c r="X20" s="187"/>
      <c r="Y20" s="188"/>
      <c r="Z20" s="188"/>
      <c r="AA20" s="188"/>
      <c r="AB20" s="188"/>
      <c r="AC20" s="188"/>
      <c r="AD20" s="188"/>
      <c r="AE20" s="188"/>
      <c r="AF20" s="188"/>
      <c r="AG20" s="188"/>
      <c r="AH20" s="189"/>
      <c r="AI20" s="187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9"/>
      <c r="AU20" s="187"/>
      <c r="AV20" s="188"/>
      <c r="AW20" s="188"/>
      <c r="AX20" s="188"/>
      <c r="AY20" s="188"/>
      <c r="AZ20" s="188"/>
      <c r="BA20" s="188"/>
      <c r="BB20" s="188"/>
      <c r="BC20" s="188"/>
      <c r="BD20" s="188"/>
      <c r="BE20" s="188"/>
      <c r="BF20" s="195"/>
    </row>
    <row r="21" spans="2:58" ht="13" customHeight="1" x14ac:dyDescent="0.25">
      <c r="B21" s="202"/>
      <c r="C21" s="188"/>
      <c r="D21" s="188"/>
      <c r="E21" s="188"/>
      <c r="F21" s="188"/>
      <c r="G21" s="188"/>
      <c r="H21" s="188"/>
      <c r="I21" s="188"/>
      <c r="J21" s="188"/>
      <c r="K21" s="188"/>
      <c r="L21" s="189"/>
      <c r="M21" s="187"/>
      <c r="N21" s="188"/>
      <c r="O21" s="188"/>
      <c r="P21" s="188"/>
      <c r="Q21" s="188"/>
      <c r="R21" s="188"/>
      <c r="S21" s="188"/>
      <c r="T21" s="188"/>
      <c r="U21" s="188"/>
      <c r="V21" s="188"/>
      <c r="W21" s="189"/>
      <c r="X21" s="187"/>
      <c r="Y21" s="188"/>
      <c r="Z21" s="188"/>
      <c r="AA21" s="188"/>
      <c r="AB21" s="188"/>
      <c r="AC21" s="188"/>
      <c r="AD21" s="188"/>
      <c r="AE21" s="188"/>
      <c r="AF21" s="188"/>
      <c r="AG21" s="188"/>
      <c r="AH21" s="189"/>
      <c r="AI21" s="187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9"/>
      <c r="AU21" s="187"/>
      <c r="AV21" s="188"/>
      <c r="AW21" s="188"/>
      <c r="AX21" s="188"/>
      <c r="AY21" s="188"/>
      <c r="AZ21" s="188"/>
      <c r="BA21" s="188"/>
      <c r="BB21" s="188"/>
      <c r="BC21" s="188"/>
      <c r="BD21" s="188"/>
      <c r="BE21" s="188"/>
      <c r="BF21" s="195"/>
    </row>
    <row r="22" spans="2:58" ht="13" customHeight="1" x14ac:dyDescent="0.25">
      <c r="B22" s="202"/>
      <c r="C22" s="188"/>
      <c r="D22" s="188"/>
      <c r="E22" s="188"/>
      <c r="F22" s="188"/>
      <c r="G22" s="188"/>
      <c r="H22" s="188"/>
      <c r="I22" s="188"/>
      <c r="J22" s="188"/>
      <c r="K22" s="188"/>
      <c r="L22" s="189"/>
      <c r="M22" s="187"/>
      <c r="N22" s="188"/>
      <c r="O22" s="188"/>
      <c r="P22" s="188"/>
      <c r="Q22" s="188"/>
      <c r="R22" s="188"/>
      <c r="S22" s="188"/>
      <c r="T22" s="188"/>
      <c r="U22" s="188"/>
      <c r="V22" s="188"/>
      <c r="W22" s="189"/>
      <c r="X22" s="187"/>
      <c r="Y22" s="188"/>
      <c r="Z22" s="188"/>
      <c r="AA22" s="188"/>
      <c r="AB22" s="188"/>
      <c r="AC22" s="188"/>
      <c r="AD22" s="188"/>
      <c r="AE22" s="188"/>
      <c r="AF22" s="188"/>
      <c r="AG22" s="188"/>
      <c r="AH22" s="189"/>
      <c r="AI22" s="187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9"/>
      <c r="AU22" s="187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95"/>
    </row>
    <row r="23" spans="2:58" ht="13" customHeight="1" x14ac:dyDescent="0.25">
      <c r="B23" s="202"/>
      <c r="C23" s="188"/>
      <c r="D23" s="188"/>
      <c r="E23" s="188"/>
      <c r="F23" s="188"/>
      <c r="G23" s="188"/>
      <c r="H23" s="188"/>
      <c r="I23" s="188"/>
      <c r="J23" s="188"/>
      <c r="K23" s="188"/>
      <c r="L23" s="189"/>
      <c r="M23" s="187"/>
      <c r="N23" s="188"/>
      <c r="O23" s="188"/>
      <c r="P23" s="188"/>
      <c r="Q23" s="188"/>
      <c r="R23" s="188"/>
      <c r="S23" s="188"/>
      <c r="T23" s="188"/>
      <c r="U23" s="188"/>
      <c r="V23" s="188"/>
      <c r="W23" s="189"/>
      <c r="X23" s="187"/>
      <c r="Y23" s="188"/>
      <c r="Z23" s="188"/>
      <c r="AA23" s="188"/>
      <c r="AB23" s="188"/>
      <c r="AC23" s="188"/>
      <c r="AD23" s="188"/>
      <c r="AE23" s="188"/>
      <c r="AF23" s="188"/>
      <c r="AG23" s="188"/>
      <c r="AH23" s="189"/>
      <c r="AI23" s="187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9"/>
      <c r="AU23" s="187"/>
      <c r="AV23" s="188"/>
      <c r="AW23" s="188"/>
      <c r="AX23" s="188"/>
      <c r="AY23" s="188"/>
      <c r="AZ23" s="188"/>
      <c r="BA23" s="188"/>
      <c r="BB23" s="188"/>
      <c r="BC23" s="188"/>
      <c r="BD23" s="188"/>
      <c r="BE23" s="188"/>
      <c r="BF23" s="195"/>
    </row>
    <row r="24" spans="2:58" ht="13" customHeight="1" x14ac:dyDescent="0.25">
      <c r="B24" s="203"/>
      <c r="C24" s="191"/>
      <c r="D24" s="191"/>
      <c r="E24" s="191"/>
      <c r="F24" s="191"/>
      <c r="G24" s="191"/>
      <c r="H24" s="191"/>
      <c r="I24" s="191"/>
      <c r="J24" s="191"/>
      <c r="K24" s="191"/>
      <c r="L24" s="148"/>
      <c r="M24" s="190"/>
      <c r="N24" s="191"/>
      <c r="O24" s="191"/>
      <c r="P24" s="191"/>
      <c r="Q24" s="191"/>
      <c r="R24" s="191"/>
      <c r="S24" s="191"/>
      <c r="T24" s="191"/>
      <c r="U24" s="191"/>
      <c r="V24" s="191"/>
      <c r="W24" s="148"/>
      <c r="X24" s="190"/>
      <c r="Y24" s="191"/>
      <c r="Z24" s="191"/>
      <c r="AA24" s="191"/>
      <c r="AB24" s="191"/>
      <c r="AC24" s="191"/>
      <c r="AD24" s="191"/>
      <c r="AE24" s="191"/>
      <c r="AF24" s="191"/>
      <c r="AG24" s="191"/>
      <c r="AH24" s="148"/>
      <c r="AI24" s="190"/>
      <c r="AJ24" s="191"/>
      <c r="AK24" s="191"/>
      <c r="AL24" s="191"/>
      <c r="AM24" s="191"/>
      <c r="AN24" s="191"/>
      <c r="AO24" s="191"/>
      <c r="AP24" s="191"/>
      <c r="AQ24" s="191"/>
      <c r="AR24" s="191"/>
      <c r="AS24" s="191"/>
      <c r="AT24" s="148"/>
      <c r="AU24" s="190"/>
      <c r="AV24" s="191"/>
      <c r="AW24" s="191"/>
      <c r="AX24" s="191"/>
      <c r="AY24" s="191"/>
      <c r="AZ24" s="191"/>
      <c r="BA24" s="191"/>
      <c r="BB24" s="191"/>
      <c r="BC24" s="191"/>
      <c r="BD24" s="191"/>
      <c r="BE24" s="191"/>
      <c r="BF24" s="196"/>
    </row>
    <row r="25" spans="2:58" ht="13" customHeight="1" x14ac:dyDescent="0.25">
      <c r="B25" s="180" t="s">
        <v>246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49"/>
      <c r="M25" s="155" t="s">
        <v>247</v>
      </c>
      <c r="N25" s="178"/>
      <c r="O25" s="178"/>
      <c r="P25" s="178"/>
      <c r="Q25" s="178"/>
      <c r="R25" s="178"/>
      <c r="S25" s="178"/>
      <c r="T25" s="178"/>
      <c r="U25" s="178"/>
      <c r="V25" s="178"/>
      <c r="W25" s="149"/>
      <c r="X25" s="181" t="s">
        <v>248</v>
      </c>
      <c r="Y25" s="178"/>
      <c r="Z25" s="178"/>
      <c r="AA25" s="178"/>
      <c r="AB25" s="178"/>
      <c r="AC25" s="178"/>
      <c r="AD25" s="178"/>
      <c r="AE25" s="178"/>
      <c r="AF25" s="178"/>
      <c r="AG25" s="178"/>
      <c r="AH25" s="149"/>
      <c r="AI25" s="131" t="s">
        <v>249</v>
      </c>
      <c r="AJ25" s="178"/>
      <c r="AK25" s="178"/>
      <c r="AL25" s="178"/>
      <c r="AM25" s="178"/>
      <c r="AN25" s="178"/>
      <c r="AO25" s="178"/>
      <c r="AP25" s="178"/>
      <c r="AQ25" s="178"/>
      <c r="AR25" s="178"/>
      <c r="AS25" s="178"/>
      <c r="AT25" s="149"/>
      <c r="AU25" s="131" t="s">
        <v>250</v>
      </c>
      <c r="AV25" s="178"/>
      <c r="AW25" s="178"/>
      <c r="AX25" s="178"/>
      <c r="AY25" s="178"/>
      <c r="AZ25" s="178"/>
      <c r="BA25" s="178"/>
      <c r="BB25" s="178"/>
      <c r="BC25" s="178"/>
      <c r="BD25" s="178"/>
      <c r="BE25" s="178"/>
      <c r="BF25" s="182"/>
    </row>
    <row r="26" spans="2:58" ht="13" customHeight="1" x14ac:dyDescent="0.25">
      <c r="B26" s="201"/>
      <c r="C26" s="185"/>
      <c r="D26" s="185"/>
      <c r="E26" s="185"/>
      <c r="F26" s="185"/>
      <c r="G26" s="185"/>
      <c r="H26" s="185"/>
      <c r="I26" s="185"/>
      <c r="J26" s="185"/>
      <c r="K26" s="185"/>
      <c r="L26" s="186"/>
      <c r="M26" s="209"/>
      <c r="N26" s="185"/>
      <c r="O26" s="185"/>
      <c r="P26" s="185"/>
      <c r="Q26" s="185"/>
      <c r="R26" s="185"/>
      <c r="S26" s="185"/>
      <c r="T26" s="185"/>
      <c r="U26" s="185"/>
      <c r="V26" s="185"/>
      <c r="W26" s="186"/>
      <c r="X26" s="205"/>
      <c r="Y26" s="185"/>
      <c r="Z26" s="185"/>
      <c r="AA26" s="185"/>
      <c r="AB26" s="185"/>
      <c r="AC26" s="185"/>
      <c r="AD26" s="185"/>
      <c r="AE26" s="185"/>
      <c r="AF26" s="185"/>
      <c r="AG26" s="185"/>
      <c r="AH26" s="186"/>
      <c r="AI26" s="193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6"/>
      <c r="AU26" s="193"/>
      <c r="AV26" s="185"/>
      <c r="AW26" s="185"/>
      <c r="AX26" s="185"/>
      <c r="AY26" s="185"/>
      <c r="AZ26" s="185"/>
      <c r="BA26" s="185"/>
      <c r="BB26" s="185"/>
      <c r="BC26" s="185"/>
      <c r="BD26" s="185"/>
      <c r="BE26" s="185"/>
      <c r="BF26" s="194"/>
    </row>
    <row r="27" spans="2:58" ht="13" customHeight="1" x14ac:dyDescent="0.25">
      <c r="B27" s="202"/>
      <c r="C27" s="188"/>
      <c r="D27" s="188"/>
      <c r="E27" s="188"/>
      <c r="F27" s="188"/>
      <c r="G27" s="188"/>
      <c r="H27" s="188"/>
      <c r="I27" s="188"/>
      <c r="J27" s="188"/>
      <c r="K27" s="188"/>
      <c r="L27" s="189"/>
      <c r="M27" s="187"/>
      <c r="N27" s="188"/>
      <c r="O27" s="188"/>
      <c r="P27" s="188"/>
      <c r="Q27" s="188"/>
      <c r="R27" s="188"/>
      <c r="S27" s="188"/>
      <c r="T27" s="188"/>
      <c r="U27" s="188"/>
      <c r="V27" s="188"/>
      <c r="W27" s="189"/>
      <c r="X27" s="187"/>
      <c r="Y27" s="188"/>
      <c r="Z27" s="188"/>
      <c r="AA27" s="188"/>
      <c r="AB27" s="188"/>
      <c r="AC27" s="188"/>
      <c r="AD27" s="188"/>
      <c r="AE27" s="188"/>
      <c r="AF27" s="188"/>
      <c r="AG27" s="188"/>
      <c r="AH27" s="189"/>
      <c r="AI27" s="187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9"/>
      <c r="AU27" s="187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95"/>
    </row>
    <row r="28" spans="2:58" ht="13" customHeight="1" x14ac:dyDescent="0.25">
      <c r="B28" s="202"/>
      <c r="C28" s="188"/>
      <c r="D28" s="188"/>
      <c r="E28" s="188"/>
      <c r="F28" s="188"/>
      <c r="G28" s="188"/>
      <c r="H28" s="188"/>
      <c r="I28" s="188"/>
      <c r="J28" s="188"/>
      <c r="K28" s="188"/>
      <c r="L28" s="189"/>
      <c r="M28" s="187"/>
      <c r="N28" s="188"/>
      <c r="O28" s="188"/>
      <c r="P28" s="188"/>
      <c r="Q28" s="188"/>
      <c r="R28" s="188"/>
      <c r="S28" s="188"/>
      <c r="T28" s="188"/>
      <c r="U28" s="188"/>
      <c r="V28" s="188"/>
      <c r="W28" s="189"/>
      <c r="X28" s="187"/>
      <c r="Y28" s="188"/>
      <c r="Z28" s="188"/>
      <c r="AA28" s="188"/>
      <c r="AB28" s="188"/>
      <c r="AC28" s="188"/>
      <c r="AD28" s="188"/>
      <c r="AE28" s="188"/>
      <c r="AF28" s="188"/>
      <c r="AG28" s="188"/>
      <c r="AH28" s="189"/>
      <c r="AI28" s="187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9"/>
      <c r="AU28" s="187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95"/>
    </row>
    <row r="29" spans="2:58" ht="13" customHeight="1" x14ac:dyDescent="0.25">
      <c r="B29" s="202"/>
      <c r="C29" s="188"/>
      <c r="D29" s="188"/>
      <c r="E29" s="188"/>
      <c r="F29" s="188"/>
      <c r="G29" s="188"/>
      <c r="H29" s="188"/>
      <c r="I29" s="188"/>
      <c r="J29" s="188"/>
      <c r="K29" s="188"/>
      <c r="L29" s="189"/>
      <c r="M29" s="187"/>
      <c r="N29" s="188"/>
      <c r="O29" s="188"/>
      <c r="P29" s="188"/>
      <c r="Q29" s="188"/>
      <c r="R29" s="188"/>
      <c r="S29" s="188"/>
      <c r="T29" s="188"/>
      <c r="U29" s="188"/>
      <c r="V29" s="188"/>
      <c r="W29" s="189"/>
      <c r="X29" s="187"/>
      <c r="Y29" s="188"/>
      <c r="Z29" s="188"/>
      <c r="AA29" s="188"/>
      <c r="AB29" s="188"/>
      <c r="AC29" s="188"/>
      <c r="AD29" s="188"/>
      <c r="AE29" s="188"/>
      <c r="AF29" s="188"/>
      <c r="AG29" s="188"/>
      <c r="AH29" s="189"/>
      <c r="AI29" s="187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9"/>
      <c r="AU29" s="187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95"/>
    </row>
    <row r="30" spans="2:58" ht="13" customHeight="1" x14ac:dyDescent="0.25">
      <c r="B30" s="202"/>
      <c r="C30" s="188"/>
      <c r="D30" s="188"/>
      <c r="E30" s="188"/>
      <c r="F30" s="188"/>
      <c r="G30" s="188"/>
      <c r="H30" s="188"/>
      <c r="I30" s="188"/>
      <c r="J30" s="188"/>
      <c r="K30" s="188"/>
      <c r="L30" s="189"/>
      <c r="M30" s="187"/>
      <c r="N30" s="188"/>
      <c r="O30" s="188"/>
      <c r="P30" s="188"/>
      <c r="Q30" s="188"/>
      <c r="R30" s="188"/>
      <c r="S30" s="188"/>
      <c r="T30" s="188"/>
      <c r="U30" s="188"/>
      <c r="V30" s="188"/>
      <c r="W30" s="189"/>
      <c r="X30" s="187"/>
      <c r="Y30" s="188"/>
      <c r="Z30" s="188"/>
      <c r="AA30" s="188"/>
      <c r="AB30" s="188"/>
      <c r="AC30" s="188"/>
      <c r="AD30" s="188"/>
      <c r="AE30" s="188"/>
      <c r="AF30" s="188"/>
      <c r="AG30" s="188"/>
      <c r="AH30" s="189"/>
      <c r="AI30" s="187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9"/>
      <c r="AU30" s="187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95"/>
    </row>
    <row r="31" spans="2:58" ht="13" customHeight="1" x14ac:dyDescent="0.25">
      <c r="B31" s="203"/>
      <c r="C31" s="191"/>
      <c r="D31" s="191"/>
      <c r="E31" s="191"/>
      <c r="F31" s="191"/>
      <c r="G31" s="191"/>
      <c r="H31" s="191"/>
      <c r="I31" s="191"/>
      <c r="J31" s="191"/>
      <c r="K31" s="191"/>
      <c r="L31" s="148"/>
      <c r="M31" s="190"/>
      <c r="N31" s="191"/>
      <c r="O31" s="191"/>
      <c r="P31" s="191"/>
      <c r="Q31" s="191"/>
      <c r="R31" s="191"/>
      <c r="S31" s="191"/>
      <c r="T31" s="191"/>
      <c r="U31" s="191"/>
      <c r="V31" s="191"/>
      <c r="W31" s="148"/>
      <c r="X31" s="190"/>
      <c r="Y31" s="191"/>
      <c r="Z31" s="191"/>
      <c r="AA31" s="191"/>
      <c r="AB31" s="191"/>
      <c r="AC31" s="191"/>
      <c r="AD31" s="191"/>
      <c r="AE31" s="191"/>
      <c r="AF31" s="191"/>
      <c r="AG31" s="191"/>
      <c r="AH31" s="148"/>
      <c r="AI31" s="190"/>
      <c r="AJ31" s="191"/>
      <c r="AK31" s="191"/>
      <c r="AL31" s="191"/>
      <c r="AM31" s="191"/>
      <c r="AN31" s="191"/>
      <c r="AO31" s="191"/>
      <c r="AP31" s="191"/>
      <c r="AQ31" s="191"/>
      <c r="AR31" s="191"/>
      <c r="AS31" s="191"/>
      <c r="AT31" s="148"/>
      <c r="AU31" s="190"/>
      <c r="AV31" s="191"/>
      <c r="AW31" s="191"/>
      <c r="AX31" s="191"/>
      <c r="AY31" s="191"/>
      <c r="AZ31" s="191"/>
      <c r="BA31" s="191"/>
      <c r="BB31" s="191"/>
      <c r="BC31" s="191"/>
      <c r="BD31" s="191"/>
      <c r="BE31" s="191"/>
      <c r="BF31" s="196"/>
    </row>
    <row r="32" spans="2:58" ht="13" customHeight="1" x14ac:dyDescent="0.25">
      <c r="B32" s="180" t="s">
        <v>251</v>
      </c>
      <c r="C32" s="178"/>
      <c r="D32" s="178"/>
      <c r="E32" s="178"/>
      <c r="F32" s="178"/>
      <c r="G32" s="178"/>
      <c r="H32" s="178"/>
      <c r="I32" s="178"/>
      <c r="J32" s="178"/>
      <c r="K32" s="178"/>
      <c r="L32" s="149"/>
      <c r="M32" s="183" t="s">
        <v>252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49"/>
      <c r="X32" s="181" t="s">
        <v>253</v>
      </c>
      <c r="Y32" s="178"/>
      <c r="Z32" s="178"/>
      <c r="AA32" s="178"/>
      <c r="AB32" s="178"/>
      <c r="AC32" s="178"/>
      <c r="AD32" s="178"/>
      <c r="AE32" s="178"/>
      <c r="AF32" s="178"/>
      <c r="AG32" s="178"/>
      <c r="AH32" s="149"/>
      <c r="AI32" s="131" t="s">
        <v>254</v>
      </c>
      <c r="AJ32" s="178"/>
      <c r="AK32" s="178"/>
      <c r="AL32" s="178"/>
      <c r="AM32" s="178"/>
      <c r="AN32" s="178"/>
      <c r="AO32" s="178"/>
      <c r="AP32" s="178"/>
      <c r="AQ32" s="178"/>
      <c r="AR32" s="178"/>
      <c r="AS32" s="178"/>
      <c r="AT32" s="149"/>
      <c r="AU32" s="131" t="s">
        <v>255</v>
      </c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82"/>
    </row>
    <row r="33" spans="2:58" ht="13" customHeight="1" x14ac:dyDescent="0.25">
      <c r="B33" s="201"/>
      <c r="C33" s="185"/>
      <c r="D33" s="185"/>
      <c r="E33" s="185"/>
      <c r="F33" s="185"/>
      <c r="G33" s="185"/>
      <c r="H33" s="185"/>
      <c r="I33" s="185"/>
      <c r="J33" s="185"/>
      <c r="K33" s="185"/>
      <c r="L33" s="186"/>
      <c r="M33" s="204"/>
      <c r="N33" s="185"/>
      <c r="O33" s="185"/>
      <c r="P33" s="185"/>
      <c r="Q33" s="185"/>
      <c r="R33" s="185"/>
      <c r="S33" s="185"/>
      <c r="T33" s="185"/>
      <c r="U33" s="185"/>
      <c r="V33" s="185"/>
      <c r="W33" s="186"/>
      <c r="X33" s="205"/>
      <c r="Y33" s="185"/>
      <c r="Z33" s="185"/>
      <c r="AA33" s="185"/>
      <c r="AB33" s="185"/>
      <c r="AC33" s="185"/>
      <c r="AD33" s="185"/>
      <c r="AE33" s="185"/>
      <c r="AF33" s="185"/>
      <c r="AG33" s="185"/>
      <c r="AH33" s="186"/>
      <c r="AI33" s="193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6"/>
      <c r="AU33" s="193"/>
      <c r="AV33" s="185"/>
      <c r="AW33" s="185"/>
      <c r="AX33" s="185"/>
      <c r="AY33" s="185"/>
      <c r="AZ33" s="185"/>
      <c r="BA33" s="185"/>
      <c r="BB33" s="185"/>
      <c r="BC33" s="185"/>
      <c r="BD33" s="185"/>
      <c r="BE33" s="185"/>
      <c r="BF33" s="194"/>
    </row>
    <row r="34" spans="2:58" ht="13" customHeight="1" x14ac:dyDescent="0.25">
      <c r="B34" s="202"/>
      <c r="C34" s="188"/>
      <c r="D34" s="188"/>
      <c r="E34" s="188"/>
      <c r="F34" s="188"/>
      <c r="G34" s="188"/>
      <c r="H34" s="188"/>
      <c r="I34" s="188"/>
      <c r="J34" s="188"/>
      <c r="K34" s="188"/>
      <c r="L34" s="189"/>
      <c r="M34" s="187"/>
      <c r="N34" s="188"/>
      <c r="O34" s="188"/>
      <c r="P34" s="188"/>
      <c r="Q34" s="188"/>
      <c r="R34" s="188"/>
      <c r="S34" s="188"/>
      <c r="T34" s="188"/>
      <c r="U34" s="188"/>
      <c r="V34" s="188"/>
      <c r="W34" s="189"/>
      <c r="X34" s="187"/>
      <c r="Y34" s="188"/>
      <c r="Z34" s="188"/>
      <c r="AA34" s="188"/>
      <c r="AB34" s="188"/>
      <c r="AC34" s="188"/>
      <c r="AD34" s="188"/>
      <c r="AE34" s="188"/>
      <c r="AF34" s="188"/>
      <c r="AG34" s="188"/>
      <c r="AH34" s="189"/>
      <c r="AI34" s="187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9"/>
      <c r="AU34" s="187"/>
      <c r="AV34" s="188"/>
      <c r="AW34" s="188"/>
      <c r="AX34" s="188"/>
      <c r="AY34" s="188"/>
      <c r="AZ34" s="188"/>
      <c r="BA34" s="188"/>
      <c r="BB34" s="188"/>
      <c r="BC34" s="188"/>
      <c r="BD34" s="188"/>
      <c r="BE34" s="188"/>
      <c r="BF34" s="195"/>
    </row>
    <row r="35" spans="2:58" ht="13" customHeight="1" x14ac:dyDescent="0.25">
      <c r="B35" s="202"/>
      <c r="C35" s="188"/>
      <c r="D35" s="188"/>
      <c r="E35" s="188"/>
      <c r="F35" s="188"/>
      <c r="G35" s="188"/>
      <c r="H35" s="188"/>
      <c r="I35" s="188"/>
      <c r="J35" s="188"/>
      <c r="K35" s="188"/>
      <c r="L35" s="189"/>
      <c r="M35" s="187"/>
      <c r="N35" s="188"/>
      <c r="O35" s="188"/>
      <c r="P35" s="188"/>
      <c r="Q35" s="188"/>
      <c r="R35" s="188"/>
      <c r="S35" s="188"/>
      <c r="T35" s="188"/>
      <c r="U35" s="188"/>
      <c r="V35" s="188"/>
      <c r="W35" s="189"/>
      <c r="X35" s="187"/>
      <c r="Y35" s="188"/>
      <c r="Z35" s="188"/>
      <c r="AA35" s="188"/>
      <c r="AB35" s="188"/>
      <c r="AC35" s="188"/>
      <c r="AD35" s="188"/>
      <c r="AE35" s="188"/>
      <c r="AF35" s="188"/>
      <c r="AG35" s="188"/>
      <c r="AH35" s="189"/>
      <c r="AI35" s="187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9"/>
      <c r="AU35" s="187"/>
      <c r="AV35" s="188"/>
      <c r="AW35" s="188"/>
      <c r="AX35" s="188"/>
      <c r="AY35" s="188"/>
      <c r="AZ35" s="188"/>
      <c r="BA35" s="188"/>
      <c r="BB35" s="188"/>
      <c r="BC35" s="188"/>
      <c r="BD35" s="188"/>
      <c r="BE35" s="188"/>
      <c r="BF35" s="195"/>
    </row>
    <row r="36" spans="2:58" ht="13" customHeight="1" x14ac:dyDescent="0.25">
      <c r="B36" s="202"/>
      <c r="C36" s="188"/>
      <c r="D36" s="188"/>
      <c r="E36" s="188"/>
      <c r="F36" s="188"/>
      <c r="G36" s="188"/>
      <c r="H36" s="188"/>
      <c r="I36" s="188"/>
      <c r="J36" s="188"/>
      <c r="K36" s="188"/>
      <c r="L36" s="189"/>
      <c r="M36" s="187"/>
      <c r="N36" s="188"/>
      <c r="O36" s="188"/>
      <c r="P36" s="188"/>
      <c r="Q36" s="188"/>
      <c r="R36" s="188"/>
      <c r="S36" s="188"/>
      <c r="T36" s="188"/>
      <c r="U36" s="188"/>
      <c r="V36" s="188"/>
      <c r="W36" s="189"/>
      <c r="X36" s="187"/>
      <c r="Y36" s="188"/>
      <c r="Z36" s="188"/>
      <c r="AA36" s="188"/>
      <c r="AB36" s="188"/>
      <c r="AC36" s="188"/>
      <c r="AD36" s="188"/>
      <c r="AE36" s="188"/>
      <c r="AF36" s="188"/>
      <c r="AG36" s="188"/>
      <c r="AH36" s="189"/>
      <c r="AI36" s="187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9"/>
      <c r="AU36" s="187"/>
      <c r="AV36" s="188"/>
      <c r="AW36" s="188"/>
      <c r="AX36" s="188"/>
      <c r="AY36" s="188"/>
      <c r="AZ36" s="188"/>
      <c r="BA36" s="188"/>
      <c r="BB36" s="188"/>
      <c r="BC36" s="188"/>
      <c r="BD36" s="188"/>
      <c r="BE36" s="188"/>
      <c r="BF36" s="195"/>
    </row>
    <row r="37" spans="2:58" ht="13" customHeight="1" x14ac:dyDescent="0.25">
      <c r="B37" s="202"/>
      <c r="C37" s="188"/>
      <c r="D37" s="188"/>
      <c r="E37" s="188"/>
      <c r="F37" s="188"/>
      <c r="G37" s="188"/>
      <c r="H37" s="188"/>
      <c r="I37" s="188"/>
      <c r="J37" s="188"/>
      <c r="K37" s="188"/>
      <c r="L37" s="189"/>
      <c r="M37" s="187"/>
      <c r="N37" s="188"/>
      <c r="O37" s="188"/>
      <c r="P37" s="188"/>
      <c r="Q37" s="188"/>
      <c r="R37" s="188"/>
      <c r="S37" s="188"/>
      <c r="T37" s="188"/>
      <c r="U37" s="188"/>
      <c r="V37" s="188"/>
      <c r="W37" s="189"/>
      <c r="X37" s="187"/>
      <c r="Y37" s="188"/>
      <c r="Z37" s="188"/>
      <c r="AA37" s="188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9"/>
      <c r="AU37" s="187"/>
      <c r="AV37" s="188"/>
      <c r="AW37" s="188"/>
      <c r="AX37" s="188"/>
      <c r="AY37" s="188"/>
      <c r="AZ37" s="188"/>
      <c r="BA37" s="188"/>
      <c r="BB37" s="188"/>
      <c r="BC37" s="188"/>
      <c r="BD37" s="188"/>
      <c r="BE37" s="188"/>
      <c r="BF37" s="195"/>
    </row>
    <row r="38" spans="2:58" ht="13" customHeight="1" x14ac:dyDescent="0.25">
      <c r="B38" s="203"/>
      <c r="C38" s="191"/>
      <c r="D38" s="191"/>
      <c r="E38" s="191"/>
      <c r="F38" s="191"/>
      <c r="G38" s="191"/>
      <c r="H38" s="191"/>
      <c r="I38" s="191"/>
      <c r="J38" s="191"/>
      <c r="K38" s="191"/>
      <c r="L38" s="148"/>
      <c r="M38" s="190"/>
      <c r="N38" s="191"/>
      <c r="O38" s="191"/>
      <c r="P38" s="191"/>
      <c r="Q38" s="191"/>
      <c r="R38" s="191"/>
      <c r="S38" s="191"/>
      <c r="T38" s="191"/>
      <c r="U38" s="191"/>
      <c r="V38" s="191"/>
      <c r="W38" s="148"/>
      <c r="X38" s="190"/>
      <c r="Y38" s="191"/>
      <c r="Z38" s="191"/>
      <c r="AA38" s="191"/>
      <c r="AB38" s="191"/>
      <c r="AC38" s="191"/>
      <c r="AD38" s="191"/>
      <c r="AE38" s="191"/>
      <c r="AF38" s="191"/>
      <c r="AG38" s="191"/>
      <c r="AH38" s="148"/>
      <c r="AI38" s="190"/>
      <c r="AJ38" s="191"/>
      <c r="AK38" s="191"/>
      <c r="AL38" s="191"/>
      <c r="AM38" s="191"/>
      <c r="AN38" s="191"/>
      <c r="AO38" s="191"/>
      <c r="AP38" s="191"/>
      <c r="AQ38" s="191"/>
      <c r="AR38" s="191"/>
      <c r="AS38" s="191"/>
      <c r="AT38" s="148"/>
      <c r="AU38" s="190"/>
      <c r="AV38" s="191"/>
      <c r="AW38" s="191"/>
      <c r="AX38" s="191"/>
      <c r="AY38" s="191"/>
      <c r="AZ38" s="191"/>
      <c r="BA38" s="191"/>
      <c r="BB38" s="191"/>
      <c r="BC38" s="191"/>
      <c r="BD38" s="191"/>
      <c r="BE38" s="191"/>
      <c r="BF38" s="196"/>
    </row>
    <row r="39" spans="2:58" ht="13" customHeight="1" x14ac:dyDescent="0.25">
      <c r="B39" s="180" t="s">
        <v>256</v>
      </c>
      <c r="C39" s="178"/>
      <c r="D39" s="178"/>
      <c r="E39" s="178"/>
      <c r="F39" s="178"/>
      <c r="G39" s="178"/>
      <c r="H39" s="178"/>
      <c r="I39" s="178"/>
      <c r="J39" s="178"/>
      <c r="K39" s="178"/>
      <c r="L39" s="149"/>
      <c r="M39" s="183" t="s">
        <v>257</v>
      </c>
      <c r="N39" s="178"/>
      <c r="O39" s="178"/>
      <c r="P39" s="178"/>
      <c r="Q39" s="178"/>
      <c r="R39" s="178"/>
      <c r="S39" s="178"/>
      <c r="T39" s="178"/>
      <c r="U39" s="178"/>
      <c r="V39" s="178"/>
      <c r="W39" s="149"/>
      <c r="X39" s="181" t="s">
        <v>258</v>
      </c>
      <c r="Y39" s="178"/>
      <c r="Z39" s="178"/>
      <c r="AA39" s="178"/>
      <c r="AB39" s="178"/>
      <c r="AC39" s="178"/>
      <c r="AD39" s="178"/>
      <c r="AE39" s="178"/>
      <c r="AF39" s="178"/>
      <c r="AG39" s="178"/>
      <c r="AH39" s="149"/>
      <c r="AI39" s="131" t="s">
        <v>259</v>
      </c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49"/>
      <c r="AU39" s="131" t="s">
        <v>260</v>
      </c>
      <c r="AV39" s="178"/>
      <c r="AW39" s="178"/>
      <c r="AX39" s="178"/>
      <c r="AY39" s="178"/>
      <c r="AZ39" s="178"/>
      <c r="BA39" s="178"/>
      <c r="BB39" s="178"/>
      <c r="BC39" s="178"/>
      <c r="BD39" s="178"/>
      <c r="BE39" s="178"/>
      <c r="BF39" s="182"/>
    </row>
    <row r="40" spans="2:58" ht="13" customHeight="1" x14ac:dyDescent="0.25">
      <c r="B40" s="201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204"/>
      <c r="N40" s="185"/>
      <c r="O40" s="185"/>
      <c r="P40" s="185"/>
      <c r="Q40" s="185"/>
      <c r="R40" s="185"/>
      <c r="S40" s="185"/>
      <c r="T40" s="185"/>
      <c r="U40" s="185"/>
      <c r="V40" s="185"/>
      <c r="W40" s="186"/>
      <c r="X40" s="205"/>
      <c r="Y40" s="185"/>
      <c r="Z40" s="185"/>
      <c r="AA40" s="185"/>
      <c r="AB40" s="185"/>
      <c r="AC40" s="185"/>
      <c r="AD40" s="185"/>
      <c r="AE40" s="185"/>
      <c r="AF40" s="185"/>
      <c r="AG40" s="185"/>
      <c r="AH40" s="186"/>
      <c r="AI40" s="193"/>
      <c r="AJ40" s="185"/>
      <c r="AK40" s="185"/>
      <c r="AL40" s="185"/>
      <c r="AM40" s="185"/>
      <c r="AN40" s="185"/>
      <c r="AO40" s="185"/>
      <c r="AP40" s="185"/>
      <c r="AQ40" s="185"/>
      <c r="AR40" s="185"/>
      <c r="AS40" s="185"/>
      <c r="AT40" s="186"/>
      <c r="AU40" s="193"/>
      <c r="AV40" s="185"/>
      <c r="AW40" s="185"/>
      <c r="AX40" s="185"/>
      <c r="AY40" s="185"/>
      <c r="AZ40" s="185"/>
      <c r="BA40" s="185"/>
      <c r="BB40" s="185"/>
      <c r="BC40" s="185"/>
      <c r="BD40" s="185"/>
      <c r="BE40" s="185"/>
      <c r="BF40" s="194"/>
    </row>
    <row r="41" spans="2:58" ht="13" customHeight="1" x14ac:dyDescent="0.25">
      <c r="B41" s="202"/>
      <c r="C41" s="188"/>
      <c r="D41" s="188"/>
      <c r="E41" s="188"/>
      <c r="F41" s="188"/>
      <c r="G41" s="188"/>
      <c r="H41" s="188"/>
      <c r="I41" s="188"/>
      <c r="J41" s="188"/>
      <c r="K41" s="188"/>
      <c r="L41" s="189"/>
      <c r="M41" s="187"/>
      <c r="N41" s="188"/>
      <c r="O41" s="188"/>
      <c r="P41" s="188"/>
      <c r="Q41" s="188"/>
      <c r="R41" s="188"/>
      <c r="S41" s="188"/>
      <c r="T41" s="188"/>
      <c r="U41" s="188"/>
      <c r="V41" s="188"/>
      <c r="W41" s="189"/>
      <c r="X41" s="187"/>
      <c r="Y41" s="188"/>
      <c r="Z41" s="188"/>
      <c r="AA41" s="188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9"/>
      <c r="AU41" s="187"/>
      <c r="AV41" s="188"/>
      <c r="AW41" s="188"/>
      <c r="AX41" s="188"/>
      <c r="AY41" s="188"/>
      <c r="AZ41" s="188"/>
      <c r="BA41" s="188"/>
      <c r="BB41" s="188"/>
      <c r="BC41" s="188"/>
      <c r="BD41" s="188"/>
      <c r="BE41" s="188"/>
      <c r="BF41" s="195"/>
    </row>
    <row r="42" spans="2:58" ht="13" customHeight="1" x14ac:dyDescent="0.25">
      <c r="B42" s="202"/>
      <c r="C42" s="188"/>
      <c r="D42" s="188"/>
      <c r="E42" s="188"/>
      <c r="F42" s="188"/>
      <c r="G42" s="188"/>
      <c r="H42" s="188"/>
      <c r="I42" s="188"/>
      <c r="J42" s="188"/>
      <c r="K42" s="188"/>
      <c r="L42" s="189"/>
      <c r="M42" s="187"/>
      <c r="N42" s="188"/>
      <c r="O42" s="188"/>
      <c r="P42" s="188"/>
      <c r="Q42" s="188"/>
      <c r="R42" s="188"/>
      <c r="S42" s="188"/>
      <c r="T42" s="188"/>
      <c r="U42" s="188"/>
      <c r="V42" s="188"/>
      <c r="W42" s="189"/>
      <c r="X42" s="187"/>
      <c r="Y42" s="188"/>
      <c r="Z42" s="188"/>
      <c r="AA42" s="188"/>
      <c r="AB42" s="188"/>
      <c r="AC42" s="188"/>
      <c r="AD42" s="188"/>
      <c r="AE42" s="188"/>
      <c r="AF42" s="188"/>
      <c r="AG42" s="188"/>
      <c r="AH42" s="189"/>
      <c r="AI42" s="187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9"/>
      <c r="AU42" s="187"/>
      <c r="AV42" s="188"/>
      <c r="AW42" s="188"/>
      <c r="AX42" s="188"/>
      <c r="AY42" s="188"/>
      <c r="AZ42" s="188"/>
      <c r="BA42" s="188"/>
      <c r="BB42" s="188"/>
      <c r="BC42" s="188"/>
      <c r="BD42" s="188"/>
      <c r="BE42" s="188"/>
      <c r="BF42" s="195"/>
    </row>
    <row r="43" spans="2:58" ht="13" customHeight="1" x14ac:dyDescent="0.25">
      <c r="B43" s="202"/>
      <c r="C43" s="188"/>
      <c r="D43" s="188"/>
      <c r="E43" s="188"/>
      <c r="F43" s="188"/>
      <c r="G43" s="188"/>
      <c r="H43" s="188"/>
      <c r="I43" s="188"/>
      <c r="J43" s="188"/>
      <c r="K43" s="188"/>
      <c r="L43" s="189"/>
      <c r="M43" s="187"/>
      <c r="N43" s="188"/>
      <c r="O43" s="188"/>
      <c r="P43" s="188"/>
      <c r="Q43" s="188"/>
      <c r="R43" s="188"/>
      <c r="S43" s="188"/>
      <c r="T43" s="188"/>
      <c r="U43" s="188"/>
      <c r="V43" s="188"/>
      <c r="W43" s="189"/>
      <c r="X43" s="187"/>
      <c r="Y43" s="188"/>
      <c r="Z43" s="188"/>
      <c r="AA43" s="188"/>
      <c r="AB43" s="188"/>
      <c r="AC43" s="188"/>
      <c r="AD43" s="188"/>
      <c r="AE43" s="188"/>
      <c r="AF43" s="188"/>
      <c r="AG43" s="188"/>
      <c r="AH43" s="189"/>
      <c r="AI43" s="187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9"/>
      <c r="AU43" s="187"/>
      <c r="AV43" s="188"/>
      <c r="AW43" s="188"/>
      <c r="AX43" s="188"/>
      <c r="AY43" s="188"/>
      <c r="AZ43" s="188"/>
      <c r="BA43" s="188"/>
      <c r="BB43" s="188"/>
      <c r="BC43" s="188"/>
      <c r="BD43" s="188"/>
      <c r="BE43" s="188"/>
      <c r="BF43" s="195"/>
    </row>
    <row r="44" spans="2:58" ht="13" customHeight="1" x14ac:dyDescent="0.25">
      <c r="B44" s="202"/>
      <c r="C44" s="188"/>
      <c r="D44" s="188"/>
      <c r="E44" s="188"/>
      <c r="F44" s="188"/>
      <c r="G44" s="188"/>
      <c r="H44" s="188"/>
      <c r="I44" s="188"/>
      <c r="J44" s="188"/>
      <c r="K44" s="188"/>
      <c r="L44" s="189"/>
      <c r="M44" s="187"/>
      <c r="N44" s="188"/>
      <c r="O44" s="188"/>
      <c r="P44" s="188"/>
      <c r="Q44" s="188"/>
      <c r="R44" s="188"/>
      <c r="S44" s="188"/>
      <c r="T44" s="188"/>
      <c r="U44" s="188"/>
      <c r="V44" s="188"/>
      <c r="W44" s="189"/>
      <c r="X44" s="187"/>
      <c r="Y44" s="188"/>
      <c r="Z44" s="188"/>
      <c r="AA44" s="188"/>
      <c r="AB44" s="188"/>
      <c r="AC44" s="188"/>
      <c r="AD44" s="188"/>
      <c r="AE44" s="188"/>
      <c r="AF44" s="188"/>
      <c r="AG44" s="188"/>
      <c r="AH44" s="189"/>
      <c r="AI44" s="187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9"/>
      <c r="AU44" s="187"/>
      <c r="AV44" s="188"/>
      <c r="AW44" s="188"/>
      <c r="AX44" s="188"/>
      <c r="AY44" s="188"/>
      <c r="AZ44" s="188"/>
      <c r="BA44" s="188"/>
      <c r="BB44" s="188"/>
      <c r="BC44" s="188"/>
      <c r="BD44" s="188"/>
      <c r="BE44" s="188"/>
      <c r="BF44" s="195"/>
    </row>
    <row r="45" spans="2:58" ht="13" customHeight="1" x14ac:dyDescent="0.25">
      <c r="B45" s="203"/>
      <c r="C45" s="191"/>
      <c r="D45" s="191"/>
      <c r="E45" s="191"/>
      <c r="F45" s="191"/>
      <c r="G45" s="191"/>
      <c r="H45" s="191"/>
      <c r="I45" s="191"/>
      <c r="J45" s="191"/>
      <c r="K45" s="191"/>
      <c r="L45" s="148"/>
      <c r="M45" s="190"/>
      <c r="N45" s="191"/>
      <c r="O45" s="191"/>
      <c r="P45" s="191"/>
      <c r="Q45" s="191"/>
      <c r="R45" s="191"/>
      <c r="S45" s="191"/>
      <c r="T45" s="191"/>
      <c r="U45" s="191"/>
      <c r="V45" s="191"/>
      <c r="W45" s="148"/>
      <c r="X45" s="190"/>
      <c r="Y45" s="191"/>
      <c r="Z45" s="191"/>
      <c r="AA45" s="191"/>
      <c r="AB45" s="191"/>
      <c r="AC45" s="191"/>
      <c r="AD45" s="191"/>
      <c r="AE45" s="191"/>
      <c r="AF45" s="191"/>
      <c r="AG45" s="191"/>
      <c r="AH45" s="148"/>
      <c r="AI45" s="190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48"/>
      <c r="AU45" s="190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6"/>
    </row>
    <row r="46" spans="2:58" ht="13" customHeight="1" x14ac:dyDescent="0.25">
      <c r="B46" s="180" t="s">
        <v>261</v>
      </c>
      <c r="C46" s="178"/>
      <c r="D46" s="178"/>
      <c r="E46" s="178"/>
      <c r="F46" s="178"/>
      <c r="G46" s="178"/>
      <c r="H46" s="178"/>
      <c r="I46" s="178"/>
      <c r="J46" s="178"/>
      <c r="K46" s="178"/>
      <c r="L46" s="149"/>
      <c r="M46" s="155" t="s">
        <v>262</v>
      </c>
      <c r="N46" s="178"/>
      <c r="O46" s="178"/>
      <c r="P46" s="178"/>
      <c r="Q46" s="178"/>
      <c r="R46" s="178"/>
      <c r="S46" s="178"/>
      <c r="T46" s="178"/>
      <c r="U46" s="178"/>
      <c r="V46" s="178"/>
      <c r="W46" s="149"/>
      <c r="X46" s="181" t="s">
        <v>263</v>
      </c>
      <c r="Y46" s="178"/>
      <c r="Z46" s="178"/>
      <c r="AA46" s="178"/>
      <c r="AB46" s="178"/>
      <c r="AC46" s="178"/>
      <c r="AD46" s="178"/>
      <c r="AE46" s="178"/>
      <c r="AF46" s="178"/>
      <c r="AG46" s="178"/>
      <c r="AH46" s="149"/>
      <c r="AI46" s="131" t="s">
        <v>264</v>
      </c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49"/>
      <c r="AU46" s="131" t="s">
        <v>265</v>
      </c>
      <c r="AV46" s="178"/>
      <c r="AW46" s="178"/>
      <c r="AX46" s="178"/>
      <c r="AY46" s="178"/>
      <c r="AZ46" s="178"/>
      <c r="BA46" s="178"/>
      <c r="BB46" s="178"/>
      <c r="BC46" s="178"/>
      <c r="BD46" s="178"/>
      <c r="BE46" s="178"/>
      <c r="BF46" s="182"/>
    </row>
    <row r="47" spans="2:58" ht="13" customHeight="1" x14ac:dyDescent="0.25">
      <c r="B47" s="201"/>
      <c r="C47" s="185"/>
      <c r="D47" s="185"/>
      <c r="E47" s="185"/>
      <c r="F47" s="185"/>
      <c r="G47" s="185"/>
      <c r="H47" s="185"/>
      <c r="I47" s="185"/>
      <c r="J47" s="185"/>
      <c r="K47" s="185"/>
      <c r="L47" s="186"/>
      <c r="M47" s="204"/>
      <c r="N47" s="185"/>
      <c r="O47" s="185"/>
      <c r="P47" s="185"/>
      <c r="Q47" s="185"/>
      <c r="R47" s="185"/>
      <c r="S47" s="185"/>
      <c r="T47" s="185"/>
      <c r="U47" s="185"/>
      <c r="V47" s="185"/>
      <c r="W47" s="186"/>
      <c r="X47" s="205"/>
      <c r="Y47" s="185"/>
      <c r="Z47" s="185"/>
      <c r="AA47" s="185"/>
      <c r="AB47" s="185"/>
      <c r="AC47" s="185"/>
      <c r="AD47" s="185"/>
      <c r="AE47" s="185"/>
      <c r="AF47" s="185"/>
      <c r="AG47" s="185"/>
      <c r="AH47" s="186"/>
      <c r="AI47" s="193"/>
      <c r="AJ47" s="185"/>
      <c r="AK47" s="185"/>
      <c r="AL47" s="185"/>
      <c r="AM47" s="185"/>
      <c r="AN47" s="185"/>
      <c r="AO47" s="185"/>
      <c r="AP47" s="185"/>
      <c r="AQ47" s="185"/>
      <c r="AR47" s="185"/>
      <c r="AS47" s="185"/>
      <c r="AT47" s="186"/>
      <c r="AU47" s="193"/>
      <c r="AV47" s="185"/>
      <c r="AW47" s="185"/>
      <c r="AX47" s="185"/>
      <c r="AY47" s="185"/>
      <c r="AZ47" s="185"/>
      <c r="BA47" s="185"/>
      <c r="BB47" s="185"/>
      <c r="BC47" s="185"/>
      <c r="BD47" s="185"/>
      <c r="BE47" s="185"/>
      <c r="BF47" s="194"/>
    </row>
    <row r="48" spans="2:58" ht="13" customHeight="1" x14ac:dyDescent="0.25">
      <c r="B48" s="202"/>
      <c r="C48" s="188"/>
      <c r="D48" s="188"/>
      <c r="E48" s="188"/>
      <c r="F48" s="188"/>
      <c r="G48" s="188"/>
      <c r="H48" s="188"/>
      <c r="I48" s="188"/>
      <c r="J48" s="188"/>
      <c r="K48" s="188"/>
      <c r="L48" s="189"/>
      <c r="M48" s="187"/>
      <c r="N48" s="188"/>
      <c r="O48" s="188"/>
      <c r="P48" s="188"/>
      <c r="Q48" s="188"/>
      <c r="R48" s="188"/>
      <c r="S48" s="188"/>
      <c r="T48" s="188"/>
      <c r="U48" s="188"/>
      <c r="V48" s="188"/>
      <c r="W48" s="189"/>
      <c r="X48" s="187"/>
      <c r="Y48" s="188"/>
      <c r="Z48" s="188"/>
      <c r="AA48" s="188"/>
      <c r="AB48" s="188"/>
      <c r="AC48" s="188"/>
      <c r="AD48" s="188"/>
      <c r="AE48" s="188"/>
      <c r="AF48" s="188"/>
      <c r="AG48" s="188"/>
      <c r="AH48" s="189"/>
      <c r="AI48" s="187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9"/>
      <c r="AU48" s="187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95"/>
    </row>
    <row r="49" spans="2:58" ht="13" customHeight="1" x14ac:dyDescent="0.25">
      <c r="B49" s="202"/>
      <c r="C49" s="188"/>
      <c r="D49" s="188"/>
      <c r="E49" s="188"/>
      <c r="F49" s="188"/>
      <c r="G49" s="188"/>
      <c r="H49" s="188"/>
      <c r="I49" s="188"/>
      <c r="J49" s="188"/>
      <c r="K49" s="188"/>
      <c r="L49" s="189"/>
      <c r="M49" s="187"/>
      <c r="N49" s="188"/>
      <c r="O49" s="188"/>
      <c r="P49" s="188"/>
      <c r="Q49" s="188"/>
      <c r="R49" s="188"/>
      <c r="S49" s="188"/>
      <c r="T49" s="188"/>
      <c r="U49" s="188"/>
      <c r="V49" s="188"/>
      <c r="W49" s="189"/>
      <c r="X49" s="187"/>
      <c r="Y49" s="188"/>
      <c r="Z49" s="188"/>
      <c r="AA49" s="188"/>
      <c r="AB49" s="188"/>
      <c r="AC49" s="188"/>
      <c r="AD49" s="188"/>
      <c r="AE49" s="188"/>
      <c r="AF49" s="188"/>
      <c r="AG49" s="188"/>
      <c r="AH49" s="189"/>
      <c r="AI49" s="187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9"/>
      <c r="AU49" s="187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95"/>
    </row>
    <row r="50" spans="2:58" ht="13" customHeight="1" x14ac:dyDescent="0.25">
      <c r="B50" s="202"/>
      <c r="C50" s="188"/>
      <c r="D50" s="188"/>
      <c r="E50" s="188"/>
      <c r="F50" s="188"/>
      <c r="G50" s="188"/>
      <c r="H50" s="188"/>
      <c r="I50" s="188"/>
      <c r="J50" s="188"/>
      <c r="K50" s="188"/>
      <c r="L50" s="189"/>
      <c r="M50" s="187"/>
      <c r="N50" s="188"/>
      <c r="O50" s="188"/>
      <c r="P50" s="188"/>
      <c r="Q50" s="188"/>
      <c r="R50" s="188"/>
      <c r="S50" s="188"/>
      <c r="T50" s="188"/>
      <c r="U50" s="188"/>
      <c r="V50" s="188"/>
      <c r="W50" s="189"/>
      <c r="X50" s="187"/>
      <c r="Y50" s="188"/>
      <c r="Z50" s="188"/>
      <c r="AA50" s="188"/>
      <c r="AB50" s="188"/>
      <c r="AC50" s="188"/>
      <c r="AD50" s="188"/>
      <c r="AE50" s="188"/>
      <c r="AF50" s="188"/>
      <c r="AG50" s="188"/>
      <c r="AH50" s="189"/>
      <c r="AI50" s="187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9"/>
      <c r="AU50" s="187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95"/>
    </row>
    <row r="51" spans="2:58" ht="13" customHeight="1" x14ac:dyDescent="0.25">
      <c r="B51" s="202"/>
      <c r="C51" s="188"/>
      <c r="D51" s="188"/>
      <c r="E51" s="188"/>
      <c r="F51" s="188"/>
      <c r="G51" s="188"/>
      <c r="H51" s="188"/>
      <c r="I51" s="188"/>
      <c r="J51" s="188"/>
      <c r="K51" s="188"/>
      <c r="L51" s="189"/>
      <c r="M51" s="187"/>
      <c r="N51" s="188"/>
      <c r="O51" s="188"/>
      <c r="P51" s="188"/>
      <c r="Q51" s="188"/>
      <c r="R51" s="188"/>
      <c r="S51" s="188"/>
      <c r="T51" s="188"/>
      <c r="U51" s="188"/>
      <c r="V51" s="188"/>
      <c r="W51" s="189"/>
      <c r="X51" s="187"/>
      <c r="Y51" s="188"/>
      <c r="Z51" s="188"/>
      <c r="AA51" s="188"/>
      <c r="AB51" s="188"/>
      <c r="AC51" s="188"/>
      <c r="AD51" s="188"/>
      <c r="AE51" s="188"/>
      <c r="AF51" s="188"/>
      <c r="AG51" s="188"/>
      <c r="AH51" s="189"/>
      <c r="AI51" s="187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9"/>
      <c r="AU51" s="187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95"/>
    </row>
    <row r="52" spans="2:58" ht="13" customHeight="1" x14ac:dyDescent="0.25">
      <c r="B52" s="203"/>
      <c r="C52" s="191"/>
      <c r="D52" s="191"/>
      <c r="E52" s="191"/>
      <c r="F52" s="191"/>
      <c r="G52" s="191"/>
      <c r="H52" s="191"/>
      <c r="I52" s="191"/>
      <c r="J52" s="191"/>
      <c r="K52" s="191"/>
      <c r="L52" s="148"/>
      <c r="M52" s="190"/>
      <c r="N52" s="191"/>
      <c r="O52" s="191"/>
      <c r="P52" s="191"/>
      <c r="Q52" s="191"/>
      <c r="R52" s="191"/>
      <c r="S52" s="191"/>
      <c r="T52" s="191"/>
      <c r="U52" s="191"/>
      <c r="V52" s="191"/>
      <c r="W52" s="148"/>
      <c r="X52" s="190"/>
      <c r="Y52" s="191"/>
      <c r="Z52" s="191"/>
      <c r="AA52" s="191"/>
      <c r="AB52" s="191"/>
      <c r="AC52" s="191"/>
      <c r="AD52" s="191"/>
      <c r="AE52" s="191"/>
      <c r="AF52" s="191"/>
      <c r="AG52" s="191"/>
      <c r="AH52" s="148"/>
      <c r="AI52" s="190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48"/>
      <c r="AU52" s="190"/>
      <c r="AV52" s="191"/>
      <c r="AW52" s="191"/>
      <c r="AX52" s="191"/>
      <c r="AY52" s="191"/>
      <c r="AZ52" s="191"/>
      <c r="BA52" s="191"/>
      <c r="BB52" s="191"/>
      <c r="BC52" s="191"/>
      <c r="BD52" s="191"/>
      <c r="BE52" s="191"/>
      <c r="BF52" s="196"/>
    </row>
    <row r="53" spans="2:58" ht="13" customHeight="1" x14ac:dyDescent="0.25">
      <c r="B53" s="180" t="s">
        <v>266</v>
      </c>
      <c r="C53" s="178"/>
      <c r="D53" s="178"/>
      <c r="E53" s="178"/>
      <c r="F53" s="178"/>
      <c r="G53" s="178"/>
      <c r="H53" s="178"/>
      <c r="I53" s="178"/>
      <c r="J53" s="178"/>
      <c r="K53" s="178"/>
      <c r="L53" s="149"/>
      <c r="M53" s="183" t="s">
        <v>267</v>
      </c>
      <c r="N53" s="178"/>
      <c r="O53" s="178"/>
      <c r="P53" s="178"/>
      <c r="Q53" s="178"/>
      <c r="R53" s="178"/>
      <c r="S53" s="178"/>
      <c r="T53" s="178"/>
      <c r="U53" s="178"/>
      <c r="V53" s="178"/>
      <c r="W53" s="149"/>
      <c r="X53" s="181" t="s">
        <v>268</v>
      </c>
      <c r="Y53" s="178"/>
      <c r="Z53" s="178"/>
      <c r="AA53" s="178"/>
      <c r="AB53" s="178"/>
      <c r="AC53" s="178"/>
      <c r="AD53" s="178"/>
      <c r="AE53" s="178"/>
      <c r="AF53" s="178"/>
      <c r="AG53" s="178"/>
      <c r="AH53" s="149"/>
      <c r="AI53" s="131" t="s">
        <v>269</v>
      </c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49"/>
      <c r="AU53" s="131" t="s">
        <v>270</v>
      </c>
      <c r="AV53" s="178"/>
      <c r="AW53" s="178"/>
      <c r="AX53" s="178"/>
      <c r="AY53" s="178"/>
      <c r="AZ53" s="178"/>
      <c r="BA53" s="178"/>
      <c r="BB53" s="178"/>
      <c r="BC53" s="178"/>
      <c r="BD53" s="178"/>
      <c r="BE53" s="178"/>
      <c r="BF53" s="182"/>
    </row>
    <row r="54" spans="2:58" ht="13" customHeight="1" x14ac:dyDescent="0.25">
      <c r="B54" s="201"/>
      <c r="C54" s="185"/>
      <c r="D54" s="185"/>
      <c r="E54" s="185"/>
      <c r="F54" s="185"/>
      <c r="G54" s="185"/>
      <c r="H54" s="185"/>
      <c r="I54" s="185"/>
      <c r="J54" s="185"/>
      <c r="K54" s="185"/>
      <c r="L54" s="186"/>
      <c r="M54" s="209"/>
      <c r="N54" s="185"/>
      <c r="O54" s="185"/>
      <c r="P54" s="185"/>
      <c r="Q54" s="185"/>
      <c r="R54" s="185"/>
      <c r="S54" s="185"/>
      <c r="T54" s="185"/>
      <c r="U54" s="185"/>
      <c r="V54" s="185"/>
      <c r="W54" s="186"/>
      <c r="X54" s="205"/>
      <c r="Y54" s="185"/>
      <c r="Z54" s="185"/>
      <c r="AA54" s="185"/>
      <c r="AB54" s="185"/>
      <c r="AC54" s="185"/>
      <c r="AD54" s="185"/>
      <c r="AE54" s="185"/>
      <c r="AF54" s="185"/>
      <c r="AG54" s="185"/>
      <c r="AH54" s="186"/>
      <c r="AI54" s="193"/>
      <c r="AJ54" s="185"/>
      <c r="AK54" s="185"/>
      <c r="AL54" s="185"/>
      <c r="AM54" s="185"/>
      <c r="AN54" s="185"/>
      <c r="AO54" s="185"/>
      <c r="AP54" s="185"/>
      <c r="AQ54" s="185"/>
      <c r="AR54" s="185"/>
      <c r="AS54" s="185"/>
      <c r="AT54" s="186"/>
      <c r="AU54" s="193"/>
      <c r="AV54" s="185"/>
      <c r="AW54" s="185"/>
      <c r="AX54" s="185"/>
      <c r="AY54" s="185"/>
      <c r="AZ54" s="185"/>
      <c r="BA54" s="185"/>
      <c r="BB54" s="185"/>
      <c r="BC54" s="185"/>
      <c r="BD54" s="185"/>
      <c r="BE54" s="185"/>
      <c r="BF54" s="194"/>
    </row>
    <row r="55" spans="2:58" ht="13" customHeight="1" x14ac:dyDescent="0.25">
      <c r="B55" s="202"/>
      <c r="C55" s="188"/>
      <c r="D55" s="188"/>
      <c r="E55" s="188"/>
      <c r="F55" s="188"/>
      <c r="G55" s="188"/>
      <c r="H55" s="188"/>
      <c r="I55" s="188"/>
      <c r="J55" s="188"/>
      <c r="K55" s="188"/>
      <c r="L55" s="189"/>
      <c r="M55" s="187"/>
      <c r="N55" s="188"/>
      <c r="O55" s="188"/>
      <c r="P55" s="188"/>
      <c r="Q55" s="188"/>
      <c r="R55" s="188"/>
      <c r="S55" s="188"/>
      <c r="T55" s="188"/>
      <c r="U55" s="188"/>
      <c r="V55" s="188"/>
      <c r="W55" s="189"/>
      <c r="X55" s="187"/>
      <c r="Y55" s="188"/>
      <c r="Z55" s="188"/>
      <c r="AA55" s="188"/>
      <c r="AB55" s="188"/>
      <c r="AC55" s="188"/>
      <c r="AD55" s="188"/>
      <c r="AE55" s="188"/>
      <c r="AF55" s="188"/>
      <c r="AG55" s="188"/>
      <c r="AH55" s="189"/>
      <c r="AI55" s="187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9"/>
      <c r="AU55" s="187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95"/>
    </row>
    <row r="56" spans="2:58" ht="13" customHeight="1" x14ac:dyDescent="0.25">
      <c r="B56" s="202"/>
      <c r="C56" s="188"/>
      <c r="D56" s="188"/>
      <c r="E56" s="188"/>
      <c r="F56" s="188"/>
      <c r="G56" s="188"/>
      <c r="H56" s="188"/>
      <c r="I56" s="188"/>
      <c r="J56" s="188"/>
      <c r="K56" s="188"/>
      <c r="L56" s="189"/>
      <c r="M56" s="187"/>
      <c r="N56" s="188"/>
      <c r="O56" s="188"/>
      <c r="P56" s="188"/>
      <c r="Q56" s="188"/>
      <c r="R56" s="188"/>
      <c r="S56" s="188"/>
      <c r="T56" s="188"/>
      <c r="U56" s="188"/>
      <c r="V56" s="188"/>
      <c r="W56" s="189"/>
      <c r="X56" s="187"/>
      <c r="Y56" s="188"/>
      <c r="Z56" s="188"/>
      <c r="AA56" s="188"/>
      <c r="AB56" s="188"/>
      <c r="AC56" s="188"/>
      <c r="AD56" s="188"/>
      <c r="AE56" s="188"/>
      <c r="AF56" s="188"/>
      <c r="AG56" s="188"/>
      <c r="AH56" s="189"/>
      <c r="AI56" s="187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9"/>
      <c r="AU56" s="187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95"/>
    </row>
    <row r="57" spans="2:58" ht="13" customHeight="1" x14ac:dyDescent="0.25">
      <c r="B57" s="202"/>
      <c r="C57" s="188"/>
      <c r="D57" s="188"/>
      <c r="E57" s="188"/>
      <c r="F57" s="188"/>
      <c r="G57" s="188"/>
      <c r="H57" s="188"/>
      <c r="I57" s="188"/>
      <c r="J57" s="188"/>
      <c r="K57" s="188"/>
      <c r="L57" s="189"/>
      <c r="M57" s="187"/>
      <c r="N57" s="188"/>
      <c r="O57" s="188"/>
      <c r="P57" s="188"/>
      <c r="Q57" s="188"/>
      <c r="R57" s="188"/>
      <c r="S57" s="188"/>
      <c r="T57" s="188"/>
      <c r="U57" s="188"/>
      <c r="V57" s="188"/>
      <c r="W57" s="189"/>
      <c r="X57" s="187"/>
      <c r="Y57" s="188"/>
      <c r="Z57" s="188"/>
      <c r="AA57" s="188"/>
      <c r="AB57" s="188"/>
      <c r="AC57" s="188"/>
      <c r="AD57" s="188"/>
      <c r="AE57" s="188"/>
      <c r="AF57" s="188"/>
      <c r="AG57" s="188"/>
      <c r="AH57" s="189"/>
      <c r="AI57" s="187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9"/>
      <c r="AU57" s="187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95"/>
    </row>
    <row r="58" spans="2:58" ht="13" customHeight="1" x14ac:dyDescent="0.25">
      <c r="B58" s="202"/>
      <c r="C58" s="188"/>
      <c r="D58" s="188"/>
      <c r="E58" s="188"/>
      <c r="F58" s="188"/>
      <c r="G58" s="188"/>
      <c r="H58" s="188"/>
      <c r="I58" s="188"/>
      <c r="J58" s="188"/>
      <c r="K58" s="188"/>
      <c r="L58" s="189"/>
      <c r="M58" s="187"/>
      <c r="N58" s="188"/>
      <c r="O58" s="188"/>
      <c r="P58" s="188"/>
      <c r="Q58" s="188"/>
      <c r="R58" s="188"/>
      <c r="S58" s="188"/>
      <c r="T58" s="188"/>
      <c r="U58" s="188"/>
      <c r="V58" s="188"/>
      <c r="W58" s="189"/>
      <c r="X58" s="187"/>
      <c r="Y58" s="188"/>
      <c r="Z58" s="188"/>
      <c r="AA58" s="188"/>
      <c r="AB58" s="188"/>
      <c r="AC58" s="188"/>
      <c r="AD58" s="188"/>
      <c r="AE58" s="188"/>
      <c r="AF58" s="188"/>
      <c r="AG58" s="188"/>
      <c r="AH58" s="189"/>
      <c r="AI58" s="187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9"/>
      <c r="AU58" s="187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95"/>
    </row>
    <row r="59" spans="2:58" ht="13" customHeight="1" x14ac:dyDescent="0.25">
      <c r="B59" s="206"/>
      <c r="C59" s="207"/>
      <c r="D59" s="207"/>
      <c r="E59" s="207"/>
      <c r="F59" s="207"/>
      <c r="G59" s="207"/>
      <c r="H59" s="207"/>
      <c r="I59" s="207"/>
      <c r="J59" s="207"/>
      <c r="K59" s="207"/>
      <c r="L59" s="208"/>
      <c r="M59" s="210"/>
      <c r="N59" s="207"/>
      <c r="O59" s="207"/>
      <c r="P59" s="207"/>
      <c r="Q59" s="207"/>
      <c r="R59" s="207"/>
      <c r="S59" s="207"/>
      <c r="T59" s="207"/>
      <c r="U59" s="207"/>
      <c r="V59" s="207"/>
      <c r="W59" s="208"/>
      <c r="X59" s="210"/>
      <c r="Y59" s="207"/>
      <c r="Z59" s="207"/>
      <c r="AA59" s="207"/>
      <c r="AB59" s="207"/>
      <c r="AC59" s="207"/>
      <c r="AD59" s="207"/>
      <c r="AE59" s="207"/>
      <c r="AF59" s="207"/>
      <c r="AG59" s="207"/>
      <c r="AH59" s="208"/>
      <c r="AI59" s="210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8"/>
      <c r="AU59" s="210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11"/>
    </row>
    <row r="60" spans="2:58" ht="13" customHeight="1" x14ac:dyDescent="0.25">
      <c r="B60" s="147" t="s">
        <v>372</v>
      </c>
      <c r="C60" s="148"/>
      <c r="D60" s="9" t="s">
        <v>274</v>
      </c>
      <c r="E60" s="124" t="s">
        <v>20</v>
      </c>
      <c r="F60" s="127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30"/>
    </row>
    <row r="61" spans="2:58" ht="13" customHeight="1" x14ac:dyDescent="0.25">
      <c r="B61" s="123" t="s">
        <v>275</v>
      </c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2"/>
    </row>
    <row r="62" spans="2:58" ht="13" customHeight="1" thickBot="1" x14ac:dyDescent="0.3">
      <c r="B62" s="135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4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2:T11"/>
  <sheetViews>
    <sheetView tabSelected="1" zoomScaleNormal="100" workbookViewId="0">
      <selection activeCell="I19" sqref="I19:J19"/>
    </sheetView>
  </sheetViews>
  <sheetFormatPr defaultColWidth="9.81640625" defaultRowHeight="13" x14ac:dyDescent="0.25"/>
  <cols>
    <col min="1" max="1" width="1.7265625" style="105" customWidth="1"/>
    <col min="2" max="7" width="13.7265625" style="105" customWidth="1"/>
    <col min="8" max="10" width="13.90625" style="105" customWidth="1"/>
    <col min="11" max="11" width="12.7265625" style="105" bestFit="1" customWidth="1"/>
    <col min="12" max="12" width="11.36328125" style="105" bestFit="1" customWidth="1"/>
    <col min="13" max="15" width="9.90625" style="105" bestFit="1" customWidth="1"/>
    <col min="16" max="16" width="12.36328125" style="105" bestFit="1" customWidth="1"/>
    <col min="17" max="17" width="9.90625" style="105" bestFit="1" customWidth="1"/>
    <col min="18" max="18" width="9.81640625" style="105"/>
  </cols>
  <sheetData>
    <row r="2" spans="2:19" x14ac:dyDescent="0.25">
      <c r="B2" s="243" t="s">
        <v>350</v>
      </c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5"/>
    </row>
    <row r="3" spans="2:19" x14ac:dyDescent="0.25">
      <c r="B3" s="246" t="s">
        <v>372</v>
      </c>
      <c r="C3" s="247"/>
      <c r="D3" s="247"/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8"/>
    </row>
    <row r="4" spans="2:19" x14ac:dyDescent="0.25">
      <c r="B4" s="216" t="s">
        <v>351</v>
      </c>
      <c r="C4" s="91" t="s">
        <v>292</v>
      </c>
      <c r="D4" s="106" t="s">
        <v>352</v>
      </c>
      <c r="E4" s="106" t="s">
        <v>287</v>
      </c>
      <c r="F4" s="106" t="s">
        <v>288</v>
      </c>
      <c r="G4" s="91" t="s">
        <v>353</v>
      </c>
      <c r="H4" s="91" t="s">
        <v>354</v>
      </c>
      <c r="I4" s="91" t="s">
        <v>355</v>
      </c>
      <c r="J4" s="91" t="s">
        <v>356</v>
      </c>
      <c r="K4" s="106" t="s">
        <v>357</v>
      </c>
      <c r="L4" s="106" t="s">
        <v>358</v>
      </c>
      <c r="M4" s="91" t="s">
        <v>359</v>
      </c>
      <c r="N4" s="91" t="s">
        <v>360</v>
      </c>
      <c r="O4" s="91" t="s">
        <v>361</v>
      </c>
      <c r="P4" s="91" t="s">
        <v>362</v>
      </c>
      <c r="Q4" s="91" t="s">
        <v>363</v>
      </c>
      <c r="R4" s="91" t="s">
        <v>371</v>
      </c>
      <c r="S4" s="91" t="s">
        <v>370</v>
      </c>
    </row>
    <row r="5" spans="2:19" x14ac:dyDescent="0.25">
      <c r="B5" s="216"/>
      <c r="C5" s="91" t="s">
        <v>293</v>
      </c>
      <c r="D5" s="107" t="s">
        <v>364</v>
      </c>
      <c r="E5" s="91" t="s">
        <v>365</v>
      </c>
      <c r="F5" s="91" t="s">
        <v>366</v>
      </c>
      <c r="G5" s="91" t="s">
        <v>366</v>
      </c>
      <c r="H5" s="91" t="s">
        <v>366</v>
      </c>
      <c r="I5" s="91" t="s">
        <v>366</v>
      </c>
      <c r="J5" s="91" t="s">
        <v>366</v>
      </c>
      <c r="K5" s="91" t="s">
        <v>284</v>
      </c>
      <c r="L5" s="91" t="s">
        <v>282</v>
      </c>
      <c r="M5" s="91" t="s">
        <v>283</v>
      </c>
      <c r="N5" s="91" t="s">
        <v>283</v>
      </c>
      <c r="O5" s="91" t="s">
        <v>283</v>
      </c>
      <c r="P5" s="91" t="s">
        <v>281</v>
      </c>
      <c r="Q5" s="91" t="s">
        <v>281</v>
      </c>
      <c r="R5" s="91" t="s">
        <v>281</v>
      </c>
      <c r="S5" s="91" t="s">
        <v>281</v>
      </c>
    </row>
    <row r="6" spans="2:19" x14ac:dyDescent="0.25">
      <c r="B6" s="249" t="s">
        <v>372</v>
      </c>
      <c r="C6" s="249" t="s">
        <v>367</v>
      </c>
      <c r="D6" s="108">
        <v>82.8499984741211</v>
      </c>
      <c r="E6" s="108">
        <v>15.15999984741211</v>
      </c>
      <c r="F6" s="108">
        <v>541.5</v>
      </c>
      <c r="G6" s="250">
        <f>F6+F7+F8</f>
        <v>0</v>
      </c>
      <c r="H6" s="109">
        <f>F6*D6/100</f>
        <v>0</v>
      </c>
      <c r="I6" s="251">
        <f>H6+H7+H8</f>
        <v>0</v>
      </c>
      <c r="J6" s="251">
        <f t="shared" ref="J6" si="0">I6</f>
        <v>0</v>
      </c>
      <c r="K6" s="251">
        <v>3.6001250743865967</v>
      </c>
      <c r="L6" s="251">
        <v>418.8811950683594</v>
      </c>
      <c r="M6" s="251">
        <f>K6*L6/1000</f>
        <v>0</v>
      </c>
      <c r="N6" s="251">
        <f>M6+'[1]2025.12月 '!N190</f>
        <v>0</v>
      </c>
      <c r="O6" s="251" t="e">
        <f>I6/M6*1.2/10</f>
        <v>#DIV/0!</v>
      </c>
      <c r="P6" s="252" t="s">
        <v>368</v>
      </c>
      <c r="Q6" s="251" t="e">
        <f>(I6+I9)/(K6+K9)/L6*1.2*100</f>
        <v>#DIV/0!</v>
      </c>
      <c r="R6" s="251">
        <v>2104.62158203125</v>
      </c>
      <c r="S6" s="251">
        <v>2586.39990234375</v>
      </c>
    </row>
    <row r="7" spans="2:19" x14ac:dyDescent="0.25">
      <c r="B7" s="249"/>
      <c r="C7" s="249"/>
      <c r="D7" s="108">
        <v>82.91000366210938</v>
      </c>
      <c r="E7" s="108">
        <v>14.829999923706055</v>
      </c>
      <c r="F7" s="108">
        <v>508.70001220703125</v>
      </c>
      <c r="G7" s="250"/>
      <c r="H7" s="109">
        <f t="shared" ref="H7:H11" si="1">F7*D7/100</f>
        <v>0</v>
      </c>
      <c r="I7" s="251"/>
      <c r="J7" s="251"/>
      <c r="K7" s="251"/>
      <c r="L7" s="251"/>
      <c r="M7" s="251"/>
      <c r="N7" s="251"/>
      <c r="O7" s="251"/>
      <c r="P7" s="252" t="s">
        <v>368</v>
      </c>
      <c r="Q7" s="251"/>
      <c r="R7" s="251"/>
      <c r="S7" s="251"/>
    </row>
    <row r="8" spans="2:19" x14ac:dyDescent="0.25">
      <c r="B8" s="249"/>
      <c r="C8" s="249"/>
      <c r="D8" s="108">
        <v>88.0199966430664</v>
      </c>
      <c r="E8" s="108">
        <v>6.96999979019165</v>
      </c>
      <c r="F8" s="108">
        <v>202.89999389648438</v>
      </c>
      <c r="G8" s="250"/>
      <c r="H8" s="109">
        <f t="shared" si="1"/>
        <v>0</v>
      </c>
      <c r="I8" s="251"/>
      <c r="J8" s="251"/>
      <c r="K8" s="251"/>
      <c r="L8" s="251"/>
      <c r="M8" s="251"/>
      <c r="N8" s="251"/>
      <c r="O8" s="251"/>
      <c r="P8" s="252" t="s">
        <v>369</v>
      </c>
      <c r="Q8" s="251"/>
      <c r="R8" s="251"/>
      <c r="S8" s="251"/>
    </row>
    <row r="9" spans="2:19" x14ac:dyDescent="0.25">
      <c r="B9" s="249"/>
      <c r="C9" s="249"/>
      <c r="D9" s="108">
        <v>77.94999694824219</v>
      </c>
      <c r="E9" s="108">
        <v>18.530000686645508</v>
      </c>
      <c r="F9" s="108">
        <v>605.4000244140625</v>
      </c>
      <c r="G9" s="250">
        <f>F9+F10+F11</f>
        <v>0</v>
      </c>
      <c r="H9" s="109">
        <f>F9*D9/100</f>
        <v>0</v>
      </c>
      <c r="I9" s="251">
        <f>H9+H10+H11</f>
        <v>0</v>
      </c>
      <c r="J9" s="251">
        <f>J6+I9</f>
        <v>0</v>
      </c>
      <c r="K9" s="251">
        <v>3.299968719482422</v>
      </c>
      <c r="L9" s="251">
        <v>418.6173400878906</v>
      </c>
      <c r="M9" s="251">
        <f>K9*L9/1000</f>
        <v>0</v>
      </c>
      <c r="N9" s="251">
        <f>M9+N6</f>
        <v>0</v>
      </c>
      <c r="O9" s="251" t="e">
        <f>I9/M9*1.2/10</f>
        <v>#DIV/0!</v>
      </c>
      <c r="P9" s="252" t="s">
        <v>368</v>
      </c>
      <c r="Q9" s="251"/>
      <c r="R9" s="251"/>
      <c r="S9" s="251"/>
    </row>
    <row r="10" spans="2:19" x14ac:dyDescent="0.25">
      <c r="B10" s="249"/>
      <c r="C10" s="249"/>
      <c r="D10" s="108">
        <v>78.22000122070312</v>
      </c>
      <c r="E10" s="108">
        <v>18</v>
      </c>
      <c r="F10" s="108">
        <v>555.2999877929688</v>
      </c>
      <c r="G10" s="250"/>
      <c r="H10" s="109">
        <f t="shared" si="1"/>
        <v>0</v>
      </c>
      <c r="I10" s="251"/>
      <c r="J10" s="251"/>
      <c r="K10" s="251"/>
      <c r="L10" s="251"/>
      <c r="M10" s="251"/>
      <c r="N10" s="251"/>
      <c r="O10" s="251"/>
      <c r="P10" s="252" t="s">
        <v>368</v>
      </c>
      <c r="Q10" s="251"/>
      <c r="R10" s="251"/>
      <c r="S10" s="251"/>
    </row>
    <row r="11" spans="2:19" x14ac:dyDescent="0.25">
      <c r="B11" s="249"/>
      <c r="C11" s="249"/>
      <c r="D11" s="108">
        <v>86.54000091552734</v>
      </c>
      <c r="E11" s="108">
        <v>6.909999847412109</v>
      </c>
      <c r="F11" s="108">
        <v>172.60000610351562</v>
      </c>
      <c r="G11" s="250"/>
      <c r="H11" s="109">
        <f t="shared" si="1"/>
        <v>0</v>
      </c>
      <c r="I11" s="251"/>
      <c r="J11" s="251"/>
      <c r="K11" s="251"/>
      <c r="L11" s="251"/>
      <c r="M11" s="251"/>
      <c r="N11" s="251"/>
      <c r="O11" s="251"/>
      <c r="P11" s="252" t="s">
        <v>369</v>
      </c>
      <c r="Q11" s="251"/>
      <c r="R11" s="251"/>
      <c r="S11" s="251"/>
    </row>
  </sheetData>
  <mergeCells count="24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S6:S11"/>
    <mergeCell ref="R6:R11"/>
    <mergeCell ref="N9:N11"/>
    <mergeCell ref="O9:O11"/>
    <mergeCell ref="K6:K8"/>
    <mergeCell ref="L6:L8"/>
    <mergeCell ref="M6:M8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zoomScaleNormal="100" workbookViewId="0">
      <selection activeCell="O16" sqref="O16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220" t="s">
        <v>349</v>
      </c>
      <c r="C2" s="221"/>
      <c r="D2" s="221"/>
      <c r="E2" s="221"/>
      <c r="F2" s="221"/>
      <c r="G2" s="221"/>
      <c r="H2" s="221"/>
      <c r="I2" s="221"/>
      <c r="J2" s="222"/>
    </row>
    <row r="3" spans="2:10" ht="20.15" customHeight="1" x14ac:dyDescent="0.25">
      <c r="B3" s="85"/>
      <c r="C3" s="86"/>
      <c r="D3" s="86"/>
      <c r="E3" s="86"/>
      <c r="F3" s="86"/>
      <c r="G3" s="87"/>
      <c r="H3" s="223"/>
      <c r="I3" s="223"/>
      <c r="J3" s="224"/>
    </row>
    <row r="4" spans="2:10" ht="21" x14ac:dyDescent="0.25">
      <c r="B4" s="225" t="s">
        <v>292</v>
      </c>
      <c r="C4" s="226"/>
      <c r="D4" s="227"/>
      <c r="E4" s="88" t="s">
        <v>293</v>
      </c>
      <c r="F4" s="88" t="s">
        <v>294</v>
      </c>
      <c r="G4" s="88" t="s">
        <v>295</v>
      </c>
      <c r="H4" s="228" t="s">
        <v>296</v>
      </c>
      <c r="I4" s="227"/>
      <c r="J4" s="89" t="s">
        <v>297</v>
      </c>
    </row>
    <row r="5" spans="2:10" x14ac:dyDescent="0.25">
      <c r="B5" s="90" t="s">
        <v>298</v>
      </c>
      <c r="C5" s="216" t="s">
        <v>299</v>
      </c>
      <c r="D5" s="216"/>
      <c r="E5" s="91" t="s">
        <v>283</v>
      </c>
      <c r="F5" s="92">
        <v>90</v>
      </c>
      <c r="G5" s="93">
        <v>87.37947082519531</v>
      </c>
      <c r="H5" s="94">
        <f>(G5-F5)/F5*100</f>
        <v>-100</v>
      </c>
      <c r="I5" s="95" t="s">
        <v>283</v>
      </c>
      <c r="J5" s="96"/>
    </row>
    <row r="6" spans="2:10" x14ac:dyDescent="0.25">
      <c r="B6" s="217" t="s">
        <v>300</v>
      </c>
      <c r="C6" s="216" t="s">
        <v>301</v>
      </c>
      <c r="D6" s="216"/>
      <c r="E6" s="91" t="s">
        <v>280</v>
      </c>
      <c r="F6" s="92" t="s">
        <v>302</v>
      </c>
      <c r="G6" s="93">
        <v>1432.5643310546875</v>
      </c>
      <c r="H6" s="97" t="str">
        <f>IF($G6="","",IF(AND($G6&gt;=0,$G6&lt;=1427),"合格","不合格"))</f>
        <v/>
      </c>
      <c r="I6" s="98" t="s">
        <v>4</v>
      </c>
      <c r="J6" s="96"/>
    </row>
    <row r="7" spans="2:10" x14ac:dyDescent="0.25">
      <c r="B7" s="218"/>
      <c r="C7" s="216" t="s">
        <v>303</v>
      </c>
      <c r="D7" s="216"/>
      <c r="E7" s="91" t="s">
        <v>280</v>
      </c>
      <c r="F7" s="92" t="s">
        <v>304</v>
      </c>
      <c r="G7" s="93">
        <v>225.8689422607422</v>
      </c>
      <c r="H7" s="97" t="str">
        <f>IF($G7="","",IF(AND($G7&gt;=210,$G7&lt;=220),"合格","不合格"))</f>
        <v/>
      </c>
      <c r="I7" s="98" t="s">
        <v>4</v>
      </c>
      <c r="J7" s="96"/>
    </row>
    <row r="8" spans="2:10" x14ac:dyDescent="0.25">
      <c r="B8" s="219"/>
      <c r="C8" s="216" t="s">
        <v>305</v>
      </c>
      <c r="D8" s="216"/>
      <c r="E8" s="91" t="s">
        <v>280</v>
      </c>
      <c r="F8" s="92" t="s">
        <v>306</v>
      </c>
      <c r="G8" s="93">
        <v>255.33792114257812</v>
      </c>
      <c r="H8" s="97" t="str">
        <f>IF($G8="","",IF(AND($G8&gt;=190,$G8&lt;=210),"合格","不合格"))</f>
        <v/>
      </c>
      <c r="I8" s="98" t="s">
        <v>4</v>
      </c>
      <c r="J8" s="96"/>
    </row>
    <row r="9" spans="2:10" x14ac:dyDescent="0.25">
      <c r="B9" s="217" t="s">
        <v>307</v>
      </c>
      <c r="C9" s="91" t="s">
        <v>308</v>
      </c>
      <c r="D9" s="91" t="s">
        <v>309</v>
      </c>
      <c r="E9" s="91" t="s">
        <v>310</v>
      </c>
      <c r="F9" s="92" t="s">
        <v>311</v>
      </c>
      <c r="G9" s="93">
        <v>418.75445556640625</v>
      </c>
      <c r="H9" s="97" t="str">
        <f>IF($G9="","",IF(AND($G9&gt;=412,$G9&lt;=422),"合格","不合格"))</f>
        <v/>
      </c>
      <c r="I9" s="98" t="s">
        <v>4</v>
      </c>
      <c r="J9" s="96"/>
    </row>
    <row r="10" spans="2:10" x14ac:dyDescent="0.25">
      <c r="B10" s="218"/>
      <c r="C10" s="216" t="s">
        <v>312</v>
      </c>
      <c r="D10" s="91" t="s">
        <v>313</v>
      </c>
      <c r="E10" s="98" t="s">
        <v>4</v>
      </c>
      <c r="F10" s="92" t="s">
        <v>314</v>
      </c>
      <c r="G10" s="93">
        <v>0.5303540229797363</v>
      </c>
      <c r="H10" s="97" t="str">
        <f>IF($G10="","",IF(AND($G10&gt;=0.525,$G10&lt;=0.5357),"合格","不合格"))</f>
        <v/>
      </c>
      <c r="I10" s="98" t="s">
        <v>4</v>
      </c>
      <c r="J10" s="96"/>
    </row>
    <row r="11" spans="2:10" x14ac:dyDescent="0.25">
      <c r="B11" s="218"/>
      <c r="C11" s="216"/>
      <c r="D11" s="91" t="s">
        <v>315</v>
      </c>
      <c r="E11" s="91" t="s">
        <v>316</v>
      </c>
      <c r="F11" s="92">
        <v>46.63</v>
      </c>
      <c r="G11" s="93">
        <v>46.65299987792969</v>
      </c>
      <c r="H11" s="97" t="s">
        <v>317</v>
      </c>
      <c r="I11" s="98" t="s">
        <v>4</v>
      </c>
      <c r="J11" s="96"/>
    </row>
    <row r="12" spans="2:10" x14ac:dyDescent="0.25">
      <c r="B12" s="218"/>
      <c r="C12" s="216"/>
      <c r="D12" s="91" t="s">
        <v>318</v>
      </c>
      <c r="E12" s="91" t="s">
        <v>285</v>
      </c>
      <c r="F12" s="92" t="s">
        <v>319</v>
      </c>
      <c r="G12" s="93">
        <v>0.7343982458114624</v>
      </c>
      <c r="H12" s="97" t="str">
        <f>IF($G12="","",IF(AND($G12&gt;=0.745,$G12&lt;=0.755),"合格","不合格"))</f>
        <v/>
      </c>
      <c r="I12" s="98" t="s">
        <v>4</v>
      </c>
      <c r="J12" s="96"/>
    </row>
    <row r="13" spans="2:10" x14ac:dyDescent="0.25">
      <c r="B13" s="218"/>
      <c r="C13" s="216"/>
      <c r="D13" s="91" t="s">
        <v>320</v>
      </c>
      <c r="E13" s="91" t="s">
        <v>286</v>
      </c>
      <c r="F13" s="92" t="s">
        <v>321</v>
      </c>
      <c r="G13" s="93">
        <v>90.5766830444336</v>
      </c>
      <c r="H13" s="97" t="str">
        <f>IF($G13="","",IF(AND($G13&gt;=88,$G13&lt;=92),"合格","不合格"))</f>
        <v/>
      </c>
      <c r="I13" s="98" t="s">
        <v>4</v>
      </c>
      <c r="J13" s="96"/>
    </row>
    <row r="14" spans="2:10" x14ac:dyDescent="0.25">
      <c r="B14" s="218"/>
      <c r="C14" s="216"/>
      <c r="D14" s="91" t="s">
        <v>322</v>
      </c>
      <c r="E14" s="91" t="s">
        <v>286</v>
      </c>
      <c r="F14" s="92" t="s">
        <v>323</v>
      </c>
      <c r="G14" s="93">
        <v>139.49826049804688</v>
      </c>
      <c r="H14" s="97" t="str">
        <f>IF($G14="","",IF(AND($G14&gt;=143,$G14&lt;=147),"合格","不合格"))</f>
        <v/>
      </c>
      <c r="I14" s="98" t="s">
        <v>4</v>
      </c>
      <c r="J14" s="96"/>
    </row>
    <row r="15" spans="2:10" x14ac:dyDescent="0.25">
      <c r="B15" s="218"/>
      <c r="C15" s="216"/>
      <c r="D15" s="91" t="s">
        <v>324</v>
      </c>
      <c r="E15" s="91" t="s">
        <v>286</v>
      </c>
      <c r="F15" s="92" t="s">
        <v>325</v>
      </c>
      <c r="G15" s="93">
        <v>162.67970275878906</v>
      </c>
      <c r="H15" s="97" t="str">
        <f>IF($G15="","",IF(AND($G15&gt;=166,$G15&lt;=170),"合格","不合格"))</f>
        <v/>
      </c>
      <c r="I15" s="98" t="s">
        <v>4</v>
      </c>
      <c r="J15" s="96"/>
    </row>
    <row r="16" spans="2:10" x14ac:dyDescent="0.25">
      <c r="B16" s="218"/>
      <c r="C16" s="216" t="s">
        <v>326</v>
      </c>
      <c r="D16" s="91" t="s">
        <v>327</v>
      </c>
      <c r="E16" s="91" t="s">
        <v>286</v>
      </c>
      <c r="F16" s="92" t="s">
        <v>328</v>
      </c>
      <c r="G16" s="93">
        <v>47.29397964477539</v>
      </c>
      <c r="H16" s="97" t="str">
        <f>IF($G16="","",IF(AND($G16&gt;=0,$G16&lt;=45),"合格","不合格"))</f>
        <v/>
      </c>
      <c r="I16" s="98" t="s">
        <v>4</v>
      </c>
      <c r="J16" s="96"/>
    </row>
    <row r="17" spans="2:10" x14ac:dyDescent="0.25">
      <c r="B17" s="218"/>
      <c r="C17" s="216"/>
      <c r="D17" s="91" t="s">
        <v>329</v>
      </c>
      <c r="E17" s="91" t="s">
        <v>286</v>
      </c>
      <c r="F17" s="92" t="s">
        <v>330</v>
      </c>
      <c r="G17" s="93">
        <v>19.070167541503906</v>
      </c>
      <c r="H17" s="97" t="str">
        <f>IF($G17="","",IF(AND($G17&gt;=0,$G17&lt;=20),"合格","不合格"))</f>
        <v/>
      </c>
      <c r="I17" s="98" t="s">
        <v>4</v>
      </c>
      <c r="J17" s="96"/>
    </row>
    <row r="18" spans="2:10" x14ac:dyDescent="0.25">
      <c r="B18" s="218"/>
      <c r="C18" s="216"/>
      <c r="D18" s="91" t="s">
        <v>331</v>
      </c>
      <c r="E18" s="91" t="s">
        <v>286</v>
      </c>
      <c r="F18" s="92" t="s">
        <v>332</v>
      </c>
      <c r="G18" s="93">
        <v>0</v>
      </c>
      <c r="H18" s="97" t="str">
        <f>IF($G18="","",IF(AND($G18&gt;=46,$G18&lt;=50),"合格","不合格"))</f>
        <v/>
      </c>
      <c r="I18" s="98" t="s">
        <v>4</v>
      </c>
      <c r="J18" s="96"/>
    </row>
    <row r="19" spans="2:10" x14ac:dyDescent="0.25">
      <c r="B19" s="218"/>
      <c r="C19" s="216"/>
      <c r="D19" s="91" t="s">
        <v>333</v>
      </c>
      <c r="E19" s="91" t="s">
        <v>286</v>
      </c>
      <c r="F19" s="92" t="s">
        <v>334</v>
      </c>
      <c r="G19" s="93">
        <v>17.153209686279297</v>
      </c>
      <c r="H19" s="97" t="str">
        <f>IF($G19="","",IF(AND($G19&gt;=0,$G19&lt;=20),"合格","不合格"))</f>
        <v/>
      </c>
      <c r="I19" s="98" t="s">
        <v>4</v>
      </c>
      <c r="J19" s="96"/>
    </row>
    <row r="20" spans="2:10" x14ac:dyDescent="0.25">
      <c r="B20" s="218"/>
      <c r="C20" s="216" t="s">
        <v>335</v>
      </c>
      <c r="D20" s="91" t="s">
        <v>89</v>
      </c>
      <c r="E20" s="91" t="s">
        <v>283</v>
      </c>
      <c r="F20" s="99" t="s">
        <v>82</v>
      </c>
      <c r="G20" s="93">
        <v>33.25</v>
      </c>
      <c r="H20" s="100" t="s">
        <v>336</v>
      </c>
      <c r="I20" s="98" t="s">
        <v>4</v>
      </c>
      <c r="J20" s="96"/>
    </row>
    <row r="21" spans="2:10" x14ac:dyDescent="0.25">
      <c r="B21" s="218"/>
      <c r="C21" s="216"/>
      <c r="D21" s="91" t="s">
        <v>92</v>
      </c>
      <c r="E21" s="91" t="s">
        <v>283</v>
      </c>
      <c r="F21" s="99" t="s">
        <v>82</v>
      </c>
      <c r="G21" s="93">
        <v>33.59000015258789</v>
      </c>
      <c r="H21" s="100" t="s">
        <v>336</v>
      </c>
      <c r="I21" s="98" t="s">
        <v>4</v>
      </c>
      <c r="J21" s="96"/>
    </row>
    <row r="22" spans="2:10" x14ac:dyDescent="0.25">
      <c r="B22" s="218"/>
      <c r="C22" s="216"/>
      <c r="D22" s="91" t="s">
        <v>337</v>
      </c>
      <c r="E22" s="98" t="s">
        <v>4</v>
      </c>
      <c r="F22" s="99" t="s">
        <v>82</v>
      </c>
      <c r="G22" s="93">
        <v>6.936666965484619</v>
      </c>
      <c r="H22" s="100" t="s">
        <v>336</v>
      </c>
      <c r="I22" s="98" t="s">
        <v>4</v>
      </c>
      <c r="J22" s="96"/>
    </row>
    <row r="23" spans="2:10" x14ac:dyDescent="0.25">
      <c r="B23" s="218"/>
      <c r="C23" s="216"/>
      <c r="D23" s="91" t="s">
        <v>166</v>
      </c>
      <c r="E23" s="91" t="s">
        <v>310</v>
      </c>
      <c r="F23" s="99" t="s">
        <v>82</v>
      </c>
      <c r="G23" s="93">
        <v>33.689998626708984</v>
      </c>
      <c r="H23" s="100" t="s">
        <v>336</v>
      </c>
      <c r="I23" s="98" t="s">
        <v>4</v>
      </c>
      <c r="J23" s="96"/>
    </row>
    <row r="24" spans="2:10" x14ac:dyDescent="0.25">
      <c r="B24" s="219"/>
      <c r="C24" s="216"/>
      <c r="D24" s="91" t="s">
        <v>167</v>
      </c>
      <c r="E24" s="91" t="s">
        <v>310</v>
      </c>
      <c r="F24" s="99" t="s">
        <v>82</v>
      </c>
      <c r="G24" s="93">
        <v>33.790000915527344</v>
      </c>
      <c r="H24" s="100" t="s">
        <v>336</v>
      </c>
      <c r="I24" s="98" t="s">
        <v>4</v>
      </c>
      <c r="J24" s="96"/>
    </row>
    <row r="25" spans="2:10" x14ac:dyDescent="0.25">
      <c r="B25" s="229" t="s">
        <v>338</v>
      </c>
      <c r="C25" s="91" t="s">
        <v>339</v>
      </c>
      <c r="D25" s="91" t="s">
        <v>340</v>
      </c>
      <c r="E25" s="91" t="s">
        <v>341</v>
      </c>
      <c r="F25" s="92" t="s">
        <v>342</v>
      </c>
      <c r="G25" s="93">
        <v>0.16284731030464172</v>
      </c>
      <c r="H25" s="97" t="str">
        <f>IF($G25="","",IF(AND($G25&gt;=0,$G25&lt;=0.38),"合格","不合格"))</f>
        <v/>
      </c>
      <c r="I25" s="98" t="s">
        <v>4</v>
      </c>
      <c r="J25" s="96"/>
    </row>
    <row r="26" spans="2:10" x14ac:dyDescent="0.25">
      <c r="B26" s="229"/>
      <c r="C26" s="216" t="s">
        <v>343</v>
      </c>
      <c r="D26" s="91" t="s">
        <v>10</v>
      </c>
      <c r="E26" s="91" t="s">
        <v>283</v>
      </c>
      <c r="F26" s="92">
        <v>7</v>
      </c>
      <c r="G26" s="93">
        <v>21.200000762939453</v>
      </c>
      <c r="H26" s="94">
        <f>(G26-F26)</f>
        <v>-7</v>
      </c>
      <c r="I26" s="98" t="s">
        <v>283</v>
      </c>
      <c r="J26" s="96"/>
    </row>
    <row r="27" spans="2:10" x14ac:dyDescent="0.25">
      <c r="B27" s="229"/>
      <c r="C27" s="216"/>
      <c r="D27" s="91" t="s">
        <v>344</v>
      </c>
      <c r="E27" s="91" t="s">
        <v>283</v>
      </c>
      <c r="F27" s="92">
        <v>15</v>
      </c>
      <c r="G27" s="93">
        <v>21.299999237060547</v>
      </c>
      <c r="H27" s="94">
        <f t="shared" ref="H27:H31" si="0">(G27-F27)</f>
        <v>-15</v>
      </c>
      <c r="I27" s="98" t="s">
        <v>283</v>
      </c>
      <c r="J27" s="96"/>
    </row>
    <row r="28" spans="2:10" x14ac:dyDescent="0.25">
      <c r="B28" s="229"/>
      <c r="C28" s="216"/>
      <c r="D28" s="91" t="s">
        <v>345</v>
      </c>
      <c r="E28" s="91" t="s">
        <v>283</v>
      </c>
      <c r="F28" s="92">
        <v>4</v>
      </c>
      <c r="G28" s="93">
        <v>21.399999618530273</v>
      </c>
      <c r="H28" s="94">
        <f t="shared" si="0"/>
        <v>-4</v>
      </c>
      <c r="I28" s="98" t="s">
        <v>283</v>
      </c>
      <c r="J28" s="96"/>
    </row>
    <row r="29" spans="2:10" x14ac:dyDescent="0.25">
      <c r="B29" s="229"/>
      <c r="C29" s="216"/>
      <c r="D29" s="91" t="s">
        <v>166</v>
      </c>
      <c r="E29" s="91" t="s">
        <v>283</v>
      </c>
      <c r="F29" s="92">
        <v>7</v>
      </c>
      <c r="G29" s="93">
        <v>21.5</v>
      </c>
      <c r="H29" s="94">
        <f t="shared" si="0"/>
        <v>-7</v>
      </c>
      <c r="I29" s="98" t="s">
        <v>283</v>
      </c>
      <c r="J29" s="96"/>
    </row>
    <row r="30" spans="2:10" x14ac:dyDescent="0.25">
      <c r="B30" s="229"/>
      <c r="C30" s="216"/>
      <c r="D30" s="91" t="s">
        <v>167</v>
      </c>
      <c r="E30" s="91" t="s">
        <v>283</v>
      </c>
      <c r="F30" s="92">
        <v>7</v>
      </c>
      <c r="G30" s="93">
        <v>21.600000381469727</v>
      </c>
      <c r="H30" s="94">
        <f t="shared" si="0"/>
        <v>-7</v>
      </c>
      <c r="I30" s="98" t="s">
        <v>283</v>
      </c>
      <c r="J30" s="96"/>
    </row>
    <row r="31" spans="2:10" x14ac:dyDescent="0.25">
      <c r="B31" s="229"/>
      <c r="C31" s="216"/>
      <c r="D31" s="91" t="s">
        <v>346</v>
      </c>
      <c r="E31" s="91" t="s">
        <v>347</v>
      </c>
      <c r="F31" s="92">
        <v>10</v>
      </c>
      <c r="G31" s="93">
        <v>21.700000762939453</v>
      </c>
      <c r="H31" s="94">
        <f t="shared" si="0"/>
        <v>-10</v>
      </c>
      <c r="I31" s="98" t="s">
        <v>283</v>
      </c>
      <c r="J31" s="96"/>
    </row>
    <row r="32" spans="2:10" ht="14.5" thickBot="1" x14ac:dyDescent="0.3">
      <c r="B32" s="217"/>
      <c r="C32" s="230"/>
      <c r="D32" s="101" t="s">
        <v>287</v>
      </c>
      <c r="E32" s="101" t="s">
        <v>283</v>
      </c>
      <c r="F32" s="102">
        <v>50</v>
      </c>
      <c r="G32" s="103">
        <v>21.799999237060547</v>
      </c>
      <c r="H32" s="94">
        <f>(G32-F32)</f>
        <v>-50</v>
      </c>
      <c r="I32" s="98" t="s">
        <v>283</v>
      </c>
      <c r="J32" s="104"/>
    </row>
    <row r="33" spans="2:10" x14ac:dyDescent="0.25">
      <c r="B33" s="231" t="s">
        <v>348</v>
      </c>
      <c r="C33" s="234"/>
      <c r="D33" s="235"/>
      <c r="E33" s="235"/>
      <c r="F33" s="235"/>
      <c r="G33" s="235"/>
      <c r="H33" s="235"/>
      <c r="I33" s="235"/>
      <c r="J33" s="236"/>
    </row>
    <row r="34" spans="2:10" x14ac:dyDescent="0.25">
      <c r="B34" s="232"/>
      <c r="C34" s="237"/>
      <c r="D34" s="238"/>
      <c r="E34" s="238"/>
      <c r="F34" s="238"/>
      <c r="G34" s="238"/>
      <c r="H34" s="238"/>
      <c r="I34" s="238"/>
      <c r="J34" s="239"/>
    </row>
    <row r="35" spans="2:10" ht="14.5" thickBot="1" x14ac:dyDescent="0.3">
      <c r="B35" s="233"/>
      <c r="C35" s="240"/>
      <c r="D35" s="241"/>
      <c r="E35" s="241"/>
      <c r="F35" s="241"/>
      <c r="G35" s="241"/>
      <c r="H35" s="241"/>
      <c r="I35" s="241"/>
      <c r="J35" s="242"/>
    </row>
  </sheetData>
  <sheetCalcPr fullCalcOnLoad="1"/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台账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2026-05-28T03:10:59Z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