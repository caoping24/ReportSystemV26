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<sst xmlns="http://schemas.openxmlformats.org/spreadsheetml/2006/main" count="1501" uniqueCount="461">
  <si>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</si>
  <si>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</si>
  <si>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</si>
  <si>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</si>
  <si>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</si>
  <si>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</si>
  <si>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</si>
  <si>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</si>
  <si>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</si>
  <si>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</si>
  <si>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</si>
  <si>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</si>
  <si>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</si>
  <si>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</si>
  <si>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</si>
  <si>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</si>
  <si>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</si>
  <si>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</si>
  <si>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</si>
  <si>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</si>
  <si>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</si>
  <si>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</si>
  <si>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</si>
  <si>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</si>
  <si>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</si>
  <si>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</si>
  <si>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</si>
  <si>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</si>
  <si>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</si>
  <si>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</si>
  <si>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</si>
  <si>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</si>
  <si>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</si>
  <si>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</si>
  <si>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</si>
  <si>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</si>
  <si>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</si>
  <si>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</si>
  <si>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</si>
  <si>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</si>
  <si>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</si>
  <si>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</si>
  <si>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</si>
  <si>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</si>
  <si>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</si>
  <si>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</si>
  <si>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</si>
  <si>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</si>
  <si>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</si>
  <si>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</si>
  <si>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</si>
  <si>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</si>
  <si>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</si>
  <si>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</si>
  <si>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</si>
  <si>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</si>
  <si>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</si>
  <si>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</si>
  <si>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</si>
  <si>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</si>
  <si>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</si>
  <si>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</si>
  <si>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</si>
  <si>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</si>
  <si>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</si>
  <si>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</si>
  <si>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</si>
  <si>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</si>
  <si>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</si>
  <si>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</si>
  <si>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</si>
  <si>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</si>
  <si>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</si>
  <si>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</si>
  <si>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</si>
  <si>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</si>
  <si>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</si>
  <si>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</si>
  <si>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</si>
  <si>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</si>
  <si>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</si>
  <si>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</si>
  <si>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</si>
  <si>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</si>
  <si>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</si>
  <si>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</si>
  <si>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</si>
  <si>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</si>
  <si>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</si>
  <si>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</si>
  <si>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</si>
  <si>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</si>
  <si>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</si>
  <si>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</si>
  <si>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</si>
  <si>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</si>
  <si>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</si>
  <si>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</si>
  <si>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</si>
  <si>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</si>
  <si>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</si>
  <si>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</si>
  <si>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</si>
  <si>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</si>
  <si>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</si>
  <si>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</si>
  <si>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</si>
  <si>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</si>
  <si>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</si>
  <si>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</si>
  <si>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</si>
  <si>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</si>
  <si>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</si>
  <si>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</si>
  <si>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</si>
  <si>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</si>
  <si>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</si>
  <si>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</si>
  <si>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</si>
  <si>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</si>
  <si>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</si>
  <si>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</si>
  <si>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</si>
  <si>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</si>
  <si>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</si>
  <si>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</si>
  <si>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</si>
  <si>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</si>
  <si>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</si>
  <si>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</si>
  <si>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</si>
  <si>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</si>
  <si>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</si>
  <si>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</si>
  <si>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</si>
  <si>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</si>
  <si>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</si>
  <si>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</si>
  <si>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</si>
  <si>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</si>
  <si>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</si>
  <si>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</si>
  <si>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</si>
  <si>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</si>
  <si>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</si>
  <si>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</si>
  <si>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</si>
  <si>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</si>
  <si>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</si>
  <si>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</si>
  <si>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</si>
  <si>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</si>
  <si>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</si>
  <si>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</si>
  <si>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</si>
  <si>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</si>
  <si>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</si>
  <si>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</si>
  <si>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</si>
  <si>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</si>
  <si>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</si>
  <si>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</si>
  <si>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</si>
  <si>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</si>
  <si>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</si>
  <si>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</si>
  <si>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</si>
  <si>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</si>
  <si>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</si>
  <si>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</si>
  <si>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</si>
  <si>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</si>
  <si>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</si>
  <si>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</si>
  <si>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</si>
  <si>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</si>
  <si>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</si>
  <si>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</si>
  <si>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</si>
  <si>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</si>
  <si>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</si>
  <si>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</si>
  <si>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</si>
  <si>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</si>
  <si>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</si>
  <si>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</si>
  <si>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</si>
  <si>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</si>
  <si>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</si>
  <si>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</si>
  <si>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</si>
  <si>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</si>
  <si>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</si>
  <si>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</si>
  <si>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</si>
  <si>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</si>
  <si>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</si>
  <si>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</si>
  <si>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</si>
  <si>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</si>
  <si>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</si>
  <si>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</si>
  <si>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</si>
  <si>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</si>
  <si>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</si>
  <si>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</si>
  <si>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</si>
  <si>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</si>
  <si>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</si>
  <si>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</si>
  <si>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</si>
  <si>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</si>
  <si>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</si>
  <si>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</si>
  <si>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</si>
  <si>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</si>
  <si>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</si>
  <si>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</si>
  <si>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</si>
  <si>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</si>
  <si>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</si>
  <si>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</si>
  <si>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</si>
  <si>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</si>
  <si>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</si>
  <si>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</si>
  <si>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</si>
  <si>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</si>
  <si>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</si>
  <si>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</si>
  <si>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</si>
  <si>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</si>
  <si>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</si>
  <si>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</si>
  <si>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</si>
  <si>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</si>
  <si>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</si>
  <si>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</si>
  <si>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</si>
  <si>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</si>
  <si>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</si>
  <si>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</si>
  <si>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</si>
  <si>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</si>
  <si>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</si>
  <si>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</si>
  <si>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</si>
  <si>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</si>
  <si>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</si>
  <si>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</si>
  <si>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</si>
  <si>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</si>
  <si>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</si>
  <si>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</si>
  <si>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</si>
  <si>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</si>
  <si>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</si>
  <si>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</si>
  <si>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</si>
  <si>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</si>
  <si>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</si>
  <si>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</si>
  <si>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</si>
  <si>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</si>
  <si>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</si>
  <si>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</si>
  <si>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</si>
  <si>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</si>
  <si>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</si>
  <si>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</si>
  <si>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</si>
  <si>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</si>
  <si>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</si>
  <si>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</si>
  <si>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</si>
  <si>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</si>
  <si>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</si>
  <si>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</si>
  <si>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</si>
  <si>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</si>
  <si>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</si>
  <si>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</si>
  <si>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</si>
  <si>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</si>
  <si>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</si>
  <si>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</si>
  <si>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</si>
  <si>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</si>
  <si>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</si>
  <si>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</si>
  <si>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</si>
  <si>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</si>
  <si>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</si>
  <si>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</si>
  <si>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</si>
  <si>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</si>
  <si>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</si>
  <si>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</si>
  <si>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</si>
  <si>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</si>
  <si>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</si>
  <si>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</si>
  <si>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</si>
  <si>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</si>
  <si>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</si>
  <si>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</si>
  <si>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</si>
  <si>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</si>
  <si>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</si>
  <si>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</si>
  <si>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</si>
  <si>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</si>
  <si>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</si>
  <si>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</si>
  <si>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</si>
  <si>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</si>
  <si>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</si>
  <si>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</si>
  <si>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</si>
  <si>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</si>
  <si>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</si>
  <si>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</si>
  <si>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</si>
  <si>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</si>
  <si>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</si>
  <si>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</si>
  <si>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</si>
  <si>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</si>
  <si>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</si>
  <si>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</si>
  <si>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</si>
  <si>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</si>
  <si>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</si>
  <si>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</si>
  <si>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</si>
  <si>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</si>
  <si>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</si>
  <si>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</si>
  <si>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</si>
  <si>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</si>
  <si>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</si>
  <si>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</si>
  <si>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</si>
  <si>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</si>
  <si>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</si>
  <si>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</si>
  <si>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</si>
  <si>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</si>
  <si>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</si>
  <si>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</si>
  <si>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</si>
  <si>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</si>
  <si>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</si>
  <si>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</si>
  <si>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</si>
  <si>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</si>
  <si>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</si>
  <si>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</si>
  <si>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</si>
  <si>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</si>
  <si>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</si>
  <si>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</si>
  <si>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</si>
  <si>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</si>
  <si>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</si>
  <si>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</si>
  <si>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</si>
  <si>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</si>
  <si>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</si>
  <si>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</si>
  <si>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</si>
  <si>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</si>
  <si>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</si>
  <si>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</si>
  <si>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</si>
  <si>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</si>
  <si>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</si>
  <si>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</si>
  <si>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</si>
  <si>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</si>
  <si>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</si>
  <si>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</si>
  <si>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</si>
  <si>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</si>
  <si>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</si>
  <si>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</si>
  <si>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</si>
  <si>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</si>
  <si>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</si>
  <si>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</si>
  <si>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</si>
  <si>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</si>
  <si>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</si>
  <si>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</si>
  <si>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</si>
  <si>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</si>
  <si>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</si>
  <si>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</si>
  <si>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</si>
  <si>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</si>
  <si>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</si>
  <si>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</si>
  <si>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</si>
  <si>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</si>
  <si>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</si>
  <si>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</si>
  <si>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</si>
  <si>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</si>
  <si>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一、核心工艺指标</t>
    <phoneticPr fontId="1" type="noConversion"/>
  </si>
  <si>
    <t xml:space="preserve">目标
合格率</t>
    <phoneticPr fontId="1" type="noConversion"/>
  </si>
  <si>
    <t xml:space="preserve">实际
合格率</t>
    <phoneticPr fontId="1" type="noConversion"/>
  </si>
  <si>
    <t xml:space="preserve">督查情况</t>
    <phoneticPr fontId="1" type="noConversion"/>
  </si>
  <si>
    <t xml:space="preserve"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</si>
  <si>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1" type="noConversion"/>
  </si>
  <si>
    <t xml:space="preserve">≥98%</t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</si>
  <si>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</si>
  <si>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1" type="noConversion"/>
  </si>
  <si>
    <t xml:space="preserve"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</si>
  <si>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</si>
  <si>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1" type="noConversion"/>
  </si>
  <si>
    <t xml:space="preserve">三、收率</t>
    <phoneticPr fontId="1" type="noConversion"/>
  </si>
  <si>
    <t xml:space="preserve">责任目标</t>
    <phoneticPr fontId="1" type="noConversion"/>
  </si>
  <si>
    <t xml:space="preserve"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</si>
  <si>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1" type="noConversion"/>
  </si>
  <si>
    <t xml:space="preserve">四、安全环保指标</t>
    <phoneticPr fontId="1" type="noConversion"/>
  </si>
  <si>
    <t xml:space="preserve">安全环保有无异常情况</t>
    <phoneticPr fontId="1" type="noConversion"/>
  </si>
  <si>
    <t xml:space="preserve">二乙腈中试
安全环保状况</t>
    <phoneticPr fontId="1" type="noConversion"/>
  </si>
  <si>
    <t xml:space="preserve">五、合计得分</t>
    <phoneticPr fontId="1" type="noConversion"/>
  </si>
  <si>
    <t xml:space="preserve">考核单元</t>
    <phoneticPr fontId="1" type="noConversion"/>
  </si>
  <si>
    <t xml:space="preserve">合计
得分</t>
    <phoneticPr fontId="1" type="noConversion"/>
  </si>
  <si>
    <t xml:space="preserve">二乙腈中试装置</t>
    <phoneticPr fontId="1" type="noConversion"/>
  </si>
  <si>
    <t xml:space="preserve">产量/质量情况简报</t>
    <phoneticPr fontId="1" type="noConversion"/>
  </si>
  <si>
    <t xml:space="preserve">当日总产量</t>
    <phoneticPr fontId="1" type="noConversion"/>
  </si>
  <si>
    <t xml:space="preserve">折百产量</t>
    <phoneticPr fontId="1" type="noConversion"/>
  </si>
  <si>
    <t xml:space="preserve">同比增加</t>
    <phoneticPr fontId="1" type="noConversion"/>
  </si>
  <si>
    <t xml:space="preserve">同比减少</t>
    <phoneticPr fontId="1" type="noConversion"/>
  </si>
  <si>
    <t xml:space="preserve">综合含量</t>
    <phoneticPr fontId="1" type="noConversion"/>
  </si>
  <si>
    <t xml:space="preserve">水分含量</t>
    <phoneticPr fontId="1" type="noConversion"/>
  </si>
  <si>
    <t xml:space="preserve">未知物含量</t>
    <phoneticPr fontId="1" type="noConversion"/>
  </si>
  <si>
    <t xml:space="preserve">其他事项说明</t>
    <phoneticPr fontId="1" type="noConversion"/>
  </si>
  <si>
    <t xml:space="preserve">Kg</t>
  </si>
  <si>
    <t xml:space="preserve">Kg</t>
    <phoneticPr fontId="1" type="noConversion"/>
  </si>
  <si>
    <t xml:space="preserve">呈报人：</t>
    <phoneticPr fontId="1" type="noConversion"/>
  </si>
  <si>
    <t xml:space="preserve">督查人：</t>
    <phoneticPr fontId="1" type="noConversion"/>
  </si>
  <si>
    <t xml:space="preserve">考评人：</t>
    <phoneticPr fontId="1" type="noConversion"/>
  </si>
  <si>
    <t xml:space="preserve">呈报单位负责人：</t>
    <phoneticPr fontId="1" type="noConversion"/>
  </si>
  <si>
    <t xml:space="preserve">督查办负责人：</t>
    <phoneticPr fontId="1" type="noConversion"/>
  </si>
  <si>
    <t xml:space="preserve">考评办负责人：</t>
    <phoneticPr fontId="1" type="noConversion"/>
  </si>
  <si>
    <t xml:space="preserve">编号：HB/ZS26-01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</si>
  <si>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</si>
  <si>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</si>
  <si>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</si>
  <si>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</si>
  <si>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</si>
  <si>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时间</t>
    <phoneticPr fontId="1" type="noConversion"/>
  </si>
  <si>
    <t xml:space="preserve">和邦生物化工研究院
二乙腈中试装置责任目标一级考核-日考评表</t>
    <phoneticPr fontId="1" type="noConversion"/>
  </si>
  <si>
    <t xml:space="preserve">全年</t>
  </si>
  <si>
    <r>
      <rPr>
        <sz val="12"/>
        <color rgb="FF00B050"/>
        <rFont val="等线"/>
        <family val="3"/>
        <charset val="134"/>
        <b/>
      </rPr>
      <t xml:space="preserve">≥</t>
    </r>
    <r>
      <rPr>
        <sz val="12"/>
        <color rgb="FF00B050"/>
        <rFont val="Times New Roman"/>
        <family val="1"/>
        <b/>
      </rPr>
      <t xml:space="preserve">98%</t>
    </r>
    <phoneticPr fontId="1" type="noConversion"/>
  </si>
  <si>
    <r>
      <rPr>
        <sz val="12"/>
        <color rgb="FF00B050"/>
        <rFont val="宋体"/>
        <family val="1"/>
        <charset val="134"/>
        <b/>
      </rPr>
      <t xml:space="preserve">≥</t>
    </r>
    <r>
      <rPr>
        <sz val="12"/>
        <color rgb="FF00B050"/>
        <rFont val="Times New Roman"/>
        <family val="1"/>
        <b/>
      </rPr>
      <t xml:space="preserve">90%</t>
    </r>
    <phoneticPr fontId="1" type="noConversion"/>
  </si>
  <si>
    <t xml:space="preserve">2026-05-04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</si>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</sst>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4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00B050"/>
      <name val="宋体"/>
      <family val="1"/>
      <charset val="134"/>
    </font>
    <font>
      <b/>
      <sz val="12"/>
      <color rgb="FF00B050"/>
      <name val="等线"/>
      <family val="3"/>
      <charset val="134"/>
    </font>
    <font>
      <b/>
      <sz val="11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0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9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/>
    <xf numFmtId="0" fontId="28" fillId="0" borderId="0" xfId="0" applyFont="1"/>
    <xf numFmtId="0" fontId="30" fillId="0" borderId="2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0" xfId="0" applyFont="1"/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99" xfId="0" applyFont="1" applyFill="1" applyBorder="1" applyAlignment="1">
      <alignment horizontal="center" vertical="center"/>
    </xf>
    <xf numFmtId="49" fontId="19" fillId="4" borderId="100" xfId="0" applyNumberFormat="1" applyFont="1" applyFill="1" applyBorder="1" applyAlignment="1">
      <alignment horizontal="center" vertical="center" wrapText="1"/>
    </xf>
    <xf numFmtId="176" fontId="40" fillId="0" borderId="4" xfId="0" applyNumberFormat="1" applyFont="1" applyBorder="1" applyAlignment="1">
      <alignment horizontal="center" vertical="center" wrapText="1"/>
    </xf>
    <xf numFmtId="176" fontId="41" fillId="0" borderId="4" xfId="0" applyNumberFormat="1" applyFont="1" applyBorder="1" applyAlignment="1">
      <alignment horizontal="center" vertical="center" wrapText="1"/>
    </xf>
    <xf numFmtId="176" fontId="41" fillId="0" borderId="47" xfId="0" applyNumberFormat="1" applyFont="1" applyBorder="1" applyAlignment="1">
      <alignment horizontal="center" vertical="center" wrapText="1"/>
    </xf>
    <xf numFmtId="176" fontId="41" fillId="0" borderId="5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77" fontId="40" fillId="0" borderId="4" xfId="0" applyNumberFormat="1" applyFont="1" applyBorder="1" applyAlignment="1">
      <alignment horizontal="center" vertical="center" wrapText="1"/>
    </xf>
    <xf numFmtId="177" fontId="40" fillId="0" borderId="47" xfId="0" applyNumberFormat="1" applyFont="1" applyBorder="1" applyAlignment="1">
      <alignment horizontal="center" vertical="center" wrapText="1"/>
    </xf>
    <xf numFmtId="177" fontId="40" fillId="0" borderId="51" xfId="0" applyNumberFormat="1" applyFont="1" applyBorder="1" applyAlignment="1">
      <alignment horizontal="center" vertical="center" wrapText="1"/>
    </xf>
    <xf numFmtId="177" fontId="40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40" fillId="0" borderId="30" xfId="0" applyNumberFormat="1" applyFont="1" applyBorder="1" applyAlignment="1">
      <alignment horizontal="center" vertical="center" wrapText="1"/>
    </xf>
    <xf numFmtId="177" fontId="40" fillId="0" borderId="48" xfId="0" applyNumberFormat="1" applyFont="1" applyBorder="1" applyAlignment="1">
      <alignment horizontal="center" vertical="center" wrapText="1"/>
    </xf>
    <xf numFmtId="177" fontId="40" fillId="0" borderId="52" xfId="0" applyNumberFormat="1" applyFont="1" applyBorder="1" applyAlignment="1">
      <alignment horizontal="center" vertical="center" wrapText="1"/>
    </xf>
    <xf numFmtId="177" fontId="40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40" fillId="0" borderId="12" xfId="0" applyNumberFormat="1" applyFont="1" applyBorder="1" applyAlignment="1">
      <alignment horizontal="center" vertical="center" wrapText="1"/>
    </xf>
    <xf numFmtId="177" fontId="41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40" fillId="0" borderId="45" xfId="0" applyNumberFormat="1" applyFont="1" applyBorder="1" applyAlignment="1">
      <alignment horizontal="center" vertical="center" wrapText="1"/>
    </xf>
    <xf numFmtId="177" fontId="41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41" fillId="0" borderId="47" xfId="0" applyNumberFormat="1" applyFont="1" applyBorder="1" applyAlignment="1">
      <alignment horizontal="center" vertical="center" wrapText="1"/>
    </xf>
    <xf numFmtId="177" fontId="41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41" fillId="0" borderId="48" xfId="0" applyNumberFormat="1" applyFont="1" applyBorder="1" applyAlignment="1">
      <alignment horizontal="center" vertical="center" wrapText="1"/>
    </xf>
    <xf numFmtId="177" fontId="41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177" fontId="42" fillId="0" borderId="52" xfId="0" applyNumberFormat="1" applyFont="1" applyBorder="1" applyAlignment="1">
      <alignment horizontal="center" vertical="center" wrapText="1"/>
    </xf>
    <xf numFmtId="177" fontId="43" fillId="0" borderId="52" xfId="0" applyNumberFormat="1" applyFont="1" applyBorder="1" applyAlignment="1">
      <alignment horizontal="center" vertical="center" wrapText="1"/>
    </xf>
    <xf numFmtId="177" fontId="43" fillId="0" borderId="30" xfId="0" applyNumberFormat="1" applyFont="1" applyBorder="1" applyAlignment="1">
      <alignment horizontal="center" vertical="center" wrapText="1"/>
    </xf>
    <xf numFmtId="177" fontId="43" fillId="0" borderId="76" xfId="0" applyNumberFormat="1" applyFont="1" applyBorder="1" applyAlignment="1">
      <alignment horizontal="center" vertical="center" wrapText="1"/>
    </xf>
    <xf numFmtId="177" fontId="43" fillId="0" borderId="48" xfId="0" applyNumberFormat="1" applyFont="1" applyBorder="1" applyAlignment="1">
      <alignment horizontal="center" vertical="center" wrapText="1"/>
    </xf>
    <xf numFmtId="177" fontId="44" fillId="0" borderId="30" xfId="0" applyNumberFormat="1" applyFont="1" applyBorder="1" applyAlignment="1">
      <alignment horizontal="center" vertical="center" wrapText="1"/>
    </xf>
    <xf numFmtId="0" fontId="31" fillId="0" borderId="104" xfId="0" applyFont="1" applyBorder="1" applyAlignment="1">
      <alignment vertical="center"/>
    </xf>
    <xf numFmtId="0" fontId="30" fillId="0" borderId="105" xfId="0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0" fontId="37" fillId="0" borderId="47" xfId="0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0" fillId="0" borderId="97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0" fontId="21" fillId="0" borderId="97" xfId="0" applyFont="1" applyBorder="1" applyAlignment="1">
      <alignment horizontal="center" vertical="center" wrapText="1"/>
    </xf>
    <xf numFmtId="0" fontId="0" fillId="0" borderId="98" xfId="0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49" fontId="38" fillId="0" borderId="72" xfId="0" applyNumberFormat="1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101" xfId="0" applyFont="1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33" fillId="0" borderId="92" xfId="0" applyFont="1" applyBorder="1" applyAlignment="1">
      <alignment horizontal="left" vertical="center"/>
    </xf>
    <xf numFmtId="0" fontId="33" fillId="0" borderId="93" xfId="0" applyFont="1" applyBorder="1" applyAlignment="1">
      <alignment horizontal="left" vertical="center"/>
    </xf>
    <xf numFmtId="0" fontId="33" fillId="0" borderId="94" xfId="0" applyFont="1" applyBorder="1" applyAlignment="1">
      <alignment horizontal="left" vertical="center"/>
    </xf>
    <xf numFmtId="0" fontId="21" fillId="0" borderId="95" xfId="0" applyFont="1" applyBorder="1" applyAlignment="1">
      <alignment horizontal="center" vertical="center" wrapText="1"/>
    </xf>
    <xf numFmtId="0" fontId="21" fillId="0" borderId="80" xfId="0" applyFont="1" applyBorder="1" applyAlignment="1">
      <alignment horizontal="center" vertical="center" wrapText="1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30" fillId="0" borderId="10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29" fillId="0" borderId="88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50" xfId="0" applyFont="1" applyBorder="1"/>
    <xf numFmtId="0" fontId="29" fillId="0" borderId="41" xfId="0" applyFont="1" applyBorder="1"/>
    <xf numFmtId="0" fontId="29" fillId="0" borderId="42" xfId="0" applyFont="1" applyBorder="1"/>
    <xf numFmtId="0" fontId="29" fillId="0" borderId="91" xfId="0" applyFont="1" applyBorder="1"/>
    <xf numFmtId="0" fontId="29" fillId="0" borderId="87" xfId="0" applyFont="1" applyBorder="1"/>
    <xf numFmtId="0" fontId="29" fillId="0" borderId="89" xfId="0" applyFont="1" applyBorder="1"/>
    <xf numFmtId="178" fontId="28" fillId="0" borderId="67" xfId="0" applyNumberFormat="1" applyFont="1" applyBorder="1" applyAlignment="1">
      <alignment horizontal="center" vertical="center"/>
    </xf>
    <xf numFmtId="178" fontId="29" fillId="0" borderId="12" xfId="0" applyNumberFormat="1" applyFont="1" applyBorder="1" applyAlignment="1">
      <alignment horizontal="center" vertical="center"/>
    </xf>
    <xf numFmtId="178" fontId="28" fillId="0" borderId="11" xfId="0" applyNumberFormat="1" applyFont="1" applyBorder="1" applyAlignment="1">
      <alignment horizontal="center" vertical="center"/>
    </xf>
    <xf numFmtId="178" fontId="29" fillId="0" borderId="54" xfId="0" applyNumberFormat="1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0" fontId="34" fillId="0" borderId="78" xfId="0" applyFont="1" applyBorder="1" applyAlignment="1">
      <alignment horizontal="center" vertical="center"/>
    </xf>
    <xf numFmtId="0" fontId="34" fillId="0" borderId="77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7" fillId="0" borderId="5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33" fillId="0" borderId="60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0" fontId="34" fillId="0" borderId="85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86" xfId="0" applyFont="1" applyBorder="1" applyAlignment="1">
      <alignment horizontal="left" vertical="center"/>
    </xf>
    <xf numFmtId="0" fontId="33" fillId="0" borderId="11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/>
    </xf>
    <xf numFmtId="0" fontId="28" fillId="0" borderId="40" xfId="0" applyFont="1" applyBorder="1"/>
    <xf numFmtId="0" fontId="30" fillId="0" borderId="82" xfId="0" applyFont="1" applyBorder="1" applyAlignment="1">
      <alignment horizontal="left" vertical="center"/>
    </xf>
    <xf numFmtId="0" fontId="31" fillId="0" borderId="37" xfId="0" applyFont="1" applyBorder="1" applyAlignment="1">
      <alignment horizontal="left" vertical="center"/>
    </xf>
    <xf numFmtId="0" fontId="31" fillId="0" borderId="38" xfId="0" applyFont="1" applyBorder="1" applyAlignment="1">
      <alignment horizontal="left" vertical="center"/>
    </xf>
    <xf numFmtId="0" fontId="30" fillId="0" borderId="36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13" xfId="0" applyFont="1" applyBorder="1"/>
    <xf numFmtId="0" fontId="29" fillId="0" borderId="18" xfId="0" applyFont="1" applyBorder="1"/>
    <xf numFmtId="0" fontId="29" fillId="0" borderId="14" xfId="0" applyFont="1" applyBorder="1"/>
    <xf numFmtId="0" fontId="29" fillId="0" borderId="15" xfId="0" applyFont="1" applyBorder="1"/>
    <xf numFmtId="0" fontId="29" fillId="0" borderId="55" xfId="0" applyFont="1" applyBorder="1"/>
    <xf numFmtId="0" fontId="29" fillId="0" borderId="16" xfId="0" applyFont="1" applyBorder="1"/>
    <xf numFmtId="0" fontId="29" fillId="0" borderId="25" xfId="0" applyFont="1" applyBorder="1"/>
    <xf numFmtId="0" fontId="29" fillId="0" borderId="56" xfId="0" applyFont="1" applyBorder="1"/>
    <xf numFmtId="0" fontId="28" fillId="0" borderId="83" xfId="0" applyFont="1" applyBorder="1" applyAlignment="1">
      <alignment horizontal="left" vertical="center"/>
    </xf>
    <xf numFmtId="0" fontId="29" fillId="0" borderId="57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45" fillId="0" borderId="39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10" fontId="28" fillId="0" borderId="4" xfId="0" applyNumberFormat="1" applyFont="1" applyBorder="1" applyAlignment="1">
      <alignment horizontal="center" vertical="center"/>
    </xf>
    <xf numFmtId="10" fontId="29" fillId="0" borderId="4" xfId="0" applyNumberFormat="1" applyFont="1" applyBorder="1" applyAlignment="1">
      <alignment horizontal="center" vertical="center"/>
    </xf>
    <xf numFmtId="0" fontId="28" fillId="0" borderId="39" xfId="0" applyFont="1" applyBorder="1"/>
    <xf numFmtId="0" fontId="29" fillId="0" borderId="57" xfId="0" applyFont="1" applyBorder="1"/>
    <xf numFmtId="0" fontId="29" fillId="0" borderId="45" xfId="0" applyFont="1" applyBorder="1"/>
    <xf numFmtId="0" fontId="29" fillId="0" borderId="84" xfId="0" applyFont="1" applyBorder="1"/>
    <xf numFmtId="0" fontId="28" fillId="0" borderId="67" xfId="0" applyFont="1" applyBorder="1" applyAlignment="1">
      <alignment horizontal="left" vertical="center"/>
    </xf>
    <xf numFmtId="0" fontId="29" fillId="0" borderId="41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9" fontId="45" fillId="0" borderId="11" xfId="0" applyNumberFormat="1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28" fillId="0" borderId="11" xfId="0" applyFont="1" applyBorder="1"/>
    <xf numFmtId="0" fontId="29" fillId="0" borderId="12" xfId="0" applyFont="1" applyBorder="1"/>
    <xf numFmtId="9" fontId="45" fillId="0" borderId="39" xfId="0" applyNumberFormat="1" applyFont="1" applyBorder="1" applyAlignment="1">
      <alignment horizontal="center" vertical="center"/>
    </xf>
    <xf numFmtId="0" fontId="45" fillId="0" borderId="45" xfId="0" applyFont="1" applyBorder="1" applyAlignment="1">
      <alignment horizontal="center" vertical="center"/>
    </xf>
    <xf numFmtId="0" fontId="28" fillId="0" borderId="29" xfId="0" applyFont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0" fontId="28" fillId="0" borderId="30" xfId="0" applyFont="1" applyBorder="1"/>
    <xf numFmtId="0" fontId="29" fillId="0" borderId="30" xfId="0" applyFont="1" applyBorder="1"/>
    <xf numFmtId="0" fontId="29" fillId="0" borderId="31" xfId="0" applyFont="1" applyBorder="1"/>
    <xf numFmtId="0" fontId="28" fillId="0" borderId="3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45" fillId="0" borderId="4" xfId="0" applyFont="1" applyBorder="1" applyAlignment="1">
      <alignment horizontal="center" vertical="center"/>
    </xf>
    <xf numFmtId="0" fontId="28" fillId="0" borderId="4" xfId="0" applyFont="1" applyBorder="1"/>
    <xf numFmtId="0" fontId="29" fillId="0" borderId="4" xfId="0" applyFont="1" applyBorder="1"/>
    <xf numFmtId="0" fontId="29" fillId="0" borderId="5" xfId="0" applyFont="1" applyBorder="1"/>
    <xf numFmtId="0" fontId="24" fillId="0" borderId="81" xfId="0" applyFont="1" applyBorder="1" applyAlignment="1">
      <alignment horizontal="center" vertical="center" wrapText="1"/>
    </xf>
    <xf numFmtId="0" fontId="25" fillId="0" borderId="78" xfId="0" applyFont="1" applyBorder="1" applyAlignment="1">
      <alignment horizontal="center" vertical="center"/>
    </xf>
    <xf numFmtId="0" fontId="25" fillId="0" borderId="77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3" borderId="106" xfId="0" applyFont="1" applyFill="1" applyBorder="1" applyAlignment="1">
      <alignment horizontal="center" vertical="center"/>
    </xf>
    <xf numFmtId="0" fontId="30" fillId="3" borderId="107" xfId="0" applyFont="1" applyFill="1" applyBorder="1" applyAlignment="1">
      <alignment horizontal="center" vertical="center"/>
    </xf>
    <xf numFmtId="0" fontId="30" fillId="3" borderId="108" xfId="0" applyFont="1" applyFill="1" applyBorder="1" applyAlignment="1">
      <alignment horizontal="center" vertical="center"/>
    </xf>
  </cellXfs>
  <cellStyles count="1">
    <cellStyle name="常规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5.vml" /><Relationship Id="rId3" Type="http://schemas.openxmlformats.org/officeDocument/2006/relationships/comments" Target="../comments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0" t="s">
        <v>227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</row>
    <row r="3" spans="2:47" ht="20.15" customHeight="1" x14ac:dyDescent="0.25">
      <c r="B3" s="184" t="s">
        <v>181</v>
      </c>
      <c r="C3" s="182" t="s">
        <v>163</v>
      </c>
      <c r="D3" s="194"/>
      <c r="E3" s="194"/>
      <c r="F3" s="194"/>
      <c r="G3" s="194"/>
      <c r="H3" s="195"/>
      <c r="I3" s="198" t="s">
        <v>8</v>
      </c>
      <c r="J3" s="194"/>
      <c r="K3" s="194"/>
      <c r="L3" s="194"/>
      <c r="M3" s="194"/>
      <c r="N3" s="194"/>
      <c r="O3" s="194"/>
      <c r="P3" s="199"/>
      <c r="Q3" s="182" t="s">
        <v>77</v>
      </c>
      <c r="R3" s="194"/>
      <c r="S3" s="199"/>
      <c r="T3" s="182" t="s">
        <v>10</v>
      </c>
      <c r="U3" s="194"/>
      <c r="V3" s="194"/>
      <c r="W3" s="199"/>
      <c r="X3" s="182" t="s">
        <v>80</v>
      </c>
      <c r="Y3" s="183"/>
      <c r="Z3" s="182" t="s">
        <v>11</v>
      </c>
      <c r="AA3" s="183"/>
      <c r="AB3" s="13" t="s">
        <v>13</v>
      </c>
      <c r="AC3" s="182" t="s">
        <v>14</v>
      </c>
      <c r="AD3" s="183"/>
      <c r="AE3" s="223" t="s">
        <v>88</v>
      </c>
      <c r="AF3" s="224"/>
      <c r="AG3" s="224"/>
      <c r="AH3" s="224"/>
      <c r="AI3" s="224"/>
      <c r="AJ3" s="224"/>
      <c r="AK3" s="225"/>
      <c r="AL3" s="182" t="s">
        <v>18</v>
      </c>
      <c r="AM3" s="190"/>
      <c r="AN3" s="191"/>
      <c r="AO3" s="190" t="s">
        <v>16</v>
      </c>
      <c r="AP3" s="190"/>
      <c r="AQ3" s="190"/>
      <c r="AR3" s="193"/>
    </row>
    <row r="4" spans="2:47" ht="30" customHeight="1" x14ac:dyDescent="0.25">
      <c r="B4" s="18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6" t="s">
        <v>62</v>
      </c>
      <c r="J4" s="197"/>
      <c r="K4" s="3" t="s">
        <v>6</v>
      </c>
      <c r="L4" s="3" t="s">
        <v>66</v>
      </c>
      <c r="M4" s="3" t="s">
        <v>164</v>
      </c>
      <c r="N4" s="3" t="s">
        <v>165</v>
      </c>
      <c r="O4" s="170" t="s">
        <v>7</v>
      </c>
      <c r="P4" s="174"/>
      <c r="Q4" s="187" t="s">
        <v>71</v>
      </c>
      <c r="R4" s="174"/>
      <c r="S4" s="3" t="s">
        <v>51</v>
      </c>
      <c r="T4" s="3" t="s">
        <v>75</v>
      </c>
      <c r="U4" s="187" t="s">
        <v>78</v>
      </c>
      <c r="V4" s="174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88" t="s">
        <v>89</v>
      </c>
      <c r="AF4" s="189"/>
      <c r="AG4" s="188" t="s">
        <v>92</v>
      </c>
      <c r="AH4" s="189"/>
      <c r="AI4" s="10" t="s">
        <v>166</v>
      </c>
      <c r="AJ4" s="10" t="s">
        <v>167</v>
      </c>
      <c r="AK4" s="11" t="s">
        <v>115</v>
      </c>
      <c r="AL4" s="187" t="s">
        <v>110</v>
      </c>
      <c r="AM4" s="174"/>
      <c r="AN4" s="29" t="s">
        <v>111</v>
      </c>
      <c r="AO4" s="26" t="s">
        <v>12</v>
      </c>
      <c r="AP4" s="3" t="s">
        <v>1</v>
      </c>
      <c r="AQ4" s="172" t="s">
        <v>161</v>
      </c>
      <c r="AR4" s="192"/>
      <c r="AU4" s="20"/>
    </row>
    <row r="5" spans="2:47" ht="20.15" customHeight="1" x14ac:dyDescent="0.25">
      <c r="B5" s="1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449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101">
        <v>50.22063064575195</v>
      </c>
      <c r="D6" s="101">
        <v>19.954429626464844</v>
      </c>
      <c r="E6" s="101">
        <v>25.542530059814453</v>
      </c>
      <c r="F6" s="101"/>
      <c r="G6" s="101"/>
      <c r="H6" s="102">
        <v>416.0364074707031</v>
      </c>
      <c r="I6" s="103">
        <v>25.39423942565918</v>
      </c>
      <c r="J6" s="101"/>
      <c r="K6" s="101">
        <v>39.59056091308594</v>
      </c>
      <c r="L6" s="101">
        <v>1.4018189907073975</v>
      </c>
      <c r="M6" s="101">
        <v>99.40321350097656</v>
      </c>
      <c r="N6" s="101">
        <v>109.94650268554688</v>
      </c>
      <c r="O6" s="101">
        <v>0</v>
      </c>
      <c r="P6" s="101"/>
      <c r="Q6" s="101">
        <v>3.3735249042510986</v>
      </c>
      <c r="R6" s="101"/>
      <c r="S6" s="101">
        <v>143.48959350585938</v>
      </c>
      <c r="T6" s="101">
        <v>1.4552949666976929</v>
      </c>
      <c r="U6" s="101">
        <v>0.35773810744285583</v>
      </c>
      <c r="V6" s="101"/>
      <c r="W6" s="101">
        <v>93.20747375488281</v>
      </c>
      <c r="X6" s="101">
        <v>0.5602837204933167</v>
      </c>
      <c r="Y6" s="101"/>
      <c r="Z6" s="101">
        <v>0.8604745864868164</v>
      </c>
      <c r="AA6" s="101">
        <v>150.1230010986328</v>
      </c>
      <c r="AB6" s="101">
        <v>165.32839965820312</v>
      </c>
      <c r="AC6" s="101">
        <v>0.38621240854263306</v>
      </c>
      <c r="AD6" s="101">
        <v>156.22830200195312</v>
      </c>
      <c r="AE6" s="104"/>
      <c r="AF6" s="104"/>
      <c r="AG6" s="104"/>
      <c r="AH6" s="104"/>
      <c r="AI6" s="104"/>
      <c r="AJ6" s="104"/>
      <c r="AK6" s="104"/>
      <c r="AL6" s="101">
        <v>22.95284080505371</v>
      </c>
      <c r="AM6" s="105"/>
      <c r="AN6" s="106">
        <v>36.25217056274414</v>
      </c>
      <c r="AO6" s="107"/>
      <c r="AP6" s="108"/>
      <c r="AQ6" s="108">
        <v>0.2616463899612427</v>
      </c>
      <c r="AR6" s="109"/>
    </row>
    <row r="7" spans="2:47" ht="13.5" customHeight="1" x14ac:dyDescent="0.25">
      <c r="B7" s="14">
        <v>0.375</v>
      </c>
      <c r="C7" s="101">
        <v>49.84809112548828</v>
      </c>
      <c r="D7" s="101">
        <v>19.965280532836914</v>
      </c>
      <c r="E7" s="101">
        <v>25.671239852905273</v>
      </c>
      <c r="F7" s="101">
        <v>0.3566874861717224</v>
      </c>
      <c r="G7" s="101">
        <v>0</v>
      </c>
      <c r="H7" s="102">
        <v>416.2004089355469</v>
      </c>
      <c r="I7" s="103">
        <v>26.837390899658203</v>
      </c>
      <c r="J7" s="101">
        <v>0.02604003995656967</v>
      </c>
      <c r="K7" s="101">
        <v>39.56163024902344</v>
      </c>
      <c r="L7" s="101">
        <v>1.3963040113449097</v>
      </c>
      <c r="M7" s="101">
        <v>100.86260223388672</v>
      </c>
      <c r="N7" s="101">
        <v>110.48899841308594</v>
      </c>
      <c r="O7" s="101">
        <v>0</v>
      </c>
      <c r="P7" s="101">
        <v>25.55908203125</v>
      </c>
      <c r="Q7" s="101">
        <v>2.759535074234009</v>
      </c>
      <c r="R7" s="101">
        <v>2.97802734375</v>
      </c>
      <c r="S7" s="101">
        <v>142.48410034179688</v>
      </c>
      <c r="T7" s="101">
        <v>1.4580800533294678</v>
      </c>
      <c r="U7" s="101">
        <v>0.36034709215164185</v>
      </c>
      <c r="V7" s="101">
        <v>0.36024999618530273</v>
      </c>
      <c r="W7" s="101">
        <v>93.02661895751953</v>
      </c>
      <c r="X7" s="101">
        <v>0.5603461265563965</v>
      </c>
      <c r="Y7" s="101" t="s">
        <v>82</v>
      </c>
      <c r="Z7" s="101">
        <v>0.8586227297782898</v>
      </c>
      <c r="AA7" s="101">
        <v>149.42129516601562</v>
      </c>
      <c r="AB7" s="101">
        <v>165.32119750976562</v>
      </c>
      <c r="AC7" s="101">
        <v>0.4161964952945709</v>
      </c>
      <c r="AD7" s="101">
        <v>156.3802032470703</v>
      </c>
      <c r="AE7" s="104"/>
      <c r="AF7" s="104"/>
      <c r="AG7" s="104"/>
      <c r="AH7" s="104"/>
      <c r="AI7" s="104"/>
      <c r="AJ7" s="104"/>
      <c r="AK7" s="104"/>
      <c r="AL7" s="101">
        <v>24.55150032043457</v>
      </c>
      <c r="AM7" s="105">
        <v>0.0223994143307209</v>
      </c>
      <c r="AN7" s="106">
        <v>32.86674880981445</v>
      </c>
      <c r="AO7" s="107"/>
      <c r="AP7" s="108"/>
      <c r="AQ7" s="108">
        <v>0.16022859513759613</v>
      </c>
      <c r="AR7" s="109">
        <v>0.00034738160320557654</v>
      </c>
    </row>
    <row r="8" spans="2:47" ht="13.5" customHeight="1" x14ac:dyDescent="0.25">
      <c r="B8" s="14">
        <v>0.41666666666666669</v>
      </c>
      <c r="C8" s="101">
        <v>49.99637985229492</v>
      </c>
      <c r="D8" s="101">
        <v>20.052080154418945</v>
      </c>
      <c r="E8" s="101">
        <v>25.259620666503906</v>
      </c>
      <c r="F8" s="101">
        <v>0.3569062352180481</v>
      </c>
      <c r="G8" s="101">
        <v>0</v>
      </c>
      <c r="H8" s="102">
        <v>416.6369934082031</v>
      </c>
      <c r="I8" s="103">
        <v>26.584199905395508</v>
      </c>
      <c r="J8" s="101">
        <v>0.026524413377046585</v>
      </c>
      <c r="K8" s="101">
        <v>39.568870544433594</v>
      </c>
      <c r="L8" s="101">
        <v>1.399467945098877</v>
      </c>
      <c r="M8" s="101">
        <v>103.01110076904297</v>
      </c>
      <c r="N8" s="101">
        <v>110.65540313720703</v>
      </c>
      <c r="O8" s="101">
        <v>0</v>
      </c>
      <c r="P8" s="101">
        <v>25.52490234375</v>
      </c>
      <c r="Q8" s="101">
        <v>2.9523890018463135</v>
      </c>
      <c r="R8" s="101">
        <v>3.032958984375</v>
      </c>
      <c r="S8" s="101">
        <v>143.27259826660156</v>
      </c>
      <c r="T8" s="101">
        <v>1.4544090032577515</v>
      </c>
      <c r="U8" s="101">
        <v>0.3586786091327667</v>
      </c>
      <c r="V8" s="101">
        <v>0.35975000262260437</v>
      </c>
      <c r="W8" s="101">
        <v>93.10619354248047</v>
      </c>
      <c r="X8" s="101">
        <v>0.5614064931869507</v>
      </c>
      <c r="Y8" s="101" t="s">
        <v>82</v>
      </c>
      <c r="Z8" s="101">
        <v>0.8570023775100708</v>
      </c>
      <c r="AA8" s="101">
        <v>149.95660400390625</v>
      </c>
      <c r="AB8" s="101">
        <v>165.32119750976562</v>
      </c>
      <c r="AC8" s="101">
        <v>0.45927369594573975</v>
      </c>
      <c r="AD8" s="101">
        <v>156.0980987548828</v>
      </c>
      <c r="AE8" s="104"/>
      <c r="AF8" s="104"/>
      <c r="AG8" s="104"/>
      <c r="AH8" s="104"/>
      <c r="AI8" s="104"/>
      <c r="AJ8" s="104"/>
      <c r="AK8" s="104"/>
      <c r="AL8" s="101">
        <v>19.741029739379883</v>
      </c>
      <c r="AM8" s="105">
        <v>0.02233007736504078</v>
      </c>
      <c r="AN8" s="106">
        <v>29.6477108001709</v>
      </c>
      <c r="AO8" s="107"/>
      <c r="AP8" s="108"/>
      <c r="AQ8" s="108">
        <v>0.11053240299224854</v>
      </c>
      <c r="AR8" s="109">
        <v>0.0003409118507988751</v>
      </c>
    </row>
    <row r="9" spans="2:47" ht="13.5" customHeight="1" x14ac:dyDescent="0.25">
      <c r="B9" s="14">
        <v>0.45833333333333298</v>
      </c>
      <c r="C9" s="101">
        <v>49.96744918823242</v>
      </c>
      <c r="D9" s="101">
        <v>20.111759185791016</v>
      </c>
      <c r="E9" s="101">
        <v>421.60760498046875</v>
      </c>
      <c r="F9" s="101">
        <v>0.35728123784065247</v>
      </c>
      <c r="G9" s="101">
        <v>0</v>
      </c>
      <c r="H9" s="102">
        <v>416.5928039550781</v>
      </c>
      <c r="I9" s="103">
        <v>26.33102035522461</v>
      </c>
      <c r="J9" s="101">
        <v>0.026941893622279167</v>
      </c>
      <c r="K9" s="101">
        <v>39.57609939575195</v>
      </c>
      <c r="L9" s="101">
        <v>1.3974790573120117</v>
      </c>
      <c r="M9" s="101">
        <v>110.49259948730469</v>
      </c>
      <c r="N9" s="101">
        <v>113.37529754638672</v>
      </c>
      <c r="O9" s="101">
        <v>0</v>
      </c>
      <c r="P9" s="101">
        <v>25.50146484375</v>
      </c>
      <c r="Q9" s="101">
        <v>3.137634038925171</v>
      </c>
      <c r="R9" s="101">
        <v>2.987060546875</v>
      </c>
      <c r="S9" s="101">
        <v>143.2581024169922</v>
      </c>
      <c r="T9" s="101">
        <v>1.4542820453643799</v>
      </c>
      <c r="U9" s="101">
        <v>0.36069661378860474</v>
      </c>
      <c r="V9" s="101">
        <v>0.3594062626361847</v>
      </c>
      <c r="W9" s="101">
        <v>93.1640625</v>
      </c>
      <c r="X9" s="101">
        <v>0.5603777170181274</v>
      </c>
      <c r="Y9" s="101" t="s">
        <v>82</v>
      </c>
      <c r="Z9" s="101">
        <v>0.8533564805984497</v>
      </c>
      <c r="AA9" s="101">
        <v>149.9420928955078</v>
      </c>
      <c r="AB9" s="101">
        <v>165.24879455566406</v>
      </c>
      <c r="AC9" s="101">
        <v>0.4664713144302368</v>
      </c>
      <c r="AD9" s="101">
        <v>155.85940551757812</v>
      </c>
      <c r="AE9" s="104"/>
      <c r="AF9" s="104"/>
      <c r="AG9" s="104"/>
      <c r="AH9" s="104"/>
      <c r="AI9" s="104"/>
      <c r="AJ9" s="104"/>
      <c r="AK9" s="104"/>
      <c r="AL9" s="101">
        <v>21.35778045654297</v>
      </c>
      <c r="AM9" s="105">
        <v>0.022410156205296516</v>
      </c>
      <c r="AN9" s="106">
        <v>29.578990936279297</v>
      </c>
      <c r="AO9" s="107"/>
      <c r="AP9" s="108"/>
      <c r="AQ9" s="108">
        <v>0.5729889869689941</v>
      </c>
      <c r="AR9" s="109">
        <v>0.00033880615956149995</v>
      </c>
    </row>
    <row r="10" spans="2:47" ht="13.5" customHeight="1" x14ac:dyDescent="0.25">
      <c r="B10" s="14">
        <v>0.5</v>
      </c>
      <c r="C10" s="101">
        <v>49.93489074707031</v>
      </c>
      <c r="D10" s="101">
        <v>20.22027015686035</v>
      </c>
      <c r="E10" s="101">
        <v>420.69171142578125</v>
      </c>
      <c r="F10" s="101">
        <v>0.35762500762939453</v>
      </c>
      <c r="G10" s="101">
        <v>0</v>
      </c>
      <c r="H10" s="102">
        <v>416.1011962890625</v>
      </c>
      <c r="I10" s="103">
        <v>25.92593002319336</v>
      </c>
      <c r="J10" s="101">
        <v>0.026837890967726707</v>
      </c>
      <c r="K10" s="101">
        <v>39.57609939575195</v>
      </c>
      <c r="L10" s="101">
        <v>1.398926019668579</v>
      </c>
      <c r="M10" s="101">
        <v>105.27339935302734</v>
      </c>
      <c r="N10" s="101">
        <v>111.00980377197266</v>
      </c>
      <c r="O10" s="101">
        <v>0</v>
      </c>
      <c r="P10" s="101">
        <v>25.53564453125</v>
      </c>
      <c r="Q10" s="101">
        <v>3.105026960372925</v>
      </c>
      <c r="R10" s="101">
        <v>2.955078125</v>
      </c>
      <c r="S10" s="101">
        <v>143.1929931640625</v>
      </c>
      <c r="T10" s="101">
        <v>1.4546619653701782</v>
      </c>
      <c r="U10" s="101">
        <v>0.35929208993911743</v>
      </c>
      <c r="V10" s="101">
        <v>0.3598984479904175</v>
      </c>
      <c r="W10" s="101">
        <v>92.66493225097656</v>
      </c>
      <c r="X10" s="101">
        <v>0.557956874370575</v>
      </c>
      <c r="Y10" s="101" t="s">
        <v>82</v>
      </c>
      <c r="Z10" s="101">
        <v>0.8614004850387573</v>
      </c>
      <c r="AA10" s="101">
        <v>150.38340759277344</v>
      </c>
      <c r="AB10" s="101">
        <v>165.4803009033203</v>
      </c>
      <c r="AC10" s="101">
        <v>0.42994070053100586</v>
      </c>
      <c r="AD10" s="101">
        <v>156.35850524902344</v>
      </c>
      <c r="AE10" s="104"/>
      <c r="AF10" s="104"/>
      <c r="AG10" s="104"/>
      <c r="AH10" s="104"/>
      <c r="AI10" s="104"/>
      <c r="AJ10" s="104"/>
      <c r="AK10" s="104"/>
      <c r="AL10" s="101">
        <v>21.3469295501709</v>
      </c>
      <c r="AM10" s="105">
        <v>0.022349609062075615</v>
      </c>
      <c r="AN10" s="106">
        <v>37.926788330078125</v>
      </c>
      <c r="AO10" s="107"/>
      <c r="AP10" s="108"/>
      <c r="AQ10" s="108">
        <v>0.46997979283332825</v>
      </c>
      <c r="AR10" s="109">
        <v>0.00047927856212481856</v>
      </c>
    </row>
    <row r="11" spans="2:47" ht="13.5" customHeight="1" x14ac:dyDescent="0.25">
      <c r="B11" s="14">
        <v>0.54166666666666696</v>
      </c>
      <c r="C11" s="101">
        <v>50.05786895751953</v>
      </c>
      <c r="D11" s="101">
        <v>20.317930221557617</v>
      </c>
      <c r="E11" s="101">
        <v>25.571380615234375</v>
      </c>
      <c r="F11" s="101">
        <v>0.3577812612056732</v>
      </c>
      <c r="G11" s="101">
        <v>0</v>
      </c>
      <c r="H11" s="102">
        <v>415.9283142089844</v>
      </c>
      <c r="I11" s="103">
        <v>26.93865966796875</v>
      </c>
      <c r="J11" s="101">
        <v>0.0270229484885931</v>
      </c>
      <c r="K11" s="101">
        <v>39.40972137451172</v>
      </c>
      <c r="L11" s="101">
        <v>1.4015480279922485</v>
      </c>
      <c r="M11" s="101">
        <v>108.30619812011719</v>
      </c>
      <c r="N11" s="101">
        <v>114.40249633789062</v>
      </c>
      <c r="O11" s="101">
        <v>0</v>
      </c>
      <c r="P11" s="101">
        <v>25.55810546875</v>
      </c>
      <c r="Q11" s="101">
        <v>2.963283061981201</v>
      </c>
      <c r="R11" s="101">
        <v>2.994873046875</v>
      </c>
      <c r="S11" s="101">
        <v>143.01939392089844</v>
      </c>
      <c r="T11" s="101">
        <v>1.45352303981781</v>
      </c>
      <c r="U11" s="101">
        <v>0.35902321338653564</v>
      </c>
      <c r="V11" s="101">
        <v>0.36024218797683716</v>
      </c>
      <c r="W11" s="101">
        <v>92.56365966796875</v>
      </c>
      <c r="X11" s="101">
        <v>0.5611022114753723</v>
      </c>
      <c r="Y11" s="101" t="s">
        <v>82</v>
      </c>
      <c r="Z11" s="101">
        <v>0.8560764193534851</v>
      </c>
      <c r="AA11" s="101">
        <v>150.62930297851562</v>
      </c>
      <c r="AB11" s="101">
        <v>165.45140075683594</v>
      </c>
      <c r="AC11" s="101">
        <v>0.49410438537597656</v>
      </c>
      <c r="AD11" s="101">
        <v>156.41639709472656</v>
      </c>
      <c r="AE11" s="104"/>
      <c r="AF11" s="104"/>
      <c r="AG11" s="104"/>
      <c r="AH11" s="104"/>
      <c r="AI11" s="104"/>
      <c r="AJ11" s="104"/>
      <c r="AK11" s="104"/>
      <c r="AL11" s="101">
        <v>24.327259063720703</v>
      </c>
      <c r="AM11" s="105">
        <v>0.02366015687584877</v>
      </c>
      <c r="AN11" s="106">
        <v>62.6663818359375</v>
      </c>
      <c r="AO11" s="107"/>
      <c r="AP11" s="108"/>
      <c r="AQ11" s="108">
        <v>0.2615016996860504</v>
      </c>
      <c r="AR11" s="109">
        <v>0.0003558959870133549</v>
      </c>
    </row>
    <row r="12" spans="2:47" ht="13.5" customHeight="1" x14ac:dyDescent="0.25">
      <c r="B12" s="14">
        <v>0.58333333333333304</v>
      </c>
      <c r="C12" s="101">
        <v>49.98915100097656</v>
      </c>
      <c r="D12" s="101">
        <v>19.802520751953125</v>
      </c>
      <c r="E12" s="101">
        <v>25.357189178466797</v>
      </c>
      <c r="F12" s="101">
        <v>0.3582187592983246</v>
      </c>
      <c r="G12" s="101">
        <v>0</v>
      </c>
      <c r="H12" s="102">
        <v>415.8243103027344</v>
      </c>
      <c r="I12" s="103">
        <v>27.394390106201172</v>
      </c>
      <c r="J12" s="101">
        <v>0.027302246540784836</v>
      </c>
      <c r="K12" s="101">
        <v>38.98292922973633</v>
      </c>
      <c r="L12" s="101">
        <v>1.3995590209960938</v>
      </c>
      <c r="M12" s="101">
        <v>101.07420349121094</v>
      </c>
      <c r="N12" s="101">
        <v>114.74970245361328</v>
      </c>
      <c r="O12" s="101">
        <v>0</v>
      </c>
      <c r="P12" s="101">
        <v>25.5341796875</v>
      </c>
      <c r="Q12" s="101">
        <v>2.56496000289917</v>
      </c>
      <c r="R12" s="101">
        <v>2.9541015625</v>
      </c>
      <c r="S12" s="101">
        <v>142.6215057373047</v>
      </c>
      <c r="T12" s="101">
        <v>1.4556750059127808</v>
      </c>
      <c r="U12" s="101">
        <v>0.36100849509239197</v>
      </c>
      <c r="V12" s="101">
        <v>0.3598671853542328</v>
      </c>
      <c r="W12" s="101">
        <v>92.6576919555664</v>
      </c>
      <c r="X12" s="101">
        <v>0.5620592832565308</v>
      </c>
      <c r="Y12" s="101" t="s">
        <v>82</v>
      </c>
      <c r="Z12" s="101">
        <v>0.8554397821426392</v>
      </c>
      <c r="AA12" s="101">
        <v>150.52810668945312</v>
      </c>
      <c r="AB12" s="101">
        <v>165.43690490722656</v>
      </c>
      <c r="AC12" s="101">
        <v>0.46209490299224854</v>
      </c>
      <c r="AD12" s="101">
        <v>156.50320434570312</v>
      </c>
      <c r="AE12" s="104"/>
      <c r="AF12" s="104"/>
      <c r="AG12" s="104"/>
      <c r="AH12" s="104"/>
      <c r="AI12" s="104"/>
      <c r="AJ12" s="104"/>
      <c r="AK12" s="104"/>
      <c r="AL12" s="101">
        <v>27.756080627441406</v>
      </c>
      <c r="AM12" s="105">
        <v>0.023749999701976776</v>
      </c>
      <c r="AN12" s="106">
        <v>63.07870101928711</v>
      </c>
      <c r="AO12" s="107"/>
      <c r="AP12" s="108"/>
      <c r="AQ12" s="108">
        <v>0.2699652910232544</v>
      </c>
      <c r="AR12" s="109">
        <v>0.0003515014541335404</v>
      </c>
    </row>
    <row r="13" spans="2:47" ht="13.5" customHeight="1" x14ac:dyDescent="0.25">
      <c r="B13" s="14">
        <v>0.625</v>
      </c>
      <c r="C13" s="101">
        <v>50.12297058105469</v>
      </c>
      <c r="D13" s="101">
        <v>19.791669845581055</v>
      </c>
      <c r="E13" s="101">
        <v>25.6040096282959</v>
      </c>
      <c r="F13" s="101">
        <v>0.35850000381469727</v>
      </c>
      <c r="G13" s="101">
        <v>0</v>
      </c>
      <c r="H13" s="102">
        <v>416.2466125488281</v>
      </c>
      <c r="I13" s="103">
        <v>26.685470581054688</v>
      </c>
      <c r="J13" s="101">
        <v>0.026854004710912704</v>
      </c>
      <c r="K13" s="101">
        <v>39.30121994018555</v>
      </c>
      <c r="L13" s="101">
        <v>1.3997399806976318</v>
      </c>
      <c r="M13" s="101">
        <v>104.24259948730469</v>
      </c>
      <c r="N13" s="101">
        <v>113.02079772949219</v>
      </c>
      <c r="O13" s="101">
        <v>0</v>
      </c>
      <c r="P13" s="101">
        <v>25.52587890625</v>
      </c>
      <c r="Q13" s="101">
        <v>3.052783966064453</v>
      </c>
      <c r="R13" s="101">
        <v>2.890869140625</v>
      </c>
      <c r="S13" s="101">
        <v>142.78070068359375</v>
      </c>
      <c r="T13" s="101">
        <v>1.4552949666976929</v>
      </c>
      <c r="U13" s="101">
        <v>0.36072179675102234</v>
      </c>
      <c r="V13" s="101">
        <v>0.3597734272480011</v>
      </c>
      <c r="W13" s="101">
        <v>93.23639678955078</v>
      </c>
      <c r="X13" s="101">
        <v>0.559863805770874</v>
      </c>
      <c r="Y13" s="101" t="s">
        <v>82</v>
      </c>
      <c r="Z13" s="101">
        <v>0.8581597805023193</v>
      </c>
      <c r="AA13" s="101">
        <v>151.12120056152344</v>
      </c>
      <c r="AB13" s="101">
        <v>165.50929260253906</v>
      </c>
      <c r="AC13" s="101">
        <v>0.47334349155426025</v>
      </c>
      <c r="AD13" s="101">
        <v>156.4019012451172</v>
      </c>
      <c r="AE13" s="104"/>
      <c r="AF13" s="104"/>
      <c r="AG13" s="104"/>
      <c r="AH13" s="104"/>
      <c r="AI13" s="104"/>
      <c r="AJ13" s="104"/>
      <c r="AK13" s="104"/>
      <c r="AL13" s="101">
        <v>22.6960391998291</v>
      </c>
      <c r="AM13" s="105">
        <v>0.0239101555198431</v>
      </c>
      <c r="AN13" s="106">
        <v>63.1148681640625</v>
      </c>
      <c r="AO13" s="107"/>
      <c r="AP13" s="108"/>
      <c r="AQ13" s="108">
        <v>0.454644113779068</v>
      </c>
      <c r="AR13" s="109">
        <v>0.0003479003789834678</v>
      </c>
    </row>
    <row r="14" spans="2:47" ht="13.5" customHeight="1" x14ac:dyDescent="0.25">
      <c r="B14" s="14">
        <v>0.66666666666666696</v>
      </c>
      <c r="C14" s="101">
        <v>49.804691314697266</v>
      </c>
      <c r="D14" s="101">
        <v>20.258249282836914</v>
      </c>
      <c r="E14" s="101">
        <v>420.9540100097656</v>
      </c>
      <c r="F14" s="101">
        <v>0.3580000102519989</v>
      </c>
      <c r="G14" s="101">
        <v>0</v>
      </c>
      <c r="H14" s="102">
        <v>416.1722106933594</v>
      </c>
      <c r="I14" s="103">
        <v>25.976560592651367</v>
      </c>
      <c r="J14" s="101">
        <v>0.026294922456145287</v>
      </c>
      <c r="K14" s="101">
        <v>39.28675079345703</v>
      </c>
      <c r="L14" s="101">
        <v>1.3976600170135498</v>
      </c>
      <c r="M14" s="101">
        <v>105.58809661865234</v>
      </c>
      <c r="N14" s="101">
        <v>109.55580139160156</v>
      </c>
      <c r="O14" s="101">
        <v>0</v>
      </c>
      <c r="P14" s="101">
        <v>25.552734375</v>
      </c>
      <c r="Q14" s="101">
        <v>3.105346918106079</v>
      </c>
      <c r="R14" s="101">
        <v>2.89111328125</v>
      </c>
      <c r="S14" s="101">
        <v>143.40280151367188</v>
      </c>
      <c r="T14" s="101">
        <v>1.457321047782898</v>
      </c>
      <c r="U14" s="101">
        <v>0.3593769073486328</v>
      </c>
      <c r="V14" s="101">
        <v>0.36014842987060547</v>
      </c>
      <c r="W14" s="101">
        <v>93.1134262084961</v>
      </c>
      <c r="X14" s="101">
        <v>0.5582680106163025</v>
      </c>
      <c r="Y14" s="101" t="s">
        <v>82</v>
      </c>
      <c r="Z14" s="101">
        <v>0.8565971851348877</v>
      </c>
      <c r="AA14" s="101">
        <v>151.36000061035156</v>
      </c>
      <c r="AB14" s="101">
        <v>165.4803009033203</v>
      </c>
      <c r="AC14" s="101">
        <v>0.4578632116317749</v>
      </c>
      <c r="AD14" s="101">
        <v>156.20660400390625</v>
      </c>
      <c r="AE14" s="104"/>
      <c r="AF14" s="104"/>
      <c r="AG14" s="104"/>
      <c r="AH14" s="104"/>
      <c r="AI14" s="104"/>
      <c r="AJ14" s="104"/>
      <c r="AK14" s="104"/>
      <c r="AL14" s="101">
        <v>24.887880325317383</v>
      </c>
      <c r="AM14" s="105">
        <v>0.024120116606354713</v>
      </c>
      <c r="AN14" s="106">
        <v>62.10213851928711</v>
      </c>
      <c r="AO14" s="107"/>
      <c r="AP14" s="108"/>
      <c r="AQ14" s="108">
        <v>0.18692129850387573</v>
      </c>
      <c r="AR14" s="109">
        <v>0.00034872436663135886</v>
      </c>
    </row>
    <row r="15" spans="2:47" ht="13.5" customHeight="1" x14ac:dyDescent="0.25">
      <c r="B15" s="14">
        <v>0.70833333333333304</v>
      </c>
      <c r="C15" s="101">
        <v>49.645538330078125</v>
      </c>
      <c r="D15" s="101">
        <v>20.225690841674805</v>
      </c>
      <c r="E15" s="101">
        <v>421.2314147949219</v>
      </c>
      <c r="F15" s="101">
        <v>0.35768750309944153</v>
      </c>
      <c r="G15" s="101">
        <v>0</v>
      </c>
      <c r="H15" s="102">
        <v>416.190185546875</v>
      </c>
      <c r="I15" s="103">
        <v>25.31829071044922</v>
      </c>
      <c r="J15" s="101">
        <v>0.025379883125424385</v>
      </c>
      <c r="K15" s="101">
        <v>39.337379455566406</v>
      </c>
      <c r="L15" s="101">
        <v>1.4018189907073975</v>
      </c>
      <c r="M15" s="101">
        <v>105.002197265625</v>
      </c>
      <c r="N15" s="101">
        <v>110.91580200195312</v>
      </c>
      <c r="O15" s="101">
        <v>0</v>
      </c>
      <c r="P15" s="101">
        <v>25.564453125</v>
      </c>
      <c r="Q15" s="101">
        <v>2.5660629272460938</v>
      </c>
      <c r="R15" s="101">
        <v>2.973876953125</v>
      </c>
      <c r="S15" s="101">
        <v>142.5926055908203</v>
      </c>
      <c r="T15" s="101">
        <v>1.4537760019302368</v>
      </c>
      <c r="U15" s="101">
        <v>0.36014050245285034</v>
      </c>
      <c r="V15" s="101">
        <v>0.360289067029953</v>
      </c>
      <c r="W15" s="101">
        <v>92.97598266601562</v>
      </c>
      <c r="X15" s="101">
        <v>0.5629953742027283</v>
      </c>
      <c r="Y15" s="101" t="s">
        <v>82</v>
      </c>
      <c r="Z15" s="101">
        <v>0.8538194894790649</v>
      </c>
      <c r="AA15" s="101">
        <v>150.96209716796875</v>
      </c>
      <c r="AB15" s="101">
        <v>165.42970275878906</v>
      </c>
      <c r="AC15" s="101">
        <v>0.4210068881511688</v>
      </c>
      <c r="AD15" s="101">
        <v>156.36570739746094</v>
      </c>
      <c r="AE15" s="104">
        <v>2</v>
      </c>
      <c r="AF15" s="104">
        <v>3</v>
      </c>
      <c r="AG15" s="104">
        <v>4</v>
      </c>
      <c r="AH15" s="104">
        <v>5</v>
      </c>
      <c r="AI15" s="104">
        <v>6</v>
      </c>
      <c r="AJ15" s="104">
        <v>7</v>
      </c>
      <c r="AK15" s="104">
        <v>8</v>
      </c>
      <c r="AL15" s="101">
        <v>21.506080627441406</v>
      </c>
      <c r="AM15" s="105">
        <v>0.024080079048871994</v>
      </c>
      <c r="AN15" s="106">
        <v>62.15639114379883</v>
      </c>
      <c r="AO15" s="107"/>
      <c r="AP15" s="108"/>
      <c r="AQ15" s="108">
        <v>0.2298177033662796</v>
      </c>
      <c r="AR15" s="109">
        <v>0.0003435974067542702</v>
      </c>
    </row>
    <row r="16" spans="2:47" ht="13.5" customHeight="1" x14ac:dyDescent="0.25">
      <c r="B16" s="14">
        <v>0.75</v>
      </c>
      <c r="C16" s="101">
        <v>49.57320022583008</v>
      </c>
      <c r="D16" s="101">
        <v>19.948999404907227</v>
      </c>
      <c r="E16" s="101">
        <v>418.9689025878906</v>
      </c>
      <c r="F16" s="101">
        <v>0.35768750309944153</v>
      </c>
      <c r="G16" s="101">
        <v>0</v>
      </c>
      <c r="H16" s="102">
        <v>416.6034851074219</v>
      </c>
      <c r="I16" s="103">
        <v>26.710790634155273</v>
      </c>
      <c r="J16" s="101">
        <v>0.026673827320337296</v>
      </c>
      <c r="K16" s="101">
        <v>39.40972137451172</v>
      </c>
      <c r="L16" s="101">
        <v>1.4014580249786377</v>
      </c>
      <c r="M16" s="101">
        <v>108.29540252685547</v>
      </c>
      <c r="N16" s="101">
        <v>115.8926010131836</v>
      </c>
      <c r="O16" s="101">
        <v>0</v>
      </c>
      <c r="P16" s="101">
        <v>25.52490234375</v>
      </c>
      <c r="Q16" s="101">
        <v>2.8820641040802</v>
      </c>
      <c r="R16" s="101">
        <v>3.04296875</v>
      </c>
      <c r="S16" s="101">
        <v>143.3159942626953</v>
      </c>
      <c r="T16" s="101">
        <v>1.4565609693527222</v>
      </c>
      <c r="U16" s="101">
        <v>0.3584943115711212</v>
      </c>
      <c r="V16" s="101">
        <v>0.3597656190395355</v>
      </c>
      <c r="W16" s="101">
        <v>93.00492095947266</v>
      </c>
      <c r="X16" s="101">
        <v>0.5598217844963074</v>
      </c>
      <c r="Y16" s="101" t="s">
        <v>82</v>
      </c>
      <c r="Z16" s="101">
        <v>0.8590278029441833</v>
      </c>
      <c r="AA16" s="101">
        <v>151.17190551757812</v>
      </c>
      <c r="AB16" s="101">
        <v>165.6177978515625</v>
      </c>
      <c r="AC16" s="101">
        <v>0.5434750914573669</v>
      </c>
      <c r="AD16" s="101">
        <v>156.6551055908203</v>
      </c>
      <c r="AE16" s="104"/>
      <c r="AF16" s="104"/>
      <c r="AG16" s="104"/>
      <c r="AH16" s="104"/>
      <c r="AI16" s="104"/>
      <c r="AJ16" s="104"/>
      <c r="AK16" s="104"/>
      <c r="AL16" s="101">
        <v>21.115449905395508</v>
      </c>
      <c r="AM16" s="105">
        <v>0.024110350757837296</v>
      </c>
      <c r="AN16" s="106">
        <v>62.1961784362793</v>
      </c>
      <c r="AO16" s="107"/>
      <c r="AP16" s="108"/>
      <c r="AQ16" s="108">
        <v>0.23574939370155334</v>
      </c>
      <c r="AR16" s="109">
        <v>0.00034680176759138703</v>
      </c>
    </row>
    <row r="17" spans="2:44" ht="13.5" customHeight="1" x14ac:dyDescent="0.25">
      <c r="B17" s="14">
        <v>0.79166666666666696</v>
      </c>
      <c r="C17" s="101">
        <v>49.43938064575195</v>
      </c>
      <c r="D17" s="101">
        <v>19.656030654907227</v>
      </c>
      <c r="E17" s="101">
        <v>419.1669006347656</v>
      </c>
      <c r="F17" s="101">
        <v>0.35762500762939453</v>
      </c>
      <c r="G17" s="101">
        <v>0</v>
      </c>
      <c r="H17" s="102">
        <v>416.4219055175781</v>
      </c>
      <c r="I17" s="103">
        <v>26.204429626464844</v>
      </c>
      <c r="J17" s="101">
        <v>0.026296386495232582</v>
      </c>
      <c r="K17" s="101">
        <v>39.5399284362793</v>
      </c>
      <c r="L17" s="101">
        <v>1.3995590209960938</v>
      </c>
      <c r="M17" s="101">
        <v>111.40950012207031</v>
      </c>
      <c r="N17" s="101">
        <v>116.47859954833984</v>
      </c>
      <c r="O17" s="101">
        <v>0</v>
      </c>
      <c r="P17" s="101">
        <v>25.52490234375</v>
      </c>
      <c r="Q17" s="101">
        <v>2.872476100921631</v>
      </c>
      <c r="R17" s="101">
        <v>2.85498046875</v>
      </c>
      <c r="S17" s="101">
        <v>142.9687957763672</v>
      </c>
      <c r="T17" s="101">
        <v>1.4541560411453247</v>
      </c>
      <c r="U17" s="101">
        <v>0.36067861318588257</v>
      </c>
      <c r="V17" s="101">
        <v>0.35975000262260437</v>
      </c>
      <c r="W17" s="101">
        <v>93.01215362548828</v>
      </c>
      <c r="X17" s="101">
        <v>0.5585011839866638</v>
      </c>
      <c r="Y17" s="101" t="s">
        <v>82</v>
      </c>
      <c r="Z17" s="101">
        <v>0.8567129969596863</v>
      </c>
      <c r="AA17" s="101">
        <v>150.99099731445312</v>
      </c>
      <c r="AB17" s="101">
        <v>165.55270385742188</v>
      </c>
      <c r="AC17" s="101">
        <v>0.44527629017829895</v>
      </c>
      <c r="AD17" s="101">
        <v>156.4019012451172</v>
      </c>
      <c r="AE17" s="104"/>
      <c r="AF17" s="104"/>
      <c r="AG17" s="104"/>
      <c r="AH17" s="104"/>
      <c r="AI17" s="104"/>
      <c r="AJ17" s="104"/>
      <c r="AK17" s="104"/>
      <c r="AL17" s="101">
        <v>23.524309158325195</v>
      </c>
      <c r="AM17" s="105">
        <v>0.023959960788488388</v>
      </c>
      <c r="AN17" s="106">
        <v>62.131080627441406</v>
      </c>
      <c r="AO17" s="107"/>
      <c r="AP17" s="108"/>
      <c r="AQ17" s="108">
        <v>0.4696904122829437</v>
      </c>
      <c r="AR17" s="109">
        <v>0.00034500123001635075</v>
      </c>
    </row>
    <row r="18" spans="2:44" ht="13.5" customHeight="1" x14ac:dyDescent="0.25">
      <c r="B18" s="42">
        <v>0.83333333333333404</v>
      </c>
      <c r="C18" s="110">
        <v>49.25130081176758</v>
      </c>
      <c r="D18" s="110">
        <v>19.656030654907227</v>
      </c>
      <c r="E18" s="110">
        <v>25.19230079650879</v>
      </c>
      <c r="F18" s="110">
        <v>0.35749998688697815</v>
      </c>
      <c r="G18" s="110">
        <v>0</v>
      </c>
      <c r="H18" s="111">
        <v>416.1903076171875</v>
      </c>
      <c r="I18" s="112">
        <v>24.53342056274414</v>
      </c>
      <c r="J18" s="110">
        <v>0.025907713919878006</v>
      </c>
      <c r="K18" s="110">
        <v>39.46759033203125</v>
      </c>
      <c r="L18" s="110">
        <v>1.4054360389709473</v>
      </c>
      <c r="M18" s="110">
        <v>110.8561019897461</v>
      </c>
      <c r="N18" s="110">
        <v>116.05180358886719</v>
      </c>
      <c r="O18" s="110">
        <v>0</v>
      </c>
      <c r="P18" s="110">
        <v>25.43310546875</v>
      </c>
      <c r="Q18" s="110">
        <v>2.9198360443115234</v>
      </c>
      <c r="R18" s="110">
        <v>2.93798828125</v>
      </c>
      <c r="S18" s="110">
        <v>143.6053009033203</v>
      </c>
      <c r="T18" s="110">
        <v>1.4574470520019531</v>
      </c>
      <c r="U18" s="110">
        <v>0.36182668805122375</v>
      </c>
      <c r="V18" s="110">
        <v>0.3596796989440918</v>
      </c>
      <c r="W18" s="110">
        <v>93.20023345947266</v>
      </c>
      <c r="X18" s="110">
        <v>0.5600718855857849</v>
      </c>
      <c r="Y18" s="110"/>
      <c r="Z18" s="110">
        <v>0.8578125238418579</v>
      </c>
      <c r="AA18" s="110">
        <v>151.17909240722656</v>
      </c>
      <c r="AB18" s="110">
        <v>165.66839599609375</v>
      </c>
      <c r="AC18" s="110">
        <v>0.47334349155426025</v>
      </c>
      <c r="AD18" s="110">
        <v>156.51040649414062</v>
      </c>
      <c r="AE18" s="113"/>
      <c r="AF18" s="113"/>
      <c r="AG18" s="113"/>
      <c r="AH18" s="113"/>
      <c r="AI18" s="113"/>
      <c r="AJ18" s="113"/>
      <c r="AK18" s="113"/>
      <c r="AL18" s="110">
        <v>24.4719295501709</v>
      </c>
      <c r="AM18" s="114">
        <v>0.02391992136836052</v>
      </c>
      <c r="AN18" s="115">
        <v>62.1781005859375</v>
      </c>
      <c r="AO18" s="107"/>
      <c r="AP18" s="108"/>
      <c r="AQ18" s="108">
        <v>0.18829570710659027</v>
      </c>
      <c r="AR18" s="116">
        <v>0.0003464965848252177</v>
      </c>
    </row>
    <row r="19" spans="2:44" ht="18" customHeight="1" x14ac:dyDescent="0.25">
      <c r="B19" s="200" t="s">
        <v>181</v>
      </c>
      <c r="C19" s="36" t="s">
        <v>168</v>
      </c>
      <c r="D19" s="36" t="s">
        <v>171</v>
      </c>
      <c r="E19" s="159" t="s">
        <v>17</v>
      </c>
      <c r="F19" s="214"/>
      <c r="G19" s="215"/>
      <c r="H19" s="216" t="s">
        <v>108</v>
      </c>
      <c r="I19" s="214"/>
      <c r="J19" s="214"/>
      <c r="K19" s="214"/>
      <c r="L19" s="179"/>
      <c r="M19" s="217" t="s">
        <v>123</v>
      </c>
      <c r="N19" s="214"/>
      <c r="O19" s="214"/>
      <c r="P19" s="214"/>
      <c r="Q19" s="215"/>
      <c r="R19" s="216" t="s">
        <v>147</v>
      </c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5"/>
      <c r="AG19" s="178" t="s">
        <v>24</v>
      </c>
      <c r="AH19" s="215"/>
      <c r="AI19" s="226" t="s">
        <v>173</v>
      </c>
      <c r="AJ19" s="227"/>
      <c r="AK19" s="227"/>
      <c r="AL19" s="227"/>
      <c r="AM19" s="228"/>
      <c r="AN19" s="178" t="s">
        <v>47</v>
      </c>
      <c r="AO19" s="218"/>
      <c r="AP19" s="214" t="s">
        <v>180</v>
      </c>
      <c r="AQ19" s="219"/>
      <c r="AR19" s="220"/>
    </row>
    <row r="20" spans="2:44" ht="20.15" customHeight="1" x14ac:dyDescent="0.25">
      <c r="B20" s="201"/>
      <c r="C20" s="3" t="s">
        <v>169</v>
      </c>
      <c r="D20" s="3" t="s">
        <v>113</v>
      </c>
      <c r="E20" s="3" t="s">
        <v>15</v>
      </c>
      <c r="F20" s="170" t="s">
        <v>100</v>
      </c>
      <c r="G20" s="174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72" t="s">
        <v>148</v>
      </c>
      <c r="AE20" s="174"/>
      <c r="AF20" s="17" t="s">
        <v>151</v>
      </c>
      <c r="AG20" s="17" t="s">
        <v>153</v>
      </c>
      <c r="AH20" s="17" t="s">
        <v>155</v>
      </c>
      <c r="AI20" s="188" t="s">
        <v>89</v>
      </c>
      <c r="AJ20" s="189"/>
      <c r="AK20" s="188" t="s">
        <v>92</v>
      </c>
      <c r="AL20" s="189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201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101">
        <v>-81.87934112548828</v>
      </c>
      <c r="D22" s="101">
        <v>-84.00607299804688</v>
      </c>
      <c r="E22" s="101">
        <v>44.76634979248047</v>
      </c>
      <c r="F22" s="101">
        <v>0.10062210261821747</v>
      </c>
      <c r="G22" s="101"/>
      <c r="H22" s="101"/>
      <c r="I22" s="101"/>
      <c r="J22" s="101"/>
      <c r="K22" s="101"/>
      <c r="L22" s="102"/>
      <c r="M22" s="117">
        <v>69.082763671875</v>
      </c>
      <c r="N22" s="101">
        <v>48.02878952026367</v>
      </c>
      <c r="O22" s="101">
        <v>0</v>
      </c>
      <c r="P22" s="101">
        <v>50</v>
      </c>
      <c r="Q22" s="101">
        <v>2.934462070465088</v>
      </c>
      <c r="R22" s="101">
        <v>18.59808921813965</v>
      </c>
      <c r="S22" s="118">
        <v>91.39540100097656</v>
      </c>
      <c r="T22" s="118">
        <v>0</v>
      </c>
      <c r="U22" s="118">
        <v>0</v>
      </c>
      <c r="V22" s="118">
        <v>19.14604949951172</v>
      </c>
      <c r="W22" s="118">
        <v>84.66253662109375</v>
      </c>
      <c r="X22" s="118">
        <v>25</v>
      </c>
      <c r="Y22" s="118">
        <v>59.223819732666016</v>
      </c>
      <c r="Z22" s="118">
        <v>15.453200340270996</v>
      </c>
      <c r="AA22" s="118">
        <v>17.740890502929688</v>
      </c>
      <c r="AB22" s="118"/>
      <c r="AC22" s="105"/>
      <c r="AD22" s="105">
        <v>0</v>
      </c>
      <c r="AE22" s="105"/>
      <c r="AF22" s="105"/>
      <c r="AG22" s="105">
        <v>19.831449508666992</v>
      </c>
      <c r="AH22" s="105"/>
      <c r="AI22" s="119"/>
      <c r="AJ22" s="119"/>
      <c r="AK22" s="119"/>
      <c r="AL22" s="119"/>
      <c r="AM22" s="119"/>
      <c r="AN22" s="105">
        <v>70.0665512084961</v>
      </c>
      <c r="AO22" s="106">
        <v>69.3829574584961</v>
      </c>
      <c r="AP22" s="107">
        <v>27.000139236450195</v>
      </c>
      <c r="AQ22" s="108">
        <v>37.868919372558594</v>
      </c>
      <c r="AR22" s="109">
        <v>-88.85633850097656</v>
      </c>
    </row>
    <row r="23" spans="2:44" ht="13.5" customHeight="1" x14ac:dyDescent="0.25">
      <c r="B23" s="14">
        <v>0.375</v>
      </c>
      <c r="C23" s="101">
        <v>-81.82869720458984</v>
      </c>
      <c r="D23" s="101">
        <v>-83.99884033203125</v>
      </c>
      <c r="E23" s="101">
        <v>44.661460876464844</v>
      </c>
      <c r="F23" s="101">
        <v>0.09932001680135727</v>
      </c>
      <c r="G23" s="101">
        <v>0.00010025024675996974</v>
      </c>
      <c r="H23" s="101"/>
      <c r="I23" s="101"/>
      <c r="J23" s="101"/>
      <c r="K23" s="101"/>
      <c r="L23" s="102"/>
      <c r="M23" s="117">
        <v>70.13526916503906</v>
      </c>
      <c r="N23" s="101">
        <v>47.851558685302734</v>
      </c>
      <c r="O23" s="101">
        <v>0</v>
      </c>
      <c r="P23" s="101">
        <v>50</v>
      </c>
      <c r="Q23" s="101">
        <v>2.9361979961395264</v>
      </c>
      <c r="R23" s="101">
        <v>20.283559799194336</v>
      </c>
      <c r="S23" s="118">
        <v>90.57074737548828</v>
      </c>
      <c r="T23" s="118">
        <v>0</v>
      </c>
      <c r="U23" s="118">
        <v>0</v>
      </c>
      <c r="V23" s="118">
        <v>28.98763084411621</v>
      </c>
      <c r="W23" s="118">
        <v>100.16819763183594</v>
      </c>
      <c r="X23" s="118">
        <v>28</v>
      </c>
      <c r="Y23" s="118">
        <v>66.15868377685547</v>
      </c>
      <c r="Z23" s="118">
        <v>15.69552993774414</v>
      </c>
      <c r="AA23" s="118">
        <v>19.276260375976562</v>
      </c>
      <c r="AB23" s="118"/>
      <c r="AC23" s="105"/>
      <c r="AD23" s="105">
        <v>1.5479600429534912</v>
      </c>
      <c r="AE23" s="105">
        <v>0.000695434573572129</v>
      </c>
      <c r="AF23" s="105"/>
      <c r="AG23" s="105">
        <v>77.55713653564453</v>
      </c>
      <c r="AH23" s="105"/>
      <c r="AI23" s="119"/>
      <c r="AJ23" s="119"/>
      <c r="AK23" s="119"/>
      <c r="AL23" s="119"/>
      <c r="AM23" s="119"/>
      <c r="AN23" s="105">
        <v>69.4806137084961</v>
      </c>
      <c r="AO23" s="106">
        <v>85.74942016601562</v>
      </c>
      <c r="AP23" s="107">
        <v>29.58622932434082</v>
      </c>
      <c r="AQ23" s="108">
        <v>37.84722137451172</v>
      </c>
      <c r="AR23" s="109">
        <v>-88.51997375488281</v>
      </c>
    </row>
    <row r="24" spans="2:44" ht="13.5" customHeight="1" x14ac:dyDescent="0.25">
      <c r="B24" s="14">
        <v>0.41666666666666702</v>
      </c>
      <c r="C24" s="101">
        <v>-81.79252624511719</v>
      </c>
      <c r="D24" s="101">
        <v>-83.97714233398438</v>
      </c>
      <c r="E24" s="101">
        <v>44.900169372558594</v>
      </c>
      <c r="F24" s="101">
        <v>0.09302662312984467</v>
      </c>
      <c r="G24" s="101">
        <v>0.00010025024675996974</v>
      </c>
      <c r="H24" s="101"/>
      <c r="I24" s="101"/>
      <c r="J24" s="101"/>
      <c r="K24" s="101"/>
      <c r="L24" s="102"/>
      <c r="M24" s="117">
        <v>72.4392318725586</v>
      </c>
      <c r="N24" s="101">
        <v>46.91477966308594</v>
      </c>
      <c r="O24" s="101">
        <v>0</v>
      </c>
      <c r="P24" s="101">
        <v>50</v>
      </c>
      <c r="Q24" s="101">
        <v>2.938368082046509</v>
      </c>
      <c r="R24" s="101">
        <v>20.120800018310547</v>
      </c>
      <c r="S24" s="118">
        <v>93.0447006225586</v>
      </c>
      <c r="T24" s="118">
        <v>0</v>
      </c>
      <c r="U24" s="118">
        <v>0</v>
      </c>
      <c r="V24" s="118">
        <v>26.502819061279297</v>
      </c>
      <c r="W24" s="118">
        <v>86.58854675292969</v>
      </c>
      <c r="X24" s="118">
        <v>28</v>
      </c>
      <c r="Y24" s="118">
        <v>66.37171173095703</v>
      </c>
      <c r="Z24" s="118">
        <v>15.545430183410645</v>
      </c>
      <c r="AA24" s="118">
        <v>19.102649688720703</v>
      </c>
      <c r="AB24" s="118"/>
      <c r="AC24" s="105"/>
      <c r="AD24" s="105">
        <v>0</v>
      </c>
      <c r="AE24" s="105">
        <v>0.0006709594745188951</v>
      </c>
      <c r="AF24" s="105"/>
      <c r="AG24" s="105">
        <v>24.801069259643555</v>
      </c>
      <c r="AH24" s="105"/>
      <c r="AI24" s="119"/>
      <c r="AJ24" s="119"/>
      <c r="AK24" s="119"/>
      <c r="AL24" s="119"/>
      <c r="AM24" s="119"/>
      <c r="AN24" s="105">
        <v>64.5326919555664</v>
      </c>
      <c r="AO24" s="106">
        <v>43.36661148071289</v>
      </c>
      <c r="AP24" s="107">
        <v>27.27140998840332</v>
      </c>
      <c r="AQ24" s="108">
        <v>37.50722885131836</v>
      </c>
      <c r="AR24" s="109">
        <v>-88.73697662353516</v>
      </c>
    </row>
    <row r="25" spans="2:44" ht="13.5" customHeight="1" x14ac:dyDescent="0.25">
      <c r="B25" s="14">
        <v>0.45833333333333298</v>
      </c>
      <c r="C25" s="101">
        <v>-81.77084350585938</v>
      </c>
      <c r="D25" s="101">
        <v>-84.10011291503906</v>
      </c>
      <c r="E25" s="101">
        <v>45.51142883300781</v>
      </c>
      <c r="F25" s="101">
        <v>0.1078559011220932</v>
      </c>
      <c r="G25" s="101">
        <v>0.00010076904436573386</v>
      </c>
      <c r="H25" s="101"/>
      <c r="I25" s="101"/>
      <c r="J25" s="101"/>
      <c r="K25" s="101"/>
      <c r="L25" s="102"/>
      <c r="M25" s="117">
        <v>73.47367095947266</v>
      </c>
      <c r="N25" s="101">
        <v>46.67245101928711</v>
      </c>
      <c r="O25" s="101">
        <v>0</v>
      </c>
      <c r="P25" s="101">
        <v>50</v>
      </c>
      <c r="Q25" s="101">
        <v>2.946181058883667</v>
      </c>
      <c r="R25" s="101">
        <v>20.428239822387695</v>
      </c>
      <c r="S25" s="118">
        <v>91.74262237548828</v>
      </c>
      <c r="T25" s="118">
        <v>0</v>
      </c>
      <c r="U25" s="118">
        <v>0</v>
      </c>
      <c r="V25" s="118">
        <v>24.582250595092773</v>
      </c>
      <c r="W25" s="118">
        <v>88.12391662597656</v>
      </c>
      <c r="X25" s="118">
        <v>28</v>
      </c>
      <c r="Y25" s="118">
        <v>66.56231689453125</v>
      </c>
      <c r="Z25" s="118">
        <v>15.630430221557617</v>
      </c>
      <c r="AA25" s="118">
        <v>19.618059158325195</v>
      </c>
      <c r="AB25" s="118"/>
      <c r="AC25" s="105"/>
      <c r="AD25" s="105">
        <v>1.5479600429534912</v>
      </c>
      <c r="AE25" s="105">
        <v>0.001135192927904427</v>
      </c>
      <c r="AF25" s="105"/>
      <c r="AG25" s="105">
        <v>22.80093002319336</v>
      </c>
      <c r="AH25" s="105"/>
      <c r="AI25" s="119"/>
      <c r="AJ25" s="119"/>
      <c r="AK25" s="119"/>
      <c r="AL25" s="119"/>
      <c r="AM25" s="119"/>
      <c r="AN25" s="105">
        <v>75.96932983398438</v>
      </c>
      <c r="AO25" s="106">
        <v>48.401329040527344</v>
      </c>
      <c r="AP25" s="107">
        <v>24.18800926208496</v>
      </c>
      <c r="AQ25" s="108">
        <v>43.297889709472656</v>
      </c>
      <c r="AR25" s="109">
        <v>-88.95398712158203</v>
      </c>
    </row>
    <row r="26" spans="2:44" ht="13.5" customHeight="1" x14ac:dyDescent="0.25">
      <c r="B26" s="14">
        <v>0.5</v>
      </c>
      <c r="C26" s="101">
        <v>-81.7853012084961</v>
      </c>
      <c r="D26" s="101">
        <v>-83.99884033203125</v>
      </c>
      <c r="E26" s="101">
        <v>45.18952941894531</v>
      </c>
      <c r="F26" s="101">
        <v>0.11074940115213394</v>
      </c>
      <c r="G26" s="101">
        <v>9.970092651201412E-05</v>
      </c>
      <c r="H26" s="101"/>
      <c r="I26" s="101"/>
      <c r="J26" s="101"/>
      <c r="K26" s="101"/>
      <c r="L26" s="102"/>
      <c r="M26" s="117">
        <v>77.39800262451172</v>
      </c>
      <c r="N26" s="101">
        <v>46.31438064575195</v>
      </c>
      <c r="O26" s="101">
        <v>0</v>
      </c>
      <c r="P26" s="101">
        <v>50</v>
      </c>
      <c r="Q26" s="101">
        <v>2.9700520038604736</v>
      </c>
      <c r="R26" s="101">
        <v>19.958040237426758</v>
      </c>
      <c r="S26" s="118">
        <v>94.6072006225586</v>
      </c>
      <c r="T26" s="118">
        <v>0</v>
      </c>
      <c r="U26" s="118">
        <v>0</v>
      </c>
      <c r="V26" s="118">
        <v>39.78950119018555</v>
      </c>
      <c r="W26" s="118">
        <v>107.1343002319336</v>
      </c>
      <c r="X26" s="118">
        <v>28</v>
      </c>
      <c r="Y26" s="118">
        <v>66.56231689453125</v>
      </c>
      <c r="Z26" s="118">
        <v>15.469470024108887</v>
      </c>
      <c r="AA26" s="118">
        <v>19.14604949951172</v>
      </c>
      <c r="AB26" s="118"/>
      <c r="AC26" s="105"/>
      <c r="AD26" s="105">
        <v>1.5479600429534912</v>
      </c>
      <c r="AE26" s="105">
        <v>0.0015480347210541368</v>
      </c>
      <c r="AF26" s="105"/>
      <c r="AG26" s="105">
        <v>51.44675827026367</v>
      </c>
      <c r="AH26" s="105"/>
      <c r="AI26" s="119"/>
      <c r="AJ26" s="119"/>
      <c r="AK26" s="119"/>
      <c r="AL26" s="119"/>
      <c r="AM26" s="119"/>
      <c r="AN26" s="105">
        <v>81.75636291503906</v>
      </c>
      <c r="AO26" s="106">
        <v>64.74971008300781</v>
      </c>
      <c r="AP26" s="107">
        <v>16.927080154418945</v>
      </c>
      <c r="AQ26" s="108">
        <v>28.59881019592285</v>
      </c>
      <c r="AR26" s="109">
        <v>-0.06510162353515625</v>
      </c>
    </row>
    <row r="27" spans="2:44" ht="13.5" customHeight="1" x14ac:dyDescent="0.25">
      <c r="B27" s="14">
        <v>0.54166666666666596</v>
      </c>
      <c r="C27" s="101">
        <v>-81.89380645751953</v>
      </c>
      <c r="D27" s="101">
        <v>-83.98438262939453</v>
      </c>
      <c r="E27" s="101">
        <v>44.596351623535156</v>
      </c>
      <c r="F27" s="101">
        <v>0.10351560264825821</v>
      </c>
      <c r="G27" s="101">
        <v>0.00010403442138340324</v>
      </c>
      <c r="H27" s="101"/>
      <c r="I27" s="101"/>
      <c r="J27" s="101"/>
      <c r="K27" s="101"/>
      <c r="L27" s="102"/>
      <c r="M27" s="117">
        <v>77.18460845947266</v>
      </c>
      <c r="N27" s="101">
        <v>46.686920166015625</v>
      </c>
      <c r="O27" s="101">
        <v>0</v>
      </c>
      <c r="P27" s="101">
        <v>50</v>
      </c>
      <c r="Q27" s="101">
        <v>2.971787929534912</v>
      </c>
      <c r="R27" s="101">
        <v>20.294410705566406</v>
      </c>
      <c r="S27" s="118">
        <v>95.46803283691406</v>
      </c>
      <c r="T27" s="118">
        <v>0</v>
      </c>
      <c r="U27" s="118">
        <v>0</v>
      </c>
      <c r="V27" s="118">
        <v>18.58724021911621</v>
      </c>
      <c r="W27" s="118">
        <v>55.87023162841797</v>
      </c>
      <c r="X27" s="118">
        <v>28</v>
      </c>
      <c r="Y27" s="118">
        <v>66.45580291748047</v>
      </c>
      <c r="Z27" s="118">
        <v>16.545499801635742</v>
      </c>
      <c r="AA27" s="118">
        <v>19.61263084411621</v>
      </c>
      <c r="AB27" s="118"/>
      <c r="AC27" s="105"/>
      <c r="AD27" s="105">
        <v>1.5480690002441406</v>
      </c>
      <c r="AE27" s="105">
        <v>0.0015468749916180968</v>
      </c>
      <c r="AF27" s="105"/>
      <c r="AG27" s="105">
        <v>43.58723831176758</v>
      </c>
      <c r="AH27" s="105"/>
      <c r="AI27" s="119"/>
      <c r="AJ27" s="119"/>
      <c r="AK27" s="119"/>
      <c r="AL27" s="119"/>
      <c r="AM27" s="119"/>
      <c r="AN27" s="105">
        <v>78.6892318725586</v>
      </c>
      <c r="AO27" s="106">
        <v>71.8569107055664</v>
      </c>
      <c r="AP27" s="107">
        <v>10.932069778442383</v>
      </c>
      <c r="AQ27" s="108">
        <v>27.246089935302734</v>
      </c>
      <c r="AR27" s="109">
        <v>-0.06510162353515625</v>
      </c>
    </row>
    <row r="28" spans="2:44" ht="13.5" customHeight="1" x14ac:dyDescent="0.25">
      <c r="B28" s="14">
        <v>0.58333333333333304</v>
      </c>
      <c r="C28" s="101">
        <v>-82.06742095947266</v>
      </c>
      <c r="D28" s="101">
        <v>-84.01331329345703</v>
      </c>
      <c r="E28" s="101">
        <v>44.90378952026367</v>
      </c>
      <c r="F28" s="101">
        <v>0.10923030227422714</v>
      </c>
      <c r="G28" s="101">
        <v>0.00010211944754701108</v>
      </c>
      <c r="H28" s="101"/>
      <c r="I28" s="101"/>
      <c r="J28" s="101"/>
      <c r="K28" s="101"/>
      <c r="L28" s="102"/>
      <c r="M28" s="117">
        <v>73.60749053955078</v>
      </c>
      <c r="N28" s="101">
        <v>47.08116149902344</v>
      </c>
      <c r="O28" s="101">
        <v>0</v>
      </c>
      <c r="P28" s="101">
        <v>50</v>
      </c>
      <c r="Q28" s="101">
        <v>2.9505209922790527</v>
      </c>
      <c r="R28" s="101">
        <v>21.502460479736328</v>
      </c>
      <c r="S28" s="118">
        <v>93.47872924804688</v>
      </c>
      <c r="T28" s="118">
        <v>50</v>
      </c>
      <c r="U28" s="118">
        <v>62.65480041503906</v>
      </c>
      <c r="V28" s="118">
        <v>14.415149688720703</v>
      </c>
      <c r="W28" s="118">
        <v>20.95269012451172</v>
      </c>
      <c r="X28" s="118">
        <v>0</v>
      </c>
      <c r="Y28" s="118">
        <v>0</v>
      </c>
      <c r="Z28" s="118">
        <v>16.78240966796875</v>
      </c>
      <c r="AA28" s="118">
        <v>46.587459564208984</v>
      </c>
      <c r="AB28" s="118"/>
      <c r="AC28" s="105"/>
      <c r="AD28" s="105">
        <v>0</v>
      </c>
      <c r="AE28" s="105">
        <v>0.00043072510743513703</v>
      </c>
      <c r="AF28" s="105"/>
      <c r="AG28" s="105">
        <v>5.179398059844971</v>
      </c>
      <c r="AH28" s="105"/>
      <c r="AI28" s="119"/>
      <c r="AJ28" s="119"/>
      <c r="AK28" s="119"/>
      <c r="AL28" s="119"/>
      <c r="AM28" s="119"/>
      <c r="AN28" s="105">
        <v>76.21527862548828</v>
      </c>
      <c r="AO28" s="106">
        <v>46.34693145751953</v>
      </c>
      <c r="AP28" s="107">
        <v>25.887950897216797</v>
      </c>
      <c r="AQ28" s="108">
        <v>15.078849792480469</v>
      </c>
      <c r="AR28" s="109">
        <v>-89.21440887451172</v>
      </c>
    </row>
    <row r="29" spans="2:44" ht="13.5" customHeight="1" x14ac:dyDescent="0.25">
      <c r="B29" s="14">
        <v>0.625</v>
      </c>
      <c r="C29" s="101">
        <v>-82.16869354248047</v>
      </c>
      <c r="D29" s="101">
        <v>-83.99884033203125</v>
      </c>
      <c r="E29" s="101">
        <v>44.75550079345703</v>
      </c>
      <c r="F29" s="101">
        <v>0.10271990299224854</v>
      </c>
      <c r="G29" s="101">
        <v>0.00010208129970123991</v>
      </c>
      <c r="H29" s="101"/>
      <c r="I29" s="101"/>
      <c r="J29" s="101"/>
      <c r="K29" s="101"/>
      <c r="L29" s="102"/>
      <c r="M29" s="117">
        <v>71.96903991699219</v>
      </c>
      <c r="N29" s="101">
        <v>47.22222137451172</v>
      </c>
      <c r="O29" s="101">
        <v>0</v>
      </c>
      <c r="P29" s="101">
        <v>50</v>
      </c>
      <c r="Q29" s="101">
        <v>2.914062976837158</v>
      </c>
      <c r="R29" s="101">
        <v>23.03240966796875</v>
      </c>
      <c r="S29" s="118">
        <v>90.73712158203125</v>
      </c>
      <c r="T29" s="118">
        <v>50</v>
      </c>
      <c r="U29" s="118">
        <v>64.05074310302734</v>
      </c>
      <c r="V29" s="118">
        <v>15.125869750976562</v>
      </c>
      <c r="W29" s="118">
        <v>22.401260375976562</v>
      </c>
      <c r="X29" s="118">
        <v>0</v>
      </c>
      <c r="Y29" s="118">
        <v>0</v>
      </c>
      <c r="Z29" s="118">
        <v>18.243629455566406</v>
      </c>
      <c r="AA29" s="118">
        <v>77.79947662353516</v>
      </c>
      <c r="AB29" s="118"/>
      <c r="AC29" s="105"/>
      <c r="AD29" s="105">
        <v>0</v>
      </c>
      <c r="AE29" s="105">
        <v>0.0006922607426531613</v>
      </c>
      <c r="AF29" s="105"/>
      <c r="AG29" s="105">
        <v>23.875139236450195</v>
      </c>
      <c r="AH29" s="105"/>
      <c r="AI29" s="119">
        <v>96</v>
      </c>
      <c r="AJ29" s="119">
        <v>88</v>
      </c>
      <c r="AK29" s="119">
        <v>78</v>
      </c>
      <c r="AL29" s="119">
        <v>55</v>
      </c>
      <c r="AM29" s="119">
        <v>45</v>
      </c>
      <c r="AN29" s="105">
        <v>71.78096008300781</v>
      </c>
      <c r="AO29" s="106">
        <v>53.80498123168945</v>
      </c>
      <c r="AP29" s="107">
        <v>26.222509384155273</v>
      </c>
      <c r="AQ29" s="108">
        <v>37.58679962158203</v>
      </c>
      <c r="AR29" s="109">
        <v>-89.04080200195312</v>
      </c>
    </row>
    <row r="30" spans="2:44" ht="13.5" customHeight="1" x14ac:dyDescent="0.25">
      <c r="B30" s="14">
        <v>0.66666666666666596</v>
      </c>
      <c r="C30" s="101">
        <v>-82.16146087646484</v>
      </c>
      <c r="D30" s="101">
        <v>-84.01331329345703</v>
      </c>
      <c r="E30" s="101">
        <v>44.636138916015625</v>
      </c>
      <c r="F30" s="101">
        <v>0.10546880215406418</v>
      </c>
      <c r="G30" s="101">
        <v>0.00010198211384704337</v>
      </c>
      <c r="H30" s="101"/>
      <c r="I30" s="101"/>
      <c r="J30" s="101"/>
      <c r="K30" s="101"/>
      <c r="L30" s="102"/>
      <c r="M30" s="117">
        <v>69.00679779052734</v>
      </c>
      <c r="N30" s="101">
        <v>46.943721771240234</v>
      </c>
      <c r="O30" s="101">
        <v>0</v>
      </c>
      <c r="P30" s="101">
        <v>50</v>
      </c>
      <c r="Q30" s="101">
        <v>2.8697919845581055</v>
      </c>
      <c r="R30" s="101">
        <v>23.93301010131836</v>
      </c>
      <c r="S30" s="118">
        <v>94.0248794555664</v>
      </c>
      <c r="T30" s="118">
        <v>50</v>
      </c>
      <c r="U30" s="118">
        <v>64.43757629394531</v>
      </c>
      <c r="V30" s="118">
        <v>17.626949310302734</v>
      </c>
      <c r="W30" s="118">
        <v>23.410369873046875</v>
      </c>
      <c r="X30" s="118">
        <v>0</v>
      </c>
      <c r="Y30" s="118">
        <v>0</v>
      </c>
      <c r="Z30" s="118">
        <v>29.99312973022461</v>
      </c>
      <c r="AA30" s="118">
        <v>81.13065338134766</v>
      </c>
      <c r="AB30" s="118"/>
      <c r="AC30" s="105"/>
      <c r="AD30" s="105">
        <v>1.5478520393371582</v>
      </c>
      <c r="AE30" s="105">
        <v>0.0008643188630230725</v>
      </c>
      <c r="AF30" s="105"/>
      <c r="AG30" s="105">
        <v>23.969179153442383</v>
      </c>
      <c r="AH30" s="105"/>
      <c r="AI30" s="119"/>
      <c r="AJ30" s="119"/>
      <c r="AK30" s="119"/>
      <c r="AL30" s="119"/>
      <c r="AM30" s="119"/>
      <c r="AN30" s="105">
        <v>74.56597137451172</v>
      </c>
      <c r="AO30" s="106">
        <v>82.86675262451172</v>
      </c>
      <c r="AP30" s="107">
        <v>29.522930145263672</v>
      </c>
      <c r="AQ30" s="108">
        <v>38.009979248046875</v>
      </c>
      <c r="AR30" s="109">
        <v>-88.07508850097656</v>
      </c>
    </row>
    <row r="31" spans="2:44" ht="13.5" customHeight="1" x14ac:dyDescent="0.25">
      <c r="B31" s="14">
        <v>0.70833333333333304</v>
      </c>
      <c r="C31" s="101">
        <v>-82.08911895751953</v>
      </c>
      <c r="D31" s="101">
        <v>-83.99884033203125</v>
      </c>
      <c r="E31" s="101">
        <v>45.214839935302734</v>
      </c>
      <c r="F31" s="101">
        <v>0.10742189735174179</v>
      </c>
      <c r="G31" s="101">
        <v>0.00010298919369233772</v>
      </c>
      <c r="H31" s="101">
        <v>3</v>
      </c>
      <c r="I31" s="101">
        <v>4</v>
      </c>
      <c r="J31" s="101">
        <v>5</v>
      </c>
      <c r="K31" s="101">
        <v>6</v>
      </c>
      <c r="L31" s="102">
        <v>7</v>
      </c>
      <c r="M31" s="117">
        <v>70.97077178955078</v>
      </c>
      <c r="N31" s="101">
        <v>47.092010498046875</v>
      </c>
      <c r="O31" s="101">
        <v>0</v>
      </c>
      <c r="P31" s="101">
        <v>50</v>
      </c>
      <c r="Q31" s="101">
        <v>2.8411459922790527</v>
      </c>
      <c r="R31" s="101">
        <v>22.89134979248047</v>
      </c>
      <c r="S31" s="118">
        <v>91.72453308105469</v>
      </c>
      <c r="T31" s="118">
        <v>0</v>
      </c>
      <c r="U31" s="118">
        <v>3.2740159034729004</v>
      </c>
      <c r="V31" s="118">
        <v>9.43467903137207</v>
      </c>
      <c r="W31" s="118">
        <v>141.29769897460938</v>
      </c>
      <c r="X31" s="118">
        <v>29.73641014099121</v>
      </c>
      <c r="Y31" s="118">
        <v>61.6905403137207</v>
      </c>
      <c r="Z31" s="118">
        <v>18.663190841674805</v>
      </c>
      <c r="AA31" s="118">
        <v>21.717670440673828</v>
      </c>
      <c r="AB31" s="118"/>
      <c r="AC31" s="105"/>
      <c r="AD31" s="105">
        <v>0</v>
      </c>
      <c r="AE31" s="105">
        <v>0.0010502319782972336</v>
      </c>
      <c r="AF31" s="105"/>
      <c r="AG31" s="105">
        <v>15.592450141906738</v>
      </c>
      <c r="AH31" s="105">
        <v>100</v>
      </c>
      <c r="AI31" s="119"/>
      <c r="AJ31" s="119"/>
      <c r="AK31" s="119"/>
      <c r="AL31" s="119"/>
      <c r="AM31" s="119"/>
      <c r="AN31" s="105">
        <v>77.99478912353516</v>
      </c>
      <c r="AO31" s="106">
        <v>94.51677703857422</v>
      </c>
      <c r="AP31" s="107">
        <v>27.289499282836914</v>
      </c>
      <c r="AQ31" s="108">
        <v>37.69169998168945</v>
      </c>
      <c r="AR31" s="109">
        <v>-88.98654174804688</v>
      </c>
    </row>
    <row r="32" spans="2:44" ht="13.5" customHeight="1" x14ac:dyDescent="0.25">
      <c r="B32" s="14">
        <v>0.75</v>
      </c>
      <c r="C32" s="101">
        <v>-81.97338104248047</v>
      </c>
      <c r="D32" s="101">
        <v>-84.01331329345703</v>
      </c>
      <c r="E32" s="101">
        <v>45.04484939575195</v>
      </c>
      <c r="F32" s="101">
        <v>0.10040509700775146</v>
      </c>
      <c r="G32" s="101">
        <v>0.00010442352504469454</v>
      </c>
      <c r="H32" s="101"/>
      <c r="I32" s="101"/>
      <c r="J32" s="101"/>
      <c r="K32" s="101"/>
      <c r="L32" s="102"/>
      <c r="M32" s="117">
        <v>70.80439758300781</v>
      </c>
      <c r="N32" s="101">
        <v>47.42477035522461</v>
      </c>
      <c r="O32" s="101">
        <v>0</v>
      </c>
      <c r="P32" s="101">
        <v>50</v>
      </c>
      <c r="Q32" s="101">
        <v>2.827691078186035</v>
      </c>
      <c r="R32" s="101">
        <v>21.838830947875977</v>
      </c>
      <c r="S32" s="118">
        <v>91.71006774902344</v>
      </c>
      <c r="T32" s="118">
        <v>0</v>
      </c>
      <c r="U32" s="118">
        <v>0</v>
      </c>
      <c r="V32" s="118">
        <v>10.574000358581543</v>
      </c>
      <c r="W32" s="118">
        <v>143.381103515625</v>
      </c>
      <c r="X32" s="118">
        <v>32</v>
      </c>
      <c r="Y32" s="118">
        <v>66.0577621459961</v>
      </c>
      <c r="Z32" s="118">
        <v>17.717369079589844</v>
      </c>
      <c r="AA32" s="118">
        <v>20.61631965637207</v>
      </c>
      <c r="AB32" s="118"/>
      <c r="AC32" s="105"/>
      <c r="AD32" s="105">
        <v>1.5479600429534912</v>
      </c>
      <c r="AE32" s="105">
        <v>0.0008717040764167905</v>
      </c>
      <c r="AF32" s="105"/>
      <c r="AG32" s="105">
        <v>50.81380081176758</v>
      </c>
      <c r="AH32" s="105"/>
      <c r="AI32" s="119"/>
      <c r="AJ32" s="119"/>
      <c r="AK32" s="119"/>
      <c r="AL32" s="119"/>
      <c r="AM32" s="119"/>
      <c r="AN32" s="105">
        <v>75.89698791503906</v>
      </c>
      <c r="AO32" s="106">
        <v>93.3087387084961</v>
      </c>
      <c r="AP32" s="107">
        <v>13.183589935302734</v>
      </c>
      <c r="AQ32" s="108">
        <v>27.105030059814453</v>
      </c>
      <c r="AR32" s="109">
        <v>-0.0325470007956028</v>
      </c>
    </row>
    <row r="33" spans="2:44" ht="13.5" customHeight="1" x14ac:dyDescent="0.25">
      <c r="B33" s="14">
        <v>0.79166666666666696</v>
      </c>
      <c r="C33" s="101">
        <v>-81.77806854248047</v>
      </c>
      <c r="D33" s="101">
        <v>-83.99884033203125</v>
      </c>
      <c r="E33" s="101">
        <v>45.08102035522461</v>
      </c>
      <c r="F33" s="101">
        <v>0.11046010255813599</v>
      </c>
      <c r="G33" s="101">
        <v>0.00010387420479673892</v>
      </c>
      <c r="H33" s="101"/>
      <c r="I33" s="101"/>
      <c r="J33" s="101"/>
      <c r="K33" s="101"/>
      <c r="L33" s="102"/>
      <c r="M33" s="117">
        <v>71.31437683105469</v>
      </c>
      <c r="N33" s="101">
        <v>47.42477035522461</v>
      </c>
      <c r="O33" s="101">
        <v>0</v>
      </c>
      <c r="P33" s="101">
        <v>50</v>
      </c>
      <c r="Q33" s="101">
        <v>2.8142359256744385</v>
      </c>
      <c r="R33" s="101">
        <v>20.753759384155273</v>
      </c>
      <c r="S33" s="118">
        <v>90.80584716796875</v>
      </c>
      <c r="T33" s="118">
        <v>0</v>
      </c>
      <c r="U33" s="118">
        <v>0</v>
      </c>
      <c r="V33" s="118">
        <v>9.760201454162598</v>
      </c>
      <c r="W33" s="118">
        <v>118.65779876708984</v>
      </c>
      <c r="X33" s="118">
        <v>32</v>
      </c>
      <c r="Y33" s="118">
        <v>66.29322052001953</v>
      </c>
      <c r="Z33" s="118">
        <v>16.927080154418945</v>
      </c>
      <c r="AA33" s="118">
        <v>19.791669845581055</v>
      </c>
      <c r="AB33" s="118"/>
      <c r="AC33" s="105"/>
      <c r="AD33" s="105">
        <v>0</v>
      </c>
      <c r="AE33" s="105">
        <v>0.0007239990518428385</v>
      </c>
      <c r="AF33" s="105"/>
      <c r="AG33" s="105">
        <v>20.623550415039062</v>
      </c>
      <c r="AH33" s="105"/>
      <c r="AI33" s="119"/>
      <c r="AJ33" s="119"/>
      <c r="AK33" s="119"/>
      <c r="AL33" s="119"/>
      <c r="AM33" s="119"/>
      <c r="AN33" s="105">
        <v>75.1446762084961</v>
      </c>
      <c r="AO33" s="106">
        <v>92.44790649414062</v>
      </c>
      <c r="AP33" s="107">
        <v>24.793840408325195</v>
      </c>
      <c r="AQ33" s="108">
        <v>27.571609497070312</v>
      </c>
      <c r="AR33" s="109">
        <v>-89.0625</v>
      </c>
    </row>
    <row r="34" spans="2:44" ht="13.5" customHeight="1" x14ac:dyDescent="0.25">
      <c r="B34" s="15">
        <v>0.83333333333333304</v>
      </c>
      <c r="C34" s="110">
        <v>-81.77806854248047</v>
      </c>
      <c r="D34" s="110">
        <v>-84.01331329345703</v>
      </c>
      <c r="E34" s="110">
        <v>44.91463851928711</v>
      </c>
      <c r="F34" s="110">
        <v>0.10402200371026993</v>
      </c>
      <c r="G34" s="110">
        <v>0.0001028060942189768</v>
      </c>
      <c r="H34" s="110"/>
      <c r="I34" s="110"/>
      <c r="J34" s="110"/>
      <c r="K34" s="110"/>
      <c r="L34" s="111"/>
      <c r="M34" s="120">
        <v>70.5837631225586</v>
      </c>
      <c r="N34" s="110">
        <v>48.7413215637207</v>
      </c>
      <c r="O34" s="110">
        <v>0</v>
      </c>
      <c r="P34" s="110">
        <v>50</v>
      </c>
      <c r="Q34" s="110">
        <v>2.8098959922790527</v>
      </c>
      <c r="R34" s="110">
        <v>19.82784080505371</v>
      </c>
      <c r="S34" s="121">
        <v>90.84201049804688</v>
      </c>
      <c r="T34" s="121">
        <v>0</v>
      </c>
      <c r="U34" s="121">
        <v>0</v>
      </c>
      <c r="V34" s="121">
        <v>10.574000358581543</v>
      </c>
      <c r="W34" s="121">
        <v>95.64344787597656</v>
      </c>
      <c r="X34" s="121">
        <v>30</v>
      </c>
      <c r="Y34" s="121">
        <v>62.099788665771484</v>
      </c>
      <c r="Z34" s="121">
        <v>16.08254051208496</v>
      </c>
      <c r="AA34" s="121">
        <v>18.67947006225586</v>
      </c>
      <c r="AB34" s="121"/>
      <c r="AC34" s="114"/>
      <c r="AD34" s="114">
        <v>0</v>
      </c>
      <c r="AE34" s="114">
        <v>0.000425048841862008</v>
      </c>
      <c r="AF34" s="114"/>
      <c r="AG34" s="114">
        <v>22.214990615844727</v>
      </c>
      <c r="AH34" s="114"/>
      <c r="AI34" s="122"/>
      <c r="AJ34" s="122"/>
      <c r="AK34" s="122"/>
      <c r="AL34" s="122"/>
      <c r="AM34" s="122"/>
      <c r="AN34" s="114">
        <v>77.43055725097656</v>
      </c>
      <c r="AO34" s="115">
        <v>75.57869720458984</v>
      </c>
      <c r="AP34" s="123">
        <v>24.495439529418945</v>
      </c>
      <c r="AQ34" s="124">
        <v>38.722511291503906</v>
      </c>
      <c r="AR34" s="125">
        <v>-89.99565887451172</v>
      </c>
    </row>
    <row r="35" spans="2:44" ht="15" customHeight="1" x14ac:dyDescent="0.25">
      <c r="B35" s="213" t="s">
        <v>181</v>
      </c>
      <c r="C35" s="159" t="s">
        <v>38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1" t="s">
        <v>216</v>
      </c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3"/>
      <c r="AK35" s="178" t="s">
        <v>48</v>
      </c>
      <c r="AL35" s="179"/>
      <c r="AM35" s="164" t="s">
        <v>223</v>
      </c>
      <c r="AN35" s="165"/>
      <c r="AO35" s="43"/>
      <c r="AP35" s="43"/>
      <c r="AQ35" s="43"/>
      <c r="AR35" s="44"/>
    </row>
    <row r="36" spans="2:44" ht="20.15" customHeight="1" x14ac:dyDescent="0.25">
      <c r="B36" s="201"/>
      <c r="C36" s="170" t="s">
        <v>32</v>
      </c>
      <c r="D36" s="176"/>
      <c r="E36" s="170" t="s">
        <v>33</v>
      </c>
      <c r="F36" s="175"/>
      <c r="G36" s="176"/>
      <c r="H36" s="166" t="s">
        <v>276</v>
      </c>
      <c r="I36" s="167"/>
      <c r="J36" s="4" t="s">
        <v>27</v>
      </c>
      <c r="K36" s="4" t="s">
        <v>30</v>
      </c>
      <c r="L36" s="4" t="s">
        <v>191</v>
      </c>
      <c r="M36" s="168" t="s">
        <v>192</v>
      </c>
      <c r="N36" s="169"/>
      <c r="O36" s="4" t="s">
        <v>26</v>
      </c>
      <c r="P36" s="4" t="s">
        <v>197</v>
      </c>
      <c r="Q36" s="170" t="s">
        <v>199</v>
      </c>
      <c r="R36" s="177"/>
      <c r="S36" s="170" t="s">
        <v>202</v>
      </c>
      <c r="T36" s="177"/>
      <c r="U36" s="170" t="s">
        <v>201</v>
      </c>
      <c r="V36" s="171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72" t="s">
        <v>46</v>
      </c>
      <c r="AI36" s="173"/>
      <c r="AJ36" s="174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201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201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450</v>
      </c>
      <c r="N38" s="1" t="s">
        <v>451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101">
        <v>0</v>
      </c>
      <c r="D39" s="101"/>
      <c r="E39" s="101">
        <v>33.94097137451172</v>
      </c>
      <c r="F39" s="101"/>
      <c r="G39" s="101"/>
      <c r="H39" s="101">
        <v>47.67975997924805</v>
      </c>
      <c r="I39" s="101"/>
      <c r="J39" s="101">
        <v>47.20956039428711</v>
      </c>
      <c r="K39" s="101">
        <v>0.4223814010620117</v>
      </c>
      <c r="L39" s="101">
        <v>256.519287109375</v>
      </c>
      <c r="M39" s="101">
        <v>49.072269439697266</v>
      </c>
      <c r="N39" s="101"/>
      <c r="O39" s="101">
        <v>0</v>
      </c>
      <c r="P39" s="101">
        <v>2.978105068206787</v>
      </c>
      <c r="Q39" s="101">
        <v>0</v>
      </c>
      <c r="R39" s="101"/>
      <c r="S39" s="101">
        <v>0</v>
      </c>
      <c r="T39" s="101"/>
      <c r="U39" s="118">
        <v>95.79354858398438</v>
      </c>
      <c r="V39" s="126"/>
      <c r="W39" s="127">
        <v>37.5</v>
      </c>
      <c r="X39" s="118">
        <v>62.4913215637207</v>
      </c>
      <c r="Y39" s="118">
        <v>19.14604949951172</v>
      </c>
      <c r="Z39" s="118">
        <v>84.66253662109375</v>
      </c>
      <c r="AA39" s="118">
        <v>36</v>
      </c>
      <c r="AB39" s="118">
        <v>60.07379150390625</v>
      </c>
      <c r="AC39" s="118">
        <v>15.453200340270996</v>
      </c>
      <c r="AD39" s="118">
        <v>17.740890502929688</v>
      </c>
      <c r="AE39" s="105"/>
      <c r="AF39" s="105">
        <v>0</v>
      </c>
      <c r="AG39" s="105"/>
      <c r="AH39" s="105">
        <v>69.52046966552734</v>
      </c>
      <c r="AI39" s="105">
        <v>35.275611877441406</v>
      </c>
      <c r="AJ39" s="105"/>
      <c r="AK39" s="105"/>
      <c r="AL39" s="106"/>
      <c r="AM39" s="128"/>
      <c r="AN39" s="119"/>
      <c r="AO39" s="105"/>
      <c r="AP39" s="105"/>
      <c r="AQ39" s="105"/>
      <c r="AR39" s="109"/>
    </row>
    <row r="40" spans="2:44" ht="13.5" customHeight="1" x14ac:dyDescent="0.25">
      <c r="B40" s="14">
        <v>0.375</v>
      </c>
      <c r="C40" s="101">
        <v>0</v>
      </c>
      <c r="D40" s="101">
        <v>0.00039660645416006446</v>
      </c>
      <c r="E40" s="101">
        <v>32.1686897277832</v>
      </c>
      <c r="F40" s="101"/>
      <c r="G40" s="101"/>
      <c r="H40" s="101">
        <v>49.14459991455078</v>
      </c>
      <c r="I40" s="101">
        <v>0</v>
      </c>
      <c r="J40" s="101">
        <v>45.54579162597656</v>
      </c>
      <c r="K40" s="101">
        <v>0.40661171078681946</v>
      </c>
      <c r="L40" s="101">
        <v>256.9263916015625</v>
      </c>
      <c r="M40" s="101">
        <v>49.9222412109375</v>
      </c>
      <c r="N40" s="101">
        <v>0</v>
      </c>
      <c r="O40" s="101">
        <v>0</v>
      </c>
      <c r="P40" s="101">
        <v>2.978105068206787</v>
      </c>
      <c r="Q40" s="101">
        <v>897.2802124023438</v>
      </c>
      <c r="R40" s="101">
        <v>0.5730332136154175</v>
      </c>
      <c r="S40" s="101">
        <v>897.2802124023438</v>
      </c>
      <c r="T40" s="101">
        <v>0</v>
      </c>
      <c r="U40" s="118">
        <v>94.92549133300781</v>
      </c>
      <c r="V40" s="126">
        <v>-0.004886430688202381</v>
      </c>
      <c r="W40" s="127">
        <v>37.5</v>
      </c>
      <c r="X40" s="118">
        <v>62.38282012939453</v>
      </c>
      <c r="Y40" s="118">
        <v>28.98763084411621</v>
      </c>
      <c r="Z40" s="118">
        <v>100.16819763183594</v>
      </c>
      <c r="AA40" s="118">
        <v>36</v>
      </c>
      <c r="AB40" s="118">
        <v>59.96961975097656</v>
      </c>
      <c r="AC40" s="118">
        <v>15.69552993774414</v>
      </c>
      <c r="AD40" s="118">
        <v>19.276260375976562</v>
      </c>
      <c r="AE40" s="105"/>
      <c r="AF40" s="105">
        <v>0</v>
      </c>
      <c r="AG40" s="105"/>
      <c r="AH40" s="105">
        <v>69.52046966552734</v>
      </c>
      <c r="AI40" s="105">
        <v>35.16347885131836</v>
      </c>
      <c r="AJ40" s="105">
        <v>0.007442131172865629</v>
      </c>
      <c r="AK40" s="105"/>
      <c r="AL40" s="106"/>
      <c r="AM40" s="128"/>
      <c r="AN40" s="119"/>
      <c r="AO40" s="105"/>
      <c r="AP40" s="105"/>
      <c r="AQ40" s="105"/>
      <c r="AR40" s="109"/>
    </row>
    <row r="41" spans="2:44" ht="13.5" customHeight="1" x14ac:dyDescent="0.25">
      <c r="B41" s="14">
        <v>0.41666666666666702</v>
      </c>
      <c r="C41" s="101">
        <v>0</v>
      </c>
      <c r="D41" s="101">
        <v>0.0004160919052083045</v>
      </c>
      <c r="E41" s="101">
        <v>30.577259063720703</v>
      </c>
      <c r="F41" s="101"/>
      <c r="G41" s="101"/>
      <c r="H41" s="101">
        <v>49.20790100097656</v>
      </c>
      <c r="I41" s="101">
        <v>0</v>
      </c>
      <c r="J41" s="101">
        <v>44.008609771728516</v>
      </c>
      <c r="K41" s="101">
        <v>0.4420391917228699</v>
      </c>
      <c r="L41" s="101">
        <v>257.35870361328125</v>
      </c>
      <c r="M41" s="101">
        <v>49.587669372558594</v>
      </c>
      <c r="N41" s="101">
        <v>-40.10205078125</v>
      </c>
      <c r="O41" s="101">
        <v>0</v>
      </c>
      <c r="P41" s="101">
        <v>2.978105068206787</v>
      </c>
      <c r="Q41" s="101">
        <v>897.251220703125</v>
      </c>
      <c r="R41" s="101">
        <v>0.6882099509239197</v>
      </c>
      <c r="S41" s="101">
        <v>897.251220703125</v>
      </c>
      <c r="T41" s="101">
        <v>0.10045818984508514</v>
      </c>
      <c r="U41" s="118">
        <v>97.30902862548828</v>
      </c>
      <c r="V41" s="126">
        <v>-0.0027271404396742582</v>
      </c>
      <c r="W41" s="127">
        <v>37.5</v>
      </c>
      <c r="X41" s="118">
        <v>0</v>
      </c>
      <c r="Y41" s="118">
        <v>26.502819061279297</v>
      </c>
      <c r="Z41" s="118">
        <v>86.58854675292969</v>
      </c>
      <c r="AA41" s="118">
        <v>36</v>
      </c>
      <c r="AB41" s="118">
        <v>59.83073043823242</v>
      </c>
      <c r="AC41" s="118">
        <v>15.545430183410645</v>
      </c>
      <c r="AD41" s="118">
        <v>19.102649688720703</v>
      </c>
      <c r="AE41" s="105"/>
      <c r="AF41" s="105">
        <v>0</v>
      </c>
      <c r="AG41" s="105"/>
      <c r="AH41" s="105">
        <v>69.52046966552734</v>
      </c>
      <c r="AI41" s="105">
        <v>35.09476089477539</v>
      </c>
      <c r="AJ41" s="105">
        <v>-0.0057581025175750256</v>
      </c>
      <c r="AK41" s="105"/>
      <c r="AL41" s="106"/>
      <c r="AM41" s="128"/>
      <c r="AN41" s="119"/>
      <c r="AO41" s="105"/>
      <c r="AP41" s="105"/>
      <c r="AQ41" s="105"/>
      <c r="AR41" s="109"/>
    </row>
    <row r="42" spans="2:44" ht="13.5" customHeight="1" x14ac:dyDescent="0.25">
      <c r="B42" s="14">
        <v>0.45833333333333298</v>
      </c>
      <c r="C42" s="101">
        <v>0</v>
      </c>
      <c r="D42" s="101">
        <v>0.00019891357806045562</v>
      </c>
      <c r="E42" s="101">
        <v>29.217300415039062</v>
      </c>
      <c r="F42" s="101"/>
      <c r="G42" s="101"/>
      <c r="H42" s="101">
        <v>49.551509857177734</v>
      </c>
      <c r="I42" s="101">
        <v>0</v>
      </c>
      <c r="J42" s="101">
        <v>50.87166976928711</v>
      </c>
      <c r="K42" s="101">
        <v>0.38934099674224854</v>
      </c>
      <c r="L42" s="101">
        <v>257.79168701171875</v>
      </c>
      <c r="M42" s="101">
        <v>50.24776077270508</v>
      </c>
      <c r="N42" s="101">
        <v>21.0550537109375</v>
      </c>
      <c r="O42" s="101">
        <v>0</v>
      </c>
      <c r="P42" s="101">
        <v>2.978105068206787</v>
      </c>
      <c r="Q42" s="101">
        <v>897.251220703125</v>
      </c>
      <c r="R42" s="101">
        <v>0.60955810546875</v>
      </c>
      <c r="S42" s="101">
        <v>897.251220703125</v>
      </c>
      <c r="T42" s="101">
        <v>0.01252600084990263</v>
      </c>
      <c r="U42" s="118">
        <v>97.88410949707031</v>
      </c>
      <c r="V42" s="126">
        <v>-0.0010850696125999093</v>
      </c>
      <c r="W42" s="127">
        <v>37.5</v>
      </c>
      <c r="X42" s="118">
        <v>0</v>
      </c>
      <c r="Y42" s="118">
        <v>24.582250595092773</v>
      </c>
      <c r="Z42" s="118">
        <v>88.12391662597656</v>
      </c>
      <c r="AA42" s="118">
        <v>25</v>
      </c>
      <c r="AB42" s="118">
        <v>41.39323043823242</v>
      </c>
      <c r="AC42" s="118">
        <v>15.630430221557617</v>
      </c>
      <c r="AD42" s="118">
        <v>19.618059158325195</v>
      </c>
      <c r="AE42" s="105"/>
      <c r="AF42" s="105">
        <v>0</v>
      </c>
      <c r="AG42" s="105"/>
      <c r="AH42" s="105">
        <v>69.52046966552734</v>
      </c>
      <c r="AI42" s="105">
        <v>50.82102966308594</v>
      </c>
      <c r="AJ42" s="105">
        <v>-0.003547447267919779</v>
      </c>
      <c r="AK42" s="105"/>
      <c r="AL42" s="106"/>
      <c r="AM42" s="128"/>
      <c r="AN42" s="119"/>
      <c r="AO42" s="105"/>
      <c r="AP42" s="105"/>
      <c r="AQ42" s="105"/>
      <c r="AR42" s="109"/>
    </row>
    <row r="43" spans="2:44" ht="13.5" customHeight="1" x14ac:dyDescent="0.25">
      <c r="B43" s="14">
        <v>0.5</v>
      </c>
      <c r="C43" s="101">
        <v>0</v>
      </c>
      <c r="D43" s="101">
        <v>7.888794243626762E-06</v>
      </c>
      <c r="E43" s="101">
        <v>28.009260177612305</v>
      </c>
      <c r="F43" s="101"/>
      <c r="G43" s="101"/>
      <c r="H43" s="101">
        <v>48.159000396728516</v>
      </c>
      <c r="I43" s="101">
        <v>-40</v>
      </c>
      <c r="J43" s="101">
        <v>34.179691314697266</v>
      </c>
      <c r="K43" s="101">
        <v>0.05991391837596893</v>
      </c>
      <c r="L43" s="101">
        <v>258.0213928222656</v>
      </c>
      <c r="M43" s="101">
        <v>47.7340087890625</v>
      </c>
      <c r="N43" s="101">
        <v>-92.197021484375</v>
      </c>
      <c r="O43" s="101">
        <v>2.15791392326355</v>
      </c>
      <c r="P43" s="101">
        <v>3.0596649646759033</v>
      </c>
      <c r="Q43" s="101">
        <v>34.89582824707031</v>
      </c>
      <c r="R43" s="101">
        <v>0.20244286954402924</v>
      </c>
      <c r="S43" s="101">
        <v>34.89582824707031</v>
      </c>
      <c r="T43" s="101">
        <v>0.13303203880786896</v>
      </c>
      <c r="U43" s="118">
        <v>32.136138916015625</v>
      </c>
      <c r="V43" s="126">
        <v>-1.0848999409063254E-05</v>
      </c>
      <c r="W43" s="127">
        <v>37.5</v>
      </c>
      <c r="X43" s="118">
        <v>0</v>
      </c>
      <c r="Y43" s="118">
        <v>39.78950119018555</v>
      </c>
      <c r="Z43" s="118">
        <v>107.1343002319336</v>
      </c>
      <c r="AA43" s="118">
        <v>0</v>
      </c>
      <c r="AB43" s="118">
        <v>0</v>
      </c>
      <c r="AC43" s="118">
        <v>15.469470024108887</v>
      </c>
      <c r="AD43" s="118">
        <v>19.14604949951172</v>
      </c>
      <c r="AE43" s="105"/>
      <c r="AF43" s="105">
        <v>45.51142883300781</v>
      </c>
      <c r="AG43" s="105"/>
      <c r="AH43" s="105">
        <v>70.06218719482422</v>
      </c>
      <c r="AI43" s="105">
        <v>69.21658325195312</v>
      </c>
      <c r="AJ43" s="105">
        <v>0.016594329848885536</v>
      </c>
      <c r="AK43" s="105"/>
      <c r="AL43" s="106"/>
      <c r="AM43" s="128"/>
      <c r="AN43" s="119"/>
      <c r="AO43" s="105"/>
      <c r="AP43" s="105"/>
      <c r="AQ43" s="105"/>
      <c r="AR43" s="109"/>
    </row>
    <row r="44" spans="2:44" ht="13.5" customHeight="1" x14ac:dyDescent="0.25">
      <c r="B44" s="14">
        <v>0.54166666666666596</v>
      </c>
      <c r="C44" s="101">
        <v>2.238787889480591</v>
      </c>
      <c r="D44" s="101">
        <v>0.0002019043022301048</v>
      </c>
      <c r="E44" s="101">
        <v>26.8156795501709</v>
      </c>
      <c r="F44" s="101"/>
      <c r="G44" s="101"/>
      <c r="H44" s="101">
        <v>43.78255081176758</v>
      </c>
      <c r="I44" s="101">
        <v>0</v>
      </c>
      <c r="J44" s="101">
        <v>30.544700622558594</v>
      </c>
      <c r="K44" s="101">
        <v>0.06410951912403107</v>
      </c>
      <c r="L44" s="101">
        <v>258.0788879394531</v>
      </c>
      <c r="M44" s="101">
        <v>33.49248123168945</v>
      </c>
      <c r="N44" s="101">
        <v>0</v>
      </c>
      <c r="O44" s="101">
        <v>0</v>
      </c>
      <c r="P44" s="101">
        <v>4.551218032836914</v>
      </c>
      <c r="Q44" s="101">
        <v>0</v>
      </c>
      <c r="R44" s="101">
        <v>0.04147607460618019</v>
      </c>
      <c r="S44" s="101">
        <v>0</v>
      </c>
      <c r="T44" s="101">
        <v>0</v>
      </c>
      <c r="U44" s="118">
        <v>94.11530303955078</v>
      </c>
      <c r="V44" s="126">
        <v>0.018420860171318054</v>
      </c>
      <c r="W44" s="127">
        <v>50</v>
      </c>
      <c r="X44" s="118">
        <v>82.33072662353516</v>
      </c>
      <c r="Y44" s="118">
        <v>18.58724021911621</v>
      </c>
      <c r="Z44" s="118">
        <v>55.87023162841797</v>
      </c>
      <c r="AA44" s="118">
        <v>50</v>
      </c>
      <c r="AB44" s="118">
        <v>85.3038330078125</v>
      </c>
      <c r="AC44" s="118">
        <v>16.545499801635742</v>
      </c>
      <c r="AD44" s="118">
        <v>19.61263084411621</v>
      </c>
      <c r="AE44" s="105"/>
      <c r="AF44" s="105">
        <v>1.4142069816589355</v>
      </c>
      <c r="AG44" s="105"/>
      <c r="AH44" s="105">
        <v>70.06218719482422</v>
      </c>
      <c r="AI44" s="105">
        <v>76.45037841796875</v>
      </c>
      <c r="AJ44" s="105">
        <v>-0.011559615842998028</v>
      </c>
      <c r="AK44" s="105"/>
      <c r="AL44" s="106"/>
      <c r="AM44" s="128"/>
      <c r="AN44" s="119"/>
      <c r="AO44" s="105"/>
      <c r="AP44" s="105"/>
      <c r="AQ44" s="105"/>
      <c r="AR44" s="109"/>
    </row>
    <row r="45" spans="2:44" ht="13.5" customHeight="1" x14ac:dyDescent="0.25">
      <c r="B45" s="14">
        <v>0.58333333333333304</v>
      </c>
      <c r="C45" s="101">
        <v>0</v>
      </c>
      <c r="D45" s="101">
        <v>0.000293899531243369</v>
      </c>
      <c r="E45" s="101">
        <v>20.182289123535156</v>
      </c>
      <c r="F45" s="101"/>
      <c r="G45" s="101"/>
      <c r="H45" s="101">
        <v>44.343170166015625</v>
      </c>
      <c r="I45" s="101">
        <v>40</v>
      </c>
      <c r="J45" s="101">
        <v>44.80432891845703</v>
      </c>
      <c r="K45" s="101">
        <v>0.39728009700775146</v>
      </c>
      <c r="L45" s="101">
        <v>258.2099914550781</v>
      </c>
      <c r="M45" s="101">
        <v>46.56755828857422</v>
      </c>
      <c r="N45" s="101">
        <v>0</v>
      </c>
      <c r="O45" s="101">
        <v>0</v>
      </c>
      <c r="P45" s="101">
        <v>4.551220893859863</v>
      </c>
      <c r="Q45" s="101">
        <v>0</v>
      </c>
      <c r="R45" s="101">
        <v>0.09755810350179672</v>
      </c>
      <c r="S45" s="101">
        <v>0</v>
      </c>
      <c r="T45" s="101">
        <v>0.006434082053601742</v>
      </c>
      <c r="U45" s="118">
        <v>93.85851287841797</v>
      </c>
      <c r="V45" s="126">
        <v>-0.008221210911870003</v>
      </c>
      <c r="W45" s="127">
        <v>30</v>
      </c>
      <c r="X45" s="118">
        <v>32.29167175292969</v>
      </c>
      <c r="Y45" s="118">
        <v>14.415149688720703</v>
      </c>
      <c r="Z45" s="118">
        <v>20.95269012451172</v>
      </c>
      <c r="AA45" s="118">
        <v>50</v>
      </c>
      <c r="AB45" s="118">
        <v>84.73090362548828</v>
      </c>
      <c r="AC45" s="118">
        <v>16.78240966796875</v>
      </c>
      <c r="AD45" s="118">
        <v>46.587459564208984</v>
      </c>
      <c r="AE45" s="105"/>
      <c r="AF45" s="105">
        <v>0</v>
      </c>
      <c r="AG45" s="105"/>
      <c r="AH45" s="105">
        <v>70.06218719482422</v>
      </c>
      <c r="AI45" s="105">
        <v>76.36357116699219</v>
      </c>
      <c r="AJ45" s="105">
        <v>-0.0012991867261007428</v>
      </c>
      <c r="AK45" s="105"/>
      <c r="AL45" s="106"/>
      <c r="AM45" s="128"/>
      <c r="AN45" s="119"/>
      <c r="AO45" s="105"/>
      <c r="AP45" s="105"/>
      <c r="AQ45" s="105"/>
      <c r="AR45" s="109"/>
    </row>
    <row r="46" spans="2:44" ht="13.5" customHeight="1" x14ac:dyDescent="0.25">
      <c r="B46" s="14">
        <v>0.625</v>
      </c>
      <c r="C46" s="101">
        <v>0</v>
      </c>
      <c r="D46" s="101">
        <v>0.00022610473388340324</v>
      </c>
      <c r="E46" s="101">
        <v>18.713830947875977</v>
      </c>
      <c r="F46" s="101"/>
      <c r="G46" s="101"/>
      <c r="H46" s="101">
        <v>46.81169891357422</v>
      </c>
      <c r="I46" s="101">
        <v>0</v>
      </c>
      <c r="J46" s="101">
        <v>46.39575958251953</v>
      </c>
      <c r="K46" s="101">
        <v>0.3978950083255768</v>
      </c>
      <c r="L46" s="101">
        <v>258.5671081542969</v>
      </c>
      <c r="M46" s="101">
        <v>47.89677047729492</v>
      </c>
      <c r="N46" s="101">
        <v>0</v>
      </c>
      <c r="O46" s="101">
        <v>0</v>
      </c>
      <c r="P46" s="101">
        <v>4.551220893859863</v>
      </c>
      <c r="Q46" s="101">
        <v>897.2222900390625</v>
      </c>
      <c r="R46" s="101">
        <v>0.29564160108566284</v>
      </c>
      <c r="S46" s="101">
        <v>897.2222900390625</v>
      </c>
      <c r="T46" s="101">
        <v>0.1366616189479828</v>
      </c>
      <c r="U46" s="118">
        <v>84.38223266601562</v>
      </c>
      <c r="V46" s="126">
        <v>-0.005920860450714827</v>
      </c>
      <c r="W46" s="127">
        <v>30</v>
      </c>
      <c r="X46" s="118">
        <v>0</v>
      </c>
      <c r="Y46" s="118">
        <v>15.125869750976562</v>
      </c>
      <c r="Z46" s="118">
        <v>22.401260375976562</v>
      </c>
      <c r="AA46" s="118">
        <v>35</v>
      </c>
      <c r="AB46" s="118">
        <v>0</v>
      </c>
      <c r="AC46" s="118">
        <v>18.243629455566406</v>
      </c>
      <c r="AD46" s="118">
        <v>77.79947662353516</v>
      </c>
      <c r="AE46" s="105"/>
      <c r="AF46" s="105">
        <v>0</v>
      </c>
      <c r="AG46" s="105"/>
      <c r="AH46" s="105">
        <v>70.06218719482422</v>
      </c>
      <c r="AI46" s="105">
        <v>76.32377624511719</v>
      </c>
      <c r="AJ46" s="105">
        <v>-0.0013078689808025956</v>
      </c>
      <c r="AK46" s="105"/>
      <c r="AL46" s="106"/>
      <c r="AM46" s="128">
        <v>22</v>
      </c>
      <c r="AN46" s="119">
        <v>5</v>
      </c>
      <c r="AO46" s="105"/>
      <c r="AP46" s="105"/>
      <c r="AQ46" s="105"/>
      <c r="AR46" s="109"/>
    </row>
    <row r="47" spans="2:44" ht="13.5" customHeight="1" x14ac:dyDescent="0.25">
      <c r="B47" s="14">
        <v>0.66666666666666596</v>
      </c>
      <c r="C47" s="101">
        <v>0</v>
      </c>
      <c r="D47" s="101">
        <v>0.00029460142832249403</v>
      </c>
      <c r="E47" s="101">
        <v>17.607059478759766</v>
      </c>
      <c r="F47" s="101"/>
      <c r="G47" s="101"/>
      <c r="H47" s="101">
        <v>49.46107864379883</v>
      </c>
      <c r="I47" s="101">
        <v>0</v>
      </c>
      <c r="J47" s="101">
        <v>51.34186935424805</v>
      </c>
      <c r="K47" s="101">
        <v>0.363172709941864</v>
      </c>
      <c r="L47" s="101">
        <v>258.9627990722656</v>
      </c>
      <c r="M47" s="101">
        <v>50.4286003112793</v>
      </c>
      <c r="N47" s="101">
        <v>0</v>
      </c>
      <c r="O47" s="101">
        <v>0</v>
      </c>
      <c r="P47" s="101">
        <v>4.551220893859863</v>
      </c>
      <c r="Q47" s="101">
        <v>897.1932983398438</v>
      </c>
      <c r="R47" s="101">
        <v>0.5033618211746216</v>
      </c>
      <c r="S47" s="101">
        <v>897.1932983398438</v>
      </c>
      <c r="T47" s="101">
        <v>0.09903661906719208</v>
      </c>
      <c r="U47" s="118">
        <v>93.69213104248047</v>
      </c>
      <c r="V47" s="126">
        <v>-0.0019458903698250651</v>
      </c>
      <c r="W47" s="127">
        <v>0</v>
      </c>
      <c r="X47" s="118">
        <v>0</v>
      </c>
      <c r="Y47" s="118">
        <v>17.626949310302734</v>
      </c>
      <c r="Z47" s="118">
        <v>23.410369873046875</v>
      </c>
      <c r="AA47" s="118">
        <v>40</v>
      </c>
      <c r="AB47" s="118">
        <v>68.0859375</v>
      </c>
      <c r="AC47" s="118">
        <v>29.99312973022461</v>
      </c>
      <c r="AD47" s="118">
        <v>81.13065338134766</v>
      </c>
      <c r="AE47" s="105"/>
      <c r="AF47" s="105">
        <v>0</v>
      </c>
      <c r="AG47" s="105"/>
      <c r="AH47" s="105">
        <v>70.06218719482422</v>
      </c>
      <c r="AI47" s="105">
        <v>76.30931854248047</v>
      </c>
      <c r="AJ47" s="105">
        <v>0.01416667178273201</v>
      </c>
      <c r="AK47" s="105"/>
      <c r="AL47" s="106"/>
      <c r="AM47" s="128"/>
      <c r="AN47" s="119"/>
      <c r="AO47" s="105"/>
      <c r="AP47" s="105"/>
      <c r="AQ47" s="105"/>
      <c r="AR47" s="109"/>
    </row>
    <row r="48" spans="2:44" ht="13.5" customHeight="1" x14ac:dyDescent="0.25">
      <c r="B48" s="14">
        <v>0.70833333333333304</v>
      </c>
      <c r="C48" s="101">
        <v>0</v>
      </c>
      <c r="D48" s="101">
        <v>9.078979201149195E-05</v>
      </c>
      <c r="E48" s="101">
        <v>19.05381965637207</v>
      </c>
      <c r="F48" s="101"/>
      <c r="G48" s="101"/>
      <c r="H48" s="101">
        <v>48.556861877441406</v>
      </c>
      <c r="I48" s="101">
        <v>0</v>
      </c>
      <c r="J48" s="101">
        <v>52.643951416015625</v>
      </c>
      <c r="K48" s="101">
        <v>0.37362560629844666</v>
      </c>
      <c r="L48" s="101">
        <v>259.2829895019531</v>
      </c>
      <c r="M48" s="101">
        <v>49.04513931274414</v>
      </c>
      <c r="N48" s="101">
        <v>0</v>
      </c>
      <c r="O48" s="101">
        <v>0</v>
      </c>
      <c r="P48" s="101">
        <v>4.551220893859863</v>
      </c>
      <c r="Q48" s="101">
        <v>897.1932983398438</v>
      </c>
      <c r="R48" s="101">
        <v>0.5863291025161743</v>
      </c>
      <c r="S48" s="101">
        <v>897.1932983398438</v>
      </c>
      <c r="T48" s="101">
        <v>0</v>
      </c>
      <c r="U48" s="118">
        <v>81.08722686767578</v>
      </c>
      <c r="V48" s="126">
        <v>-0.00092230987502262</v>
      </c>
      <c r="W48" s="127">
        <v>0</v>
      </c>
      <c r="X48" s="118">
        <v>0</v>
      </c>
      <c r="Y48" s="118">
        <v>9.43467903137207</v>
      </c>
      <c r="Z48" s="118">
        <v>141.29769897460938</v>
      </c>
      <c r="AA48" s="118">
        <v>0</v>
      </c>
      <c r="AB48" s="118">
        <v>0</v>
      </c>
      <c r="AC48" s="118">
        <v>18.663190841674805</v>
      </c>
      <c r="AD48" s="118">
        <v>21.717670440673828</v>
      </c>
      <c r="AE48" s="105"/>
      <c r="AF48" s="105">
        <v>0</v>
      </c>
      <c r="AG48" s="105">
        <v>200</v>
      </c>
      <c r="AH48" s="105">
        <v>70.06218719482422</v>
      </c>
      <c r="AI48" s="105">
        <v>84.05670928955078</v>
      </c>
      <c r="AJ48" s="105">
        <v>5.7830811783787794E-06</v>
      </c>
      <c r="AK48" s="105"/>
      <c r="AL48" s="106"/>
      <c r="AM48" s="128"/>
      <c r="AN48" s="119"/>
      <c r="AO48" s="105"/>
      <c r="AP48" s="105"/>
      <c r="AQ48" s="105"/>
      <c r="AR48" s="109"/>
    </row>
    <row r="49" spans="2:44" ht="13.5" customHeight="1" x14ac:dyDescent="0.25">
      <c r="B49" s="14">
        <v>0.75</v>
      </c>
      <c r="C49" s="101">
        <v>0</v>
      </c>
      <c r="D49" s="101">
        <v>6.500244126073085E-06</v>
      </c>
      <c r="E49" s="101">
        <v>22.01968002319336</v>
      </c>
      <c r="F49" s="101"/>
      <c r="G49" s="101"/>
      <c r="H49" s="101">
        <v>48.90045928955078</v>
      </c>
      <c r="I49" s="101">
        <v>-40</v>
      </c>
      <c r="J49" s="101">
        <v>34.884979248046875</v>
      </c>
      <c r="K49" s="101">
        <v>0.06134258955717087</v>
      </c>
      <c r="L49" s="101">
        <v>259.47650146484375</v>
      </c>
      <c r="M49" s="101">
        <v>38.15827941894531</v>
      </c>
      <c r="N49" s="101">
        <v>0</v>
      </c>
      <c r="O49" s="101">
        <v>2.1574079990386963</v>
      </c>
      <c r="P49" s="101">
        <v>5.589436054229736</v>
      </c>
      <c r="Q49" s="101">
        <v>242.8820037841797</v>
      </c>
      <c r="R49" s="101">
        <v>0.17863379418849945</v>
      </c>
      <c r="S49" s="101">
        <v>242.8820037841797</v>
      </c>
      <c r="T49" s="101">
        <v>0.06761303544044495</v>
      </c>
      <c r="U49" s="118">
        <v>80.7110824584961</v>
      </c>
      <c r="V49" s="126">
        <v>0.011621091514825821</v>
      </c>
      <c r="W49" s="127">
        <v>0</v>
      </c>
      <c r="X49" s="118">
        <v>0</v>
      </c>
      <c r="Y49" s="118">
        <v>10.574000358581543</v>
      </c>
      <c r="Z49" s="118">
        <v>143.381103515625</v>
      </c>
      <c r="AA49" s="118">
        <v>0</v>
      </c>
      <c r="AB49" s="118">
        <v>0</v>
      </c>
      <c r="AC49" s="118">
        <v>17.717369079589844</v>
      </c>
      <c r="AD49" s="118">
        <v>20.61631965637207</v>
      </c>
      <c r="AE49" s="105"/>
      <c r="AF49" s="105">
        <v>50.419559478759766</v>
      </c>
      <c r="AG49" s="105"/>
      <c r="AH49" s="105">
        <v>70.06218719482422</v>
      </c>
      <c r="AI49" s="105">
        <v>85.74579620361328</v>
      </c>
      <c r="AJ49" s="105">
        <v>-0.012693863362073898</v>
      </c>
      <c r="AK49" s="105"/>
      <c r="AL49" s="106"/>
      <c r="AM49" s="128"/>
      <c r="AN49" s="119"/>
      <c r="AO49" s="105"/>
      <c r="AP49" s="105"/>
      <c r="AQ49" s="105"/>
      <c r="AR49" s="109"/>
    </row>
    <row r="50" spans="2:44" ht="13.5" customHeight="1" x14ac:dyDescent="0.25">
      <c r="B50" s="14">
        <v>0.79166666666666696</v>
      </c>
      <c r="C50" s="101">
        <v>0.15769679844379425</v>
      </c>
      <c r="D50" s="101">
        <v>0.0003991088888142258</v>
      </c>
      <c r="E50" s="101">
        <v>20.93461036682129</v>
      </c>
      <c r="F50" s="101"/>
      <c r="G50" s="101"/>
      <c r="H50" s="101">
        <v>37.21788024902344</v>
      </c>
      <c r="I50" s="101">
        <v>40</v>
      </c>
      <c r="J50" s="101">
        <v>34.875938415527344</v>
      </c>
      <c r="K50" s="101">
        <v>0.2975260019302368</v>
      </c>
      <c r="L50" s="101">
        <v>259.5508117675781</v>
      </c>
      <c r="M50" s="101">
        <v>35.58123016357422</v>
      </c>
      <c r="N50" s="101">
        <v>0</v>
      </c>
      <c r="O50" s="101">
        <v>0</v>
      </c>
      <c r="P50" s="101">
        <v>6.101908206939697</v>
      </c>
      <c r="Q50" s="101">
        <v>0</v>
      </c>
      <c r="R50" s="101">
        <v>0.0443417951464653</v>
      </c>
      <c r="S50" s="101">
        <v>0</v>
      </c>
      <c r="T50" s="101">
        <v>0</v>
      </c>
      <c r="U50" s="118">
        <v>92.09346008300781</v>
      </c>
      <c r="V50" s="126">
        <v>0.0014214401599019766</v>
      </c>
      <c r="W50" s="127">
        <v>30</v>
      </c>
      <c r="X50" s="118">
        <v>30.802949905395508</v>
      </c>
      <c r="Y50" s="118">
        <v>9.760201454162598</v>
      </c>
      <c r="Z50" s="118">
        <v>118.65779876708984</v>
      </c>
      <c r="AA50" s="118">
        <v>50</v>
      </c>
      <c r="AB50" s="118">
        <v>84.37500762939453</v>
      </c>
      <c r="AC50" s="118">
        <v>16.927080154418945</v>
      </c>
      <c r="AD50" s="118">
        <v>19.791669845581055</v>
      </c>
      <c r="AE50" s="105"/>
      <c r="AF50" s="105">
        <v>0</v>
      </c>
      <c r="AG50" s="105"/>
      <c r="AH50" s="105">
        <v>70.06218719482422</v>
      </c>
      <c r="AI50" s="105">
        <v>63.89250946044922</v>
      </c>
      <c r="AJ50" s="105">
        <v>0.012696754187345505</v>
      </c>
      <c r="AK50" s="105"/>
      <c r="AL50" s="106"/>
      <c r="AM50" s="128"/>
      <c r="AN50" s="119"/>
      <c r="AO50" s="105"/>
      <c r="AP50" s="105"/>
      <c r="AQ50" s="105"/>
      <c r="AR50" s="109"/>
    </row>
    <row r="51" spans="2:44" ht="13.5" customHeight="1" x14ac:dyDescent="0.25">
      <c r="B51" s="14">
        <v>0.83333333333333304</v>
      </c>
      <c r="C51" s="110">
        <v>0</v>
      </c>
      <c r="D51" s="110">
        <v>0.00018820189870893955</v>
      </c>
      <c r="E51" s="110">
        <v>18.967010498046875</v>
      </c>
      <c r="F51" s="110"/>
      <c r="G51" s="110"/>
      <c r="H51" s="110">
        <v>46.377681732177734</v>
      </c>
      <c r="I51" s="110">
        <v>0</v>
      </c>
      <c r="J51" s="110">
        <v>44.99420928955078</v>
      </c>
      <c r="K51" s="110">
        <v>0.18377460539340973</v>
      </c>
      <c r="L51" s="110">
        <v>259.86358642578125</v>
      </c>
      <c r="M51" s="110">
        <v>47.02872085571289</v>
      </c>
      <c r="N51" s="110">
        <v>67.93896484375</v>
      </c>
      <c r="O51" s="110">
        <v>0</v>
      </c>
      <c r="P51" s="110">
        <v>6.102024078369141</v>
      </c>
      <c r="Q51" s="110">
        <v>0</v>
      </c>
      <c r="R51" s="110">
        <v>0.26207324862480164</v>
      </c>
      <c r="S51" s="110">
        <v>0</v>
      </c>
      <c r="T51" s="110">
        <v>0.07825305312871933</v>
      </c>
      <c r="U51" s="121">
        <v>92.58174133300781</v>
      </c>
      <c r="V51" s="129">
        <v>-0.008203120902180672</v>
      </c>
      <c r="W51" s="130">
        <v>30</v>
      </c>
      <c r="X51" s="121">
        <v>32.44792175292969</v>
      </c>
      <c r="Y51" s="121">
        <v>10.574000358581543</v>
      </c>
      <c r="Z51" s="121">
        <v>95.64344787597656</v>
      </c>
      <c r="AA51" s="121">
        <v>35</v>
      </c>
      <c r="AB51" s="121">
        <v>56.605899810791016</v>
      </c>
      <c r="AC51" s="121">
        <v>16.08254051208496</v>
      </c>
      <c r="AD51" s="121">
        <v>18.67947006225586</v>
      </c>
      <c r="AE51" s="114"/>
      <c r="AF51" s="114">
        <v>0</v>
      </c>
      <c r="AG51" s="114"/>
      <c r="AH51" s="114">
        <v>70.06218719482422</v>
      </c>
      <c r="AI51" s="114">
        <v>63.83102035522461</v>
      </c>
      <c r="AJ51" s="114">
        <v>-0.0038541718386113644</v>
      </c>
      <c r="AK51" s="114"/>
      <c r="AL51" s="115"/>
      <c r="AM51" s="131"/>
      <c r="AN51" s="122"/>
      <c r="AO51" s="114"/>
      <c r="AP51" s="114"/>
      <c r="AQ51" s="114"/>
      <c r="AR51" s="125"/>
    </row>
    <row r="52" spans="2:44" ht="13.5" customHeight="1" x14ac:dyDescent="0.25">
      <c r="B52" s="221" t="s">
        <v>459</v>
      </c>
      <c r="C52" s="222"/>
      <c r="D52" s="9" t="s">
        <v>19</v>
      </c>
      <c r="E52" s="202" t="s">
        <v>20</v>
      </c>
      <c r="F52" s="205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7"/>
      <c r="AP52" s="207"/>
      <c r="AQ52" s="207"/>
      <c r="AR52" s="208"/>
    </row>
    <row r="53" spans="2:44" ht="13.5" customHeight="1" x14ac:dyDescent="0.25">
      <c r="B53" s="201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172"/>
      <c r="AP53" s="172"/>
      <c r="AQ53" s="172"/>
      <c r="AR53" s="209"/>
    </row>
    <row r="54" spans="2:44" ht="13.5" customHeight="1" thickBot="1" x14ac:dyDescent="0.3">
      <c r="B54" s="212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10"/>
      <c r="AP54" s="210"/>
      <c r="AQ54" s="210"/>
      <c r="AR54" s="21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AC3:AD3"/>
    <mergeCell ref="AE4:AF4"/>
    <mergeCell ref="AE3:AK3"/>
    <mergeCell ref="O4:P4"/>
    <mergeCell ref="AI20:AJ20"/>
    <mergeCell ref="AK20:AL20"/>
    <mergeCell ref="AI19:AM19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0" t="s">
        <v>230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</row>
    <row r="2" spans="2:58" ht="13" customHeight="1" x14ac:dyDescent="0.25">
      <c r="B2" s="261" t="s">
        <v>232</v>
      </c>
      <c r="C2" s="194"/>
      <c r="D2" s="194"/>
      <c r="E2" s="194"/>
      <c r="F2" s="194"/>
      <c r="G2" s="194"/>
      <c r="H2" s="194"/>
      <c r="I2" s="194"/>
      <c r="J2" s="194"/>
      <c r="K2" s="194"/>
      <c r="L2" s="199"/>
      <c r="M2" s="262" t="s">
        <v>231</v>
      </c>
      <c r="N2" s="194"/>
      <c r="O2" s="194"/>
      <c r="P2" s="194"/>
      <c r="Q2" s="194"/>
      <c r="R2" s="194"/>
      <c r="S2" s="194"/>
      <c r="T2" s="194"/>
      <c r="U2" s="194"/>
      <c r="V2" s="194"/>
      <c r="W2" s="199"/>
      <c r="X2" s="182" t="s">
        <v>233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9"/>
      <c r="AI2" s="262" t="s">
        <v>234</v>
      </c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9"/>
      <c r="AU2" s="182" t="s">
        <v>235</v>
      </c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263"/>
    </row>
    <row r="3" spans="2:58" ht="13" customHeight="1" x14ac:dyDescent="0.25">
      <c r="B3" s="229"/>
      <c r="C3" s="230"/>
      <c r="D3" s="230"/>
      <c r="E3" s="230"/>
      <c r="F3" s="230"/>
      <c r="G3" s="230"/>
      <c r="H3" s="230"/>
      <c r="I3" s="230"/>
      <c r="J3" s="230"/>
      <c r="K3" s="230"/>
      <c r="L3" s="231"/>
      <c r="M3" s="237"/>
      <c r="N3" s="230"/>
      <c r="O3" s="230"/>
      <c r="P3" s="230"/>
      <c r="Q3" s="230"/>
      <c r="R3" s="230"/>
      <c r="S3" s="230"/>
      <c r="T3" s="230"/>
      <c r="U3" s="230"/>
      <c r="V3" s="230"/>
      <c r="W3" s="231"/>
      <c r="X3" s="241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42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1"/>
      <c r="AU3" s="241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43"/>
    </row>
    <row r="4" spans="2:58" ht="13" customHeight="1" x14ac:dyDescent="0.25">
      <c r="B4" s="232"/>
      <c r="C4" s="233"/>
      <c r="D4" s="233"/>
      <c r="E4" s="233"/>
      <c r="F4" s="233"/>
      <c r="G4" s="233"/>
      <c r="H4" s="233"/>
      <c r="I4" s="233"/>
      <c r="J4" s="233"/>
      <c r="K4" s="233"/>
      <c r="L4" s="234"/>
      <c r="M4" s="238"/>
      <c r="N4" s="233"/>
      <c r="O4" s="233"/>
      <c r="P4" s="233"/>
      <c r="Q4" s="233"/>
      <c r="R4" s="233"/>
      <c r="S4" s="233"/>
      <c r="T4" s="233"/>
      <c r="U4" s="233"/>
      <c r="V4" s="233"/>
      <c r="W4" s="234"/>
      <c r="X4" s="238"/>
      <c r="Y4" s="233"/>
      <c r="Z4" s="233"/>
      <c r="AA4" s="233"/>
      <c r="AB4" s="233"/>
      <c r="AC4" s="233"/>
      <c r="AD4" s="233"/>
      <c r="AE4" s="233"/>
      <c r="AF4" s="233"/>
      <c r="AG4" s="233"/>
      <c r="AH4" s="234"/>
      <c r="AI4" s="238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4"/>
      <c r="AU4" s="238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44"/>
    </row>
    <row r="5" spans="2:58" ht="13" customHeight="1" x14ac:dyDescent="0.25">
      <c r="B5" s="232"/>
      <c r="C5" s="233"/>
      <c r="D5" s="233"/>
      <c r="E5" s="233"/>
      <c r="F5" s="233"/>
      <c r="G5" s="233"/>
      <c r="H5" s="233"/>
      <c r="I5" s="233"/>
      <c r="J5" s="233"/>
      <c r="K5" s="233"/>
      <c r="L5" s="234"/>
      <c r="M5" s="238"/>
      <c r="N5" s="233"/>
      <c r="O5" s="233"/>
      <c r="P5" s="233"/>
      <c r="Q5" s="233"/>
      <c r="R5" s="233"/>
      <c r="S5" s="233"/>
      <c r="T5" s="233"/>
      <c r="U5" s="233"/>
      <c r="V5" s="233"/>
      <c r="W5" s="234"/>
      <c r="X5" s="238"/>
      <c r="Y5" s="233"/>
      <c r="Z5" s="233"/>
      <c r="AA5" s="233"/>
      <c r="AB5" s="233"/>
      <c r="AC5" s="233"/>
      <c r="AD5" s="233"/>
      <c r="AE5" s="233"/>
      <c r="AF5" s="233"/>
      <c r="AG5" s="233"/>
      <c r="AH5" s="234"/>
      <c r="AI5" s="238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4"/>
      <c r="AU5" s="238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44"/>
    </row>
    <row r="6" spans="2:58" ht="13" customHeight="1" x14ac:dyDescent="0.25">
      <c r="B6" s="232"/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8"/>
      <c r="N6" s="233"/>
      <c r="O6" s="233"/>
      <c r="P6" s="233"/>
      <c r="Q6" s="233"/>
      <c r="R6" s="233"/>
      <c r="S6" s="233"/>
      <c r="T6" s="233"/>
      <c r="U6" s="233"/>
      <c r="V6" s="233"/>
      <c r="W6" s="234"/>
      <c r="X6" s="238"/>
      <c r="Y6" s="233"/>
      <c r="Z6" s="233"/>
      <c r="AA6" s="233"/>
      <c r="AB6" s="233"/>
      <c r="AC6" s="233"/>
      <c r="AD6" s="233"/>
      <c r="AE6" s="233"/>
      <c r="AF6" s="233"/>
      <c r="AG6" s="233"/>
      <c r="AH6" s="234"/>
      <c r="AI6" s="238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4"/>
      <c r="AU6" s="238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44"/>
    </row>
    <row r="7" spans="2:58" ht="13" customHeight="1" x14ac:dyDescent="0.25">
      <c r="B7" s="232"/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238"/>
      <c r="N7" s="233"/>
      <c r="O7" s="233"/>
      <c r="P7" s="233"/>
      <c r="Q7" s="233"/>
      <c r="R7" s="233"/>
      <c r="S7" s="233"/>
      <c r="T7" s="233"/>
      <c r="U7" s="233"/>
      <c r="V7" s="233"/>
      <c r="W7" s="234"/>
      <c r="X7" s="238"/>
      <c r="Y7" s="233"/>
      <c r="Z7" s="233"/>
      <c r="AA7" s="233"/>
      <c r="AB7" s="233"/>
      <c r="AC7" s="233"/>
      <c r="AD7" s="233"/>
      <c r="AE7" s="233"/>
      <c r="AF7" s="233"/>
      <c r="AG7" s="233"/>
      <c r="AH7" s="234"/>
      <c r="AI7" s="238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4"/>
      <c r="AU7" s="238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44"/>
    </row>
    <row r="8" spans="2:58" ht="13" customHeight="1" x14ac:dyDescent="0.25">
      <c r="B8" s="232"/>
      <c r="C8" s="233"/>
      <c r="D8" s="233"/>
      <c r="E8" s="233"/>
      <c r="F8" s="233"/>
      <c r="G8" s="233"/>
      <c r="H8" s="233"/>
      <c r="I8" s="233"/>
      <c r="J8" s="233"/>
      <c r="K8" s="233"/>
      <c r="L8" s="234"/>
      <c r="M8" s="238"/>
      <c r="N8" s="233"/>
      <c r="O8" s="233"/>
      <c r="P8" s="233"/>
      <c r="Q8" s="233"/>
      <c r="R8" s="233"/>
      <c r="S8" s="233"/>
      <c r="T8" s="233"/>
      <c r="U8" s="233"/>
      <c r="V8" s="233"/>
      <c r="W8" s="234"/>
      <c r="X8" s="238"/>
      <c r="Y8" s="233"/>
      <c r="Z8" s="233"/>
      <c r="AA8" s="233"/>
      <c r="AB8" s="233"/>
      <c r="AC8" s="233"/>
      <c r="AD8" s="233"/>
      <c r="AE8" s="233"/>
      <c r="AF8" s="233"/>
      <c r="AG8" s="233"/>
      <c r="AH8" s="234"/>
      <c r="AI8" s="238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4"/>
      <c r="AU8" s="238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44"/>
    </row>
    <row r="9" spans="2:58" ht="13" customHeight="1" x14ac:dyDescent="0.25"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22"/>
      <c r="M9" s="239"/>
      <c r="N9" s="236"/>
      <c r="O9" s="236"/>
      <c r="P9" s="236"/>
      <c r="Q9" s="236"/>
      <c r="R9" s="236"/>
      <c r="S9" s="236"/>
      <c r="T9" s="236"/>
      <c r="U9" s="236"/>
      <c r="V9" s="236"/>
      <c r="W9" s="222"/>
      <c r="X9" s="239"/>
      <c r="Y9" s="236"/>
      <c r="Z9" s="236"/>
      <c r="AA9" s="236"/>
      <c r="AB9" s="236"/>
      <c r="AC9" s="236"/>
      <c r="AD9" s="236"/>
      <c r="AE9" s="236"/>
      <c r="AF9" s="236"/>
      <c r="AG9" s="236"/>
      <c r="AH9" s="222"/>
      <c r="AI9" s="239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22"/>
      <c r="AU9" s="239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45"/>
    </row>
    <row r="10" spans="2:58" ht="13" customHeight="1" x14ac:dyDescent="0.25">
      <c r="B10" s="249" t="s">
        <v>236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6"/>
      <c r="M10" s="260" t="s">
        <v>237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6"/>
      <c r="X10" s="187" t="s">
        <v>238</v>
      </c>
      <c r="Y10" s="175"/>
      <c r="Z10" s="175"/>
      <c r="AA10" s="175"/>
      <c r="AB10" s="175"/>
      <c r="AC10" s="175"/>
      <c r="AD10" s="175"/>
      <c r="AE10" s="175"/>
      <c r="AF10" s="175"/>
      <c r="AG10" s="175"/>
      <c r="AH10" s="176"/>
      <c r="AI10" s="187" t="s">
        <v>239</v>
      </c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6"/>
      <c r="AU10" s="172" t="s">
        <v>240</v>
      </c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254"/>
    </row>
    <row r="11" spans="2:58" ht="13" customHeight="1" x14ac:dyDescent="0.25">
      <c r="B11" s="229"/>
      <c r="C11" s="230"/>
      <c r="D11" s="230"/>
      <c r="E11" s="230"/>
      <c r="F11" s="230"/>
      <c r="G11" s="230"/>
      <c r="H11" s="230"/>
      <c r="I11" s="230"/>
      <c r="J11" s="230"/>
      <c r="K11" s="230"/>
      <c r="L11" s="231"/>
      <c r="M11" s="237"/>
      <c r="N11" s="230"/>
      <c r="O11" s="230"/>
      <c r="P11" s="230"/>
      <c r="Q11" s="230"/>
      <c r="R11" s="230"/>
      <c r="S11" s="230"/>
      <c r="T11" s="230"/>
      <c r="U11" s="230"/>
      <c r="V11" s="230"/>
      <c r="W11" s="231"/>
      <c r="X11" s="237"/>
      <c r="Y11" s="230"/>
      <c r="Z11" s="230"/>
      <c r="AA11" s="230"/>
      <c r="AB11" s="230"/>
      <c r="AC11" s="230"/>
      <c r="AD11" s="230"/>
      <c r="AE11" s="230"/>
      <c r="AF11" s="230"/>
      <c r="AG11" s="230"/>
      <c r="AH11" s="231"/>
      <c r="AI11" s="237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1"/>
      <c r="AU11" s="246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43"/>
    </row>
    <row r="12" spans="2:58" ht="13" customHeight="1" x14ac:dyDescent="0.25">
      <c r="B12" s="232"/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8"/>
      <c r="N12" s="233"/>
      <c r="O12" s="233"/>
      <c r="P12" s="233"/>
      <c r="Q12" s="233"/>
      <c r="R12" s="233"/>
      <c r="S12" s="233"/>
      <c r="T12" s="233"/>
      <c r="U12" s="233"/>
      <c r="V12" s="233"/>
      <c r="W12" s="234"/>
      <c r="X12" s="238"/>
      <c r="Y12" s="233"/>
      <c r="Z12" s="233"/>
      <c r="AA12" s="233"/>
      <c r="AB12" s="233"/>
      <c r="AC12" s="233"/>
      <c r="AD12" s="233"/>
      <c r="AE12" s="233"/>
      <c r="AF12" s="233"/>
      <c r="AG12" s="233"/>
      <c r="AH12" s="234"/>
      <c r="AI12" s="238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4"/>
      <c r="AU12" s="238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44"/>
    </row>
    <row r="13" spans="2:58" ht="13" customHeight="1" x14ac:dyDescent="0.25">
      <c r="B13" s="232"/>
      <c r="C13" s="233"/>
      <c r="D13" s="233"/>
      <c r="E13" s="233"/>
      <c r="F13" s="233"/>
      <c r="G13" s="233"/>
      <c r="H13" s="233"/>
      <c r="I13" s="233"/>
      <c r="J13" s="233"/>
      <c r="K13" s="233"/>
      <c r="L13" s="234"/>
      <c r="M13" s="238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38"/>
      <c r="Y13" s="233"/>
      <c r="Z13" s="233"/>
      <c r="AA13" s="233"/>
      <c r="AB13" s="233"/>
      <c r="AC13" s="233"/>
      <c r="AD13" s="233"/>
      <c r="AE13" s="233"/>
      <c r="AF13" s="233"/>
      <c r="AG13" s="233"/>
      <c r="AH13" s="234"/>
      <c r="AI13" s="238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4"/>
      <c r="AU13" s="238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44"/>
    </row>
    <row r="14" spans="2:58" ht="13" customHeight="1" x14ac:dyDescent="0.25">
      <c r="B14" s="232"/>
      <c r="C14" s="233"/>
      <c r="D14" s="233"/>
      <c r="E14" s="233"/>
      <c r="F14" s="233"/>
      <c r="G14" s="233"/>
      <c r="H14" s="233"/>
      <c r="I14" s="233"/>
      <c r="J14" s="233"/>
      <c r="K14" s="233"/>
      <c r="L14" s="234"/>
      <c r="M14" s="238"/>
      <c r="N14" s="233"/>
      <c r="O14" s="233"/>
      <c r="P14" s="233"/>
      <c r="Q14" s="233"/>
      <c r="R14" s="233"/>
      <c r="S14" s="233"/>
      <c r="T14" s="233"/>
      <c r="U14" s="233"/>
      <c r="V14" s="233"/>
      <c r="W14" s="234"/>
      <c r="X14" s="238"/>
      <c r="Y14" s="233"/>
      <c r="Z14" s="233"/>
      <c r="AA14" s="233"/>
      <c r="AB14" s="233"/>
      <c r="AC14" s="233"/>
      <c r="AD14" s="233"/>
      <c r="AE14" s="233"/>
      <c r="AF14" s="233"/>
      <c r="AG14" s="233"/>
      <c r="AH14" s="234"/>
      <c r="AI14" s="238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4"/>
      <c r="AU14" s="238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44"/>
    </row>
    <row r="15" spans="2:58" ht="13" customHeight="1" x14ac:dyDescent="0.25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238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38"/>
      <c r="Y15" s="233"/>
      <c r="Z15" s="233"/>
      <c r="AA15" s="233"/>
      <c r="AB15" s="233"/>
      <c r="AC15" s="233"/>
      <c r="AD15" s="233"/>
      <c r="AE15" s="233"/>
      <c r="AF15" s="233"/>
      <c r="AG15" s="233"/>
      <c r="AH15" s="234"/>
      <c r="AI15" s="238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4"/>
      <c r="AU15" s="238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44"/>
    </row>
    <row r="16" spans="2:58" ht="13" customHeight="1" x14ac:dyDescent="0.25">
      <c r="B16" s="232"/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8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38"/>
      <c r="Y16" s="233"/>
      <c r="Z16" s="233"/>
      <c r="AA16" s="233"/>
      <c r="AB16" s="233"/>
      <c r="AC16" s="233"/>
      <c r="AD16" s="233"/>
      <c r="AE16" s="233"/>
      <c r="AF16" s="233"/>
      <c r="AG16" s="233"/>
      <c r="AH16" s="234"/>
      <c r="AI16" s="238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4"/>
      <c r="AU16" s="238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44"/>
    </row>
    <row r="17" spans="2:58" ht="13" customHeight="1" x14ac:dyDescent="0.25"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22"/>
      <c r="M17" s="239"/>
      <c r="N17" s="236"/>
      <c r="O17" s="236"/>
      <c r="P17" s="236"/>
      <c r="Q17" s="236"/>
      <c r="R17" s="236"/>
      <c r="S17" s="236"/>
      <c r="T17" s="236"/>
      <c r="U17" s="236"/>
      <c r="V17" s="236"/>
      <c r="W17" s="222"/>
      <c r="X17" s="239"/>
      <c r="Y17" s="236"/>
      <c r="Z17" s="236"/>
      <c r="AA17" s="236"/>
      <c r="AB17" s="236"/>
      <c r="AC17" s="236"/>
      <c r="AD17" s="236"/>
      <c r="AE17" s="236"/>
      <c r="AF17" s="236"/>
      <c r="AG17" s="236"/>
      <c r="AH17" s="222"/>
      <c r="AI17" s="239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22"/>
      <c r="AU17" s="239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45"/>
    </row>
    <row r="18" spans="2:58" ht="13" customHeight="1" x14ac:dyDescent="0.25">
      <c r="B18" s="249" t="s">
        <v>241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250" t="s">
        <v>242</v>
      </c>
      <c r="N18" s="175"/>
      <c r="O18" s="175"/>
      <c r="P18" s="175"/>
      <c r="Q18" s="175"/>
      <c r="R18" s="175"/>
      <c r="S18" s="175"/>
      <c r="T18" s="175"/>
      <c r="U18" s="175"/>
      <c r="V18" s="175"/>
      <c r="W18" s="176"/>
      <c r="X18" s="248" t="s">
        <v>243</v>
      </c>
      <c r="Y18" s="175"/>
      <c r="Z18" s="175"/>
      <c r="AA18" s="175"/>
      <c r="AB18" s="175"/>
      <c r="AC18" s="175"/>
      <c r="AD18" s="175"/>
      <c r="AE18" s="175"/>
      <c r="AF18" s="175"/>
      <c r="AG18" s="175"/>
      <c r="AH18" s="176"/>
      <c r="AI18" s="170" t="s">
        <v>244</v>
      </c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6"/>
      <c r="AU18" s="172" t="s">
        <v>245</v>
      </c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254"/>
    </row>
    <row r="19" spans="2:58" ht="13" customHeight="1" x14ac:dyDescent="0.25">
      <c r="B19" s="229"/>
      <c r="C19" s="230"/>
      <c r="D19" s="230"/>
      <c r="E19" s="230"/>
      <c r="F19" s="230"/>
      <c r="G19" s="230"/>
      <c r="H19" s="230"/>
      <c r="I19" s="230"/>
      <c r="J19" s="230"/>
      <c r="K19" s="230"/>
      <c r="L19" s="231"/>
      <c r="M19" s="247"/>
      <c r="N19" s="230"/>
      <c r="O19" s="230"/>
      <c r="P19" s="230"/>
      <c r="Q19" s="230"/>
      <c r="R19" s="230"/>
      <c r="S19" s="230"/>
      <c r="T19" s="230"/>
      <c r="U19" s="230"/>
      <c r="V19" s="230"/>
      <c r="W19" s="231"/>
      <c r="X19" s="264"/>
      <c r="Y19" s="230"/>
      <c r="Z19" s="230"/>
      <c r="AA19" s="230"/>
      <c r="AB19" s="230"/>
      <c r="AC19" s="230"/>
      <c r="AD19" s="230"/>
      <c r="AE19" s="230"/>
      <c r="AF19" s="230"/>
      <c r="AG19" s="230"/>
      <c r="AH19" s="231"/>
      <c r="AI19" s="241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1"/>
      <c r="AU19" s="246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43"/>
    </row>
    <row r="20" spans="2:58" ht="13" customHeight="1" x14ac:dyDescent="0.25">
      <c r="B20" s="232"/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8"/>
      <c r="N20" s="233"/>
      <c r="O20" s="233"/>
      <c r="P20" s="233"/>
      <c r="Q20" s="233"/>
      <c r="R20" s="233"/>
      <c r="S20" s="233"/>
      <c r="T20" s="233"/>
      <c r="U20" s="233"/>
      <c r="V20" s="233"/>
      <c r="W20" s="234"/>
      <c r="X20" s="238"/>
      <c r="Y20" s="233"/>
      <c r="Z20" s="233"/>
      <c r="AA20" s="233"/>
      <c r="AB20" s="233"/>
      <c r="AC20" s="233"/>
      <c r="AD20" s="233"/>
      <c r="AE20" s="233"/>
      <c r="AF20" s="233"/>
      <c r="AG20" s="233"/>
      <c r="AH20" s="234"/>
      <c r="AI20" s="238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4"/>
      <c r="AU20" s="238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44"/>
    </row>
    <row r="21" spans="2:58" ht="13" customHeight="1" x14ac:dyDescent="0.25">
      <c r="B21" s="232"/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8"/>
      <c r="N21" s="233"/>
      <c r="O21" s="233"/>
      <c r="P21" s="233"/>
      <c r="Q21" s="233"/>
      <c r="R21" s="233"/>
      <c r="S21" s="233"/>
      <c r="T21" s="233"/>
      <c r="U21" s="233"/>
      <c r="V21" s="233"/>
      <c r="W21" s="234"/>
      <c r="X21" s="238"/>
      <c r="Y21" s="233"/>
      <c r="Z21" s="233"/>
      <c r="AA21" s="233"/>
      <c r="AB21" s="233"/>
      <c r="AC21" s="233"/>
      <c r="AD21" s="233"/>
      <c r="AE21" s="233"/>
      <c r="AF21" s="233"/>
      <c r="AG21" s="233"/>
      <c r="AH21" s="234"/>
      <c r="AI21" s="238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4"/>
      <c r="AU21" s="238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44"/>
    </row>
    <row r="22" spans="2:58" ht="13" customHeight="1" x14ac:dyDescent="0.25">
      <c r="B22" s="232"/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8"/>
      <c r="N22" s="233"/>
      <c r="O22" s="233"/>
      <c r="P22" s="233"/>
      <c r="Q22" s="233"/>
      <c r="R22" s="233"/>
      <c r="S22" s="233"/>
      <c r="T22" s="233"/>
      <c r="U22" s="233"/>
      <c r="V22" s="233"/>
      <c r="W22" s="234"/>
      <c r="X22" s="238"/>
      <c r="Y22" s="233"/>
      <c r="Z22" s="233"/>
      <c r="AA22" s="233"/>
      <c r="AB22" s="233"/>
      <c r="AC22" s="233"/>
      <c r="AD22" s="233"/>
      <c r="AE22" s="233"/>
      <c r="AF22" s="233"/>
      <c r="AG22" s="233"/>
      <c r="AH22" s="234"/>
      <c r="AI22" s="238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4"/>
      <c r="AU22" s="238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44"/>
    </row>
    <row r="23" spans="2:58" ht="13" customHeight="1" x14ac:dyDescent="0.25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8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38"/>
      <c r="Y23" s="233"/>
      <c r="Z23" s="233"/>
      <c r="AA23" s="233"/>
      <c r="AB23" s="233"/>
      <c r="AC23" s="233"/>
      <c r="AD23" s="233"/>
      <c r="AE23" s="233"/>
      <c r="AF23" s="233"/>
      <c r="AG23" s="233"/>
      <c r="AH23" s="234"/>
      <c r="AI23" s="238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4"/>
      <c r="AU23" s="238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44"/>
    </row>
    <row r="24" spans="2:58" ht="13" customHeight="1" x14ac:dyDescent="0.25"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22"/>
      <c r="M24" s="239"/>
      <c r="N24" s="236"/>
      <c r="O24" s="236"/>
      <c r="P24" s="236"/>
      <c r="Q24" s="236"/>
      <c r="R24" s="236"/>
      <c r="S24" s="236"/>
      <c r="T24" s="236"/>
      <c r="U24" s="236"/>
      <c r="V24" s="236"/>
      <c r="W24" s="222"/>
      <c r="X24" s="239"/>
      <c r="Y24" s="236"/>
      <c r="Z24" s="236"/>
      <c r="AA24" s="236"/>
      <c r="AB24" s="236"/>
      <c r="AC24" s="236"/>
      <c r="AD24" s="236"/>
      <c r="AE24" s="236"/>
      <c r="AF24" s="236"/>
      <c r="AG24" s="236"/>
      <c r="AH24" s="222"/>
      <c r="AI24" s="239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22"/>
      <c r="AU24" s="239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45"/>
    </row>
    <row r="25" spans="2:58" ht="13" customHeight="1" x14ac:dyDescent="0.25">
      <c r="B25" s="249" t="s">
        <v>246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6"/>
      <c r="M25" s="187" t="s">
        <v>247</v>
      </c>
      <c r="N25" s="175"/>
      <c r="O25" s="175"/>
      <c r="P25" s="175"/>
      <c r="Q25" s="175"/>
      <c r="R25" s="175"/>
      <c r="S25" s="175"/>
      <c r="T25" s="175"/>
      <c r="U25" s="175"/>
      <c r="V25" s="175"/>
      <c r="W25" s="176"/>
      <c r="X25" s="253" t="s">
        <v>248</v>
      </c>
      <c r="Y25" s="175"/>
      <c r="Z25" s="175"/>
      <c r="AA25" s="175"/>
      <c r="AB25" s="175"/>
      <c r="AC25" s="175"/>
      <c r="AD25" s="175"/>
      <c r="AE25" s="175"/>
      <c r="AF25" s="175"/>
      <c r="AG25" s="175"/>
      <c r="AH25" s="176"/>
      <c r="AI25" s="172" t="s">
        <v>249</v>
      </c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6"/>
      <c r="AU25" s="172" t="s">
        <v>250</v>
      </c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254"/>
    </row>
    <row r="26" spans="2:58" ht="13" customHeight="1" x14ac:dyDescent="0.25">
      <c r="B26" s="229"/>
      <c r="C26" s="230"/>
      <c r="D26" s="230"/>
      <c r="E26" s="230"/>
      <c r="F26" s="230"/>
      <c r="G26" s="230"/>
      <c r="H26" s="230"/>
      <c r="I26" s="230"/>
      <c r="J26" s="230"/>
      <c r="K26" s="230"/>
      <c r="L26" s="231"/>
      <c r="M26" s="251"/>
      <c r="N26" s="230"/>
      <c r="O26" s="230"/>
      <c r="P26" s="230"/>
      <c r="Q26" s="230"/>
      <c r="R26" s="230"/>
      <c r="S26" s="230"/>
      <c r="T26" s="230"/>
      <c r="U26" s="230"/>
      <c r="V26" s="230"/>
      <c r="W26" s="231"/>
      <c r="X26" s="240"/>
      <c r="Y26" s="230"/>
      <c r="Z26" s="230"/>
      <c r="AA26" s="230"/>
      <c r="AB26" s="230"/>
      <c r="AC26" s="230"/>
      <c r="AD26" s="230"/>
      <c r="AE26" s="230"/>
      <c r="AF26" s="230"/>
      <c r="AG26" s="230"/>
      <c r="AH26" s="231"/>
      <c r="AI26" s="246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1"/>
      <c r="AU26" s="246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43"/>
    </row>
    <row r="27" spans="2:58" ht="13" customHeight="1" x14ac:dyDescent="0.25">
      <c r="B27" s="232"/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8"/>
      <c r="N27" s="233"/>
      <c r="O27" s="233"/>
      <c r="P27" s="233"/>
      <c r="Q27" s="233"/>
      <c r="R27" s="233"/>
      <c r="S27" s="233"/>
      <c r="T27" s="233"/>
      <c r="U27" s="233"/>
      <c r="V27" s="233"/>
      <c r="W27" s="234"/>
      <c r="X27" s="238"/>
      <c r="Y27" s="233"/>
      <c r="Z27" s="233"/>
      <c r="AA27" s="233"/>
      <c r="AB27" s="233"/>
      <c r="AC27" s="233"/>
      <c r="AD27" s="233"/>
      <c r="AE27" s="233"/>
      <c r="AF27" s="233"/>
      <c r="AG27" s="233"/>
      <c r="AH27" s="234"/>
      <c r="AI27" s="238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4"/>
      <c r="AU27" s="238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44"/>
    </row>
    <row r="28" spans="2:58" ht="13" customHeight="1" x14ac:dyDescent="0.25">
      <c r="B28" s="232"/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8"/>
      <c r="N28" s="233"/>
      <c r="O28" s="233"/>
      <c r="P28" s="233"/>
      <c r="Q28" s="233"/>
      <c r="R28" s="233"/>
      <c r="S28" s="233"/>
      <c r="T28" s="233"/>
      <c r="U28" s="233"/>
      <c r="V28" s="233"/>
      <c r="W28" s="234"/>
      <c r="X28" s="238"/>
      <c r="Y28" s="233"/>
      <c r="Z28" s="233"/>
      <c r="AA28" s="233"/>
      <c r="AB28" s="233"/>
      <c r="AC28" s="233"/>
      <c r="AD28" s="233"/>
      <c r="AE28" s="233"/>
      <c r="AF28" s="233"/>
      <c r="AG28" s="233"/>
      <c r="AH28" s="234"/>
      <c r="AI28" s="238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4"/>
      <c r="AU28" s="238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44"/>
    </row>
    <row r="29" spans="2:58" ht="13" customHeight="1" x14ac:dyDescent="0.2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8"/>
      <c r="N29" s="233"/>
      <c r="O29" s="233"/>
      <c r="P29" s="233"/>
      <c r="Q29" s="233"/>
      <c r="R29" s="233"/>
      <c r="S29" s="233"/>
      <c r="T29" s="233"/>
      <c r="U29" s="233"/>
      <c r="V29" s="233"/>
      <c r="W29" s="234"/>
      <c r="X29" s="238"/>
      <c r="Y29" s="233"/>
      <c r="Z29" s="233"/>
      <c r="AA29" s="233"/>
      <c r="AB29" s="233"/>
      <c r="AC29" s="233"/>
      <c r="AD29" s="233"/>
      <c r="AE29" s="233"/>
      <c r="AF29" s="233"/>
      <c r="AG29" s="233"/>
      <c r="AH29" s="234"/>
      <c r="AI29" s="238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4"/>
      <c r="AU29" s="238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44"/>
    </row>
    <row r="30" spans="2:58" ht="13" customHeight="1" x14ac:dyDescent="0.2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8"/>
      <c r="N30" s="233"/>
      <c r="O30" s="233"/>
      <c r="P30" s="233"/>
      <c r="Q30" s="233"/>
      <c r="R30" s="233"/>
      <c r="S30" s="233"/>
      <c r="T30" s="233"/>
      <c r="U30" s="233"/>
      <c r="V30" s="233"/>
      <c r="W30" s="234"/>
      <c r="X30" s="238"/>
      <c r="Y30" s="233"/>
      <c r="Z30" s="233"/>
      <c r="AA30" s="233"/>
      <c r="AB30" s="233"/>
      <c r="AC30" s="233"/>
      <c r="AD30" s="233"/>
      <c r="AE30" s="233"/>
      <c r="AF30" s="233"/>
      <c r="AG30" s="233"/>
      <c r="AH30" s="234"/>
      <c r="AI30" s="238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4"/>
      <c r="AU30" s="238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44"/>
    </row>
    <row r="31" spans="2:58" ht="13" customHeight="1" x14ac:dyDescent="0.2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22"/>
      <c r="M31" s="239"/>
      <c r="N31" s="236"/>
      <c r="O31" s="236"/>
      <c r="P31" s="236"/>
      <c r="Q31" s="236"/>
      <c r="R31" s="236"/>
      <c r="S31" s="236"/>
      <c r="T31" s="236"/>
      <c r="U31" s="236"/>
      <c r="V31" s="236"/>
      <c r="W31" s="222"/>
      <c r="X31" s="239"/>
      <c r="Y31" s="236"/>
      <c r="Z31" s="236"/>
      <c r="AA31" s="236"/>
      <c r="AB31" s="236"/>
      <c r="AC31" s="236"/>
      <c r="AD31" s="236"/>
      <c r="AE31" s="236"/>
      <c r="AF31" s="236"/>
      <c r="AG31" s="236"/>
      <c r="AH31" s="222"/>
      <c r="AI31" s="239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22"/>
      <c r="AU31" s="239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45"/>
    </row>
    <row r="32" spans="2:58" ht="13" customHeight="1" x14ac:dyDescent="0.25">
      <c r="B32" s="249" t="s">
        <v>251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6"/>
      <c r="M32" s="252" t="s">
        <v>252</v>
      </c>
      <c r="N32" s="175"/>
      <c r="O32" s="175"/>
      <c r="P32" s="175"/>
      <c r="Q32" s="175"/>
      <c r="R32" s="175"/>
      <c r="S32" s="175"/>
      <c r="T32" s="175"/>
      <c r="U32" s="175"/>
      <c r="V32" s="175"/>
      <c r="W32" s="176"/>
      <c r="X32" s="253" t="s">
        <v>253</v>
      </c>
      <c r="Y32" s="175"/>
      <c r="Z32" s="175"/>
      <c r="AA32" s="175"/>
      <c r="AB32" s="175"/>
      <c r="AC32" s="175"/>
      <c r="AD32" s="175"/>
      <c r="AE32" s="175"/>
      <c r="AF32" s="175"/>
      <c r="AG32" s="175"/>
      <c r="AH32" s="176"/>
      <c r="AI32" s="172" t="s">
        <v>254</v>
      </c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6"/>
      <c r="AU32" s="172" t="s">
        <v>255</v>
      </c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254"/>
    </row>
    <row r="33" spans="2:58" ht="13" customHeight="1" x14ac:dyDescent="0.2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37"/>
      <c r="N33" s="230"/>
      <c r="O33" s="230"/>
      <c r="P33" s="230"/>
      <c r="Q33" s="230"/>
      <c r="R33" s="230"/>
      <c r="S33" s="230"/>
      <c r="T33" s="230"/>
      <c r="U33" s="230"/>
      <c r="V33" s="230"/>
      <c r="W33" s="231"/>
      <c r="X33" s="240"/>
      <c r="Y33" s="230"/>
      <c r="Z33" s="230"/>
      <c r="AA33" s="230"/>
      <c r="AB33" s="230"/>
      <c r="AC33" s="230"/>
      <c r="AD33" s="230"/>
      <c r="AE33" s="230"/>
      <c r="AF33" s="230"/>
      <c r="AG33" s="230"/>
      <c r="AH33" s="231"/>
      <c r="AI33" s="246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1"/>
      <c r="AU33" s="246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43"/>
    </row>
    <row r="34" spans="2:58" ht="13" customHeight="1" x14ac:dyDescent="0.2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238"/>
      <c r="N34" s="233"/>
      <c r="O34" s="233"/>
      <c r="P34" s="233"/>
      <c r="Q34" s="233"/>
      <c r="R34" s="233"/>
      <c r="S34" s="233"/>
      <c r="T34" s="233"/>
      <c r="U34" s="233"/>
      <c r="V34" s="233"/>
      <c r="W34" s="234"/>
      <c r="X34" s="238"/>
      <c r="Y34" s="233"/>
      <c r="Z34" s="233"/>
      <c r="AA34" s="233"/>
      <c r="AB34" s="233"/>
      <c r="AC34" s="233"/>
      <c r="AD34" s="233"/>
      <c r="AE34" s="233"/>
      <c r="AF34" s="233"/>
      <c r="AG34" s="233"/>
      <c r="AH34" s="234"/>
      <c r="AI34" s="238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4"/>
      <c r="AU34" s="238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44"/>
    </row>
    <row r="35" spans="2:58" ht="13" customHeight="1" x14ac:dyDescent="0.2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38"/>
      <c r="N35" s="233"/>
      <c r="O35" s="233"/>
      <c r="P35" s="233"/>
      <c r="Q35" s="233"/>
      <c r="R35" s="233"/>
      <c r="S35" s="233"/>
      <c r="T35" s="233"/>
      <c r="U35" s="233"/>
      <c r="V35" s="233"/>
      <c r="W35" s="234"/>
      <c r="X35" s="238"/>
      <c r="Y35" s="233"/>
      <c r="Z35" s="233"/>
      <c r="AA35" s="233"/>
      <c r="AB35" s="233"/>
      <c r="AC35" s="233"/>
      <c r="AD35" s="233"/>
      <c r="AE35" s="233"/>
      <c r="AF35" s="233"/>
      <c r="AG35" s="233"/>
      <c r="AH35" s="234"/>
      <c r="AI35" s="238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4"/>
      <c r="AU35" s="238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44"/>
    </row>
    <row r="36" spans="2:58" ht="13" customHeight="1" x14ac:dyDescent="0.2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38"/>
      <c r="N36" s="233"/>
      <c r="O36" s="233"/>
      <c r="P36" s="233"/>
      <c r="Q36" s="233"/>
      <c r="R36" s="233"/>
      <c r="S36" s="233"/>
      <c r="T36" s="233"/>
      <c r="U36" s="233"/>
      <c r="V36" s="233"/>
      <c r="W36" s="234"/>
      <c r="X36" s="238"/>
      <c r="Y36" s="233"/>
      <c r="Z36" s="233"/>
      <c r="AA36" s="233"/>
      <c r="AB36" s="233"/>
      <c r="AC36" s="233"/>
      <c r="AD36" s="233"/>
      <c r="AE36" s="233"/>
      <c r="AF36" s="233"/>
      <c r="AG36" s="233"/>
      <c r="AH36" s="234"/>
      <c r="AI36" s="238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4"/>
      <c r="AU36" s="238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44"/>
    </row>
    <row r="37" spans="2:58" ht="13" customHeight="1" x14ac:dyDescent="0.2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38"/>
      <c r="N37" s="233"/>
      <c r="O37" s="233"/>
      <c r="P37" s="233"/>
      <c r="Q37" s="233"/>
      <c r="R37" s="233"/>
      <c r="S37" s="233"/>
      <c r="T37" s="233"/>
      <c r="U37" s="233"/>
      <c r="V37" s="233"/>
      <c r="W37" s="234"/>
      <c r="X37" s="238"/>
      <c r="Y37" s="233"/>
      <c r="Z37" s="233"/>
      <c r="AA37" s="233"/>
      <c r="AB37" s="233"/>
      <c r="AC37" s="233"/>
      <c r="AD37" s="233"/>
      <c r="AE37" s="233"/>
      <c r="AF37" s="233"/>
      <c r="AG37" s="233"/>
      <c r="AH37" s="234"/>
      <c r="AI37" s="238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4"/>
      <c r="AU37" s="238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44"/>
    </row>
    <row r="38" spans="2:58" ht="13" customHeight="1" x14ac:dyDescent="0.25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22"/>
      <c r="M38" s="239"/>
      <c r="N38" s="236"/>
      <c r="O38" s="236"/>
      <c r="P38" s="236"/>
      <c r="Q38" s="236"/>
      <c r="R38" s="236"/>
      <c r="S38" s="236"/>
      <c r="T38" s="236"/>
      <c r="U38" s="236"/>
      <c r="V38" s="236"/>
      <c r="W38" s="222"/>
      <c r="X38" s="239"/>
      <c r="Y38" s="236"/>
      <c r="Z38" s="236"/>
      <c r="AA38" s="236"/>
      <c r="AB38" s="236"/>
      <c r="AC38" s="236"/>
      <c r="AD38" s="236"/>
      <c r="AE38" s="236"/>
      <c r="AF38" s="236"/>
      <c r="AG38" s="236"/>
      <c r="AH38" s="222"/>
      <c r="AI38" s="239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22"/>
      <c r="AU38" s="239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45"/>
    </row>
    <row r="39" spans="2:58" ht="13" customHeight="1" x14ac:dyDescent="0.25">
      <c r="B39" s="249" t="s">
        <v>256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6"/>
      <c r="M39" s="252" t="s">
        <v>257</v>
      </c>
      <c r="N39" s="175"/>
      <c r="O39" s="175"/>
      <c r="P39" s="175"/>
      <c r="Q39" s="175"/>
      <c r="R39" s="175"/>
      <c r="S39" s="175"/>
      <c r="T39" s="175"/>
      <c r="U39" s="175"/>
      <c r="V39" s="175"/>
      <c r="W39" s="176"/>
      <c r="X39" s="253" t="s">
        <v>258</v>
      </c>
      <c r="Y39" s="175"/>
      <c r="Z39" s="175"/>
      <c r="AA39" s="175"/>
      <c r="AB39" s="175"/>
      <c r="AC39" s="175"/>
      <c r="AD39" s="175"/>
      <c r="AE39" s="175"/>
      <c r="AF39" s="175"/>
      <c r="AG39" s="175"/>
      <c r="AH39" s="176"/>
      <c r="AI39" s="172" t="s">
        <v>259</v>
      </c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6"/>
      <c r="AU39" s="172" t="s">
        <v>260</v>
      </c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254"/>
    </row>
    <row r="40" spans="2:58" ht="13" customHeight="1" x14ac:dyDescent="0.25">
      <c r="B40" s="229"/>
      <c r="C40" s="230"/>
      <c r="D40" s="230"/>
      <c r="E40" s="230"/>
      <c r="F40" s="230"/>
      <c r="G40" s="230"/>
      <c r="H40" s="230"/>
      <c r="I40" s="230"/>
      <c r="J40" s="230"/>
      <c r="K40" s="230"/>
      <c r="L40" s="231"/>
      <c r="M40" s="237"/>
      <c r="N40" s="230"/>
      <c r="O40" s="230"/>
      <c r="P40" s="230"/>
      <c r="Q40" s="230"/>
      <c r="R40" s="230"/>
      <c r="S40" s="230"/>
      <c r="T40" s="230"/>
      <c r="U40" s="230"/>
      <c r="V40" s="230"/>
      <c r="W40" s="231"/>
      <c r="X40" s="240"/>
      <c r="Y40" s="230"/>
      <c r="Z40" s="230"/>
      <c r="AA40" s="230"/>
      <c r="AB40" s="230"/>
      <c r="AC40" s="230"/>
      <c r="AD40" s="230"/>
      <c r="AE40" s="230"/>
      <c r="AF40" s="230"/>
      <c r="AG40" s="230"/>
      <c r="AH40" s="231"/>
      <c r="AI40" s="246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1"/>
      <c r="AU40" s="246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43"/>
    </row>
    <row r="41" spans="2:58" ht="13" customHeight="1" x14ac:dyDescent="0.25">
      <c r="B41" s="232"/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238"/>
      <c r="N41" s="233"/>
      <c r="O41" s="233"/>
      <c r="P41" s="233"/>
      <c r="Q41" s="233"/>
      <c r="R41" s="233"/>
      <c r="S41" s="233"/>
      <c r="T41" s="233"/>
      <c r="U41" s="233"/>
      <c r="V41" s="233"/>
      <c r="W41" s="234"/>
      <c r="X41" s="238"/>
      <c r="Y41" s="233"/>
      <c r="Z41" s="233"/>
      <c r="AA41" s="233"/>
      <c r="AB41" s="233"/>
      <c r="AC41" s="233"/>
      <c r="AD41" s="233"/>
      <c r="AE41" s="233"/>
      <c r="AF41" s="233"/>
      <c r="AG41" s="233"/>
      <c r="AH41" s="234"/>
      <c r="AI41" s="238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4"/>
      <c r="AU41" s="238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44"/>
    </row>
    <row r="42" spans="2:58" ht="13" customHeight="1" x14ac:dyDescent="0.25">
      <c r="B42" s="232"/>
      <c r="C42" s="233"/>
      <c r="D42" s="233"/>
      <c r="E42" s="233"/>
      <c r="F42" s="233"/>
      <c r="G42" s="233"/>
      <c r="H42" s="233"/>
      <c r="I42" s="233"/>
      <c r="J42" s="233"/>
      <c r="K42" s="233"/>
      <c r="L42" s="234"/>
      <c r="M42" s="238"/>
      <c r="N42" s="233"/>
      <c r="O42" s="233"/>
      <c r="P42" s="233"/>
      <c r="Q42" s="233"/>
      <c r="R42" s="233"/>
      <c r="S42" s="233"/>
      <c r="T42" s="233"/>
      <c r="U42" s="233"/>
      <c r="V42" s="233"/>
      <c r="W42" s="234"/>
      <c r="X42" s="238"/>
      <c r="Y42" s="233"/>
      <c r="Z42" s="233"/>
      <c r="AA42" s="233"/>
      <c r="AB42" s="233"/>
      <c r="AC42" s="233"/>
      <c r="AD42" s="233"/>
      <c r="AE42" s="233"/>
      <c r="AF42" s="233"/>
      <c r="AG42" s="233"/>
      <c r="AH42" s="234"/>
      <c r="AI42" s="238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4"/>
      <c r="AU42" s="238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44"/>
    </row>
    <row r="43" spans="2:58" ht="13" customHeight="1" x14ac:dyDescent="0.25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4"/>
      <c r="M43" s="238"/>
      <c r="N43" s="233"/>
      <c r="O43" s="233"/>
      <c r="P43" s="233"/>
      <c r="Q43" s="233"/>
      <c r="R43" s="233"/>
      <c r="S43" s="233"/>
      <c r="T43" s="233"/>
      <c r="U43" s="233"/>
      <c r="V43" s="233"/>
      <c r="W43" s="234"/>
      <c r="X43" s="238"/>
      <c r="Y43" s="233"/>
      <c r="Z43" s="233"/>
      <c r="AA43" s="233"/>
      <c r="AB43" s="233"/>
      <c r="AC43" s="233"/>
      <c r="AD43" s="233"/>
      <c r="AE43" s="233"/>
      <c r="AF43" s="233"/>
      <c r="AG43" s="233"/>
      <c r="AH43" s="234"/>
      <c r="AI43" s="238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4"/>
      <c r="AU43" s="238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44"/>
    </row>
    <row r="44" spans="2:58" ht="13" customHeight="1" x14ac:dyDescent="0.25">
      <c r="B44" s="232"/>
      <c r="C44" s="233"/>
      <c r="D44" s="233"/>
      <c r="E44" s="233"/>
      <c r="F44" s="233"/>
      <c r="G44" s="233"/>
      <c r="H44" s="233"/>
      <c r="I44" s="233"/>
      <c r="J44" s="233"/>
      <c r="K44" s="233"/>
      <c r="L44" s="234"/>
      <c r="M44" s="238"/>
      <c r="N44" s="233"/>
      <c r="O44" s="233"/>
      <c r="P44" s="233"/>
      <c r="Q44" s="233"/>
      <c r="R44" s="233"/>
      <c r="S44" s="233"/>
      <c r="T44" s="233"/>
      <c r="U44" s="233"/>
      <c r="V44" s="233"/>
      <c r="W44" s="234"/>
      <c r="X44" s="238"/>
      <c r="Y44" s="233"/>
      <c r="Z44" s="233"/>
      <c r="AA44" s="233"/>
      <c r="AB44" s="233"/>
      <c r="AC44" s="233"/>
      <c r="AD44" s="233"/>
      <c r="AE44" s="233"/>
      <c r="AF44" s="233"/>
      <c r="AG44" s="233"/>
      <c r="AH44" s="234"/>
      <c r="AI44" s="238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4"/>
      <c r="AU44" s="238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44"/>
    </row>
    <row r="45" spans="2:58" ht="13" customHeight="1" x14ac:dyDescent="0.25"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22"/>
      <c r="M45" s="239"/>
      <c r="N45" s="236"/>
      <c r="O45" s="236"/>
      <c r="P45" s="236"/>
      <c r="Q45" s="236"/>
      <c r="R45" s="236"/>
      <c r="S45" s="236"/>
      <c r="T45" s="236"/>
      <c r="U45" s="236"/>
      <c r="V45" s="236"/>
      <c r="W45" s="222"/>
      <c r="X45" s="239"/>
      <c r="Y45" s="236"/>
      <c r="Z45" s="236"/>
      <c r="AA45" s="236"/>
      <c r="AB45" s="236"/>
      <c r="AC45" s="236"/>
      <c r="AD45" s="236"/>
      <c r="AE45" s="236"/>
      <c r="AF45" s="236"/>
      <c r="AG45" s="236"/>
      <c r="AH45" s="222"/>
      <c r="AI45" s="239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22"/>
      <c r="AU45" s="239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45"/>
    </row>
    <row r="46" spans="2:58" ht="13" customHeight="1" x14ac:dyDescent="0.25">
      <c r="B46" s="249" t="s">
        <v>261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6"/>
      <c r="M46" s="187" t="s">
        <v>262</v>
      </c>
      <c r="N46" s="175"/>
      <c r="O46" s="175"/>
      <c r="P46" s="175"/>
      <c r="Q46" s="175"/>
      <c r="R46" s="175"/>
      <c r="S46" s="175"/>
      <c r="T46" s="175"/>
      <c r="U46" s="175"/>
      <c r="V46" s="175"/>
      <c r="W46" s="176"/>
      <c r="X46" s="253" t="s">
        <v>263</v>
      </c>
      <c r="Y46" s="175"/>
      <c r="Z46" s="175"/>
      <c r="AA46" s="175"/>
      <c r="AB46" s="175"/>
      <c r="AC46" s="175"/>
      <c r="AD46" s="175"/>
      <c r="AE46" s="175"/>
      <c r="AF46" s="175"/>
      <c r="AG46" s="175"/>
      <c r="AH46" s="176"/>
      <c r="AI46" s="172" t="s">
        <v>264</v>
      </c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6"/>
      <c r="AU46" s="172" t="s">
        <v>265</v>
      </c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254"/>
    </row>
    <row r="47" spans="2:58" ht="13" customHeight="1" x14ac:dyDescent="0.25">
      <c r="B47" s="229"/>
      <c r="C47" s="230"/>
      <c r="D47" s="230"/>
      <c r="E47" s="230"/>
      <c r="F47" s="230"/>
      <c r="G47" s="230"/>
      <c r="H47" s="230"/>
      <c r="I47" s="230"/>
      <c r="J47" s="230"/>
      <c r="K47" s="230"/>
      <c r="L47" s="231"/>
      <c r="M47" s="237"/>
      <c r="N47" s="230"/>
      <c r="O47" s="230"/>
      <c r="P47" s="230"/>
      <c r="Q47" s="230"/>
      <c r="R47" s="230"/>
      <c r="S47" s="230"/>
      <c r="T47" s="230"/>
      <c r="U47" s="230"/>
      <c r="V47" s="230"/>
      <c r="W47" s="231"/>
      <c r="X47" s="240"/>
      <c r="Y47" s="230"/>
      <c r="Z47" s="230"/>
      <c r="AA47" s="230"/>
      <c r="AB47" s="230"/>
      <c r="AC47" s="230"/>
      <c r="AD47" s="230"/>
      <c r="AE47" s="230"/>
      <c r="AF47" s="230"/>
      <c r="AG47" s="230"/>
      <c r="AH47" s="231"/>
      <c r="AI47" s="246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1"/>
      <c r="AU47" s="246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43"/>
    </row>
    <row r="48" spans="2:58" ht="13" customHeight="1" x14ac:dyDescent="0.25">
      <c r="B48" s="232"/>
      <c r="C48" s="233"/>
      <c r="D48" s="233"/>
      <c r="E48" s="233"/>
      <c r="F48" s="233"/>
      <c r="G48" s="233"/>
      <c r="H48" s="233"/>
      <c r="I48" s="233"/>
      <c r="J48" s="233"/>
      <c r="K48" s="233"/>
      <c r="L48" s="234"/>
      <c r="M48" s="238"/>
      <c r="N48" s="233"/>
      <c r="O48" s="233"/>
      <c r="P48" s="233"/>
      <c r="Q48" s="233"/>
      <c r="R48" s="233"/>
      <c r="S48" s="233"/>
      <c r="T48" s="233"/>
      <c r="U48" s="233"/>
      <c r="V48" s="233"/>
      <c r="W48" s="234"/>
      <c r="X48" s="238"/>
      <c r="Y48" s="233"/>
      <c r="Z48" s="233"/>
      <c r="AA48" s="233"/>
      <c r="AB48" s="233"/>
      <c r="AC48" s="233"/>
      <c r="AD48" s="233"/>
      <c r="AE48" s="233"/>
      <c r="AF48" s="233"/>
      <c r="AG48" s="233"/>
      <c r="AH48" s="234"/>
      <c r="AI48" s="238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4"/>
      <c r="AU48" s="238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44"/>
    </row>
    <row r="49" spans="2:58" ht="13" customHeight="1" x14ac:dyDescent="0.25">
      <c r="B49" s="232"/>
      <c r="C49" s="233"/>
      <c r="D49" s="233"/>
      <c r="E49" s="233"/>
      <c r="F49" s="233"/>
      <c r="G49" s="233"/>
      <c r="H49" s="233"/>
      <c r="I49" s="233"/>
      <c r="J49" s="233"/>
      <c r="K49" s="233"/>
      <c r="L49" s="234"/>
      <c r="M49" s="238"/>
      <c r="N49" s="233"/>
      <c r="O49" s="233"/>
      <c r="P49" s="233"/>
      <c r="Q49" s="233"/>
      <c r="R49" s="233"/>
      <c r="S49" s="233"/>
      <c r="T49" s="233"/>
      <c r="U49" s="233"/>
      <c r="V49" s="233"/>
      <c r="W49" s="234"/>
      <c r="X49" s="238"/>
      <c r="Y49" s="233"/>
      <c r="Z49" s="233"/>
      <c r="AA49" s="233"/>
      <c r="AB49" s="233"/>
      <c r="AC49" s="233"/>
      <c r="AD49" s="233"/>
      <c r="AE49" s="233"/>
      <c r="AF49" s="233"/>
      <c r="AG49" s="233"/>
      <c r="AH49" s="234"/>
      <c r="AI49" s="238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4"/>
      <c r="AU49" s="238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44"/>
    </row>
    <row r="50" spans="2:58" ht="13" customHeight="1" x14ac:dyDescent="0.25">
      <c r="B50" s="232"/>
      <c r="C50" s="233"/>
      <c r="D50" s="233"/>
      <c r="E50" s="233"/>
      <c r="F50" s="233"/>
      <c r="G50" s="233"/>
      <c r="H50" s="233"/>
      <c r="I50" s="233"/>
      <c r="J50" s="233"/>
      <c r="K50" s="233"/>
      <c r="L50" s="234"/>
      <c r="M50" s="238"/>
      <c r="N50" s="233"/>
      <c r="O50" s="233"/>
      <c r="P50" s="233"/>
      <c r="Q50" s="233"/>
      <c r="R50" s="233"/>
      <c r="S50" s="233"/>
      <c r="T50" s="233"/>
      <c r="U50" s="233"/>
      <c r="V50" s="233"/>
      <c r="W50" s="234"/>
      <c r="X50" s="238"/>
      <c r="Y50" s="233"/>
      <c r="Z50" s="233"/>
      <c r="AA50" s="233"/>
      <c r="AB50" s="233"/>
      <c r="AC50" s="233"/>
      <c r="AD50" s="233"/>
      <c r="AE50" s="233"/>
      <c r="AF50" s="233"/>
      <c r="AG50" s="233"/>
      <c r="AH50" s="234"/>
      <c r="AI50" s="238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4"/>
      <c r="AU50" s="238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44"/>
    </row>
    <row r="51" spans="2:58" ht="13" customHeight="1" x14ac:dyDescent="0.25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4"/>
      <c r="M51" s="238"/>
      <c r="N51" s="233"/>
      <c r="O51" s="233"/>
      <c r="P51" s="233"/>
      <c r="Q51" s="233"/>
      <c r="R51" s="233"/>
      <c r="S51" s="233"/>
      <c r="T51" s="233"/>
      <c r="U51" s="233"/>
      <c r="V51" s="233"/>
      <c r="W51" s="234"/>
      <c r="X51" s="238"/>
      <c r="Y51" s="233"/>
      <c r="Z51" s="233"/>
      <c r="AA51" s="233"/>
      <c r="AB51" s="233"/>
      <c r="AC51" s="233"/>
      <c r="AD51" s="233"/>
      <c r="AE51" s="233"/>
      <c r="AF51" s="233"/>
      <c r="AG51" s="233"/>
      <c r="AH51" s="234"/>
      <c r="AI51" s="238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4"/>
      <c r="AU51" s="238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44"/>
    </row>
    <row r="52" spans="2:58" ht="13" customHeight="1" x14ac:dyDescent="0.25"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22"/>
      <c r="M52" s="239"/>
      <c r="N52" s="236"/>
      <c r="O52" s="236"/>
      <c r="P52" s="236"/>
      <c r="Q52" s="236"/>
      <c r="R52" s="236"/>
      <c r="S52" s="236"/>
      <c r="T52" s="236"/>
      <c r="U52" s="236"/>
      <c r="V52" s="236"/>
      <c r="W52" s="222"/>
      <c r="X52" s="239"/>
      <c r="Y52" s="236"/>
      <c r="Z52" s="236"/>
      <c r="AA52" s="236"/>
      <c r="AB52" s="236"/>
      <c r="AC52" s="236"/>
      <c r="AD52" s="236"/>
      <c r="AE52" s="236"/>
      <c r="AF52" s="236"/>
      <c r="AG52" s="236"/>
      <c r="AH52" s="222"/>
      <c r="AI52" s="239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22"/>
      <c r="AU52" s="239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45"/>
    </row>
    <row r="53" spans="2:58" ht="13" customHeight="1" x14ac:dyDescent="0.25">
      <c r="B53" s="249" t="s">
        <v>266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6"/>
      <c r="M53" s="252" t="s">
        <v>267</v>
      </c>
      <c r="N53" s="175"/>
      <c r="O53" s="175"/>
      <c r="P53" s="175"/>
      <c r="Q53" s="175"/>
      <c r="R53" s="175"/>
      <c r="S53" s="175"/>
      <c r="T53" s="175"/>
      <c r="U53" s="175"/>
      <c r="V53" s="175"/>
      <c r="W53" s="176"/>
      <c r="X53" s="253" t="s">
        <v>268</v>
      </c>
      <c r="Y53" s="175"/>
      <c r="Z53" s="175"/>
      <c r="AA53" s="175"/>
      <c r="AB53" s="175"/>
      <c r="AC53" s="175"/>
      <c r="AD53" s="175"/>
      <c r="AE53" s="175"/>
      <c r="AF53" s="175"/>
      <c r="AG53" s="175"/>
      <c r="AH53" s="176"/>
      <c r="AI53" s="172" t="s">
        <v>269</v>
      </c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6"/>
      <c r="AU53" s="172" t="s">
        <v>270</v>
      </c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254"/>
    </row>
    <row r="54" spans="2:58" ht="13" customHeight="1" x14ac:dyDescent="0.25">
      <c r="B54" s="229"/>
      <c r="C54" s="230"/>
      <c r="D54" s="230"/>
      <c r="E54" s="230"/>
      <c r="F54" s="230"/>
      <c r="G54" s="230"/>
      <c r="H54" s="230"/>
      <c r="I54" s="230"/>
      <c r="J54" s="230"/>
      <c r="K54" s="230"/>
      <c r="L54" s="231"/>
      <c r="M54" s="251"/>
      <c r="N54" s="230"/>
      <c r="O54" s="230"/>
      <c r="P54" s="230"/>
      <c r="Q54" s="230"/>
      <c r="R54" s="230"/>
      <c r="S54" s="230"/>
      <c r="T54" s="230"/>
      <c r="U54" s="230"/>
      <c r="V54" s="230"/>
      <c r="W54" s="231"/>
      <c r="X54" s="240"/>
      <c r="Y54" s="230"/>
      <c r="Z54" s="230"/>
      <c r="AA54" s="230"/>
      <c r="AB54" s="230"/>
      <c r="AC54" s="230"/>
      <c r="AD54" s="230"/>
      <c r="AE54" s="230"/>
      <c r="AF54" s="230"/>
      <c r="AG54" s="230"/>
      <c r="AH54" s="231"/>
      <c r="AI54" s="246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1"/>
      <c r="AU54" s="246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43"/>
    </row>
    <row r="55" spans="2:58" ht="13" customHeight="1" x14ac:dyDescent="0.25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4"/>
      <c r="M55" s="238"/>
      <c r="N55" s="233"/>
      <c r="O55" s="233"/>
      <c r="P55" s="233"/>
      <c r="Q55" s="233"/>
      <c r="R55" s="233"/>
      <c r="S55" s="233"/>
      <c r="T55" s="233"/>
      <c r="U55" s="233"/>
      <c r="V55" s="233"/>
      <c r="W55" s="234"/>
      <c r="X55" s="238"/>
      <c r="Y55" s="233"/>
      <c r="Z55" s="233"/>
      <c r="AA55" s="233"/>
      <c r="AB55" s="233"/>
      <c r="AC55" s="233"/>
      <c r="AD55" s="233"/>
      <c r="AE55" s="233"/>
      <c r="AF55" s="233"/>
      <c r="AG55" s="233"/>
      <c r="AH55" s="234"/>
      <c r="AI55" s="238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4"/>
      <c r="AU55" s="238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44"/>
    </row>
    <row r="56" spans="2:58" ht="13" customHeight="1" x14ac:dyDescent="0.25">
      <c r="B56" s="232"/>
      <c r="C56" s="233"/>
      <c r="D56" s="233"/>
      <c r="E56" s="233"/>
      <c r="F56" s="233"/>
      <c r="G56" s="233"/>
      <c r="H56" s="233"/>
      <c r="I56" s="233"/>
      <c r="J56" s="233"/>
      <c r="K56" s="233"/>
      <c r="L56" s="234"/>
      <c r="M56" s="238"/>
      <c r="N56" s="233"/>
      <c r="O56" s="233"/>
      <c r="P56" s="233"/>
      <c r="Q56" s="233"/>
      <c r="R56" s="233"/>
      <c r="S56" s="233"/>
      <c r="T56" s="233"/>
      <c r="U56" s="233"/>
      <c r="V56" s="233"/>
      <c r="W56" s="234"/>
      <c r="X56" s="238"/>
      <c r="Y56" s="233"/>
      <c r="Z56" s="233"/>
      <c r="AA56" s="233"/>
      <c r="AB56" s="233"/>
      <c r="AC56" s="233"/>
      <c r="AD56" s="233"/>
      <c r="AE56" s="233"/>
      <c r="AF56" s="233"/>
      <c r="AG56" s="233"/>
      <c r="AH56" s="234"/>
      <c r="AI56" s="238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4"/>
      <c r="AU56" s="238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44"/>
    </row>
    <row r="57" spans="2:58" ht="13" customHeight="1" x14ac:dyDescent="0.25">
      <c r="B57" s="232"/>
      <c r="C57" s="233"/>
      <c r="D57" s="233"/>
      <c r="E57" s="233"/>
      <c r="F57" s="233"/>
      <c r="G57" s="233"/>
      <c r="H57" s="233"/>
      <c r="I57" s="233"/>
      <c r="J57" s="233"/>
      <c r="K57" s="233"/>
      <c r="L57" s="234"/>
      <c r="M57" s="238"/>
      <c r="N57" s="233"/>
      <c r="O57" s="233"/>
      <c r="P57" s="233"/>
      <c r="Q57" s="233"/>
      <c r="R57" s="233"/>
      <c r="S57" s="233"/>
      <c r="T57" s="233"/>
      <c r="U57" s="233"/>
      <c r="V57" s="233"/>
      <c r="W57" s="234"/>
      <c r="X57" s="238"/>
      <c r="Y57" s="233"/>
      <c r="Z57" s="233"/>
      <c r="AA57" s="233"/>
      <c r="AB57" s="233"/>
      <c r="AC57" s="233"/>
      <c r="AD57" s="233"/>
      <c r="AE57" s="233"/>
      <c r="AF57" s="233"/>
      <c r="AG57" s="233"/>
      <c r="AH57" s="234"/>
      <c r="AI57" s="238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4"/>
      <c r="AU57" s="238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44"/>
    </row>
    <row r="58" spans="2:58" ht="13" customHeight="1" x14ac:dyDescent="0.25">
      <c r="B58" s="232"/>
      <c r="C58" s="233"/>
      <c r="D58" s="233"/>
      <c r="E58" s="233"/>
      <c r="F58" s="233"/>
      <c r="G58" s="233"/>
      <c r="H58" s="233"/>
      <c r="I58" s="233"/>
      <c r="J58" s="233"/>
      <c r="K58" s="233"/>
      <c r="L58" s="234"/>
      <c r="M58" s="238"/>
      <c r="N58" s="233"/>
      <c r="O58" s="233"/>
      <c r="P58" s="233"/>
      <c r="Q58" s="233"/>
      <c r="R58" s="233"/>
      <c r="S58" s="233"/>
      <c r="T58" s="233"/>
      <c r="U58" s="233"/>
      <c r="V58" s="233"/>
      <c r="W58" s="234"/>
      <c r="X58" s="238"/>
      <c r="Y58" s="233"/>
      <c r="Z58" s="233"/>
      <c r="AA58" s="233"/>
      <c r="AB58" s="233"/>
      <c r="AC58" s="233"/>
      <c r="AD58" s="233"/>
      <c r="AE58" s="233"/>
      <c r="AF58" s="233"/>
      <c r="AG58" s="233"/>
      <c r="AH58" s="234"/>
      <c r="AI58" s="238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4"/>
      <c r="AU58" s="238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44"/>
    </row>
    <row r="59" spans="2:58" ht="13" customHeight="1" x14ac:dyDescent="0.25">
      <c r="B59" s="255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58"/>
      <c r="N59" s="256"/>
      <c r="O59" s="256"/>
      <c r="P59" s="256"/>
      <c r="Q59" s="256"/>
      <c r="R59" s="256"/>
      <c r="S59" s="256"/>
      <c r="T59" s="256"/>
      <c r="U59" s="256"/>
      <c r="V59" s="256"/>
      <c r="W59" s="257"/>
      <c r="X59" s="258"/>
      <c r="Y59" s="256"/>
      <c r="Z59" s="256"/>
      <c r="AA59" s="256"/>
      <c r="AB59" s="256"/>
      <c r="AC59" s="256"/>
      <c r="AD59" s="256"/>
      <c r="AE59" s="256"/>
      <c r="AF59" s="256"/>
      <c r="AG59" s="256"/>
      <c r="AH59" s="257"/>
      <c r="AI59" s="258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7"/>
      <c r="AU59" s="258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9"/>
    </row>
    <row r="60" spans="2:58" ht="13" customHeight="1" x14ac:dyDescent="0.25">
      <c r="B60" s="221" t="s">
        <v>459</v>
      </c>
      <c r="C60" s="222"/>
      <c r="D60" s="9" t="s">
        <v>19</v>
      </c>
      <c r="E60" s="202" t="s">
        <v>20</v>
      </c>
      <c r="F60" s="205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8"/>
    </row>
    <row r="61" spans="2:58" ht="13" customHeight="1" x14ac:dyDescent="0.25">
      <c r="B61" s="201" t="s">
        <v>226</v>
      </c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209"/>
    </row>
    <row r="62" spans="2:58" ht="13" customHeight="1" thickBot="1" x14ac:dyDescent="0.3">
      <c r="B62" s="212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  <c r="BD62" s="210"/>
      <c r="BE62" s="210"/>
      <c r="BF62" s="21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46:L46"/>
    <mergeCell ref="M46:W46"/>
    <mergeCell ref="X46:AH46"/>
    <mergeCell ref="AI46:AT46"/>
    <mergeCell ref="AU46:BF46"/>
    <mergeCell ref="B53:L53"/>
    <mergeCell ref="M53:W53"/>
    <mergeCell ref="X53:AH53"/>
    <mergeCell ref="AI53:AT53"/>
    <mergeCell ref="AU53:BF53"/>
    <mergeCell ref="B32:L32"/>
    <mergeCell ref="M32:W32"/>
    <mergeCell ref="X32:AH32"/>
    <mergeCell ref="AI32:AT32"/>
    <mergeCell ref="AU32:BF3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47:L52"/>
    <mergeCell ref="M47:W52"/>
    <mergeCell ref="X47:AH52"/>
    <mergeCell ref="AI47:AT52"/>
    <mergeCell ref="AU47:BF52"/>
    <mergeCell ref="B54:L59"/>
    <mergeCell ref="M54:W59"/>
    <mergeCell ref="X54:AH59"/>
    <mergeCell ref="AI54:AT59"/>
    <mergeCell ref="AU54:BF59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11:L17"/>
    <mergeCell ref="M11:W17"/>
    <mergeCell ref="X11:AH17"/>
    <mergeCell ref="AI11:AT17"/>
    <mergeCell ref="X18:AH18"/>
    <mergeCell ref="B18:L18"/>
    <mergeCell ref="M18:W18"/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0" t="s">
        <v>227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</row>
    <row r="3" spans="2:47" ht="20.15" customHeight="1" x14ac:dyDescent="0.25">
      <c r="B3" s="184" t="s">
        <v>181</v>
      </c>
      <c r="C3" s="182" t="s">
        <v>163</v>
      </c>
      <c r="D3" s="194"/>
      <c r="E3" s="194"/>
      <c r="F3" s="194"/>
      <c r="G3" s="194"/>
      <c r="H3" s="195"/>
      <c r="I3" s="198" t="s">
        <v>8</v>
      </c>
      <c r="J3" s="194"/>
      <c r="K3" s="194"/>
      <c r="L3" s="194"/>
      <c r="M3" s="194"/>
      <c r="N3" s="194"/>
      <c r="O3" s="194"/>
      <c r="P3" s="199"/>
      <c r="Q3" s="182" t="s">
        <v>77</v>
      </c>
      <c r="R3" s="194"/>
      <c r="S3" s="199"/>
      <c r="T3" s="182" t="s">
        <v>10</v>
      </c>
      <c r="U3" s="194"/>
      <c r="V3" s="194"/>
      <c r="W3" s="199"/>
      <c r="X3" s="182" t="s">
        <v>80</v>
      </c>
      <c r="Y3" s="183"/>
      <c r="Z3" s="182" t="s">
        <v>11</v>
      </c>
      <c r="AA3" s="183"/>
      <c r="AB3" s="13" t="s">
        <v>13</v>
      </c>
      <c r="AC3" s="182" t="s">
        <v>14</v>
      </c>
      <c r="AD3" s="183"/>
      <c r="AE3" s="223" t="s">
        <v>88</v>
      </c>
      <c r="AF3" s="224"/>
      <c r="AG3" s="224"/>
      <c r="AH3" s="224"/>
      <c r="AI3" s="224"/>
      <c r="AJ3" s="224"/>
      <c r="AK3" s="225"/>
      <c r="AL3" s="182" t="s">
        <v>18</v>
      </c>
      <c r="AM3" s="190"/>
      <c r="AN3" s="191"/>
      <c r="AO3" s="190" t="s">
        <v>16</v>
      </c>
      <c r="AP3" s="190"/>
      <c r="AQ3" s="190"/>
      <c r="AR3" s="193"/>
    </row>
    <row r="4" spans="2:47" ht="30" customHeight="1" x14ac:dyDescent="0.25">
      <c r="B4" s="185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6" t="s">
        <v>62</v>
      </c>
      <c r="J4" s="197"/>
      <c r="K4" s="3" t="s">
        <v>6</v>
      </c>
      <c r="L4" s="3" t="s">
        <v>66</v>
      </c>
      <c r="M4" s="3" t="s">
        <v>164</v>
      </c>
      <c r="N4" s="3" t="s">
        <v>165</v>
      </c>
      <c r="O4" s="170" t="s">
        <v>7</v>
      </c>
      <c r="P4" s="174"/>
      <c r="Q4" s="187" t="s">
        <v>71</v>
      </c>
      <c r="R4" s="174"/>
      <c r="S4" s="3" t="s">
        <v>51</v>
      </c>
      <c r="T4" s="3" t="s">
        <v>75</v>
      </c>
      <c r="U4" s="187" t="s">
        <v>78</v>
      </c>
      <c r="V4" s="174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88" t="s">
        <v>89</v>
      </c>
      <c r="AF4" s="189"/>
      <c r="AG4" s="188" t="s">
        <v>92</v>
      </c>
      <c r="AH4" s="189"/>
      <c r="AI4" s="10" t="s">
        <v>166</v>
      </c>
      <c r="AJ4" s="10" t="s">
        <v>167</v>
      </c>
      <c r="AK4" s="11" t="s">
        <v>115</v>
      </c>
      <c r="AL4" s="187" t="s">
        <v>110</v>
      </c>
      <c r="AM4" s="174"/>
      <c r="AN4" s="29" t="s">
        <v>111</v>
      </c>
      <c r="AO4" s="26" t="s">
        <v>12</v>
      </c>
      <c r="AP4" s="3" t="s">
        <v>1</v>
      </c>
      <c r="AQ4" s="172" t="s">
        <v>161</v>
      </c>
      <c r="AR4" s="192"/>
      <c r="AU4" s="20"/>
    </row>
    <row r="5" spans="2:47" ht="20.15" customHeight="1" x14ac:dyDescent="0.25">
      <c r="B5" s="1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449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101">
        <v>49.25130081176758</v>
      </c>
      <c r="D6" s="101">
        <v>19.656030654907227</v>
      </c>
      <c r="E6" s="101">
        <v>25.19230079650879</v>
      </c>
      <c r="F6" s="101"/>
      <c r="G6" s="101"/>
      <c r="H6" s="102">
        <v>416.1903076171875</v>
      </c>
      <c r="I6" s="103">
        <v>24.53342056274414</v>
      </c>
      <c r="J6" s="101"/>
      <c r="K6" s="101">
        <v>39.46759033203125</v>
      </c>
      <c r="L6" s="101">
        <v>1.4054360389709473</v>
      </c>
      <c r="M6" s="101">
        <v>110.8561019897461</v>
      </c>
      <c r="N6" s="101">
        <v>116.05180358886719</v>
      </c>
      <c r="O6" s="101">
        <v>0</v>
      </c>
      <c r="P6" s="101"/>
      <c r="Q6" s="101">
        <v>2.9198360443115234</v>
      </c>
      <c r="R6" s="101"/>
      <c r="S6" s="101">
        <v>143.6053009033203</v>
      </c>
      <c r="T6" s="101">
        <v>1.4574470520019531</v>
      </c>
      <c r="U6" s="101">
        <v>0.36182668805122375</v>
      </c>
      <c r="V6" s="101"/>
      <c r="W6" s="101">
        <v>93.20023345947266</v>
      </c>
      <c r="X6" s="101">
        <v>0.5600718855857849</v>
      </c>
      <c r="Y6" s="101" t="s">
        <v>4</v>
      </c>
      <c r="Z6" s="101">
        <v>0.8578125238418579</v>
      </c>
      <c r="AA6" s="101">
        <v>151.17909240722656</v>
      </c>
      <c r="AB6" s="101">
        <v>165.66839599609375</v>
      </c>
      <c r="AC6" s="101">
        <v>0.47334349155426025</v>
      </c>
      <c r="AD6" s="101">
        <v>156.51040649414062</v>
      </c>
      <c r="AE6" s="104"/>
      <c r="AF6" s="104"/>
      <c r="AG6" s="104"/>
      <c r="AH6" s="104"/>
      <c r="AI6" s="104"/>
      <c r="AJ6" s="104"/>
      <c r="AK6" s="104"/>
      <c r="AL6" s="101">
        <v>24.4719295501709</v>
      </c>
      <c r="AM6" s="105"/>
      <c r="AN6" s="106">
        <v>62.1781005859375</v>
      </c>
      <c r="AO6" s="107"/>
      <c r="AP6" s="108"/>
      <c r="AQ6" s="108">
        <v>0.18829570710659027</v>
      </c>
      <c r="AR6" s="109"/>
    </row>
    <row r="7" spans="2:47" ht="13.5" customHeight="1" x14ac:dyDescent="0.25">
      <c r="B7" s="14">
        <v>0.875</v>
      </c>
      <c r="C7" s="101">
        <v>49.15726089477539</v>
      </c>
      <c r="D7" s="101">
        <v>19.769969940185547</v>
      </c>
      <c r="E7" s="101">
        <v>25.088130950927734</v>
      </c>
      <c r="F7" s="101">
        <v>0.35768750309944153</v>
      </c>
      <c r="G7" s="101">
        <v>0</v>
      </c>
      <c r="H7" s="102">
        <v>415.7665100097656</v>
      </c>
      <c r="I7" s="103">
        <v>25.368919372558594</v>
      </c>
      <c r="J7" s="101">
        <v>0.025466307997703552</v>
      </c>
      <c r="K7" s="101">
        <v>39.503761291503906</v>
      </c>
      <c r="L7" s="101">
        <v>1.4038989543914795</v>
      </c>
      <c r="M7" s="101">
        <v>106.29879760742188</v>
      </c>
      <c r="N7" s="101">
        <v>113.60679626464844</v>
      </c>
      <c r="O7" s="101">
        <v>0</v>
      </c>
      <c r="P7" s="101">
        <v>25.22509765625</v>
      </c>
      <c r="Q7" s="101">
        <v>2.80743408203125</v>
      </c>
      <c r="R7" s="101">
        <v>2.77001953125</v>
      </c>
      <c r="S7" s="101">
        <v>142.78790283203125</v>
      </c>
      <c r="T7" s="101">
        <v>1.4555480480194092</v>
      </c>
      <c r="U7" s="101">
        <v>0.3600902855396271</v>
      </c>
      <c r="V7" s="101">
        <v>0.3600468635559082</v>
      </c>
      <c r="W7" s="101">
        <v>93.301513671875</v>
      </c>
      <c r="X7" s="101">
        <v>0.5601974129676819</v>
      </c>
      <c r="Y7" s="101" t="s">
        <v>82</v>
      </c>
      <c r="Z7" s="101">
        <v>0.857175886631012</v>
      </c>
      <c r="AA7" s="101">
        <v>150.44129943847656</v>
      </c>
      <c r="AB7" s="101">
        <v>165.531005859375</v>
      </c>
      <c r="AC7" s="101">
        <v>0.5069805979728699</v>
      </c>
      <c r="AD7" s="101">
        <v>156.32960510253906</v>
      </c>
      <c r="AE7" s="104"/>
      <c r="AF7" s="104"/>
      <c r="AG7" s="104"/>
      <c r="AH7" s="104"/>
      <c r="AI7" s="104"/>
      <c r="AJ7" s="104"/>
      <c r="AK7" s="104"/>
      <c r="AL7" s="101">
        <v>25.379770278930664</v>
      </c>
      <c r="AM7" s="105">
        <v>0.02370019443333149</v>
      </c>
      <c r="AN7" s="106">
        <v>60.40943145751953</v>
      </c>
      <c r="AO7" s="107"/>
      <c r="AP7" s="108"/>
      <c r="AQ7" s="108">
        <v>0.3059172034263611</v>
      </c>
      <c r="AR7" s="109">
        <v>0.000349792477209121</v>
      </c>
    </row>
    <row r="8" spans="2:47" ht="13.5" customHeight="1" x14ac:dyDescent="0.25">
      <c r="B8" s="41" t="s">
        <v>271</v>
      </c>
      <c r="C8" s="101">
        <v>49.265769958496094</v>
      </c>
      <c r="D8" s="101">
        <v>19.93815040588379</v>
      </c>
      <c r="E8" s="101">
        <v>25.749799728393555</v>
      </c>
      <c r="F8" s="101">
        <v>0.3583124876022339</v>
      </c>
      <c r="G8" s="101">
        <v>0</v>
      </c>
      <c r="H8" s="102">
        <v>415.7049865722656</v>
      </c>
      <c r="I8" s="103">
        <v>26.40696907043457</v>
      </c>
      <c r="J8" s="101">
        <v>0.025215819478034973</v>
      </c>
      <c r="K8" s="101">
        <v>39.44588851928711</v>
      </c>
      <c r="L8" s="101">
        <v>1.397117018699646</v>
      </c>
      <c r="M8" s="101">
        <v>109.12000274658203</v>
      </c>
      <c r="N8" s="101">
        <v>115.2416000366211</v>
      </c>
      <c r="O8" s="101">
        <v>0</v>
      </c>
      <c r="P8" s="101">
        <v>25.47998046875</v>
      </c>
      <c r="Q8" s="101">
        <v>3.132612943649292</v>
      </c>
      <c r="R8" s="101">
        <v>2.89111328125</v>
      </c>
      <c r="S8" s="101">
        <v>143.54750061035156</v>
      </c>
      <c r="T8" s="101">
        <v>1.4555480480194092</v>
      </c>
      <c r="U8" s="101">
        <v>0.3604891002178192</v>
      </c>
      <c r="V8" s="101">
        <v>0.3603828251361847</v>
      </c>
      <c r="W8" s="101">
        <v>93.1134262084961</v>
      </c>
      <c r="X8" s="101">
        <v>0.5600544810295105</v>
      </c>
      <c r="Y8" s="101" t="s">
        <v>82</v>
      </c>
      <c r="Z8" s="101">
        <v>0.859259307384491</v>
      </c>
      <c r="AA8" s="101">
        <v>150.32550048828125</v>
      </c>
      <c r="AB8" s="101">
        <v>165.39349365234375</v>
      </c>
      <c r="AC8" s="101">
        <v>0.5525174140930176</v>
      </c>
      <c r="AD8" s="101">
        <v>155.8231964111328</v>
      </c>
      <c r="AE8" s="104"/>
      <c r="AF8" s="104"/>
      <c r="AG8" s="104"/>
      <c r="AH8" s="104"/>
      <c r="AI8" s="104"/>
      <c r="AJ8" s="104"/>
      <c r="AK8" s="104"/>
      <c r="AL8" s="101">
        <v>22.82986068725586</v>
      </c>
      <c r="AM8" s="105">
        <v>0.023509765043854713</v>
      </c>
      <c r="AN8" s="106">
        <v>57.13251876831055</v>
      </c>
      <c r="AO8" s="107"/>
      <c r="AP8" s="108"/>
      <c r="AQ8" s="108">
        <v>0.3769530951976776</v>
      </c>
      <c r="AR8" s="109">
        <v>0.0003464965848252177</v>
      </c>
    </row>
    <row r="9" spans="2:47" ht="13.5" customHeight="1" x14ac:dyDescent="0.25">
      <c r="B9" s="14">
        <v>0.95833333333333337</v>
      </c>
      <c r="C9" s="101">
        <v>49.26939010620117</v>
      </c>
      <c r="D9" s="101">
        <v>20.100910186767578</v>
      </c>
      <c r="E9" s="101">
        <v>25.53597068786621</v>
      </c>
      <c r="F9" s="101">
        <v>0.3582812547683716</v>
      </c>
      <c r="G9" s="101">
        <v>0</v>
      </c>
      <c r="H9" s="102">
        <v>415.9245910644531</v>
      </c>
      <c r="I9" s="103">
        <v>27.24247932434082</v>
      </c>
      <c r="J9" s="101">
        <v>0.026902832090854645</v>
      </c>
      <c r="K9" s="101">
        <v>39.46036148071289</v>
      </c>
      <c r="L9" s="101">
        <v>1.393591046333313</v>
      </c>
      <c r="M9" s="101">
        <v>107.51409912109375</v>
      </c>
      <c r="N9" s="101">
        <v>116.50749969482422</v>
      </c>
      <c r="O9" s="101">
        <v>0</v>
      </c>
      <c r="P9" s="101">
        <v>25.5986328125</v>
      </c>
      <c r="Q9" s="101">
        <v>2.9933290481567383</v>
      </c>
      <c r="R9" s="101">
        <v>3.074951171875</v>
      </c>
      <c r="S9" s="101">
        <v>143.17849731445312</v>
      </c>
      <c r="T9" s="101">
        <v>1.457321047782898</v>
      </c>
      <c r="U9" s="101">
        <v>0.35926830768585205</v>
      </c>
      <c r="V9" s="101">
        <v>0.360289067029953</v>
      </c>
      <c r="W9" s="101">
        <v>92.58535766601562</v>
      </c>
      <c r="X9" s="101">
        <v>0.5609580278396606</v>
      </c>
      <c r="Y9" s="101" t="s">
        <v>82</v>
      </c>
      <c r="Z9" s="101">
        <v>0.8597223162651062</v>
      </c>
      <c r="AA9" s="101">
        <v>150.643798828125</v>
      </c>
      <c r="AB9" s="101">
        <v>165.54539489746094</v>
      </c>
      <c r="AC9" s="101">
        <v>0.4343532919883728</v>
      </c>
      <c r="AD9" s="101">
        <v>156.22830200195312</v>
      </c>
      <c r="AE9" s="104">
        <v>22</v>
      </c>
      <c r="AF9" s="104">
        <v>33</v>
      </c>
      <c r="AG9" s="104">
        <v>44</v>
      </c>
      <c r="AH9" s="104">
        <v>55</v>
      </c>
      <c r="AI9" s="104">
        <v>66</v>
      </c>
      <c r="AJ9" s="104">
        <v>77</v>
      </c>
      <c r="AK9" s="104">
        <v>88</v>
      </c>
      <c r="AL9" s="101">
        <v>27.82118034362793</v>
      </c>
      <c r="AM9" s="105">
        <v>0.023419922217726707</v>
      </c>
      <c r="AN9" s="106">
        <v>53.7217903137207</v>
      </c>
      <c r="AO9" s="107"/>
      <c r="AP9" s="108"/>
      <c r="AQ9" s="108">
        <v>0.4709925055503845</v>
      </c>
      <c r="AR9" s="109">
        <v>0.0003562927304301411</v>
      </c>
    </row>
    <row r="10" spans="2:47" ht="13.5" customHeight="1" x14ac:dyDescent="0.25">
      <c r="B10" s="41" t="s">
        <v>272</v>
      </c>
      <c r="C10" s="101">
        <v>50.097660064697266</v>
      </c>
      <c r="D10" s="101">
        <v>19.889320373535156</v>
      </c>
      <c r="E10" s="101">
        <v>25.465499877929688</v>
      </c>
      <c r="F10" s="101">
        <v>-8.24709415435791</v>
      </c>
      <c r="G10" s="101">
        <v>0</v>
      </c>
      <c r="H10" s="102">
        <v>414.1205139160156</v>
      </c>
      <c r="I10" s="103">
        <v>24.457469940185547</v>
      </c>
      <c r="J10" s="101">
        <v>-0.5969951152801514</v>
      </c>
      <c r="K10" s="101">
        <v>39.34461975097656</v>
      </c>
      <c r="L10" s="101">
        <v>1.399196982383728</v>
      </c>
      <c r="M10" s="101">
        <v>99.05056762695312</v>
      </c>
      <c r="N10" s="101">
        <v>105.41089630126953</v>
      </c>
      <c r="O10" s="101">
        <v>0</v>
      </c>
      <c r="P10" s="101">
        <v>-586.2158203125</v>
      </c>
      <c r="Q10" s="101">
        <v>2.995189905166626</v>
      </c>
      <c r="R10" s="101">
        <v>-67.073974609375</v>
      </c>
      <c r="S10" s="101">
        <v>143.43890380859375</v>
      </c>
      <c r="T10" s="101">
        <v>1.4578269720077515</v>
      </c>
      <c r="U10" s="101">
        <v>0.35893988609313965</v>
      </c>
      <c r="V10" s="101">
        <v>-8.282234191894531</v>
      </c>
      <c r="W10" s="101">
        <v>92.96151733398438</v>
      </c>
      <c r="X10" s="101">
        <v>0.559991717338562</v>
      </c>
      <c r="Y10" s="101" t="s">
        <v>82</v>
      </c>
      <c r="Z10" s="101">
        <v>0.8626158237457275</v>
      </c>
      <c r="AA10" s="101">
        <v>150.90420532226562</v>
      </c>
      <c r="AB10" s="101">
        <v>165.42250061035156</v>
      </c>
      <c r="AC10" s="101">
        <v>0.5235822200775146</v>
      </c>
      <c r="AD10" s="101">
        <v>155.7436065673828</v>
      </c>
      <c r="AE10" s="104"/>
      <c r="AF10" s="104"/>
      <c r="AG10" s="104"/>
      <c r="AH10" s="104"/>
      <c r="AI10" s="104"/>
      <c r="AJ10" s="104"/>
      <c r="AK10" s="104"/>
      <c r="AL10" s="101">
        <v>13.067850112915039</v>
      </c>
      <c r="AM10" s="105">
        <v>-0.533450186252594</v>
      </c>
      <c r="AN10" s="106">
        <v>63.14019012451172</v>
      </c>
      <c r="AO10" s="107"/>
      <c r="AP10" s="108"/>
      <c r="AQ10" s="108">
        <v>0.23061339557170868</v>
      </c>
      <c r="AR10" s="109">
        <v>-0.008098602294921875</v>
      </c>
    </row>
    <row r="11" spans="2:47" ht="13.5" customHeight="1" x14ac:dyDescent="0.25">
      <c r="B11" s="14">
        <v>4.1666666666666664E-2</v>
      </c>
      <c r="C11" s="101">
        <v>49.58406066894531</v>
      </c>
      <c r="D11" s="101">
        <v>19.878469467163086</v>
      </c>
      <c r="E11" s="101">
        <v>420.7412109375</v>
      </c>
      <c r="F11" s="101">
        <v>0.3616875112056732</v>
      </c>
      <c r="G11" s="101">
        <v>0</v>
      </c>
      <c r="H11" s="102">
        <v>414.0834045410156</v>
      </c>
      <c r="I11" s="103">
        <v>23.216869354248047</v>
      </c>
      <c r="J11" s="101">
        <v>0.024088378995656967</v>
      </c>
      <c r="K11" s="101">
        <v>39.474830627441406</v>
      </c>
      <c r="L11" s="101">
        <v>1.4011859893798828</v>
      </c>
      <c r="M11" s="101">
        <v>105.50669860839844</v>
      </c>
      <c r="N11" s="101">
        <v>112.21790313720703</v>
      </c>
      <c r="O11" s="101">
        <v>0</v>
      </c>
      <c r="P11" s="101">
        <v>25.4658203125</v>
      </c>
      <c r="Q11" s="101">
        <v>2.761425018310547</v>
      </c>
      <c r="R11" s="101">
        <v>2.8779296875</v>
      </c>
      <c r="S11" s="101">
        <v>143.02659606933594</v>
      </c>
      <c r="T11" s="101">
        <v>1.4561810493469238</v>
      </c>
      <c r="U11" s="101">
        <v>0.35984909534454346</v>
      </c>
      <c r="V11" s="101">
        <v>0.36006250977516174</v>
      </c>
      <c r="W11" s="101">
        <v>92.7517318725586</v>
      </c>
      <c r="X11" s="101">
        <v>0.5599462985992432</v>
      </c>
      <c r="Y11" s="101" t="s">
        <v>82</v>
      </c>
      <c r="Z11" s="101">
        <v>0.8565971851348877</v>
      </c>
      <c r="AA11" s="101">
        <v>150.53529357910156</v>
      </c>
      <c r="AB11" s="101">
        <v>165.32839965820312</v>
      </c>
      <c r="AC11" s="101">
        <v>0.39966729283332825</v>
      </c>
      <c r="AD11" s="101">
        <v>156.01849365234375</v>
      </c>
      <c r="AE11" s="104"/>
      <c r="AF11" s="104"/>
      <c r="AG11" s="104"/>
      <c r="AH11" s="104"/>
      <c r="AI11" s="104"/>
      <c r="AJ11" s="104"/>
      <c r="AK11" s="104"/>
      <c r="AL11" s="101">
        <v>25.119359970092773</v>
      </c>
      <c r="AM11" s="105">
        <v>0.022809570655226707</v>
      </c>
      <c r="AN11" s="106">
        <v>59.910301208496094</v>
      </c>
      <c r="AO11" s="107"/>
      <c r="AP11" s="108"/>
      <c r="AQ11" s="108">
        <v>0.3177083134651184</v>
      </c>
      <c r="AR11" s="109">
        <v>0.00034881592728197575</v>
      </c>
    </row>
    <row r="12" spans="2:47" ht="13.5" customHeight="1" x14ac:dyDescent="0.25">
      <c r="B12" s="41" t="s">
        <v>273</v>
      </c>
      <c r="C12" s="101">
        <v>49.65277862548828</v>
      </c>
      <c r="D12" s="101">
        <v>19.90018081665039</v>
      </c>
      <c r="E12" s="101">
        <v>420.252197265625</v>
      </c>
      <c r="F12" s="101">
        <v>0.3617187440395355</v>
      </c>
      <c r="G12" s="101">
        <v>0</v>
      </c>
      <c r="H12" s="102">
        <v>414.0455017089844</v>
      </c>
      <c r="I12" s="103">
        <v>24.052370071411133</v>
      </c>
      <c r="J12" s="101">
        <v>0.02365966886281967</v>
      </c>
      <c r="K12" s="101">
        <v>39.39524841308594</v>
      </c>
      <c r="L12" s="101">
        <v>1.40127694606781</v>
      </c>
      <c r="M12" s="101">
        <v>107.01499938964844</v>
      </c>
      <c r="N12" s="101">
        <v>111.7477035522461</v>
      </c>
      <c r="O12" s="101">
        <v>0</v>
      </c>
      <c r="P12" s="101">
        <v>25.2919921875</v>
      </c>
      <c r="Q12" s="101">
        <v>3.0116610527038574</v>
      </c>
      <c r="R12" s="101">
        <v>2.757080078125</v>
      </c>
      <c r="S12" s="101">
        <v>143.43890380859375</v>
      </c>
      <c r="T12" s="101">
        <v>1.4585859775543213</v>
      </c>
      <c r="U12" s="101">
        <v>0.3597820997238159</v>
      </c>
      <c r="V12" s="101">
        <v>0.3603437542915344</v>
      </c>
      <c r="W12" s="101">
        <v>92.8240737915039</v>
      </c>
      <c r="X12" s="101">
        <v>0.5598850250244141</v>
      </c>
      <c r="Y12" s="101" t="s">
        <v>82</v>
      </c>
      <c r="Z12" s="101">
        <v>0.8586806058883667</v>
      </c>
      <c r="AA12" s="101">
        <v>150.70889282226562</v>
      </c>
      <c r="AB12" s="101">
        <v>165.37179565429688</v>
      </c>
      <c r="AC12" s="101">
        <v>0.45894819498062134</v>
      </c>
      <c r="AD12" s="101">
        <v>156.06190490722656</v>
      </c>
      <c r="AE12" s="104"/>
      <c r="AF12" s="104"/>
      <c r="AG12" s="104"/>
      <c r="AH12" s="104"/>
      <c r="AI12" s="104"/>
      <c r="AJ12" s="104"/>
      <c r="AK12" s="104"/>
      <c r="AL12" s="101">
        <v>22.605609893798828</v>
      </c>
      <c r="AM12" s="105">
        <v>0.02283007837831974</v>
      </c>
      <c r="AN12" s="106">
        <v>56.47063064575195</v>
      </c>
      <c r="AO12" s="107"/>
      <c r="AP12" s="108"/>
      <c r="AQ12" s="108">
        <v>0.47468170523643494</v>
      </c>
      <c r="AR12" s="109">
        <v>0.00033868406899273396</v>
      </c>
    </row>
    <row r="13" spans="2:47" ht="13.5" customHeight="1" x14ac:dyDescent="0.25">
      <c r="B13" s="14">
        <v>0.125</v>
      </c>
      <c r="C13" s="101">
        <v>49.992759704589844</v>
      </c>
      <c r="D13" s="101">
        <v>19.889320373535156</v>
      </c>
      <c r="E13" s="101">
        <v>420.1929016113281</v>
      </c>
      <c r="F13" s="101">
        <v>0.36159375309944153</v>
      </c>
      <c r="G13" s="101">
        <v>0</v>
      </c>
      <c r="H13" s="102">
        <v>413.8511047363281</v>
      </c>
      <c r="I13" s="103">
        <v>25.292970657348633</v>
      </c>
      <c r="J13" s="101">
        <v>0.024479979649186134</v>
      </c>
      <c r="K13" s="101">
        <v>39.28675079345703</v>
      </c>
      <c r="L13" s="101">
        <v>1.397840976715088</v>
      </c>
      <c r="M13" s="101">
        <v>110.8290023803711</v>
      </c>
      <c r="N13" s="101">
        <v>115.32839965820312</v>
      </c>
      <c r="O13" s="101">
        <v>0</v>
      </c>
      <c r="P13" s="101">
        <v>25.26904296875</v>
      </c>
      <c r="Q13" s="101">
        <v>2.7448599338531494</v>
      </c>
      <c r="R13" s="101">
        <v>2.843017578125</v>
      </c>
      <c r="S13" s="101">
        <v>142.6793975830078</v>
      </c>
      <c r="T13" s="101">
        <v>1.4555480480194092</v>
      </c>
      <c r="U13" s="101">
        <v>0.3585743010044098</v>
      </c>
      <c r="V13" s="101">
        <v>0.3600390553474426</v>
      </c>
      <c r="W13" s="101">
        <v>92.74449920654297</v>
      </c>
      <c r="X13" s="101">
        <v>0.5604103207588196</v>
      </c>
      <c r="Y13" s="101" t="s">
        <v>82</v>
      </c>
      <c r="Z13" s="101">
        <v>0.8609374761581421</v>
      </c>
      <c r="AA13" s="101">
        <v>150.4051055908203</v>
      </c>
      <c r="AB13" s="101">
        <v>165.4080047607422</v>
      </c>
      <c r="AC13" s="101">
        <v>0.5379412770271301</v>
      </c>
      <c r="AD13" s="101">
        <v>156.32960510253906</v>
      </c>
      <c r="AE13" s="104"/>
      <c r="AF13" s="104"/>
      <c r="AG13" s="104"/>
      <c r="AH13" s="104"/>
      <c r="AI13" s="104"/>
      <c r="AJ13" s="104"/>
      <c r="AK13" s="104"/>
      <c r="AL13" s="101">
        <v>24.305559158325195</v>
      </c>
      <c r="AM13" s="105">
        <v>0.022840820252895355</v>
      </c>
      <c r="AN13" s="106">
        <v>53.03818893432617</v>
      </c>
      <c r="AO13" s="107"/>
      <c r="AP13" s="108"/>
      <c r="AQ13" s="108">
        <v>0.43735530972480774</v>
      </c>
      <c r="AR13" s="109">
        <v>0.00034719848190434277</v>
      </c>
    </row>
    <row r="14" spans="2:47" ht="13.5" customHeight="1" x14ac:dyDescent="0.25">
      <c r="B14" s="14">
        <v>0.16666666666666666</v>
      </c>
      <c r="C14" s="101">
        <v>49.98915100097656</v>
      </c>
      <c r="D14" s="101">
        <v>19.92729949951172</v>
      </c>
      <c r="E14" s="101">
        <v>419.9599914550781</v>
      </c>
      <c r="F14" s="101">
        <v>0.3618125021457672</v>
      </c>
      <c r="G14" s="101">
        <v>0</v>
      </c>
      <c r="H14" s="102">
        <v>413.84539794921875</v>
      </c>
      <c r="I14" s="103">
        <v>25.419559478759766</v>
      </c>
      <c r="J14" s="101">
        <v>0.02501220628619194</v>
      </c>
      <c r="K14" s="101">
        <v>39.34461975097656</v>
      </c>
      <c r="L14" s="101">
        <v>1.39901602268219</v>
      </c>
      <c r="M14" s="101">
        <v>107.55750274658203</v>
      </c>
      <c r="N14" s="101">
        <v>111.5740966796875</v>
      </c>
      <c r="O14" s="101">
        <v>0</v>
      </c>
      <c r="P14" s="101">
        <v>25.3681640625</v>
      </c>
      <c r="Q14" s="101">
        <v>2.82584810256958</v>
      </c>
      <c r="R14" s="101">
        <v>2.60498046875</v>
      </c>
      <c r="S14" s="101">
        <v>143.16409301757812</v>
      </c>
      <c r="T14" s="101">
        <v>1.4579540491104126</v>
      </c>
      <c r="U14" s="101">
        <v>0.3578382134437561</v>
      </c>
      <c r="V14" s="101">
        <v>0.36140623688697815</v>
      </c>
      <c r="W14" s="101">
        <v>93.25086975097656</v>
      </c>
      <c r="X14" s="101">
        <v>0.5612450242042542</v>
      </c>
      <c r="Y14" s="101" t="s">
        <v>82</v>
      </c>
      <c r="Z14" s="101">
        <v>0.8541666865348816</v>
      </c>
      <c r="AA14" s="101">
        <v>150.4268035888672</v>
      </c>
      <c r="AB14" s="101">
        <v>165.29220581054688</v>
      </c>
      <c r="AC14" s="101">
        <v>0.46990740299224854</v>
      </c>
      <c r="AD14" s="101">
        <v>156.14149475097656</v>
      </c>
      <c r="AE14" s="104"/>
      <c r="AF14" s="104"/>
      <c r="AG14" s="104"/>
      <c r="AH14" s="104"/>
      <c r="AI14" s="104"/>
      <c r="AJ14" s="104"/>
      <c r="AK14" s="104"/>
      <c r="AL14" s="101">
        <v>23.857059478759766</v>
      </c>
      <c r="AM14" s="105">
        <v>0.022809570655226707</v>
      </c>
      <c r="AN14" s="106">
        <v>49.641929626464844</v>
      </c>
      <c r="AO14" s="107"/>
      <c r="AP14" s="108"/>
      <c r="AQ14" s="108">
        <v>0.3743489980697632</v>
      </c>
      <c r="AR14" s="109">
        <v>0.00033761595841497183</v>
      </c>
    </row>
    <row r="15" spans="2:47" ht="13.5" customHeight="1" x14ac:dyDescent="0.25">
      <c r="B15" s="14">
        <v>0.20833333333333334</v>
      </c>
      <c r="C15" s="101">
        <v>50.26765060424805</v>
      </c>
      <c r="D15" s="101">
        <v>19.911029815673828</v>
      </c>
      <c r="E15" s="101">
        <v>424.0089111328125</v>
      </c>
      <c r="F15" s="101">
        <v>0.3617812395095825</v>
      </c>
      <c r="G15" s="101">
        <v>0</v>
      </c>
      <c r="H15" s="102">
        <v>414.2445983886719</v>
      </c>
      <c r="I15" s="103">
        <v>24.83724021911621</v>
      </c>
      <c r="J15" s="101">
        <v>0.025525879114866257</v>
      </c>
      <c r="K15" s="101">
        <v>39.37355041503906</v>
      </c>
      <c r="L15" s="101">
        <v>1.4026329517364502</v>
      </c>
      <c r="M15" s="101">
        <v>107.33509826660156</v>
      </c>
      <c r="N15" s="101">
        <v>111.06050109863281</v>
      </c>
      <c r="O15" s="101">
        <v>0</v>
      </c>
      <c r="P15" s="101">
        <v>25.505859375</v>
      </c>
      <c r="Q15" s="101">
        <v>2.780924081802368</v>
      </c>
      <c r="R15" s="101">
        <v>2.97705078125</v>
      </c>
      <c r="S15" s="101">
        <v>142.63600158691406</v>
      </c>
      <c r="T15" s="101">
        <v>1.4549150466918945</v>
      </c>
      <c r="U15" s="101">
        <v>0.36045539379119873</v>
      </c>
      <c r="V15" s="101">
        <v>0.36024999618530273</v>
      </c>
      <c r="W15" s="101">
        <v>93.04107666015625</v>
      </c>
      <c r="X15" s="101">
        <v>0.5585188269615173</v>
      </c>
      <c r="Y15" s="101" t="s">
        <v>82</v>
      </c>
      <c r="Z15" s="101">
        <v>0.8552083969116211</v>
      </c>
      <c r="AA15" s="101">
        <v>150.1230010986328</v>
      </c>
      <c r="AB15" s="101">
        <v>165.28500366210938</v>
      </c>
      <c r="AC15" s="101">
        <v>0.44730180501937866</v>
      </c>
      <c r="AD15" s="101">
        <v>156.17770385742188</v>
      </c>
      <c r="AE15" s="104"/>
      <c r="AF15" s="104"/>
      <c r="AG15" s="104"/>
      <c r="AH15" s="104"/>
      <c r="AI15" s="104"/>
      <c r="AJ15" s="104"/>
      <c r="AK15" s="104"/>
      <c r="AL15" s="101">
        <v>24.486400604248047</v>
      </c>
      <c r="AM15" s="105">
        <v>0.02286035194993019</v>
      </c>
      <c r="AN15" s="106">
        <v>46.24203872680664</v>
      </c>
      <c r="AO15" s="107"/>
      <c r="AP15" s="108"/>
      <c r="AQ15" s="108">
        <v>0.42983219027519226</v>
      </c>
      <c r="AR15" s="109">
        <v>0.0003436889674048871</v>
      </c>
    </row>
    <row r="16" spans="2:47" ht="13.5" customHeight="1" x14ac:dyDescent="0.25">
      <c r="B16" s="14">
        <v>0.25</v>
      </c>
      <c r="C16" s="101">
        <v>50.40871047973633</v>
      </c>
      <c r="D16" s="101">
        <v>19.91645050048828</v>
      </c>
      <c r="E16" s="101">
        <v>25.469499588012695</v>
      </c>
      <c r="F16" s="101">
        <v>0.3592187464237213</v>
      </c>
      <c r="G16" s="101">
        <v>0</v>
      </c>
      <c r="H16" s="102">
        <v>415.1221008300781</v>
      </c>
      <c r="I16" s="103">
        <v>25.976560592651367</v>
      </c>
      <c r="J16" s="101">
        <v>0.02579003944993019</v>
      </c>
      <c r="K16" s="101">
        <v>39.35908889770508</v>
      </c>
      <c r="L16" s="101">
        <v>1.3981120586395264</v>
      </c>
      <c r="M16" s="101">
        <v>107.5521011352539</v>
      </c>
      <c r="N16" s="101">
        <v>109.41120147705078</v>
      </c>
      <c r="O16" s="101">
        <v>0</v>
      </c>
      <c r="P16" s="101">
        <v>25.52587890625</v>
      </c>
      <c r="Q16" s="101">
        <v>3.1328060626983643</v>
      </c>
      <c r="R16" s="101">
        <v>2.923828125</v>
      </c>
      <c r="S16" s="101">
        <v>143.42449951171875</v>
      </c>
      <c r="T16" s="101">
        <v>1.4546619653701782</v>
      </c>
      <c r="U16" s="101">
        <v>0.3610810935497284</v>
      </c>
      <c r="V16" s="101">
        <v>0.3597734272480011</v>
      </c>
      <c r="W16" s="101">
        <v>93.20023345947266</v>
      </c>
      <c r="X16" s="101">
        <v>0.5597826838493347</v>
      </c>
      <c r="Y16" s="101" t="s">
        <v>82</v>
      </c>
      <c r="Z16" s="101">
        <v>0.8597223162651062</v>
      </c>
      <c r="AA16" s="101">
        <v>150.5207977294922</v>
      </c>
      <c r="AB16" s="101">
        <v>165.1331024169922</v>
      </c>
      <c r="AC16" s="101">
        <v>0.5198928713798523</v>
      </c>
      <c r="AD16" s="101">
        <v>155.7001953125</v>
      </c>
      <c r="AE16" s="104"/>
      <c r="AF16" s="104"/>
      <c r="AG16" s="104"/>
      <c r="AH16" s="104"/>
      <c r="AI16" s="104"/>
      <c r="AJ16" s="104"/>
      <c r="AK16" s="104"/>
      <c r="AL16" s="101">
        <v>20.988859176635742</v>
      </c>
      <c r="AM16" s="105">
        <v>0.022719725966453552</v>
      </c>
      <c r="AN16" s="106">
        <v>42.9976806640625</v>
      </c>
      <c r="AO16" s="107"/>
      <c r="AP16" s="108"/>
      <c r="AQ16" s="108">
        <v>0.24602140486240387</v>
      </c>
      <c r="AR16" s="109">
        <v>0.00034991453867405653</v>
      </c>
    </row>
    <row r="17" spans="2:44" ht="13.5" customHeight="1" x14ac:dyDescent="0.25">
      <c r="B17" s="14">
        <v>0.29166666666666669</v>
      </c>
      <c r="C17" s="101">
        <v>50.043399810791016</v>
      </c>
      <c r="D17" s="101">
        <v>19.954429626464844</v>
      </c>
      <c r="E17" s="101">
        <v>25.57015037536621</v>
      </c>
      <c r="F17" s="101">
        <v>0.3566874861717224</v>
      </c>
      <c r="G17" s="101">
        <v>0</v>
      </c>
      <c r="H17" s="102">
        <v>415.5509948730469</v>
      </c>
      <c r="I17" s="103">
        <v>26.963979721069336</v>
      </c>
      <c r="J17" s="101">
        <v>0.02636425755918026</v>
      </c>
      <c r="K17" s="101">
        <v>39.53269958496094</v>
      </c>
      <c r="L17" s="101">
        <v>1.3987449407577515</v>
      </c>
      <c r="M17" s="101">
        <v>98.51345825195312</v>
      </c>
      <c r="N17" s="101">
        <v>103.43609619140625</v>
      </c>
      <c r="O17" s="101">
        <v>0</v>
      </c>
      <c r="P17" s="101">
        <v>25.6240234375</v>
      </c>
      <c r="Q17" s="101">
        <v>2.8612430095672607</v>
      </c>
      <c r="R17" s="101">
        <v>2.860107421875</v>
      </c>
      <c r="S17" s="101">
        <v>142.72279357910156</v>
      </c>
      <c r="T17" s="101">
        <v>1.457321047782898</v>
      </c>
      <c r="U17" s="101">
        <v>0.3604840040206909</v>
      </c>
      <c r="V17" s="101">
        <v>0.36112499237060547</v>
      </c>
      <c r="W17" s="101">
        <v>92.84577178955078</v>
      </c>
      <c r="X17" s="101">
        <v>0.5588347911834717</v>
      </c>
      <c r="Y17" s="101" t="s">
        <v>82</v>
      </c>
      <c r="Z17" s="101">
        <v>0.856886625289917</v>
      </c>
      <c r="AA17" s="101">
        <v>149.74679565429688</v>
      </c>
      <c r="AB17" s="101">
        <v>165.16929626464844</v>
      </c>
      <c r="AC17" s="101">
        <v>0.45240160822868347</v>
      </c>
      <c r="AD17" s="101">
        <v>156.1920928955078</v>
      </c>
      <c r="AE17" s="104"/>
      <c r="AF17" s="104"/>
      <c r="AG17" s="104"/>
      <c r="AH17" s="104"/>
      <c r="AI17" s="104"/>
      <c r="AJ17" s="104"/>
      <c r="AK17" s="104"/>
      <c r="AL17" s="101">
        <v>22.113710403442383</v>
      </c>
      <c r="AM17" s="105">
        <v>0.022570312023162842</v>
      </c>
      <c r="AN17" s="106">
        <v>39.63758087158203</v>
      </c>
      <c r="AO17" s="107"/>
      <c r="AP17" s="108"/>
      <c r="AQ17" s="108">
        <v>0.42607060074806213</v>
      </c>
      <c r="AR17" s="109">
        <v>0.0003401794529054314</v>
      </c>
    </row>
    <row r="18" spans="2:44" ht="13.5" customHeight="1" x14ac:dyDescent="0.25">
      <c r="B18" s="42">
        <v>0.33333333333333331</v>
      </c>
      <c r="C18" s="110"/>
      <c r="D18" s="110"/>
      <c r="E18" s="110"/>
      <c r="F18" s="110"/>
      <c r="G18" s="110"/>
      <c r="H18" s="111"/>
      <c r="I18" s="112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3"/>
      <c r="AF18" s="113"/>
      <c r="AG18" s="113"/>
      <c r="AH18" s="113"/>
      <c r="AI18" s="113"/>
      <c r="AJ18" s="113"/>
      <c r="AK18" s="113"/>
      <c r="AL18" s="110"/>
      <c r="AM18" s="114"/>
      <c r="AN18" s="115"/>
      <c r="AO18" s="107"/>
      <c r="AP18" s="108"/>
      <c r="AQ18" s="108"/>
      <c r="AR18" s="116"/>
    </row>
    <row r="19" spans="2:44" ht="18" customHeight="1" x14ac:dyDescent="0.25">
      <c r="B19" s="200" t="s">
        <v>181</v>
      </c>
      <c r="C19" s="36" t="s">
        <v>168</v>
      </c>
      <c r="D19" s="36" t="s">
        <v>171</v>
      </c>
      <c r="E19" s="159" t="s">
        <v>17</v>
      </c>
      <c r="F19" s="214"/>
      <c r="G19" s="215"/>
      <c r="H19" s="216" t="s">
        <v>108</v>
      </c>
      <c r="I19" s="214"/>
      <c r="J19" s="214"/>
      <c r="K19" s="214"/>
      <c r="L19" s="179"/>
      <c r="M19" s="217" t="s">
        <v>123</v>
      </c>
      <c r="N19" s="214"/>
      <c r="O19" s="214"/>
      <c r="P19" s="214"/>
      <c r="Q19" s="215"/>
      <c r="R19" s="216" t="s">
        <v>147</v>
      </c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5"/>
      <c r="AG19" s="178" t="s">
        <v>24</v>
      </c>
      <c r="AH19" s="215"/>
      <c r="AI19" s="226" t="s">
        <v>173</v>
      </c>
      <c r="AJ19" s="227"/>
      <c r="AK19" s="227"/>
      <c r="AL19" s="227"/>
      <c r="AM19" s="228"/>
      <c r="AN19" s="178" t="s">
        <v>47</v>
      </c>
      <c r="AO19" s="218"/>
      <c r="AP19" s="214" t="s">
        <v>180</v>
      </c>
      <c r="AQ19" s="219"/>
      <c r="AR19" s="220"/>
    </row>
    <row r="20" spans="2:44" ht="20.15" customHeight="1" x14ac:dyDescent="0.25">
      <c r="B20" s="201"/>
      <c r="C20" s="3" t="s">
        <v>169</v>
      </c>
      <c r="D20" s="3" t="s">
        <v>113</v>
      </c>
      <c r="E20" s="3" t="s">
        <v>15</v>
      </c>
      <c r="F20" s="170" t="s">
        <v>100</v>
      </c>
      <c r="G20" s="174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72" t="s">
        <v>148</v>
      </c>
      <c r="AE20" s="174"/>
      <c r="AF20" s="17" t="s">
        <v>151</v>
      </c>
      <c r="AG20" s="17" t="s">
        <v>153</v>
      </c>
      <c r="AH20" s="17" t="s">
        <v>155</v>
      </c>
      <c r="AI20" s="188" t="s">
        <v>89</v>
      </c>
      <c r="AJ20" s="189"/>
      <c r="AK20" s="188" t="s">
        <v>92</v>
      </c>
      <c r="AL20" s="189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201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101">
        <v>-81.77806854248047</v>
      </c>
      <c r="D22" s="101">
        <v>-84.01331329345703</v>
      </c>
      <c r="E22" s="101">
        <v>44.91463851928711</v>
      </c>
      <c r="F22" s="101">
        <v>0.10402200371026993</v>
      </c>
      <c r="G22" s="101"/>
      <c r="H22" s="101"/>
      <c r="I22" s="101"/>
      <c r="J22" s="101"/>
      <c r="K22" s="101"/>
      <c r="L22" s="102"/>
      <c r="M22" s="117">
        <v>70.5837631225586</v>
      </c>
      <c r="N22" s="101">
        <v>48.7413215637207</v>
      </c>
      <c r="O22" s="101">
        <v>0</v>
      </c>
      <c r="P22" s="101">
        <v>50</v>
      </c>
      <c r="Q22" s="101">
        <v>2.8098959922790527</v>
      </c>
      <c r="R22" s="101">
        <v>19.82784080505371</v>
      </c>
      <c r="S22" s="118">
        <v>90.84201049804688</v>
      </c>
      <c r="T22" s="118">
        <v>0</v>
      </c>
      <c r="U22" s="118">
        <v>0</v>
      </c>
      <c r="V22" s="118">
        <v>10.574000358581543</v>
      </c>
      <c r="W22" s="118">
        <v>95.64344787597656</v>
      </c>
      <c r="X22" s="118">
        <v>30</v>
      </c>
      <c r="Y22" s="118">
        <v>62.099788665771484</v>
      </c>
      <c r="Z22" s="118">
        <v>16.08254051208496</v>
      </c>
      <c r="AA22" s="118">
        <v>18.67947006225586</v>
      </c>
      <c r="AB22" s="118"/>
      <c r="AC22" s="105"/>
      <c r="AD22" s="105">
        <v>0</v>
      </c>
      <c r="AE22" s="105"/>
      <c r="AF22" s="105"/>
      <c r="AG22" s="105">
        <v>22.214990615844727</v>
      </c>
      <c r="AH22" s="105"/>
      <c r="AI22" s="119"/>
      <c r="AJ22" s="119"/>
      <c r="AK22" s="119"/>
      <c r="AL22" s="119"/>
      <c r="AM22" s="119"/>
      <c r="AN22" s="105">
        <v>77.43055725097656</v>
      </c>
      <c r="AO22" s="106">
        <v>75.57869720458984</v>
      </c>
      <c r="AP22" s="107">
        <v>24.495439529418945</v>
      </c>
      <c r="AQ22" s="108">
        <v>38.722511291503906</v>
      </c>
      <c r="AR22" s="109">
        <v>-89.99565887451172</v>
      </c>
    </row>
    <row r="23" spans="2:44" ht="13.5" customHeight="1" x14ac:dyDescent="0.25">
      <c r="B23" s="14">
        <v>0.875</v>
      </c>
      <c r="C23" s="101">
        <v>-81.45977783203125</v>
      </c>
      <c r="D23" s="101">
        <v>-83.90480041503906</v>
      </c>
      <c r="E23" s="101">
        <v>44.77357864379883</v>
      </c>
      <c r="F23" s="101">
        <v>0.10120079666376114</v>
      </c>
      <c r="G23" s="101">
        <v>0.00010202026169281453</v>
      </c>
      <c r="H23" s="101"/>
      <c r="I23" s="101"/>
      <c r="J23" s="101"/>
      <c r="K23" s="101"/>
      <c r="L23" s="102"/>
      <c r="M23" s="117">
        <v>70.61992645263672</v>
      </c>
      <c r="N23" s="101">
        <v>50.18083953857422</v>
      </c>
      <c r="O23" s="101">
        <v>0</v>
      </c>
      <c r="P23" s="101">
        <v>50</v>
      </c>
      <c r="Q23" s="101">
        <v>2.781683921813965</v>
      </c>
      <c r="R23" s="101">
        <v>19.0718994140625</v>
      </c>
      <c r="S23" s="118">
        <v>94.07913970947266</v>
      </c>
      <c r="T23" s="118">
        <v>0</v>
      </c>
      <c r="U23" s="118">
        <v>0</v>
      </c>
      <c r="V23" s="118">
        <v>16.107860565185547</v>
      </c>
      <c r="W23" s="118">
        <v>86.68620300292969</v>
      </c>
      <c r="X23" s="118">
        <v>28.941659927368164</v>
      </c>
      <c r="Y23" s="118">
        <v>59.9470100402832</v>
      </c>
      <c r="Z23" s="118">
        <v>15.507450103759766</v>
      </c>
      <c r="AA23" s="118">
        <v>18.033859252929688</v>
      </c>
      <c r="AB23" s="118"/>
      <c r="AC23" s="105"/>
      <c r="AD23" s="105">
        <v>0</v>
      </c>
      <c r="AE23" s="105">
        <v>0.00034490966936573386</v>
      </c>
      <c r="AF23" s="105"/>
      <c r="AG23" s="105">
        <v>31.228300094604492</v>
      </c>
      <c r="AH23" s="105"/>
      <c r="AI23" s="119"/>
      <c r="AJ23" s="119"/>
      <c r="AK23" s="119"/>
      <c r="AL23" s="119"/>
      <c r="AM23" s="119"/>
      <c r="AN23" s="105">
        <v>75.8318862915039</v>
      </c>
      <c r="AO23" s="106">
        <v>52.22800827026367</v>
      </c>
      <c r="AP23" s="107">
        <v>27.40704917907715</v>
      </c>
      <c r="AQ23" s="108">
        <v>38.25593185424805</v>
      </c>
      <c r="AR23" s="109">
        <v>-89.18184661865234</v>
      </c>
    </row>
    <row r="24" spans="2:44" ht="13.5" customHeight="1" x14ac:dyDescent="0.25">
      <c r="B24" s="41" t="s">
        <v>271</v>
      </c>
      <c r="C24" s="101">
        <v>-81.4959487915039</v>
      </c>
      <c r="D24" s="101">
        <v>-83.95543670654297</v>
      </c>
      <c r="E24" s="101">
        <v>45.07740020751953</v>
      </c>
      <c r="F24" s="101">
        <v>0.10069440305233002</v>
      </c>
      <c r="G24" s="101">
        <v>0.00010252380161546171</v>
      </c>
      <c r="H24" s="101"/>
      <c r="I24" s="101"/>
      <c r="J24" s="101"/>
      <c r="K24" s="101"/>
      <c r="L24" s="102"/>
      <c r="M24" s="117">
        <v>69.80975341796875</v>
      </c>
      <c r="N24" s="101">
        <v>51.066978454589844</v>
      </c>
      <c r="O24" s="101">
        <v>0</v>
      </c>
      <c r="P24" s="101">
        <v>50</v>
      </c>
      <c r="Q24" s="101">
        <v>2.773437976837158</v>
      </c>
      <c r="R24" s="101">
        <v>18.7789306640625</v>
      </c>
      <c r="S24" s="118">
        <v>90.44776916503906</v>
      </c>
      <c r="T24" s="118">
        <v>0</v>
      </c>
      <c r="U24" s="118">
        <v>0</v>
      </c>
      <c r="V24" s="118">
        <v>14.78950023651123</v>
      </c>
      <c r="W24" s="118">
        <v>82.50325775146484</v>
      </c>
      <c r="X24" s="118">
        <v>28.622650146484375</v>
      </c>
      <c r="Y24" s="118">
        <v>58.83137893676758</v>
      </c>
      <c r="Z24" s="118">
        <v>15.362770080566406</v>
      </c>
      <c r="AA24" s="118">
        <v>17.838539123535156</v>
      </c>
      <c r="AB24" s="118"/>
      <c r="AC24" s="105"/>
      <c r="AD24" s="105">
        <v>1.5478520393371582</v>
      </c>
      <c r="AE24" s="105">
        <v>0.00096893310546875</v>
      </c>
      <c r="AF24" s="105"/>
      <c r="AG24" s="105">
        <v>25.56785011291504</v>
      </c>
      <c r="AH24" s="105"/>
      <c r="AI24" s="119"/>
      <c r="AJ24" s="119"/>
      <c r="AK24" s="119"/>
      <c r="AL24" s="119"/>
      <c r="AM24" s="119"/>
      <c r="AN24" s="105">
        <v>71.8243637084961</v>
      </c>
      <c r="AO24" s="106">
        <v>51.229740142822266</v>
      </c>
      <c r="AP24" s="107">
        <v>27.226200103759766</v>
      </c>
      <c r="AQ24" s="108">
        <v>37.57957077026367</v>
      </c>
      <c r="AR24" s="109">
        <v>-89.51822662353516</v>
      </c>
    </row>
    <row r="25" spans="2:44" ht="13.5" customHeight="1" x14ac:dyDescent="0.25">
      <c r="B25" s="14">
        <v>0.95833333333333337</v>
      </c>
      <c r="C25" s="101">
        <v>-81.53935241699219</v>
      </c>
      <c r="D25" s="101">
        <v>-84.11459350585938</v>
      </c>
      <c r="E25" s="101">
        <v>44.75910949707031</v>
      </c>
      <c r="F25" s="101">
        <v>0.10141780227422714</v>
      </c>
      <c r="G25" s="101">
        <v>0.00010465240484336391</v>
      </c>
      <c r="H25" s="101">
        <v>33</v>
      </c>
      <c r="I25" s="101">
        <v>44</v>
      </c>
      <c r="J25" s="101">
        <v>55</v>
      </c>
      <c r="K25" s="101">
        <v>66</v>
      </c>
      <c r="L25" s="102">
        <v>77</v>
      </c>
      <c r="M25" s="117">
        <v>72.42476654052734</v>
      </c>
      <c r="N25" s="101">
        <v>49.8625602722168</v>
      </c>
      <c r="O25" s="101">
        <v>0</v>
      </c>
      <c r="P25" s="101">
        <v>50</v>
      </c>
      <c r="Q25" s="101">
        <v>2.7677950859069824</v>
      </c>
      <c r="R25" s="101">
        <v>18.50404930114746</v>
      </c>
      <c r="S25" s="118">
        <v>91.64134979248047</v>
      </c>
      <c r="T25" s="118">
        <v>0</v>
      </c>
      <c r="U25" s="118">
        <v>0</v>
      </c>
      <c r="V25" s="118">
        <v>10.693360328674316</v>
      </c>
      <c r="W25" s="118">
        <v>78.51563262939453</v>
      </c>
      <c r="X25" s="118">
        <v>23</v>
      </c>
      <c r="Y25" s="118">
        <v>47.47883987426758</v>
      </c>
      <c r="Z25" s="118">
        <v>14.784070014953613</v>
      </c>
      <c r="AA25" s="118">
        <v>17.377389907836914</v>
      </c>
      <c r="AB25" s="118"/>
      <c r="AC25" s="105"/>
      <c r="AD25" s="105">
        <v>1.5478520393371582</v>
      </c>
      <c r="AE25" s="105">
        <v>0.00074005126953125</v>
      </c>
      <c r="AF25" s="105"/>
      <c r="AG25" s="105">
        <v>18.75</v>
      </c>
      <c r="AH25" s="105">
        <v>200</v>
      </c>
      <c r="AI25" s="119"/>
      <c r="AJ25" s="119"/>
      <c r="AK25" s="119"/>
      <c r="AL25" s="119"/>
      <c r="AM25" s="119"/>
      <c r="AN25" s="105">
        <v>68.83680725097656</v>
      </c>
      <c r="AO25" s="106">
        <v>50.62934112548828</v>
      </c>
      <c r="AP25" s="107">
        <v>26.828340530395508</v>
      </c>
      <c r="AQ25" s="108">
        <v>37.6663818359375</v>
      </c>
      <c r="AR25" s="109">
        <v>-89.90885162353516</v>
      </c>
    </row>
    <row r="26" spans="2:44" ht="13.5" customHeight="1" x14ac:dyDescent="0.25">
      <c r="B26" s="41" t="s">
        <v>272</v>
      </c>
      <c r="C26" s="101">
        <v>-81.5899887084961</v>
      </c>
      <c r="D26" s="101">
        <v>-84.02777862548828</v>
      </c>
      <c r="E26" s="101">
        <v>45.10633087158203</v>
      </c>
      <c r="F26" s="101">
        <v>0.10423900187015533</v>
      </c>
      <c r="G26" s="101">
        <v>-0.002350921742618084</v>
      </c>
      <c r="H26" s="101"/>
      <c r="I26" s="101"/>
      <c r="J26" s="101"/>
      <c r="K26" s="101"/>
      <c r="L26" s="102"/>
      <c r="M26" s="117">
        <v>72.90582275390625</v>
      </c>
      <c r="N26" s="101">
        <v>47.844329833984375</v>
      </c>
      <c r="O26" s="101">
        <v>0</v>
      </c>
      <c r="P26" s="101">
        <v>50</v>
      </c>
      <c r="Q26" s="101">
        <v>2.882812976837158</v>
      </c>
      <c r="R26" s="101">
        <v>17.874710083007812</v>
      </c>
      <c r="S26" s="118">
        <v>90.5779800415039</v>
      </c>
      <c r="T26" s="118">
        <v>0</v>
      </c>
      <c r="U26" s="118">
        <v>0</v>
      </c>
      <c r="V26" s="118">
        <v>9.705946922302246</v>
      </c>
      <c r="W26" s="118">
        <v>90.78777313232422</v>
      </c>
      <c r="X26" s="118">
        <v>25</v>
      </c>
      <c r="Y26" s="118">
        <v>59.03881072998047</v>
      </c>
      <c r="Z26" s="118">
        <v>14.816619873046875</v>
      </c>
      <c r="AA26" s="118">
        <v>17.160369873046875</v>
      </c>
      <c r="AB26" s="118"/>
      <c r="AC26" s="105"/>
      <c r="AD26" s="105">
        <v>0</v>
      </c>
      <c r="AE26" s="105">
        <v>-0.017841553315520287</v>
      </c>
      <c r="AF26" s="105"/>
      <c r="AG26" s="105">
        <v>46.158851623535156</v>
      </c>
      <c r="AH26" s="105"/>
      <c r="AI26" s="119"/>
      <c r="AJ26" s="119"/>
      <c r="AK26" s="119"/>
      <c r="AL26" s="119"/>
      <c r="AM26" s="119"/>
      <c r="AN26" s="105">
        <v>78.62413024902344</v>
      </c>
      <c r="AO26" s="106">
        <v>43.06278991699219</v>
      </c>
      <c r="AP26" s="107">
        <v>19.024879455566406</v>
      </c>
      <c r="AQ26" s="108">
        <v>27.430559158325195</v>
      </c>
      <c r="AR26" s="109">
        <v>-0.0542449988424778</v>
      </c>
    </row>
    <row r="27" spans="2:44" ht="13.5" customHeight="1" x14ac:dyDescent="0.25">
      <c r="B27" s="14">
        <v>4.1666666666666664E-2</v>
      </c>
      <c r="C27" s="101">
        <v>-81.582763671875</v>
      </c>
      <c r="D27" s="101">
        <v>-83.99884033203125</v>
      </c>
      <c r="E27" s="101">
        <v>44.972511291503906</v>
      </c>
      <c r="F27" s="101">
        <v>0.09845197200775146</v>
      </c>
      <c r="G27" s="101">
        <v>0.00010285186726832762</v>
      </c>
      <c r="H27" s="101"/>
      <c r="I27" s="101"/>
      <c r="J27" s="101"/>
      <c r="K27" s="101"/>
      <c r="L27" s="102"/>
      <c r="M27" s="117">
        <v>68.95977783203125</v>
      </c>
      <c r="N27" s="101">
        <v>47.71411895751953</v>
      </c>
      <c r="O27" s="101">
        <v>0</v>
      </c>
      <c r="P27" s="101">
        <v>50</v>
      </c>
      <c r="Q27" s="101">
        <v>2.945312976837158</v>
      </c>
      <c r="R27" s="101">
        <v>18.952550888061523</v>
      </c>
      <c r="S27" s="118">
        <v>96.02501678466797</v>
      </c>
      <c r="T27" s="118">
        <v>0</v>
      </c>
      <c r="U27" s="118">
        <v>0</v>
      </c>
      <c r="V27" s="118">
        <v>9.700521469116211</v>
      </c>
      <c r="W27" s="118">
        <v>87.13651275634766</v>
      </c>
      <c r="X27" s="118">
        <v>25</v>
      </c>
      <c r="Y27" s="118">
        <v>59.13410949707031</v>
      </c>
      <c r="Z27" s="118">
        <v>15.407990455627441</v>
      </c>
      <c r="AA27" s="118">
        <v>18.14236068725586</v>
      </c>
      <c r="AB27" s="118"/>
      <c r="AC27" s="105"/>
      <c r="AD27" s="105">
        <v>1.5479060411453247</v>
      </c>
      <c r="AE27" s="105">
        <v>0.0006599121261388063</v>
      </c>
      <c r="AF27" s="105"/>
      <c r="AG27" s="105">
        <v>75.3399887084961</v>
      </c>
      <c r="AH27" s="105"/>
      <c r="AI27" s="119"/>
      <c r="AJ27" s="119"/>
      <c r="AK27" s="119"/>
      <c r="AL27" s="119"/>
      <c r="AM27" s="119"/>
      <c r="AN27" s="105">
        <v>75.46295928955078</v>
      </c>
      <c r="AO27" s="106">
        <v>42.607059478759766</v>
      </c>
      <c r="AP27" s="107">
        <v>25.363500595092773</v>
      </c>
      <c r="AQ27" s="108">
        <v>23.29281997680664</v>
      </c>
      <c r="AR27" s="109">
        <v>-89.07334899902344</v>
      </c>
    </row>
    <row r="28" spans="2:44" ht="13.5" customHeight="1" x14ac:dyDescent="0.25">
      <c r="B28" s="41" t="s">
        <v>273</v>
      </c>
      <c r="C28" s="101">
        <v>-81.62615966796875</v>
      </c>
      <c r="D28" s="101">
        <v>-83.99884033203125</v>
      </c>
      <c r="E28" s="101">
        <v>44.76634979248047</v>
      </c>
      <c r="F28" s="101">
        <v>0.1061197966337204</v>
      </c>
      <c r="G28" s="101">
        <v>0.00010202026169281453</v>
      </c>
      <c r="H28" s="101"/>
      <c r="I28" s="101"/>
      <c r="J28" s="101"/>
      <c r="K28" s="101"/>
      <c r="L28" s="102"/>
      <c r="M28" s="117">
        <v>71.29991149902344</v>
      </c>
      <c r="N28" s="101">
        <v>48.108360290527344</v>
      </c>
      <c r="O28" s="101">
        <v>0</v>
      </c>
      <c r="P28" s="101">
        <v>50</v>
      </c>
      <c r="Q28" s="101">
        <v>2.937066078186035</v>
      </c>
      <c r="R28" s="101">
        <v>18.337669372558594</v>
      </c>
      <c r="S28" s="118">
        <v>92.28515625</v>
      </c>
      <c r="T28" s="118">
        <v>0</v>
      </c>
      <c r="U28" s="118">
        <v>0</v>
      </c>
      <c r="V28" s="118">
        <v>9.423828125</v>
      </c>
      <c r="W28" s="118">
        <v>83.60460662841797</v>
      </c>
      <c r="X28" s="118">
        <v>25</v>
      </c>
      <c r="Y28" s="118">
        <v>60.45718002319336</v>
      </c>
      <c r="Z28" s="118">
        <v>14.921509742736816</v>
      </c>
      <c r="AA28" s="118">
        <v>17.57270050048828</v>
      </c>
      <c r="AB28" s="118"/>
      <c r="AC28" s="105"/>
      <c r="AD28" s="105">
        <v>1.5479600429534912</v>
      </c>
      <c r="AE28" s="105">
        <v>0.0005163574242033064</v>
      </c>
      <c r="AF28" s="105"/>
      <c r="AG28" s="105">
        <v>26.70718002319336</v>
      </c>
      <c r="AH28" s="105"/>
      <c r="AI28" s="119"/>
      <c r="AJ28" s="119"/>
      <c r="AK28" s="119"/>
      <c r="AL28" s="119"/>
      <c r="AM28" s="119"/>
      <c r="AN28" s="105">
        <v>72.36689758300781</v>
      </c>
      <c r="AO28" s="106">
        <v>41.196468353271484</v>
      </c>
      <c r="AP28" s="107">
        <v>27.42513084411621</v>
      </c>
      <c r="AQ28" s="108">
        <v>37.9774284362793</v>
      </c>
      <c r="AR28" s="109">
        <v>-89.26866149902344</v>
      </c>
    </row>
    <row r="29" spans="2:44" ht="13.5" customHeight="1" x14ac:dyDescent="0.25">
      <c r="B29" s="14">
        <v>0.125</v>
      </c>
      <c r="C29" s="101">
        <v>-81.61168670654297</v>
      </c>
      <c r="D29" s="101">
        <v>-83.99884033203125</v>
      </c>
      <c r="E29" s="101">
        <v>44.6397590637207</v>
      </c>
      <c r="F29" s="101">
        <v>0.0989583432674408</v>
      </c>
      <c r="G29" s="101">
        <v>0.00010288238263456151</v>
      </c>
      <c r="H29" s="101"/>
      <c r="I29" s="101"/>
      <c r="J29" s="101"/>
      <c r="K29" s="101"/>
      <c r="L29" s="102"/>
      <c r="M29" s="117">
        <v>70.21846008300781</v>
      </c>
      <c r="N29" s="101">
        <v>48.423030853271484</v>
      </c>
      <c r="O29" s="101">
        <v>0</v>
      </c>
      <c r="P29" s="101">
        <v>50</v>
      </c>
      <c r="Q29" s="101">
        <v>2.9123260974884033</v>
      </c>
      <c r="R29" s="101">
        <v>18.500429153442383</v>
      </c>
      <c r="S29" s="118">
        <v>93.39192199707031</v>
      </c>
      <c r="T29" s="118">
        <v>0</v>
      </c>
      <c r="U29" s="118">
        <v>0</v>
      </c>
      <c r="V29" s="118">
        <v>9.586588859558105</v>
      </c>
      <c r="W29" s="118">
        <v>80.49046325683594</v>
      </c>
      <c r="X29" s="118">
        <v>25</v>
      </c>
      <c r="Y29" s="118">
        <v>59.375179290771484</v>
      </c>
      <c r="Z29" s="118">
        <v>15.069809913635254</v>
      </c>
      <c r="AA29" s="118">
        <v>17.784290313720703</v>
      </c>
      <c r="AB29" s="118"/>
      <c r="AC29" s="105"/>
      <c r="AD29" s="105">
        <v>1.5479600429534912</v>
      </c>
      <c r="AE29" s="105">
        <v>0.0006462402525357902</v>
      </c>
      <c r="AF29" s="105"/>
      <c r="AG29" s="105">
        <v>27.629480361938477</v>
      </c>
      <c r="AH29" s="105"/>
      <c r="AI29" s="119"/>
      <c r="AJ29" s="119"/>
      <c r="AK29" s="119"/>
      <c r="AL29" s="119"/>
      <c r="AM29" s="119"/>
      <c r="AN29" s="105">
        <v>69.66869354248047</v>
      </c>
      <c r="AO29" s="106">
        <v>40.84563064575195</v>
      </c>
      <c r="AP29" s="107">
        <v>28.09425926208496</v>
      </c>
      <c r="AQ29" s="108">
        <v>37.778499603271484</v>
      </c>
      <c r="AR29" s="109">
        <v>-89.13845825195312</v>
      </c>
    </row>
    <row r="30" spans="2:44" ht="13.5" customHeight="1" x14ac:dyDescent="0.25">
      <c r="B30" s="14">
        <v>0.16666666666666666</v>
      </c>
      <c r="C30" s="101">
        <v>-81.77084350585938</v>
      </c>
      <c r="D30" s="101">
        <v>-84.00607299804688</v>
      </c>
      <c r="E30" s="101">
        <v>45.16059112548828</v>
      </c>
      <c r="F30" s="101">
        <v>0.1076389029622078</v>
      </c>
      <c r="G30" s="101">
        <v>0.00010308837954653427</v>
      </c>
      <c r="H30" s="101"/>
      <c r="I30" s="101"/>
      <c r="J30" s="101"/>
      <c r="K30" s="101"/>
      <c r="L30" s="102"/>
      <c r="M30" s="117">
        <v>73.55323791503906</v>
      </c>
      <c r="N30" s="101">
        <v>48.14815139770508</v>
      </c>
      <c r="O30" s="101">
        <v>0</v>
      </c>
      <c r="P30" s="101">
        <v>50</v>
      </c>
      <c r="Q30" s="101">
        <v>2.897135019302368</v>
      </c>
      <c r="R30" s="101">
        <v>18.033849716186523</v>
      </c>
      <c r="S30" s="118">
        <v>93.20384979248047</v>
      </c>
      <c r="T30" s="118">
        <v>0</v>
      </c>
      <c r="U30" s="118">
        <v>0</v>
      </c>
      <c r="V30" s="118">
        <v>10.99174976348877</v>
      </c>
      <c r="W30" s="118">
        <v>95.25824737548828</v>
      </c>
      <c r="X30" s="118">
        <v>25</v>
      </c>
      <c r="Y30" s="118">
        <v>59.99747085571289</v>
      </c>
      <c r="Z30" s="118">
        <v>14.615880012512207</v>
      </c>
      <c r="AA30" s="118">
        <v>17.263460159301758</v>
      </c>
      <c r="AB30" s="118"/>
      <c r="AC30" s="105"/>
      <c r="AD30" s="105">
        <v>0</v>
      </c>
      <c r="AE30" s="105">
        <v>0.0007088012644089758</v>
      </c>
      <c r="AF30" s="105"/>
      <c r="AG30" s="105">
        <v>26.519100189208984</v>
      </c>
      <c r="AH30" s="105"/>
      <c r="AI30" s="119"/>
      <c r="AJ30" s="119"/>
      <c r="AK30" s="119"/>
      <c r="AL30" s="119"/>
      <c r="AM30" s="119"/>
      <c r="AN30" s="105">
        <v>74.12471008300781</v>
      </c>
      <c r="AO30" s="106">
        <v>57.02040100097656</v>
      </c>
      <c r="AP30" s="107">
        <v>27.48843002319336</v>
      </c>
      <c r="AQ30" s="108">
        <v>37.55424880981445</v>
      </c>
      <c r="AR30" s="109">
        <v>-89.24696350097656</v>
      </c>
    </row>
    <row r="31" spans="2:44" ht="13.5" customHeight="1" x14ac:dyDescent="0.25">
      <c r="B31" s="14">
        <v>0.20833333333333334</v>
      </c>
      <c r="C31" s="101">
        <v>-81.84317016601562</v>
      </c>
      <c r="D31" s="101">
        <v>-83.98438262939453</v>
      </c>
      <c r="E31" s="101">
        <v>44.61082077026367</v>
      </c>
      <c r="F31" s="101">
        <v>0.0983072891831398</v>
      </c>
      <c r="G31" s="101">
        <v>0.00010353851394029334</v>
      </c>
      <c r="H31" s="101"/>
      <c r="I31" s="101"/>
      <c r="J31" s="101"/>
      <c r="K31" s="101"/>
      <c r="L31" s="102"/>
      <c r="M31" s="117">
        <v>69.21658325195312</v>
      </c>
      <c r="N31" s="101">
        <v>48.0070915222168</v>
      </c>
      <c r="O31" s="101">
        <v>0</v>
      </c>
      <c r="P31" s="101">
        <v>50</v>
      </c>
      <c r="Q31" s="101">
        <v>2.897568941116333</v>
      </c>
      <c r="R31" s="101">
        <v>18.4968204498291</v>
      </c>
      <c r="S31" s="118">
        <v>94.03211975097656</v>
      </c>
      <c r="T31" s="118">
        <v>0</v>
      </c>
      <c r="U31" s="118">
        <v>0</v>
      </c>
      <c r="V31" s="118">
        <v>17.33941078186035</v>
      </c>
      <c r="W31" s="118">
        <v>90.41883850097656</v>
      </c>
      <c r="X31" s="118">
        <v>25</v>
      </c>
      <c r="Y31" s="118">
        <v>59.58821105957031</v>
      </c>
      <c r="Z31" s="118">
        <v>15.158419609069824</v>
      </c>
      <c r="AA31" s="118">
        <v>17.713760375976562</v>
      </c>
      <c r="AB31" s="118"/>
      <c r="AC31" s="105"/>
      <c r="AD31" s="105">
        <v>0</v>
      </c>
      <c r="AE31" s="105">
        <v>0.0005713501013815403</v>
      </c>
      <c r="AF31" s="105"/>
      <c r="AG31" s="105">
        <v>52.756080627441406</v>
      </c>
      <c r="AH31" s="105"/>
      <c r="AI31" s="119"/>
      <c r="AJ31" s="119"/>
      <c r="AK31" s="119"/>
      <c r="AL31" s="119"/>
      <c r="AM31" s="119"/>
      <c r="AN31" s="105">
        <v>78.53009033203125</v>
      </c>
      <c r="AO31" s="106">
        <v>47.51519012451172</v>
      </c>
      <c r="AP31" s="107">
        <v>29.342090606689453</v>
      </c>
      <c r="AQ31" s="108">
        <v>38.07508087158203</v>
      </c>
      <c r="AR31" s="109">
        <v>-88.87803649902344</v>
      </c>
    </row>
    <row r="32" spans="2:44" ht="13.5" customHeight="1" x14ac:dyDescent="0.25">
      <c r="B32" s="14">
        <v>0.25</v>
      </c>
      <c r="C32" s="101">
        <v>-81.8865737915039</v>
      </c>
      <c r="D32" s="101">
        <v>-83.99884033203125</v>
      </c>
      <c r="E32" s="101">
        <v>44.79528045654297</v>
      </c>
      <c r="F32" s="101">
        <v>0.11328130215406418</v>
      </c>
      <c r="G32" s="101">
        <v>0.00010172271868214011</v>
      </c>
      <c r="H32" s="101"/>
      <c r="I32" s="101"/>
      <c r="J32" s="101"/>
      <c r="K32" s="101"/>
      <c r="L32" s="102"/>
      <c r="M32" s="117">
        <v>68.80425262451172</v>
      </c>
      <c r="N32" s="101">
        <v>47.83348083496094</v>
      </c>
      <c r="O32" s="101">
        <v>0</v>
      </c>
      <c r="P32" s="101">
        <v>50</v>
      </c>
      <c r="Q32" s="101">
        <v>2.9175350666046143</v>
      </c>
      <c r="R32" s="101">
        <v>18.65958023071289</v>
      </c>
      <c r="S32" s="118">
        <v>92.52387237548828</v>
      </c>
      <c r="T32" s="118">
        <v>0</v>
      </c>
      <c r="U32" s="118">
        <v>0</v>
      </c>
      <c r="V32" s="118">
        <v>17.702909469604492</v>
      </c>
      <c r="W32" s="118">
        <v>83.92469787597656</v>
      </c>
      <c r="X32" s="118">
        <v>25</v>
      </c>
      <c r="Y32" s="118">
        <v>58.9659309387207</v>
      </c>
      <c r="Z32" s="118">
        <v>14.469400405883789</v>
      </c>
      <c r="AA32" s="118">
        <v>17.616100311279297</v>
      </c>
      <c r="AB32" s="118"/>
      <c r="AC32" s="105"/>
      <c r="AD32" s="105">
        <v>1.5480140447616577</v>
      </c>
      <c r="AE32" s="105">
        <v>0.0008168335189111531</v>
      </c>
      <c r="AF32" s="105"/>
      <c r="AG32" s="105">
        <v>42.719181060791016</v>
      </c>
      <c r="AH32" s="105"/>
      <c r="AI32" s="119"/>
      <c r="AJ32" s="119"/>
      <c r="AK32" s="119"/>
      <c r="AL32" s="119"/>
      <c r="AM32" s="119"/>
      <c r="AN32" s="105">
        <v>73.89322662353516</v>
      </c>
      <c r="AO32" s="106">
        <v>42.82046127319336</v>
      </c>
      <c r="AP32" s="107">
        <v>10.3714599609375</v>
      </c>
      <c r="AQ32" s="108">
        <v>28.323930740356445</v>
      </c>
      <c r="AR32" s="109">
        <v>0.0217056293040514</v>
      </c>
    </row>
    <row r="33" spans="2:44" ht="13.5" customHeight="1" x14ac:dyDescent="0.25">
      <c r="B33" s="14">
        <v>0.29166666666666669</v>
      </c>
      <c r="C33" s="101">
        <v>-81.94444274902344</v>
      </c>
      <c r="D33" s="101">
        <v>-84.00607299804688</v>
      </c>
      <c r="E33" s="101">
        <v>45.1280403137207</v>
      </c>
      <c r="F33" s="101">
        <v>0.09903067350387573</v>
      </c>
      <c r="G33" s="101">
        <v>9.915923874359578E-05</v>
      </c>
      <c r="H33" s="101"/>
      <c r="I33" s="101"/>
      <c r="J33" s="101"/>
      <c r="K33" s="101"/>
      <c r="L33" s="102"/>
      <c r="M33" s="117">
        <v>72.52242279052734</v>
      </c>
      <c r="N33" s="101">
        <v>48.64004898071289</v>
      </c>
      <c r="O33" s="101">
        <v>0</v>
      </c>
      <c r="P33" s="101">
        <v>50</v>
      </c>
      <c r="Q33" s="101">
        <v>2.9322919845581055</v>
      </c>
      <c r="R33" s="101">
        <v>18.07002067565918</v>
      </c>
      <c r="S33" s="118">
        <v>94.29252624511719</v>
      </c>
      <c r="T33" s="118">
        <v>0</v>
      </c>
      <c r="U33" s="118">
        <v>0</v>
      </c>
      <c r="V33" s="118">
        <v>17.165800094604492</v>
      </c>
      <c r="W33" s="118">
        <v>78.94422912597656</v>
      </c>
      <c r="X33" s="118">
        <v>25</v>
      </c>
      <c r="Y33" s="118">
        <v>59.20138931274414</v>
      </c>
      <c r="Z33" s="118">
        <v>14.035369873046875</v>
      </c>
      <c r="AA33" s="118">
        <v>16.965059280395508</v>
      </c>
      <c r="AB33" s="118"/>
      <c r="AC33" s="105"/>
      <c r="AD33" s="105">
        <v>1.5480140447616577</v>
      </c>
      <c r="AE33" s="105">
        <v>0.0006242065574042499</v>
      </c>
      <c r="AF33" s="105"/>
      <c r="AG33" s="105">
        <v>52.83565139770508</v>
      </c>
      <c r="AH33" s="105"/>
      <c r="AI33" s="119"/>
      <c r="AJ33" s="119"/>
      <c r="AK33" s="119"/>
      <c r="AL33" s="119"/>
      <c r="AM33" s="119"/>
      <c r="AN33" s="105">
        <v>69.74102783203125</v>
      </c>
      <c r="AO33" s="106">
        <v>25.452110290527344</v>
      </c>
      <c r="AP33" s="107">
        <v>26.457609176635742</v>
      </c>
      <c r="AQ33" s="108">
        <v>26.25506019592285</v>
      </c>
      <c r="AR33" s="109">
        <v>-89.90885162353516</v>
      </c>
    </row>
    <row r="34" spans="2:44" ht="13.5" customHeight="1" x14ac:dyDescent="0.25">
      <c r="B34" s="42">
        <v>0.33333333333333331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1"/>
      <c r="M34" s="120"/>
      <c r="N34" s="110"/>
      <c r="O34" s="110"/>
      <c r="P34" s="110"/>
      <c r="Q34" s="110"/>
      <c r="R34" s="110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14"/>
      <c r="AD34" s="114"/>
      <c r="AE34" s="114"/>
      <c r="AF34" s="114"/>
      <c r="AG34" s="114"/>
      <c r="AH34" s="114"/>
      <c r="AI34" s="122"/>
      <c r="AJ34" s="122"/>
      <c r="AK34" s="122"/>
      <c r="AL34" s="122"/>
      <c r="AM34" s="122"/>
      <c r="AN34" s="114"/>
      <c r="AO34" s="115"/>
      <c r="AP34" s="123"/>
      <c r="AQ34" s="124"/>
      <c r="AR34" s="125"/>
    </row>
    <row r="35" spans="2:44" ht="15" customHeight="1" x14ac:dyDescent="0.25">
      <c r="B35" s="213" t="s">
        <v>181</v>
      </c>
      <c r="C35" s="159" t="s">
        <v>38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1" t="s">
        <v>216</v>
      </c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3"/>
      <c r="AK35" s="178" t="s">
        <v>48</v>
      </c>
      <c r="AL35" s="179"/>
      <c r="AM35" s="164" t="s">
        <v>223</v>
      </c>
      <c r="AN35" s="165"/>
      <c r="AO35" s="43"/>
      <c r="AP35" s="43"/>
      <c r="AQ35" s="43"/>
      <c r="AR35" s="44"/>
    </row>
    <row r="36" spans="2:44" ht="20.15" customHeight="1" x14ac:dyDescent="0.25">
      <c r="B36" s="201"/>
      <c r="C36" s="170" t="s">
        <v>32</v>
      </c>
      <c r="D36" s="176"/>
      <c r="E36" s="170" t="s">
        <v>33</v>
      </c>
      <c r="F36" s="175"/>
      <c r="G36" s="176"/>
      <c r="H36" s="166" t="s">
        <v>276</v>
      </c>
      <c r="I36" s="167"/>
      <c r="J36" s="4" t="s">
        <v>27</v>
      </c>
      <c r="K36" s="4" t="s">
        <v>30</v>
      </c>
      <c r="L36" s="4" t="s">
        <v>191</v>
      </c>
      <c r="M36" s="168" t="s">
        <v>192</v>
      </c>
      <c r="N36" s="169"/>
      <c r="O36" s="4" t="s">
        <v>26</v>
      </c>
      <c r="P36" s="4" t="s">
        <v>197</v>
      </c>
      <c r="Q36" s="170" t="s">
        <v>199</v>
      </c>
      <c r="R36" s="177"/>
      <c r="S36" s="170" t="s">
        <v>202</v>
      </c>
      <c r="T36" s="177"/>
      <c r="U36" s="170" t="s">
        <v>201</v>
      </c>
      <c r="V36" s="171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72" t="s">
        <v>46</v>
      </c>
      <c r="AI36" s="173"/>
      <c r="AJ36" s="174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201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201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450</v>
      </c>
      <c r="N38" s="1" t="s">
        <v>451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95">
        <v>0</v>
      </c>
      <c r="D39" s="95"/>
      <c r="E39" s="95">
        <v>18.967010498046875</v>
      </c>
      <c r="F39" s="95"/>
      <c r="G39" s="95"/>
      <c r="H39" s="95">
        <v>46.377681732177734</v>
      </c>
      <c r="I39" s="95"/>
      <c r="J39" s="95">
        <v>44.99420928955078</v>
      </c>
      <c r="K39" s="95">
        <v>0.18377460539340973</v>
      </c>
      <c r="L39" s="95">
        <v>259.86358642578125</v>
      </c>
      <c r="M39" s="95">
        <v>47.02872085571289</v>
      </c>
      <c r="N39" s="95"/>
      <c r="O39" s="95">
        <v>0</v>
      </c>
      <c r="P39" s="95">
        <v>6.102024078369141</v>
      </c>
      <c r="Q39" s="95">
        <v>0</v>
      </c>
      <c r="R39" s="95"/>
      <c r="S39" s="95">
        <v>0</v>
      </c>
      <c r="T39" s="95"/>
      <c r="U39" s="96">
        <v>92.58174133300781</v>
      </c>
      <c r="V39" s="97"/>
      <c r="W39" s="98">
        <v>30</v>
      </c>
      <c r="X39" s="96">
        <v>32.44792175292969</v>
      </c>
      <c r="Y39" s="96">
        <v>10.574000358581543</v>
      </c>
      <c r="Z39" s="96">
        <v>95.64344787597656</v>
      </c>
      <c r="AA39" s="96">
        <v>35</v>
      </c>
      <c r="AB39" s="96">
        <v>56.605899810791016</v>
      </c>
      <c r="AC39" s="96">
        <v>16.08254051208496</v>
      </c>
      <c r="AD39" s="96">
        <v>18.67947006225586</v>
      </c>
      <c r="AE39" s="87"/>
      <c r="AF39" s="87">
        <v>0</v>
      </c>
      <c r="AG39" s="87"/>
      <c r="AH39" s="87">
        <v>70.06218719482422</v>
      </c>
      <c r="AI39" s="87">
        <v>63.83102035522461</v>
      </c>
      <c r="AJ39" s="87"/>
      <c r="AK39" s="87"/>
      <c r="AL39" s="89"/>
      <c r="AM39" s="91"/>
      <c r="AN39" s="88"/>
      <c r="AO39" s="87"/>
      <c r="AP39" s="87"/>
      <c r="AQ39" s="87"/>
      <c r="AR39" s="90"/>
    </row>
    <row r="40" spans="2:44" ht="13.5" customHeight="1" x14ac:dyDescent="0.25">
      <c r="B40" s="14">
        <v>0.875</v>
      </c>
      <c r="C40" s="101">
        <v>0</v>
      </c>
      <c r="D40" s="101">
        <v>0.000754196138586849</v>
      </c>
      <c r="E40" s="101">
        <v>17.831310272216797</v>
      </c>
      <c r="F40" s="101"/>
      <c r="G40" s="101"/>
      <c r="H40" s="101">
        <v>48.51165008544922</v>
      </c>
      <c r="I40" s="101">
        <v>0</v>
      </c>
      <c r="J40" s="101">
        <v>42.8602409362793</v>
      </c>
      <c r="K40" s="101">
        <v>0.40927010774612427</v>
      </c>
      <c r="L40" s="101">
        <v>260.1852111816406</v>
      </c>
      <c r="M40" s="101">
        <v>48.03240966796875</v>
      </c>
      <c r="N40" s="101">
        <v>-29.2059326171875</v>
      </c>
      <c r="O40" s="101">
        <v>0</v>
      </c>
      <c r="P40" s="101">
        <v>6.102106094360352</v>
      </c>
      <c r="Q40" s="101">
        <v>897.2802124023438</v>
      </c>
      <c r="R40" s="101">
        <v>0</v>
      </c>
      <c r="S40" s="101">
        <v>897.2802124023438</v>
      </c>
      <c r="T40" s="101">
        <v>0.5069420337677002</v>
      </c>
      <c r="U40" s="118">
        <v>89.50013732910156</v>
      </c>
      <c r="V40" s="126">
        <v>-0.0029477805364876986</v>
      </c>
      <c r="W40" s="127">
        <v>25</v>
      </c>
      <c r="X40" s="118">
        <v>0</v>
      </c>
      <c r="Y40" s="118">
        <v>16.107860565185547</v>
      </c>
      <c r="Z40" s="118">
        <v>86.68620300292969</v>
      </c>
      <c r="AA40" s="118">
        <v>25</v>
      </c>
      <c r="AB40" s="118">
        <v>0</v>
      </c>
      <c r="AC40" s="118">
        <v>15.507450103759766</v>
      </c>
      <c r="AD40" s="118">
        <v>18.033859252929688</v>
      </c>
      <c r="AE40" s="105"/>
      <c r="AF40" s="105">
        <v>0</v>
      </c>
      <c r="AG40" s="105"/>
      <c r="AH40" s="105">
        <v>70.06218719482422</v>
      </c>
      <c r="AI40" s="105">
        <v>82.5267562866211</v>
      </c>
      <c r="AJ40" s="105">
        <v>0.0010850754333660007</v>
      </c>
      <c r="AK40" s="105"/>
      <c r="AL40" s="106"/>
      <c r="AM40" s="128"/>
      <c r="AN40" s="119"/>
      <c r="AO40" s="105"/>
      <c r="AP40" s="105"/>
      <c r="AQ40" s="105"/>
      <c r="AR40" s="109"/>
    </row>
    <row r="41" spans="2:44" ht="13.5" customHeight="1" x14ac:dyDescent="0.25">
      <c r="B41" s="41" t="s">
        <v>271</v>
      </c>
      <c r="C41" s="101">
        <v>0</v>
      </c>
      <c r="D41" s="101">
        <v>0</v>
      </c>
      <c r="E41" s="101">
        <v>16.977720260620117</v>
      </c>
      <c r="F41" s="101"/>
      <c r="G41" s="101"/>
      <c r="H41" s="101">
        <v>47.93294143676758</v>
      </c>
      <c r="I41" s="101">
        <v>0</v>
      </c>
      <c r="J41" s="101">
        <v>44.37934112548828</v>
      </c>
      <c r="K41" s="101">
        <v>0.3591037094593048</v>
      </c>
      <c r="L41" s="101">
        <v>260.6014099121094</v>
      </c>
      <c r="M41" s="101">
        <v>48.18613052368164</v>
      </c>
      <c r="N41" s="101">
        <v>27.301025390625</v>
      </c>
      <c r="O41" s="101">
        <v>0</v>
      </c>
      <c r="P41" s="101">
        <v>6.102108001708984</v>
      </c>
      <c r="Q41" s="101">
        <v>897.2802124023438</v>
      </c>
      <c r="R41" s="101">
        <v>0</v>
      </c>
      <c r="S41" s="101">
        <v>897.2802124023438</v>
      </c>
      <c r="T41" s="101">
        <v>0.4241200089454651</v>
      </c>
      <c r="U41" s="118">
        <v>86.25578308105469</v>
      </c>
      <c r="V41" s="126">
        <v>-0.0010018806206062436</v>
      </c>
      <c r="W41" s="127">
        <v>20</v>
      </c>
      <c r="X41" s="118">
        <v>0</v>
      </c>
      <c r="Y41" s="118">
        <v>14.78950023651123</v>
      </c>
      <c r="Z41" s="118">
        <v>82.50325775146484</v>
      </c>
      <c r="AA41" s="118">
        <v>20</v>
      </c>
      <c r="AB41" s="118">
        <v>0</v>
      </c>
      <c r="AC41" s="118">
        <v>15.362770080566406</v>
      </c>
      <c r="AD41" s="118">
        <v>17.838539123535156</v>
      </c>
      <c r="AE41" s="105"/>
      <c r="AF41" s="105">
        <v>0</v>
      </c>
      <c r="AG41" s="105"/>
      <c r="AH41" s="105">
        <v>70.06218719482422</v>
      </c>
      <c r="AI41" s="105">
        <v>82.38932037353516</v>
      </c>
      <c r="AJ41" s="105">
        <v>0.0027662047650665045</v>
      </c>
      <c r="AK41" s="105"/>
      <c r="AL41" s="106"/>
      <c r="AM41" s="128"/>
      <c r="AN41" s="119"/>
      <c r="AO41" s="105"/>
      <c r="AP41" s="105"/>
      <c r="AQ41" s="105"/>
      <c r="AR41" s="109"/>
    </row>
    <row r="42" spans="2:44" ht="13.5" customHeight="1" x14ac:dyDescent="0.25">
      <c r="B42" s="14">
        <v>0.95833333333333337</v>
      </c>
      <c r="C42" s="101">
        <v>0</v>
      </c>
      <c r="D42" s="101">
        <v>9.155273517080786E-08</v>
      </c>
      <c r="E42" s="101">
        <v>36.20515060424805</v>
      </c>
      <c r="F42" s="101"/>
      <c r="G42" s="101"/>
      <c r="H42" s="101">
        <v>46.96541976928711</v>
      </c>
      <c r="I42" s="101">
        <v>0</v>
      </c>
      <c r="J42" s="101">
        <v>44.13520050048828</v>
      </c>
      <c r="K42" s="101">
        <v>0.1484375</v>
      </c>
      <c r="L42" s="101">
        <v>260.8262939453125</v>
      </c>
      <c r="M42" s="101">
        <v>47.092010498046875</v>
      </c>
      <c r="N42" s="101">
        <v>19.1209716796875</v>
      </c>
      <c r="O42" s="101">
        <v>0</v>
      </c>
      <c r="P42" s="101">
        <v>6.102108001708984</v>
      </c>
      <c r="Q42" s="101">
        <v>0</v>
      </c>
      <c r="R42" s="101">
        <v>0</v>
      </c>
      <c r="S42" s="101">
        <v>0</v>
      </c>
      <c r="T42" s="101">
        <v>0.21183398365974426</v>
      </c>
      <c r="U42" s="118">
        <v>81.68041229248047</v>
      </c>
      <c r="V42" s="126">
        <v>0.0003363800060469657</v>
      </c>
      <c r="W42" s="127">
        <v>0</v>
      </c>
      <c r="X42" s="118">
        <v>0</v>
      </c>
      <c r="Y42" s="118">
        <v>10.693360328674316</v>
      </c>
      <c r="Z42" s="118">
        <v>78.51563262939453</v>
      </c>
      <c r="AA42" s="118">
        <v>0</v>
      </c>
      <c r="AB42" s="118">
        <v>0</v>
      </c>
      <c r="AC42" s="118">
        <v>14.784070014953613</v>
      </c>
      <c r="AD42" s="118">
        <v>17.377389907836914</v>
      </c>
      <c r="AE42" s="105"/>
      <c r="AF42" s="105">
        <v>0</v>
      </c>
      <c r="AG42" s="105">
        <v>400</v>
      </c>
      <c r="AH42" s="105">
        <v>70.06218719482422</v>
      </c>
      <c r="AI42" s="105">
        <v>68.66319274902344</v>
      </c>
      <c r="AJ42" s="105">
        <v>-2.899169885495212E-06</v>
      </c>
      <c r="AK42" s="105"/>
      <c r="AL42" s="106"/>
      <c r="AM42" s="128"/>
      <c r="AN42" s="119"/>
      <c r="AO42" s="105"/>
      <c r="AP42" s="105"/>
      <c r="AQ42" s="105"/>
      <c r="AR42" s="109"/>
    </row>
    <row r="43" spans="2:44" ht="13.5" customHeight="1" x14ac:dyDescent="0.25">
      <c r="B43" s="41" t="s">
        <v>272</v>
      </c>
      <c r="C43" s="101">
        <v>0</v>
      </c>
      <c r="D43" s="101">
        <v>-0.0051050870679318905</v>
      </c>
      <c r="E43" s="101">
        <v>37.26128005981445</v>
      </c>
      <c r="F43" s="101"/>
      <c r="G43" s="101"/>
      <c r="H43" s="101">
        <v>48.04145050048828</v>
      </c>
      <c r="I43" s="101">
        <v>0</v>
      </c>
      <c r="J43" s="101">
        <v>42.29058074951172</v>
      </c>
      <c r="K43" s="101">
        <v>0.06720195710659027</v>
      </c>
      <c r="L43" s="101">
        <v>254.52940368652344</v>
      </c>
      <c r="M43" s="101">
        <v>47.7340087890625</v>
      </c>
      <c r="N43" s="101">
        <v>6.0670166015625</v>
      </c>
      <c r="O43" s="101">
        <v>2.157768964767456</v>
      </c>
      <c r="P43" s="101">
        <v>0.2539517879486084</v>
      </c>
      <c r="Q43" s="101">
        <v>0</v>
      </c>
      <c r="R43" s="101">
        <v>-7.183412551879883</v>
      </c>
      <c r="S43" s="101">
        <v>0</v>
      </c>
      <c r="T43" s="101">
        <v>-1.776910662651062</v>
      </c>
      <c r="U43" s="118">
        <v>42.82769012451172</v>
      </c>
      <c r="V43" s="126">
        <v>-0.0009874191600829363</v>
      </c>
      <c r="W43" s="127">
        <v>30</v>
      </c>
      <c r="X43" s="118">
        <v>0</v>
      </c>
      <c r="Y43" s="118">
        <v>9.705946922302246</v>
      </c>
      <c r="Z43" s="118">
        <v>90.78777313232422</v>
      </c>
      <c r="AA43" s="118">
        <v>30</v>
      </c>
      <c r="AB43" s="118">
        <v>0</v>
      </c>
      <c r="AC43" s="118">
        <v>14.816619873046875</v>
      </c>
      <c r="AD43" s="118">
        <v>17.160369873046875</v>
      </c>
      <c r="AE43" s="105"/>
      <c r="AF43" s="105">
        <v>48.64004898071289</v>
      </c>
      <c r="AG43" s="105"/>
      <c r="AH43" s="105">
        <v>69.52046966552734</v>
      </c>
      <c r="AI43" s="105">
        <v>50.774009704589844</v>
      </c>
      <c r="AJ43" s="105">
        <v>-0.005199646111577749</v>
      </c>
      <c r="AK43" s="105"/>
      <c r="AL43" s="106"/>
      <c r="AM43" s="128"/>
      <c r="AN43" s="119"/>
      <c r="AO43" s="105"/>
      <c r="AP43" s="105"/>
      <c r="AQ43" s="105"/>
      <c r="AR43" s="109"/>
    </row>
    <row r="44" spans="2:44" ht="13.5" customHeight="1" x14ac:dyDescent="0.25">
      <c r="B44" s="14">
        <v>4.1666666666666664E-2</v>
      </c>
      <c r="C44" s="101">
        <v>0</v>
      </c>
      <c r="D44" s="101">
        <v>0</v>
      </c>
      <c r="E44" s="101">
        <v>30.454280853271484</v>
      </c>
      <c r="F44" s="101"/>
      <c r="G44" s="101"/>
      <c r="H44" s="101">
        <v>33.546730041503906</v>
      </c>
      <c r="I44" s="101">
        <v>0</v>
      </c>
      <c r="J44" s="101">
        <v>28.0852108001709</v>
      </c>
      <c r="K44" s="101">
        <v>0.0656467005610466</v>
      </c>
      <c r="L44" s="101">
        <v>254.58419799804688</v>
      </c>
      <c r="M44" s="101">
        <v>28.229890823364258</v>
      </c>
      <c r="N44" s="101">
        <v>0</v>
      </c>
      <c r="O44" s="101">
        <v>0</v>
      </c>
      <c r="P44" s="101">
        <v>1.508221983909607</v>
      </c>
      <c r="Q44" s="101">
        <v>0</v>
      </c>
      <c r="R44" s="101">
        <v>0</v>
      </c>
      <c r="S44" s="101">
        <v>0</v>
      </c>
      <c r="T44" s="101">
        <v>0</v>
      </c>
      <c r="U44" s="118">
        <v>91.44965362548828</v>
      </c>
      <c r="V44" s="126">
        <v>0.014963108114898205</v>
      </c>
      <c r="W44" s="127">
        <v>50</v>
      </c>
      <c r="X44" s="118">
        <v>86.01563262939453</v>
      </c>
      <c r="Y44" s="118">
        <v>9.700521469116211</v>
      </c>
      <c r="Z44" s="118">
        <v>87.13651275634766</v>
      </c>
      <c r="AA44" s="118">
        <v>50</v>
      </c>
      <c r="AB44" s="118">
        <v>85.18229675292969</v>
      </c>
      <c r="AC44" s="118">
        <v>15.407990455627441</v>
      </c>
      <c r="AD44" s="118">
        <v>18.14236068725586</v>
      </c>
      <c r="AE44" s="105"/>
      <c r="AF44" s="105">
        <v>0</v>
      </c>
      <c r="AG44" s="105"/>
      <c r="AH44" s="105">
        <v>69.52046966552734</v>
      </c>
      <c r="AI44" s="105">
        <v>35.94472885131836</v>
      </c>
      <c r="AJ44" s="105">
        <v>-0.00442419433966279</v>
      </c>
      <c r="AK44" s="105"/>
      <c r="AL44" s="106"/>
      <c r="AM44" s="128"/>
      <c r="AN44" s="119"/>
      <c r="AO44" s="105"/>
      <c r="AP44" s="105"/>
      <c r="AQ44" s="105"/>
      <c r="AR44" s="109"/>
    </row>
    <row r="45" spans="2:44" ht="13.5" customHeight="1" x14ac:dyDescent="0.25">
      <c r="B45" s="41" t="s">
        <v>273</v>
      </c>
      <c r="C45" s="101">
        <v>0</v>
      </c>
      <c r="D45" s="101">
        <v>0.00043579100747592747</v>
      </c>
      <c r="E45" s="101">
        <v>31.995080947875977</v>
      </c>
      <c r="F45" s="101"/>
      <c r="G45" s="101"/>
      <c r="H45" s="101">
        <v>46.875</v>
      </c>
      <c r="I45" s="101">
        <v>0</v>
      </c>
      <c r="J45" s="101">
        <v>52.03812026977539</v>
      </c>
      <c r="K45" s="101">
        <v>0.4084200859069824</v>
      </c>
      <c r="L45" s="101">
        <v>254.8365936279297</v>
      </c>
      <c r="M45" s="101">
        <v>48.35792922973633</v>
      </c>
      <c r="N45" s="101">
        <v>0</v>
      </c>
      <c r="O45" s="101">
        <v>0</v>
      </c>
      <c r="P45" s="101">
        <v>1.508357048034668</v>
      </c>
      <c r="Q45" s="101">
        <v>164.1204071044922</v>
      </c>
      <c r="R45" s="101">
        <v>0.367000013589859</v>
      </c>
      <c r="S45" s="101">
        <v>164.1204071044922</v>
      </c>
      <c r="T45" s="101">
        <v>0</v>
      </c>
      <c r="U45" s="118">
        <v>90.96137237548828</v>
      </c>
      <c r="V45" s="126">
        <v>-0.007816118188202381</v>
      </c>
      <c r="W45" s="127">
        <v>30.5</v>
      </c>
      <c r="X45" s="118">
        <v>51.41926956176758</v>
      </c>
      <c r="Y45" s="118">
        <v>9.423828125</v>
      </c>
      <c r="Z45" s="118">
        <v>83.60460662841797</v>
      </c>
      <c r="AA45" s="118">
        <v>31.5</v>
      </c>
      <c r="AB45" s="118">
        <v>52.5086784362793</v>
      </c>
      <c r="AC45" s="118">
        <v>14.921509742736816</v>
      </c>
      <c r="AD45" s="118">
        <v>17.57270050048828</v>
      </c>
      <c r="AE45" s="105"/>
      <c r="AF45" s="105">
        <v>0</v>
      </c>
      <c r="AG45" s="105"/>
      <c r="AH45" s="105">
        <v>69.52046966552734</v>
      </c>
      <c r="AI45" s="105">
        <v>35.87239074707031</v>
      </c>
      <c r="AJ45" s="105">
        <v>0.004039352294057608</v>
      </c>
      <c r="AK45" s="105"/>
      <c r="AL45" s="106"/>
      <c r="AM45" s="128"/>
      <c r="AN45" s="119"/>
      <c r="AO45" s="105"/>
      <c r="AP45" s="105"/>
      <c r="AQ45" s="105"/>
      <c r="AR45" s="109"/>
    </row>
    <row r="46" spans="2:44" ht="13.5" customHeight="1" x14ac:dyDescent="0.25">
      <c r="B46" s="14">
        <v>0.125</v>
      </c>
      <c r="C46" s="101">
        <v>0</v>
      </c>
      <c r="D46" s="101">
        <v>0.00013819885498378426</v>
      </c>
      <c r="E46" s="101">
        <v>30.15045928955078</v>
      </c>
      <c r="F46" s="101"/>
      <c r="G46" s="101"/>
      <c r="H46" s="101">
        <v>47.45370101928711</v>
      </c>
      <c r="I46" s="101">
        <v>0</v>
      </c>
      <c r="J46" s="101">
        <v>49.216941833496094</v>
      </c>
      <c r="K46" s="101">
        <v>0.36205148696899414</v>
      </c>
      <c r="L46" s="101">
        <v>255.20399475097656</v>
      </c>
      <c r="M46" s="101">
        <v>47.996238708496094</v>
      </c>
      <c r="N46" s="101">
        <v>-30.4400634765625</v>
      </c>
      <c r="O46" s="101">
        <v>0</v>
      </c>
      <c r="P46" s="101">
        <v>1.508357048034668</v>
      </c>
      <c r="Q46" s="101">
        <v>0</v>
      </c>
      <c r="R46" s="101">
        <v>0.6199030876159668</v>
      </c>
      <c r="S46" s="101">
        <v>0</v>
      </c>
      <c r="T46" s="101">
        <v>0</v>
      </c>
      <c r="U46" s="118">
        <v>89.08780670166016</v>
      </c>
      <c r="V46" s="126">
        <v>-0.006514030508697033</v>
      </c>
      <c r="W46" s="127">
        <v>27</v>
      </c>
      <c r="X46" s="118">
        <v>42.98176956176758</v>
      </c>
      <c r="Y46" s="118">
        <v>9.586588859558105</v>
      </c>
      <c r="Z46" s="118">
        <v>80.49046325683594</v>
      </c>
      <c r="AA46" s="118">
        <v>26</v>
      </c>
      <c r="AB46" s="118">
        <v>41.6102409362793</v>
      </c>
      <c r="AC46" s="118">
        <v>15.069809913635254</v>
      </c>
      <c r="AD46" s="118">
        <v>17.784290313720703</v>
      </c>
      <c r="AE46" s="105"/>
      <c r="AF46" s="105">
        <v>0</v>
      </c>
      <c r="AG46" s="105"/>
      <c r="AH46" s="105">
        <v>69.52046966552734</v>
      </c>
      <c r="AI46" s="105">
        <v>35.78921127319336</v>
      </c>
      <c r="AJ46" s="105">
        <v>-0.006125580053776503</v>
      </c>
      <c r="AK46" s="105"/>
      <c r="AL46" s="106"/>
      <c r="AM46" s="128"/>
      <c r="AN46" s="119"/>
      <c r="AO46" s="105"/>
      <c r="AP46" s="105"/>
      <c r="AQ46" s="105"/>
      <c r="AR46" s="109"/>
    </row>
    <row r="47" spans="2:44" ht="13.5" customHeight="1" x14ac:dyDescent="0.25">
      <c r="B47" s="14">
        <v>0.16666666666666666</v>
      </c>
      <c r="C47" s="101">
        <v>0</v>
      </c>
      <c r="D47" s="101">
        <v>5.680847243638709E-05</v>
      </c>
      <c r="E47" s="101">
        <v>28.414350509643555</v>
      </c>
      <c r="F47" s="101"/>
      <c r="G47" s="101"/>
      <c r="H47" s="101">
        <v>47.905818939208984</v>
      </c>
      <c r="I47" s="101">
        <v>0</v>
      </c>
      <c r="J47" s="101">
        <v>49.343528747558594</v>
      </c>
      <c r="K47" s="101">
        <v>0.36145469546318054</v>
      </c>
      <c r="L47" s="101">
        <v>255.56629943847656</v>
      </c>
      <c r="M47" s="101">
        <v>48.66535949707031</v>
      </c>
      <c r="N47" s="101">
        <v>0</v>
      </c>
      <c r="O47" s="101">
        <v>0</v>
      </c>
      <c r="P47" s="101">
        <v>1.508357048034668</v>
      </c>
      <c r="Q47" s="101">
        <v>111.14009857177734</v>
      </c>
      <c r="R47" s="101">
        <v>0.5893669724464417</v>
      </c>
      <c r="S47" s="101">
        <v>111.14009857177734</v>
      </c>
      <c r="T47" s="101">
        <v>0</v>
      </c>
      <c r="U47" s="118">
        <v>88.48380279541016</v>
      </c>
      <c r="V47" s="126">
        <v>-0.0020254591945558786</v>
      </c>
      <c r="W47" s="127">
        <v>27</v>
      </c>
      <c r="X47" s="118">
        <v>0</v>
      </c>
      <c r="Y47" s="118">
        <v>10.99174976348877</v>
      </c>
      <c r="Z47" s="118">
        <v>95.25824737548828</v>
      </c>
      <c r="AA47" s="118">
        <v>20</v>
      </c>
      <c r="AB47" s="118">
        <v>33.62413024902344</v>
      </c>
      <c r="AC47" s="118">
        <v>14.615880012512207</v>
      </c>
      <c r="AD47" s="118">
        <v>17.263460159301758</v>
      </c>
      <c r="AE47" s="105"/>
      <c r="AF47" s="105">
        <v>0</v>
      </c>
      <c r="AG47" s="105"/>
      <c r="AH47" s="105">
        <v>69.52046966552734</v>
      </c>
      <c r="AI47" s="105">
        <v>35.691551208496094</v>
      </c>
      <c r="AJ47" s="105">
        <v>0.008075812831521034</v>
      </c>
      <c r="AK47" s="105"/>
      <c r="AL47" s="106"/>
      <c r="AM47" s="128"/>
      <c r="AN47" s="119"/>
      <c r="AO47" s="105"/>
      <c r="AP47" s="105"/>
      <c r="AQ47" s="105"/>
      <c r="AR47" s="109"/>
    </row>
    <row r="48" spans="2:44" ht="13.5" customHeight="1" x14ac:dyDescent="0.25">
      <c r="B48" s="14">
        <v>0.20833333333333334</v>
      </c>
      <c r="C48" s="101">
        <v>0</v>
      </c>
      <c r="D48" s="101">
        <v>0.0003047943173442036</v>
      </c>
      <c r="E48" s="101">
        <v>26.851850509643555</v>
      </c>
      <c r="F48" s="101"/>
      <c r="G48" s="101"/>
      <c r="H48" s="101">
        <v>49.650970458984375</v>
      </c>
      <c r="I48" s="101">
        <v>0</v>
      </c>
      <c r="J48" s="101">
        <v>50.69083023071289</v>
      </c>
      <c r="K48" s="101">
        <v>0.33749279379844666</v>
      </c>
      <c r="L48" s="101">
        <v>255.90679931640625</v>
      </c>
      <c r="M48" s="101">
        <v>48.89141845703125</v>
      </c>
      <c r="N48" s="101">
        <v>49.5640869140625</v>
      </c>
      <c r="O48" s="101">
        <v>0</v>
      </c>
      <c r="P48" s="101">
        <v>1.508357048034668</v>
      </c>
      <c r="Q48" s="101">
        <v>897.251220703125</v>
      </c>
      <c r="R48" s="101">
        <v>0.5221601724624634</v>
      </c>
      <c r="S48" s="101">
        <v>897.251220703125</v>
      </c>
      <c r="T48" s="101">
        <v>0</v>
      </c>
      <c r="U48" s="118">
        <v>72.7358169555664</v>
      </c>
      <c r="V48" s="126">
        <v>1.0848999409063254E-05</v>
      </c>
      <c r="W48" s="127">
        <v>27</v>
      </c>
      <c r="X48" s="118">
        <v>0</v>
      </c>
      <c r="Y48" s="118">
        <v>17.33941078186035</v>
      </c>
      <c r="Z48" s="118">
        <v>90.41883850097656</v>
      </c>
      <c r="AA48" s="118">
        <v>20</v>
      </c>
      <c r="AB48" s="118">
        <v>0</v>
      </c>
      <c r="AC48" s="118">
        <v>15.158419609069824</v>
      </c>
      <c r="AD48" s="118">
        <v>17.713760375976562</v>
      </c>
      <c r="AE48" s="105"/>
      <c r="AF48" s="105">
        <v>0</v>
      </c>
      <c r="AG48" s="105"/>
      <c r="AH48" s="105">
        <v>69.52046966552734</v>
      </c>
      <c r="AI48" s="105">
        <v>35.597511291503906</v>
      </c>
      <c r="AJ48" s="105">
        <v>-0.006710059940814972</v>
      </c>
      <c r="AK48" s="105"/>
      <c r="AL48" s="106"/>
      <c r="AM48" s="128"/>
      <c r="AN48" s="119"/>
      <c r="AO48" s="105"/>
      <c r="AP48" s="105"/>
      <c r="AQ48" s="105"/>
      <c r="AR48" s="109"/>
    </row>
    <row r="49" spans="2:44" ht="13.5" customHeight="1" x14ac:dyDescent="0.25">
      <c r="B49" s="14">
        <v>0.25</v>
      </c>
      <c r="C49" s="101">
        <v>0</v>
      </c>
      <c r="D49" s="101">
        <v>5.950927857156785E-07</v>
      </c>
      <c r="E49" s="101">
        <v>30.070890426635742</v>
      </c>
      <c r="F49" s="101"/>
      <c r="G49" s="101"/>
      <c r="H49" s="101">
        <v>54.12688064575195</v>
      </c>
      <c r="I49" s="101">
        <v>0</v>
      </c>
      <c r="J49" s="101">
        <v>29.405380249023438</v>
      </c>
      <c r="K49" s="101">
        <v>0</v>
      </c>
      <c r="L49" s="101">
        <v>256.03948974609375</v>
      </c>
      <c r="M49" s="101">
        <v>37.832759857177734</v>
      </c>
      <c r="N49" s="101">
        <v>0.89794921875</v>
      </c>
      <c r="O49" s="101">
        <v>0</v>
      </c>
      <c r="P49" s="101">
        <v>2.978102922439575</v>
      </c>
      <c r="Q49" s="101">
        <v>0</v>
      </c>
      <c r="R49" s="101">
        <v>0.28245508670806885</v>
      </c>
      <c r="S49" s="101">
        <v>0</v>
      </c>
      <c r="T49" s="101">
        <v>0</v>
      </c>
      <c r="U49" s="118">
        <v>99.2983169555664</v>
      </c>
      <c r="V49" s="126">
        <v>0.018381070345640182</v>
      </c>
      <c r="W49" s="127">
        <v>35</v>
      </c>
      <c r="X49" s="118">
        <v>58.47222900390625</v>
      </c>
      <c r="Y49" s="118">
        <v>17.702909469604492</v>
      </c>
      <c r="Z49" s="118">
        <v>83.92469787597656</v>
      </c>
      <c r="AA49" s="118">
        <v>35</v>
      </c>
      <c r="AB49" s="118">
        <v>57.79513931274414</v>
      </c>
      <c r="AC49" s="118">
        <v>14.469400405883789</v>
      </c>
      <c r="AD49" s="118">
        <v>17.616100311279297</v>
      </c>
      <c r="AE49" s="105"/>
      <c r="AF49" s="105">
        <v>40.9758415222168</v>
      </c>
      <c r="AG49" s="105"/>
      <c r="AH49" s="105">
        <v>69.52046966552734</v>
      </c>
      <c r="AI49" s="105">
        <v>35.48176956176758</v>
      </c>
      <c r="AJ49" s="105">
        <v>0.010341431014239788</v>
      </c>
      <c r="AK49" s="105"/>
      <c r="AL49" s="106"/>
      <c r="AM49" s="128"/>
      <c r="AN49" s="119"/>
      <c r="AO49" s="105"/>
      <c r="AP49" s="105"/>
      <c r="AQ49" s="105"/>
      <c r="AR49" s="109"/>
    </row>
    <row r="50" spans="2:44" ht="13.5" customHeight="1" x14ac:dyDescent="0.25">
      <c r="B50" s="14">
        <v>0.29166666666666669</v>
      </c>
      <c r="C50" s="101">
        <v>0</v>
      </c>
      <c r="D50" s="101">
        <v>0.0006937103462405503</v>
      </c>
      <c r="E50" s="101">
        <v>35.88685989379883</v>
      </c>
      <c r="F50" s="101"/>
      <c r="G50" s="101"/>
      <c r="H50" s="101">
        <v>39.21622085571289</v>
      </c>
      <c r="I50" s="101">
        <v>0</v>
      </c>
      <c r="J50" s="101">
        <v>24.965639114379883</v>
      </c>
      <c r="K50" s="101">
        <v>0.4012767970561981</v>
      </c>
      <c r="L50" s="101">
        <v>256.1151123046875</v>
      </c>
      <c r="M50" s="101">
        <v>39.704498291015625</v>
      </c>
      <c r="N50" s="101">
        <v>0</v>
      </c>
      <c r="O50" s="101">
        <v>0</v>
      </c>
      <c r="P50" s="101">
        <v>2.978105068206787</v>
      </c>
      <c r="Q50" s="101">
        <v>0</v>
      </c>
      <c r="R50" s="101">
        <v>0.050150878727436066</v>
      </c>
      <c r="S50" s="101">
        <v>0</v>
      </c>
      <c r="T50" s="101">
        <v>0</v>
      </c>
      <c r="U50" s="118">
        <v>99.12471008300781</v>
      </c>
      <c r="V50" s="126">
        <v>-0.004166660364717245</v>
      </c>
      <c r="W50" s="127">
        <v>50</v>
      </c>
      <c r="X50" s="118">
        <v>85.05642700195312</v>
      </c>
      <c r="Y50" s="118">
        <v>17.165800094604492</v>
      </c>
      <c r="Z50" s="118">
        <v>78.94422912597656</v>
      </c>
      <c r="AA50" s="118">
        <v>50</v>
      </c>
      <c r="AB50" s="118">
        <v>85.71614837646484</v>
      </c>
      <c r="AC50" s="118">
        <v>14.035369873046875</v>
      </c>
      <c r="AD50" s="118">
        <v>16.965059280395508</v>
      </c>
      <c r="AE50" s="105"/>
      <c r="AF50" s="105">
        <v>0</v>
      </c>
      <c r="AG50" s="105"/>
      <c r="AH50" s="105">
        <v>69.52046966552734</v>
      </c>
      <c r="AI50" s="105">
        <v>35.344329833984375</v>
      </c>
      <c r="AJ50" s="105">
        <v>-0.009728011675179005</v>
      </c>
      <c r="AK50" s="105"/>
      <c r="AL50" s="106"/>
      <c r="AM50" s="128"/>
      <c r="AN50" s="119"/>
      <c r="AO50" s="105"/>
      <c r="AP50" s="105"/>
      <c r="AQ50" s="105"/>
      <c r="AR50" s="109"/>
    </row>
    <row r="51" spans="2:44" ht="13.5" customHeight="1" x14ac:dyDescent="0.25">
      <c r="B51" s="42">
        <v>0.33333333333333331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21"/>
      <c r="V51" s="129"/>
      <c r="W51" s="130"/>
      <c r="X51" s="121"/>
      <c r="Y51" s="121"/>
      <c r="Z51" s="121"/>
      <c r="AA51" s="121"/>
      <c r="AB51" s="121"/>
      <c r="AC51" s="121"/>
      <c r="AD51" s="121"/>
      <c r="AE51" s="114"/>
      <c r="AF51" s="114"/>
      <c r="AG51" s="114"/>
      <c r="AH51" s="114"/>
      <c r="AI51" s="114"/>
      <c r="AJ51" s="114"/>
      <c r="AK51" s="114"/>
      <c r="AL51" s="115"/>
      <c r="AM51" s="131"/>
      <c r="AN51" s="122"/>
      <c r="AO51" s="114"/>
      <c r="AP51" s="114"/>
      <c r="AQ51" s="114"/>
      <c r="AR51" s="125"/>
    </row>
    <row r="52" spans="2:44" ht="13.5" customHeight="1" x14ac:dyDescent="0.25">
      <c r="B52" s="221" t="s">
        <v>459</v>
      </c>
      <c r="C52" s="222"/>
      <c r="D52" s="9" t="s">
        <v>274</v>
      </c>
      <c r="E52" s="202" t="s">
        <v>20</v>
      </c>
      <c r="F52" s="205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7"/>
      <c r="AP52" s="207"/>
      <c r="AQ52" s="207"/>
      <c r="AR52" s="208"/>
    </row>
    <row r="53" spans="2:44" ht="13.5" customHeight="1" x14ac:dyDescent="0.25">
      <c r="B53" s="201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172"/>
      <c r="AP53" s="172"/>
      <c r="AQ53" s="172"/>
      <c r="AR53" s="209"/>
    </row>
    <row r="54" spans="2:44" ht="13.5" customHeight="1" thickBot="1" x14ac:dyDescent="0.3">
      <c r="B54" s="212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10"/>
      <c r="AP54" s="210"/>
      <c r="AQ54" s="210"/>
      <c r="AR54" s="21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52:C52"/>
    <mergeCell ref="E52:E54"/>
    <mergeCell ref="F52:AR54"/>
    <mergeCell ref="B53:D54"/>
    <mergeCell ref="B35:B38"/>
    <mergeCell ref="AK35:AL35"/>
    <mergeCell ref="C36:D36"/>
    <mergeCell ref="E36:G36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0" t="s">
        <v>230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</row>
    <row r="2" spans="2:58" ht="13" customHeight="1" x14ac:dyDescent="0.25">
      <c r="B2" s="261" t="s">
        <v>232</v>
      </c>
      <c r="C2" s="194"/>
      <c r="D2" s="194"/>
      <c r="E2" s="194"/>
      <c r="F2" s="194"/>
      <c r="G2" s="194"/>
      <c r="H2" s="194"/>
      <c r="I2" s="194"/>
      <c r="J2" s="194"/>
      <c r="K2" s="194"/>
      <c r="L2" s="199"/>
      <c r="M2" s="262" t="s">
        <v>231</v>
      </c>
      <c r="N2" s="194"/>
      <c r="O2" s="194"/>
      <c r="P2" s="194"/>
      <c r="Q2" s="194"/>
      <c r="R2" s="194"/>
      <c r="S2" s="194"/>
      <c r="T2" s="194"/>
      <c r="U2" s="194"/>
      <c r="V2" s="194"/>
      <c r="W2" s="199"/>
      <c r="X2" s="182" t="s">
        <v>233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9"/>
      <c r="AI2" s="262" t="s">
        <v>234</v>
      </c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9"/>
      <c r="AU2" s="182" t="s">
        <v>235</v>
      </c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263"/>
    </row>
    <row r="3" spans="2:58" ht="13" customHeight="1" x14ac:dyDescent="0.25">
      <c r="B3" s="229"/>
      <c r="C3" s="230"/>
      <c r="D3" s="230"/>
      <c r="E3" s="230"/>
      <c r="F3" s="230"/>
      <c r="G3" s="230"/>
      <c r="H3" s="230"/>
      <c r="I3" s="230"/>
      <c r="J3" s="230"/>
      <c r="K3" s="230"/>
      <c r="L3" s="231"/>
      <c r="M3" s="237"/>
      <c r="N3" s="230"/>
      <c r="O3" s="230"/>
      <c r="P3" s="230"/>
      <c r="Q3" s="230"/>
      <c r="R3" s="230"/>
      <c r="S3" s="230"/>
      <c r="T3" s="230"/>
      <c r="U3" s="230"/>
      <c r="V3" s="230"/>
      <c r="W3" s="231"/>
      <c r="X3" s="241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42"/>
      <c r="AJ3" s="230"/>
      <c r="AK3" s="230"/>
      <c r="AL3" s="230"/>
      <c r="AM3" s="230"/>
      <c r="AN3" s="230"/>
      <c r="AO3" s="230"/>
      <c r="AP3" s="230"/>
      <c r="AQ3" s="230"/>
      <c r="AR3" s="230"/>
      <c r="AS3" s="230"/>
      <c r="AT3" s="231"/>
      <c r="AU3" s="241"/>
      <c r="AV3" s="230"/>
      <c r="AW3" s="230"/>
      <c r="AX3" s="230"/>
      <c r="AY3" s="230"/>
      <c r="AZ3" s="230"/>
      <c r="BA3" s="230"/>
      <c r="BB3" s="230"/>
      <c r="BC3" s="230"/>
      <c r="BD3" s="230"/>
      <c r="BE3" s="230"/>
      <c r="BF3" s="243"/>
    </row>
    <row r="4" spans="2:58" ht="13" customHeight="1" x14ac:dyDescent="0.25">
      <c r="B4" s="232"/>
      <c r="C4" s="233"/>
      <c r="D4" s="233"/>
      <c r="E4" s="233"/>
      <c r="F4" s="233"/>
      <c r="G4" s="233"/>
      <c r="H4" s="233"/>
      <c r="I4" s="233"/>
      <c r="J4" s="233"/>
      <c r="K4" s="233"/>
      <c r="L4" s="234"/>
      <c r="M4" s="238"/>
      <c r="N4" s="233"/>
      <c r="O4" s="233"/>
      <c r="P4" s="233"/>
      <c r="Q4" s="233"/>
      <c r="R4" s="233"/>
      <c r="S4" s="233"/>
      <c r="T4" s="233"/>
      <c r="U4" s="233"/>
      <c r="V4" s="233"/>
      <c r="W4" s="234"/>
      <c r="X4" s="238"/>
      <c r="Y4" s="233"/>
      <c r="Z4" s="233"/>
      <c r="AA4" s="233"/>
      <c r="AB4" s="233"/>
      <c r="AC4" s="233"/>
      <c r="AD4" s="233"/>
      <c r="AE4" s="233"/>
      <c r="AF4" s="233"/>
      <c r="AG4" s="233"/>
      <c r="AH4" s="234"/>
      <c r="AI4" s="238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4"/>
      <c r="AU4" s="238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44"/>
    </row>
    <row r="5" spans="2:58" ht="13" customHeight="1" x14ac:dyDescent="0.25">
      <c r="B5" s="232"/>
      <c r="C5" s="233"/>
      <c r="D5" s="233"/>
      <c r="E5" s="233"/>
      <c r="F5" s="233"/>
      <c r="G5" s="233"/>
      <c r="H5" s="233"/>
      <c r="I5" s="233"/>
      <c r="J5" s="233"/>
      <c r="K5" s="233"/>
      <c r="L5" s="234"/>
      <c r="M5" s="238"/>
      <c r="N5" s="233"/>
      <c r="O5" s="233"/>
      <c r="P5" s="233"/>
      <c r="Q5" s="233"/>
      <c r="R5" s="233"/>
      <c r="S5" s="233"/>
      <c r="T5" s="233"/>
      <c r="U5" s="233"/>
      <c r="V5" s="233"/>
      <c r="W5" s="234"/>
      <c r="X5" s="238"/>
      <c r="Y5" s="233"/>
      <c r="Z5" s="233"/>
      <c r="AA5" s="233"/>
      <c r="AB5" s="233"/>
      <c r="AC5" s="233"/>
      <c r="AD5" s="233"/>
      <c r="AE5" s="233"/>
      <c r="AF5" s="233"/>
      <c r="AG5" s="233"/>
      <c r="AH5" s="234"/>
      <c r="AI5" s="238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4"/>
      <c r="AU5" s="238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44"/>
    </row>
    <row r="6" spans="2:58" ht="13" customHeight="1" x14ac:dyDescent="0.25">
      <c r="B6" s="232"/>
      <c r="C6" s="233"/>
      <c r="D6" s="233"/>
      <c r="E6" s="233"/>
      <c r="F6" s="233"/>
      <c r="G6" s="233"/>
      <c r="H6" s="233"/>
      <c r="I6" s="233"/>
      <c r="J6" s="233"/>
      <c r="K6" s="233"/>
      <c r="L6" s="234"/>
      <c r="M6" s="238"/>
      <c r="N6" s="233"/>
      <c r="O6" s="233"/>
      <c r="P6" s="233"/>
      <c r="Q6" s="233"/>
      <c r="R6" s="233"/>
      <c r="S6" s="233"/>
      <c r="T6" s="233"/>
      <c r="U6" s="233"/>
      <c r="V6" s="233"/>
      <c r="W6" s="234"/>
      <c r="X6" s="238"/>
      <c r="Y6" s="233"/>
      <c r="Z6" s="233"/>
      <c r="AA6" s="233"/>
      <c r="AB6" s="233"/>
      <c r="AC6" s="233"/>
      <c r="AD6" s="233"/>
      <c r="AE6" s="233"/>
      <c r="AF6" s="233"/>
      <c r="AG6" s="233"/>
      <c r="AH6" s="234"/>
      <c r="AI6" s="238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4"/>
      <c r="AU6" s="238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44"/>
    </row>
    <row r="7" spans="2:58" ht="13" customHeight="1" x14ac:dyDescent="0.25">
      <c r="B7" s="232"/>
      <c r="C7" s="233"/>
      <c r="D7" s="233"/>
      <c r="E7" s="233"/>
      <c r="F7" s="233"/>
      <c r="G7" s="233"/>
      <c r="H7" s="233"/>
      <c r="I7" s="233"/>
      <c r="J7" s="233"/>
      <c r="K7" s="233"/>
      <c r="L7" s="234"/>
      <c r="M7" s="238"/>
      <c r="N7" s="233"/>
      <c r="O7" s="233"/>
      <c r="P7" s="233"/>
      <c r="Q7" s="233"/>
      <c r="R7" s="233"/>
      <c r="S7" s="233"/>
      <c r="T7" s="233"/>
      <c r="U7" s="233"/>
      <c r="V7" s="233"/>
      <c r="W7" s="234"/>
      <c r="X7" s="238"/>
      <c r="Y7" s="233"/>
      <c r="Z7" s="233"/>
      <c r="AA7" s="233"/>
      <c r="AB7" s="233"/>
      <c r="AC7" s="233"/>
      <c r="AD7" s="233"/>
      <c r="AE7" s="233"/>
      <c r="AF7" s="233"/>
      <c r="AG7" s="233"/>
      <c r="AH7" s="234"/>
      <c r="AI7" s="238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4"/>
      <c r="AU7" s="238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44"/>
    </row>
    <row r="8" spans="2:58" ht="13" customHeight="1" x14ac:dyDescent="0.25">
      <c r="B8" s="232"/>
      <c r="C8" s="233"/>
      <c r="D8" s="233"/>
      <c r="E8" s="233"/>
      <c r="F8" s="233"/>
      <c r="G8" s="233"/>
      <c r="H8" s="233"/>
      <c r="I8" s="233"/>
      <c r="J8" s="233"/>
      <c r="K8" s="233"/>
      <c r="L8" s="234"/>
      <c r="M8" s="238"/>
      <c r="N8" s="233"/>
      <c r="O8" s="233"/>
      <c r="P8" s="233"/>
      <c r="Q8" s="233"/>
      <c r="R8" s="233"/>
      <c r="S8" s="233"/>
      <c r="T8" s="233"/>
      <c r="U8" s="233"/>
      <c r="V8" s="233"/>
      <c r="W8" s="234"/>
      <c r="X8" s="238"/>
      <c r="Y8" s="233"/>
      <c r="Z8" s="233"/>
      <c r="AA8" s="233"/>
      <c r="AB8" s="233"/>
      <c r="AC8" s="233"/>
      <c r="AD8" s="233"/>
      <c r="AE8" s="233"/>
      <c r="AF8" s="233"/>
      <c r="AG8" s="233"/>
      <c r="AH8" s="234"/>
      <c r="AI8" s="238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4"/>
      <c r="AU8" s="238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44"/>
    </row>
    <row r="9" spans="2:58" ht="13" customHeight="1" x14ac:dyDescent="0.25"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22"/>
      <c r="M9" s="239"/>
      <c r="N9" s="236"/>
      <c r="O9" s="236"/>
      <c r="P9" s="236"/>
      <c r="Q9" s="236"/>
      <c r="R9" s="236"/>
      <c r="S9" s="236"/>
      <c r="T9" s="236"/>
      <c r="U9" s="236"/>
      <c r="V9" s="236"/>
      <c r="W9" s="222"/>
      <c r="X9" s="239"/>
      <c r="Y9" s="236"/>
      <c r="Z9" s="236"/>
      <c r="AA9" s="236"/>
      <c r="AB9" s="236"/>
      <c r="AC9" s="236"/>
      <c r="AD9" s="236"/>
      <c r="AE9" s="236"/>
      <c r="AF9" s="236"/>
      <c r="AG9" s="236"/>
      <c r="AH9" s="222"/>
      <c r="AI9" s="239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22"/>
      <c r="AU9" s="239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45"/>
    </row>
    <row r="10" spans="2:58" ht="13" customHeight="1" x14ac:dyDescent="0.25">
      <c r="B10" s="249" t="s">
        <v>236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6"/>
      <c r="M10" s="260" t="s">
        <v>237</v>
      </c>
      <c r="N10" s="175"/>
      <c r="O10" s="175"/>
      <c r="P10" s="175"/>
      <c r="Q10" s="175"/>
      <c r="R10" s="175"/>
      <c r="S10" s="175"/>
      <c r="T10" s="175"/>
      <c r="U10" s="175"/>
      <c r="V10" s="175"/>
      <c r="W10" s="176"/>
      <c r="X10" s="187" t="s">
        <v>238</v>
      </c>
      <c r="Y10" s="175"/>
      <c r="Z10" s="175"/>
      <c r="AA10" s="175"/>
      <c r="AB10" s="175"/>
      <c r="AC10" s="175"/>
      <c r="AD10" s="175"/>
      <c r="AE10" s="175"/>
      <c r="AF10" s="175"/>
      <c r="AG10" s="175"/>
      <c r="AH10" s="176"/>
      <c r="AI10" s="187" t="s">
        <v>239</v>
      </c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6"/>
      <c r="AU10" s="172" t="s">
        <v>240</v>
      </c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254"/>
    </row>
    <row r="11" spans="2:58" ht="13" customHeight="1" x14ac:dyDescent="0.25">
      <c r="B11" s="229"/>
      <c r="C11" s="230"/>
      <c r="D11" s="230"/>
      <c r="E11" s="230"/>
      <c r="F11" s="230"/>
      <c r="G11" s="230"/>
      <c r="H11" s="230"/>
      <c r="I11" s="230"/>
      <c r="J11" s="230"/>
      <c r="K11" s="230"/>
      <c r="L11" s="231"/>
      <c r="M11" s="237"/>
      <c r="N11" s="230"/>
      <c r="O11" s="230"/>
      <c r="P11" s="230"/>
      <c r="Q11" s="230"/>
      <c r="R11" s="230"/>
      <c r="S11" s="230"/>
      <c r="T11" s="230"/>
      <c r="U11" s="230"/>
      <c r="V11" s="230"/>
      <c r="W11" s="231"/>
      <c r="X11" s="237"/>
      <c r="Y11" s="230"/>
      <c r="Z11" s="230"/>
      <c r="AA11" s="230"/>
      <c r="AB11" s="230"/>
      <c r="AC11" s="230"/>
      <c r="AD11" s="230"/>
      <c r="AE11" s="230"/>
      <c r="AF11" s="230"/>
      <c r="AG11" s="230"/>
      <c r="AH11" s="231"/>
      <c r="AI11" s="237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1"/>
      <c r="AU11" s="246"/>
      <c r="AV11" s="230"/>
      <c r="AW11" s="230"/>
      <c r="AX11" s="230"/>
      <c r="AY11" s="230"/>
      <c r="AZ11" s="230"/>
      <c r="BA11" s="230"/>
      <c r="BB11" s="230"/>
      <c r="BC11" s="230"/>
      <c r="BD11" s="230"/>
      <c r="BE11" s="230"/>
      <c r="BF11" s="243"/>
    </row>
    <row r="12" spans="2:58" ht="13" customHeight="1" x14ac:dyDescent="0.25">
      <c r="B12" s="232"/>
      <c r="C12" s="233"/>
      <c r="D12" s="233"/>
      <c r="E12" s="233"/>
      <c r="F12" s="233"/>
      <c r="G12" s="233"/>
      <c r="H12" s="233"/>
      <c r="I12" s="233"/>
      <c r="J12" s="233"/>
      <c r="K12" s="233"/>
      <c r="L12" s="234"/>
      <c r="M12" s="238"/>
      <c r="N12" s="233"/>
      <c r="O12" s="233"/>
      <c r="P12" s="233"/>
      <c r="Q12" s="233"/>
      <c r="R12" s="233"/>
      <c r="S12" s="233"/>
      <c r="T12" s="233"/>
      <c r="U12" s="233"/>
      <c r="V12" s="233"/>
      <c r="W12" s="234"/>
      <c r="X12" s="238"/>
      <c r="Y12" s="233"/>
      <c r="Z12" s="233"/>
      <c r="AA12" s="233"/>
      <c r="AB12" s="233"/>
      <c r="AC12" s="233"/>
      <c r="AD12" s="233"/>
      <c r="AE12" s="233"/>
      <c r="AF12" s="233"/>
      <c r="AG12" s="233"/>
      <c r="AH12" s="234"/>
      <c r="AI12" s="238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4"/>
      <c r="AU12" s="238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44"/>
    </row>
    <row r="13" spans="2:58" ht="13" customHeight="1" x14ac:dyDescent="0.25">
      <c r="B13" s="232"/>
      <c r="C13" s="233"/>
      <c r="D13" s="233"/>
      <c r="E13" s="233"/>
      <c r="F13" s="233"/>
      <c r="G13" s="233"/>
      <c r="H13" s="233"/>
      <c r="I13" s="233"/>
      <c r="J13" s="233"/>
      <c r="K13" s="233"/>
      <c r="L13" s="234"/>
      <c r="M13" s="238"/>
      <c r="N13" s="233"/>
      <c r="O13" s="233"/>
      <c r="P13" s="233"/>
      <c r="Q13" s="233"/>
      <c r="R13" s="233"/>
      <c r="S13" s="233"/>
      <c r="T13" s="233"/>
      <c r="U13" s="233"/>
      <c r="V13" s="233"/>
      <c r="W13" s="234"/>
      <c r="X13" s="238"/>
      <c r="Y13" s="233"/>
      <c r="Z13" s="233"/>
      <c r="AA13" s="233"/>
      <c r="AB13" s="233"/>
      <c r="AC13" s="233"/>
      <c r="AD13" s="233"/>
      <c r="AE13" s="233"/>
      <c r="AF13" s="233"/>
      <c r="AG13" s="233"/>
      <c r="AH13" s="234"/>
      <c r="AI13" s="238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4"/>
      <c r="AU13" s="238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44"/>
    </row>
    <row r="14" spans="2:58" ht="13" customHeight="1" x14ac:dyDescent="0.25">
      <c r="B14" s="232"/>
      <c r="C14" s="233"/>
      <c r="D14" s="233"/>
      <c r="E14" s="233"/>
      <c r="F14" s="233"/>
      <c r="G14" s="233"/>
      <c r="H14" s="233"/>
      <c r="I14" s="233"/>
      <c r="J14" s="233"/>
      <c r="K14" s="233"/>
      <c r="L14" s="234"/>
      <c r="M14" s="238"/>
      <c r="N14" s="233"/>
      <c r="O14" s="233"/>
      <c r="P14" s="233"/>
      <c r="Q14" s="233"/>
      <c r="R14" s="233"/>
      <c r="S14" s="233"/>
      <c r="T14" s="233"/>
      <c r="U14" s="233"/>
      <c r="V14" s="233"/>
      <c r="W14" s="234"/>
      <c r="X14" s="238"/>
      <c r="Y14" s="233"/>
      <c r="Z14" s="233"/>
      <c r="AA14" s="233"/>
      <c r="AB14" s="233"/>
      <c r="AC14" s="233"/>
      <c r="AD14" s="233"/>
      <c r="AE14" s="233"/>
      <c r="AF14" s="233"/>
      <c r="AG14" s="233"/>
      <c r="AH14" s="234"/>
      <c r="AI14" s="238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4"/>
      <c r="AU14" s="238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44"/>
    </row>
    <row r="15" spans="2:58" ht="13" customHeight="1" x14ac:dyDescent="0.25">
      <c r="B15" s="232"/>
      <c r="C15" s="233"/>
      <c r="D15" s="233"/>
      <c r="E15" s="233"/>
      <c r="F15" s="233"/>
      <c r="G15" s="233"/>
      <c r="H15" s="233"/>
      <c r="I15" s="233"/>
      <c r="J15" s="233"/>
      <c r="K15" s="233"/>
      <c r="L15" s="234"/>
      <c r="M15" s="238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38"/>
      <c r="Y15" s="233"/>
      <c r="Z15" s="233"/>
      <c r="AA15" s="233"/>
      <c r="AB15" s="233"/>
      <c r="AC15" s="233"/>
      <c r="AD15" s="233"/>
      <c r="AE15" s="233"/>
      <c r="AF15" s="233"/>
      <c r="AG15" s="233"/>
      <c r="AH15" s="234"/>
      <c r="AI15" s="238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4"/>
      <c r="AU15" s="238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44"/>
    </row>
    <row r="16" spans="2:58" ht="13" customHeight="1" x14ac:dyDescent="0.25">
      <c r="B16" s="232"/>
      <c r="C16" s="233"/>
      <c r="D16" s="233"/>
      <c r="E16" s="233"/>
      <c r="F16" s="233"/>
      <c r="G16" s="233"/>
      <c r="H16" s="233"/>
      <c r="I16" s="233"/>
      <c r="J16" s="233"/>
      <c r="K16" s="233"/>
      <c r="L16" s="234"/>
      <c r="M16" s="238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38"/>
      <c r="Y16" s="233"/>
      <c r="Z16" s="233"/>
      <c r="AA16" s="233"/>
      <c r="AB16" s="233"/>
      <c r="AC16" s="233"/>
      <c r="AD16" s="233"/>
      <c r="AE16" s="233"/>
      <c r="AF16" s="233"/>
      <c r="AG16" s="233"/>
      <c r="AH16" s="234"/>
      <c r="AI16" s="238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4"/>
      <c r="AU16" s="238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44"/>
    </row>
    <row r="17" spans="2:58" ht="13" customHeight="1" x14ac:dyDescent="0.25"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22"/>
      <c r="M17" s="239"/>
      <c r="N17" s="236"/>
      <c r="O17" s="236"/>
      <c r="P17" s="236"/>
      <c r="Q17" s="236"/>
      <c r="R17" s="236"/>
      <c r="S17" s="236"/>
      <c r="T17" s="236"/>
      <c r="U17" s="236"/>
      <c r="V17" s="236"/>
      <c r="W17" s="222"/>
      <c r="X17" s="239"/>
      <c r="Y17" s="236"/>
      <c r="Z17" s="236"/>
      <c r="AA17" s="236"/>
      <c r="AB17" s="236"/>
      <c r="AC17" s="236"/>
      <c r="AD17" s="236"/>
      <c r="AE17" s="236"/>
      <c r="AF17" s="236"/>
      <c r="AG17" s="236"/>
      <c r="AH17" s="222"/>
      <c r="AI17" s="239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22"/>
      <c r="AU17" s="239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45"/>
    </row>
    <row r="18" spans="2:58" ht="13" customHeight="1" x14ac:dyDescent="0.25">
      <c r="B18" s="249" t="s">
        <v>241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250" t="s">
        <v>242</v>
      </c>
      <c r="N18" s="175"/>
      <c r="O18" s="175"/>
      <c r="P18" s="175"/>
      <c r="Q18" s="175"/>
      <c r="R18" s="175"/>
      <c r="S18" s="175"/>
      <c r="T18" s="175"/>
      <c r="U18" s="175"/>
      <c r="V18" s="175"/>
      <c r="W18" s="176"/>
      <c r="X18" s="248" t="s">
        <v>243</v>
      </c>
      <c r="Y18" s="175"/>
      <c r="Z18" s="175"/>
      <c r="AA18" s="175"/>
      <c r="AB18" s="175"/>
      <c r="AC18" s="175"/>
      <c r="AD18" s="175"/>
      <c r="AE18" s="175"/>
      <c r="AF18" s="175"/>
      <c r="AG18" s="175"/>
      <c r="AH18" s="176"/>
      <c r="AI18" s="170" t="s">
        <v>244</v>
      </c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6"/>
      <c r="AU18" s="172" t="s">
        <v>245</v>
      </c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254"/>
    </row>
    <row r="19" spans="2:58" ht="13" customHeight="1" x14ac:dyDescent="0.25">
      <c r="B19" s="229"/>
      <c r="C19" s="230"/>
      <c r="D19" s="230"/>
      <c r="E19" s="230"/>
      <c r="F19" s="230"/>
      <c r="G19" s="230"/>
      <c r="H19" s="230"/>
      <c r="I19" s="230"/>
      <c r="J19" s="230"/>
      <c r="K19" s="230"/>
      <c r="L19" s="231"/>
      <c r="M19" s="247"/>
      <c r="N19" s="230"/>
      <c r="O19" s="230"/>
      <c r="P19" s="230"/>
      <c r="Q19" s="230"/>
      <c r="R19" s="230"/>
      <c r="S19" s="230"/>
      <c r="T19" s="230"/>
      <c r="U19" s="230"/>
      <c r="V19" s="230"/>
      <c r="W19" s="231"/>
      <c r="X19" s="264"/>
      <c r="Y19" s="230"/>
      <c r="Z19" s="230"/>
      <c r="AA19" s="230"/>
      <c r="AB19" s="230"/>
      <c r="AC19" s="230"/>
      <c r="AD19" s="230"/>
      <c r="AE19" s="230"/>
      <c r="AF19" s="230"/>
      <c r="AG19" s="230"/>
      <c r="AH19" s="231"/>
      <c r="AI19" s="241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1"/>
      <c r="AU19" s="246"/>
      <c r="AV19" s="230"/>
      <c r="AW19" s="230"/>
      <c r="AX19" s="230"/>
      <c r="AY19" s="230"/>
      <c r="AZ19" s="230"/>
      <c r="BA19" s="230"/>
      <c r="BB19" s="230"/>
      <c r="BC19" s="230"/>
      <c r="BD19" s="230"/>
      <c r="BE19" s="230"/>
      <c r="BF19" s="243"/>
    </row>
    <row r="20" spans="2:58" ht="13" customHeight="1" x14ac:dyDescent="0.25">
      <c r="B20" s="232"/>
      <c r="C20" s="233"/>
      <c r="D20" s="233"/>
      <c r="E20" s="233"/>
      <c r="F20" s="233"/>
      <c r="G20" s="233"/>
      <c r="H20" s="233"/>
      <c r="I20" s="233"/>
      <c r="J20" s="233"/>
      <c r="K20" s="233"/>
      <c r="L20" s="234"/>
      <c r="M20" s="238"/>
      <c r="N20" s="233"/>
      <c r="O20" s="233"/>
      <c r="P20" s="233"/>
      <c r="Q20" s="233"/>
      <c r="R20" s="233"/>
      <c r="S20" s="233"/>
      <c r="T20" s="233"/>
      <c r="U20" s="233"/>
      <c r="V20" s="233"/>
      <c r="W20" s="234"/>
      <c r="X20" s="238"/>
      <c r="Y20" s="233"/>
      <c r="Z20" s="233"/>
      <c r="AA20" s="233"/>
      <c r="AB20" s="233"/>
      <c r="AC20" s="233"/>
      <c r="AD20" s="233"/>
      <c r="AE20" s="233"/>
      <c r="AF20" s="233"/>
      <c r="AG20" s="233"/>
      <c r="AH20" s="234"/>
      <c r="AI20" s="238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4"/>
      <c r="AU20" s="238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44"/>
    </row>
    <row r="21" spans="2:58" ht="13" customHeight="1" x14ac:dyDescent="0.25">
      <c r="B21" s="232"/>
      <c r="C21" s="233"/>
      <c r="D21" s="233"/>
      <c r="E21" s="233"/>
      <c r="F21" s="233"/>
      <c r="G21" s="233"/>
      <c r="H21" s="233"/>
      <c r="I21" s="233"/>
      <c r="J21" s="233"/>
      <c r="K21" s="233"/>
      <c r="L21" s="234"/>
      <c r="M21" s="238"/>
      <c r="N21" s="233"/>
      <c r="O21" s="233"/>
      <c r="P21" s="233"/>
      <c r="Q21" s="233"/>
      <c r="R21" s="233"/>
      <c r="S21" s="233"/>
      <c r="T21" s="233"/>
      <c r="U21" s="233"/>
      <c r="V21" s="233"/>
      <c r="W21" s="234"/>
      <c r="X21" s="238"/>
      <c r="Y21" s="233"/>
      <c r="Z21" s="233"/>
      <c r="AA21" s="233"/>
      <c r="AB21" s="233"/>
      <c r="AC21" s="233"/>
      <c r="AD21" s="233"/>
      <c r="AE21" s="233"/>
      <c r="AF21" s="233"/>
      <c r="AG21" s="233"/>
      <c r="AH21" s="234"/>
      <c r="AI21" s="238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4"/>
      <c r="AU21" s="238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44"/>
    </row>
    <row r="22" spans="2:58" ht="13" customHeight="1" x14ac:dyDescent="0.25">
      <c r="B22" s="232"/>
      <c r="C22" s="233"/>
      <c r="D22" s="233"/>
      <c r="E22" s="233"/>
      <c r="F22" s="233"/>
      <c r="G22" s="233"/>
      <c r="H22" s="233"/>
      <c r="I22" s="233"/>
      <c r="J22" s="233"/>
      <c r="K22" s="233"/>
      <c r="L22" s="234"/>
      <c r="M22" s="238"/>
      <c r="N22" s="233"/>
      <c r="O22" s="233"/>
      <c r="P22" s="233"/>
      <c r="Q22" s="233"/>
      <c r="R22" s="233"/>
      <c r="S22" s="233"/>
      <c r="T22" s="233"/>
      <c r="U22" s="233"/>
      <c r="V22" s="233"/>
      <c r="W22" s="234"/>
      <c r="X22" s="238"/>
      <c r="Y22" s="233"/>
      <c r="Z22" s="233"/>
      <c r="AA22" s="233"/>
      <c r="AB22" s="233"/>
      <c r="AC22" s="233"/>
      <c r="AD22" s="233"/>
      <c r="AE22" s="233"/>
      <c r="AF22" s="233"/>
      <c r="AG22" s="233"/>
      <c r="AH22" s="234"/>
      <c r="AI22" s="238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4"/>
      <c r="AU22" s="238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44"/>
    </row>
    <row r="23" spans="2:58" ht="13" customHeight="1" x14ac:dyDescent="0.25">
      <c r="B23" s="232"/>
      <c r="C23" s="233"/>
      <c r="D23" s="233"/>
      <c r="E23" s="233"/>
      <c r="F23" s="233"/>
      <c r="G23" s="233"/>
      <c r="H23" s="233"/>
      <c r="I23" s="233"/>
      <c r="J23" s="233"/>
      <c r="K23" s="233"/>
      <c r="L23" s="234"/>
      <c r="M23" s="238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38"/>
      <c r="Y23" s="233"/>
      <c r="Z23" s="233"/>
      <c r="AA23" s="233"/>
      <c r="AB23" s="233"/>
      <c r="AC23" s="233"/>
      <c r="AD23" s="233"/>
      <c r="AE23" s="233"/>
      <c r="AF23" s="233"/>
      <c r="AG23" s="233"/>
      <c r="AH23" s="234"/>
      <c r="AI23" s="238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4"/>
      <c r="AU23" s="238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44"/>
    </row>
    <row r="24" spans="2:58" ht="13" customHeight="1" x14ac:dyDescent="0.25"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22"/>
      <c r="M24" s="239"/>
      <c r="N24" s="236"/>
      <c r="O24" s="236"/>
      <c r="P24" s="236"/>
      <c r="Q24" s="236"/>
      <c r="R24" s="236"/>
      <c r="S24" s="236"/>
      <c r="T24" s="236"/>
      <c r="U24" s="236"/>
      <c r="V24" s="236"/>
      <c r="W24" s="222"/>
      <c r="X24" s="239"/>
      <c r="Y24" s="236"/>
      <c r="Z24" s="236"/>
      <c r="AA24" s="236"/>
      <c r="AB24" s="236"/>
      <c r="AC24" s="236"/>
      <c r="AD24" s="236"/>
      <c r="AE24" s="236"/>
      <c r="AF24" s="236"/>
      <c r="AG24" s="236"/>
      <c r="AH24" s="222"/>
      <c r="AI24" s="239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22"/>
      <c r="AU24" s="239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45"/>
    </row>
    <row r="25" spans="2:58" ht="13" customHeight="1" x14ac:dyDescent="0.25">
      <c r="B25" s="249" t="s">
        <v>246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6"/>
      <c r="M25" s="187" t="s">
        <v>247</v>
      </c>
      <c r="N25" s="175"/>
      <c r="O25" s="175"/>
      <c r="P25" s="175"/>
      <c r="Q25" s="175"/>
      <c r="R25" s="175"/>
      <c r="S25" s="175"/>
      <c r="T25" s="175"/>
      <c r="U25" s="175"/>
      <c r="V25" s="175"/>
      <c r="W25" s="176"/>
      <c r="X25" s="253" t="s">
        <v>248</v>
      </c>
      <c r="Y25" s="175"/>
      <c r="Z25" s="175"/>
      <c r="AA25" s="175"/>
      <c r="AB25" s="175"/>
      <c r="AC25" s="175"/>
      <c r="AD25" s="175"/>
      <c r="AE25" s="175"/>
      <c r="AF25" s="175"/>
      <c r="AG25" s="175"/>
      <c r="AH25" s="176"/>
      <c r="AI25" s="172" t="s">
        <v>249</v>
      </c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6"/>
      <c r="AU25" s="172" t="s">
        <v>250</v>
      </c>
      <c r="AV25" s="175"/>
      <c r="AW25" s="175"/>
      <c r="AX25" s="175"/>
      <c r="AY25" s="175"/>
      <c r="AZ25" s="175"/>
      <c r="BA25" s="175"/>
      <c r="BB25" s="175"/>
      <c r="BC25" s="175"/>
      <c r="BD25" s="175"/>
      <c r="BE25" s="175"/>
      <c r="BF25" s="254"/>
    </row>
    <row r="26" spans="2:58" ht="13" customHeight="1" x14ac:dyDescent="0.25">
      <c r="B26" s="229"/>
      <c r="C26" s="230"/>
      <c r="D26" s="230"/>
      <c r="E26" s="230"/>
      <c r="F26" s="230"/>
      <c r="G26" s="230"/>
      <c r="H26" s="230"/>
      <c r="I26" s="230"/>
      <c r="J26" s="230"/>
      <c r="K26" s="230"/>
      <c r="L26" s="231"/>
      <c r="M26" s="251"/>
      <c r="N26" s="230"/>
      <c r="O26" s="230"/>
      <c r="P26" s="230"/>
      <c r="Q26" s="230"/>
      <c r="R26" s="230"/>
      <c r="S26" s="230"/>
      <c r="T26" s="230"/>
      <c r="U26" s="230"/>
      <c r="V26" s="230"/>
      <c r="W26" s="231"/>
      <c r="X26" s="240"/>
      <c r="Y26" s="230"/>
      <c r="Z26" s="230"/>
      <c r="AA26" s="230"/>
      <c r="AB26" s="230"/>
      <c r="AC26" s="230"/>
      <c r="AD26" s="230"/>
      <c r="AE26" s="230"/>
      <c r="AF26" s="230"/>
      <c r="AG26" s="230"/>
      <c r="AH26" s="231"/>
      <c r="AI26" s="246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1"/>
      <c r="AU26" s="246"/>
      <c r="AV26" s="230"/>
      <c r="AW26" s="230"/>
      <c r="AX26" s="230"/>
      <c r="AY26" s="230"/>
      <c r="AZ26" s="230"/>
      <c r="BA26" s="230"/>
      <c r="BB26" s="230"/>
      <c r="BC26" s="230"/>
      <c r="BD26" s="230"/>
      <c r="BE26" s="230"/>
      <c r="BF26" s="243"/>
    </row>
    <row r="27" spans="2:58" ht="13" customHeight="1" x14ac:dyDescent="0.25">
      <c r="B27" s="232"/>
      <c r="C27" s="233"/>
      <c r="D27" s="233"/>
      <c r="E27" s="233"/>
      <c r="F27" s="233"/>
      <c r="G27" s="233"/>
      <c r="H27" s="233"/>
      <c r="I27" s="233"/>
      <c r="J27" s="233"/>
      <c r="K27" s="233"/>
      <c r="L27" s="234"/>
      <c r="M27" s="238"/>
      <c r="N27" s="233"/>
      <c r="O27" s="233"/>
      <c r="P27" s="233"/>
      <c r="Q27" s="233"/>
      <c r="R27" s="233"/>
      <c r="S27" s="233"/>
      <c r="T27" s="233"/>
      <c r="U27" s="233"/>
      <c r="V27" s="233"/>
      <c r="W27" s="234"/>
      <c r="X27" s="238"/>
      <c r="Y27" s="233"/>
      <c r="Z27" s="233"/>
      <c r="AA27" s="233"/>
      <c r="AB27" s="233"/>
      <c r="AC27" s="233"/>
      <c r="AD27" s="233"/>
      <c r="AE27" s="233"/>
      <c r="AF27" s="233"/>
      <c r="AG27" s="233"/>
      <c r="AH27" s="234"/>
      <c r="AI27" s="238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4"/>
      <c r="AU27" s="238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44"/>
    </row>
    <row r="28" spans="2:58" ht="13" customHeight="1" x14ac:dyDescent="0.25">
      <c r="B28" s="232"/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M28" s="238"/>
      <c r="N28" s="233"/>
      <c r="O28" s="233"/>
      <c r="P28" s="233"/>
      <c r="Q28" s="233"/>
      <c r="R28" s="233"/>
      <c r="S28" s="233"/>
      <c r="T28" s="233"/>
      <c r="U28" s="233"/>
      <c r="V28" s="233"/>
      <c r="W28" s="234"/>
      <c r="X28" s="238"/>
      <c r="Y28" s="233"/>
      <c r="Z28" s="233"/>
      <c r="AA28" s="233"/>
      <c r="AB28" s="233"/>
      <c r="AC28" s="233"/>
      <c r="AD28" s="233"/>
      <c r="AE28" s="233"/>
      <c r="AF28" s="233"/>
      <c r="AG28" s="233"/>
      <c r="AH28" s="234"/>
      <c r="AI28" s="238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4"/>
      <c r="AU28" s="238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44"/>
    </row>
    <row r="29" spans="2:58" ht="13" customHeight="1" x14ac:dyDescent="0.2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M29" s="238"/>
      <c r="N29" s="233"/>
      <c r="O29" s="233"/>
      <c r="P29" s="233"/>
      <c r="Q29" s="233"/>
      <c r="R29" s="233"/>
      <c r="S29" s="233"/>
      <c r="T29" s="233"/>
      <c r="U29" s="233"/>
      <c r="V29" s="233"/>
      <c r="W29" s="234"/>
      <c r="X29" s="238"/>
      <c r="Y29" s="233"/>
      <c r="Z29" s="233"/>
      <c r="AA29" s="233"/>
      <c r="AB29" s="233"/>
      <c r="AC29" s="233"/>
      <c r="AD29" s="233"/>
      <c r="AE29" s="233"/>
      <c r="AF29" s="233"/>
      <c r="AG29" s="233"/>
      <c r="AH29" s="234"/>
      <c r="AI29" s="238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4"/>
      <c r="AU29" s="238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44"/>
    </row>
    <row r="30" spans="2:58" ht="13" customHeight="1" x14ac:dyDescent="0.2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M30" s="238"/>
      <c r="N30" s="233"/>
      <c r="O30" s="233"/>
      <c r="P30" s="233"/>
      <c r="Q30" s="233"/>
      <c r="R30" s="233"/>
      <c r="S30" s="233"/>
      <c r="T30" s="233"/>
      <c r="U30" s="233"/>
      <c r="V30" s="233"/>
      <c r="W30" s="234"/>
      <c r="X30" s="238"/>
      <c r="Y30" s="233"/>
      <c r="Z30" s="233"/>
      <c r="AA30" s="233"/>
      <c r="AB30" s="233"/>
      <c r="AC30" s="233"/>
      <c r="AD30" s="233"/>
      <c r="AE30" s="233"/>
      <c r="AF30" s="233"/>
      <c r="AG30" s="233"/>
      <c r="AH30" s="234"/>
      <c r="AI30" s="238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4"/>
      <c r="AU30" s="238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44"/>
    </row>
    <row r="31" spans="2:58" ht="13" customHeight="1" x14ac:dyDescent="0.2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22"/>
      <c r="M31" s="239"/>
      <c r="N31" s="236"/>
      <c r="O31" s="236"/>
      <c r="P31" s="236"/>
      <c r="Q31" s="236"/>
      <c r="R31" s="236"/>
      <c r="S31" s="236"/>
      <c r="T31" s="236"/>
      <c r="U31" s="236"/>
      <c r="V31" s="236"/>
      <c r="W31" s="222"/>
      <c r="X31" s="239"/>
      <c r="Y31" s="236"/>
      <c r="Z31" s="236"/>
      <c r="AA31" s="236"/>
      <c r="AB31" s="236"/>
      <c r="AC31" s="236"/>
      <c r="AD31" s="236"/>
      <c r="AE31" s="236"/>
      <c r="AF31" s="236"/>
      <c r="AG31" s="236"/>
      <c r="AH31" s="222"/>
      <c r="AI31" s="239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22"/>
      <c r="AU31" s="239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45"/>
    </row>
    <row r="32" spans="2:58" ht="13" customHeight="1" x14ac:dyDescent="0.25">
      <c r="B32" s="249" t="s">
        <v>251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6"/>
      <c r="M32" s="252" t="s">
        <v>252</v>
      </c>
      <c r="N32" s="175"/>
      <c r="O32" s="175"/>
      <c r="P32" s="175"/>
      <c r="Q32" s="175"/>
      <c r="R32" s="175"/>
      <c r="S32" s="175"/>
      <c r="T32" s="175"/>
      <c r="U32" s="175"/>
      <c r="V32" s="175"/>
      <c r="W32" s="176"/>
      <c r="X32" s="253" t="s">
        <v>253</v>
      </c>
      <c r="Y32" s="175"/>
      <c r="Z32" s="175"/>
      <c r="AA32" s="175"/>
      <c r="AB32" s="175"/>
      <c r="AC32" s="175"/>
      <c r="AD32" s="175"/>
      <c r="AE32" s="175"/>
      <c r="AF32" s="175"/>
      <c r="AG32" s="175"/>
      <c r="AH32" s="176"/>
      <c r="AI32" s="172" t="s">
        <v>254</v>
      </c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6"/>
      <c r="AU32" s="172" t="s">
        <v>255</v>
      </c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254"/>
    </row>
    <row r="33" spans="2:58" ht="13" customHeight="1" x14ac:dyDescent="0.2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37"/>
      <c r="N33" s="230"/>
      <c r="O33" s="230"/>
      <c r="P33" s="230"/>
      <c r="Q33" s="230"/>
      <c r="R33" s="230"/>
      <c r="S33" s="230"/>
      <c r="T33" s="230"/>
      <c r="U33" s="230"/>
      <c r="V33" s="230"/>
      <c r="W33" s="231"/>
      <c r="X33" s="240"/>
      <c r="Y33" s="230"/>
      <c r="Z33" s="230"/>
      <c r="AA33" s="230"/>
      <c r="AB33" s="230"/>
      <c r="AC33" s="230"/>
      <c r="AD33" s="230"/>
      <c r="AE33" s="230"/>
      <c r="AF33" s="230"/>
      <c r="AG33" s="230"/>
      <c r="AH33" s="231"/>
      <c r="AI33" s="246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1"/>
      <c r="AU33" s="246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43"/>
    </row>
    <row r="34" spans="2:58" ht="13" customHeight="1" x14ac:dyDescent="0.2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238"/>
      <c r="N34" s="233"/>
      <c r="O34" s="233"/>
      <c r="P34" s="233"/>
      <c r="Q34" s="233"/>
      <c r="R34" s="233"/>
      <c r="S34" s="233"/>
      <c r="T34" s="233"/>
      <c r="U34" s="233"/>
      <c r="V34" s="233"/>
      <c r="W34" s="234"/>
      <c r="X34" s="238"/>
      <c r="Y34" s="233"/>
      <c r="Z34" s="233"/>
      <c r="AA34" s="233"/>
      <c r="AB34" s="233"/>
      <c r="AC34" s="233"/>
      <c r="AD34" s="233"/>
      <c r="AE34" s="233"/>
      <c r="AF34" s="233"/>
      <c r="AG34" s="233"/>
      <c r="AH34" s="234"/>
      <c r="AI34" s="238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4"/>
      <c r="AU34" s="238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44"/>
    </row>
    <row r="35" spans="2:58" ht="13" customHeight="1" x14ac:dyDescent="0.2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38"/>
      <c r="N35" s="233"/>
      <c r="O35" s="233"/>
      <c r="P35" s="233"/>
      <c r="Q35" s="233"/>
      <c r="R35" s="233"/>
      <c r="S35" s="233"/>
      <c r="T35" s="233"/>
      <c r="U35" s="233"/>
      <c r="V35" s="233"/>
      <c r="W35" s="234"/>
      <c r="X35" s="238"/>
      <c r="Y35" s="233"/>
      <c r="Z35" s="233"/>
      <c r="AA35" s="233"/>
      <c r="AB35" s="233"/>
      <c r="AC35" s="233"/>
      <c r="AD35" s="233"/>
      <c r="AE35" s="233"/>
      <c r="AF35" s="233"/>
      <c r="AG35" s="233"/>
      <c r="AH35" s="234"/>
      <c r="AI35" s="238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4"/>
      <c r="AU35" s="238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44"/>
    </row>
    <row r="36" spans="2:58" ht="13" customHeight="1" x14ac:dyDescent="0.2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38"/>
      <c r="N36" s="233"/>
      <c r="O36" s="233"/>
      <c r="P36" s="233"/>
      <c r="Q36" s="233"/>
      <c r="R36" s="233"/>
      <c r="S36" s="233"/>
      <c r="T36" s="233"/>
      <c r="U36" s="233"/>
      <c r="V36" s="233"/>
      <c r="W36" s="234"/>
      <c r="X36" s="238"/>
      <c r="Y36" s="233"/>
      <c r="Z36" s="233"/>
      <c r="AA36" s="233"/>
      <c r="AB36" s="233"/>
      <c r="AC36" s="233"/>
      <c r="AD36" s="233"/>
      <c r="AE36" s="233"/>
      <c r="AF36" s="233"/>
      <c r="AG36" s="233"/>
      <c r="AH36" s="234"/>
      <c r="AI36" s="238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4"/>
      <c r="AU36" s="238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44"/>
    </row>
    <row r="37" spans="2:58" ht="13" customHeight="1" x14ac:dyDescent="0.2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38"/>
      <c r="N37" s="233"/>
      <c r="O37" s="233"/>
      <c r="P37" s="233"/>
      <c r="Q37" s="233"/>
      <c r="R37" s="233"/>
      <c r="S37" s="233"/>
      <c r="T37" s="233"/>
      <c r="U37" s="233"/>
      <c r="V37" s="233"/>
      <c r="W37" s="234"/>
      <c r="X37" s="238"/>
      <c r="Y37" s="233"/>
      <c r="Z37" s="233"/>
      <c r="AA37" s="233"/>
      <c r="AB37" s="233"/>
      <c r="AC37" s="233"/>
      <c r="AD37" s="233"/>
      <c r="AE37" s="233"/>
      <c r="AF37" s="233"/>
      <c r="AG37" s="233"/>
      <c r="AH37" s="234"/>
      <c r="AI37" s="238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4"/>
      <c r="AU37" s="238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44"/>
    </row>
    <row r="38" spans="2:58" ht="13" customHeight="1" x14ac:dyDescent="0.25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22"/>
      <c r="M38" s="239"/>
      <c r="N38" s="236"/>
      <c r="O38" s="236"/>
      <c r="P38" s="236"/>
      <c r="Q38" s="236"/>
      <c r="R38" s="236"/>
      <c r="S38" s="236"/>
      <c r="T38" s="236"/>
      <c r="U38" s="236"/>
      <c r="V38" s="236"/>
      <c r="W38" s="222"/>
      <c r="X38" s="239"/>
      <c r="Y38" s="236"/>
      <c r="Z38" s="236"/>
      <c r="AA38" s="236"/>
      <c r="AB38" s="236"/>
      <c r="AC38" s="236"/>
      <c r="AD38" s="236"/>
      <c r="AE38" s="236"/>
      <c r="AF38" s="236"/>
      <c r="AG38" s="236"/>
      <c r="AH38" s="222"/>
      <c r="AI38" s="239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22"/>
      <c r="AU38" s="239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45"/>
    </row>
    <row r="39" spans="2:58" ht="13" customHeight="1" x14ac:dyDescent="0.25">
      <c r="B39" s="249" t="s">
        <v>256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6"/>
      <c r="M39" s="252" t="s">
        <v>257</v>
      </c>
      <c r="N39" s="175"/>
      <c r="O39" s="175"/>
      <c r="P39" s="175"/>
      <c r="Q39" s="175"/>
      <c r="R39" s="175"/>
      <c r="S39" s="175"/>
      <c r="T39" s="175"/>
      <c r="U39" s="175"/>
      <c r="V39" s="175"/>
      <c r="W39" s="176"/>
      <c r="X39" s="253" t="s">
        <v>258</v>
      </c>
      <c r="Y39" s="175"/>
      <c r="Z39" s="175"/>
      <c r="AA39" s="175"/>
      <c r="AB39" s="175"/>
      <c r="AC39" s="175"/>
      <c r="AD39" s="175"/>
      <c r="AE39" s="175"/>
      <c r="AF39" s="175"/>
      <c r="AG39" s="175"/>
      <c r="AH39" s="176"/>
      <c r="AI39" s="172" t="s">
        <v>259</v>
      </c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6"/>
      <c r="AU39" s="172" t="s">
        <v>260</v>
      </c>
      <c r="AV39" s="175"/>
      <c r="AW39" s="175"/>
      <c r="AX39" s="175"/>
      <c r="AY39" s="175"/>
      <c r="AZ39" s="175"/>
      <c r="BA39" s="175"/>
      <c r="BB39" s="175"/>
      <c r="BC39" s="175"/>
      <c r="BD39" s="175"/>
      <c r="BE39" s="175"/>
      <c r="BF39" s="254"/>
    </row>
    <row r="40" spans="2:58" ht="13" customHeight="1" x14ac:dyDescent="0.25">
      <c r="B40" s="229"/>
      <c r="C40" s="230"/>
      <c r="D40" s="230"/>
      <c r="E40" s="230"/>
      <c r="F40" s="230"/>
      <c r="G40" s="230"/>
      <c r="H40" s="230"/>
      <c r="I40" s="230"/>
      <c r="J40" s="230"/>
      <c r="K40" s="230"/>
      <c r="L40" s="231"/>
      <c r="M40" s="237"/>
      <c r="N40" s="230"/>
      <c r="O40" s="230"/>
      <c r="P40" s="230"/>
      <c r="Q40" s="230"/>
      <c r="R40" s="230"/>
      <c r="S40" s="230"/>
      <c r="T40" s="230"/>
      <c r="U40" s="230"/>
      <c r="V40" s="230"/>
      <c r="W40" s="231"/>
      <c r="X40" s="240"/>
      <c r="Y40" s="230"/>
      <c r="Z40" s="230"/>
      <c r="AA40" s="230"/>
      <c r="AB40" s="230"/>
      <c r="AC40" s="230"/>
      <c r="AD40" s="230"/>
      <c r="AE40" s="230"/>
      <c r="AF40" s="230"/>
      <c r="AG40" s="230"/>
      <c r="AH40" s="231"/>
      <c r="AI40" s="246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1"/>
      <c r="AU40" s="246"/>
      <c r="AV40" s="230"/>
      <c r="AW40" s="230"/>
      <c r="AX40" s="230"/>
      <c r="AY40" s="230"/>
      <c r="AZ40" s="230"/>
      <c r="BA40" s="230"/>
      <c r="BB40" s="230"/>
      <c r="BC40" s="230"/>
      <c r="BD40" s="230"/>
      <c r="BE40" s="230"/>
      <c r="BF40" s="243"/>
    </row>
    <row r="41" spans="2:58" ht="13" customHeight="1" x14ac:dyDescent="0.25">
      <c r="B41" s="232"/>
      <c r="C41" s="233"/>
      <c r="D41" s="233"/>
      <c r="E41" s="233"/>
      <c r="F41" s="233"/>
      <c r="G41" s="233"/>
      <c r="H41" s="233"/>
      <c r="I41" s="233"/>
      <c r="J41" s="233"/>
      <c r="K41" s="233"/>
      <c r="L41" s="234"/>
      <c r="M41" s="238"/>
      <c r="N41" s="233"/>
      <c r="O41" s="233"/>
      <c r="P41" s="233"/>
      <c r="Q41" s="233"/>
      <c r="R41" s="233"/>
      <c r="S41" s="233"/>
      <c r="T41" s="233"/>
      <c r="U41" s="233"/>
      <c r="V41" s="233"/>
      <c r="W41" s="234"/>
      <c r="X41" s="238"/>
      <c r="Y41" s="233"/>
      <c r="Z41" s="233"/>
      <c r="AA41" s="233"/>
      <c r="AB41" s="233"/>
      <c r="AC41" s="233"/>
      <c r="AD41" s="233"/>
      <c r="AE41" s="233"/>
      <c r="AF41" s="233"/>
      <c r="AG41" s="233"/>
      <c r="AH41" s="234"/>
      <c r="AI41" s="238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4"/>
      <c r="AU41" s="238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44"/>
    </row>
    <row r="42" spans="2:58" ht="13" customHeight="1" x14ac:dyDescent="0.25">
      <c r="B42" s="232"/>
      <c r="C42" s="233"/>
      <c r="D42" s="233"/>
      <c r="E42" s="233"/>
      <c r="F42" s="233"/>
      <c r="G42" s="233"/>
      <c r="H42" s="233"/>
      <c r="I42" s="233"/>
      <c r="J42" s="233"/>
      <c r="K42" s="233"/>
      <c r="L42" s="234"/>
      <c r="M42" s="238"/>
      <c r="N42" s="233"/>
      <c r="O42" s="233"/>
      <c r="P42" s="233"/>
      <c r="Q42" s="233"/>
      <c r="R42" s="233"/>
      <c r="S42" s="233"/>
      <c r="T42" s="233"/>
      <c r="U42" s="233"/>
      <c r="V42" s="233"/>
      <c r="W42" s="234"/>
      <c r="X42" s="238"/>
      <c r="Y42" s="233"/>
      <c r="Z42" s="233"/>
      <c r="AA42" s="233"/>
      <c r="AB42" s="233"/>
      <c r="AC42" s="233"/>
      <c r="AD42" s="233"/>
      <c r="AE42" s="233"/>
      <c r="AF42" s="233"/>
      <c r="AG42" s="233"/>
      <c r="AH42" s="234"/>
      <c r="AI42" s="238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4"/>
      <c r="AU42" s="238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44"/>
    </row>
    <row r="43" spans="2:58" ht="13" customHeight="1" x14ac:dyDescent="0.25">
      <c r="B43" s="232"/>
      <c r="C43" s="233"/>
      <c r="D43" s="233"/>
      <c r="E43" s="233"/>
      <c r="F43" s="233"/>
      <c r="G43" s="233"/>
      <c r="H43" s="233"/>
      <c r="I43" s="233"/>
      <c r="J43" s="233"/>
      <c r="K43" s="233"/>
      <c r="L43" s="234"/>
      <c r="M43" s="238"/>
      <c r="N43" s="233"/>
      <c r="O43" s="233"/>
      <c r="P43" s="233"/>
      <c r="Q43" s="233"/>
      <c r="R43" s="233"/>
      <c r="S43" s="233"/>
      <c r="T43" s="233"/>
      <c r="U43" s="233"/>
      <c r="V43" s="233"/>
      <c r="W43" s="234"/>
      <c r="X43" s="238"/>
      <c r="Y43" s="233"/>
      <c r="Z43" s="233"/>
      <c r="AA43" s="233"/>
      <c r="AB43" s="233"/>
      <c r="AC43" s="233"/>
      <c r="AD43" s="233"/>
      <c r="AE43" s="233"/>
      <c r="AF43" s="233"/>
      <c r="AG43" s="233"/>
      <c r="AH43" s="234"/>
      <c r="AI43" s="238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4"/>
      <c r="AU43" s="238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44"/>
    </row>
    <row r="44" spans="2:58" ht="13" customHeight="1" x14ac:dyDescent="0.25">
      <c r="B44" s="232"/>
      <c r="C44" s="233"/>
      <c r="D44" s="233"/>
      <c r="E44" s="233"/>
      <c r="F44" s="233"/>
      <c r="G44" s="233"/>
      <c r="H44" s="233"/>
      <c r="I44" s="233"/>
      <c r="J44" s="233"/>
      <c r="K44" s="233"/>
      <c r="L44" s="234"/>
      <c r="M44" s="238"/>
      <c r="N44" s="233"/>
      <c r="O44" s="233"/>
      <c r="P44" s="233"/>
      <c r="Q44" s="233"/>
      <c r="R44" s="233"/>
      <c r="S44" s="233"/>
      <c r="T44" s="233"/>
      <c r="U44" s="233"/>
      <c r="V44" s="233"/>
      <c r="W44" s="234"/>
      <c r="X44" s="238"/>
      <c r="Y44" s="233"/>
      <c r="Z44" s="233"/>
      <c r="AA44" s="233"/>
      <c r="AB44" s="233"/>
      <c r="AC44" s="233"/>
      <c r="AD44" s="233"/>
      <c r="AE44" s="233"/>
      <c r="AF44" s="233"/>
      <c r="AG44" s="233"/>
      <c r="AH44" s="234"/>
      <c r="AI44" s="238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4"/>
      <c r="AU44" s="238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44"/>
    </row>
    <row r="45" spans="2:58" ht="13" customHeight="1" x14ac:dyDescent="0.25"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22"/>
      <c r="M45" s="239"/>
      <c r="N45" s="236"/>
      <c r="O45" s="236"/>
      <c r="P45" s="236"/>
      <c r="Q45" s="236"/>
      <c r="R45" s="236"/>
      <c r="S45" s="236"/>
      <c r="T45" s="236"/>
      <c r="U45" s="236"/>
      <c r="V45" s="236"/>
      <c r="W45" s="222"/>
      <c r="X45" s="239"/>
      <c r="Y45" s="236"/>
      <c r="Z45" s="236"/>
      <c r="AA45" s="236"/>
      <c r="AB45" s="236"/>
      <c r="AC45" s="236"/>
      <c r="AD45" s="236"/>
      <c r="AE45" s="236"/>
      <c r="AF45" s="236"/>
      <c r="AG45" s="236"/>
      <c r="AH45" s="222"/>
      <c r="AI45" s="239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22"/>
      <c r="AU45" s="239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45"/>
    </row>
    <row r="46" spans="2:58" ht="13" customHeight="1" x14ac:dyDescent="0.25">
      <c r="B46" s="249" t="s">
        <v>261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6"/>
      <c r="M46" s="187" t="s">
        <v>262</v>
      </c>
      <c r="N46" s="175"/>
      <c r="O46" s="175"/>
      <c r="P46" s="175"/>
      <c r="Q46" s="175"/>
      <c r="R46" s="175"/>
      <c r="S46" s="175"/>
      <c r="T46" s="175"/>
      <c r="U46" s="175"/>
      <c r="V46" s="175"/>
      <c r="W46" s="176"/>
      <c r="X46" s="253" t="s">
        <v>263</v>
      </c>
      <c r="Y46" s="175"/>
      <c r="Z46" s="175"/>
      <c r="AA46" s="175"/>
      <c r="AB46" s="175"/>
      <c r="AC46" s="175"/>
      <c r="AD46" s="175"/>
      <c r="AE46" s="175"/>
      <c r="AF46" s="175"/>
      <c r="AG46" s="175"/>
      <c r="AH46" s="176"/>
      <c r="AI46" s="172" t="s">
        <v>264</v>
      </c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6"/>
      <c r="AU46" s="172" t="s">
        <v>265</v>
      </c>
      <c r="AV46" s="175"/>
      <c r="AW46" s="175"/>
      <c r="AX46" s="175"/>
      <c r="AY46" s="175"/>
      <c r="AZ46" s="175"/>
      <c r="BA46" s="175"/>
      <c r="BB46" s="175"/>
      <c r="BC46" s="175"/>
      <c r="BD46" s="175"/>
      <c r="BE46" s="175"/>
      <c r="BF46" s="254"/>
    </row>
    <row r="47" spans="2:58" ht="13" customHeight="1" x14ac:dyDescent="0.25">
      <c r="B47" s="229"/>
      <c r="C47" s="230"/>
      <c r="D47" s="230"/>
      <c r="E47" s="230"/>
      <c r="F47" s="230"/>
      <c r="G47" s="230"/>
      <c r="H47" s="230"/>
      <c r="I47" s="230"/>
      <c r="J47" s="230"/>
      <c r="K47" s="230"/>
      <c r="L47" s="231"/>
      <c r="M47" s="237"/>
      <c r="N47" s="230"/>
      <c r="O47" s="230"/>
      <c r="P47" s="230"/>
      <c r="Q47" s="230"/>
      <c r="R47" s="230"/>
      <c r="S47" s="230"/>
      <c r="T47" s="230"/>
      <c r="U47" s="230"/>
      <c r="V47" s="230"/>
      <c r="W47" s="231"/>
      <c r="X47" s="240"/>
      <c r="Y47" s="230"/>
      <c r="Z47" s="230"/>
      <c r="AA47" s="230"/>
      <c r="AB47" s="230"/>
      <c r="AC47" s="230"/>
      <c r="AD47" s="230"/>
      <c r="AE47" s="230"/>
      <c r="AF47" s="230"/>
      <c r="AG47" s="230"/>
      <c r="AH47" s="231"/>
      <c r="AI47" s="246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1"/>
      <c r="AU47" s="246"/>
      <c r="AV47" s="230"/>
      <c r="AW47" s="230"/>
      <c r="AX47" s="230"/>
      <c r="AY47" s="230"/>
      <c r="AZ47" s="230"/>
      <c r="BA47" s="230"/>
      <c r="BB47" s="230"/>
      <c r="BC47" s="230"/>
      <c r="BD47" s="230"/>
      <c r="BE47" s="230"/>
      <c r="BF47" s="243"/>
    </row>
    <row r="48" spans="2:58" ht="13" customHeight="1" x14ac:dyDescent="0.25">
      <c r="B48" s="232"/>
      <c r="C48" s="233"/>
      <c r="D48" s="233"/>
      <c r="E48" s="233"/>
      <c r="F48" s="233"/>
      <c r="G48" s="233"/>
      <c r="H48" s="233"/>
      <c r="I48" s="233"/>
      <c r="J48" s="233"/>
      <c r="K48" s="233"/>
      <c r="L48" s="234"/>
      <c r="M48" s="238"/>
      <c r="N48" s="233"/>
      <c r="O48" s="233"/>
      <c r="P48" s="233"/>
      <c r="Q48" s="233"/>
      <c r="R48" s="233"/>
      <c r="S48" s="233"/>
      <c r="T48" s="233"/>
      <c r="U48" s="233"/>
      <c r="V48" s="233"/>
      <c r="W48" s="234"/>
      <c r="X48" s="238"/>
      <c r="Y48" s="233"/>
      <c r="Z48" s="233"/>
      <c r="AA48" s="233"/>
      <c r="AB48" s="233"/>
      <c r="AC48" s="233"/>
      <c r="AD48" s="233"/>
      <c r="AE48" s="233"/>
      <c r="AF48" s="233"/>
      <c r="AG48" s="233"/>
      <c r="AH48" s="234"/>
      <c r="AI48" s="238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4"/>
      <c r="AU48" s="238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44"/>
    </row>
    <row r="49" spans="2:58" ht="13" customHeight="1" x14ac:dyDescent="0.25">
      <c r="B49" s="232"/>
      <c r="C49" s="233"/>
      <c r="D49" s="233"/>
      <c r="E49" s="233"/>
      <c r="F49" s="233"/>
      <c r="G49" s="233"/>
      <c r="H49" s="233"/>
      <c r="I49" s="233"/>
      <c r="J49" s="233"/>
      <c r="K49" s="233"/>
      <c r="L49" s="234"/>
      <c r="M49" s="238"/>
      <c r="N49" s="233"/>
      <c r="O49" s="233"/>
      <c r="P49" s="233"/>
      <c r="Q49" s="233"/>
      <c r="R49" s="233"/>
      <c r="S49" s="233"/>
      <c r="T49" s="233"/>
      <c r="U49" s="233"/>
      <c r="V49" s="233"/>
      <c r="W49" s="234"/>
      <c r="X49" s="238"/>
      <c r="Y49" s="233"/>
      <c r="Z49" s="233"/>
      <c r="AA49" s="233"/>
      <c r="AB49" s="233"/>
      <c r="AC49" s="233"/>
      <c r="AD49" s="233"/>
      <c r="AE49" s="233"/>
      <c r="AF49" s="233"/>
      <c r="AG49" s="233"/>
      <c r="AH49" s="234"/>
      <c r="AI49" s="238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4"/>
      <c r="AU49" s="238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44"/>
    </row>
    <row r="50" spans="2:58" ht="13" customHeight="1" x14ac:dyDescent="0.25">
      <c r="B50" s="232"/>
      <c r="C50" s="233"/>
      <c r="D50" s="233"/>
      <c r="E50" s="233"/>
      <c r="F50" s="233"/>
      <c r="G50" s="233"/>
      <c r="H50" s="233"/>
      <c r="I50" s="233"/>
      <c r="J50" s="233"/>
      <c r="K50" s="233"/>
      <c r="L50" s="234"/>
      <c r="M50" s="238"/>
      <c r="N50" s="233"/>
      <c r="O50" s="233"/>
      <c r="P50" s="233"/>
      <c r="Q50" s="233"/>
      <c r="R50" s="233"/>
      <c r="S50" s="233"/>
      <c r="T50" s="233"/>
      <c r="U50" s="233"/>
      <c r="V50" s="233"/>
      <c r="W50" s="234"/>
      <c r="X50" s="238"/>
      <c r="Y50" s="233"/>
      <c r="Z50" s="233"/>
      <c r="AA50" s="233"/>
      <c r="AB50" s="233"/>
      <c r="AC50" s="233"/>
      <c r="AD50" s="233"/>
      <c r="AE50" s="233"/>
      <c r="AF50" s="233"/>
      <c r="AG50" s="233"/>
      <c r="AH50" s="234"/>
      <c r="AI50" s="238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4"/>
      <c r="AU50" s="238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44"/>
    </row>
    <row r="51" spans="2:58" ht="13" customHeight="1" x14ac:dyDescent="0.25">
      <c r="B51" s="232"/>
      <c r="C51" s="233"/>
      <c r="D51" s="233"/>
      <c r="E51" s="233"/>
      <c r="F51" s="233"/>
      <c r="G51" s="233"/>
      <c r="H51" s="233"/>
      <c r="I51" s="233"/>
      <c r="J51" s="233"/>
      <c r="K51" s="233"/>
      <c r="L51" s="234"/>
      <c r="M51" s="238"/>
      <c r="N51" s="233"/>
      <c r="O51" s="233"/>
      <c r="P51" s="233"/>
      <c r="Q51" s="233"/>
      <c r="R51" s="233"/>
      <c r="S51" s="233"/>
      <c r="T51" s="233"/>
      <c r="U51" s="233"/>
      <c r="V51" s="233"/>
      <c r="W51" s="234"/>
      <c r="X51" s="238"/>
      <c r="Y51" s="233"/>
      <c r="Z51" s="233"/>
      <c r="AA51" s="233"/>
      <c r="AB51" s="233"/>
      <c r="AC51" s="233"/>
      <c r="AD51" s="233"/>
      <c r="AE51" s="233"/>
      <c r="AF51" s="233"/>
      <c r="AG51" s="233"/>
      <c r="AH51" s="234"/>
      <c r="AI51" s="238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4"/>
      <c r="AU51" s="238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44"/>
    </row>
    <row r="52" spans="2:58" ht="13" customHeight="1" x14ac:dyDescent="0.25"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22"/>
      <c r="M52" s="239"/>
      <c r="N52" s="236"/>
      <c r="O52" s="236"/>
      <c r="P52" s="236"/>
      <c r="Q52" s="236"/>
      <c r="R52" s="236"/>
      <c r="S52" s="236"/>
      <c r="T52" s="236"/>
      <c r="U52" s="236"/>
      <c r="V52" s="236"/>
      <c r="W52" s="222"/>
      <c r="X52" s="239"/>
      <c r="Y52" s="236"/>
      <c r="Z52" s="236"/>
      <c r="AA52" s="236"/>
      <c r="AB52" s="236"/>
      <c r="AC52" s="236"/>
      <c r="AD52" s="236"/>
      <c r="AE52" s="236"/>
      <c r="AF52" s="236"/>
      <c r="AG52" s="236"/>
      <c r="AH52" s="222"/>
      <c r="AI52" s="239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22"/>
      <c r="AU52" s="239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45"/>
    </row>
    <row r="53" spans="2:58" ht="13" customHeight="1" x14ac:dyDescent="0.25">
      <c r="B53" s="249" t="s">
        <v>266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6"/>
      <c r="M53" s="252" t="s">
        <v>267</v>
      </c>
      <c r="N53" s="175"/>
      <c r="O53" s="175"/>
      <c r="P53" s="175"/>
      <c r="Q53" s="175"/>
      <c r="R53" s="175"/>
      <c r="S53" s="175"/>
      <c r="T53" s="175"/>
      <c r="U53" s="175"/>
      <c r="V53" s="175"/>
      <c r="W53" s="176"/>
      <c r="X53" s="253" t="s">
        <v>268</v>
      </c>
      <c r="Y53" s="175"/>
      <c r="Z53" s="175"/>
      <c r="AA53" s="175"/>
      <c r="AB53" s="175"/>
      <c r="AC53" s="175"/>
      <c r="AD53" s="175"/>
      <c r="AE53" s="175"/>
      <c r="AF53" s="175"/>
      <c r="AG53" s="175"/>
      <c r="AH53" s="176"/>
      <c r="AI53" s="172" t="s">
        <v>269</v>
      </c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6"/>
      <c r="AU53" s="172" t="s">
        <v>270</v>
      </c>
      <c r="AV53" s="175"/>
      <c r="AW53" s="175"/>
      <c r="AX53" s="175"/>
      <c r="AY53" s="175"/>
      <c r="AZ53" s="175"/>
      <c r="BA53" s="175"/>
      <c r="BB53" s="175"/>
      <c r="BC53" s="175"/>
      <c r="BD53" s="175"/>
      <c r="BE53" s="175"/>
      <c r="BF53" s="254"/>
    </row>
    <row r="54" spans="2:58" ht="13" customHeight="1" x14ac:dyDescent="0.25">
      <c r="B54" s="229"/>
      <c r="C54" s="230"/>
      <c r="D54" s="230"/>
      <c r="E54" s="230"/>
      <c r="F54" s="230"/>
      <c r="G54" s="230"/>
      <c r="H54" s="230"/>
      <c r="I54" s="230"/>
      <c r="J54" s="230"/>
      <c r="K54" s="230"/>
      <c r="L54" s="231"/>
      <c r="M54" s="251"/>
      <c r="N54" s="230"/>
      <c r="O54" s="230"/>
      <c r="P54" s="230"/>
      <c r="Q54" s="230"/>
      <c r="R54" s="230"/>
      <c r="S54" s="230"/>
      <c r="T54" s="230"/>
      <c r="U54" s="230"/>
      <c r="V54" s="230"/>
      <c r="W54" s="231"/>
      <c r="X54" s="240"/>
      <c r="Y54" s="230"/>
      <c r="Z54" s="230"/>
      <c r="AA54" s="230"/>
      <c r="AB54" s="230"/>
      <c r="AC54" s="230"/>
      <c r="AD54" s="230"/>
      <c r="AE54" s="230"/>
      <c r="AF54" s="230"/>
      <c r="AG54" s="230"/>
      <c r="AH54" s="231"/>
      <c r="AI54" s="246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1"/>
      <c r="AU54" s="246"/>
      <c r="AV54" s="230"/>
      <c r="AW54" s="230"/>
      <c r="AX54" s="230"/>
      <c r="AY54" s="230"/>
      <c r="AZ54" s="230"/>
      <c r="BA54" s="230"/>
      <c r="BB54" s="230"/>
      <c r="BC54" s="230"/>
      <c r="BD54" s="230"/>
      <c r="BE54" s="230"/>
      <c r="BF54" s="243"/>
    </row>
    <row r="55" spans="2:58" ht="13" customHeight="1" x14ac:dyDescent="0.25">
      <c r="B55" s="232"/>
      <c r="C55" s="233"/>
      <c r="D55" s="233"/>
      <c r="E55" s="233"/>
      <c r="F55" s="233"/>
      <c r="G55" s="233"/>
      <c r="H55" s="233"/>
      <c r="I55" s="233"/>
      <c r="J55" s="233"/>
      <c r="K55" s="233"/>
      <c r="L55" s="234"/>
      <c r="M55" s="238"/>
      <c r="N55" s="233"/>
      <c r="O55" s="233"/>
      <c r="P55" s="233"/>
      <c r="Q55" s="233"/>
      <c r="R55" s="233"/>
      <c r="S55" s="233"/>
      <c r="T55" s="233"/>
      <c r="U55" s="233"/>
      <c r="V55" s="233"/>
      <c r="W55" s="234"/>
      <c r="X55" s="238"/>
      <c r="Y55" s="233"/>
      <c r="Z55" s="233"/>
      <c r="AA55" s="233"/>
      <c r="AB55" s="233"/>
      <c r="AC55" s="233"/>
      <c r="AD55" s="233"/>
      <c r="AE55" s="233"/>
      <c r="AF55" s="233"/>
      <c r="AG55" s="233"/>
      <c r="AH55" s="234"/>
      <c r="AI55" s="238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4"/>
      <c r="AU55" s="238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44"/>
    </row>
    <row r="56" spans="2:58" ht="13" customHeight="1" x14ac:dyDescent="0.25">
      <c r="B56" s="232"/>
      <c r="C56" s="233"/>
      <c r="D56" s="233"/>
      <c r="E56" s="233"/>
      <c r="F56" s="233"/>
      <c r="G56" s="233"/>
      <c r="H56" s="233"/>
      <c r="I56" s="233"/>
      <c r="J56" s="233"/>
      <c r="K56" s="233"/>
      <c r="L56" s="234"/>
      <c r="M56" s="238"/>
      <c r="N56" s="233"/>
      <c r="O56" s="233"/>
      <c r="P56" s="233"/>
      <c r="Q56" s="233"/>
      <c r="R56" s="233"/>
      <c r="S56" s="233"/>
      <c r="T56" s="233"/>
      <c r="U56" s="233"/>
      <c r="V56" s="233"/>
      <c r="W56" s="234"/>
      <c r="X56" s="238"/>
      <c r="Y56" s="233"/>
      <c r="Z56" s="233"/>
      <c r="AA56" s="233"/>
      <c r="AB56" s="233"/>
      <c r="AC56" s="233"/>
      <c r="AD56" s="233"/>
      <c r="AE56" s="233"/>
      <c r="AF56" s="233"/>
      <c r="AG56" s="233"/>
      <c r="AH56" s="234"/>
      <c r="AI56" s="238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4"/>
      <c r="AU56" s="238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44"/>
    </row>
    <row r="57" spans="2:58" ht="13" customHeight="1" x14ac:dyDescent="0.25">
      <c r="B57" s="232"/>
      <c r="C57" s="233"/>
      <c r="D57" s="233"/>
      <c r="E57" s="233"/>
      <c r="F57" s="233"/>
      <c r="G57" s="233"/>
      <c r="H57" s="233"/>
      <c r="I57" s="233"/>
      <c r="J57" s="233"/>
      <c r="K57" s="233"/>
      <c r="L57" s="234"/>
      <c r="M57" s="238"/>
      <c r="N57" s="233"/>
      <c r="O57" s="233"/>
      <c r="P57" s="233"/>
      <c r="Q57" s="233"/>
      <c r="R57" s="233"/>
      <c r="S57" s="233"/>
      <c r="T57" s="233"/>
      <c r="U57" s="233"/>
      <c r="V57" s="233"/>
      <c r="W57" s="234"/>
      <c r="X57" s="238"/>
      <c r="Y57" s="233"/>
      <c r="Z57" s="233"/>
      <c r="AA57" s="233"/>
      <c r="AB57" s="233"/>
      <c r="AC57" s="233"/>
      <c r="AD57" s="233"/>
      <c r="AE57" s="233"/>
      <c r="AF57" s="233"/>
      <c r="AG57" s="233"/>
      <c r="AH57" s="234"/>
      <c r="AI57" s="238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4"/>
      <c r="AU57" s="238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44"/>
    </row>
    <row r="58" spans="2:58" ht="13" customHeight="1" x14ac:dyDescent="0.25">
      <c r="B58" s="232"/>
      <c r="C58" s="233"/>
      <c r="D58" s="233"/>
      <c r="E58" s="233"/>
      <c r="F58" s="233"/>
      <c r="G58" s="233"/>
      <c r="H58" s="233"/>
      <c r="I58" s="233"/>
      <c r="J58" s="233"/>
      <c r="K58" s="233"/>
      <c r="L58" s="234"/>
      <c r="M58" s="238"/>
      <c r="N58" s="233"/>
      <c r="O58" s="233"/>
      <c r="P58" s="233"/>
      <c r="Q58" s="233"/>
      <c r="R58" s="233"/>
      <c r="S58" s="233"/>
      <c r="T58" s="233"/>
      <c r="U58" s="233"/>
      <c r="V58" s="233"/>
      <c r="W58" s="234"/>
      <c r="X58" s="238"/>
      <c r="Y58" s="233"/>
      <c r="Z58" s="233"/>
      <c r="AA58" s="233"/>
      <c r="AB58" s="233"/>
      <c r="AC58" s="233"/>
      <c r="AD58" s="233"/>
      <c r="AE58" s="233"/>
      <c r="AF58" s="233"/>
      <c r="AG58" s="233"/>
      <c r="AH58" s="234"/>
      <c r="AI58" s="238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4"/>
      <c r="AU58" s="238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44"/>
    </row>
    <row r="59" spans="2:58" ht="13" customHeight="1" x14ac:dyDescent="0.25">
      <c r="B59" s="255"/>
      <c r="C59" s="256"/>
      <c r="D59" s="256"/>
      <c r="E59" s="256"/>
      <c r="F59" s="256"/>
      <c r="G59" s="256"/>
      <c r="H59" s="256"/>
      <c r="I59" s="256"/>
      <c r="J59" s="256"/>
      <c r="K59" s="256"/>
      <c r="L59" s="257"/>
      <c r="M59" s="258"/>
      <c r="N59" s="256"/>
      <c r="O59" s="256"/>
      <c r="P59" s="256"/>
      <c r="Q59" s="256"/>
      <c r="R59" s="256"/>
      <c r="S59" s="256"/>
      <c r="T59" s="256"/>
      <c r="U59" s="256"/>
      <c r="V59" s="256"/>
      <c r="W59" s="257"/>
      <c r="X59" s="258"/>
      <c r="Y59" s="256"/>
      <c r="Z59" s="256"/>
      <c r="AA59" s="256"/>
      <c r="AB59" s="256"/>
      <c r="AC59" s="256"/>
      <c r="AD59" s="256"/>
      <c r="AE59" s="256"/>
      <c r="AF59" s="256"/>
      <c r="AG59" s="256"/>
      <c r="AH59" s="257"/>
      <c r="AI59" s="258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7"/>
      <c r="AU59" s="258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9"/>
    </row>
    <row r="60" spans="2:58" ht="13" customHeight="1" x14ac:dyDescent="0.25">
      <c r="B60" s="221" t="s">
        <v>459</v>
      </c>
      <c r="C60" s="222"/>
      <c r="D60" s="9" t="s">
        <v>274</v>
      </c>
      <c r="E60" s="202" t="s">
        <v>20</v>
      </c>
      <c r="F60" s="205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  <c r="AE60" s="206"/>
      <c r="AF60" s="206"/>
      <c r="AG60" s="206"/>
      <c r="AH60" s="206"/>
      <c r="AI60" s="206"/>
      <c r="AJ60" s="206"/>
      <c r="AK60" s="206"/>
      <c r="AL60" s="206"/>
      <c r="AM60" s="206"/>
      <c r="AN60" s="206"/>
      <c r="AO60" s="207"/>
      <c r="AP60" s="207"/>
      <c r="AQ60" s="207"/>
      <c r="AR60" s="207"/>
      <c r="AS60" s="207"/>
      <c r="AT60" s="207"/>
      <c r="AU60" s="207"/>
      <c r="AV60" s="207"/>
      <c r="AW60" s="207"/>
      <c r="AX60" s="207"/>
      <c r="AY60" s="207"/>
      <c r="AZ60" s="207"/>
      <c r="BA60" s="207"/>
      <c r="BB60" s="207"/>
      <c r="BC60" s="207"/>
      <c r="BD60" s="207"/>
      <c r="BE60" s="207"/>
      <c r="BF60" s="208"/>
    </row>
    <row r="61" spans="2:58" ht="13" customHeight="1" x14ac:dyDescent="0.25">
      <c r="B61" s="201" t="s">
        <v>275</v>
      </c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172"/>
      <c r="AP61" s="172"/>
      <c r="AQ61" s="172"/>
      <c r="AR61" s="172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209"/>
    </row>
    <row r="62" spans="2:58" ht="13" customHeight="1" thickBot="1" x14ac:dyDescent="0.3">
      <c r="B62" s="212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10"/>
      <c r="AP62" s="210"/>
      <c r="AQ62" s="210"/>
      <c r="AR62" s="210"/>
      <c r="AS62" s="210"/>
      <c r="AT62" s="210"/>
      <c r="AU62" s="210"/>
      <c r="AV62" s="210"/>
      <c r="AW62" s="210"/>
      <c r="AX62" s="210"/>
      <c r="AY62" s="210"/>
      <c r="AZ62" s="210"/>
      <c r="BA62" s="210"/>
      <c r="BB62" s="210"/>
      <c r="BC62" s="210"/>
      <c r="BD62" s="210"/>
      <c r="BE62" s="210"/>
      <c r="BF62" s="21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40:L45"/>
    <mergeCell ref="M40:W45"/>
    <mergeCell ref="X40:AH45"/>
    <mergeCell ref="AI40:AT45"/>
    <mergeCell ref="AU40:BF45"/>
    <mergeCell ref="B46:L46"/>
    <mergeCell ref="M46:W46"/>
    <mergeCell ref="X46:AH46"/>
    <mergeCell ref="AI46:AT46"/>
    <mergeCell ref="AU46:BF46"/>
    <mergeCell ref="B33:L38"/>
    <mergeCell ref="M33:W38"/>
    <mergeCell ref="X33:AH38"/>
    <mergeCell ref="AI33:AT38"/>
    <mergeCell ref="AU33:BF38"/>
    <mergeCell ref="B39:L39"/>
    <mergeCell ref="M39:W39"/>
    <mergeCell ref="X39:AH39"/>
    <mergeCell ref="AI39:AT39"/>
    <mergeCell ref="AU39:BF39"/>
    <mergeCell ref="B26:L31"/>
    <mergeCell ref="M26:W31"/>
    <mergeCell ref="X26:AH31"/>
    <mergeCell ref="AI26:AT31"/>
    <mergeCell ref="AU26:BF31"/>
    <mergeCell ref="B32:L32"/>
    <mergeCell ref="M32:W32"/>
    <mergeCell ref="X32:AH32"/>
    <mergeCell ref="AI32:AT32"/>
    <mergeCell ref="AU32:BF32"/>
    <mergeCell ref="B19:L24"/>
    <mergeCell ref="M19:W24"/>
    <mergeCell ref="X19:AH24"/>
    <mergeCell ref="AI19:AT24"/>
    <mergeCell ref="AU19:BF24"/>
    <mergeCell ref="B25:L25"/>
    <mergeCell ref="M25:W25"/>
    <mergeCell ref="X25:AH25"/>
    <mergeCell ref="AI25:AT25"/>
    <mergeCell ref="AU25:BF25"/>
    <mergeCell ref="B11:L17"/>
    <mergeCell ref="M11:W17"/>
    <mergeCell ref="X11:AH17"/>
    <mergeCell ref="AI11:AT17"/>
    <mergeCell ref="AU11:BF17"/>
    <mergeCell ref="B18:L18"/>
    <mergeCell ref="M18:W18"/>
    <mergeCell ref="X18:AH18"/>
    <mergeCell ref="AI18:AT18"/>
    <mergeCell ref="AU18:BF18"/>
    <mergeCell ref="B3:L9"/>
    <mergeCell ref="M3:W9"/>
    <mergeCell ref="X3:AH9"/>
    <mergeCell ref="AI3:AT9"/>
    <mergeCell ref="AU3:BF9"/>
    <mergeCell ref="B10:L10"/>
    <mergeCell ref="M10:W10"/>
    <mergeCell ref="X10:AH10"/>
    <mergeCell ref="AI10:AT10"/>
    <mergeCell ref="AU10:BF10"/>
    <mergeCell ref="B1:BF1"/>
    <mergeCell ref="B2:L2"/>
    <mergeCell ref="M2:W2"/>
    <mergeCell ref="X2:AH2"/>
    <mergeCell ref="AI2:AT2"/>
    <mergeCell ref="AU2:BF2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tabSelected="1" zoomScaleNormal="100" workbookViewId="0">
      <selection activeCell="AI20" sqref="AI20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306" t="s">
        <v>452</v>
      </c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8"/>
    </row>
    <row r="3" spans="2:36" s="46" customFormat="1" ht="17.5" customHeight="1" x14ac:dyDescent="0.25">
      <c r="B3" s="309" t="s">
        <v>406</v>
      </c>
      <c r="C3" s="310" t="s">
        <v>405</v>
      </c>
      <c r="D3" s="311" t="s">
        <v>404</v>
      </c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2" t="s">
        <v>403</v>
      </c>
      <c r="AB3" s="313"/>
      <c r="AC3" s="313"/>
      <c r="AD3" s="313"/>
      <c r="AE3" s="313"/>
      <c r="AF3" s="313"/>
      <c r="AG3" s="313"/>
      <c r="AH3" s="313"/>
      <c r="AI3" s="313"/>
      <c r="AJ3" s="314"/>
    </row>
    <row r="4" spans="2:36" s="46" customFormat="1" ht="17.5" customHeight="1" x14ac:dyDescent="0.25">
      <c r="B4" s="280"/>
      <c r="C4" s="283"/>
      <c r="D4" s="296" t="s">
        <v>402</v>
      </c>
      <c r="E4" s="297"/>
      <c r="F4" s="297"/>
      <c r="G4" s="297"/>
      <c r="H4" s="297"/>
      <c r="I4" s="297"/>
      <c r="J4" s="298" t="s">
        <v>401</v>
      </c>
      <c r="K4" s="299"/>
      <c r="L4" s="299"/>
      <c r="M4" s="299"/>
      <c r="N4" s="299"/>
      <c r="O4" s="299"/>
      <c r="P4" s="299"/>
      <c r="Q4" s="299"/>
      <c r="R4" s="299"/>
      <c r="S4" s="299"/>
      <c r="T4" s="300"/>
      <c r="U4" s="272" t="s">
        <v>400</v>
      </c>
      <c r="V4" s="274"/>
      <c r="W4" s="274"/>
      <c r="X4" s="274"/>
      <c r="Y4" s="274"/>
      <c r="Z4" s="273"/>
      <c r="AA4" s="272" t="s">
        <v>399</v>
      </c>
      <c r="AB4" s="301" t="s">
        <v>398</v>
      </c>
      <c r="AC4" s="303" t="s">
        <v>397</v>
      </c>
      <c r="AD4" s="303" t="s">
        <v>306</v>
      </c>
      <c r="AE4" s="303" t="s">
        <v>396</v>
      </c>
      <c r="AF4" s="304" t="s">
        <v>395</v>
      </c>
      <c r="AG4" s="303" t="s">
        <v>394</v>
      </c>
      <c r="AH4" s="304" t="s">
        <v>393</v>
      </c>
      <c r="AI4" s="303" t="s">
        <v>392</v>
      </c>
      <c r="AJ4" s="305" t="s">
        <v>391</v>
      </c>
    </row>
    <row r="5" spans="2:36" s="46" customFormat="1" ht="37.5" customHeight="1" x14ac:dyDescent="0.25">
      <c r="B5" s="287"/>
      <c r="C5" s="289"/>
      <c r="D5" s="85" t="s">
        <v>390</v>
      </c>
      <c r="E5" s="82" t="s">
        <v>389</v>
      </c>
      <c r="F5" s="82" t="s">
        <v>388</v>
      </c>
      <c r="G5" s="82" t="s">
        <v>387</v>
      </c>
      <c r="H5" s="82" t="s">
        <v>378</v>
      </c>
      <c r="I5" s="66" t="s">
        <v>377</v>
      </c>
      <c r="J5" s="85" t="s">
        <v>381</v>
      </c>
      <c r="K5" s="82" t="s">
        <v>380</v>
      </c>
      <c r="L5" s="82" t="s">
        <v>379</v>
      </c>
      <c r="M5" s="82" t="s">
        <v>386</v>
      </c>
      <c r="N5" s="82" t="s">
        <v>386</v>
      </c>
      <c r="O5" s="82" t="s">
        <v>378</v>
      </c>
      <c r="P5" s="82" t="s">
        <v>385</v>
      </c>
      <c r="Q5" s="82" t="s">
        <v>384</v>
      </c>
      <c r="R5" s="82" t="s">
        <v>377</v>
      </c>
      <c r="S5" s="82" t="s">
        <v>383</v>
      </c>
      <c r="T5" s="84" t="s">
        <v>382</v>
      </c>
      <c r="U5" s="85" t="s">
        <v>381</v>
      </c>
      <c r="V5" s="65" t="s">
        <v>380</v>
      </c>
      <c r="W5" s="82" t="s">
        <v>379</v>
      </c>
      <c r="X5" s="82" t="s">
        <v>378</v>
      </c>
      <c r="Y5" s="82" t="s">
        <v>377</v>
      </c>
      <c r="Z5" s="84" t="s">
        <v>376</v>
      </c>
      <c r="AA5" s="285"/>
      <c r="AB5" s="302"/>
      <c r="AC5" s="266"/>
      <c r="AD5" s="266"/>
      <c r="AE5" s="266"/>
      <c r="AF5" s="266"/>
      <c r="AG5" s="266"/>
      <c r="AH5" s="266"/>
      <c r="AI5" s="266"/>
      <c r="AJ5" s="270"/>
    </row>
    <row r="6" spans="2:36" s="46" customFormat="1" ht="17.5" customHeight="1" x14ac:dyDescent="0.25">
      <c r="B6" s="279" t="s">
        <v>459</v>
      </c>
      <c r="C6" s="282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43" customFormat="1" ht="24" customHeight="1" x14ac:dyDescent="0.25">
      <c r="B7" s="280"/>
      <c r="C7" s="283"/>
      <c r="D7" s="132">
        <v>300</v>
      </c>
      <c r="E7" s="133">
        <f>K7+V7</f>
        <v>282</v>
      </c>
      <c r="F7" s="150" t="str">
        <f>IF(D7="","",IF(D28="","",IF(D7=(D7+D28)/2,"--",IF(D7&gt;=(D7+D28)/2,"↑","↓"))))</f>
        <v/>
      </c>
      <c r="G7" s="133">
        <v>-150</v>
      </c>
      <c r="H7" s="133">
        <v>62.33333206176758</v>
      </c>
      <c r="I7" s="134">
        <v>0</v>
      </c>
      <c r="J7" s="135">
        <v>100</v>
      </c>
      <c r="K7" s="136">
        <v>90</v>
      </c>
      <c r="L7" s="136">
        <v>90</v>
      </c>
      <c r="M7" s="136"/>
      <c r="N7" s="136"/>
      <c r="O7" s="136">
        <v>3</v>
      </c>
      <c r="P7" s="136"/>
      <c r="Q7" s="136"/>
      <c r="R7" s="136">
        <v>10</v>
      </c>
      <c r="S7" s="136"/>
      <c r="T7" s="137"/>
      <c r="U7" s="135">
        <v>200</v>
      </c>
      <c r="V7" s="138">
        <v>192</v>
      </c>
      <c r="W7" s="133">
        <v>96</v>
      </c>
      <c r="X7" s="133">
        <v>92</v>
      </c>
      <c r="Y7" s="133">
        <v>8</v>
      </c>
      <c r="Z7" s="139">
        <f>U7/D7</f>
        <v>0.2222222238779068</v>
      </c>
      <c r="AA7" s="140"/>
      <c r="AB7" s="133"/>
      <c r="AC7" s="133"/>
      <c r="AD7" s="133"/>
      <c r="AE7" s="141"/>
      <c r="AF7" s="141"/>
      <c r="AG7" s="141"/>
      <c r="AH7" s="141"/>
      <c r="AI7" s="141"/>
      <c r="AJ7" s="142"/>
    </row>
    <row r="8" spans="2:36" s="46" customFormat="1" ht="17.5" customHeight="1" x14ac:dyDescent="0.25">
      <c r="B8" s="280"/>
      <c r="C8" s="283"/>
      <c r="D8" s="272" t="s">
        <v>371</v>
      </c>
      <c r="E8" s="274"/>
      <c r="F8" s="273"/>
      <c r="G8" s="272" t="s">
        <v>370</v>
      </c>
      <c r="H8" s="274"/>
      <c r="I8" s="274"/>
      <c r="J8" s="274"/>
      <c r="K8" s="274"/>
      <c r="L8" s="274"/>
      <c r="M8" s="274"/>
      <c r="N8" s="274"/>
      <c r="O8" s="273"/>
      <c r="P8" s="272" t="s">
        <v>369</v>
      </c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  <c r="AD8" s="273"/>
      <c r="AE8" s="275" t="s">
        <v>336</v>
      </c>
      <c r="AF8" s="274"/>
      <c r="AG8" s="274"/>
      <c r="AH8" s="274"/>
      <c r="AI8" s="274"/>
      <c r="AJ8" s="273"/>
    </row>
    <row r="9" spans="2:36" s="46" customFormat="1" ht="15" customHeight="1" x14ac:dyDescent="0.25">
      <c r="B9" s="280"/>
      <c r="C9" s="283"/>
      <c r="D9" s="276" t="s">
        <v>368</v>
      </c>
      <c r="E9" s="267" t="s">
        <v>367</v>
      </c>
      <c r="F9" s="269" t="s">
        <v>366</v>
      </c>
      <c r="G9" s="276" t="s">
        <v>365</v>
      </c>
      <c r="H9" s="266"/>
      <c r="I9" s="271" t="s">
        <v>364</v>
      </c>
      <c r="J9" s="271" t="s">
        <v>363</v>
      </c>
      <c r="K9" s="271" t="s">
        <v>362</v>
      </c>
      <c r="L9" s="271" t="s">
        <v>361</v>
      </c>
      <c r="M9" s="271" t="s">
        <v>360</v>
      </c>
      <c r="N9" s="271" t="s">
        <v>359</v>
      </c>
      <c r="O9" s="277" t="s">
        <v>358</v>
      </c>
      <c r="P9" s="276" t="s">
        <v>357</v>
      </c>
      <c r="Q9" s="266"/>
      <c r="R9" s="267" t="s">
        <v>356</v>
      </c>
      <c r="S9" s="266"/>
      <c r="T9" s="266"/>
      <c r="U9" s="267" t="s">
        <v>355</v>
      </c>
      <c r="V9" s="265" t="s">
        <v>354</v>
      </c>
      <c r="W9" s="266"/>
      <c r="X9" s="265" t="s">
        <v>353</v>
      </c>
      <c r="Y9" s="266"/>
      <c r="Z9" s="266"/>
      <c r="AA9" s="265" t="s">
        <v>352</v>
      </c>
      <c r="AB9" s="267" t="s">
        <v>351</v>
      </c>
      <c r="AC9" s="268" t="s">
        <v>350</v>
      </c>
      <c r="AD9" s="269" t="s">
        <v>349</v>
      </c>
      <c r="AE9" s="278" t="s">
        <v>348</v>
      </c>
      <c r="AF9" s="266"/>
      <c r="AG9" s="266"/>
      <c r="AH9" s="271" t="s">
        <v>332</v>
      </c>
      <c r="AI9" s="266"/>
      <c r="AJ9" s="270"/>
    </row>
    <row r="10" spans="2:36" s="46" customFormat="1" ht="15" customHeight="1" x14ac:dyDescent="0.25">
      <c r="B10" s="280"/>
      <c r="C10" s="283"/>
      <c r="D10" s="285"/>
      <c r="E10" s="266"/>
      <c r="F10" s="270"/>
      <c r="G10" s="83" t="s">
        <v>347</v>
      </c>
      <c r="H10" s="80" t="s">
        <v>346</v>
      </c>
      <c r="I10" s="266"/>
      <c r="J10" s="266"/>
      <c r="K10" s="266"/>
      <c r="L10" s="266"/>
      <c r="M10" s="266"/>
      <c r="N10" s="266"/>
      <c r="O10" s="270"/>
      <c r="P10" s="83" t="s">
        <v>345</v>
      </c>
      <c r="Q10" s="80" t="s">
        <v>344</v>
      </c>
      <c r="R10" s="80" t="s">
        <v>344</v>
      </c>
      <c r="S10" s="80" t="s">
        <v>343</v>
      </c>
      <c r="T10" s="79" t="s">
        <v>342</v>
      </c>
      <c r="U10" s="266"/>
      <c r="V10" s="79" t="s">
        <v>345</v>
      </c>
      <c r="W10" s="80" t="s">
        <v>344</v>
      </c>
      <c r="X10" s="79" t="s">
        <v>344</v>
      </c>
      <c r="Y10" s="80" t="s">
        <v>343</v>
      </c>
      <c r="Z10" s="79" t="s">
        <v>342</v>
      </c>
      <c r="AA10" s="266"/>
      <c r="AB10" s="266"/>
      <c r="AC10" s="266"/>
      <c r="AD10" s="270"/>
      <c r="AE10" s="85" t="s">
        <v>1</v>
      </c>
      <c r="AF10" s="82" t="s">
        <v>12</v>
      </c>
      <c r="AG10" s="82" t="s">
        <v>15</v>
      </c>
      <c r="AH10" s="52" t="s">
        <v>103</v>
      </c>
      <c r="AI10" s="82" t="s">
        <v>341</v>
      </c>
      <c r="AJ10" s="81" t="s">
        <v>340</v>
      </c>
    </row>
    <row r="11" spans="2:36" s="46" customFormat="1" ht="17.5" customHeight="1" x14ac:dyDescent="0.25">
      <c r="B11" s="280"/>
      <c r="C11" s="283"/>
      <c r="D11" s="83" t="s">
        <v>4</v>
      </c>
      <c r="E11" s="80" t="s">
        <v>4</v>
      </c>
      <c r="F11" s="81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43" customFormat="1" ht="24" customHeight="1" x14ac:dyDescent="0.25">
      <c r="B12" s="280"/>
      <c r="C12" s="283"/>
      <c r="D12" s="151">
        <v>0.53</v>
      </c>
      <c r="E12" s="144"/>
      <c r="F12" s="156" t="str">
        <f>IF(E12="","",IF(AND(E12&gt;=0.525,E12&lt;=0.53),"合格","不合格"))</f>
        <v/>
      </c>
      <c r="G12" s="132">
        <v>0.32992836833000183</v>
      </c>
      <c r="H12" s="133">
        <v>416.2462158203125</v>
      </c>
      <c r="I12" s="133">
        <v>23.40885353088379</v>
      </c>
      <c r="J12" s="133">
        <v>2.7129924297332764</v>
      </c>
      <c r="K12" s="133">
        <v>150.5491485595703</v>
      </c>
      <c r="L12" s="133">
        <v>0.8572242259979248</v>
      </c>
      <c r="M12" s="133">
        <v>165.43150329589844</v>
      </c>
      <c r="N12" s="133">
        <v>156.3229522705078</v>
      </c>
      <c r="O12" s="139">
        <v>0.4546048939228058</v>
      </c>
      <c r="P12" s="152">
        <v>29.1</v>
      </c>
      <c r="Q12" s="153" t="s">
        <v>337</v>
      </c>
      <c r="R12" s="133">
        <v>2</v>
      </c>
      <c r="S12" s="133">
        <f>R12-Q12</f>
        <v>-33.1</v>
      </c>
      <c r="T12" s="150" t="str">
        <f>IF(S12&gt;=0,"↑","↓")</f>
        <v>↓</v>
      </c>
      <c r="U12" s="141" t="s">
        <v>82</v>
      </c>
      <c r="V12" s="153">
        <v>1.6</v>
      </c>
      <c r="W12" s="153">
        <v>17.600000000000001</v>
      </c>
      <c r="X12" s="133">
        <v>4</v>
      </c>
      <c r="Y12" s="133">
        <f>X12-W12</f>
        <v>-17.600000000000001</v>
      </c>
      <c r="Z12" s="150" t="str">
        <f>IF(Y12&gt;=0,"↑","↓")</f>
        <v>↓</v>
      </c>
      <c r="AA12" s="153">
        <v>6.28</v>
      </c>
      <c r="AB12" s="133">
        <v>21.42333984375</v>
      </c>
      <c r="AC12" s="133">
        <f>AB12-AA12</f>
        <v>-6.28</v>
      </c>
      <c r="AD12" s="150" t="str">
        <f>IF(AC12&gt;=0,"↑","↓")</f>
        <v>↓</v>
      </c>
      <c r="AE12" s="145"/>
      <c r="AF12" s="133"/>
      <c r="AG12" s="141"/>
      <c r="AH12" s="141">
        <v>3</v>
      </c>
      <c r="AI12" s="141">
        <v>4</v>
      </c>
      <c r="AJ12" s="142">
        <v>5</v>
      </c>
    </row>
    <row r="13" spans="2:36" s="46" customFormat="1" ht="15" customHeight="1" x14ac:dyDescent="0.25">
      <c r="B13" s="280"/>
      <c r="C13" s="283"/>
      <c r="D13" s="272" t="s">
        <v>336</v>
      </c>
      <c r="E13" s="273"/>
      <c r="F13" s="272" t="s">
        <v>335</v>
      </c>
      <c r="G13" s="274"/>
      <c r="H13" s="274"/>
      <c r="I13" s="274"/>
      <c r="J13" s="274"/>
      <c r="K13" s="274"/>
      <c r="L13" s="274"/>
      <c r="M13" s="273"/>
      <c r="N13" s="272" t="s">
        <v>334</v>
      </c>
      <c r="O13" s="274"/>
      <c r="P13" s="274"/>
      <c r="Q13" s="274"/>
      <c r="R13" s="274"/>
      <c r="S13" s="274"/>
      <c r="T13" s="274"/>
      <c r="U13" s="273"/>
      <c r="V13" s="275" t="s">
        <v>333</v>
      </c>
      <c r="W13" s="274"/>
      <c r="X13" s="274"/>
      <c r="Y13" s="274"/>
      <c r="Z13" s="274"/>
      <c r="AA13" s="274"/>
      <c r="AB13" s="274"/>
      <c r="AC13" s="274"/>
      <c r="AD13" s="274"/>
      <c r="AE13" s="274"/>
      <c r="AF13" s="274"/>
      <c r="AG13" s="274"/>
      <c r="AH13" s="274"/>
      <c r="AI13" s="274"/>
      <c r="AJ13" s="273"/>
    </row>
    <row r="14" spans="2:36" s="46" customFormat="1" ht="15" customHeight="1" x14ac:dyDescent="0.25">
      <c r="B14" s="280"/>
      <c r="C14" s="283"/>
      <c r="D14" s="276" t="s">
        <v>332</v>
      </c>
      <c r="E14" s="270"/>
      <c r="F14" s="276" t="s">
        <v>331</v>
      </c>
      <c r="G14" s="266"/>
      <c r="H14" s="266"/>
      <c r="I14" s="266"/>
      <c r="J14" s="266"/>
      <c r="K14" s="271" t="s">
        <v>330</v>
      </c>
      <c r="L14" s="266"/>
      <c r="M14" s="270"/>
      <c r="N14" s="276" t="s">
        <v>329</v>
      </c>
      <c r="O14" s="266"/>
      <c r="P14" s="266"/>
      <c r="Q14" s="266"/>
      <c r="R14" s="266"/>
      <c r="S14" s="267" t="s">
        <v>328</v>
      </c>
      <c r="T14" s="266"/>
      <c r="U14" s="270"/>
      <c r="V14" s="278" t="s">
        <v>327</v>
      </c>
      <c r="W14" s="266"/>
      <c r="X14" s="266"/>
      <c r="Y14" s="266"/>
      <c r="Z14" s="271" t="s">
        <v>326</v>
      </c>
      <c r="AA14" s="266"/>
      <c r="AB14" s="266"/>
      <c r="AC14" s="266"/>
      <c r="AD14" s="266"/>
      <c r="AE14" s="266"/>
      <c r="AF14" s="266"/>
      <c r="AG14" s="266"/>
      <c r="AH14" s="266"/>
      <c r="AI14" s="266"/>
      <c r="AJ14" s="270"/>
    </row>
    <row r="15" spans="2:36" s="46" customFormat="1" ht="25" customHeight="1" x14ac:dyDescent="0.25">
      <c r="B15" s="280"/>
      <c r="C15" s="283"/>
      <c r="D15" s="83" t="s">
        <v>325</v>
      </c>
      <c r="E15" s="81" t="s">
        <v>322</v>
      </c>
      <c r="F15" s="83" t="s">
        <v>324</v>
      </c>
      <c r="G15" s="80" t="s">
        <v>317</v>
      </c>
      <c r="H15" s="80" t="s">
        <v>323</v>
      </c>
      <c r="I15" s="82" t="s">
        <v>15</v>
      </c>
      <c r="J15" s="52" t="s">
        <v>322</v>
      </c>
      <c r="K15" s="82" t="s">
        <v>321</v>
      </c>
      <c r="L15" s="82" t="s">
        <v>320</v>
      </c>
      <c r="M15" s="81" t="s">
        <v>319</v>
      </c>
      <c r="N15" s="83" t="s">
        <v>324</v>
      </c>
      <c r="O15" s="80" t="s">
        <v>317</v>
      </c>
      <c r="P15" s="80" t="s">
        <v>323</v>
      </c>
      <c r="Q15" s="80" t="s">
        <v>15</v>
      </c>
      <c r="R15" s="79" t="s">
        <v>322</v>
      </c>
      <c r="S15" s="82" t="s">
        <v>321</v>
      </c>
      <c r="T15" s="82" t="s">
        <v>320</v>
      </c>
      <c r="U15" s="81" t="s">
        <v>319</v>
      </c>
      <c r="V15" s="85" t="s">
        <v>318</v>
      </c>
      <c r="W15" s="82" t="s">
        <v>317</v>
      </c>
      <c r="X15" s="82" t="s">
        <v>316</v>
      </c>
      <c r="Y15" s="82" t="s">
        <v>315</v>
      </c>
      <c r="Z15" s="82" t="s">
        <v>314</v>
      </c>
      <c r="AA15" s="82" t="s">
        <v>313</v>
      </c>
      <c r="AB15" s="82" t="s">
        <v>312</v>
      </c>
      <c r="AC15" s="82" t="s">
        <v>311</v>
      </c>
      <c r="AD15" s="82" t="s">
        <v>310</v>
      </c>
      <c r="AE15" s="82" t="s">
        <v>309</v>
      </c>
      <c r="AF15" s="82" t="s">
        <v>308</v>
      </c>
      <c r="AG15" s="82" t="s">
        <v>307</v>
      </c>
      <c r="AH15" s="82" t="s">
        <v>306</v>
      </c>
      <c r="AI15" s="82" t="s">
        <v>305</v>
      </c>
      <c r="AJ15" s="84" t="s">
        <v>304</v>
      </c>
    </row>
    <row r="16" spans="2:36" s="46" customFormat="1" ht="15" customHeight="1" x14ac:dyDescent="0.25">
      <c r="B16" s="280"/>
      <c r="C16" s="283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80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43" customFormat="1" ht="24" customHeight="1" x14ac:dyDescent="0.25">
      <c r="B17" s="280"/>
      <c r="C17" s="283"/>
      <c r="D17" s="145">
        <v>6</v>
      </c>
      <c r="E17" s="139">
        <v>7</v>
      </c>
      <c r="F17" s="145">
        <v>19.544363021850586</v>
      </c>
      <c r="G17" s="141">
        <v>21.136245727539062</v>
      </c>
      <c r="H17" s="141">
        <v>1.5918827056884766</v>
      </c>
      <c r="I17" s="133">
        <v>92.4425048828125</v>
      </c>
      <c r="J17" s="133">
        <v>2.909541368484497</v>
      </c>
      <c r="K17" s="133">
        <v>90</v>
      </c>
      <c r="L17" s="133">
        <v>0</v>
      </c>
      <c r="M17" s="139">
        <v>10</v>
      </c>
      <c r="N17" s="132">
        <v>29.83333396911621</v>
      </c>
      <c r="O17" s="133">
        <v>22.52495765686035</v>
      </c>
      <c r="P17" s="133">
        <v>-7.308376312255859</v>
      </c>
      <c r="Q17" s="133">
        <v>27.29166603088379</v>
      </c>
      <c r="R17" s="133"/>
      <c r="S17" s="133">
        <v>192</v>
      </c>
      <c r="T17" s="133">
        <v>0</v>
      </c>
      <c r="U17" s="139">
        <v>8</v>
      </c>
      <c r="V17" s="132">
        <v>258.2288818359375</v>
      </c>
      <c r="W17" s="133">
        <v>43.10890197753906</v>
      </c>
      <c r="X17" s="133">
        <v>-66.63410949707031</v>
      </c>
      <c r="Y17" s="133"/>
      <c r="Z17" s="133">
        <v>-10.46187973022461</v>
      </c>
      <c r="AA17" s="133">
        <v>0</v>
      </c>
      <c r="AB17" s="133">
        <v>0</v>
      </c>
      <c r="AC17" s="133">
        <v>318.3822021484375</v>
      </c>
      <c r="AD17" s="133">
        <v>4.1182942390441895</v>
      </c>
      <c r="AE17" s="133" t="e">
        <f>Z17/AB17</f>
        <v>#DIV/0!</v>
      </c>
      <c r="AF17" s="133">
        <v>-111.2440185546875</v>
      </c>
      <c r="AG17" s="133">
        <v>1146.3043212890625</v>
      </c>
      <c r="AH17" s="133" t="e">
        <f>AF17/(Z17-AB17)</f>
        <v>#DIV/0!</v>
      </c>
      <c r="AI17" s="153" t="s">
        <v>296</v>
      </c>
      <c r="AJ17" s="150" t="e">
        <f>IF((AH17-AI17)&gt;=0,"↑","↓")</f>
        <v>#DIV/0!</v>
      </c>
    </row>
    <row r="18" spans="2:36" s="46" customFormat="1" ht="15" customHeight="1" x14ac:dyDescent="0.25">
      <c r="B18" s="280"/>
      <c r="C18" s="283"/>
      <c r="D18" s="275" t="s">
        <v>295</v>
      </c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3"/>
      <c r="R18" s="86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92" t="s">
        <v>82</v>
      </c>
    </row>
    <row r="19" spans="2:36" s="46" customFormat="1" ht="15" customHeight="1" x14ac:dyDescent="0.25">
      <c r="B19" s="280"/>
      <c r="C19" s="283"/>
      <c r="D19" s="278" t="s">
        <v>294</v>
      </c>
      <c r="E19" s="266"/>
      <c r="F19" s="266"/>
      <c r="G19" s="271" t="s">
        <v>293</v>
      </c>
      <c r="H19" s="266"/>
      <c r="I19" s="266"/>
      <c r="J19" s="271" t="s">
        <v>292</v>
      </c>
      <c r="K19" s="266"/>
      <c r="L19" s="266"/>
      <c r="M19" s="271" t="s">
        <v>291</v>
      </c>
      <c r="N19" s="271" t="s">
        <v>290</v>
      </c>
      <c r="O19" s="271" t="s">
        <v>289</v>
      </c>
      <c r="P19" s="271" t="s">
        <v>225</v>
      </c>
      <c r="Q19" s="277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453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80"/>
      <c r="C20" s="283"/>
      <c r="D20" s="85" t="s">
        <v>287</v>
      </c>
      <c r="E20" s="82" t="s">
        <v>286</v>
      </c>
      <c r="F20" s="82" t="s">
        <v>285</v>
      </c>
      <c r="G20" s="82" t="s">
        <v>287</v>
      </c>
      <c r="H20" s="82" t="s">
        <v>286</v>
      </c>
      <c r="I20" s="82" t="s">
        <v>285</v>
      </c>
      <c r="J20" s="82" t="s">
        <v>287</v>
      </c>
      <c r="K20" s="82" t="s">
        <v>286</v>
      </c>
      <c r="L20" s="82" t="s">
        <v>285</v>
      </c>
      <c r="M20" s="266"/>
      <c r="N20" s="266"/>
      <c r="O20" s="266"/>
      <c r="P20" s="266"/>
      <c r="Q20" s="270"/>
      <c r="R20" s="83" t="s">
        <v>4</v>
      </c>
      <c r="S20" s="80" t="s">
        <v>4</v>
      </c>
      <c r="T20" s="80" t="s">
        <v>4</v>
      </c>
      <c r="U20" s="80" t="s">
        <v>82</v>
      </c>
      <c r="V20" s="80" t="s">
        <v>82</v>
      </c>
      <c r="W20" s="82" t="s">
        <v>82</v>
      </c>
      <c r="X20" s="80" t="s">
        <v>82</v>
      </c>
      <c r="Y20" s="80" t="s">
        <v>82</v>
      </c>
      <c r="Z20" s="82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80"/>
      <c r="C21" s="283" t="s">
        <v>460</v>
      </c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43" customFormat="1" ht="24" customHeight="1" x14ac:dyDescent="0.25">
      <c r="B22" s="280"/>
      <c r="C22" s="283"/>
      <c r="D22" s="146">
        <v>18</v>
      </c>
      <c r="E22" s="147">
        <v>44</v>
      </c>
      <c r="F22" s="147">
        <f>D22-E22</f>
        <v>0</v>
      </c>
      <c r="G22" s="147">
        <v>546</v>
      </c>
      <c r="H22" s="147">
        <v>123</v>
      </c>
      <c r="I22" s="147">
        <f>G22-H22</f>
        <v>0</v>
      </c>
      <c r="J22" s="147">
        <v>13</v>
      </c>
      <c r="K22" s="147">
        <v>123</v>
      </c>
      <c r="L22" s="147">
        <f>J22-K22</f>
        <v>0</v>
      </c>
      <c r="M22" s="147">
        <v>-2.53240966796875</v>
      </c>
      <c r="N22" s="147">
        <v>123</v>
      </c>
      <c r="O22" s="147" t="e">
        <f>N22/M22</f>
        <v>#DIV/0!</v>
      </c>
      <c r="P22" s="147">
        <v>5</v>
      </c>
      <c r="Q22" s="154">
        <v>301</v>
      </c>
      <c r="R22" s="146" t="s">
        <v>4</v>
      </c>
      <c r="S22" s="147" t="s">
        <v>4</v>
      </c>
      <c r="T22" s="147" t="s">
        <v>4</v>
      </c>
      <c r="U22" s="147" t="s">
        <v>82</v>
      </c>
      <c r="V22" s="147" t="s">
        <v>82</v>
      </c>
      <c r="W22" s="147" t="s">
        <v>82</v>
      </c>
      <c r="X22" s="147" t="s">
        <v>82</v>
      </c>
      <c r="Y22" s="147" t="s">
        <v>82</v>
      </c>
      <c r="Z22" s="147" t="s">
        <v>82</v>
      </c>
      <c r="AA22" s="147" t="s">
        <v>82</v>
      </c>
      <c r="AB22" s="147" t="s">
        <v>82</v>
      </c>
      <c r="AC22" s="147" t="s">
        <v>82</v>
      </c>
      <c r="AD22" s="147" t="s">
        <v>82</v>
      </c>
      <c r="AE22" s="148" t="s">
        <v>82</v>
      </c>
      <c r="AF22" s="148" t="s">
        <v>82</v>
      </c>
      <c r="AG22" s="148" t="s">
        <v>82</v>
      </c>
      <c r="AH22" s="148" t="s">
        <v>82</v>
      </c>
      <c r="AI22" s="148" t="s">
        <v>82</v>
      </c>
      <c r="AJ22" s="149" t="s">
        <v>82</v>
      </c>
    </row>
    <row r="23" spans="2:36" s="46" customFormat="1" ht="7.5" customHeight="1" x14ac:dyDescent="0.25">
      <c r="B23" s="93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94"/>
    </row>
    <row r="24" spans="2:36" s="46" customFormat="1" ht="17.5" customHeight="1" x14ac:dyDescent="0.25">
      <c r="B24" s="286" t="s">
        <v>406</v>
      </c>
      <c r="C24" s="288" t="s">
        <v>405</v>
      </c>
      <c r="D24" s="290" t="s">
        <v>404</v>
      </c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2"/>
      <c r="AA24" s="293" t="s">
        <v>403</v>
      </c>
      <c r="AB24" s="294"/>
      <c r="AC24" s="294"/>
      <c r="AD24" s="294"/>
      <c r="AE24" s="294"/>
      <c r="AF24" s="294"/>
      <c r="AG24" s="294"/>
      <c r="AH24" s="294"/>
      <c r="AI24" s="294"/>
      <c r="AJ24" s="295"/>
    </row>
    <row r="25" spans="2:36" s="46" customFormat="1" ht="17.5" customHeight="1" x14ac:dyDescent="0.25">
      <c r="B25" s="280"/>
      <c r="C25" s="283"/>
      <c r="D25" s="296" t="s">
        <v>402</v>
      </c>
      <c r="E25" s="297"/>
      <c r="F25" s="297"/>
      <c r="G25" s="297"/>
      <c r="H25" s="297"/>
      <c r="I25" s="297"/>
      <c r="J25" s="298" t="s">
        <v>401</v>
      </c>
      <c r="K25" s="299"/>
      <c r="L25" s="299"/>
      <c r="M25" s="299"/>
      <c r="N25" s="299"/>
      <c r="O25" s="299"/>
      <c r="P25" s="299"/>
      <c r="Q25" s="299"/>
      <c r="R25" s="299"/>
      <c r="S25" s="299"/>
      <c r="T25" s="300"/>
      <c r="U25" s="272" t="s">
        <v>400</v>
      </c>
      <c r="V25" s="274"/>
      <c r="W25" s="274"/>
      <c r="X25" s="274"/>
      <c r="Y25" s="274"/>
      <c r="Z25" s="273"/>
      <c r="AA25" s="272" t="s">
        <v>399</v>
      </c>
      <c r="AB25" s="301" t="s">
        <v>398</v>
      </c>
      <c r="AC25" s="303" t="s">
        <v>397</v>
      </c>
      <c r="AD25" s="303" t="s">
        <v>306</v>
      </c>
      <c r="AE25" s="303" t="s">
        <v>396</v>
      </c>
      <c r="AF25" s="304" t="s">
        <v>395</v>
      </c>
      <c r="AG25" s="303" t="s">
        <v>394</v>
      </c>
      <c r="AH25" s="304" t="s">
        <v>393</v>
      </c>
      <c r="AI25" s="303" t="s">
        <v>392</v>
      </c>
      <c r="AJ25" s="305" t="s">
        <v>391</v>
      </c>
    </row>
    <row r="26" spans="2:36" s="46" customFormat="1" ht="37.5" customHeight="1" x14ac:dyDescent="0.25">
      <c r="B26" s="287"/>
      <c r="C26" s="289"/>
      <c r="D26" s="85" t="s">
        <v>390</v>
      </c>
      <c r="E26" s="82" t="s">
        <v>389</v>
      </c>
      <c r="F26" s="82" t="s">
        <v>388</v>
      </c>
      <c r="G26" s="82" t="s">
        <v>387</v>
      </c>
      <c r="H26" s="82" t="s">
        <v>378</v>
      </c>
      <c r="I26" s="66" t="s">
        <v>377</v>
      </c>
      <c r="J26" s="85" t="s">
        <v>381</v>
      </c>
      <c r="K26" s="82" t="s">
        <v>380</v>
      </c>
      <c r="L26" s="82" t="s">
        <v>379</v>
      </c>
      <c r="M26" s="82" t="s">
        <v>386</v>
      </c>
      <c r="N26" s="82" t="s">
        <v>386</v>
      </c>
      <c r="O26" s="82" t="s">
        <v>378</v>
      </c>
      <c r="P26" s="82" t="s">
        <v>385</v>
      </c>
      <c r="Q26" s="82" t="s">
        <v>384</v>
      </c>
      <c r="R26" s="82" t="s">
        <v>377</v>
      </c>
      <c r="S26" s="82" t="s">
        <v>383</v>
      </c>
      <c r="T26" s="84" t="s">
        <v>382</v>
      </c>
      <c r="U26" s="85" t="s">
        <v>381</v>
      </c>
      <c r="V26" s="65" t="s">
        <v>380</v>
      </c>
      <c r="W26" s="82" t="s">
        <v>379</v>
      </c>
      <c r="X26" s="82" t="s">
        <v>378</v>
      </c>
      <c r="Y26" s="82" t="s">
        <v>377</v>
      </c>
      <c r="Z26" s="84" t="s">
        <v>376</v>
      </c>
      <c r="AA26" s="285"/>
      <c r="AB26" s="302"/>
      <c r="AC26" s="266"/>
      <c r="AD26" s="266"/>
      <c r="AE26" s="266"/>
      <c r="AF26" s="266"/>
      <c r="AG26" s="266"/>
      <c r="AH26" s="266"/>
      <c r="AI26" s="266"/>
      <c r="AJ26" s="270"/>
    </row>
    <row r="27" spans="2:36" s="46" customFormat="1" ht="17.5" customHeight="1" x14ac:dyDescent="0.25">
      <c r="B27" s="279" t="s">
        <v>459</v>
      </c>
      <c r="C27" s="282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43" customFormat="1" ht="24" customHeight="1" x14ac:dyDescent="0.25">
      <c r="B28" s="280"/>
      <c r="C28" s="283"/>
      <c r="D28" s="132">
        <v>600</v>
      </c>
      <c r="E28" s="133">
        <f>K28+V28</f>
        <v>570</v>
      </c>
      <c r="F28" s="150" t="str">
        <f>IF(D28="","",IF(D7="","",IF(D28=(D7+D28)/2,"--",IF(D28&gt;=(D7+D28)/2,"↑","↓"))))</f>
        <v/>
      </c>
      <c r="G28" s="133">
        <v>150</v>
      </c>
      <c r="H28" s="133">
        <v>67</v>
      </c>
      <c r="I28" s="134">
        <v>0</v>
      </c>
      <c r="J28" s="135">
        <v>200</v>
      </c>
      <c r="K28" s="136">
        <v>190</v>
      </c>
      <c r="L28" s="136">
        <v>95</v>
      </c>
      <c r="M28" s="136"/>
      <c r="N28" s="136"/>
      <c r="O28" s="136">
        <v>5</v>
      </c>
      <c r="P28" s="136"/>
      <c r="Q28" s="136"/>
      <c r="R28" s="136">
        <v>16</v>
      </c>
      <c r="S28" s="136"/>
      <c r="T28" s="137"/>
      <c r="U28" s="135">
        <v>400</v>
      </c>
      <c r="V28" s="138">
        <v>380</v>
      </c>
      <c r="W28" s="133">
        <v>95</v>
      </c>
      <c r="X28" s="133">
        <v>98</v>
      </c>
      <c r="Y28" s="133">
        <v>12</v>
      </c>
      <c r="Z28" s="139">
        <f>U28/D28</f>
        <v>0.4444444477558136</v>
      </c>
      <c r="AA28" s="140"/>
      <c r="AB28" s="133"/>
      <c r="AC28" s="133"/>
      <c r="AD28" s="133"/>
      <c r="AE28" s="141"/>
      <c r="AF28" s="141"/>
      <c r="AG28" s="141"/>
      <c r="AH28" s="141"/>
      <c r="AI28" s="141"/>
      <c r="AJ28" s="142"/>
    </row>
    <row r="29" spans="2:36" s="46" customFormat="1" ht="17.5" customHeight="1" x14ac:dyDescent="0.25">
      <c r="B29" s="280"/>
      <c r="C29" s="283"/>
      <c r="D29" s="272" t="s">
        <v>371</v>
      </c>
      <c r="E29" s="274"/>
      <c r="F29" s="273"/>
      <c r="G29" s="272" t="s">
        <v>370</v>
      </c>
      <c r="H29" s="274"/>
      <c r="I29" s="274"/>
      <c r="J29" s="274"/>
      <c r="K29" s="274"/>
      <c r="L29" s="274"/>
      <c r="M29" s="274"/>
      <c r="N29" s="274"/>
      <c r="O29" s="273"/>
      <c r="P29" s="272" t="s">
        <v>369</v>
      </c>
      <c r="Q29" s="274"/>
      <c r="R29" s="274"/>
      <c r="S29" s="274"/>
      <c r="T29" s="274"/>
      <c r="U29" s="274"/>
      <c r="V29" s="274"/>
      <c r="W29" s="274"/>
      <c r="X29" s="274"/>
      <c r="Y29" s="274"/>
      <c r="Z29" s="274"/>
      <c r="AA29" s="274"/>
      <c r="AB29" s="274"/>
      <c r="AC29" s="274"/>
      <c r="AD29" s="273"/>
      <c r="AE29" s="275" t="s">
        <v>336</v>
      </c>
      <c r="AF29" s="274"/>
      <c r="AG29" s="274"/>
      <c r="AH29" s="274"/>
      <c r="AI29" s="274"/>
      <c r="AJ29" s="273"/>
    </row>
    <row r="30" spans="2:36" s="46" customFormat="1" ht="15" customHeight="1" x14ac:dyDescent="0.25">
      <c r="B30" s="280"/>
      <c r="C30" s="283"/>
      <c r="D30" s="276" t="s">
        <v>368</v>
      </c>
      <c r="E30" s="267" t="s">
        <v>367</v>
      </c>
      <c r="F30" s="269" t="s">
        <v>366</v>
      </c>
      <c r="G30" s="276" t="s">
        <v>365</v>
      </c>
      <c r="H30" s="266"/>
      <c r="I30" s="271" t="s">
        <v>364</v>
      </c>
      <c r="J30" s="271" t="s">
        <v>363</v>
      </c>
      <c r="K30" s="271" t="s">
        <v>362</v>
      </c>
      <c r="L30" s="271" t="s">
        <v>361</v>
      </c>
      <c r="M30" s="271" t="s">
        <v>360</v>
      </c>
      <c r="N30" s="271" t="s">
        <v>359</v>
      </c>
      <c r="O30" s="277" t="s">
        <v>358</v>
      </c>
      <c r="P30" s="276" t="s">
        <v>357</v>
      </c>
      <c r="Q30" s="266"/>
      <c r="R30" s="267" t="s">
        <v>356</v>
      </c>
      <c r="S30" s="266"/>
      <c r="T30" s="266"/>
      <c r="U30" s="267" t="s">
        <v>355</v>
      </c>
      <c r="V30" s="265" t="s">
        <v>354</v>
      </c>
      <c r="W30" s="266"/>
      <c r="X30" s="265" t="s">
        <v>353</v>
      </c>
      <c r="Y30" s="266"/>
      <c r="Z30" s="266"/>
      <c r="AA30" s="265" t="s">
        <v>352</v>
      </c>
      <c r="AB30" s="267" t="s">
        <v>351</v>
      </c>
      <c r="AC30" s="268" t="s">
        <v>350</v>
      </c>
      <c r="AD30" s="269" t="s">
        <v>349</v>
      </c>
      <c r="AE30" s="278" t="s">
        <v>348</v>
      </c>
      <c r="AF30" s="266"/>
      <c r="AG30" s="266"/>
      <c r="AH30" s="271" t="s">
        <v>332</v>
      </c>
      <c r="AI30" s="266"/>
      <c r="AJ30" s="270"/>
    </row>
    <row r="31" spans="2:36" s="46" customFormat="1" ht="15" customHeight="1" x14ac:dyDescent="0.25">
      <c r="B31" s="280"/>
      <c r="C31" s="283"/>
      <c r="D31" s="285"/>
      <c r="E31" s="266"/>
      <c r="F31" s="270"/>
      <c r="G31" s="83" t="s">
        <v>347</v>
      </c>
      <c r="H31" s="80" t="s">
        <v>346</v>
      </c>
      <c r="I31" s="266"/>
      <c r="J31" s="266"/>
      <c r="K31" s="266"/>
      <c r="L31" s="266"/>
      <c r="M31" s="266"/>
      <c r="N31" s="266"/>
      <c r="O31" s="270"/>
      <c r="P31" s="83" t="s">
        <v>345</v>
      </c>
      <c r="Q31" s="80" t="s">
        <v>344</v>
      </c>
      <c r="R31" s="80" t="s">
        <v>344</v>
      </c>
      <c r="S31" s="80" t="s">
        <v>343</v>
      </c>
      <c r="T31" s="79" t="s">
        <v>342</v>
      </c>
      <c r="U31" s="266"/>
      <c r="V31" s="79" t="s">
        <v>345</v>
      </c>
      <c r="W31" s="80" t="s">
        <v>344</v>
      </c>
      <c r="X31" s="79" t="s">
        <v>344</v>
      </c>
      <c r="Y31" s="80" t="s">
        <v>343</v>
      </c>
      <c r="Z31" s="79" t="s">
        <v>342</v>
      </c>
      <c r="AA31" s="266"/>
      <c r="AB31" s="266"/>
      <c r="AC31" s="266"/>
      <c r="AD31" s="270"/>
      <c r="AE31" s="85" t="s">
        <v>1</v>
      </c>
      <c r="AF31" s="82" t="s">
        <v>12</v>
      </c>
      <c r="AG31" s="82" t="s">
        <v>15</v>
      </c>
      <c r="AH31" s="52" t="s">
        <v>103</v>
      </c>
      <c r="AI31" s="82" t="s">
        <v>341</v>
      </c>
      <c r="AJ31" s="81" t="s">
        <v>340</v>
      </c>
    </row>
    <row r="32" spans="2:36" s="46" customFormat="1" ht="17.5" customHeight="1" x14ac:dyDescent="0.25">
      <c r="B32" s="280"/>
      <c r="C32" s="283"/>
      <c r="D32" s="83" t="s">
        <v>4</v>
      </c>
      <c r="E32" s="80" t="s">
        <v>4</v>
      </c>
      <c r="F32" s="81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43" customFormat="1" ht="24" customHeight="1" x14ac:dyDescent="0.25">
      <c r="B33" s="280"/>
      <c r="C33" s="283"/>
      <c r="D33" s="151">
        <v>0.53</v>
      </c>
      <c r="E33" s="144"/>
      <c r="F33" s="156" t="str">
        <f>IF(E33="","",IF(AND(E33&gt;=0.525,E33&lt;=0.53),"合格","不合格"))</f>
        <v/>
      </c>
      <c r="G33" s="132">
        <v>-0.3898763060569763</v>
      </c>
      <c r="H33" s="133">
        <v>414.8708190917969</v>
      </c>
      <c r="I33" s="133">
        <v>-27.65511131286621</v>
      </c>
      <c r="J33" s="133">
        <v>-3.20782470703125</v>
      </c>
      <c r="K33" s="133">
        <v>150.49671936035156</v>
      </c>
      <c r="L33" s="133">
        <v>0.8582320809364319</v>
      </c>
      <c r="M33" s="133">
        <v>165.37904357910156</v>
      </c>
      <c r="N33" s="133">
        <v>156.10472106933594</v>
      </c>
      <c r="O33" s="139">
        <v>0.481403112411499</v>
      </c>
      <c r="P33" s="152">
        <v>29.1</v>
      </c>
      <c r="Q33" s="153" t="s">
        <v>337</v>
      </c>
      <c r="R33" s="133">
        <v>22</v>
      </c>
      <c r="S33" s="133">
        <f>R33-33.1</f>
        <v>-33.1</v>
      </c>
      <c r="T33" s="150" t="str">
        <f>IF(S33&gt;=0,"↑","↓")</f>
        <v>↓</v>
      </c>
      <c r="U33" s="141" t="s">
        <v>82</v>
      </c>
      <c r="V33" s="153">
        <v>1.6</v>
      </c>
      <c r="W33" s="153">
        <v>17.600000000000001</v>
      </c>
      <c r="X33" s="133">
        <v>44</v>
      </c>
      <c r="Y33" s="133">
        <f>X33-W33</f>
        <v>-17.600000000000001</v>
      </c>
      <c r="Z33" s="150" t="str">
        <f>IF(Y33&gt;=0,"↑","↓")</f>
        <v>↓</v>
      </c>
      <c r="AA33" s="153">
        <v>6.28</v>
      </c>
      <c r="AB33" s="133">
        <v>-25.28165626525879</v>
      </c>
      <c r="AC33" s="133">
        <f>AB33-AA33</f>
        <v>-6.28</v>
      </c>
      <c r="AD33" s="150" t="str">
        <f>IF(AC33&gt;=0,"↑","↓")</f>
        <v>↓</v>
      </c>
      <c r="AE33" s="145"/>
      <c r="AF33" s="133"/>
      <c r="AG33" s="141"/>
      <c r="AH33" s="141">
        <v>33</v>
      </c>
      <c r="AI33" s="141">
        <v>44</v>
      </c>
      <c r="AJ33" s="142">
        <v>55</v>
      </c>
    </row>
    <row r="34" spans="2:36" s="46" customFormat="1" ht="15" customHeight="1" x14ac:dyDescent="0.25">
      <c r="B34" s="280"/>
      <c r="C34" s="283"/>
      <c r="D34" s="272" t="s">
        <v>336</v>
      </c>
      <c r="E34" s="273"/>
      <c r="F34" s="272" t="s">
        <v>335</v>
      </c>
      <c r="G34" s="274"/>
      <c r="H34" s="274"/>
      <c r="I34" s="274"/>
      <c r="J34" s="274"/>
      <c r="K34" s="274"/>
      <c r="L34" s="274"/>
      <c r="M34" s="273"/>
      <c r="N34" s="272" t="s">
        <v>334</v>
      </c>
      <c r="O34" s="274"/>
      <c r="P34" s="274"/>
      <c r="Q34" s="274"/>
      <c r="R34" s="274"/>
      <c r="S34" s="274"/>
      <c r="T34" s="274"/>
      <c r="U34" s="273"/>
      <c r="V34" s="275" t="s">
        <v>333</v>
      </c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3"/>
    </row>
    <row r="35" spans="2:36" s="46" customFormat="1" ht="15" customHeight="1" x14ac:dyDescent="0.25">
      <c r="B35" s="280"/>
      <c r="C35" s="283"/>
      <c r="D35" s="276" t="s">
        <v>332</v>
      </c>
      <c r="E35" s="270"/>
      <c r="F35" s="276" t="s">
        <v>331</v>
      </c>
      <c r="G35" s="266"/>
      <c r="H35" s="266"/>
      <c r="I35" s="266"/>
      <c r="J35" s="266"/>
      <c r="K35" s="271" t="s">
        <v>330</v>
      </c>
      <c r="L35" s="266"/>
      <c r="M35" s="270"/>
      <c r="N35" s="276" t="s">
        <v>329</v>
      </c>
      <c r="O35" s="266"/>
      <c r="P35" s="266"/>
      <c r="Q35" s="266"/>
      <c r="R35" s="266"/>
      <c r="S35" s="267" t="s">
        <v>328</v>
      </c>
      <c r="T35" s="266"/>
      <c r="U35" s="270"/>
      <c r="V35" s="278" t="s">
        <v>327</v>
      </c>
      <c r="W35" s="266"/>
      <c r="X35" s="266"/>
      <c r="Y35" s="266"/>
      <c r="Z35" s="271" t="s">
        <v>326</v>
      </c>
      <c r="AA35" s="266"/>
      <c r="AB35" s="266"/>
      <c r="AC35" s="266"/>
      <c r="AD35" s="266"/>
      <c r="AE35" s="266"/>
      <c r="AF35" s="266"/>
      <c r="AG35" s="266"/>
      <c r="AH35" s="266"/>
      <c r="AI35" s="266"/>
      <c r="AJ35" s="270"/>
    </row>
    <row r="36" spans="2:36" s="46" customFormat="1" ht="25" customHeight="1" x14ac:dyDescent="0.25">
      <c r="B36" s="280"/>
      <c r="C36" s="283"/>
      <c r="D36" s="83" t="s">
        <v>325</v>
      </c>
      <c r="E36" s="81" t="s">
        <v>322</v>
      </c>
      <c r="F36" s="83" t="s">
        <v>324</v>
      </c>
      <c r="G36" s="80" t="s">
        <v>317</v>
      </c>
      <c r="H36" s="80" t="s">
        <v>323</v>
      </c>
      <c r="I36" s="82" t="s">
        <v>15</v>
      </c>
      <c r="J36" s="52" t="s">
        <v>322</v>
      </c>
      <c r="K36" s="82" t="s">
        <v>321</v>
      </c>
      <c r="L36" s="82" t="s">
        <v>320</v>
      </c>
      <c r="M36" s="81" t="s">
        <v>319</v>
      </c>
      <c r="N36" s="83" t="s">
        <v>324</v>
      </c>
      <c r="O36" s="80" t="s">
        <v>317</v>
      </c>
      <c r="P36" s="80" t="s">
        <v>323</v>
      </c>
      <c r="Q36" s="80" t="s">
        <v>15</v>
      </c>
      <c r="R36" s="79" t="s">
        <v>322</v>
      </c>
      <c r="S36" s="82" t="s">
        <v>321</v>
      </c>
      <c r="T36" s="82" t="s">
        <v>320</v>
      </c>
      <c r="U36" s="81" t="s">
        <v>319</v>
      </c>
      <c r="V36" s="85" t="s">
        <v>318</v>
      </c>
      <c r="W36" s="82" t="s">
        <v>317</v>
      </c>
      <c r="X36" s="82" t="s">
        <v>316</v>
      </c>
      <c r="Y36" s="82" t="s">
        <v>315</v>
      </c>
      <c r="Z36" s="82" t="s">
        <v>314</v>
      </c>
      <c r="AA36" s="82" t="s">
        <v>313</v>
      </c>
      <c r="AB36" s="82" t="s">
        <v>312</v>
      </c>
      <c r="AC36" s="82" t="s">
        <v>311</v>
      </c>
      <c r="AD36" s="82" t="s">
        <v>310</v>
      </c>
      <c r="AE36" s="82" t="s">
        <v>309</v>
      </c>
      <c r="AF36" s="82" t="s">
        <v>308</v>
      </c>
      <c r="AG36" s="82" t="s">
        <v>307</v>
      </c>
      <c r="AH36" s="82" t="s">
        <v>306</v>
      </c>
      <c r="AI36" s="82" t="s">
        <v>305</v>
      </c>
      <c r="AJ36" s="84" t="s">
        <v>304</v>
      </c>
    </row>
    <row r="37" spans="2:36" s="46" customFormat="1" ht="15" customHeight="1" x14ac:dyDescent="0.25">
      <c r="B37" s="280"/>
      <c r="C37" s="283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80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43" customFormat="1" ht="24" customHeight="1" x14ac:dyDescent="0.25">
      <c r="B38" s="280"/>
      <c r="C38" s="283"/>
      <c r="D38" s="145">
        <v>66</v>
      </c>
      <c r="E38" s="139">
        <v>77</v>
      </c>
      <c r="F38" s="145">
        <v>12.815123558044434</v>
      </c>
      <c r="G38" s="141">
        <v>18.592363357543945</v>
      </c>
      <c r="H38" s="141">
        <v>5.777239799499512</v>
      </c>
      <c r="I38" s="133">
        <v>92.77855682373047</v>
      </c>
      <c r="J38" s="133">
        <v>2.8712384700775146</v>
      </c>
      <c r="K38" s="133">
        <v>190</v>
      </c>
      <c r="L38" s="133">
        <v>0</v>
      </c>
      <c r="M38" s="139">
        <v>16</v>
      </c>
      <c r="N38" s="132">
        <v>28.54166603088379</v>
      </c>
      <c r="O38" s="133">
        <v>29.699438095092773</v>
      </c>
      <c r="P38" s="133">
        <v>1.1577720642089844</v>
      </c>
      <c r="Q38" s="133">
        <v>29.29166603088379</v>
      </c>
      <c r="R38" s="133"/>
      <c r="S38" s="133">
        <v>380</v>
      </c>
      <c r="T38" s="133">
        <v>0</v>
      </c>
      <c r="U38" s="139">
        <v>12</v>
      </c>
      <c r="V38" s="132">
        <v>257.0215759277344</v>
      </c>
      <c r="W38" s="133">
        <v>41.86709976196289</v>
      </c>
      <c r="X38" s="133">
        <v>-74.51261901855469</v>
      </c>
      <c r="Y38" s="133"/>
      <c r="Z38" s="133">
        <v>-7.161460876464844</v>
      </c>
      <c r="AA38" s="133">
        <v>0</v>
      </c>
      <c r="AB38" s="133">
        <v>0</v>
      </c>
      <c r="AC38" s="133">
        <v>-396.0313720703125</v>
      </c>
      <c r="AD38" s="133">
        <v>3.180013418197632</v>
      </c>
      <c r="AE38" s="133" t="e">
        <f>Z38/AB38</f>
        <v>#DIV/0!</v>
      </c>
      <c r="AF38" s="133">
        <v>43.3050537109375</v>
      </c>
      <c r="AG38" s="133">
        <v>1196.3125</v>
      </c>
      <c r="AH38" s="133" t="e">
        <f>AF38/(Z38-AB38)</f>
        <v>#DIV/0!</v>
      </c>
      <c r="AI38" s="153" t="s">
        <v>296</v>
      </c>
      <c r="AJ38" s="150" t="e">
        <f>IF((AH38-AI38)&gt;=0,"↑","↓")</f>
        <v>#DIV/0!</v>
      </c>
    </row>
    <row r="39" spans="2:36" s="46" customFormat="1" ht="15" customHeight="1" x14ac:dyDescent="0.25">
      <c r="B39" s="280"/>
      <c r="C39" s="283"/>
      <c r="D39" s="275" t="s">
        <v>295</v>
      </c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3"/>
      <c r="R39" s="86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92" t="s">
        <v>82</v>
      </c>
    </row>
    <row r="40" spans="2:36" s="46" customFormat="1" ht="15" customHeight="1" x14ac:dyDescent="0.25">
      <c r="B40" s="280"/>
      <c r="C40" s="283"/>
      <c r="D40" s="278" t="s">
        <v>294</v>
      </c>
      <c r="E40" s="266"/>
      <c r="F40" s="266"/>
      <c r="G40" s="271" t="s">
        <v>293</v>
      </c>
      <c r="H40" s="266"/>
      <c r="I40" s="266"/>
      <c r="J40" s="271" t="s">
        <v>292</v>
      </c>
      <c r="K40" s="266"/>
      <c r="L40" s="266"/>
      <c r="M40" s="271" t="s">
        <v>291</v>
      </c>
      <c r="N40" s="271" t="s">
        <v>290</v>
      </c>
      <c r="O40" s="271" t="s">
        <v>289</v>
      </c>
      <c r="P40" s="271" t="s">
        <v>225</v>
      </c>
      <c r="Q40" s="277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80"/>
      <c r="C41" s="283"/>
      <c r="D41" s="85" t="s">
        <v>287</v>
      </c>
      <c r="E41" s="82" t="s">
        <v>286</v>
      </c>
      <c r="F41" s="82" t="s">
        <v>285</v>
      </c>
      <c r="G41" s="82" t="s">
        <v>287</v>
      </c>
      <c r="H41" s="82" t="s">
        <v>286</v>
      </c>
      <c r="I41" s="82" t="s">
        <v>285</v>
      </c>
      <c r="J41" s="82" t="s">
        <v>287</v>
      </c>
      <c r="K41" s="82" t="s">
        <v>286</v>
      </c>
      <c r="L41" s="82" t="s">
        <v>285</v>
      </c>
      <c r="M41" s="266"/>
      <c r="N41" s="266"/>
      <c r="O41" s="266"/>
      <c r="P41" s="266"/>
      <c r="Q41" s="270"/>
      <c r="R41" s="83" t="s">
        <v>4</v>
      </c>
      <c r="S41" s="80" t="s">
        <v>4</v>
      </c>
      <c r="T41" s="80" t="s">
        <v>4</v>
      </c>
      <c r="U41" s="80" t="s">
        <v>82</v>
      </c>
      <c r="V41" s="80" t="s">
        <v>82</v>
      </c>
      <c r="W41" s="82" t="s">
        <v>82</v>
      </c>
      <c r="X41" s="80" t="s">
        <v>82</v>
      </c>
      <c r="Y41" s="80" t="s">
        <v>82</v>
      </c>
      <c r="Z41" s="82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80"/>
      <c r="C42" s="283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43" customFormat="1" ht="24" customHeight="1" x14ac:dyDescent="0.25">
      <c r="B43" s="281"/>
      <c r="C43" s="284"/>
      <c r="D43" s="132"/>
      <c r="E43" s="133"/>
      <c r="F43" s="133">
        <f>D43-E43</f>
        <v>0</v>
      </c>
      <c r="G43" s="133"/>
      <c r="H43" s="133"/>
      <c r="I43" s="133">
        <f>G43-H43</f>
        <v>0</v>
      </c>
      <c r="J43" s="133"/>
      <c r="K43" s="133"/>
      <c r="L43" s="133">
        <f>J43-K43</f>
        <v>0</v>
      </c>
      <c r="M43" s="133">
        <v>2.7209014892578125</v>
      </c>
      <c r="N43" s="133"/>
      <c r="O43" s="133" t="e">
        <f>N43/M43</f>
        <v>#DIV/0!</v>
      </c>
      <c r="P43" s="133"/>
      <c r="Q43" s="155">
        <v>301</v>
      </c>
      <c r="R43" s="132" t="s">
        <v>4</v>
      </c>
      <c r="S43" s="133" t="s">
        <v>4</v>
      </c>
      <c r="T43" s="133" t="s">
        <v>4</v>
      </c>
      <c r="U43" s="133" t="s">
        <v>82</v>
      </c>
      <c r="V43" s="133" t="s">
        <v>82</v>
      </c>
      <c r="W43" s="133" t="s">
        <v>82</v>
      </c>
      <c r="X43" s="133" t="s">
        <v>82</v>
      </c>
      <c r="Y43" s="133" t="s">
        <v>82</v>
      </c>
      <c r="Z43" s="133" t="s">
        <v>82</v>
      </c>
      <c r="AA43" s="133" t="s">
        <v>82</v>
      </c>
      <c r="AB43" s="133" t="s">
        <v>82</v>
      </c>
      <c r="AC43" s="133" t="s">
        <v>82</v>
      </c>
      <c r="AD43" s="133" t="s">
        <v>82</v>
      </c>
      <c r="AE43" s="141" t="s">
        <v>82</v>
      </c>
      <c r="AF43" s="141" t="s">
        <v>82</v>
      </c>
      <c r="AG43" s="141" t="s">
        <v>82</v>
      </c>
      <c r="AH43" s="141" t="s">
        <v>82</v>
      </c>
      <c r="AI43" s="141" t="s">
        <v>82</v>
      </c>
      <c r="AJ43" s="14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sheetCalcPr fullCalcOnLoad="1"/>
  <mergeCells count="131"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</mergeCells>
  <phoneticPr fontId="1" type="noConversion"/>
  <conditionalFormatting sqref="F7">
    <cfRule type="cellIs" dxfId="32" priority="25" aboveAverage="1" operator="equal">
      <formula>"↓"</formula>
    </cfRule>
    <cfRule type="cellIs" dxfId="31" priority="26" aboveAverage="1" operator="equal">
      <formula>"↑"</formula>
    </cfRule>
  </conditionalFormatting>
  <conditionalFormatting sqref="F12">
    <cfRule type="cellIs" dxfId="30" priority="5" aboveAverage="1" operator="equal">
      <formula>"↓"</formula>
    </cfRule>
    <cfRule type="cellIs" dxfId="29" priority="6" aboveAverage="1" operator="equal">
      <formula>"↑"</formula>
    </cfRule>
  </conditionalFormatting>
  <conditionalFormatting sqref="F28">
    <cfRule type="cellIs" dxfId="28" priority="23" aboveAverage="1" operator="equal">
      <formula>"↓"</formula>
    </cfRule>
    <cfRule type="cellIs" dxfId="27" priority="24" aboveAverage="1" operator="equal">
      <formula>"↑"</formula>
    </cfRule>
  </conditionalFormatting>
  <conditionalFormatting sqref="F33">
    <cfRule type="cellIs" dxfId="26" priority="1" aboveAverage="1" operator="equal">
      <formula>"↓"</formula>
    </cfRule>
    <cfRule type="cellIs" dxfId="25" priority="2" aboveAverage="1" operator="equal">
      <formula>"↑"</formula>
    </cfRule>
  </conditionalFormatting>
  <conditionalFormatting sqref="T12">
    <cfRule type="cellIs" dxfId="24" priority="21" aboveAverage="1" operator="equal">
      <formula>"↓"</formula>
    </cfRule>
    <cfRule type="cellIs" dxfId="23" priority="22" aboveAverage="1" operator="equal">
      <formula>"↑"</formula>
    </cfRule>
  </conditionalFormatting>
  <conditionalFormatting sqref="T33">
    <cfRule type="cellIs" dxfId="22" priority="19" aboveAverage="1" operator="equal">
      <formula>"↓"</formula>
    </cfRule>
    <cfRule type="cellIs" dxfId="21" priority="20" aboveAverage="1" operator="equal">
      <formula>"↑"</formula>
    </cfRule>
  </conditionalFormatting>
  <conditionalFormatting sqref="Z12">
    <cfRule type="cellIs" dxfId="20" priority="17" aboveAverage="1" operator="equal">
      <formula>"↓"</formula>
    </cfRule>
    <cfRule type="cellIs" dxfId="19" priority="18" aboveAverage="1" operator="equal">
      <formula>"↑"</formula>
    </cfRule>
  </conditionalFormatting>
  <conditionalFormatting sqref="Z33">
    <cfRule type="cellIs" dxfId="18" priority="15" aboveAverage="1" operator="equal">
      <formula>"↓"</formula>
    </cfRule>
    <cfRule type="cellIs" dxfId="17" priority="16" aboveAverage="1" operator="equal">
      <formula>"↑"</formula>
    </cfRule>
  </conditionalFormatting>
  <conditionalFormatting sqref="AD12">
    <cfRule type="cellIs" dxfId="16" priority="13" aboveAverage="1" operator="equal">
      <formula>"↓"</formula>
    </cfRule>
    <cfRule type="cellIs" dxfId="15" priority="14" aboveAverage="1" operator="equal">
      <formula>"↑"</formula>
    </cfRule>
  </conditionalFormatting>
  <conditionalFormatting sqref="AD33">
    <cfRule type="cellIs" dxfId="14" priority="11" aboveAverage="1" operator="equal">
      <formula>"↓"</formula>
    </cfRule>
    <cfRule type="cellIs" dxfId="13" priority="12" aboveAverage="1" operator="equal">
      <formula>"↑"</formula>
    </cfRule>
  </conditionalFormatting>
  <conditionalFormatting sqref="AJ17">
    <cfRule type="cellIs" dxfId="12" priority="9" aboveAverage="1" operator="equal">
      <formula>"↓"</formula>
    </cfRule>
    <cfRule type="cellIs" dxfId="11" priority="10" aboveAverage="1" operator="equal">
      <formula>"↑"</formula>
    </cfRule>
  </conditionalFormatting>
  <conditionalFormatting sqref="AJ38">
    <cfRule type="cellIs" dxfId="10" priority="7" aboveAverage="1" operator="equal">
      <formula>"↓"</formula>
    </cfRule>
    <cfRule type="cellIs" dxfId="9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V24"/>
  <sheetViews>
    <sheetView zoomScale="85" zoomScaleNormal="85" workbookViewId="0">
      <selection activeCell="B4" sqref="B4:C4"/>
    </sheetView>
  </sheetViews>
  <sheetFormatPr defaultColWidth="9" defaultRowHeight="45" customHeight="1" x14ac:dyDescent="0.3"/>
  <cols>
    <col min="1" max="1" width="2.08984375" style="72" customWidth="1"/>
    <col min="2" max="3" width="6.90625" style="72" customWidth="1"/>
    <col min="4" max="5" width="7.08984375" style="72" customWidth="1"/>
    <col min="6" max="7" width="6.08984375" style="72" customWidth="1"/>
    <col min="8" max="9" width="5.08984375" style="100" customWidth="1"/>
    <col min="10" max="11" width="6.08984375" style="72" customWidth="1"/>
    <col min="12" max="13" width="7.54296875" style="72" customWidth="1"/>
    <col min="14" max="18" width="6.08984375" style="72" customWidth="1"/>
    <col min="19" max="19" width="5.08984375" style="72" hidden="1" customWidth="1"/>
    <col min="20" max="20" width="25.26953125" style="72" customWidth="1"/>
    <col min="21" max="21" width="16.7265625" style="72" customWidth="1"/>
  </cols>
  <sheetData>
    <row r="1" spans="2:21" ht="13.5" thickBot="1" x14ac:dyDescent="0.35">
      <c r="B1" s="71"/>
      <c r="C1" s="71"/>
      <c r="D1" s="71"/>
      <c r="E1" s="71"/>
      <c r="F1" s="71"/>
      <c r="G1" s="71"/>
      <c r="H1" s="99"/>
      <c r="I1" s="99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2:21" ht="45" customHeight="1" x14ac:dyDescent="0.3">
      <c r="B2" s="414" t="s">
        <v>455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6"/>
    </row>
    <row r="3" spans="2:21" ht="45" customHeight="1" thickBot="1" x14ac:dyDescent="0.35">
      <c r="B3" s="417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9"/>
    </row>
    <row r="4" spans="2:21" s="73" customFormat="1" ht="45" customHeight="1" thickBot="1" x14ac:dyDescent="0.4">
      <c r="B4" s="425" t="s">
        <v>454</v>
      </c>
      <c r="C4" s="315"/>
      <c r="D4" s="426" t="s">
        <v>459</v>
      </c>
      <c r="E4" s="427"/>
      <c r="F4" s="427"/>
      <c r="G4" s="428"/>
      <c r="H4" s="426"/>
      <c r="I4" s="427"/>
      <c r="J4" s="427"/>
      <c r="K4" s="427"/>
      <c r="L4" s="427"/>
      <c r="M4" s="427"/>
      <c r="N4" s="427"/>
      <c r="O4" s="427"/>
      <c r="P4" s="427"/>
      <c r="Q4" s="427"/>
      <c r="R4" s="428"/>
      <c r="S4" s="157"/>
      <c r="T4" s="158" t="s">
        <v>448</v>
      </c>
      <c r="U4" s="78"/>
    </row>
    <row r="5" spans="2:21" s="75" customFormat="1" ht="45" customHeight="1" x14ac:dyDescent="0.25">
      <c r="B5" s="360" t="s">
        <v>408</v>
      </c>
      <c r="C5" s="361"/>
      <c r="D5" s="362"/>
      <c r="E5" s="74" t="s">
        <v>454</v>
      </c>
      <c r="F5" s="366" t="s">
        <v>409</v>
      </c>
      <c r="G5" s="365"/>
      <c r="H5" s="420" t="s">
        <v>410</v>
      </c>
      <c r="I5" s="421"/>
      <c r="J5" s="422" t="s">
        <v>411</v>
      </c>
      <c r="K5" s="423"/>
      <c r="L5" s="423"/>
      <c r="M5" s="423"/>
      <c r="N5" s="423"/>
      <c r="O5" s="423"/>
      <c r="P5" s="423"/>
      <c r="Q5" s="423"/>
      <c r="R5" s="421"/>
      <c r="S5" s="420" t="s">
        <v>412</v>
      </c>
      <c r="T5" s="424"/>
    </row>
    <row r="6" spans="2:21" s="73" customFormat="1" ht="45" customHeight="1" x14ac:dyDescent="0.35">
      <c r="B6" s="408" t="s">
        <v>413</v>
      </c>
      <c r="C6" s="409"/>
      <c r="D6" s="409"/>
      <c r="E6" s="76" t="s">
        <v>456</v>
      </c>
      <c r="F6" s="410" t="s">
        <v>457</v>
      </c>
      <c r="G6" s="410"/>
      <c r="H6" s="388">
        <v>0</v>
      </c>
      <c r="I6" s="389"/>
      <c r="J6" s="411"/>
      <c r="K6" s="412"/>
      <c r="L6" s="412"/>
      <c r="M6" s="412"/>
      <c r="N6" s="412"/>
      <c r="O6" s="412"/>
      <c r="P6" s="412"/>
      <c r="Q6" s="412"/>
      <c r="R6" s="412"/>
      <c r="S6" s="411"/>
      <c r="T6" s="413"/>
    </row>
    <row r="7" spans="2:21" s="73" customFormat="1" ht="45" customHeight="1" x14ac:dyDescent="0.35">
      <c r="B7" s="408" t="s">
        <v>415</v>
      </c>
      <c r="C7" s="409"/>
      <c r="D7" s="409"/>
      <c r="E7" s="76" t="s">
        <v>456</v>
      </c>
      <c r="F7" s="410" t="s">
        <v>457</v>
      </c>
      <c r="G7" s="410"/>
      <c r="H7" s="388">
        <v>0</v>
      </c>
      <c r="I7" s="389"/>
      <c r="J7" s="411"/>
      <c r="K7" s="412"/>
      <c r="L7" s="412"/>
      <c r="M7" s="412"/>
      <c r="N7" s="412"/>
      <c r="O7" s="412"/>
      <c r="P7" s="412"/>
      <c r="Q7" s="412"/>
      <c r="R7" s="412"/>
      <c r="S7" s="411"/>
      <c r="T7" s="413"/>
    </row>
    <row r="8" spans="2:21" s="73" customFormat="1" ht="45" customHeight="1" x14ac:dyDescent="0.35">
      <c r="B8" s="403" t="s">
        <v>416</v>
      </c>
      <c r="C8" s="404"/>
      <c r="D8" s="404"/>
      <c r="E8" s="77" t="s">
        <v>456</v>
      </c>
      <c r="F8" s="397" t="s">
        <v>414</v>
      </c>
      <c r="G8" s="398"/>
      <c r="H8" s="388">
        <v>1</v>
      </c>
      <c r="I8" s="389"/>
      <c r="J8" s="405"/>
      <c r="K8" s="406"/>
      <c r="L8" s="406"/>
      <c r="M8" s="406"/>
      <c r="N8" s="406"/>
      <c r="O8" s="406"/>
      <c r="P8" s="406"/>
      <c r="Q8" s="406"/>
      <c r="R8" s="406"/>
      <c r="S8" s="405"/>
      <c r="T8" s="407"/>
    </row>
    <row r="9" spans="2:21" s="75" customFormat="1" ht="45" customHeight="1" x14ac:dyDescent="0.25">
      <c r="B9" s="360" t="s">
        <v>417</v>
      </c>
      <c r="C9" s="361"/>
      <c r="D9" s="362"/>
      <c r="E9" s="74" t="s">
        <v>454</v>
      </c>
      <c r="F9" s="366" t="s">
        <v>409</v>
      </c>
      <c r="G9" s="365"/>
      <c r="H9" s="366" t="s">
        <v>410</v>
      </c>
      <c r="I9" s="365"/>
      <c r="J9" s="363" t="s">
        <v>411</v>
      </c>
      <c r="K9" s="364"/>
      <c r="L9" s="364"/>
      <c r="M9" s="364"/>
      <c r="N9" s="364"/>
      <c r="O9" s="364"/>
      <c r="P9" s="364"/>
      <c r="Q9" s="364"/>
      <c r="R9" s="365"/>
      <c r="S9" s="366" t="s">
        <v>412</v>
      </c>
      <c r="T9" s="367"/>
    </row>
    <row r="10" spans="2:21" s="73" customFormat="1" ht="45" customHeight="1" x14ac:dyDescent="0.35">
      <c r="B10" s="394" t="s">
        <v>418</v>
      </c>
      <c r="C10" s="395"/>
      <c r="D10" s="396"/>
      <c r="E10" s="76" t="s">
        <v>456</v>
      </c>
      <c r="F10" s="397">
        <v>1</v>
      </c>
      <c r="G10" s="398"/>
      <c r="H10" s="388">
        <v>0</v>
      </c>
      <c r="I10" s="389"/>
      <c r="J10" s="399"/>
      <c r="K10" s="330"/>
      <c r="L10" s="330"/>
      <c r="M10" s="330"/>
      <c r="N10" s="330"/>
      <c r="O10" s="330"/>
      <c r="P10" s="330"/>
      <c r="Q10" s="330"/>
      <c r="R10" s="400"/>
      <c r="S10" s="399"/>
      <c r="T10" s="331"/>
    </row>
    <row r="11" spans="2:21" s="73" customFormat="1" ht="45" customHeight="1" x14ac:dyDescent="0.35">
      <c r="B11" s="382" t="s">
        <v>419</v>
      </c>
      <c r="C11" s="383"/>
      <c r="D11" s="384"/>
      <c r="E11" s="77" t="s">
        <v>456</v>
      </c>
      <c r="F11" s="401">
        <v>1</v>
      </c>
      <c r="G11" s="402"/>
      <c r="H11" s="388">
        <v>0</v>
      </c>
      <c r="I11" s="389"/>
      <c r="J11" s="390"/>
      <c r="K11" s="391"/>
      <c r="L11" s="391"/>
      <c r="M11" s="391"/>
      <c r="N11" s="391"/>
      <c r="O11" s="391"/>
      <c r="P11" s="391"/>
      <c r="Q11" s="391"/>
      <c r="R11" s="392"/>
      <c r="S11" s="390"/>
      <c r="T11" s="393"/>
    </row>
    <row r="12" spans="2:21" s="75" customFormat="1" ht="45" customHeight="1" x14ac:dyDescent="0.25">
      <c r="B12" s="360" t="s">
        <v>420</v>
      </c>
      <c r="C12" s="361"/>
      <c r="D12" s="362"/>
      <c r="E12" s="363" t="s">
        <v>421</v>
      </c>
      <c r="F12" s="321"/>
      <c r="G12" s="319"/>
      <c r="H12" s="366" t="s">
        <v>422</v>
      </c>
      <c r="I12" s="365"/>
      <c r="J12" s="363" t="s">
        <v>411</v>
      </c>
      <c r="K12" s="364"/>
      <c r="L12" s="364"/>
      <c r="M12" s="364"/>
      <c r="N12" s="364"/>
      <c r="O12" s="364"/>
      <c r="P12" s="364"/>
      <c r="Q12" s="364"/>
      <c r="R12" s="365"/>
      <c r="S12" s="366" t="s">
        <v>412</v>
      </c>
      <c r="T12" s="367"/>
    </row>
    <row r="13" spans="2:21" s="73" customFormat="1" ht="45" customHeight="1" x14ac:dyDescent="0.35">
      <c r="B13" s="382" t="s">
        <v>423</v>
      </c>
      <c r="C13" s="383"/>
      <c r="D13" s="384"/>
      <c r="E13" s="385" t="s">
        <v>458</v>
      </c>
      <c r="F13" s="386"/>
      <c r="G13" s="387"/>
      <c r="H13" s="388">
        <v>0.3333333432674408</v>
      </c>
      <c r="I13" s="389"/>
      <c r="J13" s="390"/>
      <c r="K13" s="391"/>
      <c r="L13" s="391"/>
      <c r="M13" s="391"/>
      <c r="N13" s="391"/>
      <c r="O13" s="391"/>
      <c r="P13" s="391"/>
      <c r="Q13" s="391"/>
      <c r="R13" s="392"/>
      <c r="S13" s="390"/>
      <c r="T13" s="393"/>
    </row>
    <row r="14" spans="2:21" s="75" customFormat="1" ht="45" customHeight="1" x14ac:dyDescent="0.25">
      <c r="B14" s="360" t="s">
        <v>424</v>
      </c>
      <c r="C14" s="361"/>
      <c r="D14" s="362"/>
      <c r="E14" s="363" t="s">
        <v>425</v>
      </c>
      <c r="F14" s="321"/>
      <c r="G14" s="321"/>
      <c r="H14" s="321"/>
      <c r="I14" s="319"/>
      <c r="J14" s="363" t="s">
        <v>411</v>
      </c>
      <c r="K14" s="364"/>
      <c r="L14" s="364"/>
      <c r="M14" s="364"/>
      <c r="N14" s="364"/>
      <c r="O14" s="364"/>
      <c r="P14" s="364"/>
      <c r="Q14" s="364"/>
      <c r="R14" s="365"/>
      <c r="S14" s="366" t="s">
        <v>412</v>
      </c>
      <c r="T14" s="367"/>
    </row>
    <row r="15" spans="2:21" s="73" customFormat="1" ht="45" customHeight="1" x14ac:dyDescent="0.35">
      <c r="B15" s="368" t="s">
        <v>426</v>
      </c>
      <c r="C15" s="369"/>
      <c r="D15" s="370"/>
      <c r="E15" s="374"/>
      <c r="F15" s="375"/>
      <c r="G15" s="375"/>
      <c r="H15" s="375"/>
      <c r="I15" s="376"/>
      <c r="J15" s="374"/>
      <c r="K15" s="375"/>
      <c r="L15" s="375"/>
      <c r="M15" s="375"/>
      <c r="N15" s="375"/>
      <c r="O15" s="375"/>
      <c r="P15" s="375"/>
      <c r="Q15" s="375"/>
      <c r="R15" s="376"/>
      <c r="S15" s="374"/>
      <c r="T15" s="380"/>
    </row>
    <row r="16" spans="2:21" s="73" customFormat="1" ht="45" customHeight="1" x14ac:dyDescent="0.35">
      <c r="B16" s="371"/>
      <c r="C16" s="372"/>
      <c r="D16" s="373"/>
      <c r="E16" s="377"/>
      <c r="F16" s="378"/>
      <c r="G16" s="378"/>
      <c r="H16" s="378"/>
      <c r="I16" s="379"/>
      <c r="J16" s="377"/>
      <c r="K16" s="378"/>
      <c r="L16" s="378"/>
      <c r="M16" s="378"/>
      <c r="N16" s="378"/>
      <c r="O16" s="378"/>
      <c r="P16" s="378"/>
      <c r="Q16" s="378"/>
      <c r="R16" s="379"/>
      <c r="S16" s="377"/>
      <c r="T16" s="381"/>
    </row>
    <row r="17" spans="2:20" s="73" customFormat="1" ht="45" customHeight="1" x14ac:dyDescent="0.35">
      <c r="B17" s="348" t="s">
        <v>427</v>
      </c>
      <c r="C17" s="349"/>
      <c r="D17" s="350"/>
      <c r="E17" s="354" t="s">
        <v>428</v>
      </c>
      <c r="F17" s="355"/>
      <c r="G17" s="355"/>
      <c r="H17" s="355"/>
      <c r="I17" s="356"/>
      <c r="J17" s="354" t="s">
        <v>411</v>
      </c>
      <c r="K17" s="355"/>
      <c r="L17" s="355"/>
      <c r="M17" s="355"/>
      <c r="N17" s="355"/>
      <c r="O17" s="355"/>
      <c r="P17" s="355"/>
      <c r="Q17" s="355"/>
      <c r="R17" s="356"/>
      <c r="S17" s="357" t="s">
        <v>429</v>
      </c>
      <c r="T17" s="358"/>
    </row>
    <row r="18" spans="2:20" s="73" customFormat="1" ht="45" customHeight="1" thickBot="1" x14ac:dyDescent="0.4">
      <c r="B18" s="351"/>
      <c r="C18" s="352"/>
      <c r="D18" s="353"/>
      <c r="E18" s="324" t="s">
        <v>430</v>
      </c>
      <c r="F18" s="317"/>
      <c r="G18" s="317"/>
      <c r="H18" s="317"/>
      <c r="I18" s="323"/>
      <c r="J18" s="316" t="s">
        <v>4</v>
      </c>
      <c r="K18" s="317"/>
      <c r="L18" s="317"/>
      <c r="M18" s="317"/>
      <c r="N18" s="317"/>
      <c r="O18" s="317"/>
      <c r="P18" s="317"/>
      <c r="Q18" s="317"/>
      <c r="R18" s="323"/>
      <c r="S18" s="359"/>
      <c r="T18" s="334"/>
    </row>
    <row r="19" spans="2:20" s="73" customFormat="1" ht="45" customHeight="1" x14ac:dyDescent="0.35">
      <c r="B19" s="342" t="s">
        <v>431</v>
      </c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4"/>
    </row>
    <row r="20" spans="2:20" s="73" customFormat="1" ht="45" customHeight="1" x14ac:dyDescent="0.35">
      <c r="B20" s="339" t="s">
        <v>432</v>
      </c>
      <c r="C20" s="319"/>
      <c r="D20" s="320" t="s">
        <v>433</v>
      </c>
      <c r="E20" s="319"/>
      <c r="F20" s="320" t="s">
        <v>434</v>
      </c>
      <c r="G20" s="319"/>
      <c r="H20" s="320" t="s">
        <v>435</v>
      </c>
      <c r="I20" s="319"/>
      <c r="J20" s="320" t="s">
        <v>436</v>
      </c>
      <c r="K20" s="319"/>
      <c r="L20" s="320" t="s">
        <v>437</v>
      </c>
      <c r="M20" s="319"/>
      <c r="N20" s="320" t="s">
        <v>438</v>
      </c>
      <c r="O20" s="345"/>
      <c r="P20" s="346" t="s">
        <v>439</v>
      </c>
      <c r="Q20" s="321"/>
      <c r="R20" s="321"/>
      <c r="S20" s="321"/>
      <c r="T20" s="347"/>
    </row>
    <row r="21" spans="2:20" s="73" customFormat="1" ht="45" customHeight="1" x14ac:dyDescent="0.35">
      <c r="B21" s="340" t="s">
        <v>440</v>
      </c>
      <c r="C21" s="341"/>
      <c r="D21" s="325" t="s">
        <v>440</v>
      </c>
      <c r="E21" s="341"/>
      <c r="F21" s="325" t="s">
        <v>440</v>
      </c>
      <c r="G21" s="341"/>
      <c r="H21" s="325" t="s">
        <v>441</v>
      </c>
      <c r="I21" s="341"/>
      <c r="J21" s="325" t="s">
        <v>284</v>
      </c>
      <c r="K21" s="341"/>
      <c r="L21" s="325" t="s">
        <v>284</v>
      </c>
      <c r="M21" s="341"/>
      <c r="N21" s="325" t="s">
        <v>284</v>
      </c>
      <c r="O21" s="326"/>
      <c r="P21" s="327"/>
      <c r="Q21" s="326"/>
      <c r="R21" s="326"/>
      <c r="S21" s="326"/>
      <c r="T21" s="328"/>
    </row>
    <row r="22" spans="2:20" s="73" customFormat="1" ht="45" customHeight="1" x14ac:dyDescent="0.35">
      <c r="B22" s="335">
        <v>900</v>
      </c>
      <c r="C22" s="336"/>
      <c r="D22" s="337">
        <v>852</v>
      </c>
      <c r="E22" s="336"/>
      <c r="F22" s="337">
        <v>852</v>
      </c>
      <c r="G22" s="336"/>
      <c r="H22" s="337">
        <v>0</v>
      </c>
      <c r="I22" s="336"/>
      <c r="J22" s="337">
        <v>65.44444274902344</v>
      </c>
      <c r="K22" s="336"/>
      <c r="L22" s="337">
        <v>6.777777671813965</v>
      </c>
      <c r="M22" s="336"/>
      <c r="N22" s="337">
        <v>0</v>
      </c>
      <c r="O22" s="338"/>
      <c r="P22" s="329"/>
      <c r="Q22" s="330"/>
      <c r="R22" s="330"/>
      <c r="S22" s="330"/>
      <c r="T22" s="331"/>
    </row>
    <row r="23" spans="2:20" s="73" customFormat="1" ht="45" customHeight="1" x14ac:dyDescent="0.35">
      <c r="B23" s="339" t="s">
        <v>442</v>
      </c>
      <c r="C23" s="321"/>
      <c r="D23" s="319"/>
      <c r="E23" s="318"/>
      <c r="F23" s="319"/>
      <c r="G23" s="320" t="s">
        <v>443</v>
      </c>
      <c r="H23" s="321"/>
      <c r="I23" s="319"/>
      <c r="J23" s="318"/>
      <c r="K23" s="319"/>
      <c r="L23" s="320" t="s">
        <v>444</v>
      </c>
      <c r="M23" s="319"/>
      <c r="N23" s="318"/>
      <c r="O23" s="321"/>
      <c r="P23" s="329"/>
      <c r="Q23" s="330"/>
      <c r="R23" s="330"/>
      <c r="S23" s="330"/>
      <c r="T23" s="331"/>
    </row>
    <row r="24" spans="2:20" s="73" customFormat="1" ht="45" customHeight="1" thickBot="1" x14ac:dyDescent="0.4">
      <c r="B24" s="322" t="s">
        <v>445</v>
      </c>
      <c r="C24" s="317"/>
      <c r="D24" s="323"/>
      <c r="E24" s="316"/>
      <c r="F24" s="323"/>
      <c r="G24" s="324" t="s">
        <v>446</v>
      </c>
      <c r="H24" s="317"/>
      <c r="I24" s="323"/>
      <c r="J24" s="316"/>
      <c r="K24" s="323"/>
      <c r="L24" s="324" t="s">
        <v>447</v>
      </c>
      <c r="M24" s="323"/>
      <c r="N24" s="316"/>
      <c r="O24" s="317"/>
      <c r="P24" s="332"/>
      <c r="Q24" s="333"/>
      <c r="R24" s="333"/>
      <c r="S24" s="333"/>
      <c r="T24" s="334"/>
    </row>
  </sheetData>
  <mergeCells count="100">
    <mergeCell ref="B2:T3"/>
    <mergeCell ref="B5:D5"/>
    <mergeCell ref="F5:G5"/>
    <mergeCell ref="H5:I5"/>
    <mergeCell ref="J5:R5"/>
    <mergeCell ref="S5:T5"/>
    <mergeCell ref="B4:C4"/>
    <mergeCell ref="D4:G4"/>
    <mergeCell ref="H4:R4"/>
    <mergeCell ref="B7:D7"/>
    <mergeCell ref="F7:G7"/>
    <mergeCell ref="H7:I7"/>
    <mergeCell ref="J7:R7"/>
    <mergeCell ref="S7:T7"/>
    <mergeCell ref="B6:D6"/>
    <mergeCell ref="F6:G6"/>
    <mergeCell ref="H6:I6"/>
    <mergeCell ref="J6:R6"/>
    <mergeCell ref="S6:T6"/>
    <mergeCell ref="B9:D9"/>
    <mergeCell ref="F9:G9"/>
    <mergeCell ref="H9:I9"/>
    <mergeCell ref="J9:R9"/>
    <mergeCell ref="S9:T9"/>
    <mergeCell ref="B8:D8"/>
    <mergeCell ref="F8:G8"/>
    <mergeCell ref="H8:I8"/>
    <mergeCell ref="J8:R8"/>
    <mergeCell ref="S8:T8"/>
    <mergeCell ref="B11:D11"/>
    <mergeCell ref="F11:G11"/>
    <mergeCell ref="H11:I11"/>
    <mergeCell ref="J11:R11"/>
    <mergeCell ref="S11:T11"/>
    <mergeCell ref="B10:D10"/>
    <mergeCell ref="F10:G10"/>
    <mergeCell ref="H10:I10"/>
    <mergeCell ref="J10:R10"/>
    <mergeCell ref="S10:T10"/>
    <mergeCell ref="B13:D13"/>
    <mergeCell ref="E13:G13"/>
    <mergeCell ref="H13:I13"/>
    <mergeCell ref="J13:R13"/>
    <mergeCell ref="S13:T13"/>
    <mergeCell ref="B12:D12"/>
    <mergeCell ref="E12:G12"/>
    <mergeCell ref="H12:I12"/>
    <mergeCell ref="J12:R12"/>
    <mergeCell ref="S12:T12"/>
    <mergeCell ref="B14:D14"/>
    <mergeCell ref="E14:I14"/>
    <mergeCell ref="J14:R14"/>
    <mergeCell ref="S14:T14"/>
    <mergeCell ref="B15:D16"/>
    <mergeCell ref="E15:I16"/>
    <mergeCell ref="J15:R16"/>
    <mergeCell ref="S15:T16"/>
    <mergeCell ref="B17:D18"/>
    <mergeCell ref="E17:I17"/>
    <mergeCell ref="J17:R17"/>
    <mergeCell ref="S17:T17"/>
    <mergeCell ref="E18:I18"/>
    <mergeCell ref="J18:R18"/>
    <mergeCell ref="S18:T18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23:D23"/>
    <mergeCell ref="B21:C21"/>
    <mergeCell ref="D21:E21"/>
    <mergeCell ref="F21:G21"/>
    <mergeCell ref="H21:I21"/>
    <mergeCell ref="F22:G22"/>
    <mergeCell ref="H22:I22"/>
    <mergeCell ref="J22:K22"/>
    <mergeCell ref="L22:M22"/>
    <mergeCell ref="N22:O22"/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</mergeCells>
  <phoneticPr fontId="1" type="noConversion"/>
  <conditionalFormatting sqref="H6:I8">
    <cfRule type="cellIs" dxfId="8" priority="10" aboveAverage="1" operator="lessThan">
      <formula>0.98</formula>
    </cfRule>
    <cfRule type="cellIs" dxfId="7" priority="11" aboveAverage="1" operator="greaterThanOrEqual">
      <formula>0.98</formula>
    </cfRule>
  </conditionalFormatting>
  <conditionalFormatting sqref="H10:I11">
    <cfRule type="cellIs" dxfId="6" priority="4" aboveAverage="1" operator="lessThan">
      <formula>1</formula>
    </cfRule>
    <cfRule type="cellIs" dxfId="5" priority="5" aboveAverage="1" operator="equal">
      <formula>1</formula>
    </cfRule>
    <cfRule type="cellIs" dxfId="4" priority="7" aboveAverage="1" operator="greaterThanOrEqual">
      <formula>0.98</formula>
    </cfRule>
  </conditionalFormatting>
  <conditionalFormatting sqref="H11:I11">
    <cfRule type="cellIs" dxfId="3" priority="6" aboveAverage="1" operator="lessThan">
      <formula>0.98</formula>
    </cfRule>
  </conditionalFormatting>
  <conditionalFormatting sqref="H13:I13">
    <cfRule type="cellIs" dxfId="2" priority="1" aboveAverage="1" operator="equal">
      <formula>0.9</formula>
    </cfRule>
    <cfRule type="cellIs" dxfId="1" priority="2" aboveAverage="1" operator="greaterThan">
      <formula>0.9</formula>
    </cfRule>
    <cfRule type="cellIs" dxfId="0" priority="3" aboveAverage="1" operator="lessThan">
      <formula>0.9</formula>
    </cfRule>
  </conditionalFormatting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2026-05-14T06:29:03Z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