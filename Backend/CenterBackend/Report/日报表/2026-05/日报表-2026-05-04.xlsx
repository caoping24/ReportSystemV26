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bookViews>
    <workbookView xWindow="-120" yWindow="-16320" windowWidth="29040" windowHeight="15720" activeTab="4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externalReferences>
    <externalReference r:id="rId7"/>
  </externalReferences>
  <definedNames>
    <definedName name="_xlnm.Print_Area" localSheetId="4"><![CDATA[台账!#REF!]]></definedName>
  </definedNames>
  <calcPr calcId="191029"/>
</workbook>
</file>

<file path=xl/calcChain.xml><?xml version="1.0" encoding="utf-8"?>
<calcChain xmlns="http://schemas.openxmlformats.org/spreadsheetml/2006/main">
  <c r="H11" i="11" l="1"/>
  <c r="H10" i="11"/>
  <c r="M9" i="11"/>
  <c r="H9" i="11"/>
  <c r="I9" i="11" s="1"/>
  <c r="G9" i="11"/>
  <c r="H8" i="11"/>
  <c r="H7" i="11"/>
  <c r="M6" i="11"/>
  <c r="N6" i="11" s="1"/>
  <c r="H6" i="11"/>
  <c r="G6" i="11"/>
  <c r="N9" i="11" l="1"/>
  <c r="I6" i="11"/>
  <c r="O9" i="11"/>
  <c r="J6" i="11"/>
  <c r="J9" i="11" s="1"/>
  <c r="Q6" i="11"/>
  <c r="O6" i="11"/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<sst xmlns="http://schemas.openxmlformats.org/spreadsheetml/2006/main" count="884" uniqueCount="373">
  <si>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</si>
  <si>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</si>
  <si>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</si>
  <si>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</si>
  <si>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</si>
  <si>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</si>
  <si>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</si>
  <si>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</si>
  <si>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</si>
  <si>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</si>
  <si>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</si>
  <si>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</si>
  <si>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</si>
  <si>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</si>
  <si>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</si>
  <si>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</si>
  <si>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</si>
  <si>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</si>
  <si>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</si>
  <si>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</si>
  <si>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</si>
  <si>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</si>
  <si>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</si>
  <si>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</si>
  <si>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</si>
  <si>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</si>
  <si>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</si>
  <si>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</si>
  <si>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</si>
  <si>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</si>
  <si>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</si>
  <si>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</si>
  <si>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</si>
  <si>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</si>
  <si>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</si>
  <si>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</si>
  <si>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</si>
  <si>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</si>
  <si>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</si>
  <si>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</si>
  <si>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</si>
  <si>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</si>
  <si>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</si>
  <si>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</si>
  <si>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</si>
  <si>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</si>
  <si>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</si>
  <si>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</si>
  <si>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</si>
  <si>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</si>
  <si>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</si>
  <si>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</si>
  <si>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</si>
  <si>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</si>
  <si>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</si>
  <si>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</si>
  <si>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</si>
  <si>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</si>
  <si>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</si>
  <si>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</si>
  <si>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</si>
  <si>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</si>
  <si>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</si>
  <si>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</si>
  <si>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</si>
  <si>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</si>
  <si>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</si>
  <si>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</si>
  <si>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</si>
  <si>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</si>
  <si>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</si>
  <si>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</si>
  <si>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</si>
  <si>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</si>
  <si>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</si>
  <si>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</si>
  <si>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</si>
  <si>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</si>
  <si>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</si>
  <si>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</si>
  <si>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</si>
  <si>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</si>
  <si>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</si>
  <si>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</si>
  <si>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</si>
  <si>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</si>
  <si>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</si>
  <si>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</si>
  <si>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</si>
  <si>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</si>
  <si>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</si>
  <si>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</si>
  <si>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</si>
  <si>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</si>
  <si>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</si>
  <si>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</si>
  <si>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</si>
  <si>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</si>
  <si>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</si>
  <si>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</si>
  <si>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</si>
  <si>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</si>
  <si>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</si>
  <si>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</si>
  <si>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</si>
  <si>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</si>
  <si>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</si>
  <si>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</si>
  <si>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</si>
  <si>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</si>
  <si>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</si>
  <si>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</si>
  <si>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</si>
  <si>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</si>
  <si>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</si>
  <si>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</si>
  <si>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</si>
  <si>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</si>
  <si>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</si>
  <si>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</si>
  <si>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</si>
  <si>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</si>
  <si>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</si>
  <si>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</si>
  <si>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</si>
  <si>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</si>
  <si>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</si>
  <si>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</si>
  <si>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</si>
  <si>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</si>
  <si>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</si>
  <si>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</si>
  <si>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</si>
  <si>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</si>
  <si>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</si>
  <si>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</si>
  <si>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</si>
  <si>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</si>
  <si>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</si>
  <si>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</si>
  <si>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</si>
  <si>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</si>
  <si>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</si>
  <si>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</si>
  <si>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</si>
  <si>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</si>
  <si>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</si>
  <si>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</si>
  <si>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</si>
  <si>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</si>
  <si>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</si>
  <si>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</si>
  <si>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</si>
  <si>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</si>
  <si>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</si>
  <si>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</si>
  <si>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</si>
  <si>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</si>
  <si>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</si>
  <si>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</si>
  <si>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</si>
  <si>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</si>
  <si>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</si>
  <si>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</si>
  <si>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</si>
  <si>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</si>
  <si>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</si>
  <si>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</si>
  <si>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</si>
  <si>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</si>
  <si>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</si>
  <si>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</si>
  <si>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</si>
  <si>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</si>
  <si>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</si>
  <si>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</si>
  <si>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</si>
  <si>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</si>
  <si>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</si>
  <si>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</si>
  <si>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</si>
  <si>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</si>
  <si>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</si>
  <si>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</si>
  <si>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</si>
  <si>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</si>
  <si>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</si>
  <si>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</si>
  <si>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</si>
  <si>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</si>
  <si>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</si>
  <si>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</si>
  <si>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</si>
  <si>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</si>
  <si>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</si>
  <si>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</si>
  <si>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</si>
  <si>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</si>
  <si>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</si>
  <si>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</si>
  <si>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</si>
  <si>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</si>
  <si>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</si>
  <si>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</si>
  <si>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</si>
  <si>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</si>
  <si>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</si>
  <si>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</si>
  <si>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</si>
  <si>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</si>
  <si>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</si>
  <si>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</si>
  <si>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</si>
  <si>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</si>
  <si>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</si>
  <si>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</si>
  <si>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</si>
  <si>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</si>
  <si>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</si>
  <si>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</si>
  <si>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</si>
  <si>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</si>
  <si>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</si>
  <si>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</si>
  <si>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</si>
  <si>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</si>
  <si>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</si>
  <si>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</si>
  <si>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</si>
  <si>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</si>
  <si>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</si>
  <si>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</si>
  <si>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</si>
  <si>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</si>
  <si>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</si>
  <si>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</si>
  <si>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</si>
  <si>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</si>
  <si>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</si>
  <si>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</si>
  <si>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</si>
  <si>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</si>
  <si>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</si>
  <si>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</si>
  <si>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</si>
  <si>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</si>
  <si>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</si>
  <si>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</si>
  <si>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</si>
  <si>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</si>
  <si>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</si>
  <si>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</si>
  <si>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</si>
  <si>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</si>
  <si>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</si>
  <si>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</si>
  <si>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</si>
  <si>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</si>
  <si>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</si>
  <si>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</si>
  <si>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</si>
  <si>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</si>
  <si>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</si>
  <si>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</si>
  <si>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</si>
  <si>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</si>
  <si>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</si>
  <si>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</si>
  <si>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</si>
  <si>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</si>
  <si>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</si>
  <si>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</si>
  <si>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</si>
  <si>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</si>
  <si>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</si>
  <si>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</si>
  <si>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</si>
  <si>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</si>
  <si>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</si>
  <si>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</si>
  <si>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</si>
  <si>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</si>
  <si>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</si>
  <si>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</si>
  <si>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</si>
  <si>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</si>
  <si>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</si>
  <si>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水分</t>
    <phoneticPr fontId="1" type="noConversion"/>
  </si>
  <si>
    <t xml:space="preserve">产量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</si>
  <si>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</si>
  <si>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</si>
  <si>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</si>
  <si>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项目</t>
    <phoneticPr fontId="1" type="noConversion"/>
  </si>
  <si>
    <t xml:space="preserve">单位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</si>
  <si>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</si>
  <si>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</si>
  <si>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</si>
  <si>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备注</t>
    <phoneticPr fontId="1" type="noConversion"/>
  </si>
  <si>
    <t xml:space="preserve">一、产品</t>
    <phoneticPr fontId="1" type="noConversion"/>
  </si>
  <si>
    <t xml:space="preserve">收率</t>
    <phoneticPr fontId="1" type="noConversion"/>
  </si>
  <si>
    <t xml:space="preserve">二、原料消耗</t>
    <phoneticPr fontId="1" type="noConversion"/>
  </si>
  <si>
    <t xml:space="preserve">羟基消耗</t>
  </si>
  <si>
    <t xml:space="preserve">≤1427</t>
    <phoneticPr fontId="1" type="noConversion"/>
  </si>
  <si>
    <t xml:space="preserve">氨消耗</t>
    <phoneticPr fontId="1" type="noConversion"/>
  </si>
  <si>
    <t xml:space="preserve">215±5</t>
  </si>
  <si>
    <t xml:space="preserve">硫酸消耗</t>
    <phoneticPr fontId="1" type="noConversion"/>
  </si>
  <si>
    <t xml:space="preserve">200±10</t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</si>
  <si>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</si>
  <si>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</si>
  <si>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</si>
  <si>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</si>
  <si>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417±5</t>
  </si>
  <si>
    <t xml:space="preserve">反应单元</t>
    <phoneticPr fontId="1" type="noConversion"/>
  </si>
  <si>
    <t xml:space="preserve">氨腈摩尔比</t>
    <phoneticPr fontId="1" type="noConversion"/>
  </si>
  <si>
    <t xml:space="preserve">(0.530±0.005):1</t>
  </si>
  <si>
    <t xml:space="preserve">反应时间</t>
    <phoneticPr fontId="1" type="noConversion"/>
  </si>
  <si>
    <t xml:space="preserve">s</t>
    <phoneticPr fontId="1" type="noConversion"/>
  </si>
  <si>
    <t xml:space="preserve">合格</t>
    <phoneticPr fontId="1" type="noConversion"/>
  </si>
  <si>
    <t xml:space="preserve">反应压力</t>
    <phoneticPr fontId="1" type="noConversion"/>
  </si>
  <si>
    <t xml:space="preserve">0.75±0.05</t>
  </si>
  <si>
    <t xml:space="preserve">羟基加热温度</t>
    <phoneticPr fontId="1" type="noConversion"/>
  </si>
  <si>
    <t xml:space="preserve">90±2</t>
  </si>
  <si>
    <t xml:space="preserve">氨汽混合温度</t>
  </si>
  <si>
    <t xml:space="preserve">145±2</t>
  </si>
  <si>
    <t xml:space="preserve">管反热点温度</t>
  </si>
  <si>
    <t xml:space="preserve">168±2</t>
  </si>
  <si>
    <t xml:space="preserve">结晶单元</t>
    <phoneticPr fontId="1" type="noConversion"/>
  </si>
  <si>
    <t xml:space="preserve">预冷器结晶温度</t>
  </si>
  <si>
    <t xml:space="preserve">≤45</t>
    <phoneticPr fontId="1" type="noConversion"/>
  </si>
  <si>
    <t xml:space="preserve">一次结晶温度</t>
  </si>
  <si>
    <t xml:space="preserve">≤20</t>
    <phoneticPr fontId="1" type="noConversion"/>
  </si>
  <si>
    <t xml:space="preserve">降膜蒸发温度</t>
  </si>
  <si>
    <t xml:space="preserve">48±2</t>
  </si>
  <si>
    <t xml:space="preserve">二次结晶温度</t>
  </si>
  <si>
    <t xml:space="preserve">≤20</t>
  </si>
  <si>
    <t xml:space="preserve">反应液组成</t>
    <phoneticPr fontId="1" type="noConversion"/>
  </si>
  <si>
    <t xml:space="preserve">--</t>
    <phoneticPr fontId="1" type="noConversion"/>
  </si>
  <si>
    <t xml:space="preserve">pH值</t>
    <phoneticPr fontId="1" type="noConversion"/>
  </si>
  <si>
    <t xml:space="preserve">四、废液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</si>
  <si>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</si>
  <si>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</si>
  <si>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</si>
  <si>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</si>
  <si>
    <t xml:space="preserve">废液组成</t>
    <phoneticPr fontId="1" type="noConversion"/>
  </si>
  <si>
    <t xml:space="preserve">硫铵</t>
    <phoneticPr fontId="1" type="noConversion"/>
  </si>
  <si>
    <t xml:space="preserve">二乙腈</t>
    <phoneticPr fontId="1" type="noConversion"/>
  </si>
  <si>
    <t xml:space="preserve">其它</t>
    <phoneticPr fontId="1" type="noConversion"/>
  </si>
  <si>
    <t xml:space="preserve">%</t>
  </si>
  <si>
    <t xml:space="preserve">五、其他</t>
    <phoneticPr fontId="1" type="noConversion"/>
  </si>
  <si>
    <t xml:space="preserve">二乙睛中试车间日报</t>
    <phoneticPr fontId="1" type="noConversion"/>
  </si>
  <si>
    <t xml:space="preserve">产量台账</t>
    <phoneticPr fontId="1" type="noConversion"/>
  </si>
  <si>
    <t xml:space="preserve">日期</t>
    <phoneticPr fontId="1" type="noConversion"/>
  </si>
  <si>
    <t xml:space="preserve">含量</t>
    <phoneticPr fontId="1" type="noConversion"/>
  </si>
  <si>
    <t xml:space="preserve">累计</t>
    <phoneticPr fontId="1" type="noConversion"/>
  </si>
  <si>
    <t xml:space="preserve">折百产量(Kg)</t>
    <phoneticPr fontId="1" type="noConversion"/>
  </si>
  <si>
    <t xml:space="preserve">折百累计</t>
    <phoneticPr fontId="1" type="noConversion"/>
  </si>
  <si>
    <t xml:space="preserve">折百总累计</t>
    <phoneticPr fontId="1" type="noConversion"/>
  </si>
  <si>
    <t xml:space="preserve">羟基用量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</si>
  <si>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</si>
  <si>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</si>
  <si>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</si>
  <si>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</si>
  <si>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分类</t>
    <phoneticPr fontId="1" type="noConversion"/>
  </si>
  <si>
    <t xml:space="preserve">总收率天%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</si>
  <si>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</si>
  <si>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</si>
  <si>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Kg</t>
    <phoneticPr fontId="1" type="noConversion"/>
  </si>
  <si>
    <t xml:space="preserve">星期一</t>
    <phoneticPr fontId="1" type="noConversion"/>
  </si>
  <si>
    <t xml:space="preserve">一次结晶</t>
    <phoneticPr fontId="24" type="noConversion"/>
  </si>
  <si>
    <t xml:space="preserve">二次结晶</t>
    <phoneticPr fontId="24" type="noConversion"/>
  </si>
  <si>
    <t xml:space="preserve">总产量</t>
    <phoneticPr fontId="1" type="noConversion"/>
  </si>
  <si>
    <t xml:space="preserve">总折百</t>
    <phoneticPr fontId="1" type="noConversion"/>
  </si>
  <si>
    <t xml:space="preserve">2026-05-04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</si>
</sst>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9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1">
    <xf numFmtId="0" fontId="0" fillId="0" borderId="0"/>
  </cellStyleXfs>
  <cellXfs count="253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176" fontId="4" fillId="2" borderId="4" xfId="0" applyNumberFormat="1" applyFont="1" applyFill="1" applyBorder="1" applyAlignment="1">
      <alignment horizontal="center" vertical="center" wrapText="1"/>
    </xf>
    <xf numFmtId="176" fontId="4" fillId="0" borderId="47" xfId="0" applyNumberFormat="1" applyFont="1" applyBorder="1" applyAlignment="1">
      <alignment horizontal="center" vertical="center" wrapText="1"/>
    </xf>
    <xf numFmtId="176" fontId="4" fillId="0" borderId="5" xfId="0" applyNumberFormat="1" applyFont="1" applyBorder="1" applyAlignment="1">
      <alignment horizontal="center" vertical="center" wrapText="1"/>
    </xf>
    <xf numFmtId="176" fontId="4" fillId="2" borderId="12" xfId="0" applyNumberFormat="1" applyFont="1" applyFill="1" applyBorder="1" applyAlignment="1">
      <alignment horizontal="center" vertical="center" wrapText="1"/>
    </xf>
    <xf numFmtId="176" fontId="17" fillId="0" borderId="4" xfId="0" applyNumberFormat="1" applyFont="1" applyBorder="1" applyAlignment="1">
      <alignment horizontal="center" vertical="center" wrapText="1"/>
    </xf>
    <xf numFmtId="176" fontId="18" fillId="0" borderId="4" xfId="0" applyNumberFormat="1" applyFont="1" applyBorder="1" applyAlignment="1">
      <alignment horizontal="center" vertical="center" wrapText="1"/>
    </xf>
    <xf numFmtId="176" fontId="18" fillId="0" borderId="47" xfId="0" applyNumberFormat="1" applyFont="1" applyBorder="1" applyAlignment="1">
      <alignment horizontal="center" vertical="center" wrapText="1"/>
    </xf>
    <xf numFmtId="176" fontId="18" fillId="0" borderId="51" xfId="0" applyNumberFormat="1" applyFont="1" applyBorder="1" applyAlignment="1">
      <alignment horizontal="center" vertical="center" wrapText="1"/>
    </xf>
    <xf numFmtId="177" fontId="17" fillId="0" borderId="4" xfId="0" applyNumberFormat="1" applyFont="1" applyBorder="1" applyAlignment="1">
      <alignment horizontal="center" vertical="center" wrapText="1"/>
    </xf>
    <xf numFmtId="177" fontId="17" fillId="0" borderId="47" xfId="0" applyNumberFormat="1" applyFont="1" applyBorder="1" applyAlignment="1">
      <alignment horizontal="center" vertical="center" wrapText="1"/>
    </xf>
    <xf numFmtId="177" fontId="17" fillId="0" borderId="51" xfId="0" applyNumberFormat="1" applyFont="1" applyBorder="1" applyAlignment="1">
      <alignment horizontal="center" vertical="center" wrapText="1"/>
    </xf>
    <xf numFmtId="177" fontId="17" fillId="2" borderId="4" xfId="0" applyNumberFormat="1" applyFont="1" applyFill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4" fillId="0" borderId="47" xfId="0" applyNumberFormat="1" applyFont="1" applyBorder="1" applyAlignment="1">
      <alignment horizontal="center" vertical="center" wrapText="1"/>
    </xf>
    <xf numFmtId="177" fontId="4" fillId="0" borderId="41" xfId="0" applyNumberFormat="1" applyFont="1" applyBorder="1" applyAlignment="1">
      <alignment horizontal="center" vertical="center" wrapText="1"/>
    </xf>
    <xf numFmtId="177" fontId="4" fillId="0" borderId="11" xfId="0" applyNumberFormat="1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177" fontId="17" fillId="0" borderId="30" xfId="0" applyNumberFormat="1" applyFont="1" applyBorder="1" applyAlignment="1">
      <alignment horizontal="center" vertical="center" wrapText="1"/>
    </xf>
    <xf numFmtId="177" fontId="17" fillId="0" borderId="48" xfId="0" applyNumberFormat="1" applyFont="1" applyBorder="1" applyAlignment="1">
      <alignment horizontal="center" vertical="center" wrapText="1"/>
    </xf>
    <xf numFmtId="177" fontId="17" fillId="0" borderId="52" xfId="0" applyNumberFormat="1" applyFont="1" applyBorder="1" applyAlignment="1">
      <alignment horizontal="center" vertical="center" wrapText="1"/>
    </xf>
    <xf numFmtId="177" fontId="17" fillId="2" borderId="30" xfId="0" applyNumberFormat="1" applyFont="1" applyFill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48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17" fillId="0" borderId="12" xfId="0" applyNumberFormat="1" applyFont="1" applyBorder="1" applyAlignment="1">
      <alignment horizontal="center" vertical="center" wrapText="1"/>
    </xf>
    <xf numFmtId="177" fontId="18" fillId="0" borderId="4" xfId="0" applyNumberFormat="1" applyFont="1" applyBorder="1" applyAlignment="1">
      <alignment horizontal="center" vertical="center" wrapText="1"/>
    </xf>
    <xf numFmtId="177" fontId="4" fillId="2" borderId="4" xfId="0" applyNumberFormat="1" applyFont="1" applyFill="1" applyBorder="1" applyAlignment="1">
      <alignment horizontal="center" vertical="center" wrapText="1"/>
    </xf>
    <xf numFmtId="177" fontId="17" fillId="0" borderId="45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177" fontId="4" fillId="2" borderId="30" xfId="0" applyNumberFormat="1" applyFont="1" applyFill="1" applyBorder="1" applyAlignment="1">
      <alignment horizontal="center" vertical="center" wrapText="1"/>
    </xf>
    <xf numFmtId="177" fontId="4" fillId="0" borderId="57" xfId="0" applyNumberFormat="1" applyFont="1" applyBorder="1" applyAlignment="1">
      <alignment horizontal="center" vertical="center" wrapText="1"/>
    </xf>
    <xf numFmtId="177" fontId="4" fillId="0" borderId="39" xfId="0" applyNumberFormat="1" applyFont="1" applyBorder="1" applyAlignment="1">
      <alignment horizontal="center" vertical="center" wrapText="1"/>
    </xf>
    <xf numFmtId="177" fontId="4" fillId="0" borderId="31" xfId="0" applyNumberFormat="1" applyFont="1" applyBorder="1" applyAlignment="1">
      <alignment horizontal="center" vertical="center" wrapText="1"/>
    </xf>
    <xf numFmtId="177" fontId="18" fillId="0" borderId="47" xfId="0" applyNumberFormat="1" applyFont="1" applyBorder="1" applyAlignment="1">
      <alignment horizontal="center" vertical="center" wrapText="1"/>
    </xf>
    <xf numFmtId="177" fontId="18" fillId="0" borderId="51" xfId="0" applyNumberFormat="1" applyFont="1" applyBorder="1" applyAlignment="1">
      <alignment horizontal="center" vertical="center" wrapText="1"/>
    </xf>
    <xf numFmtId="177" fontId="4" fillId="2" borderId="12" xfId="0" applyNumberFormat="1" applyFont="1" applyFill="1" applyBorder="1" applyAlignment="1">
      <alignment horizontal="center" vertical="center" wrapText="1"/>
    </xf>
    <xf numFmtId="177" fontId="18" fillId="0" borderId="48" xfId="0" applyNumberFormat="1" applyFont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4" fillId="2" borderId="45" xfId="0" applyNumberFormat="1" applyFont="1" applyFill="1" applyBorder="1" applyAlignment="1">
      <alignment horizontal="center" vertical="center" wrapText="1"/>
    </xf>
    <xf numFmtId="0" fontId="20" fillId="3" borderId="61" xfId="0" applyFont="1" applyFill="1" applyBorder="1" applyAlignment="1">
      <alignment vertical="center"/>
    </xf>
    <xf numFmtId="0" fontId="20" fillId="3" borderId="62" xfId="0" applyFont="1" applyFill="1" applyBorder="1" applyAlignment="1">
      <alignment vertical="center"/>
    </xf>
    <xf numFmtId="0" fontId="20" fillId="3" borderId="62" xfId="0" applyFont="1" applyFill="1" applyBorder="1" applyAlignment="1">
      <alignment horizontal="right" vertical="center"/>
    </xf>
    <xf numFmtId="0" fontId="19" fillId="0" borderId="75" xfId="0" applyFont="1" applyBorder="1" applyAlignment="1">
      <alignment horizontal="center" vertical="center"/>
    </xf>
    <xf numFmtId="0" fontId="19" fillId="0" borderId="76" xfId="0" applyFont="1" applyBorder="1" applyAlignment="1">
      <alignment horizontal="center" vertical="center"/>
    </xf>
    <xf numFmtId="0" fontId="21" fillId="0" borderId="77" xfId="0" applyFont="1" applyBorder="1" applyAlignment="1">
      <alignment horizontal="left" vertical="center"/>
    </xf>
    <xf numFmtId="0" fontId="21" fillId="0" borderId="75" xfId="0" applyFont="1" applyBorder="1" applyAlignment="1">
      <alignment horizontal="center" vertical="center"/>
    </xf>
    <xf numFmtId="177" fontId="22" fillId="0" borderId="75" xfId="0" applyNumberFormat="1" applyFont="1" applyBorder="1" applyAlignment="1">
      <alignment horizontal="center" vertical="center"/>
    </xf>
    <xf numFmtId="177" fontId="16" fillId="0" borderId="75" xfId="0" applyNumberFormat="1" applyFont="1" applyBorder="1" applyAlignment="1">
      <alignment horizontal="center" vertical="center"/>
    </xf>
    <xf numFmtId="178" fontId="22" fillId="0" borderId="75" xfId="0" applyNumberFormat="1" applyFont="1" applyBorder="1" applyAlignment="1">
      <alignment horizontal="center" vertical="center"/>
    </xf>
    <xf numFmtId="178" fontId="22" fillId="0" borderId="72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75" xfId="0" applyFont="1" applyBorder="1" applyAlignment="1">
      <alignment horizontal="center" vertical="center"/>
    </xf>
    <xf numFmtId="0" fontId="21" fillId="0" borderId="75" xfId="0" quotePrefix="1" applyFont="1" applyBorder="1" applyAlignment="1">
      <alignment horizontal="center" vertical="center"/>
    </xf>
    <xf numFmtId="177" fontId="21" fillId="0" borderId="75" xfId="0" quotePrefix="1" applyNumberFormat="1" applyFont="1" applyBorder="1" applyAlignment="1">
      <alignment horizontal="center" vertical="center"/>
    </xf>
    <xf numFmtId="0" fontId="22" fillId="0" borderId="75" xfId="0" quotePrefix="1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177" fontId="22" fillId="0" borderId="81" xfId="0" applyNumberFormat="1" applyFont="1" applyBorder="1" applyAlignment="1">
      <alignment horizontal="center" vertical="center"/>
    </xf>
    <xf numFmtId="177" fontId="16" fillId="0" borderId="81" xfId="0" applyNumberFormat="1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75" xfId="0" applyFont="1" applyFill="1" applyBorder="1" applyAlignment="1">
      <alignment horizontal="center" vertical="center"/>
    </xf>
    <xf numFmtId="0" fontId="21" fillId="0" borderId="75" xfId="0" applyFont="1" applyBorder="1" applyAlignment="1">
      <alignment horizontal="center" vertical="center" wrapText="1"/>
    </xf>
    <xf numFmtId="179" fontId="21" fillId="5" borderId="75" xfId="0" applyNumberFormat="1" applyFont="1" applyFill="1" applyBorder="1" applyAlignment="1">
      <alignment vertical="center"/>
    </xf>
    <xf numFmtId="178" fontId="21" fillId="5" borderId="75" xfId="0" applyNumberFormat="1" applyFont="1" applyFill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21" fillId="0" borderId="75" xfId="0" applyFont="1" applyBorder="1" applyAlignment="1">
      <alignment horizontal="center" vertical="center"/>
    </xf>
    <xf numFmtId="0" fontId="21" fillId="0" borderId="78" xfId="0" applyFont="1" applyBorder="1" applyAlignment="1">
      <alignment horizontal="center" vertical="center"/>
    </xf>
    <xf numFmtId="0" fontId="21" fillId="0" borderId="79" xfId="0" applyFont="1" applyBorder="1" applyAlignment="1">
      <alignment horizontal="center" vertical="center"/>
    </xf>
    <xf numFmtId="0" fontId="21" fillId="0" borderId="80" xfId="0" applyFont="1" applyBorder="1" applyAlignment="1">
      <alignment horizontal="center" vertical="center"/>
    </xf>
    <xf numFmtId="0" fontId="19" fillId="3" borderId="71" xfId="0" applyFont="1" applyFill="1" applyBorder="1" applyAlignment="1">
      <alignment horizontal="center" vertical="center"/>
    </xf>
    <xf numFmtId="0" fontId="19" fillId="3" borderId="70" xfId="0" applyFont="1" applyFill="1" applyBorder="1" applyAlignment="1">
      <alignment horizontal="center" vertical="center"/>
    </xf>
    <xf numFmtId="0" fontId="19" fillId="3" borderId="69" xfId="0" applyFont="1" applyFill="1" applyBorder="1" applyAlignment="1">
      <alignment horizontal="center" vertical="center"/>
    </xf>
    <xf numFmtId="0" fontId="20" fillId="3" borderId="62" xfId="0" applyFont="1" applyFill="1" applyBorder="1" applyAlignment="1">
      <alignment horizontal="center" vertical="center"/>
    </xf>
    <xf numFmtId="0" fontId="20" fillId="3" borderId="65" xfId="0" applyFont="1" applyFill="1" applyBorder="1" applyAlignment="1">
      <alignment horizontal="center" vertical="center"/>
    </xf>
    <xf numFmtId="0" fontId="19" fillId="0" borderId="74" xfId="0" applyFont="1" applyBorder="1" applyAlignment="1">
      <alignment horizontal="center" vertical="center"/>
    </xf>
    <xf numFmtId="0" fontId="19" fillId="0" borderId="68" xfId="0" applyFont="1" applyBorder="1" applyAlignment="1">
      <alignment horizontal="center" vertical="center"/>
    </xf>
    <xf numFmtId="0" fontId="19" fillId="0" borderId="73" xfId="0" applyFont="1" applyBorder="1" applyAlignment="1">
      <alignment horizontal="center" vertical="center"/>
    </xf>
    <xf numFmtId="0" fontId="19" fillId="0" borderId="72" xfId="0" applyFont="1" applyBorder="1" applyAlignment="1">
      <alignment horizontal="center" vertical="center"/>
    </xf>
    <xf numFmtId="0" fontId="21" fillId="0" borderId="77" xfId="0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0" fontId="21" fillId="0" borderId="83" xfId="0" applyFont="1" applyBorder="1" applyAlignment="1">
      <alignment horizontal="center" vertical="center"/>
    </xf>
    <xf numFmtId="0" fontId="21" fillId="0" borderId="87" xfId="0" applyFont="1" applyBorder="1" applyAlignment="1">
      <alignment horizontal="center" vertical="center"/>
    </xf>
    <xf numFmtId="0" fontId="21" fillId="0" borderId="90" xfId="0" applyFont="1" applyBorder="1" applyAlignment="1">
      <alignment horizontal="center" vertical="center"/>
    </xf>
    <xf numFmtId="0" fontId="21" fillId="0" borderId="84" xfId="0" applyFont="1" applyBorder="1" applyAlignment="1">
      <alignment horizontal="center" vertical="center"/>
    </xf>
    <xf numFmtId="0" fontId="21" fillId="0" borderId="85" xfId="0" applyFont="1" applyBorder="1" applyAlignment="1">
      <alignment horizontal="center" vertical="center"/>
    </xf>
    <xf numFmtId="0" fontId="21" fillId="0" borderId="86" xfId="0" applyFont="1" applyBorder="1" applyAlignment="1">
      <alignment horizontal="center" vertical="center"/>
    </xf>
    <xf numFmtId="0" fontId="21" fillId="0" borderId="88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89" xfId="0" applyFont="1" applyBorder="1" applyAlignment="1">
      <alignment horizontal="center" vertical="center"/>
    </xf>
    <xf numFmtId="0" fontId="21" fillId="0" borderId="91" xfId="0" applyFont="1" applyBorder="1" applyAlignment="1">
      <alignment horizontal="center" vertical="center"/>
    </xf>
    <xf numFmtId="0" fontId="21" fillId="0" borderId="92" xfId="0" applyFont="1" applyBorder="1" applyAlignment="1">
      <alignment horizontal="center" vertical="center"/>
    </xf>
    <xf numFmtId="0" fontId="21" fillId="0" borderId="93" xfId="0" applyFont="1" applyBorder="1" applyAlignment="1">
      <alignment horizontal="center" vertical="center"/>
    </xf>
    <xf numFmtId="0" fontId="23" fillId="0" borderId="72" xfId="0" applyFont="1" applyBorder="1" applyAlignment="1">
      <alignment horizontal="center" vertical="center"/>
    </xf>
    <xf numFmtId="0" fontId="23" fillId="0" borderId="68" xfId="0" applyFont="1" applyBorder="1" applyAlignment="1">
      <alignment horizontal="center" vertical="center"/>
    </xf>
    <xf numFmtId="0" fontId="23" fillId="0" borderId="73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5" borderId="75" xfId="0" applyFont="1" applyFill="1" applyBorder="1" applyAlignment="1">
      <alignment horizontal="center" vertical="center"/>
    </xf>
    <xf numFmtId="180" fontId="21" fillId="5" borderId="75" xfId="0" applyNumberFormat="1" applyFont="1" applyFill="1" applyBorder="1" applyAlignment="1">
      <alignment horizontal="center" vertical="center"/>
    </xf>
    <xf numFmtId="178" fontId="21" fillId="5" borderId="75" xfId="0" applyNumberFormat="1" applyFont="1" applyFill="1" applyBorder="1" applyAlignment="1">
      <alignment horizontal="center" vertical="center"/>
    </xf>
    <xf numFmtId="0" fontId="21" fillId="5" borderId="75" xfId="0" applyFont="1" applyFill="1" applyBorder="1" applyAlignment="1">
      <alignment horizontal="center" vertical="center"/>
    </xf>
  </cellXfs>
  <cellStyles count="1">
    <cellStyle name="常规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sharedStrings" Target="sharedStrings.xml" /><Relationship Id="rId11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externalLink" Target="externalLinks/externalLink1.xml" /><Relationship Id="rId8" Type="http://schemas.openxmlformats.org/officeDocument/2006/relationships/theme" Target="theme/theme1.xml" /><Relationship Id="rId9" Type="http://schemas.openxmlformats.org/officeDocument/2006/relationships/styles" Target="styles.xml" /></Relationships>
</file>

<file path=xl/externalLinks/_rels/externalLink1.xml.rels>&#65279;<?xml version="1.0" encoding="utf-8"?><Relationships xmlns="http://schemas.openxmlformats.org/package/2006/relationships"><Relationship Id="rId1" Type="http://schemas.openxmlformats.org/officeDocument/2006/relationships/externalLinkPath" TargetMode="External" Target="/Users/caoping/Documents/xwechat_files/wxid_2926589266112_ac06/msg/file/2026-05/&#20135;&#37327;&#21488;&#36134;2025.12-2026.12%20(2).xlsx" /><Relationship Id="rId2" Type="http://schemas.openxmlformats.org/officeDocument/2006/relationships/externalLinkPath" TargetMode="External" Target="file:///C:/Users/caoping/Documents/xwechat_files/wxid_2926589266112_ac06/msg/file/2026-05/&#20135;&#37327;&#21488;&#36134;2025.12-2026.12%20(2).xlsx" /></Relationships>
</file>

<file path=xl/externalLinks/externalLink1.xml><?xml version="1.0" encoding="utf-8"?>
<externalLin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mc:Ignorable="x14">
  <externalBook r:id="rId1">
    <sheetNames>
      <sheetName val="2025.12月 "/>
      <sheetName val="Chart1"/>
      <sheetName val="一月"/>
      <sheetName val="二月"/>
      <sheetName val="三月 "/>
      <sheetName val="四月 "/>
      <sheetName val="五月 "/>
      <sheetName val="6月 "/>
      <sheetName val="7月 "/>
      <sheetName val="8月 "/>
      <sheetName val="9月"/>
      <sheetName val="10月 "/>
      <sheetName val="11月 "/>
      <sheetName val="2026.12月 "/>
      <sheetName val="Sheet12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B2" sqref="B2:AR2"/>
    </sheetView>
  </sheetViews>
  <sheetFormatPr defaultRowHeight="8" x14ac:dyDescent="0.25"/>
  <cols>
    <col min="1" max="1" width="0.453125" style="6" customWidth="1"/>
    <col min="2" max="2" width="3.453125" style="6" bestFit="1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50" t="s">
        <v>227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151"/>
      <c r="AI2" s="151"/>
      <c r="AJ2" s="151"/>
      <c r="AK2" s="151"/>
      <c r="AL2" s="151"/>
      <c r="AM2" s="151"/>
      <c r="AN2" s="151"/>
      <c r="AO2" s="151"/>
      <c r="AP2" s="151"/>
      <c r="AQ2" s="151"/>
      <c r="AR2" s="151"/>
    </row>
    <row r="3" spans="2:47" ht="20.15" customHeight="1" x14ac:dyDescent="0.25">
      <c r="B3" s="152" t="s">
        <v>181</v>
      </c>
      <c r="C3" s="110" t="s">
        <v>163</v>
      </c>
      <c r="D3" s="160"/>
      <c r="E3" s="160"/>
      <c r="F3" s="160"/>
      <c r="G3" s="160"/>
      <c r="H3" s="161"/>
      <c r="I3" s="164" t="s">
        <v>8</v>
      </c>
      <c r="J3" s="160"/>
      <c r="K3" s="160"/>
      <c r="L3" s="160"/>
      <c r="M3" s="160"/>
      <c r="N3" s="160"/>
      <c r="O3" s="160"/>
      <c r="P3" s="165"/>
      <c r="Q3" s="110" t="s">
        <v>77</v>
      </c>
      <c r="R3" s="160"/>
      <c r="S3" s="165"/>
      <c r="T3" s="110" t="s">
        <v>10</v>
      </c>
      <c r="U3" s="160"/>
      <c r="V3" s="160"/>
      <c r="W3" s="165"/>
      <c r="X3" s="110" t="s">
        <v>80</v>
      </c>
      <c r="Y3" s="111"/>
      <c r="Z3" s="110" t="s">
        <v>11</v>
      </c>
      <c r="AA3" s="111"/>
      <c r="AB3" s="13" t="s">
        <v>13</v>
      </c>
      <c r="AC3" s="110" t="s">
        <v>14</v>
      </c>
      <c r="AD3" s="111"/>
      <c r="AE3" s="114" t="s">
        <v>88</v>
      </c>
      <c r="AF3" s="115"/>
      <c r="AG3" s="115"/>
      <c r="AH3" s="115"/>
      <c r="AI3" s="115"/>
      <c r="AJ3" s="115"/>
      <c r="AK3" s="116"/>
      <c r="AL3" s="110" t="s">
        <v>18</v>
      </c>
      <c r="AM3" s="156"/>
      <c r="AN3" s="157"/>
      <c r="AO3" s="156" t="s">
        <v>16</v>
      </c>
      <c r="AP3" s="156"/>
      <c r="AQ3" s="156"/>
      <c r="AR3" s="159"/>
    </row>
    <row r="4" spans="2:47" ht="30" customHeight="1" x14ac:dyDescent="0.25">
      <c r="B4" s="153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62" t="s">
        <v>62</v>
      </c>
      <c r="J4" s="163"/>
      <c r="K4" s="3" t="s">
        <v>6</v>
      </c>
      <c r="L4" s="3" t="s">
        <v>66</v>
      </c>
      <c r="M4" s="3" t="s">
        <v>164</v>
      </c>
      <c r="N4" s="3" t="s">
        <v>165</v>
      </c>
      <c r="O4" s="117" t="s">
        <v>7</v>
      </c>
      <c r="P4" s="118"/>
      <c r="Q4" s="155" t="s">
        <v>71</v>
      </c>
      <c r="R4" s="118"/>
      <c r="S4" s="3" t="s">
        <v>51</v>
      </c>
      <c r="T4" s="3" t="s">
        <v>75</v>
      </c>
      <c r="U4" s="155" t="s">
        <v>78</v>
      </c>
      <c r="V4" s="118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12" t="s">
        <v>89</v>
      </c>
      <c r="AF4" s="113"/>
      <c r="AG4" s="112" t="s">
        <v>92</v>
      </c>
      <c r="AH4" s="113"/>
      <c r="AI4" s="10" t="s">
        <v>166</v>
      </c>
      <c r="AJ4" s="10" t="s">
        <v>167</v>
      </c>
      <c r="AK4" s="11" t="s">
        <v>115</v>
      </c>
      <c r="AL4" s="155" t="s">
        <v>110</v>
      </c>
      <c r="AM4" s="118"/>
      <c r="AN4" s="29" t="s">
        <v>111</v>
      </c>
      <c r="AO4" s="26" t="s">
        <v>12</v>
      </c>
      <c r="AP4" s="3" t="s">
        <v>1</v>
      </c>
      <c r="AQ4" s="131" t="s">
        <v>161</v>
      </c>
      <c r="AR4" s="158"/>
      <c r="AU4" s="20"/>
    </row>
    <row r="5" spans="2:47" ht="20.15" customHeight="1" x14ac:dyDescent="0.25">
      <c r="B5" s="154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289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>
        <v>14.54355</v>
      </c>
      <c r="C6" s="54">
        <v>18.27257</v>
      </c>
      <c r="D6" s="54">
        <v>417.3956</v>
      </c>
      <c r="E6" s="54"/>
      <c r="F6" s="54"/>
      <c r="G6" s="54">
        <v>416.3064</v>
      </c>
      <c r="H6" s="55">
        <v>29.24262</v>
      </c>
      <c r="I6" s="56"/>
      <c r="J6" s="54">
        <v>41.26157</v>
      </c>
      <c r="K6" s="54">
        <v>1.321705</v>
      </c>
      <c r="L6" s="54">
        <v>111.5289</v>
      </c>
      <c r="M6" s="54">
        <v>112.6374</v>
      </c>
      <c r="N6" s="54">
        <v>20.22061</v>
      </c>
      <c r="O6" s="54"/>
      <c r="P6" s="54"/>
      <c r="Q6" s="54"/>
      <c r="R6" s="54">
        <v>139.294</v>
      </c>
      <c r="S6" s="54">
        <v>1.607838</v>
      </c>
      <c r="T6" s="54">
        <v>0.2995966</v>
      </c>
      <c r="U6" s="54"/>
      <c r="V6" s="54">
        <v>90.56713</v>
      </c>
      <c r="W6" s="54">
        <v>0.5306354</v>
      </c>
      <c r="X6" s="54"/>
      <c r="Y6" s="54">
        <v>0.7369213</v>
      </c>
      <c r="Z6" s="54">
        <v>149.6745</v>
      </c>
      <c r="AA6" s="54">
        <v>162.4421</v>
      </c>
      <c r="AB6" s="54">
        <v>0.424877</v>
      </c>
      <c r="AC6" s="54">
        <v>154.4415</v>
      </c>
      <c r="AD6" s="54">
        <v>33.29</v>
      </c>
      <c r="AE6" s="57">
        <v>33.49</v>
      </c>
      <c r="AF6" s="57">
        <v>33.59</v>
      </c>
      <c r="AG6" s="57">
        <v>10.97</v>
      </c>
      <c r="AH6" s="57">
        <v>33.69</v>
      </c>
      <c r="AI6" s="57">
        <v>33.79</v>
      </c>
      <c r="AJ6" s="57">
        <v>6.93</v>
      </c>
      <c r="AK6" s="57">
        <v>35.99899</v>
      </c>
      <c r="AL6" s="54"/>
      <c r="AM6" s="58">
        <v>60.92303</v>
      </c>
      <c r="AN6" s="59"/>
      <c r="AO6" s="60">
        <v>-79.62963</v>
      </c>
      <c r="AP6" s="61">
        <v>0.2918837</v>
      </c>
      <c r="AQ6" s="61"/>
      <c r="AR6" s="62"/>
    </row>
    <row r="7" spans="2:47" ht="13.5" customHeight="1" x14ac:dyDescent="0.25">
      <c r="B7" s="14">
        <v>10.55773</v>
      </c>
      <c r="C7" s="54">
        <v>18.83138</v>
      </c>
      <c r="D7" s="54">
        <v>416.4628</v>
      </c>
      <c r="E7" s="54">
        <v>0.1444609</v>
      </c>
      <c r="F7" s="54">
        <v>0</v>
      </c>
      <c r="G7" s="54">
        <v>416.9941</v>
      </c>
      <c r="H7" s="55">
        <v>22.50796</v>
      </c>
      <c r="I7" s="56">
        <v>0.01988623</v>
      </c>
      <c r="J7" s="54">
        <v>40.66117</v>
      </c>
      <c r="K7" s="54">
        <v>1.293764</v>
      </c>
      <c r="L7" s="54">
        <v>107.9481</v>
      </c>
      <c r="M7" s="54">
        <v>112.4204</v>
      </c>
      <c r="N7" s="54">
        <v>20.28074</v>
      </c>
      <c r="O7" s="54">
        <v>20.17236</v>
      </c>
      <c r="P7" s="54"/>
      <c r="Q7" s="54">
        <v>2.623779</v>
      </c>
      <c r="R7" s="54">
        <v>139.605</v>
      </c>
      <c r="S7" s="54">
        <v>1.60885</v>
      </c>
      <c r="T7" s="54">
        <v>0.3023645</v>
      </c>
      <c r="U7" s="54">
        <v>0.2999922</v>
      </c>
      <c r="V7" s="54">
        <v>90.01736</v>
      </c>
      <c r="W7" s="54">
        <v>0.5306261</v>
      </c>
      <c r="X7" s="54"/>
      <c r="Y7" s="54">
        <v>0.723669</v>
      </c>
      <c r="Z7" s="54">
        <v>149.5009</v>
      </c>
      <c r="AA7" s="54">
        <v>162.1889</v>
      </c>
      <c r="AB7" s="54">
        <v>0.3630281</v>
      </c>
      <c r="AC7" s="54">
        <v>154.1233</v>
      </c>
      <c r="AD7" s="54"/>
      <c r="AE7" s="57"/>
      <c r="AF7" s="57"/>
      <c r="AG7" s="57"/>
      <c r="AH7" s="57"/>
      <c r="AI7" s="57"/>
      <c r="AJ7" s="57"/>
      <c r="AK7" s="57">
        <v>0</v>
      </c>
      <c r="AL7" s="54">
        <v>0.02122412</v>
      </c>
      <c r="AM7" s="58">
        <v>58.71672</v>
      </c>
      <c r="AN7" s="59"/>
      <c r="AO7" s="60">
        <v>-79.50665</v>
      </c>
      <c r="AP7" s="61">
        <v>0.2889902</v>
      </c>
      <c r="AQ7" s="61">
        <v>0.000291893</v>
      </c>
      <c r="AR7" s="62"/>
    </row>
    <row r="8" spans="2:47" ht="13.5" customHeight="1" x14ac:dyDescent="0.25">
      <c r="B8" s="14">
        <v>11.62471</v>
      </c>
      <c r="C8" s="54">
        <v>19.58008</v>
      </c>
      <c r="D8" s="54">
        <v>416.8112</v>
      </c>
      <c r="E8" s="54">
        <v>0.3365547</v>
      </c>
      <c r="F8" s="54">
        <v>0</v>
      </c>
      <c r="G8" s="54">
        <v>417.4916</v>
      </c>
      <c r="H8" s="55">
        <v>23.01432</v>
      </c>
      <c r="I8" s="56">
        <v>0.01980322</v>
      </c>
      <c r="J8" s="54">
        <v>42.44791</v>
      </c>
      <c r="K8" s="54">
        <v>1.378309</v>
      </c>
      <c r="L8" s="54">
        <v>108.0132</v>
      </c>
      <c r="M8" s="54">
        <v>111.1907</v>
      </c>
      <c r="N8" s="54">
        <v>20.34541</v>
      </c>
      <c r="O8" s="54">
        <v>20.1709</v>
      </c>
      <c r="P8" s="54"/>
      <c r="Q8" s="54">
        <v>2.594788</v>
      </c>
      <c r="R8" s="54">
        <v>139.3302</v>
      </c>
      <c r="S8" s="54">
        <v>1.605812</v>
      </c>
      <c r="T8" s="54">
        <v>0.2986709</v>
      </c>
      <c r="U8" s="54">
        <v>0.2999609</v>
      </c>
      <c r="V8" s="54">
        <v>90.37182</v>
      </c>
      <c r="W8" s="54">
        <v>0.5286146</v>
      </c>
      <c r="X8" s="54"/>
      <c r="Y8" s="54">
        <v>0.7423033</v>
      </c>
      <c r="Z8" s="54">
        <v>149.1319</v>
      </c>
      <c r="AA8" s="54">
        <v>162.2758</v>
      </c>
      <c r="AB8" s="54">
        <v>0.3486328</v>
      </c>
      <c r="AC8" s="54">
        <v>154.6152</v>
      </c>
      <c r="AD8" s="54"/>
      <c r="AE8" s="57"/>
      <c r="AF8" s="57"/>
      <c r="AG8" s="57"/>
      <c r="AH8" s="57"/>
      <c r="AI8" s="57"/>
      <c r="AJ8" s="57"/>
      <c r="AK8" s="57">
        <v>28.39988</v>
      </c>
      <c r="AL8" s="54">
        <v>0.01723389</v>
      </c>
      <c r="AM8" s="58">
        <v>57.16146</v>
      </c>
      <c r="AN8" s="59"/>
      <c r="AO8" s="60">
        <v>-79.53559</v>
      </c>
      <c r="AP8" s="61">
        <v>0.2955006</v>
      </c>
      <c r="AQ8" s="61">
        <v>0.0002917404</v>
      </c>
      <c r="AR8" s="62"/>
    </row>
    <row r="9" spans="2:47" ht="13.5" customHeight="1" x14ac:dyDescent="0.25">
      <c r="B9" s="14">
        <v>12.51085</v>
      </c>
      <c r="C9" s="54">
        <v>20.39388</v>
      </c>
      <c r="D9" s="54">
        <v>417.5485</v>
      </c>
      <c r="E9" s="54">
        <v>0.3371015</v>
      </c>
      <c r="F9" s="54">
        <v>0</v>
      </c>
      <c r="G9" s="54">
        <v>417.7165</v>
      </c>
      <c r="H9" s="55">
        <v>19.92549</v>
      </c>
      <c r="I9" s="56">
        <v>0.01993603</v>
      </c>
      <c r="J9" s="54">
        <v>44.59635</v>
      </c>
      <c r="K9" s="54">
        <v>1.457339</v>
      </c>
      <c r="L9" s="54">
        <v>109.4455</v>
      </c>
      <c r="M9" s="54">
        <v>110.6916</v>
      </c>
      <c r="N9" s="54">
        <v>20.10741</v>
      </c>
      <c r="O9" s="54">
        <v>20.17578</v>
      </c>
      <c r="P9" s="54"/>
      <c r="Q9" s="54">
        <v>2.612427</v>
      </c>
      <c r="R9" s="54">
        <v>139.4459</v>
      </c>
      <c r="S9" s="54">
        <v>1.606572</v>
      </c>
      <c r="T9" s="54">
        <v>0.2984598</v>
      </c>
      <c r="U9" s="54">
        <v>0.2999844</v>
      </c>
      <c r="V9" s="54">
        <v>90.50202</v>
      </c>
      <c r="W9" s="54">
        <v>0.5308618</v>
      </c>
      <c r="X9" s="54"/>
      <c r="Y9" s="54">
        <v>0.7456598</v>
      </c>
      <c r="Z9" s="54">
        <v>150.0217</v>
      </c>
      <c r="AA9" s="54">
        <v>162.4132</v>
      </c>
      <c r="AB9" s="54">
        <v>0.3874421</v>
      </c>
      <c r="AC9" s="54">
        <v>154.6875</v>
      </c>
      <c r="AD9" s="54"/>
      <c r="AE9" s="57"/>
      <c r="AF9" s="57"/>
      <c r="AG9" s="57"/>
      <c r="AH9" s="57"/>
      <c r="AI9" s="57"/>
      <c r="AJ9" s="57"/>
      <c r="AK9" s="57">
        <v>4.871962</v>
      </c>
      <c r="AL9" s="54">
        <v>0.01744385</v>
      </c>
      <c r="AM9" s="58">
        <v>55.29514</v>
      </c>
      <c r="AN9" s="59"/>
      <c r="AO9" s="60">
        <v>-79.5573</v>
      </c>
      <c r="AP9" s="61">
        <v>0.2932581</v>
      </c>
      <c r="AQ9" s="61">
        <v>0.0002919312</v>
      </c>
      <c r="AR9" s="62"/>
    </row>
    <row r="10" spans="2:47" ht="13.5" customHeight="1" x14ac:dyDescent="0.25">
      <c r="B10" s="14">
        <v>13.7623</v>
      </c>
      <c r="C10" s="54">
        <v>21.03407</v>
      </c>
      <c r="D10" s="54">
        <v>418.9635</v>
      </c>
      <c r="E10" s="54">
        <v>0.3372656</v>
      </c>
      <c r="F10" s="54">
        <v>0</v>
      </c>
      <c r="G10" s="54">
        <v>418.5357</v>
      </c>
      <c r="H10" s="55">
        <v>0</v>
      </c>
      <c r="I10" s="56">
        <v>0.01885303</v>
      </c>
      <c r="J10" s="54">
        <v>40.625</v>
      </c>
      <c r="K10" s="54">
        <v>1.323061</v>
      </c>
      <c r="L10" s="54">
        <v>106.9227</v>
      </c>
      <c r="M10" s="54">
        <v>108.261</v>
      </c>
      <c r="N10" s="54">
        <v>20.24608</v>
      </c>
      <c r="O10" s="54">
        <v>20.17578</v>
      </c>
      <c r="P10" s="54"/>
      <c r="Q10" s="54">
        <v>2.645752</v>
      </c>
      <c r="R10" s="54">
        <v>139.5399</v>
      </c>
      <c r="S10" s="54">
        <v>1.606319</v>
      </c>
      <c r="T10" s="54">
        <v>0.2993254</v>
      </c>
      <c r="U10" s="54">
        <v>0.3001406</v>
      </c>
      <c r="V10" s="54">
        <v>90.625</v>
      </c>
      <c r="W10" s="54">
        <v>0.5288319</v>
      </c>
      <c r="X10" s="54"/>
      <c r="Y10" s="54">
        <v>0.7333912</v>
      </c>
      <c r="Z10" s="54">
        <v>150.1736</v>
      </c>
      <c r="AA10" s="54">
        <v>162.5145</v>
      </c>
      <c r="AB10" s="54">
        <v>0.3802807</v>
      </c>
      <c r="AC10" s="54">
        <v>154.8828</v>
      </c>
      <c r="AD10" s="54"/>
      <c r="AE10" s="57"/>
      <c r="AF10" s="57"/>
      <c r="AG10" s="57"/>
      <c r="AH10" s="57"/>
      <c r="AI10" s="57"/>
      <c r="AJ10" s="57"/>
      <c r="AK10" s="57">
        <v>16.21094</v>
      </c>
      <c r="AL10" s="54">
        <v>0.01470703</v>
      </c>
      <c r="AM10" s="58">
        <v>52.72714</v>
      </c>
      <c r="AN10" s="59"/>
      <c r="AO10" s="60">
        <v>-79.67303</v>
      </c>
      <c r="AP10" s="61">
        <v>0.2905093</v>
      </c>
      <c r="AQ10" s="61">
        <v>0.0002953644</v>
      </c>
      <c r="AR10" s="62"/>
    </row>
    <row r="11" spans="2:47" ht="13.5" customHeight="1" x14ac:dyDescent="0.25">
      <c r="B11" s="14">
        <v>12.89062</v>
      </c>
      <c r="C11" s="54">
        <v>21.26194</v>
      </c>
      <c r="D11" s="54">
        <v>418.7311</v>
      </c>
      <c r="E11" s="54">
        <v>0.2580625</v>
      </c>
      <c r="F11" s="54">
        <v>0</v>
      </c>
      <c r="G11" s="54">
        <v>419.4599</v>
      </c>
      <c r="H11" s="55">
        <v>22.25477</v>
      </c>
      <c r="I11" s="56">
        <v>0.01987695</v>
      </c>
      <c r="J11" s="54">
        <v>44.71933</v>
      </c>
      <c r="K11" s="54">
        <v>1.453089</v>
      </c>
      <c r="L11" s="54">
        <v>110.2593</v>
      </c>
      <c r="M11" s="54">
        <v>111.7404</v>
      </c>
      <c r="N11" s="54">
        <v>20.43852</v>
      </c>
      <c r="O11" s="54">
        <v>20.17725</v>
      </c>
      <c r="P11" s="54"/>
      <c r="Q11" s="54">
        <v>2.62146</v>
      </c>
      <c r="R11" s="54">
        <v>139.4314</v>
      </c>
      <c r="S11" s="54">
        <v>1.606572</v>
      </c>
      <c r="T11" s="54">
        <v>0.3011974</v>
      </c>
      <c r="U11" s="54">
        <v>0.2999922</v>
      </c>
      <c r="V11" s="54">
        <v>90.43692</v>
      </c>
      <c r="W11" s="54">
        <v>0.5285481</v>
      </c>
      <c r="X11" s="54"/>
      <c r="Y11" s="54">
        <v>0.7301505</v>
      </c>
      <c r="Z11" s="54">
        <v>149.783</v>
      </c>
      <c r="AA11" s="54">
        <v>162.6953</v>
      </c>
      <c r="AB11" s="54">
        <v>0.3689598</v>
      </c>
      <c r="AC11" s="54">
        <v>154.8105</v>
      </c>
      <c r="AD11" s="54"/>
      <c r="AE11" s="57"/>
      <c r="AF11" s="57"/>
      <c r="AG11" s="57"/>
      <c r="AH11" s="57"/>
      <c r="AI11" s="57"/>
      <c r="AJ11" s="57"/>
      <c r="AK11" s="57">
        <v>0</v>
      </c>
      <c r="AL11" s="54">
        <v>0.01306396</v>
      </c>
      <c r="AM11" s="58">
        <v>51.46123</v>
      </c>
      <c r="AN11" s="59"/>
      <c r="AO11" s="60">
        <v>-79.69473</v>
      </c>
      <c r="AP11" s="61">
        <v>0.291522</v>
      </c>
      <c r="AQ11" s="61">
        <v>0.0002935486</v>
      </c>
      <c r="AR11" s="62"/>
    </row>
    <row r="12" spans="2:47" ht="13.5" customHeight="1" x14ac:dyDescent="0.25">
      <c r="B12" s="14">
        <v>10.7458</v>
      </c>
      <c r="C12" s="54">
        <v>22.08659</v>
      </c>
      <c r="D12" s="54">
        <v>418.6817</v>
      </c>
      <c r="E12" s="54">
        <v>0.2149297</v>
      </c>
      <c r="F12" s="54">
        <v>0</v>
      </c>
      <c r="G12" s="54">
        <v>419.8551</v>
      </c>
      <c r="H12" s="55">
        <v>24.25492</v>
      </c>
      <c r="I12" s="56">
        <v>0.01984033</v>
      </c>
      <c r="J12" s="54">
        <v>42.55642</v>
      </c>
      <c r="K12" s="54">
        <v>1.370714</v>
      </c>
      <c r="L12" s="54">
        <v>109.6897</v>
      </c>
      <c r="M12" s="54">
        <v>108.1091</v>
      </c>
      <c r="N12" s="54">
        <v>19.92199</v>
      </c>
      <c r="O12" s="54">
        <v>20.1543</v>
      </c>
      <c r="P12" s="54"/>
      <c r="Q12" s="54">
        <v>2.596252</v>
      </c>
      <c r="R12" s="54">
        <v>139.511</v>
      </c>
      <c r="S12" s="54">
        <v>1.605306</v>
      </c>
      <c r="T12" s="54">
        <v>0.3000049</v>
      </c>
      <c r="U12" s="54">
        <v>0.2997813</v>
      </c>
      <c r="V12" s="54">
        <v>90.58883</v>
      </c>
      <c r="W12" s="54">
        <v>0.5307188</v>
      </c>
      <c r="X12" s="54"/>
      <c r="Y12" s="54">
        <v>0.7432871</v>
      </c>
      <c r="Z12" s="54">
        <v>150.7378</v>
      </c>
      <c r="AA12" s="54">
        <v>162.8327</v>
      </c>
      <c r="AB12" s="54">
        <v>0.4794922</v>
      </c>
      <c r="AC12" s="54">
        <v>155.3024</v>
      </c>
      <c r="AD12" s="54"/>
      <c r="AE12" s="57"/>
      <c r="AF12" s="57"/>
      <c r="AG12" s="57"/>
      <c r="AH12" s="57"/>
      <c r="AI12" s="57"/>
      <c r="AJ12" s="57"/>
      <c r="AK12" s="57">
        <v>1.027199</v>
      </c>
      <c r="AL12" s="54">
        <v>0.01145361</v>
      </c>
      <c r="AM12" s="58">
        <v>49.60938</v>
      </c>
      <c r="AN12" s="59"/>
      <c r="AO12" s="60">
        <v>-79.89728</v>
      </c>
      <c r="AP12" s="61">
        <v>0.2961516</v>
      </c>
      <c r="AQ12" s="61">
        <v>0.0002947311</v>
      </c>
      <c r="AR12" s="62"/>
    </row>
    <row r="13" spans="2:47" ht="13.5" customHeight="1" x14ac:dyDescent="0.25">
      <c r="B13" s="14">
        <v>11.70428</v>
      </c>
      <c r="C13" s="54">
        <v>22.30903</v>
      </c>
      <c r="D13" s="54">
        <v>418.7147</v>
      </c>
      <c r="E13" s="54">
        <v>0.3385938</v>
      </c>
      <c r="F13" s="54">
        <v>0</v>
      </c>
      <c r="G13" s="54">
        <v>420.2417</v>
      </c>
      <c r="H13" s="55">
        <v>21.84968</v>
      </c>
      <c r="I13" s="56">
        <v>0.01991113</v>
      </c>
      <c r="J13" s="54">
        <v>43.22916</v>
      </c>
      <c r="K13" s="54">
        <v>1.396937</v>
      </c>
      <c r="L13" s="54">
        <v>106.8305</v>
      </c>
      <c r="M13" s="54">
        <v>108.7312</v>
      </c>
      <c r="N13" s="54">
        <v>20.18011</v>
      </c>
      <c r="O13" s="54">
        <v>20.16699</v>
      </c>
      <c r="P13" s="54"/>
      <c r="Q13" s="54">
        <v>2.603333</v>
      </c>
      <c r="R13" s="54">
        <v>139.7569</v>
      </c>
      <c r="S13" s="54">
        <v>1.605812</v>
      </c>
      <c r="T13" s="54">
        <v>0.2990141</v>
      </c>
      <c r="U13" s="54">
        <v>0.2998672</v>
      </c>
      <c r="V13" s="54">
        <v>91.01562</v>
      </c>
      <c r="W13" s="54">
        <v>0.5303102</v>
      </c>
      <c r="X13" s="54"/>
      <c r="Y13" s="54">
        <v>0.7396412</v>
      </c>
      <c r="Z13" s="54">
        <v>151.8952</v>
      </c>
      <c r="AA13" s="54">
        <v>162.8979</v>
      </c>
      <c r="AB13" s="54">
        <v>0.3671875</v>
      </c>
      <c r="AC13" s="54">
        <v>155.1143</v>
      </c>
      <c r="AD13" s="54"/>
      <c r="AE13" s="57"/>
      <c r="AF13" s="57"/>
      <c r="AG13" s="57"/>
      <c r="AH13" s="57"/>
      <c r="AI13" s="57"/>
      <c r="AJ13" s="57"/>
      <c r="AK13" s="57">
        <v>1.558883</v>
      </c>
      <c r="AL13" s="54">
        <v>0.009480957</v>
      </c>
      <c r="AM13" s="58">
        <v>47.90582</v>
      </c>
      <c r="AN13" s="59"/>
      <c r="AO13" s="60">
        <v>-80.07089</v>
      </c>
      <c r="AP13" s="61">
        <v>0.302445</v>
      </c>
      <c r="AQ13" s="61">
        <v>0.0002932816</v>
      </c>
      <c r="AR13" s="62"/>
    </row>
    <row r="14" spans="2:47" ht="13.5" customHeight="1" x14ac:dyDescent="0.25">
      <c r="B14" s="14">
        <v>12.62297</v>
      </c>
      <c r="C14" s="54">
        <v>22.25478</v>
      </c>
      <c r="D14" s="54">
        <v>418.876</v>
      </c>
      <c r="E14" s="54">
        <v>0.3381406</v>
      </c>
      <c r="F14" s="54">
        <v>0</v>
      </c>
      <c r="G14" s="54">
        <v>420.515</v>
      </c>
      <c r="H14" s="55">
        <v>23.52069</v>
      </c>
      <c r="I14" s="56">
        <v>0.01979346</v>
      </c>
      <c r="J14" s="54">
        <v>43.7934</v>
      </c>
      <c r="K14" s="54">
        <v>1.415835</v>
      </c>
      <c r="L14" s="54">
        <v>103.9442</v>
      </c>
      <c r="M14" s="54">
        <v>107.2049</v>
      </c>
      <c r="N14" s="54">
        <v>20.25262</v>
      </c>
      <c r="O14" s="54">
        <v>20.18896</v>
      </c>
      <c r="P14" s="54"/>
      <c r="Q14" s="54">
        <v>2.62085</v>
      </c>
      <c r="R14" s="54">
        <v>139.5472</v>
      </c>
      <c r="S14" s="54">
        <v>1.603534</v>
      </c>
      <c r="T14" s="54">
        <v>0.2992622</v>
      </c>
      <c r="U14" s="54">
        <v>0.3001875</v>
      </c>
      <c r="V14" s="54">
        <v>90.06076</v>
      </c>
      <c r="W14" s="54">
        <v>0.532937</v>
      </c>
      <c r="X14" s="54"/>
      <c r="Y14" s="54">
        <v>0.7303241</v>
      </c>
      <c r="Z14" s="54">
        <v>149.754</v>
      </c>
      <c r="AA14" s="54">
        <v>162.7025</v>
      </c>
      <c r="AB14" s="54">
        <v>0.408818</v>
      </c>
      <c r="AC14" s="54">
        <v>155.0926</v>
      </c>
      <c r="AD14" s="54"/>
      <c r="AE14" s="57"/>
      <c r="AF14" s="57"/>
      <c r="AG14" s="57"/>
      <c r="AH14" s="57"/>
      <c r="AI14" s="57"/>
      <c r="AJ14" s="57"/>
      <c r="AK14" s="57">
        <v>12.56149</v>
      </c>
      <c r="AL14" s="54">
        <v>0.007887207</v>
      </c>
      <c r="AM14" s="58">
        <v>46.30715</v>
      </c>
      <c r="AN14" s="59"/>
      <c r="AO14" s="60">
        <v>-80.21557</v>
      </c>
      <c r="AP14" s="61">
        <v>0.3007812</v>
      </c>
      <c r="AQ14" s="61">
        <v>0.0002935715</v>
      </c>
      <c r="AR14" s="62"/>
    </row>
    <row r="15" spans="2:47" ht="13.5" customHeight="1" x14ac:dyDescent="0.25">
      <c r="B15" s="14">
        <v>13.44039</v>
      </c>
      <c r="C15" s="54">
        <v>21.99436</v>
      </c>
      <c r="D15" s="54">
        <v>415.7048</v>
      </c>
      <c r="E15" s="54">
        <v>0.3377891</v>
      </c>
      <c r="F15" s="54">
        <v>0</v>
      </c>
      <c r="G15" s="54">
        <v>420.2114</v>
      </c>
      <c r="H15" s="55">
        <v>23.74855</v>
      </c>
      <c r="I15" s="56">
        <v>0.01988672</v>
      </c>
      <c r="J15" s="54">
        <v>43.48235</v>
      </c>
      <c r="K15" s="54">
        <v>1.40833</v>
      </c>
      <c r="L15" s="54">
        <v>107.8017</v>
      </c>
      <c r="M15" s="54">
        <v>108.8542</v>
      </c>
      <c r="N15" s="54">
        <v>20.1072</v>
      </c>
      <c r="O15" s="54">
        <v>20.18848</v>
      </c>
      <c r="P15" s="54"/>
      <c r="Q15" s="54">
        <v>2.552002</v>
      </c>
      <c r="R15" s="54">
        <v>139.6557</v>
      </c>
      <c r="S15" s="54">
        <v>1.602141</v>
      </c>
      <c r="T15" s="54">
        <v>0.3000632</v>
      </c>
      <c r="U15" s="54">
        <v>0.3002344</v>
      </c>
      <c r="V15" s="54">
        <v>90.625</v>
      </c>
      <c r="W15" s="54">
        <v>0.5298132</v>
      </c>
      <c r="X15" s="54"/>
      <c r="Y15" s="54">
        <v>0.7382523</v>
      </c>
      <c r="Z15" s="54">
        <v>150.3038</v>
      </c>
      <c r="AA15" s="54">
        <v>162.9774</v>
      </c>
      <c r="AB15" s="54">
        <v>0.5317202</v>
      </c>
      <c r="AC15" s="54">
        <v>155.9462</v>
      </c>
      <c r="AD15" s="54"/>
      <c r="AE15" s="57"/>
      <c r="AF15" s="57"/>
      <c r="AG15" s="57"/>
      <c r="AH15" s="57"/>
      <c r="AI15" s="57"/>
      <c r="AJ15" s="57"/>
      <c r="AK15" s="57">
        <v>31.32234</v>
      </c>
      <c r="AL15" s="54">
        <v>0.008960937</v>
      </c>
      <c r="AM15" s="58">
        <v>44.70848</v>
      </c>
      <c r="AN15" s="59"/>
      <c r="AO15" s="60">
        <v>-80.24451</v>
      </c>
      <c r="AP15" s="61">
        <v>0.2907263</v>
      </c>
      <c r="AQ15" s="61">
        <v>0.0002950821</v>
      </c>
      <c r="AR15" s="62"/>
    </row>
    <row r="16" spans="2:47" ht="13.5" customHeight="1" x14ac:dyDescent="0.25">
      <c r="B16" s="14">
        <v>14.41334</v>
      </c>
      <c r="C16" s="54">
        <v>21.79362</v>
      </c>
      <c r="D16" s="54">
        <v>416.276</v>
      </c>
      <c r="E16" s="54">
        <v>0.3377656</v>
      </c>
      <c r="F16" s="54">
        <v>0</v>
      </c>
      <c r="G16" s="54">
        <v>419.6504</v>
      </c>
      <c r="H16" s="55">
        <v>25.03979</v>
      </c>
      <c r="I16" s="56">
        <v>0.01999707</v>
      </c>
      <c r="J16" s="54">
        <v>42.26707</v>
      </c>
      <c r="K16" s="54">
        <v>1.346662</v>
      </c>
      <c r="L16" s="54">
        <v>106.3314</v>
      </c>
      <c r="M16" s="54">
        <v>106.6262</v>
      </c>
      <c r="N16" s="54">
        <v>20.30412</v>
      </c>
      <c r="O16" s="54">
        <v>20.17432</v>
      </c>
      <c r="P16" s="54"/>
      <c r="Q16" s="54">
        <v>2.594604</v>
      </c>
      <c r="R16" s="54">
        <v>139.5399</v>
      </c>
      <c r="S16" s="54">
        <v>1.602648</v>
      </c>
      <c r="T16" s="54">
        <v>0.3002737</v>
      </c>
      <c r="U16" s="54">
        <v>0.3000391</v>
      </c>
      <c r="V16" s="54">
        <v>90.56713</v>
      </c>
      <c r="W16" s="54">
        <v>0.5297173</v>
      </c>
      <c r="X16" s="54"/>
      <c r="Y16" s="54">
        <v>0.7394097</v>
      </c>
      <c r="Z16" s="54">
        <v>150.5715</v>
      </c>
      <c r="AA16" s="54">
        <v>162.9774</v>
      </c>
      <c r="AB16" s="54">
        <v>0.3959419</v>
      </c>
      <c r="AC16" s="54">
        <v>155.4977</v>
      </c>
      <c r="AD16" s="54"/>
      <c r="AE16" s="57"/>
      <c r="AF16" s="57"/>
      <c r="AG16" s="57"/>
      <c r="AH16" s="57"/>
      <c r="AI16" s="57"/>
      <c r="AJ16" s="57"/>
      <c r="AK16" s="57">
        <v>11.95385</v>
      </c>
      <c r="AL16" s="54">
        <v>0.008928711</v>
      </c>
      <c r="AM16" s="58">
        <v>61.29557</v>
      </c>
      <c r="AN16" s="59"/>
      <c r="AO16" s="60">
        <v>-80.33855</v>
      </c>
      <c r="AP16" s="61">
        <v>0.2986111</v>
      </c>
      <c r="AQ16" s="61">
        <v>0.0002956467</v>
      </c>
      <c r="AR16" s="62"/>
    </row>
    <row r="17" spans="2:44" ht="13.5" customHeight="1" x14ac:dyDescent="0.25">
      <c r="B17" s="14">
        <v>10.10923</v>
      </c>
      <c r="C17" s="54">
        <v>21.25651</v>
      </c>
      <c r="D17" s="54">
        <v>416.6486</v>
      </c>
      <c r="E17" s="54">
        <v>0.1535469</v>
      </c>
      <c r="F17" s="54">
        <v>0</v>
      </c>
      <c r="G17" s="54">
        <v>419.4913</v>
      </c>
      <c r="H17" s="55">
        <v>22.17882</v>
      </c>
      <c r="I17" s="56">
        <v>0.0195835</v>
      </c>
      <c r="J17" s="54">
        <v>42.66493</v>
      </c>
      <c r="K17" s="54">
        <v>1.373336</v>
      </c>
      <c r="L17" s="54">
        <v>109.6734</v>
      </c>
      <c r="M17" s="54">
        <v>112.2106</v>
      </c>
      <c r="N17" s="54">
        <v>19.97817</v>
      </c>
      <c r="O17" s="54">
        <v>20.17725</v>
      </c>
      <c r="P17" s="54"/>
      <c r="Q17" s="54">
        <v>2.528748</v>
      </c>
      <c r="R17" s="54">
        <v>139.5616</v>
      </c>
      <c r="S17" s="54">
        <v>1.605686</v>
      </c>
      <c r="T17" s="54">
        <v>0.297248</v>
      </c>
      <c r="U17" s="54">
        <v>0.3000469</v>
      </c>
      <c r="V17" s="54">
        <v>90.86372</v>
      </c>
      <c r="W17" s="54">
        <v>0.5309193</v>
      </c>
      <c r="X17" s="54"/>
      <c r="Y17" s="54">
        <v>0.7382523</v>
      </c>
      <c r="Z17" s="54">
        <v>150.1664</v>
      </c>
      <c r="AA17" s="54">
        <v>163.2017</v>
      </c>
      <c r="AB17" s="54">
        <v>0.3733724</v>
      </c>
      <c r="AC17" s="54">
        <v>155.6713</v>
      </c>
      <c r="AD17" s="54"/>
      <c r="AE17" s="57"/>
      <c r="AF17" s="57"/>
      <c r="AG17" s="57"/>
      <c r="AH17" s="57"/>
      <c r="AI17" s="57"/>
      <c r="AJ17" s="57"/>
      <c r="AK17" s="57">
        <v>64.1276</v>
      </c>
      <c r="AL17" s="54">
        <v>0.02246436</v>
      </c>
      <c r="AM17" s="58">
        <v>58.86502</v>
      </c>
      <c r="AN17" s="59"/>
      <c r="AO17" s="60">
        <v>-80.25174</v>
      </c>
      <c r="AP17" s="61">
        <v>0.302228</v>
      </c>
      <c r="AQ17" s="61">
        <v>0.0002944336</v>
      </c>
      <c r="AR17" s="62"/>
    </row>
    <row r="18" spans="2:44" ht="13.5" customHeight="1" x14ac:dyDescent="0.25">
      <c r="B18" s="42">
        <v>11.02431</v>
      </c>
      <c r="C18" s="63">
        <v>20.70855</v>
      </c>
      <c r="D18" s="63">
        <v>418.508</v>
      </c>
      <c r="E18" s="63">
        <v>0.3372031</v>
      </c>
      <c r="F18" s="63">
        <v>0</v>
      </c>
      <c r="G18" s="63">
        <v>418.987</v>
      </c>
      <c r="H18" s="64">
        <v>0</v>
      </c>
      <c r="I18" s="65">
        <v>0.01967285</v>
      </c>
      <c r="J18" s="63">
        <v>41.25434</v>
      </c>
      <c r="K18" s="63">
        <v>1.310945</v>
      </c>
      <c r="L18" s="63">
        <v>109.5323</v>
      </c>
      <c r="M18" s="63">
        <v>112.3987</v>
      </c>
      <c r="N18" s="63">
        <v>20.5252</v>
      </c>
      <c r="O18" s="63">
        <v>20.16309</v>
      </c>
      <c r="P18" s="63"/>
      <c r="Q18" s="63">
        <v>2.468628</v>
      </c>
      <c r="R18" s="63">
        <v>139.3157</v>
      </c>
      <c r="S18" s="63">
        <v>1.606066</v>
      </c>
      <c r="T18" s="63">
        <v>0.3037672</v>
      </c>
      <c r="U18" s="63">
        <v>0.2998984</v>
      </c>
      <c r="V18" s="63">
        <v>90.6901</v>
      </c>
      <c r="W18" s="63">
        <v>0.5284514</v>
      </c>
      <c r="X18" s="63">
        <v>0.5303537</v>
      </c>
      <c r="Y18" s="63">
        <v>0.7119792</v>
      </c>
      <c r="Z18" s="63">
        <v>149.6383</v>
      </c>
      <c r="AA18" s="63">
        <v>162.9413</v>
      </c>
      <c r="AB18" s="63">
        <v>0.3131149</v>
      </c>
      <c r="AC18" s="63">
        <v>154.0509</v>
      </c>
      <c r="AD18" s="63">
        <v>33.72</v>
      </c>
      <c r="AE18" s="66"/>
      <c r="AF18" s="66"/>
      <c r="AG18" s="66">
        <v>17.17</v>
      </c>
      <c r="AH18" s="66"/>
      <c r="AI18" s="66"/>
      <c r="AJ18" s="66">
        <v>6.84</v>
      </c>
      <c r="AK18" s="66">
        <v>0</v>
      </c>
      <c r="AL18" s="63">
        <v>0.01941895</v>
      </c>
      <c r="AM18" s="67">
        <v>56.98785</v>
      </c>
      <c r="AN18" s="68"/>
      <c r="AO18" s="60">
        <v>-80.25174</v>
      </c>
      <c r="AP18" s="61">
        <v>0.2896412</v>
      </c>
      <c r="AQ18" s="61">
        <v>0.000291687</v>
      </c>
      <c r="AR18" s="69"/>
    </row>
    <row r="19" spans="2:44" ht="18" customHeight="1" x14ac:dyDescent="0.25">
      <c r="B19" s="122" t="s">
        <v>181</v>
      </c>
      <c r="C19" s="36" t="s">
        <v>168</v>
      </c>
      <c r="D19" s="36" t="s">
        <v>171</v>
      </c>
      <c r="E19" s="137" t="s">
        <v>17</v>
      </c>
      <c r="F19" s="138"/>
      <c r="G19" s="139"/>
      <c r="H19" s="140" t="s">
        <v>108</v>
      </c>
      <c r="I19" s="138"/>
      <c r="J19" s="138"/>
      <c r="K19" s="138"/>
      <c r="L19" s="141"/>
      <c r="M19" s="142" t="s">
        <v>123</v>
      </c>
      <c r="N19" s="138"/>
      <c r="O19" s="138"/>
      <c r="P19" s="138"/>
      <c r="Q19" s="139"/>
      <c r="R19" s="140" t="s">
        <v>147</v>
      </c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9"/>
      <c r="AG19" s="143" t="s">
        <v>24</v>
      </c>
      <c r="AH19" s="139"/>
      <c r="AI19" s="119" t="s">
        <v>173</v>
      </c>
      <c r="AJ19" s="120"/>
      <c r="AK19" s="120"/>
      <c r="AL19" s="120"/>
      <c r="AM19" s="121"/>
      <c r="AN19" s="143" t="s">
        <v>47</v>
      </c>
      <c r="AO19" s="144"/>
      <c r="AP19" s="138" t="s">
        <v>180</v>
      </c>
      <c r="AQ19" s="145"/>
      <c r="AR19" s="146"/>
    </row>
    <row r="20" spans="2:44" ht="20.15" customHeight="1" x14ac:dyDescent="0.25">
      <c r="B20" s="123"/>
      <c r="C20" s="3" t="s">
        <v>169</v>
      </c>
      <c r="D20" s="3" t="s">
        <v>113</v>
      </c>
      <c r="E20" s="3" t="s">
        <v>15</v>
      </c>
      <c r="F20" s="117" t="s">
        <v>100</v>
      </c>
      <c r="G20" s="118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31" t="s">
        <v>148</v>
      </c>
      <c r="AE20" s="118"/>
      <c r="AF20" s="17" t="s">
        <v>151</v>
      </c>
      <c r="AG20" s="17" t="s">
        <v>153</v>
      </c>
      <c r="AH20" s="17" t="s">
        <v>155</v>
      </c>
      <c r="AI20" s="112" t="s">
        <v>89</v>
      </c>
      <c r="AJ20" s="113"/>
      <c r="AK20" s="112" t="s">
        <v>92</v>
      </c>
      <c r="AL20" s="113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23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14">
        <v>-79.62963</v>
      </c>
      <c r="C22" s="54">
        <v>-80.48322</v>
      </c>
      <c r="D22" s="54">
        <v>103.1178</v>
      </c>
      <c r="E22" s="54">
        <v>0.1414931</v>
      </c>
      <c r="F22" s="54"/>
      <c r="G22" s="54"/>
      <c r="H22" s="54"/>
      <c r="I22" s="54"/>
      <c r="J22" s="54"/>
      <c r="K22" s="54"/>
      <c r="L22" s="55">
        <v>78.09606</v>
      </c>
      <c r="M22" s="70">
        <v>47.29818</v>
      </c>
      <c r="N22" s="54">
        <v>39.5</v>
      </c>
      <c r="O22" s="54">
        <v>22</v>
      </c>
      <c r="P22" s="54">
        <v>3.28125</v>
      </c>
      <c r="Q22" s="54">
        <v>18.03024</v>
      </c>
      <c r="R22" s="54">
        <v>93.82957</v>
      </c>
      <c r="S22" s="71">
        <v>35</v>
      </c>
      <c r="T22" s="71">
        <v>0</v>
      </c>
      <c r="U22" s="71">
        <v>76.63846</v>
      </c>
      <c r="V22" s="71">
        <v>93.02301</v>
      </c>
      <c r="W22" s="71">
        <v>28.5</v>
      </c>
      <c r="X22" s="71">
        <v>75.05009</v>
      </c>
      <c r="Y22" s="71">
        <v>13.03711</v>
      </c>
      <c r="Z22" s="71">
        <v>17.46962</v>
      </c>
      <c r="AA22" s="71"/>
      <c r="AB22" s="71"/>
      <c r="AC22" s="58">
        <v>1.548231</v>
      </c>
      <c r="AD22" s="58"/>
      <c r="AE22" s="58">
        <v>19.74826</v>
      </c>
      <c r="AF22" s="58">
        <v>16.52561</v>
      </c>
      <c r="AG22" s="58"/>
      <c r="AH22" s="58">
        <v>5</v>
      </c>
      <c r="AI22" s="72">
        <v>5.02</v>
      </c>
      <c r="AJ22" s="72">
        <v>5.03</v>
      </c>
      <c r="AK22" s="72">
        <v>5.04</v>
      </c>
      <c r="AL22" s="72">
        <v>5.05</v>
      </c>
      <c r="AM22" s="72">
        <v>42.18027</v>
      </c>
      <c r="AN22" s="58">
        <v>50</v>
      </c>
      <c r="AO22" s="59">
        <v>19.51316</v>
      </c>
      <c r="AP22" s="60">
        <v>39.64482</v>
      </c>
      <c r="AQ22" s="61">
        <v>0.04341125</v>
      </c>
      <c r="AR22" s="62"/>
    </row>
    <row r="23" spans="2:44" ht="13.5" customHeight="1" x14ac:dyDescent="0.25">
      <c r="B23" s="14">
        <v>-79.50665</v>
      </c>
      <c r="C23" s="54">
        <v>-80.46875</v>
      </c>
      <c r="D23" s="54">
        <v>103.1214</v>
      </c>
      <c r="E23" s="54">
        <v>0.08427373</v>
      </c>
      <c r="F23" s="54">
        <v>9.941101E-05</v>
      </c>
      <c r="G23" s="54"/>
      <c r="H23" s="54"/>
      <c r="I23" s="54"/>
      <c r="J23" s="54"/>
      <c r="K23" s="54"/>
      <c r="L23" s="55">
        <v>77.75607</v>
      </c>
      <c r="M23" s="70">
        <v>47.27647</v>
      </c>
      <c r="N23" s="54">
        <v>39.5</v>
      </c>
      <c r="O23" s="54">
        <v>22</v>
      </c>
      <c r="P23" s="54">
        <v>3.404948</v>
      </c>
      <c r="Q23" s="54">
        <v>19.28892</v>
      </c>
      <c r="R23" s="54">
        <v>92.93981</v>
      </c>
      <c r="S23" s="71">
        <v>35</v>
      </c>
      <c r="T23" s="71">
        <v>82.70255</v>
      </c>
      <c r="U23" s="71">
        <v>16.53103</v>
      </c>
      <c r="V23" s="71">
        <v>19.9273</v>
      </c>
      <c r="W23" s="71">
        <v>0</v>
      </c>
      <c r="X23" s="71">
        <v>18.31543</v>
      </c>
      <c r="Y23" s="71">
        <v>13.86176</v>
      </c>
      <c r="Z23" s="71">
        <v>81.36394</v>
      </c>
      <c r="AA23" s="71"/>
      <c r="AB23" s="71"/>
      <c r="AC23" s="58">
        <v>1.548394</v>
      </c>
      <c r="AD23" s="58">
        <v>0.001417923</v>
      </c>
      <c r="AE23" s="58">
        <v>19.69401</v>
      </c>
      <c r="AF23" s="58">
        <v>47.79731</v>
      </c>
      <c r="AG23" s="58">
        <v>541.5</v>
      </c>
      <c r="AH23" s="58"/>
      <c r="AI23" s="72"/>
      <c r="AJ23" s="72"/>
      <c r="AK23" s="72"/>
      <c r="AL23" s="72"/>
      <c r="AM23" s="72">
        <v>68.35938</v>
      </c>
      <c r="AN23" s="58">
        <v>50</v>
      </c>
      <c r="AO23" s="59">
        <v>19.68497</v>
      </c>
      <c r="AP23" s="60">
        <v>39.52908</v>
      </c>
      <c r="AQ23" s="61">
        <v>0.04341125</v>
      </c>
      <c r="AR23" s="62"/>
    </row>
    <row r="24" spans="2:44" ht="13.5" customHeight="1" x14ac:dyDescent="0.25">
      <c r="B24" s="14">
        <v>-79.53559</v>
      </c>
      <c r="C24" s="54">
        <v>-80.46875</v>
      </c>
      <c r="D24" s="54">
        <v>103.125</v>
      </c>
      <c r="E24" s="54">
        <v>0.08036748</v>
      </c>
      <c r="F24" s="54">
        <v>0.0001001682</v>
      </c>
      <c r="G24" s="54"/>
      <c r="H24" s="54"/>
      <c r="I24" s="54"/>
      <c r="J24" s="54"/>
      <c r="K24" s="54"/>
      <c r="L24" s="55">
        <v>78.90625</v>
      </c>
      <c r="M24" s="70">
        <v>47.39583</v>
      </c>
      <c r="N24" s="54">
        <v>39.5</v>
      </c>
      <c r="O24" s="54">
        <v>22</v>
      </c>
      <c r="P24" s="54">
        <v>3.369358</v>
      </c>
      <c r="Q24" s="54">
        <v>19.57465</v>
      </c>
      <c r="R24" s="54">
        <v>91.2905</v>
      </c>
      <c r="S24" s="71">
        <v>35</v>
      </c>
      <c r="T24" s="71">
        <v>82.55679</v>
      </c>
      <c r="U24" s="71">
        <v>16.352</v>
      </c>
      <c r="V24" s="71">
        <v>19.30339</v>
      </c>
      <c r="W24" s="71">
        <v>0</v>
      </c>
      <c r="X24" s="71">
        <v>0</v>
      </c>
      <c r="Y24" s="71">
        <v>16.72815</v>
      </c>
      <c r="Z24" s="71">
        <v>81.47244</v>
      </c>
      <c r="AA24" s="71"/>
      <c r="AB24" s="71"/>
      <c r="AC24" s="58">
        <v>1.548286</v>
      </c>
      <c r="AD24" s="58">
        <v>0.001364365</v>
      </c>
      <c r="AE24" s="58">
        <v>19.08637</v>
      </c>
      <c r="AF24" s="58">
        <v>44.91826</v>
      </c>
      <c r="AG24" s="58">
        <v>508.7</v>
      </c>
      <c r="AH24" s="58"/>
      <c r="AI24" s="72"/>
      <c r="AJ24" s="72"/>
      <c r="AK24" s="72"/>
      <c r="AL24" s="72"/>
      <c r="AM24" s="72">
        <v>66.27604</v>
      </c>
      <c r="AN24" s="58">
        <v>50</v>
      </c>
      <c r="AO24" s="59">
        <v>19.89294</v>
      </c>
      <c r="AP24" s="60">
        <v>39.57972</v>
      </c>
      <c r="AQ24" s="61">
        <v>0.04341125</v>
      </c>
      <c r="AR24" s="62"/>
    </row>
    <row r="25" spans="2:44" ht="13.5" customHeight="1" x14ac:dyDescent="0.25">
      <c r="B25" s="14">
        <v>-79.5573</v>
      </c>
      <c r="C25" s="54">
        <v>-80.51939</v>
      </c>
      <c r="D25" s="54">
        <v>103.125</v>
      </c>
      <c r="E25" s="54">
        <v>0.1111111</v>
      </c>
      <c r="F25" s="54">
        <v>0.0001004486</v>
      </c>
      <c r="G25" s="54"/>
      <c r="H25" s="54"/>
      <c r="I25" s="54"/>
      <c r="J25" s="54"/>
      <c r="K25" s="54"/>
      <c r="L25" s="55">
        <v>77.71629</v>
      </c>
      <c r="M25" s="70">
        <v>47.37775</v>
      </c>
      <c r="N25" s="54">
        <v>39.5</v>
      </c>
      <c r="O25" s="54">
        <v>22</v>
      </c>
      <c r="P25" s="54">
        <v>3.473958</v>
      </c>
      <c r="Q25" s="54">
        <v>19.87847</v>
      </c>
      <c r="R25" s="54">
        <v>92.40451</v>
      </c>
      <c r="S25" s="71">
        <v>35</v>
      </c>
      <c r="T25" s="71">
        <v>81.19448</v>
      </c>
      <c r="U25" s="71">
        <v>16.47136</v>
      </c>
      <c r="V25" s="71">
        <v>19.63433</v>
      </c>
      <c r="W25" s="71">
        <v>0</v>
      </c>
      <c r="X25" s="71">
        <v>0</v>
      </c>
      <c r="Y25" s="71">
        <v>18.17311</v>
      </c>
      <c r="Z25" s="71">
        <v>73.19336</v>
      </c>
      <c r="AA25" s="71"/>
      <c r="AB25" s="71"/>
      <c r="AC25" s="58">
        <v>1.548286</v>
      </c>
      <c r="AD25" s="58">
        <v>0.00123352</v>
      </c>
      <c r="AE25" s="58">
        <v>19.28892</v>
      </c>
      <c r="AF25" s="58">
        <v>25.48466</v>
      </c>
      <c r="AG25" s="58">
        <v>202.9</v>
      </c>
      <c r="AH25" s="58"/>
      <c r="AI25" s="72"/>
      <c r="AJ25" s="72"/>
      <c r="AK25" s="72"/>
      <c r="AL25" s="72"/>
      <c r="AM25" s="72">
        <v>60.57581</v>
      </c>
      <c r="AN25" s="58">
        <v>50</v>
      </c>
      <c r="AO25" s="59">
        <v>20.14612</v>
      </c>
      <c r="AP25" s="60">
        <v>39.60503</v>
      </c>
      <c r="AQ25" s="61">
        <v>0.04341125</v>
      </c>
      <c r="AR25" s="62"/>
    </row>
    <row r="26" spans="2:44" ht="13.5" customHeight="1" x14ac:dyDescent="0.25">
      <c r="B26" s="14">
        <v>-79.67303</v>
      </c>
      <c r="C26" s="54">
        <v>-80.46152</v>
      </c>
      <c r="D26" s="54">
        <v>103.125</v>
      </c>
      <c r="E26" s="54">
        <v>0.08138021</v>
      </c>
      <c r="F26" s="54">
        <v>9.211922E-05</v>
      </c>
      <c r="G26" s="54"/>
      <c r="H26" s="54"/>
      <c r="I26" s="54"/>
      <c r="J26" s="54"/>
      <c r="K26" s="54"/>
      <c r="L26" s="55">
        <v>78.11777</v>
      </c>
      <c r="M26" s="70">
        <v>47.29818</v>
      </c>
      <c r="N26" s="54">
        <v>39.5</v>
      </c>
      <c r="O26" s="54">
        <v>22</v>
      </c>
      <c r="P26" s="54">
        <v>3.340712</v>
      </c>
      <c r="Q26" s="54">
        <v>20.0123</v>
      </c>
      <c r="R26" s="54">
        <v>91.59433</v>
      </c>
      <c r="S26" s="71">
        <v>35</v>
      </c>
      <c r="T26" s="71">
        <v>80.99827</v>
      </c>
      <c r="U26" s="71">
        <v>16.43338</v>
      </c>
      <c r="V26" s="71">
        <v>19.77539</v>
      </c>
      <c r="W26" s="71">
        <v>0</v>
      </c>
      <c r="X26" s="71">
        <v>0</v>
      </c>
      <c r="Y26" s="71">
        <v>19.16594</v>
      </c>
      <c r="Z26" s="71">
        <v>69.22743</v>
      </c>
      <c r="AA26" s="71"/>
      <c r="AB26" s="71"/>
      <c r="AC26" s="58">
        <v>1.548286</v>
      </c>
      <c r="AD26" s="58">
        <v>0.001351562</v>
      </c>
      <c r="AE26" s="58">
        <v>19.24551</v>
      </c>
      <c r="AF26" s="58">
        <v>38.37891</v>
      </c>
      <c r="AG26" s="58"/>
      <c r="AH26" s="58"/>
      <c r="AI26" s="72"/>
      <c r="AJ26" s="72"/>
      <c r="AK26" s="72"/>
      <c r="AL26" s="72"/>
      <c r="AM26" s="72">
        <v>56.58275</v>
      </c>
      <c r="AN26" s="58">
        <v>50</v>
      </c>
      <c r="AO26" s="59">
        <v>20.42643</v>
      </c>
      <c r="AP26" s="60">
        <v>39.43142</v>
      </c>
      <c r="AQ26" s="61">
        <v>0.06510925</v>
      </c>
      <c r="AR26" s="62"/>
    </row>
    <row r="27" spans="2:44" ht="13.5" customHeight="1" x14ac:dyDescent="0.25">
      <c r="B27" s="14">
        <v>-79.69473</v>
      </c>
      <c r="C27" s="54">
        <v>-80.44705</v>
      </c>
      <c r="D27" s="54">
        <v>103.125</v>
      </c>
      <c r="E27" s="54">
        <v>0.0895544</v>
      </c>
      <c r="F27" s="54">
        <v>9.346199E-05</v>
      </c>
      <c r="G27" s="54"/>
      <c r="H27" s="54"/>
      <c r="I27" s="54"/>
      <c r="J27" s="54"/>
      <c r="K27" s="54"/>
      <c r="L27" s="55">
        <v>78.90987</v>
      </c>
      <c r="M27" s="70">
        <v>47.4971</v>
      </c>
      <c r="N27" s="54">
        <v>39.5</v>
      </c>
      <c r="O27" s="54">
        <v>22</v>
      </c>
      <c r="P27" s="54">
        <v>3.369358</v>
      </c>
      <c r="Q27" s="54">
        <v>20.16059</v>
      </c>
      <c r="R27" s="54">
        <v>91.50029</v>
      </c>
      <c r="S27" s="71">
        <v>36</v>
      </c>
      <c r="T27" s="71">
        <v>83.34726</v>
      </c>
      <c r="U27" s="71">
        <v>16.824</v>
      </c>
      <c r="V27" s="71">
        <v>19.9924</v>
      </c>
      <c r="W27" s="71">
        <v>0</v>
      </c>
      <c r="X27" s="71">
        <v>0</v>
      </c>
      <c r="Y27" s="71">
        <v>20.00506</v>
      </c>
      <c r="Z27" s="71">
        <v>66.3954</v>
      </c>
      <c r="AA27" s="71"/>
      <c r="AB27" s="71"/>
      <c r="AC27" s="58">
        <v>1.54834</v>
      </c>
      <c r="AD27" s="58">
        <v>0.001262634</v>
      </c>
      <c r="AE27" s="58">
        <v>20.44633</v>
      </c>
      <c r="AF27" s="58">
        <v>27.81395</v>
      </c>
      <c r="AG27" s="58"/>
      <c r="AH27" s="58"/>
      <c r="AI27" s="72"/>
      <c r="AJ27" s="72"/>
      <c r="AK27" s="72"/>
      <c r="AL27" s="72"/>
      <c r="AM27" s="72">
        <v>53.73987</v>
      </c>
      <c r="AN27" s="58">
        <v>50</v>
      </c>
      <c r="AO27" s="59">
        <v>20.87854</v>
      </c>
      <c r="AP27" s="60">
        <v>39.54716</v>
      </c>
      <c r="AQ27" s="61">
        <v>0.07595825</v>
      </c>
      <c r="AR27" s="62"/>
    </row>
    <row r="28" spans="2:44" ht="13.5" customHeight="1" x14ac:dyDescent="0.25">
      <c r="B28" s="14">
        <v>-79.89728</v>
      </c>
      <c r="C28" s="54">
        <v>-80.41088</v>
      </c>
      <c r="D28" s="54">
        <v>103.1322</v>
      </c>
      <c r="E28" s="54">
        <v>0.07855903</v>
      </c>
      <c r="F28" s="54">
        <v>8.753204E-05</v>
      </c>
      <c r="G28" s="54">
        <v>13.2</v>
      </c>
      <c r="H28" s="54">
        <v>13.3</v>
      </c>
      <c r="I28" s="54">
        <v>13.4</v>
      </c>
      <c r="J28" s="54">
        <v>13.5</v>
      </c>
      <c r="K28" s="54">
        <v>13.6</v>
      </c>
      <c r="L28" s="55">
        <v>80.87022</v>
      </c>
      <c r="M28" s="70">
        <v>47.37413</v>
      </c>
      <c r="N28" s="54">
        <v>39.5</v>
      </c>
      <c r="O28" s="54">
        <v>22</v>
      </c>
      <c r="P28" s="54">
        <v>3.389757</v>
      </c>
      <c r="Q28" s="54">
        <v>20.36314</v>
      </c>
      <c r="R28" s="54">
        <v>92.23814</v>
      </c>
      <c r="S28" s="71">
        <v>36</v>
      </c>
      <c r="T28" s="71">
        <v>83.46499</v>
      </c>
      <c r="U28" s="71">
        <v>19.16775</v>
      </c>
      <c r="V28" s="71">
        <v>20.18772</v>
      </c>
      <c r="W28" s="71">
        <v>0</v>
      </c>
      <c r="X28" s="71">
        <v>0</v>
      </c>
      <c r="Y28" s="71">
        <v>29.99855</v>
      </c>
      <c r="Z28" s="71">
        <v>71.39758</v>
      </c>
      <c r="AA28" s="71"/>
      <c r="AB28" s="71"/>
      <c r="AC28" s="58">
        <v>1.548231</v>
      </c>
      <c r="AD28" s="58">
        <v>0.00108728</v>
      </c>
      <c r="AE28" s="58">
        <v>19.63252</v>
      </c>
      <c r="AF28" s="58">
        <v>19.2419</v>
      </c>
      <c r="AG28" s="58"/>
      <c r="AH28" s="58"/>
      <c r="AI28" s="72"/>
      <c r="AJ28" s="72"/>
      <c r="AK28" s="72"/>
      <c r="AL28" s="72"/>
      <c r="AM28" s="72">
        <v>53.20457</v>
      </c>
      <c r="AN28" s="58">
        <v>50</v>
      </c>
      <c r="AO28" s="59">
        <v>21.56576</v>
      </c>
      <c r="AP28" s="60">
        <v>39.64844</v>
      </c>
      <c r="AQ28" s="61">
        <v>0.07595825</v>
      </c>
      <c r="AR28" s="62"/>
    </row>
    <row r="29" spans="2:44" ht="13.5" customHeight="1" x14ac:dyDescent="0.25">
      <c r="B29" s="14">
        <v>-80.07089</v>
      </c>
      <c r="C29" s="54">
        <v>-80.49045</v>
      </c>
      <c r="D29" s="54">
        <v>103.1322</v>
      </c>
      <c r="E29" s="54">
        <v>0.08007812</v>
      </c>
      <c r="F29" s="54">
        <v>8.436966E-05</v>
      </c>
      <c r="G29" s="54"/>
      <c r="H29" s="54"/>
      <c r="I29" s="54"/>
      <c r="J29" s="54"/>
      <c r="K29" s="54"/>
      <c r="L29" s="55">
        <v>80.58449</v>
      </c>
      <c r="M29" s="70">
        <v>47.50434</v>
      </c>
      <c r="N29" s="54">
        <v>39.5</v>
      </c>
      <c r="O29" s="54">
        <v>22</v>
      </c>
      <c r="P29" s="54">
        <v>3.40625</v>
      </c>
      <c r="Q29" s="54">
        <v>20.78631</v>
      </c>
      <c r="R29" s="54">
        <v>96.42289</v>
      </c>
      <c r="S29" s="71">
        <v>0</v>
      </c>
      <c r="T29" s="71">
        <v>0</v>
      </c>
      <c r="U29" s="71">
        <v>14.69727</v>
      </c>
      <c r="V29" s="71">
        <v>80.97874</v>
      </c>
      <c r="W29" s="71">
        <v>30</v>
      </c>
      <c r="X29" s="71">
        <v>84.17698</v>
      </c>
      <c r="Y29" s="71">
        <v>17.4226</v>
      </c>
      <c r="Z29" s="71">
        <v>20.29622</v>
      </c>
      <c r="AA29" s="71"/>
      <c r="AB29" s="71"/>
      <c r="AC29" s="58">
        <v>1.548286</v>
      </c>
      <c r="AD29" s="58">
        <v>0.001365906</v>
      </c>
      <c r="AE29" s="58">
        <v>19.97975</v>
      </c>
      <c r="AF29" s="58">
        <v>36.4945</v>
      </c>
      <c r="AG29" s="58"/>
      <c r="AH29" s="58"/>
      <c r="AI29" s="72"/>
      <c r="AJ29" s="72"/>
      <c r="AK29" s="72"/>
      <c r="AL29" s="72"/>
      <c r="AM29" s="72">
        <v>54.96962</v>
      </c>
      <c r="AN29" s="58">
        <v>50</v>
      </c>
      <c r="AO29" s="59">
        <v>22.28913</v>
      </c>
      <c r="AP29" s="60">
        <v>42.75535</v>
      </c>
      <c r="AQ29" s="61">
        <v>0.06510925</v>
      </c>
      <c r="AR29" s="62"/>
    </row>
    <row r="30" spans="2:44" ht="13.5" customHeight="1" x14ac:dyDescent="0.25">
      <c r="B30" s="14">
        <v>-80.21557</v>
      </c>
      <c r="C30" s="54">
        <v>-80.47598</v>
      </c>
      <c r="D30" s="54">
        <v>103.1286</v>
      </c>
      <c r="E30" s="54">
        <v>0.07819734</v>
      </c>
      <c r="F30" s="54">
        <v>9.122467E-05</v>
      </c>
      <c r="G30" s="54"/>
      <c r="H30" s="54"/>
      <c r="I30" s="54"/>
      <c r="J30" s="54"/>
      <c r="K30" s="54"/>
      <c r="L30" s="55">
        <v>77.86096</v>
      </c>
      <c r="M30" s="70">
        <v>47.18605</v>
      </c>
      <c r="N30" s="54">
        <v>39.5</v>
      </c>
      <c r="O30" s="54">
        <v>22</v>
      </c>
      <c r="P30" s="54">
        <v>3.474826</v>
      </c>
      <c r="Q30" s="54">
        <v>20.36675</v>
      </c>
      <c r="R30" s="54">
        <v>92.16941</v>
      </c>
      <c r="S30" s="71">
        <v>0</v>
      </c>
      <c r="T30" s="71">
        <v>0</v>
      </c>
      <c r="U30" s="71">
        <v>17.50217</v>
      </c>
      <c r="V30" s="71">
        <v>67.52387</v>
      </c>
      <c r="W30" s="71">
        <v>29</v>
      </c>
      <c r="X30" s="71">
        <v>81.50843</v>
      </c>
      <c r="Y30" s="71">
        <v>16.86921</v>
      </c>
      <c r="Z30" s="71">
        <v>19.61806</v>
      </c>
      <c r="AA30" s="71"/>
      <c r="AB30" s="71"/>
      <c r="AC30" s="58">
        <v>1.548286</v>
      </c>
      <c r="AD30" s="58">
        <v>0.001414886</v>
      </c>
      <c r="AE30" s="58">
        <v>19.83507</v>
      </c>
      <c r="AF30" s="58">
        <v>12.43128</v>
      </c>
      <c r="AG30" s="58"/>
      <c r="AH30" s="58"/>
      <c r="AI30" s="72"/>
      <c r="AJ30" s="72"/>
      <c r="AK30" s="72"/>
      <c r="AL30" s="72"/>
      <c r="AM30" s="72">
        <v>57.2989</v>
      </c>
      <c r="AN30" s="58">
        <v>50</v>
      </c>
      <c r="AO30" s="59">
        <v>22.61466</v>
      </c>
      <c r="AP30" s="60">
        <v>40.83478</v>
      </c>
      <c r="AQ30" s="61">
        <v>0.07595825</v>
      </c>
      <c r="AR30" s="62"/>
    </row>
    <row r="31" spans="2:44" ht="13.5" customHeight="1" x14ac:dyDescent="0.25">
      <c r="B31" s="14">
        <v>-80.24451</v>
      </c>
      <c r="C31" s="54">
        <v>-80.49769</v>
      </c>
      <c r="D31" s="54">
        <v>103.1358</v>
      </c>
      <c r="E31" s="54">
        <v>0.09903067</v>
      </c>
      <c r="F31" s="54">
        <v>8.273888E-05</v>
      </c>
      <c r="G31" s="54"/>
      <c r="H31" s="54"/>
      <c r="I31" s="54"/>
      <c r="J31" s="54"/>
      <c r="K31" s="54"/>
      <c r="L31" s="55">
        <v>79.71643</v>
      </c>
      <c r="M31" s="70">
        <v>47.12095</v>
      </c>
      <c r="N31" s="54">
        <v>39.5</v>
      </c>
      <c r="O31" s="54">
        <v>22</v>
      </c>
      <c r="P31" s="54">
        <v>3.483073</v>
      </c>
      <c r="Q31" s="54">
        <v>19.11531</v>
      </c>
      <c r="R31" s="54">
        <v>90.83839</v>
      </c>
      <c r="S31" s="71">
        <v>0</v>
      </c>
      <c r="T31" s="71">
        <v>0</v>
      </c>
      <c r="U31" s="71">
        <v>18.86393</v>
      </c>
      <c r="V31" s="71">
        <v>63.1836</v>
      </c>
      <c r="W31" s="71">
        <v>29</v>
      </c>
      <c r="X31" s="71">
        <v>81.50282</v>
      </c>
      <c r="Y31" s="71">
        <v>15.9451</v>
      </c>
      <c r="Z31" s="71">
        <v>18.45703</v>
      </c>
      <c r="AA31" s="71"/>
      <c r="AB31" s="71"/>
      <c r="AC31" s="58">
        <v>0</v>
      </c>
      <c r="AD31" s="58">
        <v>0.001234344</v>
      </c>
      <c r="AE31" s="58">
        <v>20.16421</v>
      </c>
      <c r="AF31" s="58">
        <v>47.77561</v>
      </c>
      <c r="AG31" s="58"/>
      <c r="AH31" s="58"/>
      <c r="AI31" s="72"/>
      <c r="AJ31" s="72"/>
      <c r="AK31" s="72"/>
      <c r="AL31" s="72"/>
      <c r="AM31" s="72">
        <v>56.50318</v>
      </c>
      <c r="AN31" s="58">
        <v>50</v>
      </c>
      <c r="AO31" s="59">
        <v>23.50984</v>
      </c>
      <c r="AP31" s="60">
        <v>40.48394</v>
      </c>
      <c r="AQ31" s="61">
        <v>0.07595825</v>
      </c>
      <c r="AR31" s="62"/>
    </row>
    <row r="32" spans="2:44" ht="13.5" customHeight="1" x14ac:dyDescent="0.25">
      <c r="B32" s="14">
        <v>-80.33855</v>
      </c>
      <c r="C32" s="54">
        <v>-80.49045</v>
      </c>
      <c r="D32" s="54">
        <v>103.1322</v>
      </c>
      <c r="E32" s="54">
        <v>0.07761864</v>
      </c>
      <c r="F32" s="54">
        <v>9.278488E-05</v>
      </c>
      <c r="G32" s="54"/>
      <c r="H32" s="54"/>
      <c r="I32" s="54"/>
      <c r="J32" s="54"/>
      <c r="K32" s="54"/>
      <c r="L32" s="55">
        <v>80.04195</v>
      </c>
      <c r="M32" s="70">
        <v>47.21137</v>
      </c>
      <c r="N32" s="54">
        <v>39.5</v>
      </c>
      <c r="O32" s="54">
        <v>22</v>
      </c>
      <c r="P32" s="54">
        <v>3.523004</v>
      </c>
      <c r="Q32" s="54">
        <v>18.48597</v>
      </c>
      <c r="R32" s="54">
        <v>93.61617</v>
      </c>
      <c r="S32" s="71">
        <v>0</v>
      </c>
      <c r="T32" s="71">
        <v>0</v>
      </c>
      <c r="U32" s="71">
        <v>19.19488</v>
      </c>
      <c r="V32" s="71">
        <v>60.00977</v>
      </c>
      <c r="W32" s="71">
        <v>29</v>
      </c>
      <c r="X32" s="71">
        <v>80.91417</v>
      </c>
      <c r="Y32" s="71">
        <v>15.28139</v>
      </c>
      <c r="Z32" s="71">
        <v>17.83312</v>
      </c>
      <c r="AA32" s="71"/>
      <c r="AB32" s="71"/>
      <c r="AC32" s="58">
        <v>1.548448</v>
      </c>
      <c r="AD32" s="58">
        <v>0.00115622</v>
      </c>
      <c r="AE32" s="58">
        <v>19.82784</v>
      </c>
      <c r="AF32" s="58">
        <v>0</v>
      </c>
      <c r="AG32" s="58"/>
      <c r="AH32" s="58"/>
      <c r="AI32" s="72"/>
      <c r="AJ32" s="72"/>
      <c r="AK32" s="72"/>
      <c r="AL32" s="72"/>
      <c r="AM32" s="72">
        <v>55.07089</v>
      </c>
      <c r="AN32" s="58">
        <v>50</v>
      </c>
      <c r="AO32" s="59">
        <v>23.89865</v>
      </c>
      <c r="AP32" s="60">
        <v>40.74797</v>
      </c>
      <c r="AQ32" s="61">
        <v>0.07595825</v>
      </c>
      <c r="AR32" s="62"/>
    </row>
    <row r="33" spans="2:44" ht="13.5" customHeight="1" x14ac:dyDescent="0.25">
      <c r="B33" s="14">
        <v>-80.25174</v>
      </c>
      <c r="C33" s="54">
        <v>-80.47598</v>
      </c>
      <c r="D33" s="54">
        <v>103.1286</v>
      </c>
      <c r="E33" s="54">
        <v>0.09917535</v>
      </c>
      <c r="F33" s="54">
        <v>9.239006E-05</v>
      </c>
      <c r="G33" s="54"/>
      <c r="H33" s="54"/>
      <c r="I33" s="54"/>
      <c r="J33" s="54"/>
      <c r="K33" s="54"/>
      <c r="L33" s="55">
        <v>79.93707</v>
      </c>
      <c r="M33" s="70">
        <v>47.13541</v>
      </c>
      <c r="N33" s="54">
        <v>39.5</v>
      </c>
      <c r="O33" s="54">
        <v>22</v>
      </c>
      <c r="P33" s="54">
        <v>3.390191</v>
      </c>
      <c r="Q33" s="54">
        <v>18.07364</v>
      </c>
      <c r="R33" s="54">
        <v>92.78067</v>
      </c>
      <c r="S33" s="71">
        <v>0</v>
      </c>
      <c r="T33" s="71">
        <v>0</v>
      </c>
      <c r="U33" s="71">
        <v>18.89648</v>
      </c>
      <c r="V33" s="71">
        <v>57.37305</v>
      </c>
      <c r="W33" s="71">
        <v>29</v>
      </c>
      <c r="X33" s="71">
        <v>80.01718</v>
      </c>
      <c r="Y33" s="71">
        <v>14.87449</v>
      </c>
      <c r="Z33" s="71">
        <v>17.46962</v>
      </c>
      <c r="AA33" s="71"/>
      <c r="AB33" s="71"/>
      <c r="AC33" s="58">
        <v>1.548286</v>
      </c>
      <c r="AD33" s="58">
        <v>0.000983612</v>
      </c>
      <c r="AE33" s="58">
        <v>20.27271</v>
      </c>
      <c r="AF33" s="58">
        <v>16.24711</v>
      </c>
      <c r="AG33" s="58"/>
      <c r="AH33" s="58"/>
      <c r="AI33" s="72"/>
      <c r="AJ33" s="72"/>
      <c r="AK33" s="72"/>
      <c r="AL33" s="72"/>
      <c r="AM33" s="72">
        <v>53.6169</v>
      </c>
      <c r="AN33" s="58">
        <v>50</v>
      </c>
      <c r="AO33" s="59">
        <v>23.66356</v>
      </c>
      <c r="AP33" s="60">
        <v>41.52199</v>
      </c>
      <c r="AQ33" s="61">
        <v>0.06510925</v>
      </c>
      <c r="AR33" s="62"/>
    </row>
    <row r="34" spans="2:44" ht="13.5" customHeight="1" x14ac:dyDescent="0.25">
      <c r="B34" s="15">
        <v>-80.25174</v>
      </c>
      <c r="C34" s="63">
        <v>-80.52662</v>
      </c>
      <c r="D34" s="63">
        <v>103.1286</v>
      </c>
      <c r="E34" s="63">
        <v>0.08253761</v>
      </c>
      <c r="F34" s="63">
        <v>9.071922E-05</v>
      </c>
      <c r="G34" s="63"/>
      <c r="H34" s="63"/>
      <c r="I34" s="63"/>
      <c r="J34" s="63"/>
      <c r="K34" s="63"/>
      <c r="L34" s="64">
        <v>79.57175</v>
      </c>
      <c r="M34" s="73">
        <v>47.37413</v>
      </c>
      <c r="N34" s="63">
        <v>39.5</v>
      </c>
      <c r="O34" s="63">
        <v>22</v>
      </c>
      <c r="P34" s="63">
        <v>3.442274</v>
      </c>
      <c r="Q34" s="63">
        <v>17.45153</v>
      </c>
      <c r="R34" s="63">
        <v>92.62153</v>
      </c>
      <c r="S34" s="74">
        <v>0</v>
      </c>
      <c r="T34" s="74">
        <v>0</v>
      </c>
      <c r="U34" s="74">
        <v>18.59809</v>
      </c>
      <c r="V34" s="74">
        <v>55.15408</v>
      </c>
      <c r="W34" s="74">
        <v>29</v>
      </c>
      <c r="X34" s="74">
        <v>80.04521</v>
      </c>
      <c r="Y34" s="74">
        <v>14.04803</v>
      </c>
      <c r="Z34" s="74">
        <v>16.71007</v>
      </c>
      <c r="AA34" s="74"/>
      <c r="AB34" s="74"/>
      <c r="AC34" s="67">
        <v>0</v>
      </c>
      <c r="AD34" s="67">
        <v>0.0006342163</v>
      </c>
      <c r="AE34" s="67">
        <v>20.36675</v>
      </c>
      <c r="AF34" s="67">
        <v>19.61082</v>
      </c>
      <c r="AG34" s="67"/>
      <c r="AH34" s="67"/>
      <c r="AI34" s="75"/>
      <c r="AJ34" s="75"/>
      <c r="AK34" s="75"/>
      <c r="AL34" s="75"/>
      <c r="AM34" s="75">
        <v>52.17737</v>
      </c>
      <c r="AN34" s="67">
        <v>50</v>
      </c>
      <c r="AO34" s="68">
        <v>23.94386</v>
      </c>
      <c r="AP34" s="76">
        <v>41.58348</v>
      </c>
      <c r="AQ34" s="77">
        <v>0.07595825</v>
      </c>
      <c r="AR34" s="78"/>
    </row>
    <row r="35" spans="2:44" ht="15" customHeight="1" x14ac:dyDescent="0.25">
      <c r="B35" s="136" t="s">
        <v>181</v>
      </c>
      <c r="C35" s="137" t="s">
        <v>38</v>
      </c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  <c r="R35" s="166"/>
      <c r="S35" s="166"/>
      <c r="T35" s="166"/>
      <c r="U35" s="166"/>
      <c r="V35" s="166"/>
      <c r="W35" s="167" t="s">
        <v>216</v>
      </c>
      <c r="X35" s="168"/>
      <c r="Y35" s="168"/>
      <c r="Z35" s="168"/>
      <c r="AA35" s="168"/>
      <c r="AB35" s="168"/>
      <c r="AC35" s="168"/>
      <c r="AD35" s="168"/>
      <c r="AE35" s="168"/>
      <c r="AF35" s="168"/>
      <c r="AG35" s="168"/>
      <c r="AH35" s="168"/>
      <c r="AI35" s="168"/>
      <c r="AJ35" s="169"/>
      <c r="AK35" s="143" t="s">
        <v>48</v>
      </c>
      <c r="AL35" s="141"/>
      <c r="AM35" s="170" t="s">
        <v>223</v>
      </c>
      <c r="AN35" s="171"/>
      <c r="AO35" s="43"/>
      <c r="AP35" s="43"/>
      <c r="AQ35" s="43"/>
      <c r="AR35" s="44"/>
    </row>
    <row r="36" spans="2:44" ht="20.15" customHeight="1" x14ac:dyDescent="0.25">
      <c r="B36" s="123"/>
      <c r="C36" s="117" t="s">
        <v>32</v>
      </c>
      <c r="D36" s="149"/>
      <c r="E36" s="117" t="s">
        <v>33</v>
      </c>
      <c r="F36" s="178"/>
      <c r="G36" s="149"/>
      <c r="H36" s="172" t="s">
        <v>276</v>
      </c>
      <c r="I36" s="173"/>
      <c r="J36" s="4" t="s">
        <v>27</v>
      </c>
      <c r="K36" s="4" t="s">
        <v>30</v>
      </c>
      <c r="L36" s="4" t="s">
        <v>191</v>
      </c>
      <c r="M36" s="174" t="s">
        <v>192</v>
      </c>
      <c r="N36" s="175"/>
      <c r="O36" s="4" t="s">
        <v>26</v>
      </c>
      <c r="P36" s="4" t="s">
        <v>197</v>
      </c>
      <c r="Q36" s="117" t="s">
        <v>199</v>
      </c>
      <c r="R36" s="179"/>
      <c r="S36" s="117" t="s">
        <v>202</v>
      </c>
      <c r="T36" s="179"/>
      <c r="U36" s="117" t="s">
        <v>201</v>
      </c>
      <c r="V36" s="176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31" t="s">
        <v>46</v>
      </c>
      <c r="AI36" s="177"/>
      <c r="AJ36" s="118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23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23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290</v>
      </c>
      <c r="N38" s="1" t="s">
        <v>291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14">
        <v>0</v>
      </c>
      <c r="C39" s="54"/>
      <c r="D39" s="54">
        <v>35.57581</v>
      </c>
      <c r="E39" s="54"/>
      <c r="F39" s="54"/>
      <c r="G39" s="54">
        <v>0</v>
      </c>
      <c r="H39" s="54"/>
      <c r="I39" s="54">
        <v>19.92007</v>
      </c>
      <c r="J39" s="54">
        <v>40</v>
      </c>
      <c r="K39" s="54">
        <v>46.2963</v>
      </c>
      <c r="L39" s="54">
        <v>0</v>
      </c>
      <c r="M39" s="54"/>
      <c r="N39" s="54">
        <v>22.06308</v>
      </c>
      <c r="O39" s="54">
        <v>0.05</v>
      </c>
      <c r="P39" s="54">
        <v>0.1913339</v>
      </c>
      <c r="Q39" s="54"/>
      <c r="R39" s="54">
        <v>0</v>
      </c>
      <c r="S39" s="54"/>
      <c r="T39" s="54">
        <v>0</v>
      </c>
      <c r="U39" s="71"/>
      <c r="V39" s="79">
        <v>96.29991</v>
      </c>
      <c r="W39" s="80">
        <v>16.6739</v>
      </c>
      <c r="X39" s="71">
        <v>35</v>
      </c>
      <c r="Y39" s="71">
        <v>86.57986</v>
      </c>
      <c r="Z39" s="71">
        <v>76.63846</v>
      </c>
      <c r="AA39" s="71">
        <v>93.02301</v>
      </c>
      <c r="AB39" s="71">
        <v>35</v>
      </c>
      <c r="AC39" s="71">
        <v>87.10504</v>
      </c>
      <c r="AD39" s="71">
        <v>13.03711</v>
      </c>
      <c r="AE39" s="58">
        <v>17.46962</v>
      </c>
      <c r="AF39" s="58"/>
      <c r="AG39" s="58">
        <v>0</v>
      </c>
      <c r="AH39" s="58">
        <v>0</v>
      </c>
      <c r="AI39" s="58"/>
      <c r="AJ39" s="58">
        <v>60.18518</v>
      </c>
      <c r="AK39" s="58">
        <v>48.13658</v>
      </c>
      <c r="AL39" s="59">
        <v>3.49</v>
      </c>
      <c r="AM39" s="81">
        <v>0.06</v>
      </c>
      <c r="AN39" s="72"/>
      <c r="AO39" s="58"/>
      <c r="AP39" s="58"/>
      <c r="AQ39" s="58"/>
      <c r="AR39" s="62"/>
    </row>
    <row r="40" spans="2:44" ht="13.5" customHeight="1" x14ac:dyDescent="0.25">
      <c r="B40" s="14">
        <v>0</v>
      </c>
      <c r="C40" s="54">
        <v>0</v>
      </c>
      <c r="D40" s="54">
        <v>59.9971</v>
      </c>
      <c r="E40" s="54"/>
      <c r="F40" s="54"/>
      <c r="G40" s="54">
        <v>0</v>
      </c>
      <c r="H40" s="54">
        <v>0</v>
      </c>
      <c r="I40" s="54">
        <v>20.03761</v>
      </c>
      <c r="J40" s="54">
        <v>40</v>
      </c>
      <c r="K40" s="54">
        <v>46.30534</v>
      </c>
      <c r="L40" s="54">
        <v>0</v>
      </c>
      <c r="M40" s="54">
        <v>0</v>
      </c>
      <c r="N40" s="54">
        <v>22.61466</v>
      </c>
      <c r="O40" s="54">
        <v>0.05</v>
      </c>
      <c r="P40" s="54">
        <v>0.1882957</v>
      </c>
      <c r="Q40" s="54">
        <v>0.0001977463</v>
      </c>
      <c r="R40" s="54">
        <v>0</v>
      </c>
      <c r="S40" s="54">
        <v>0</v>
      </c>
      <c r="T40" s="54">
        <v>0</v>
      </c>
      <c r="U40" s="71">
        <v>0</v>
      </c>
      <c r="V40" s="79">
        <v>90.13672</v>
      </c>
      <c r="W40" s="80">
        <v>20.19676</v>
      </c>
      <c r="X40" s="71">
        <v>35</v>
      </c>
      <c r="Y40" s="71">
        <v>86.05903</v>
      </c>
      <c r="Z40" s="71">
        <v>16.53103</v>
      </c>
      <c r="AA40" s="71">
        <v>19.9273</v>
      </c>
      <c r="AB40" s="71">
        <v>35</v>
      </c>
      <c r="AC40" s="71">
        <v>88.90192</v>
      </c>
      <c r="AD40" s="71">
        <v>13.86176</v>
      </c>
      <c r="AE40" s="58">
        <v>81.36394</v>
      </c>
      <c r="AF40" s="58">
        <v>202.9</v>
      </c>
      <c r="AG40" s="58">
        <v>0</v>
      </c>
      <c r="AH40" s="58">
        <v>0</v>
      </c>
      <c r="AI40" s="58">
        <v>0</v>
      </c>
      <c r="AJ40" s="58">
        <v>60.21774</v>
      </c>
      <c r="AK40" s="58">
        <v>47.58392</v>
      </c>
      <c r="AL40" s="59"/>
      <c r="AM40" s="81"/>
      <c r="AN40" s="72"/>
      <c r="AO40" s="58"/>
      <c r="AP40" s="58"/>
      <c r="AQ40" s="58"/>
      <c r="AR40" s="62"/>
    </row>
    <row r="41" spans="2:44" ht="13.5" customHeight="1" x14ac:dyDescent="0.25">
      <c r="B41" s="14">
        <v>0</v>
      </c>
      <c r="C41" s="54">
        <v>1.285076E-07</v>
      </c>
      <c r="D41" s="54">
        <v>73.52431</v>
      </c>
      <c r="E41" s="54"/>
      <c r="F41" s="54"/>
      <c r="G41" s="54">
        <v>0</v>
      </c>
      <c r="H41" s="54">
        <v>0</v>
      </c>
      <c r="I41" s="54">
        <v>20.25463</v>
      </c>
      <c r="J41" s="54">
        <v>40</v>
      </c>
      <c r="K41" s="54">
        <v>46.45906</v>
      </c>
      <c r="L41" s="54">
        <v>0</v>
      </c>
      <c r="M41" s="54">
        <v>0</v>
      </c>
      <c r="N41" s="54">
        <v>23.12102</v>
      </c>
      <c r="O41" s="54">
        <v>0.05</v>
      </c>
      <c r="P41" s="54">
        <v>0.1896701</v>
      </c>
      <c r="Q41" s="54">
        <v>0.000197361</v>
      </c>
      <c r="R41" s="54">
        <v>0</v>
      </c>
      <c r="S41" s="54">
        <v>0</v>
      </c>
      <c r="T41" s="54">
        <v>0</v>
      </c>
      <c r="U41" s="71">
        <v>0</v>
      </c>
      <c r="V41" s="79">
        <v>94.8206</v>
      </c>
      <c r="W41" s="80">
        <v>18.65596</v>
      </c>
      <c r="X41" s="71">
        <v>35</v>
      </c>
      <c r="Y41" s="71">
        <v>85.42535</v>
      </c>
      <c r="Z41" s="71">
        <v>16.352</v>
      </c>
      <c r="AA41" s="71">
        <v>19.30339</v>
      </c>
      <c r="AB41" s="71">
        <v>35</v>
      </c>
      <c r="AC41" s="71">
        <v>88.88455</v>
      </c>
      <c r="AD41" s="71">
        <v>16.72815</v>
      </c>
      <c r="AE41" s="58">
        <v>81.47244</v>
      </c>
      <c r="AF41" s="58"/>
      <c r="AG41" s="58">
        <v>5.374711</v>
      </c>
      <c r="AH41" s="58">
        <v>0</v>
      </c>
      <c r="AI41" s="58">
        <v>0</v>
      </c>
      <c r="AJ41" s="58">
        <v>60.24667</v>
      </c>
      <c r="AK41" s="58">
        <v>47.03125</v>
      </c>
      <c r="AL41" s="59"/>
      <c r="AM41" s="81"/>
      <c r="AN41" s="72"/>
      <c r="AO41" s="58"/>
      <c r="AP41" s="58"/>
      <c r="AQ41" s="58"/>
      <c r="AR41" s="62"/>
    </row>
    <row r="42" spans="2:44" ht="13.5" customHeight="1" x14ac:dyDescent="0.25">
      <c r="B42" s="14">
        <v>0</v>
      </c>
      <c r="C42" s="54">
        <v>1.133442E-06</v>
      </c>
      <c r="D42" s="54">
        <v>66.47135</v>
      </c>
      <c r="E42" s="54"/>
      <c r="F42" s="54"/>
      <c r="G42" s="54">
        <v>0</v>
      </c>
      <c r="H42" s="54">
        <v>0</v>
      </c>
      <c r="I42" s="54">
        <v>20.55302</v>
      </c>
      <c r="J42" s="54">
        <v>40</v>
      </c>
      <c r="K42" s="54">
        <v>46.39576</v>
      </c>
      <c r="L42" s="54">
        <v>0</v>
      </c>
      <c r="M42" s="54">
        <v>0</v>
      </c>
      <c r="N42" s="54">
        <v>23.61835</v>
      </c>
      <c r="O42" s="54">
        <v>0.05</v>
      </c>
      <c r="P42" s="54">
        <v>0.1889468</v>
      </c>
      <c r="Q42" s="54">
        <v>0.0002004585</v>
      </c>
      <c r="R42" s="54">
        <v>0</v>
      </c>
      <c r="S42" s="54">
        <v>0</v>
      </c>
      <c r="T42" s="54">
        <v>0</v>
      </c>
      <c r="U42" s="71">
        <v>0</v>
      </c>
      <c r="V42" s="79">
        <v>97.1535</v>
      </c>
      <c r="W42" s="80">
        <v>16.64496</v>
      </c>
      <c r="X42" s="71">
        <v>32.5</v>
      </c>
      <c r="Y42" s="71">
        <v>78.20312</v>
      </c>
      <c r="Z42" s="71">
        <v>16.47136</v>
      </c>
      <c r="AA42" s="71">
        <v>19.63433</v>
      </c>
      <c r="AB42" s="71">
        <v>33</v>
      </c>
      <c r="AC42" s="71">
        <v>83.37674</v>
      </c>
      <c r="AD42" s="71">
        <v>18.17311</v>
      </c>
      <c r="AE42" s="58">
        <v>73.19336</v>
      </c>
      <c r="AF42" s="58"/>
      <c r="AG42" s="58">
        <v>7.689525</v>
      </c>
      <c r="AH42" s="58">
        <v>0</v>
      </c>
      <c r="AI42" s="58">
        <v>0</v>
      </c>
      <c r="AJ42" s="58">
        <v>60.24305</v>
      </c>
      <c r="AK42" s="58">
        <v>46.57697</v>
      </c>
      <c r="AL42" s="59"/>
      <c r="AM42" s="81"/>
      <c r="AN42" s="72"/>
      <c r="AO42" s="58"/>
      <c r="AP42" s="58"/>
      <c r="AQ42" s="58"/>
      <c r="AR42" s="62"/>
    </row>
    <row r="43" spans="2:44" ht="13.5" customHeight="1" x14ac:dyDescent="0.25">
      <c r="B43" s="14">
        <v>0</v>
      </c>
      <c r="C43" s="54">
        <v>0</v>
      </c>
      <c r="D43" s="54">
        <v>59.89583</v>
      </c>
      <c r="E43" s="54"/>
      <c r="F43" s="54"/>
      <c r="G43" s="54">
        <v>0</v>
      </c>
      <c r="H43" s="54">
        <v>0</v>
      </c>
      <c r="I43" s="54">
        <v>20.90567</v>
      </c>
      <c r="J43" s="54">
        <v>40</v>
      </c>
      <c r="K43" s="54">
        <v>46.4681</v>
      </c>
      <c r="L43" s="54">
        <v>0</v>
      </c>
      <c r="M43" s="54">
        <v>0</v>
      </c>
      <c r="N43" s="54">
        <v>24.20609</v>
      </c>
      <c r="O43" s="54">
        <v>0.05</v>
      </c>
      <c r="P43" s="54">
        <v>0.1910446</v>
      </c>
      <c r="Q43" s="54">
        <v>0.000196888</v>
      </c>
      <c r="R43" s="54">
        <v>0</v>
      </c>
      <c r="S43" s="54">
        <v>0</v>
      </c>
      <c r="T43" s="54">
        <v>0</v>
      </c>
      <c r="U43" s="71">
        <v>0</v>
      </c>
      <c r="V43" s="79">
        <v>91.81134</v>
      </c>
      <c r="W43" s="80">
        <v>16.27242</v>
      </c>
      <c r="X43" s="71">
        <v>30</v>
      </c>
      <c r="Y43" s="71">
        <v>71.97049</v>
      </c>
      <c r="Z43" s="71">
        <v>16.43338</v>
      </c>
      <c r="AA43" s="71">
        <v>19.77539</v>
      </c>
      <c r="AB43" s="71">
        <v>30</v>
      </c>
      <c r="AC43" s="71">
        <v>75.46875</v>
      </c>
      <c r="AD43" s="71">
        <v>19.16594</v>
      </c>
      <c r="AE43" s="58">
        <v>69.22743</v>
      </c>
      <c r="AF43" s="58"/>
      <c r="AG43" s="58">
        <v>0</v>
      </c>
      <c r="AH43" s="58">
        <v>0</v>
      </c>
      <c r="AI43" s="58">
        <v>0.0002486942</v>
      </c>
      <c r="AJ43" s="58">
        <v>60.30093</v>
      </c>
      <c r="AK43" s="58">
        <v>46.07928</v>
      </c>
      <c r="AL43" s="59"/>
      <c r="AM43" s="81"/>
      <c r="AN43" s="72"/>
      <c r="AO43" s="58"/>
      <c r="AP43" s="58"/>
      <c r="AQ43" s="58"/>
      <c r="AR43" s="62"/>
    </row>
    <row r="44" spans="2:44" ht="13.5" customHeight="1" x14ac:dyDescent="0.25">
      <c r="B44" s="14">
        <v>0</v>
      </c>
      <c r="C44" s="54">
        <v>1.6222E-06</v>
      </c>
      <c r="D44" s="54">
        <v>42.1441</v>
      </c>
      <c r="E44" s="54"/>
      <c r="F44" s="54"/>
      <c r="G44" s="54">
        <v>0</v>
      </c>
      <c r="H44" s="54">
        <v>0</v>
      </c>
      <c r="I44" s="54">
        <v>21.28545</v>
      </c>
      <c r="J44" s="54">
        <v>40</v>
      </c>
      <c r="K44" s="54">
        <v>46.60373</v>
      </c>
      <c r="L44" s="54">
        <v>0</v>
      </c>
      <c r="M44" s="54">
        <v>0</v>
      </c>
      <c r="N44" s="54">
        <v>25.07415</v>
      </c>
      <c r="O44" s="54">
        <v>0.05</v>
      </c>
      <c r="P44" s="54">
        <v>0.2002315</v>
      </c>
      <c r="Q44" s="54">
        <v>0.0001971893</v>
      </c>
      <c r="R44" s="54">
        <v>0</v>
      </c>
      <c r="S44" s="54">
        <v>0</v>
      </c>
      <c r="T44" s="54">
        <v>0</v>
      </c>
      <c r="U44" s="71">
        <v>0</v>
      </c>
      <c r="V44" s="79">
        <v>94.84592</v>
      </c>
      <c r="W44" s="80">
        <v>17.03197</v>
      </c>
      <c r="X44" s="71">
        <v>28</v>
      </c>
      <c r="Y44" s="71">
        <v>66.99219</v>
      </c>
      <c r="Z44" s="71">
        <v>16.824</v>
      </c>
      <c r="AA44" s="71">
        <v>19.9924</v>
      </c>
      <c r="AB44" s="71">
        <v>28</v>
      </c>
      <c r="AC44" s="71">
        <v>70.33421</v>
      </c>
      <c r="AD44" s="71">
        <v>20.00506</v>
      </c>
      <c r="AE44" s="58">
        <v>66.3954</v>
      </c>
      <c r="AF44" s="58">
        <v>1</v>
      </c>
      <c r="AG44" s="58">
        <v>12.78574</v>
      </c>
      <c r="AH44" s="58">
        <v>0</v>
      </c>
      <c r="AI44" s="58">
        <v>0</v>
      </c>
      <c r="AJ44" s="58">
        <v>60.32263</v>
      </c>
      <c r="AK44" s="58">
        <v>45.62211</v>
      </c>
      <c r="AL44" s="59"/>
      <c r="AM44" s="81"/>
      <c r="AN44" s="72"/>
      <c r="AO44" s="58"/>
      <c r="AP44" s="58"/>
      <c r="AQ44" s="58"/>
      <c r="AR44" s="62"/>
    </row>
    <row r="45" spans="2:44" ht="13.5" customHeight="1" x14ac:dyDescent="0.25">
      <c r="B45" s="14">
        <v>0</v>
      </c>
      <c r="C45" s="54">
        <v>1.528978E-06</v>
      </c>
      <c r="D45" s="54">
        <v>56.83594</v>
      </c>
      <c r="E45" s="54"/>
      <c r="F45" s="54"/>
      <c r="G45" s="54">
        <v>0</v>
      </c>
      <c r="H45" s="54">
        <v>0</v>
      </c>
      <c r="I45" s="54">
        <v>21.86415</v>
      </c>
      <c r="J45" s="54">
        <v>40</v>
      </c>
      <c r="K45" s="54">
        <v>46.75745</v>
      </c>
      <c r="L45" s="54">
        <v>0</v>
      </c>
      <c r="M45" s="54">
        <v>0</v>
      </c>
      <c r="N45" s="54">
        <v>26.21347</v>
      </c>
      <c r="O45" s="54">
        <v>0.05</v>
      </c>
      <c r="P45" s="54">
        <v>0.2010272</v>
      </c>
      <c r="Q45" s="54">
        <v>0.0001988716</v>
      </c>
      <c r="R45" s="54">
        <v>0</v>
      </c>
      <c r="S45" s="54">
        <v>0</v>
      </c>
      <c r="T45" s="54">
        <v>0</v>
      </c>
      <c r="U45" s="71">
        <v>0</v>
      </c>
      <c r="V45" s="79">
        <v>97.18243</v>
      </c>
      <c r="W45" s="80">
        <v>16.10243</v>
      </c>
      <c r="X45" s="71">
        <v>28</v>
      </c>
      <c r="Y45" s="71">
        <v>66.64931</v>
      </c>
      <c r="Z45" s="71">
        <v>19.16775</v>
      </c>
      <c r="AA45" s="71">
        <v>20.18772</v>
      </c>
      <c r="AB45" s="71">
        <v>28</v>
      </c>
      <c r="AC45" s="71">
        <v>70.19098</v>
      </c>
      <c r="AD45" s="71">
        <v>29.99855</v>
      </c>
      <c r="AE45" s="58">
        <v>71.39758</v>
      </c>
      <c r="AF45" s="58"/>
      <c r="AG45" s="58">
        <v>0</v>
      </c>
      <c r="AH45" s="58">
        <v>0</v>
      </c>
      <c r="AI45" s="58">
        <v>0</v>
      </c>
      <c r="AJ45" s="58">
        <v>60.37688</v>
      </c>
      <c r="AK45" s="58">
        <v>45.22859</v>
      </c>
      <c r="AL45" s="59"/>
      <c r="AM45" s="81"/>
      <c r="AN45" s="72"/>
      <c r="AO45" s="58"/>
      <c r="AP45" s="58"/>
      <c r="AQ45" s="58"/>
      <c r="AR45" s="62"/>
    </row>
    <row r="46" spans="2:44" ht="13.5" customHeight="1" x14ac:dyDescent="0.25">
      <c r="B46" s="14">
        <v>0</v>
      </c>
      <c r="C46" s="54">
        <v>0</v>
      </c>
      <c r="D46" s="54">
        <v>62.08767</v>
      </c>
      <c r="E46" s="54"/>
      <c r="F46" s="54"/>
      <c r="G46" s="54">
        <v>0</v>
      </c>
      <c r="H46" s="54">
        <v>0</v>
      </c>
      <c r="I46" s="54">
        <v>22.35243</v>
      </c>
      <c r="J46" s="54">
        <v>40</v>
      </c>
      <c r="K46" s="54">
        <v>46.71224</v>
      </c>
      <c r="L46" s="54">
        <v>0</v>
      </c>
      <c r="M46" s="54">
        <v>0</v>
      </c>
      <c r="N46" s="54">
        <v>27.0544</v>
      </c>
      <c r="O46" s="54">
        <v>0.05</v>
      </c>
      <c r="P46" s="54">
        <v>0.1940104</v>
      </c>
      <c r="Q46" s="54">
        <v>0.0001959</v>
      </c>
      <c r="R46" s="54">
        <v>0</v>
      </c>
      <c r="S46" s="54">
        <v>0</v>
      </c>
      <c r="T46" s="54">
        <v>0</v>
      </c>
      <c r="U46" s="71">
        <v>0</v>
      </c>
      <c r="V46" s="79">
        <v>92.37196</v>
      </c>
      <c r="W46" s="80">
        <v>17.06453</v>
      </c>
      <c r="X46" s="71">
        <v>28</v>
      </c>
      <c r="Y46" s="71">
        <v>67.19618</v>
      </c>
      <c r="Z46" s="71">
        <v>14.69727</v>
      </c>
      <c r="AA46" s="71">
        <v>80.97874</v>
      </c>
      <c r="AB46" s="71">
        <v>28</v>
      </c>
      <c r="AC46" s="71">
        <v>70.31684</v>
      </c>
      <c r="AD46" s="71">
        <v>17.4226</v>
      </c>
      <c r="AE46" s="58">
        <v>20.29622</v>
      </c>
      <c r="AF46" s="58"/>
      <c r="AG46" s="58">
        <v>0</v>
      </c>
      <c r="AH46" s="58">
        <v>0</v>
      </c>
      <c r="AI46" s="58">
        <v>0</v>
      </c>
      <c r="AJ46" s="58">
        <v>60.4239</v>
      </c>
      <c r="AK46" s="58">
        <v>66.26736</v>
      </c>
      <c r="AL46" s="59"/>
      <c r="AM46" s="81"/>
      <c r="AN46" s="72"/>
      <c r="AO46" s="58"/>
      <c r="AP46" s="58"/>
      <c r="AQ46" s="58"/>
      <c r="AR46" s="62"/>
    </row>
    <row r="47" spans="2:44" ht="13.5" customHeight="1" x14ac:dyDescent="0.25">
      <c r="B47" s="14">
        <v>0</v>
      </c>
      <c r="C47" s="54">
        <v>5.726814E-07</v>
      </c>
      <c r="D47" s="54">
        <v>75.07957</v>
      </c>
      <c r="E47" s="54"/>
      <c r="F47" s="54"/>
      <c r="G47" s="54">
        <v>0</v>
      </c>
      <c r="H47" s="54">
        <v>0</v>
      </c>
      <c r="I47" s="54">
        <v>22.92209</v>
      </c>
      <c r="J47" s="54">
        <v>40</v>
      </c>
      <c r="K47" s="54">
        <v>43.78255</v>
      </c>
      <c r="L47" s="54">
        <v>0</v>
      </c>
      <c r="M47" s="54">
        <v>0</v>
      </c>
      <c r="N47" s="54">
        <v>27.71448</v>
      </c>
      <c r="O47" s="54">
        <v>0.05</v>
      </c>
      <c r="P47" s="54">
        <v>0.1943721</v>
      </c>
      <c r="Q47" s="54">
        <v>0.0001990433</v>
      </c>
      <c r="R47" s="54">
        <v>0</v>
      </c>
      <c r="S47" s="54">
        <v>0</v>
      </c>
      <c r="T47" s="54">
        <v>0</v>
      </c>
      <c r="U47" s="71">
        <v>0</v>
      </c>
      <c r="V47" s="79">
        <v>96.87138</v>
      </c>
      <c r="W47" s="80">
        <v>17.11878</v>
      </c>
      <c r="X47" s="71">
        <v>28</v>
      </c>
      <c r="Y47" s="71">
        <v>66.61459</v>
      </c>
      <c r="Z47" s="71">
        <v>17.50217</v>
      </c>
      <c r="AA47" s="71">
        <v>67.52387</v>
      </c>
      <c r="AB47" s="71">
        <v>28</v>
      </c>
      <c r="AC47" s="71">
        <v>69.92188</v>
      </c>
      <c r="AD47" s="71">
        <v>16.86921</v>
      </c>
      <c r="AE47" s="58">
        <v>19.61806</v>
      </c>
      <c r="AF47" s="58"/>
      <c r="AG47" s="58">
        <v>2.897135</v>
      </c>
      <c r="AH47" s="58">
        <v>0</v>
      </c>
      <c r="AI47" s="58">
        <v>0</v>
      </c>
      <c r="AJ47" s="58">
        <v>60.4239</v>
      </c>
      <c r="AK47" s="58">
        <v>65.82755</v>
      </c>
      <c r="AL47" s="59"/>
      <c r="AM47" s="81"/>
      <c r="AN47" s="72"/>
      <c r="AO47" s="58"/>
      <c r="AP47" s="58"/>
      <c r="AQ47" s="58"/>
      <c r="AR47" s="62"/>
    </row>
    <row r="48" spans="2:44" ht="13.5" customHeight="1" x14ac:dyDescent="0.25">
      <c r="B48" s="14">
        <v>0</v>
      </c>
      <c r="C48" s="54">
        <v>1.602888E-06</v>
      </c>
      <c r="D48" s="54">
        <v>57.50868</v>
      </c>
      <c r="E48" s="54"/>
      <c r="F48" s="54"/>
      <c r="G48" s="54">
        <v>0</v>
      </c>
      <c r="H48" s="54">
        <v>0</v>
      </c>
      <c r="I48" s="54">
        <v>23.54601</v>
      </c>
      <c r="J48" s="54">
        <v>40</v>
      </c>
      <c r="K48" s="54">
        <v>42.04644</v>
      </c>
      <c r="L48" s="54">
        <v>0</v>
      </c>
      <c r="M48" s="54">
        <v>0</v>
      </c>
      <c r="N48" s="54">
        <v>28.05809</v>
      </c>
      <c r="O48" s="54">
        <v>0.05</v>
      </c>
      <c r="P48" s="54">
        <v>0.2001591</v>
      </c>
      <c r="Q48" s="54">
        <v>0.000197422</v>
      </c>
      <c r="R48" s="54">
        <v>0</v>
      </c>
      <c r="S48" s="54">
        <v>0</v>
      </c>
      <c r="T48" s="54">
        <v>0</v>
      </c>
      <c r="U48" s="71">
        <v>0</v>
      </c>
      <c r="V48" s="79">
        <v>98.52792</v>
      </c>
      <c r="W48" s="80">
        <v>16.7173</v>
      </c>
      <c r="X48" s="71">
        <v>28</v>
      </c>
      <c r="Y48" s="71">
        <v>66.11111</v>
      </c>
      <c r="Z48" s="71">
        <v>18.86393</v>
      </c>
      <c r="AA48" s="71">
        <v>63.1836</v>
      </c>
      <c r="AB48" s="71">
        <v>28</v>
      </c>
      <c r="AC48" s="71">
        <v>69.61372</v>
      </c>
      <c r="AD48" s="71">
        <v>15.9451</v>
      </c>
      <c r="AE48" s="58">
        <v>18.45703</v>
      </c>
      <c r="AF48" s="58"/>
      <c r="AG48" s="58">
        <v>0</v>
      </c>
      <c r="AH48" s="58">
        <v>0</v>
      </c>
      <c r="AI48" s="58">
        <v>0</v>
      </c>
      <c r="AJ48" s="58">
        <v>60.4673</v>
      </c>
      <c r="AK48" s="58">
        <v>63.30151</v>
      </c>
      <c r="AL48" s="59"/>
      <c r="AM48" s="81"/>
      <c r="AN48" s="72"/>
      <c r="AO48" s="58"/>
      <c r="AP48" s="58"/>
      <c r="AQ48" s="58"/>
      <c r="AR48" s="62"/>
    </row>
    <row r="49" spans="2:44" ht="13.5" customHeight="1" x14ac:dyDescent="0.25">
      <c r="B49" s="14">
        <v>0</v>
      </c>
      <c r="C49" s="54">
        <v>1.176071E-05</v>
      </c>
      <c r="D49" s="54">
        <v>51.82291</v>
      </c>
      <c r="E49" s="54"/>
      <c r="F49" s="54"/>
      <c r="G49" s="54">
        <v>0</v>
      </c>
      <c r="H49" s="54">
        <v>0</v>
      </c>
      <c r="I49" s="54">
        <v>24.06141</v>
      </c>
      <c r="J49" s="54">
        <v>40</v>
      </c>
      <c r="K49" s="54">
        <v>39.28856</v>
      </c>
      <c r="L49" s="54">
        <v>0</v>
      </c>
      <c r="M49" s="54">
        <v>0</v>
      </c>
      <c r="N49" s="54">
        <v>28.22989</v>
      </c>
      <c r="O49" s="54">
        <v>0.05</v>
      </c>
      <c r="P49" s="54">
        <v>0.1956742</v>
      </c>
      <c r="Q49" s="54">
        <v>0.000197567</v>
      </c>
      <c r="R49" s="54">
        <v>0</v>
      </c>
      <c r="S49" s="54">
        <v>0</v>
      </c>
      <c r="T49" s="54">
        <v>0</v>
      </c>
      <c r="U49" s="71">
        <v>0</v>
      </c>
      <c r="V49" s="79">
        <v>93.16045</v>
      </c>
      <c r="W49" s="80">
        <v>17.7011</v>
      </c>
      <c r="X49" s="71">
        <v>28</v>
      </c>
      <c r="Y49" s="71">
        <v>66.84028</v>
      </c>
      <c r="Z49" s="71">
        <v>19.19488</v>
      </c>
      <c r="AA49" s="71">
        <v>60.00977</v>
      </c>
      <c r="AB49" s="71">
        <v>28</v>
      </c>
      <c r="AC49" s="71">
        <v>69.82205</v>
      </c>
      <c r="AD49" s="71">
        <v>15.28139</v>
      </c>
      <c r="AE49" s="58">
        <v>17.83312</v>
      </c>
      <c r="AF49" s="58"/>
      <c r="AG49" s="58">
        <v>0</v>
      </c>
      <c r="AH49" s="58">
        <v>0</v>
      </c>
      <c r="AI49" s="58">
        <v>9.403777E-05</v>
      </c>
      <c r="AJ49" s="58">
        <v>60.49624</v>
      </c>
      <c r="AK49" s="58">
        <v>61.16031</v>
      </c>
      <c r="AL49" s="59"/>
      <c r="AM49" s="81"/>
      <c r="AN49" s="72"/>
      <c r="AO49" s="58"/>
      <c r="AP49" s="58"/>
      <c r="AQ49" s="58"/>
      <c r="AR49" s="62"/>
    </row>
    <row r="50" spans="2:44" ht="13.5" customHeight="1" x14ac:dyDescent="0.25">
      <c r="B50" s="14">
        <v>0.01880787</v>
      </c>
      <c r="C50" s="54">
        <v>1.723051E-06</v>
      </c>
      <c r="D50" s="54">
        <v>44.40828</v>
      </c>
      <c r="E50" s="54"/>
      <c r="F50" s="54"/>
      <c r="G50" s="54">
        <v>0</v>
      </c>
      <c r="H50" s="54">
        <v>0</v>
      </c>
      <c r="I50" s="54">
        <v>24.50448</v>
      </c>
      <c r="J50" s="54">
        <v>40</v>
      </c>
      <c r="K50" s="54">
        <v>37.10033</v>
      </c>
      <c r="L50" s="54">
        <v>0</v>
      </c>
      <c r="M50" s="54">
        <v>0</v>
      </c>
      <c r="N50" s="54">
        <v>28.15755</v>
      </c>
      <c r="O50" s="54">
        <v>0.05</v>
      </c>
      <c r="P50" s="54">
        <v>0.1187789</v>
      </c>
      <c r="Q50" s="54">
        <v>0.0001531601</v>
      </c>
      <c r="R50" s="54">
        <v>0</v>
      </c>
      <c r="S50" s="54">
        <v>0</v>
      </c>
      <c r="T50" s="54">
        <v>0</v>
      </c>
      <c r="U50" s="71">
        <v>0</v>
      </c>
      <c r="V50" s="79">
        <v>95.7393</v>
      </c>
      <c r="W50" s="80">
        <v>17.06091</v>
      </c>
      <c r="X50" s="71">
        <v>28</v>
      </c>
      <c r="Y50" s="71">
        <v>66.14149</v>
      </c>
      <c r="Z50" s="71">
        <v>18.89648</v>
      </c>
      <c r="AA50" s="71">
        <v>57.37305</v>
      </c>
      <c r="AB50" s="71">
        <v>28</v>
      </c>
      <c r="AC50" s="71">
        <v>69.53559</v>
      </c>
      <c r="AD50" s="71">
        <v>14.87449</v>
      </c>
      <c r="AE50" s="58">
        <v>17.46962</v>
      </c>
      <c r="AF50" s="58"/>
      <c r="AG50" s="58">
        <v>0</v>
      </c>
      <c r="AH50" s="58">
        <v>0</v>
      </c>
      <c r="AI50" s="58">
        <v>0</v>
      </c>
      <c r="AJ50" s="58">
        <v>60.46007</v>
      </c>
      <c r="AK50" s="58">
        <v>59.55151</v>
      </c>
      <c r="AL50" s="59"/>
      <c r="AM50" s="81"/>
      <c r="AN50" s="72"/>
      <c r="AO50" s="58"/>
      <c r="AP50" s="58"/>
      <c r="AQ50" s="58"/>
      <c r="AR50" s="62"/>
    </row>
    <row r="51" spans="2:44" ht="13.5" customHeight="1" x14ac:dyDescent="0.25">
      <c r="B51" s="14">
        <v>0</v>
      </c>
      <c r="C51" s="63">
        <v>1.379418E-05</v>
      </c>
      <c r="D51" s="63">
        <v>50.15191</v>
      </c>
      <c r="E51" s="63"/>
      <c r="F51" s="63"/>
      <c r="G51" s="63">
        <v>0</v>
      </c>
      <c r="H51" s="63">
        <v>0</v>
      </c>
      <c r="I51" s="63">
        <v>24.77575</v>
      </c>
      <c r="J51" s="63">
        <v>40</v>
      </c>
      <c r="K51" s="63">
        <v>36.14185</v>
      </c>
      <c r="L51" s="63">
        <v>0</v>
      </c>
      <c r="M51" s="63">
        <v>0</v>
      </c>
      <c r="N51" s="63">
        <v>27.9315</v>
      </c>
      <c r="O51" s="63">
        <v>0.05</v>
      </c>
      <c r="P51" s="63">
        <v>0.1270978</v>
      </c>
      <c r="Q51" s="63">
        <v>0.0001249771</v>
      </c>
      <c r="R51" s="63">
        <v>0</v>
      </c>
      <c r="S51" s="63">
        <v>0</v>
      </c>
      <c r="T51" s="63">
        <v>0</v>
      </c>
      <c r="U51" s="74">
        <v>0</v>
      </c>
      <c r="V51" s="82">
        <v>93.07002</v>
      </c>
      <c r="W51" s="83">
        <v>16.03009</v>
      </c>
      <c r="X51" s="74">
        <v>28</v>
      </c>
      <c r="Y51" s="74">
        <v>65.97223</v>
      </c>
      <c r="Z51" s="74">
        <v>18.59809</v>
      </c>
      <c r="AA51" s="74">
        <v>55.15408</v>
      </c>
      <c r="AB51" s="74">
        <v>28</v>
      </c>
      <c r="AC51" s="74">
        <v>69.12761</v>
      </c>
      <c r="AD51" s="74">
        <v>14.04803</v>
      </c>
      <c r="AE51" s="67">
        <v>16.71007</v>
      </c>
      <c r="AF51" s="67"/>
      <c r="AG51" s="67">
        <v>0</v>
      </c>
      <c r="AH51" s="67">
        <v>0</v>
      </c>
      <c r="AI51" s="67">
        <v>0</v>
      </c>
      <c r="AJ51" s="67">
        <v>60.40943</v>
      </c>
      <c r="AK51" s="67">
        <v>58.07292</v>
      </c>
      <c r="AL51" s="68"/>
      <c r="AM51" s="84"/>
      <c r="AN51" s="75"/>
      <c r="AO51" s="67"/>
      <c r="AP51" s="67"/>
      <c r="AQ51" s="67"/>
      <c r="AR51" s="78"/>
    </row>
    <row r="52" spans="2:44" ht="13.5" customHeight="1" x14ac:dyDescent="0.25">
      <c r="B52" s="147" t="s">
        <v>372</v>
      </c>
      <c r="C52" s="148"/>
      <c r="D52" s="9" t="s">
        <v>19</v>
      </c>
      <c r="E52" s="124" t="s">
        <v>20</v>
      </c>
      <c r="F52" s="127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  <c r="AN52" s="128"/>
      <c r="AO52" s="129"/>
      <c r="AP52" s="129"/>
      <c r="AQ52" s="129"/>
      <c r="AR52" s="130"/>
    </row>
    <row r="53" spans="2:44" ht="13.5" customHeight="1" x14ac:dyDescent="0.25">
      <c r="B53" s="123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31"/>
      <c r="AP53" s="131"/>
      <c r="AQ53" s="131"/>
      <c r="AR53" s="132"/>
    </row>
    <row r="54" spans="2:44" ht="13.5" customHeight="1" thickBot="1" x14ac:dyDescent="0.3">
      <c r="B54" s="135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  <c r="AD54" s="126"/>
      <c r="AE54" s="126"/>
      <c r="AF54" s="126"/>
      <c r="AG54" s="126"/>
      <c r="AH54" s="126"/>
      <c r="AI54" s="126"/>
      <c r="AJ54" s="126"/>
      <c r="AK54" s="126"/>
      <c r="AL54" s="126"/>
      <c r="AM54" s="126"/>
      <c r="AN54" s="126"/>
      <c r="AO54" s="133"/>
      <c r="AP54" s="133"/>
      <c r="AQ54" s="133"/>
      <c r="AR54" s="134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19" sqref="B19:L24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50" t="s">
        <v>230</v>
      </c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1"/>
      <c r="AF1" s="151"/>
      <c r="AG1" s="151"/>
      <c r="AH1" s="151"/>
      <c r="AI1" s="151"/>
      <c r="AJ1" s="151"/>
      <c r="AK1" s="151"/>
      <c r="AL1" s="151"/>
      <c r="AM1" s="151"/>
      <c r="AN1" s="151"/>
      <c r="AO1" s="151"/>
      <c r="AP1" s="151"/>
      <c r="AQ1" s="151"/>
      <c r="AR1" s="151"/>
      <c r="AS1" s="151"/>
      <c r="AT1" s="151"/>
      <c r="AU1" s="151"/>
      <c r="AV1" s="151"/>
      <c r="AW1" s="151"/>
      <c r="AX1" s="151"/>
      <c r="AY1" s="151"/>
      <c r="AZ1" s="151"/>
      <c r="BA1" s="151"/>
      <c r="BB1" s="151"/>
      <c r="BC1" s="151"/>
      <c r="BD1" s="151"/>
      <c r="BE1" s="151"/>
      <c r="BF1" s="151"/>
    </row>
    <row r="2" spans="2:58" ht="13" customHeight="1" x14ac:dyDescent="0.25">
      <c r="B2" s="197" t="s">
        <v>232</v>
      </c>
      <c r="C2" s="160"/>
      <c r="D2" s="160"/>
      <c r="E2" s="160"/>
      <c r="F2" s="160"/>
      <c r="G2" s="160"/>
      <c r="H2" s="160"/>
      <c r="I2" s="160"/>
      <c r="J2" s="160"/>
      <c r="K2" s="160"/>
      <c r="L2" s="165"/>
      <c r="M2" s="198" t="s">
        <v>231</v>
      </c>
      <c r="N2" s="160"/>
      <c r="O2" s="160"/>
      <c r="P2" s="160"/>
      <c r="Q2" s="160"/>
      <c r="R2" s="160"/>
      <c r="S2" s="160"/>
      <c r="T2" s="160"/>
      <c r="U2" s="160"/>
      <c r="V2" s="160"/>
      <c r="W2" s="165"/>
      <c r="X2" s="110" t="s">
        <v>233</v>
      </c>
      <c r="Y2" s="160"/>
      <c r="Z2" s="160"/>
      <c r="AA2" s="160"/>
      <c r="AB2" s="160"/>
      <c r="AC2" s="160"/>
      <c r="AD2" s="160"/>
      <c r="AE2" s="160"/>
      <c r="AF2" s="160"/>
      <c r="AG2" s="160"/>
      <c r="AH2" s="165"/>
      <c r="AI2" s="198" t="s">
        <v>234</v>
      </c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5"/>
      <c r="AU2" s="110" t="s">
        <v>235</v>
      </c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99"/>
    </row>
    <row r="3" spans="2:58" ht="13" customHeight="1" x14ac:dyDescent="0.25">
      <c r="B3" s="201"/>
      <c r="C3" s="185"/>
      <c r="D3" s="185"/>
      <c r="E3" s="185"/>
      <c r="F3" s="185"/>
      <c r="G3" s="185"/>
      <c r="H3" s="185"/>
      <c r="I3" s="185"/>
      <c r="J3" s="185"/>
      <c r="K3" s="185"/>
      <c r="L3" s="186"/>
      <c r="M3" s="204"/>
      <c r="N3" s="185"/>
      <c r="O3" s="185"/>
      <c r="P3" s="185"/>
      <c r="Q3" s="185"/>
      <c r="R3" s="185"/>
      <c r="S3" s="185"/>
      <c r="T3" s="185"/>
      <c r="U3" s="185"/>
      <c r="V3" s="185"/>
      <c r="W3" s="186"/>
      <c r="X3" s="192"/>
      <c r="Y3" s="185"/>
      <c r="Z3" s="185"/>
      <c r="AA3" s="185"/>
      <c r="AB3" s="185"/>
      <c r="AC3" s="185"/>
      <c r="AD3" s="185"/>
      <c r="AE3" s="185"/>
      <c r="AF3" s="185"/>
      <c r="AG3" s="185"/>
      <c r="AH3" s="186"/>
      <c r="AI3" s="214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6"/>
      <c r="AU3" s="192"/>
      <c r="AV3" s="185"/>
      <c r="AW3" s="185"/>
      <c r="AX3" s="185"/>
      <c r="AY3" s="185"/>
      <c r="AZ3" s="185"/>
      <c r="BA3" s="185"/>
      <c r="BB3" s="185"/>
      <c r="BC3" s="185"/>
      <c r="BD3" s="185"/>
      <c r="BE3" s="185"/>
      <c r="BF3" s="194"/>
    </row>
    <row r="4" spans="2:58" ht="13" customHeight="1" x14ac:dyDescent="0.25">
      <c r="B4" s="202"/>
      <c r="C4" s="188"/>
      <c r="D4" s="188"/>
      <c r="E4" s="188"/>
      <c r="F4" s="188"/>
      <c r="G4" s="188"/>
      <c r="H4" s="188"/>
      <c r="I4" s="188"/>
      <c r="J4" s="188"/>
      <c r="K4" s="188"/>
      <c r="L4" s="189"/>
      <c r="M4" s="187"/>
      <c r="N4" s="188"/>
      <c r="O4" s="188"/>
      <c r="P4" s="188"/>
      <c r="Q4" s="188"/>
      <c r="R4" s="188"/>
      <c r="S4" s="188"/>
      <c r="T4" s="188"/>
      <c r="U4" s="188"/>
      <c r="V4" s="188"/>
      <c r="W4" s="189"/>
      <c r="X4" s="187"/>
      <c r="Y4" s="188"/>
      <c r="Z4" s="188"/>
      <c r="AA4" s="188"/>
      <c r="AB4" s="188"/>
      <c r="AC4" s="188"/>
      <c r="AD4" s="188"/>
      <c r="AE4" s="188"/>
      <c r="AF4" s="188"/>
      <c r="AG4" s="188"/>
      <c r="AH4" s="189"/>
      <c r="AI4" s="187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9"/>
      <c r="AU4" s="187"/>
      <c r="AV4" s="188"/>
      <c r="AW4" s="188"/>
      <c r="AX4" s="188"/>
      <c r="AY4" s="188"/>
      <c r="AZ4" s="188"/>
      <c r="BA4" s="188"/>
      <c r="BB4" s="188"/>
      <c r="BC4" s="188"/>
      <c r="BD4" s="188"/>
      <c r="BE4" s="188"/>
      <c r="BF4" s="195"/>
    </row>
    <row r="5" spans="2:58" ht="13" customHeight="1" x14ac:dyDescent="0.25">
      <c r="B5" s="202"/>
      <c r="C5" s="188"/>
      <c r="D5" s="188"/>
      <c r="E5" s="188"/>
      <c r="F5" s="188"/>
      <c r="G5" s="188"/>
      <c r="H5" s="188"/>
      <c r="I5" s="188"/>
      <c r="J5" s="188"/>
      <c r="K5" s="188"/>
      <c r="L5" s="189"/>
      <c r="M5" s="187"/>
      <c r="N5" s="188"/>
      <c r="O5" s="188"/>
      <c r="P5" s="188"/>
      <c r="Q5" s="188"/>
      <c r="R5" s="188"/>
      <c r="S5" s="188"/>
      <c r="T5" s="188"/>
      <c r="U5" s="188"/>
      <c r="V5" s="188"/>
      <c r="W5" s="189"/>
      <c r="X5" s="187"/>
      <c r="Y5" s="188"/>
      <c r="Z5" s="188"/>
      <c r="AA5" s="188"/>
      <c r="AB5" s="188"/>
      <c r="AC5" s="188"/>
      <c r="AD5" s="188"/>
      <c r="AE5" s="188"/>
      <c r="AF5" s="188"/>
      <c r="AG5" s="188"/>
      <c r="AH5" s="189"/>
      <c r="AI5" s="187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9"/>
      <c r="AU5" s="187"/>
      <c r="AV5" s="188"/>
      <c r="AW5" s="188"/>
      <c r="AX5" s="188"/>
      <c r="AY5" s="188"/>
      <c r="AZ5" s="188"/>
      <c r="BA5" s="188"/>
      <c r="BB5" s="188"/>
      <c r="BC5" s="188"/>
      <c r="BD5" s="188"/>
      <c r="BE5" s="188"/>
      <c r="BF5" s="195"/>
    </row>
    <row r="6" spans="2:58" ht="13" customHeight="1" x14ac:dyDescent="0.25">
      <c r="B6" s="202"/>
      <c r="C6" s="188"/>
      <c r="D6" s="188"/>
      <c r="E6" s="188"/>
      <c r="F6" s="188"/>
      <c r="G6" s="188"/>
      <c r="H6" s="188"/>
      <c r="I6" s="188"/>
      <c r="J6" s="188"/>
      <c r="K6" s="188"/>
      <c r="L6" s="189"/>
      <c r="M6" s="187"/>
      <c r="N6" s="188"/>
      <c r="O6" s="188"/>
      <c r="P6" s="188"/>
      <c r="Q6" s="188"/>
      <c r="R6" s="188"/>
      <c r="S6" s="188"/>
      <c r="T6" s="188"/>
      <c r="U6" s="188"/>
      <c r="V6" s="188"/>
      <c r="W6" s="189"/>
      <c r="X6" s="187"/>
      <c r="Y6" s="188"/>
      <c r="Z6" s="188"/>
      <c r="AA6" s="188"/>
      <c r="AB6" s="188"/>
      <c r="AC6" s="188"/>
      <c r="AD6" s="188"/>
      <c r="AE6" s="188"/>
      <c r="AF6" s="188"/>
      <c r="AG6" s="188"/>
      <c r="AH6" s="189"/>
      <c r="AI6" s="187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9"/>
      <c r="AU6" s="187"/>
      <c r="AV6" s="188"/>
      <c r="AW6" s="188"/>
      <c r="AX6" s="188"/>
      <c r="AY6" s="188"/>
      <c r="AZ6" s="188"/>
      <c r="BA6" s="188"/>
      <c r="BB6" s="188"/>
      <c r="BC6" s="188"/>
      <c r="BD6" s="188"/>
      <c r="BE6" s="188"/>
      <c r="BF6" s="195"/>
    </row>
    <row r="7" spans="2:58" ht="13" customHeight="1" x14ac:dyDescent="0.25">
      <c r="B7" s="202"/>
      <c r="C7" s="188"/>
      <c r="D7" s="188"/>
      <c r="E7" s="188"/>
      <c r="F7" s="188"/>
      <c r="G7" s="188"/>
      <c r="H7" s="188"/>
      <c r="I7" s="188"/>
      <c r="J7" s="188"/>
      <c r="K7" s="188"/>
      <c r="L7" s="189"/>
      <c r="M7" s="187"/>
      <c r="N7" s="188"/>
      <c r="O7" s="188"/>
      <c r="P7" s="188"/>
      <c r="Q7" s="188"/>
      <c r="R7" s="188"/>
      <c r="S7" s="188"/>
      <c r="T7" s="188"/>
      <c r="U7" s="188"/>
      <c r="V7" s="188"/>
      <c r="W7" s="189"/>
      <c r="X7" s="187"/>
      <c r="Y7" s="188"/>
      <c r="Z7" s="188"/>
      <c r="AA7" s="188"/>
      <c r="AB7" s="188"/>
      <c r="AC7" s="188"/>
      <c r="AD7" s="188"/>
      <c r="AE7" s="188"/>
      <c r="AF7" s="188"/>
      <c r="AG7" s="188"/>
      <c r="AH7" s="189"/>
      <c r="AI7" s="187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9"/>
      <c r="AU7" s="187"/>
      <c r="AV7" s="188"/>
      <c r="AW7" s="188"/>
      <c r="AX7" s="188"/>
      <c r="AY7" s="188"/>
      <c r="AZ7" s="188"/>
      <c r="BA7" s="188"/>
      <c r="BB7" s="188"/>
      <c r="BC7" s="188"/>
      <c r="BD7" s="188"/>
      <c r="BE7" s="188"/>
      <c r="BF7" s="195"/>
    </row>
    <row r="8" spans="2:58" ht="13" customHeight="1" x14ac:dyDescent="0.25">
      <c r="B8" s="202"/>
      <c r="C8" s="188"/>
      <c r="D8" s="188"/>
      <c r="E8" s="188"/>
      <c r="F8" s="188"/>
      <c r="G8" s="188"/>
      <c r="H8" s="188"/>
      <c r="I8" s="188"/>
      <c r="J8" s="188"/>
      <c r="K8" s="188"/>
      <c r="L8" s="189"/>
      <c r="M8" s="187"/>
      <c r="N8" s="188"/>
      <c r="O8" s="188"/>
      <c r="P8" s="188"/>
      <c r="Q8" s="188"/>
      <c r="R8" s="188"/>
      <c r="S8" s="188"/>
      <c r="T8" s="188"/>
      <c r="U8" s="188"/>
      <c r="V8" s="188"/>
      <c r="W8" s="189"/>
      <c r="X8" s="187"/>
      <c r="Y8" s="188"/>
      <c r="Z8" s="188"/>
      <c r="AA8" s="188"/>
      <c r="AB8" s="188"/>
      <c r="AC8" s="188"/>
      <c r="AD8" s="188"/>
      <c r="AE8" s="188"/>
      <c r="AF8" s="188"/>
      <c r="AG8" s="188"/>
      <c r="AH8" s="189"/>
      <c r="AI8" s="187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9"/>
      <c r="AU8" s="187"/>
      <c r="AV8" s="188"/>
      <c r="AW8" s="188"/>
      <c r="AX8" s="188"/>
      <c r="AY8" s="188"/>
      <c r="AZ8" s="188"/>
      <c r="BA8" s="188"/>
      <c r="BB8" s="188"/>
      <c r="BC8" s="188"/>
      <c r="BD8" s="188"/>
      <c r="BE8" s="188"/>
      <c r="BF8" s="195"/>
    </row>
    <row r="9" spans="2:58" ht="13" customHeight="1" x14ac:dyDescent="0.25">
      <c r="B9" s="203"/>
      <c r="C9" s="191"/>
      <c r="D9" s="191"/>
      <c r="E9" s="191"/>
      <c r="F9" s="191"/>
      <c r="G9" s="191"/>
      <c r="H9" s="191"/>
      <c r="I9" s="191"/>
      <c r="J9" s="191"/>
      <c r="K9" s="191"/>
      <c r="L9" s="148"/>
      <c r="M9" s="190"/>
      <c r="N9" s="191"/>
      <c r="O9" s="191"/>
      <c r="P9" s="191"/>
      <c r="Q9" s="191"/>
      <c r="R9" s="191"/>
      <c r="S9" s="191"/>
      <c r="T9" s="191"/>
      <c r="U9" s="191"/>
      <c r="V9" s="191"/>
      <c r="W9" s="148"/>
      <c r="X9" s="190"/>
      <c r="Y9" s="191"/>
      <c r="Z9" s="191"/>
      <c r="AA9" s="191"/>
      <c r="AB9" s="191"/>
      <c r="AC9" s="191"/>
      <c r="AD9" s="191"/>
      <c r="AE9" s="191"/>
      <c r="AF9" s="191"/>
      <c r="AG9" s="191"/>
      <c r="AH9" s="148"/>
      <c r="AI9" s="190"/>
      <c r="AJ9" s="191"/>
      <c r="AK9" s="191"/>
      <c r="AL9" s="191"/>
      <c r="AM9" s="191"/>
      <c r="AN9" s="191"/>
      <c r="AO9" s="191"/>
      <c r="AP9" s="191"/>
      <c r="AQ9" s="191"/>
      <c r="AR9" s="191"/>
      <c r="AS9" s="191"/>
      <c r="AT9" s="148"/>
      <c r="AU9" s="190"/>
      <c r="AV9" s="191"/>
      <c r="AW9" s="191"/>
      <c r="AX9" s="191"/>
      <c r="AY9" s="191"/>
      <c r="AZ9" s="191"/>
      <c r="BA9" s="191"/>
      <c r="BB9" s="191"/>
      <c r="BC9" s="191"/>
      <c r="BD9" s="191"/>
      <c r="BE9" s="191"/>
      <c r="BF9" s="196"/>
    </row>
    <row r="10" spans="2:58" ht="13" customHeight="1" x14ac:dyDescent="0.25">
      <c r="B10" s="180" t="s">
        <v>236</v>
      </c>
      <c r="C10" s="178"/>
      <c r="D10" s="178"/>
      <c r="E10" s="178"/>
      <c r="F10" s="178"/>
      <c r="G10" s="178"/>
      <c r="H10" s="178"/>
      <c r="I10" s="178"/>
      <c r="J10" s="178"/>
      <c r="K10" s="178"/>
      <c r="L10" s="149"/>
      <c r="M10" s="200" t="s">
        <v>237</v>
      </c>
      <c r="N10" s="178"/>
      <c r="O10" s="178"/>
      <c r="P10" s="178"/>
      <c r="Q10" s="178"/>
      <c r="R10" s="178"/>
      <c r="S10" s="178"/>
      <c r="T10" s="178"/>
      <c r="U10" s="178"/>
      <c r="V10" s="178"/>
      <c r="W10" s="149"/>
      <c r="X10" s="155" t="s">
        <v>238</v>
      </c>
      <c r="Y10" s="178"/>
      <c r="Z10" s="178"/>
      <c r="AA10" s="178"/>
      <c r="AB10" s="178"/>
      <c r="AC10" s="178"/>
      <c r="AD10" s="178"/>
      <c r="AE10" s="178"/>
      <c r="AF10" s="178"/>
      <c r="AG10" s="178"/>
      <c r="AH10" s="149"/>
      <c r="AI10" s="155" t="s">
        <v>239</v>
      </c>
      <c r="AJ10" s="178"/>
      <c r="AK10" s="178"/>
      <c r="AL10" s="178"/>
      <c r="AM10" s="178"/>
      <c r="AN10" s="178"/>
      <c r="AO10" s="178"/>
      <c r="AP10" s="178"/>
      <c r="AQ10" s="178"/>
      <c r="AR10" s="178"/>
      <c r="AS10" s="178"/>
      <c r="AT10" s="149"/>
      <c r="AU10" s="131" t="s">
        <v>240</v>
      </c>
      <c r="AV10" s="178"/>
      <c r="AW10" s="178"/>
      <c r="AX10" s="178"/>
      <c r="AY10" s="178"/>
      <c r="AZ10" s="178"/>
      <c r="BA10" s="178"/>
      <c r="BB10" s="178"/>
      <c r="BC10" s="178"/>
      <c r="BD10" s="178"/>
      <c r="BE10" s="178"/>
      <c r="BF10" s="182"/>
    </row>
    <row r="11" spans="2:58" ht="13" customHeight="1" x14ac:dyDescent="0.25">
      <c r="B11" s="201"/>
      <c r="C11" s="185"/>
      <c r="D11" s="185"/>
      <c r="E11" s="185"/>
      <c r="F11" s="185"/>
      <c r="G11" s="185"/>
      <c r="H11" s="185"/>
      <c r="I11" s="185"/>
      <c r="J11" s="185"/>
      <c r="K11" s="185"/>
      <c r="L11" s="186"/>
      <c r="M11" s="204"/>
      <c r="N11" s="185"/>
      <c r="O11" s="185"/>
      <c r="P11" s="185"/>
      <c r="Q11" s="185"/>
      <c r="R11" s="185"/>
      <c r="S11" s="185"/>
      <c r="T11" s="185"/>
      <c r="U11" s="185"/>
      <c r="V11" s="185"/>
      <c r="W11" s="186"/>
      <c r="X11" s="204"/>
      <c r="Y11" s="185"/>
      <c r="Z11" s="185"/>
      <c r="AA11" s="185"/>
      <c r="AB11" s="185"/>
      <c r="AC11" s="185"/>
      <c r="AD11" s="185"/>
      <c r="AE11" s="185"/>
      <c r="AF11" s="185"/>
      <c r="AG11" s="185"/>
      <c r="AH11" s="186"/>
      <c r="AI11" s="204"/>
      <c r="AJ11" s="185"/>
      <c r="AK11" s="185"/>
      <c r="AL11" s="185"/>
      <c r="AM11" s="185"/>
      <c r="AN11" s="185"/>
      <c r="AO11" s="185"/>
      <c r="AP11" s="185"/>
      <c r="AQ11" s="185"/>
      <c r="AR11" s="185"/>
      <c r="AS11" s="185"/>
      <c r="AT11" s="186"/>
      <c r="AU11" s="193"/>
      <c r="AV11" s="185"/>
      <c r="AW11" s="185"/>
      <c r="AX11" s="185"/>
      <c r="AY11" s="185"/>
      <c r="AZ11" s="185"/>
      <c r="BA11" s="185"/>
      <c r="BB11" s="185"/>
      <c r="BC11" s="185"/>
      <c r="BD11" s="185"/>
      <c r="BE11" s="185"/>
      <c r="BF11" s="194"/>
    </row>
    <row r="12" spans="2:58" ht="13" customHeight="1" x14ac:dyDescent="0.25">
      <c r="B12" s="202"/>
      <c r="C12" s="188"/>
      <c r="D12" s="188"/>
      <c r="E12" s="188"/>
      <c r="F12" s="188"/>
      <c r="G12" s="188"/>
      <c r="H12" s="188"/>
      <c r="I12" s="188"/>
      <c r="J12" s="188"/>
      <c r="K12" s="188"/>
      <c r="L12" s="189"/>
      <c r="M12" s="187"/>
      <c r="N12" s="188"/>
      <c r="O12" s="188"/>
      <c r="P12" s="188"/>
      <c r="Q12" s="188"/>
      <c r="R12" s="188"/>
      <c r="S12" s="188"/>
      <c r="T12" s="188"/>
      <c r="U12" s="188"/>
      <c r="V12" s="188"/>
      <c r="W12" s="189"/>
      <c r="X12" s="187"/>
      <c r="Y12" s="188"/>
      <c r="Z12" s="188"/>
      <c r="AA12" s="188"/>
      <c r="AB12" s="188"/>
      <c r="AC12" s="188"/>
      <c r="AD12" s="188"/>
      <c r="AE12" s="188"/>
      <c r="AF12" s="188"/>
      <c r="AG12" s="188"/>
      <c r="AH12" s="189"/>
      <c r="AI12" s="187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9"/>
      <c r="AU12" s="187"/>
      <c r="AV12" s="188"/>
      <c r="AW12" s="188"/>
      <c r="AX12" s="188"/>
      <c r="AY12" s="188"/>
      <c r="AZ12" s="188"/>
      <c r="BA12" s="188"/>
      <c r="BB12" s="188"/>
      <c r="BC12" s="188"/>
      <c r="BD12" s="188"/>
      <c r="BE12" s="188"/>
      <c r="BF12" s="195"/>
    </row>
    <row r="13" spans="2:58" ht="13" customHeight="1" x14ac:dyDescent="0.25">
      <c r="B13" s="202"/>
      <c r="C13" s="188"/>
      <c r="D13" s="188"/>
      <c r="E13" s="188"/>
      <c r="F13" s="188"/>
      <c r="G13" s="188"/>
      <c r="H13" s="188"/>
      <c r="I13" s="188"/>
      <c r="J13" s="188"/>
      <c r="K13" s="188"/>
      <c r="L13" s="189"/>
      <c r="M13" s="187"/>
      <c r="N13" s="188"/>
      <c r="O13" s="188"/>
      <c r="P13" s="188"/>
      <c r="Q13" s="188"/>
      <c r="R13" s="188"/>
      <c r="S13" s="188"/>
      <c r="T13" s="188"/>
      <c r="U13" s="188"/>
      <c r="V13" s="188"/>
      <c r="W13" s="189"/>
      <c r="X13" s="187"/>
      <c r="Y13" s="188"/>
      <c r="Z13" s="188"/>
      <c r="AA13" s="188"/>
      <c r="AB13" s="188"/>
      <c r="AC13" s="188"/>
      <c r="AD13" s="188"/>
      <c r="AE13" s="188"/>
      <c r="AF13" s="188"/>
      <c r="AG13" s="188"/>
      <c r="AH13" s="189"/>
      <c r="AI13" s="187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9"/>
      <c r="AU13" s="187"/>
      <c r="AV13" s="188"/>
      <c r="AW13" s="188"/>
      <c r="AX13" s="188"/>
      <c r="AY13" s="188"/>
      <c r="AZ13" s="188"/>
      <c r="BA13" s="188"/>
      <c r="BB13" s="188"/>
      <c r="BC13" s="188"/>
      <c r="BD13" s="188"/>
      <c r="BE13" s="188"/>
      <c r="BF13" s="195"/>
    </row>
    <row r="14" spans="2:58" ht="13" customHeight="1" x14ac:dyDescent="0.25">
      <c r="B14" s="202"/>
      <c r="C14" s="188"/>
      <c r="D14" s="188"/>
      <c r="E14" s="188"/>
      <c r="F14" s="188"/>
      <c r="G14" s="188"/>
      <c r="H14" s="188"/>
      <c r="I14" s="188"/>
      <c r="J14" s="188"/>
      <c r="K14" s="188"/>
      <c r="L14" s="189"/>
      <c r="M14" s="187"/>
      <c r="N14" s="188"/>
      <c r="O14" s="188"/>
      <c r="P14" s="188"/>
      <c r="Q14" s="188"/>
      <c r="R14" s="188"/>
      <c r="S14" s="188"/>
      <c r="T14" s="188"/>
      <c r="U14" s="188"/>
      <c r="V14" s="188"/>
      <c r="W14" s="189"/>
      <c r="X14" s="187"/>
      <c r="Y14" s="188"/>
      <c r="Z14" s="188"/>
      <c r="AA14" s="188"/>
      <c r="AB14" s="188"/>
      <c r="AC14" s="188"/>
      <c r="AD14" s="188"/>
      <c r="AE14" s="188"/>
      <c r="AF14" s="188"/>
      <c r="AG14" s="188"/>
      <c r="AH14" s="189"/>
      <c r="AI14" s="187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9"/>
      <c r="AU14" s="187"/>
      <c r="AV14" s="188"/>
      <c r="AW14" s="188"/>
      <c r="AX14" s="188"/>
      <c r="AY14" s="188"/>
      <c r="AZ14" s="188"/>
      <c r="BA14" s="188"/>
      <c r="BB14" s="188"/>
      <c r="BC14" s="188"/>
      <c r="BD14" s="188"/>
      <c r="BE14" s="188"/>
      <c r="BF14" s="195"/>
    </row>
    <row r="15" spans="2:58" ht="13" customHeight="1" x14ac:dyDescent="0.25">
      <c r="B15" s="202"/>
      <c r="C15" s="188"/>
      <c r="D15" s="188"/>
      <c r="E15" s="188"/>
      <c r="F15" s="188"/>
      <c r="G15" s="188"/>
      <c r="H15" s="188"/>
      <c r="I15" s="188"/>
      <c r="J15" s="188"/>
      <c r="K15" s="188"/>
      <c r="L15" s="189"/>
      <c r="M15" s="187"/>
      <c r="N15" s="188"/>
      <c r="O15" s="188"/>
      <c r="P15" s="188"/>
      <c r="Q15" s="188"/>
      <c r="R15" s="188"/>
      <c r="S15" s="188"/>
      <c r="T15" s="188"/>
      <c r="U15" s="188"/>
      <c r="V15" s="188"/>
      <c r="W15" s="189"/>
      <c r="X15" s="187"/>
      <c r="Y15" s="188"/>
      <c r="Z15" s="188"/>
      <c r="AA15" s="188"/>
      <c r="AB15" s="188"/>
      <c r="AC15" s="188"/>
      <c r="AD15" s="188"/>
      <c r="AE15" s="188"/>
      <c r="AF15" s="188"/>
      <c r="AG15" s="188"/>
      <c r="AH15" s="189"/>
      <c r="AI15" s="187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9"/>
      <c r="AU15" s="187"/>
      <c r="AV15" s="188"/>
      <c r="AW15" s="188"/>
      <c r="AX15" s="188"/>
      <c r="AY15" s="188"/>
      <c r="AZ15" s="188"/>
      <c r="BA15" s="188"/>
      <c r="BB15" s="188"/>
      <c r="BC15" s="188"/>
      <c r="BD15" s="188"/>
      <c r="BE15" s="188"/>
      <c r="BF15" s="195"/>
    </row>
    <row r="16" spans="2:58" ht="13" customHeight="1" x14ac:dyDescent="0.25">
      <c r="B16" s="202"/>
      <c r="C16" s="188"/>
      <c r="D16" s="188"/>
      <c r="E16" s="188"/>
      <c r="F16" s="188"/>
      <c r="G16" s="188"/>
      <c r="H16" s="188"/>
      <c r="I16" s="188"/>
      <c r="J16" s="188"/>
      <c r="K16" s="188"/>
      <c r="L16" s="189"/>
      <c r="M16" s="187"/>
      <c r="N16" s="188"/>
      <c r="O16" s="188"/>
      <c r="P16" s="188"/>
      <c r="Q16" s="188"/>
      <c r="R16" s="188"/>
      <c r="S16" s="188"/>
      <c r="T16" s="188"/>
      <c r="U16" s="188"/>
      <c r="V16" s="188"/>
      <c r="W16" s="189"/>
      <c r="X16" s="187"/>
      <c r="Y16" s="188"/>
      <c r="Z16" s="188"/>
      <c r="AA16" s="188"/>
      <c r="AB16" s="188"/>
      <c r="AC16" s="188"/>
      <c r="AD16" s="188"/>
      <c r="AE16" s="188"/>
      <c r="AF16" s="188"/>
      <c r="AG16" s="188"/>
      <c r="AH16" s="189"/>
      <c r="AI16" s="187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9"/>
      <c r="AU16" s="187"/>
      <c r="AV16" s="188"/>
      <c r="AW16" s="188"/>
      <c r="AX16" s="188"/>
      <c r="AY16" s="188"/>
      <c r="AZ16" s="188"/>
      <c r="BA16" s="188"/>
      <c r="BB16" s="188"/>
      <c r="BC16" s="188"/>
      <c r="BD16" s="188"/>
      <c r="BE16" s="188"/>
      <c r="BF16" s="195"/>
    </row>
    <row r="17" spans="2:58" ht="13" customHeight="1" x14ac:dyDescent="0.25">
      <c r="B17" s="203"/>
      <c r="C17" s="191"/>
      <c r="D17" s="191"/>
      <c r="E17" s="191"/>
      <c r="F17" s="191"/>
      <c r="G17" s="191"/>
      <c r="H17" s="191"/>
      <c r="I17" s="191"/>
      <c r="J17" s="191"/>
      <c r="K17" s="191"/>
      <c r="L17" s="148"/>
      <c r="M17" s="190"/>
      <c r="N17" s="191"/>
      <c r="O17" s="191"/>
      <c r="P17" s="191"/>
      <c r="Q17" s="191"/>
      <c r="R17" s="191"/>
      <c r="S17" s="191"/>
      <c r="T17" s="191"/>
      <c r="U17" s="191"/>
      <c r="V17" s="191"/>
      <c r="W17" s="148"/>
      <c r="X17" s="190"/>
      <c r="Y17" s="191"/>
      <c r="Z17" s="191"/>
      <c r="AA17" s="191"/>
      <c r="AB17" s="191"/>
      <c r="AC17" s="191"/>
      <c r="AD17" s="191"/>
      <c r="AE17" s="191"/>
      <c r="AF17" s="191"/>
      <c r="AG17" s="191"/>
      <c r="AH17" s="148"/>
      <c r="AI17" s="190"/>
      <c r="AJ17" s="191"/>
      <c r="AK17" s="191"/>
      <c r="AL17" s="191"/>
      <c r="AM17" s="191"/>
      <c r="AN17" s="191"/>
      <c r="AO17" s="191"/>
      <c r="AP17" s="191"/>
      <c r="AQ17" s="191"/>
      <c r="AR17" s="191"/>
      <c r="AS17" s="191"/>
      <c r="AT17" s="148"/>
      <c r="AU17" s="190"/>
      <c r="AV17" s="191"/>
      <c r="AW17" s="191"/>
      <c r="AX17" s="191"/>
      <c r="AY17" s="191"/>
      <c r="AZ17" s="191"/>
      <c r="BA17" s="191"/>
      <c r="BB17" s="191"/>
      <c r="BC17" s="191"/>
      <c r="BD17" s="191"/>
      <c r="BE17" s="191"/>
      <c r="BF17" s="196"/>
    </row>
    <row r="18" spans="2:58" ht="13" customHeight="1" x14ac:dyDescent="0.25">
      <c r="B18" s="180" t="s">
        <v>241</v>
      </c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213" t="s">
        <v>242</v>
      </c>
      <c r="N18" s="178"/>
      <c r="O18" s="178"/>
      <c r="P18" s="178"/>
      <c r="Q18" s="178"/>
      <c r="R18" s="178"/>
      <c r="S18" s="178"/>
      <c r="T18" s="178"/>
      <c r="U18" s="178"/>
      <c r="V18" s="178"/>
      <c r="W18" s="149"/>
      <c r="X18" s="212" t="s">
        <v>243</v>
      </c>
      <c r="Y18" s="178"/>
      <c r="Z18" s="178"/>
      <c r="AA18" s="178"/>
      <c r="AB18" s="178"/>
      <c r="AC18" s="178"/>
      <c r="AD18" s="178"/>
      <c r="AE18" s="178"/>
      <c r="AF18" s="178"/>
      <c r="AG18" s="178"/>
      <c r="AH18" s="149"/>
      <c r="AI18" s="117" t="s">
        <v>244</v>
      </c>
      <c r="AJ18" s="178"/>
      <c r="AK18" s="178"/>
      <c r="AL18" s="178"/>
      <c r="AM18" s="178"/>
      <c r="AN18" s="178"/>
      <c r="AO18" s="178"/>
      <c r="AP18" s="178"/>
      <c r="AQ18" s="178"/>
      <c r="AR18" s="178"/>
      <c r="AS18" s="178"/>
      <c r="AT18" s="149"/>
      <c r="AU18" s="131" t="s">
        <v>245</v>
      </c>
      <c r="AV18" s="178"/>
      <c r="AW18" s="178"/>
      <c r="AX18" s="178"/>
      <c r="AY18" s="178"/>
      <c r="AZ18" s="178"/>
      <c r="BA18" s="178"/>
      <c r="BB18" s="178"/>
      <c r="BC18" s="178"/>
      <c r="BD18" s="178"/>
      <c r="BE18" s="178"/>
      <c r="BF18" s="182"/>
    </row>
    <row r="19" spans="2:58" ht="13" customHeight="1" x14ac:dyDescent="0.25">
      <c r="B19" s="201"/>
      <c r="C19" s="185"/>
      <c r="D19" s="185"/>
      <c r="E19" s="185"/>
      <c r="F19" s="185"/>
      <c r="G19" s="185"/>
      <c r="H19" s="185"/>
      <c r="I19" s="185"/>
      <c r="J19" s="185"/>
      <c r="K19" s="185"/>
      <c r="L19" s="186"/>
      <c r="M19" s="215"/>
      <c r="N19" s="185"/>
      <c r="O19" s="185"/>
      <c r="P19" s="185"/>
      <c r="Q19" s="185"/>
      <c r="R19" s="185"/>
      <c r="S19" s="185"/>
      <c r="T19" s="185"/>
      <c r="U19" s="185"/>
      <c r="V19" s="185"/>
      <c r="W19" s="186"/>
      <c r="X19" s="184"/>
      <c r="Y19" s="185"/>
      <c r="Z19" s="185"/>
      <c r="AA19" s="185"/>
      <c r="AB19" s="185"/>
      <c r="AC19" s="185"/>
      <c r="AD19" s="185"/>
      <c r="AE19" s="185"/>
      <c r="AF19" s="185"/>
      <c r="AG19" s="185"/>
      <c r="AH19" s="186"/>
      <c r="AI19" s="192"/>
      <c r="AJ19" s="185"/>
      <c r="AK19" s="185"/>
      <c r="AL19" s="185"/>
      <c r="AM19" s="185"/>
      <c r="AN19" s="185"/>
      <c r="AO19" s="185"/>
      <c r="AP19" s="185"/>
      <c r="AQ19" s="185"/>
      <c r="AR19" s="185"/>
      <c r="AS19" s="185"/>
      <c r="AT19" s="186"/>
      <c r="AU19" s="193"/>
      <c r="AV19" s="185"/>
      <c r="AW19" s="185"/>
      <c r="AX19" s="185"/>
      <c r="AY19" s="185"/>
      <c r="AZ19" s="185"/>
      <c r="BA19" s="185"/>
      <c r="BB19" s="185"/>
      <c r="BC19" s="185"/>
      <c r="BD19" s="185"/>
      <c r="BE19" s="185"/>
      <c r="BF19" s="194"/>
    </row>
    <row r="20" spans="2:58" ht="13" customHeight="1" x14ac:dyDescent="0.25">
      <c r="B20" s="202"/>
      <c r="C20" s="188"/>
      <c r="D20" s="188"/>
      <c r="E20" s="188"/>
      <c r="F20" s="188"/>
      <c r="G20" s="188"/>
      <c r="H20" s="188"/>
      <c r="I20" s="188"/>
      <c r="J20" s="188"/>
      <c r="K20" s="188"/>
      <c r="L20" s="189"/>
      <c r="M20" s="187"/>
      <c r="N20" s="188"/>
      <c r="O20" s="188"/>
      <c r="P20" s="188"/>
      <c r="Q20" s="188"/>
      <c r="R20" s="188"/>
      <c r="S20" s="188"/>
      <c r="T20" s="188"/>
      <c r="U20" s="188"/>
      <c r="V20" s="188"/>
      <c r="W20" s="189"/>
      <c r="X20" s="187"/>
      <c r="Y20" s="188"/>
      <c r="Z20" s="188"/>
      <c r="AA20" s="188"/>
      <c r="AB20" s="188"/>
      <c r="AC20" s="188"/>
      <c r="AD20" s="188"/>
      <c r="AE20" s="188"/>
      <c r="AF20" s="188"/>
      <c r="AG20" s="188"/>
      <c r="AH20" s="189"/>
      <c r="AI20" s="187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9"/>
      <c r="AU20" s="187"/>
      <c r="AV20" s="188"/>
      <c r="AW20" s="188"/>
      <c r="AX20" s="188"/>
      <c r="AY20" s="188"/>
      <c r="AZ20" s="188"/>
      <c r="BA20" s="188"/>
      <c r="BB20" s="188"/>
      <c r="BC20" s="188"/>
      <c r="BD20" s="188"/>
      <c r="BE20" s="188"/>
      <c r="BF20" s="195"/>
    </row>
    <row r="21" spans="2:58" ht="13" customHeight="1" x14ac:dyDescent="0.25">
      <c r="B21" s="202"/>
      <c r="C21" s="188"/>
      <c r="D21" s="188"/>
      <c r="E21" s="188"/>
      <c r="F21" s="188"/>
      <c r="G21" s="188"/>
      <c r="H21" s="188"/>
      <c r="I21" s="188"/>
      <c r="J21" s="188"/>
      <c r="K21" s="188"/>
      <c r="L21" s="189"/>
      <c r="M21" s="187"/>
      <c r="N21" s="188"/>
      <c r="O21" s="188"/>
      <c r="P21" s="188"/>
      <c r="Q21" s="188"/>
      <c r="R21" s="188"/>
      <c r="S21" s="188"/>
      <c r="T21" s="188"/>
      <c r="U21" s="188"/>
      <c r="V21" s="188"/>
      <c r="W21" s="189"/>
      <c r="X21" s="187"/>
      <c r="Y21" s="188"/>
      <c r="Z21" s="188"/>
      <c r="AA21" s="188"/>
      <c r="AB21" s="188"/>
      <c r="AC21" s="188"/>
      <c r="AD21" s="188"/>
      <c r="AE21" s="188"/>
      <c r="AF21" s="188"/>
      <c r="AG21" s="188"/>
      <c r="AH21" s="189"/>
      <c r="AI21" s="187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9"/>
      <c r="AU21" s="187"/>
      <c r="AV21" s="188"/>
      <c r="AW21" s="188"/>
      <c r="AX21" s="188"/>
      <c r="AY21" s="188"/>
      <c r="AZ21" s="188"/>
      <c r="BA21" s="188"/>
      <c r="BB21" s="188"/>
      <c r="BC21" s="188"/>
      <c r="BD21" s="188"/>
      <c r="BE21" s="188"/>
      <c r="BF21" s="195"/>
    </row>
    <row r="22" spans="2:58" ht="13" customHeight="1" x14ac:dyDescent="0.25">
      <c r="B22" s="202"/>
      <c r="C22" s="188"/>
      <c r="D22" s="188"/>
      <c r="E22" s="188"/>
      <c r="F22" s="188"/>
      <c r="G22" s="188"/>
      <c r="H22" s="188"/>
      <c r="I22" s="188"/>
      <c r="J22" s="188"/>
      <c r="K22" s="188"/>
      <c r="L22" s="189"/>
      <c r="M22" s="187"/>
      <c r="N22" s="188"/>
      <c r="O22" s="188"/>
      <c r="P22" s="188"/>
      <c r="Q22" s="188"/>
      <c r="R22" s="188"/>
      <c r="S22" s="188"/>
      <c r="T22" s="188"/>
      <c r="U22" s="188"/>
      <c r="V22" s="188"/>
      <c r="W22" s="189"/>
      <c r="X22" s="187"/>
      <c r="Y22" s="188"/>
      <c r="Z22" s="188"/>
      <c r="AA22" s="188"/>
      <c r="AB22" s="188"/>
      <c r="AC22" s="188"/>
      <c r="AD22" s="188"/>
      <c r="AE22" s="188"/>
      <c r="AF22" s="188"/>
      <c r="AG22" s="188"/>
      <c r="AH22" s="189"/>
      <c r="AI22" s="187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9"/>
      <c r="AU22" s="187"/>
      <c r="AV22" s="188"/>
      <c r="AW22" s="188"/>
      <c r="AX22" s="188"/>
      <c r="AY22" s="188"/>
      <c r="AZ22" s="188"/>
      <c r="BA22" s="188"/>
      <c r="BB22" s="188"/>
      <c r="BC22" s="188"/>
      <c r="BD22" s="188"/>
      <c r="BE22" s="188"/>
      <c r="BF22" s="195"/>
    </row>
    <row r="23" spans="2:58" ht="13" customHeight="1" x14ac:dyDescent="0.25">
      <c r="B23" s="202"/>
      <c r="C23" s="188"/>
      <c r="D23" s="188"/>
      <c r="E23" s="188"/>
      <c r="F23" s="188"/>
      <c r="G23" s="188"/>
      <c r="H23" s="188"/>
      <c r="I23" s="188"/>
      <c r="J23" s="188"/>
      <c r="K23" s="188"/>
      <c r="L23" s="189"/>
      <c r="M23" s="187"/>
      <c r="N23" s="188"/>
      <c r="O23" s="188"/>
      <c r="P23" s="188"/>
      <c r="Q23" s="188"/>
      <c r="R23" s="188"/>
      <c r="S23" s="188"/>
      <c r="T23" s="188"/>
      <c r="U23" s="188"/>
      <c r="V23" s="188"/>
      <c r="W23" s="189"/>
      <c r="X23" s="187"/>
      <c r="Y23" s="188"/>
      <c r="Z23" s="188"/>
      <c r="AA23" s="188"/>
      <c r="AB23" s="188"/>
      <c r="AC23" s="188"/>
      <c r="AD23" s="188"/>
      <c r="AE23" s="188"/>
      <c r="AF23" s="188"/>
      <c r="AG23" s="188"/>
      <c r="AH23" s="189"/>
      <c r="AI23" s="187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9"/>
      <c r="AU23" s="187"/>
      <c r="AV23" s="188"/>
      <c r="AW23" s="188"/>
      <c r="AX23" s="188"/>
      <c r="AY23" s="188"/>
      <c r="AZ23" s="188"/>
      <c r="BA23" s="188"/>
      <c r="BB23" s="188"/>
      <c r="BC23" s="188"/>
      <c r="BD23" s="188"/>
      <c r="BE23" s="188"/>
      <c r="BF23" s="195"/>
    </row>
    <row r="24" spans="2:58" ht="13" customHeight="1" x14ac:dyDescent="0.25">
      <c r="B24" s="203"/>
      <c r="C24" s="191"/>
      <c r="D24" s="191"/>
      <c r="E24" s="191"/>
      <c r="F24" s="191"/>
      <c r="G24" s="191"/>
      <c r="H24" s="191"/>
      <c r="I24" s="191"/>
      <c r="J24" s="191"/>
      <c r="K24" s="191"/>
      <c r="L24" s="148"/>
      <c r="M24" s="190"/>
      <c r="N24" s="191"/>
      <c r="O24" s="191"/>
      <c r="P24" s="191"/>
      <c r="Q24" s="191"/>
      <c r="R24" s="191"/>
      <c r="S24" s="191"/>
      <c r="T24" s="191"/>
      <c r="U24" s="191"/>
      <c r="V24" s="191"/>
      <c r="W24" s="148"/>
      <c r="X24" s="190"/>
      <c r="Y24" s="191"/>
      <c r="Z24" s="191"/>
      <c r="AA24" s="191"/>
      <c r="AB24" s="191"/>
      <c r="AC24" s="191"/>
      <c r="AD24" s="191"/>
      <c r="AE24" s="191"/>
      <c r="AF24" s="191"/>
      <c r="AG24" s="191"/>
      <c r="AH24" s="148"/>
      <c r="AI24" s="190"/>
      <c r="AJ24" s="191"/>
      <c r="AK24" s="191"/>
      <c r="AL24" s="191"/>
      <c r="AM24" s="191"/>
      <c r="AN24" s="191"/>
      <c r="AO24" s="191"/>
      <c r="AP24" s="191"/>
      <c r="AQ24" s="191"/>
      <c r="AR24" s="191"/>
      <c r="AS24" s="191"/>
      <c r="AT24" s="148"/>
      <c r="AU24" s="190"/>
      <c r="AV24" s="191"/>
      <c r="AW24" s="191"/>
      <c r="AX24" s="191"/>
      <c r="AY24" s="191"/>
      <c r="AZ24" s="191"/>
      <c r="BA24" s="191"/>
      <c r="BB24" s="191"/>
      <c r="BC24" s="191"/>
      <c r="BD24" s="191"/>
      <c r="BE24" s="191"/>
      <c r="BF24" s="196"/>
    </row>
    <row r="25" spans="2:58" ht="13" customHeight="1" x14ac:dyDescent="0.25">
      <c r="B25" s="180" t="s">
        <v>246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49"/>
      <c r="M25" s="155" t="s">
        <v>247</v>
      </c>
      <c r="N25" s="178"/>
      <c r="O25" s="178"/>
      <c r="P25" s="178"/>
      <c r="Q25" s="178"/>
      <c r="R25" s="178"/>
      <c r="S25" s="178"/>
      <c r="T25" s="178"/>
      <c r="U25" s="178"/>
      <c r="V25" s="178"/>
      <c r="W25" s="149"/>
      <c r="X25" s="181" t="s">
        <v>248</v>
      </c>
      <c r="Y25" s="178"/>
      <c r="Z25" s="178"/>
      <c r="AA25" s="178"/>
      <c r="AB25" s="178"/>
      <c r="AC25" s="178"/>
      <c r="AD25" s="178"/>
      <c r="AE25" s="178"/>
      <c r="AF25" s="178"/>
      <c r="AG25" s="178"/>
      <c r="AH25" s="149"/>
      <c r="AI25" s="131" t="s">
        <v>249</v>
      </c>
      <c r="AJ25" s="178"/>
      <c r="AK25" s="178"/>
      <c r="AL25" s="178"/>
      <c r="AM25" s="178"/>
      <c r="AN25" s="178"/>
      <c r="AO25" s="178"/>
      <c r="AP25" s="178"/>
      <c r="AQ25" s="178"/>
      <c r="AR25" s="178"/>
      <c r="AS25" s="178"/>
      <c r="AT25" s="149"/>
      <c r="AU25" s="131" t="s">
        <v>250</v>
      </c>
      <c r="AV25" s="178"/>
      <c r="AW25" s="178"/>
      <c r="AX25" s="178"/>
      <c r="AY25" s="178"/>
      <c r="AZ25" s="178"/>
      <c r="BA25" s="178"/>
      <c r="BB25" s="178"/>
      <c r="BC25" s="178"/>
      <c r="BD25" s="178"/>
      <c r="BE25" s="178"/>
      <c r="BF25" s="182"/>
    </row>
    <row r="26" spans="2:58" ht="13" customHeight="1" x14ac:dyDescent="0.25">
      <c r="B26" s="201"/>
      <c r="C26" s="185"/>
      <c r="D26" s="185"/>
      <c r="E26" s="185"/>
      <c r="F26" s="185"/>
      <c r="G26" s="185"/>
      <c r="H26" s="185"/>
      <c r="I26" s="185"/>
      <c r="J26" s="185"/>
      <c r="K26" s="185"/>
      <c r="L26" s="186"/>
      <c r="M26" s="209"/>
      <c r="N26" s="185"/>
      <c r="O26" s="185"/>
      <c r="P26" s="185"/>
      <c r="Q26" s="185"/>
      <c r="R26" s="185"/>
      <c r="S26" s="185"/>
      <c r="T26" s="185"/>
      <c r="U26" s="185"/>
      <c r="V26" s="185"/>
      <c r="W26" s="186"/>
      <c r="X26" s="205"/>
      <c r="Y26" s="185"/>
      <c r="Z26" s="185"/>
      <c r="AA26" s="185"/>
      <c r="AB26" s="185"/>
      <c r="AC26" s="185"/>
      <c r="AD26" s="185"/>
      <c r="AE26" s="185"/>
      <c r="AF26" s="185"/>
      <c r="AG26" s="185"/>
      <c r="AH26" s="186"/>
      <c r="AI26" s="193"/>
      <c r="AJ26" s="185"/>
      <c r="AK26" s="185"/>
      <c r="AL26" s="185"/>
      <c r="AM26" s="185"/>
      <c r="AN26" s="185"/>
      <c r="AO26" s="185"/>
      <c r="AP26" s="185"/>
      <c r="AQ26" s="185"/>
      <c r="AR26" s="185"/>
      <c r="AS26" s="185"/>
      <c r="AT26" s="186"/>
      <c r="AU26" s="193"/>
      <c r="AV26" s="185"/>
      <c r="AW26" s="185"/>
      <c r="AX26" s="185"/>
      <c r="AY26" s="185"/>
      <c r="AZ26" s="185"/>
      <c r="BA26" s="185"/>
      <c r="BB26" s="185"/>
      <c r="BC26" s="185"/>
      <c r="BD26" s="185"/>
      <c r="BE26" s="185"/>
      <c r="BF26" s="194"/>
    </row>
    <row r="27" spans="2:58" ht="13" customHeight="1" x14ac:dyDescent="0.25">
      <c r="B27" s="202"/>
      <c r="C27" s="188"/>
      <c r="D27" s="188"/>
      <c r="E27" s="188"/>
      <c r="F27" s="188"/>
      <c r="G27" s="188"/>
      <c r="H27" s="188"/>
      <c r="I27" s="188"/>
      <c r="J27" s="188"/>
      <c r="K27" s="188"/>
      <c r="L27" s="189"/>
      <c r="M27" s="187"/>
      <c r="N27" s="188"/>
      <c r="O27" s="188"/>
      <c r="P27" s="188"/>
      <c r="Q27" s="188"/>
      <c r="R27" s="188"/>
      <c r="S27" s="188"/>
      <c r="T27" s="188"/>
      <c r="U27" s="188"/>
      <c r="V27" s="188"/>
      <c r="W27" s="189"/>
      <c r="X27" s="187"/>
      <c r="Y27" s="188"/>
      <c r="Z27" s="188"/>
      <c r="AA27" s="188"/>
      <c r="AB27" s="188"/>
      <c r="AC27" s="188"/>
      <c r="AD27" s="188"/>
      <c r="AE27" s="188"/>
      <c r="AF27" s="188"/>
      <c r="AG27" s="188"/>
      <c r="AH27" s="189"/>
      <c r="AI27" s="187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9"/>
      <c r="AU27" s="187"/>
      <c r="AV27" s="188"/>
      <c r="AW27" s="188"/>
      <c r="AX27" s="188"/>
      <c r="AY27" s="188"/>
      <c r="AZ27" s="188"/>
      <c r="BA27" s="188"/>
      <c r="BB27" s="188"/>
      <c r="BC27" s="188"/>
      <c r="BD27" s="188"/>
      <c r="BE27" s="188"/>
      <c r="BF27" s="195"/>
    </row>
    <row r="28" spans="2:58" ht="13" customHeight="1" x14ac:dyDescent="0.25">
      <c r="B28" s="202"/>
      <c r="C28" s="188"/>
      <c r="D28" s="188"/>
      <c r="E28" s="188"/>
      <c r="F28" s="188"/>
      <c r="G28" s="188"/>
      <c r="H28" s="188"/>
      <c r="I28" s="188"/>
      <c r="J28" s="188"/>
      <c r="K28" s="188"/>
      <c r="L28" s="189"/>
      <c r="M28" s="187"/>
      <c r="N28" s="188"/>
      <c r="O28" s="188"/>
      <c r="P28" s="188"/>
      <c r="Q28" s="188"/>
      <c r="R28" s="188"/>
      <c r="S28" s="188"/>
      <c r="T28" s="188"/>
      <c r="U28" s="188"/>
      <c r="V28" s="188"/>
      <c r="W28" s="189"/>
      <c r="X28" s="187"/>
      <c r="Y28" s="188"/>
      <c r="Z28" s="188"/>
      <c r="AA28" s="188"/>
      <c r="AB28" s="188"/>
      <c r="AC28" s="188"/>
      <c r="AD28" s="188"/>
      <c r="AE28" s="188"/>
      <c r="AF28" s="188"/>
      <c r="AG28" s="188"/>
      <c r="AH28" s="189"/>
      <c r="AI28" s="187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9"/>
      <c r="AU28" s="187"/>
      <c r="AV28" s="188"/>
      <c r="AW28" s="188"/>
      <c r="AX28" s="188"/>
      <c r="AY28" s="188"/>
      <c r="AZ28" s="188"/>
      <c r="BA28" s="188"/>
      <c r="BB28" s="188"/>
      <c r="BC28" s="188"/>
      <c r="BD28" s="188"/>
      <c r="BE28" s="188"/>
      <c r="BF28" s="195"/>
    </row>
    <row r="29" spans="2:58" ht="13" customHeight="1" x14ac:dyDescent="0.25">
      <c r="B29" s="202"/>
      <c r="C29" s="188"/>
      <c r="D29" s="188"/>
      <c r="E29" s="188"/>
      <c r="F29" s="188"/>
      <c r="G29" s="188"/>
      <c r="H29" s="188"/>
      <c r="I29" s="188"/>
      <c r="J29" s="188"/>
      <c r="K29" s="188"/>
      <c r="L29" s="189"/>
      <c r="M29" s="187"/>
      <c r="N29" s="188"/>
      <c r="O29" s="188"/>
      <c r="P29" s="188"/>
      <c r="Q29" s="188"/>
      <c r="R29" s="188"/>
      <c r="S29" s="188"/>
      <c r="T29" s="188"/>
      <c r="U29" s="188"/>
      <c r="V29" s="188"/>
      <c r="W29" s="189"/>
      <c r="X29" s="187"/>
      <c r="Y29" s="188"/>
      <c r="Z29" s="188"/>
      <c r="AA29" s="188"/>
      <c r="AB29" s="188"/>
      <c r="AC29" s="188"/>
      <c r="AD29" s="188"/>
      <c r="AE29" s="188"/>
      <c r="AF29" s="188"/>
      <c r="AG29" s="188"/>
      <c r="AH29" s="189"/>
      <c r="AI29" s="187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9"/>
      <c r="AU29" s="187"/>
      <c r="AV29" s="188"/>
      <c r="AW29" s="188"/>
      <c r="AX29" s="188"/>
      <c r="AY29" s="188"/>
      <c r="AZ29" s="188"/>
      <c r="BA29" s="188"/>
      <c r="BB29" s="188"/>
      <c r="BC29" s="188"/>
      <c r="BD29" s="188"/>
      <c r="BE29" s="188"/>
      <c r="BF29" s="195"/>
    </row>
    <row r="30" spans="2:58" ht="13" customHeight="1" x14ac:dyDescent="0.25">
      <c r="B30" s="202"/>
      <c r="C30" s="188"/>
      <c r="D30" s="188"/>
      <c r="E30" s="188"/>
      <c r="F30" s="188"/>
      <c r="G30" s="188"/>
      <c r="H30" s="188"/>
      <c r="I30" s="188"/>
      <c r="J30" s="188"/>
      <c r="K30" s="188"/>
      <c r="L30" s="189"/>
      <c r="M30" s="187"/>
      <c r="N30" s="188"/>
      <c r="O30" s="188"/>
      <c r="P30" s="188"/>
      <c r="Q30" s="188"/>
      <c r="R30" s="188"/>
      <c r="S30" s="188"/>
      <c r="T30" s="188"/>
      <c r="U30" s="188"/>
      <c r="V30" s="188"/>
      <c r="W30" s="189"/>
      <c r="X30" s="187"/>
      <c r="Y30" s="188"/>
      <c r="Z30" s="188"/>
      <c r="AA30" s="188"/>
      <c r="AB30" s="188"/>
      <c r="AC30" s="188"/>
      <c r="AD30" s="188"/>
      <c r="AE30" s="188"/>
      <c r="AF30" s="188"/>
      <c r="AG30" s="188"/>
      <c r="AH30" s="189"/>
      <c r="AI30" s="187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9"/>
      <c r="AU30" s="187"/>
      <c r="AV30" s="188"/>
      <c r="AW30" s="188"/>
      <c r="AX30" s="188"/>
      <c r="AY30" s="188"/>
      <c r="AZ30" s="188"/>
      <c r="BA30" s="188"/>
      <c r="BB30" s="188"/>
      <c r="BC30" s="188"/>
      <c r="BD30" s="188"/>
      <c r="BE30" s="188"/>
      <c r="BF30" s="195"/>
    </row>
    <row r="31" spans="2:58" ht="13" customHeight="1" x14ac:dyDescent="0.25">
      <c r="B31" s="203"/>
      <c r="C31" s="191"/>
      <c r="D31" s="191"/>
      <c r="E31" s="191"/>
      <c r="F31" s="191"/>
      <c r="G31" s="191"/>
      <c r="H31" s="191"/>
      <c r="I31" s="191"/>
      <c r="J31" s="191"/>
      <c r="K31" s="191"/>
      <c r="L31" s="148"/>
      <c r="M31" s="190"/>
      <c r="N31" s="191"/>
      <c r="O31" s="191"/>
      <c r="P31" s="191"/>
      <c r="Q31" s="191"/>
      <c r="R31" s="191"/>
      <c r="S31" s="191"/>
      <c r="T31" s="191"/>
      <c r="U31" s="191"/>
      <c r="V31" s="191"/>
      <c r="W31" s="148"/>
      <c r="X31" s="190"/>
      <c r="Y31" s="191"/>
      <c r="Z31" s="191"/>
      <c r="AA31" s="191"/>
      <c r="AB31" s="191"/>
      <c r="AC31" s="191"/>
      <c r="AD31" s="191"/>
      <c r="AE31" s="191"/>
      <c r="AF31" s="191"/>
      <c r="AG31" s="191"/>
      <c r="AH31" s="148"/>
      <c r="AI31" s="190"/>
      <c r="AJ31" s="191"/>
      <c r="AK31" s="191"/>
      <c r="AL31" s="191"/>
      <c r="AM31" s="191"/>
      <c r="AN31" s="191"/>
      <c r="AO31" s="191"/>
      <c r="AP31" s="191"/>
      <c r="AQ31" s="191"/>
      <c r="AR31" s="191"/>
      <c r="AS31" s="191"/>
      <c r="AT31" s="148"/>
      <c r="AU31" s="190"/>
      <c r="AV31" s="191"/>
      <c r="AW31" s="191"/>
      <c r="AX31" s="191"/>
      <c r="AY31" s="191"/>
      <c r="AZ31" s="191"/>
      <c r="BA31" s="191"/>
      <c r="BB31" s="191"/>
      <c r="BC31" s="191"/>
      <c r="BD31" s="191"/>
      <c r="BE31" s="191"/>
      <c r="BF31" s="196"/>
    </row>
    <row r="32" spans="2:58" ht="13" customHeight="1" x14ac:dyDescent="0.25">
      <c r="B32" s="180" t="s">
        <v>251</v>
      </c>
      <c r="C32" s="178"/>
      <c r="D32" s="178"/>
      <c r="E32" s="178"/>
      <c r="F32" s="178"/>
      <c r="G32" s="178"/>
      <c r="H32" s="178"/>
      <c r="I32" s="178"/>
      <c r="J32" s="178"/>
      <c r="K32" s="178"/>
      <c r="L32" s="149"/>
      <c r="M32" s="183" t="s">
        <v>252</v>
      </c>
      <c r="N32" s="178"/>
      <c r="O32" s="178"/>
      <c r="P32" s="178"/>
      <c r="Q32" s="178"/>
      <c r="R32" s="178"/>
      <c r="S32" s="178"/>
      <c r="T32" s="178"/>
      <c r="U32" s="178"/>
      <c r="V32" s="178"/>
      <c r="W32" s="149"/>
      <c r="X32" s="181" t="s">
        <v>253</v>
      </c>
      <c r="Y32" s="178"/>
      <c r="Z32" s="178"/>
      <c r="AA32" s="178"/>
      <c r="AB32" s="178"/>
      <c r="AC32" s="178"/>
      <c r="AD32" s="178"/>
      <c r="AE32" s="178"/>
      <c r="AF32" s="178"/>
      <c r="AG32" s="178"/>
      <c r="AH32" s="149"/>
      <c r="AI32" s="131" t="s">
        <v>254</v>
      </c>
      <c r="AJ32" s="178"/>
      <c r="AK32" s="178"/>
      <c r="AL32" s="178"/>
      <c r="AM32" s="178"/>
      <c r="AN32" s="178"/>
      <c r="AO32" s="178"/>
      <c r="AP32" s="178"/>
      <c r="AQ32" s="178"/>
      <c r="AR32" s="178"/>
      <c r="AS32" s="178"/>
      <c r="AT32" s="149"/>
      <c r="AU32" s="131" t="s">
        <v>255</v>
      </c>
      <c r="AV32" s="178"/>
      <c r="AW32" s="178"/>
      <c r="AX32" s="178"/>
      <c r="AY32" s="178"/>
      <c r="AZ32" s="178"/>
      <c r="BA32" s="178"/>
      <c r="BB32" s="178"/>
      <c r="BC32" s="178"/>
      <c r="BD32" s="178"/>
      <c r="BE32" s="178"/>
      <c r="BF32" s="182"/>
    </row>
    <row r="33" spans="2:58" ht="13" customHeight="1" x14ac:dyDescent="0.25">
      <c r="B33" s="201"/>
      <c r="C33" s="185"/>
      <c r="D33" s="185"/>
      <c r="E33" s="185"/>
      <c r="F33" s="185"/>
      <c r="G33" s="185"/>
      <c r="H33" s="185"/>
      <c r="I33" s="185"/>
      <c r="J33" s="185"/>
      <c r="K33" s="185"/>
      <c r="L33" s="186"/>
      <c r="M33" s="204"/>
      <c r="N33" s="185"/>
      <c r="O33" s="185"/>
      <c r="P33" s="185"/>
      <c r="Q33" s="185"/>
      <c r="R33" s="185"/>
      <c r="S33" s="185"/>
      <c r="T33" s="185"/>
      <c r="U33" s="185"/>
      <c r="V33" s="185"/>
      <c r="W33" s="186"/>
      <c r="X33" s="205"/>
      <c r="Y33" s="185"/>
      <c r="Z33" s="185"/>
      <c r="AA33" s="185"/>
      <c r="AB33" s="185"/>
      <c r="AC33" s="185"/>
      <c r="AD33" s="185"/>
      <c r="AE33" s="185"/>
      <c r="AF33" s="185"/>
      <c r="AG33" s="185"/>
      <c r="AH33" s="186"/>
      <c r="AI33" s="193"/>
      <c r="AJ33" s="185"/>
      <c r="AK33" s="185"/>
      <c r="AL33" s="185"/>
      <c r="AM33" s="185"/>
      <c r="AN33" s="185"/>
      <c r="AO33" s="185"/>
      <c r="AP33" s="185"/>
      <c r="AQ33" s="185"/>
      <c r="AR33" s="185"/>
      <c r="AS33" s="185"/>
      <c r="AT33" s="186"/>
      <c r="AU33" s="193"/>
      <c r="AV33" s="185"/>
      <c r="AW33" s="185"/>
      <c r="AX33" s="185"/>
      <c r="AY33" s="185"/>
      <c r="AZ33" s="185"/>
      <c r="BA33" s="185"/>
      <c r="BB33" s="185"/>
      <c r="BC33" s="185"/>
      <c r="BD33" s="185"/>
      <c r="BE33" s="185"/>
      <c r="BF33" s="194"/>
    </row>
    <row r="34" spans="2:58" ht="13" customHeight="1" x14ac:dyDescent="0.25">
      <c r="B34" s="202"/>
      <c r="C34" s="188"/>
      <c r="D34" s="188"/>
      <c r="E34" s="188"/>
      <c r="F34" s="188"/>
      <c r="G34" s="188"/>
      <c r="H34" s="188"/>
      <c r="I34" s="188"/>
      <c r="J34" s="188"/>
      <c r="K34" s="188"/>
      <c r="L34" s="189"/>
      <c r="M34" s="187"/>
      <c r="N34" s="188"/>
      <c r="O34" s="188"/>
      <c r="P34" s="188"/>
      <c r="Q34" s="188"/>
      <c r="R34" s="188"/>
      <c r="S34" s="188"/>
      <c r="T34" s="188"/>
      <c r="U34" s="188"/>
      <c r="V34" s="188"/>
      <c r="W34" s="189"/>
      <c r="X34" s="187"/>
      <c r="Y34" s="188"/>
      <c r="Z34" s="188"/>
      <c r="AA34" s="188"/>
      <c r="AB34" s="188"/>
      <c r="AC34" s="188"/>
      <c r="AD34" s="188"/>
      <c r="AE34" s="188"/>
      <c r="AF34" s="188"/>
      <c r="AG34" s="188"/>
      <c r="AH34" s="189"/>
      <c r="AI34" s="187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9"/>
      <c r="AU34" s="187"/>
      <c r="AV34" s="188"/>
      <c r="AW34" s="188"/>
      <c r="AX34" s="188"/>
      <c r="AY34" s="188"/>
      <c r="AZ34" s="188"/>
      <c r="BA34" s="188"/>
      <c r="BB34" s="188"/>
      <c r="BC34" s="188"/>
      <c r="BD34" s="188"/>
      <c r="BE34" s="188"/>
      <c r="BF34" s="195"/>
    </row>
    <row r="35" spans="2:58" ht="13" customHeight="1" x14ac:dyDescent="0.25">
      <c r="B35" s="202"/>
      <c r="C35" s="188"/>
      <c r="D35" s="188"/>
      <c r="E35" s="188"/>
      <c r="F35" s="188"/>
      <c r="G35" s="188"/>
      <c r="H35" s="188"/>
      <c r="I35" s="188"/>
      <c r="J35" s="188"/>
      <c r="K35" s="188"/>
      <c r="L35" s="189"/>
      <c r="M35" s="187"/>
      <c r="N35" s="188"/>
      <c r="O35" s="188"/>
      <c r="P35" s="188"/>
      <c r="Q35" s="188"/>
      <c r="R35" s="188"/>
      <c r="S35" s="188"/>
      <c r="T35" s="188"/>
      <c r="U35" s="188"/>
      <c r="V35" s="188"/>
      <c r="W35" s="189"/>
      <c r="X35" s="187"/>
      <c r="Y35" s="188"/>
      <c r="Z35" s="188"/>
      <c r="AA35" s="188"/>
      <c r="AB35" s="188"/>
      <c r="AC35" s="188"/>
      <c r="AD35" s="188"/>
      <c r="AE35" s="188"/>
      <c r="AF35" s="188"/>
      <c r="AG35" s="188"/>
      <c r="AH35" s="189"/>
      <c r="AI35" s="187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9"/>
      <c r="AU35" s="187"/>
      <c r="AV35" s="188"/>
      <c r="AW35" s="188"/>
      <c r="AX35" s="188"/>
      <c r="AY35" s="188"/>
      <c r="AZ35" s="188"/>
      <c r="BA35" s="188"/>
      <c r="BB35" s="188"/>
      <c r="BC35" s="188"/>
      <c r="BD35" s="188"/>
      <c r="BE35" s="188"/>
      <c r="BF35" s="195"/>
    </row>
    <row r="36" spans="2:58" ht="13" customHeight="1" x14ac:dyDescent="0.25">
      <c r="B36" s="202"/>
      <c r="C36" s="188"/>
      <c r="D36" s="188"/>
      <c r="E36" s="188"/>
      <c r="F36" s="188"/>
      <c r="G36" s="188"/>
      <c r="H36" s="188"/>
      <c r="I36" s="188"/>
      <c r="J36" s="188"/>
      <c r="K36" s="188"/>
      <c r="L36" s="189"/>
      <c r="M36" s="187"/>
      <c r="N36" s="188"/>
      <c r="O36" s="188"/>
      <c r="P36" s="188"/>
      <c r="Q36" s="188"/>
      <c r="R36" s="188"/>
      <c r="S36" s="188"/>
      <c r="T36" s="188"/>
      <c r="U36" s="188"/>
      <c r="V36" s="188"/>
      <c r="W36" s="189"/>
      <c r="X36" s="187"/>
      <c r="Y36" s="188"/>
      <c r="Z36" s="188"/>
      <c r="AA36" s="188"/>
      <c r="AB36" s="188"/>
      <c r="AC36" s="188"/>
      <c r="AD36" s="188"/>
      <c r="AE36" s="188"/>
      <c r="AF36" s="188"/>
      <c r="AG36" s="188"/>
      <c r="AH36" s="189"/>
      <c r="AI36" s="187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9"/>
      <c r="AU36" s="187"/>
      <c r="AV36" s="188"/>
      <c r="AW36" s="188"/>
      <c r="AX36" s="188"/>
      <c r="AY36" s="188"/>
      <c r="AZ36" s="188"/>
      <c r="BA36" s="188"/>
      <c r="BB36" s="188"/>
      <c r="BC36" s="188"/>
      <c r="BD36" s="188"/>
      <c r="BE36" s="188"/>
      <c r="BF36" s="195"/>
    </row>
    <row r="37" spans="2:58" ht="13" customHeight="1" x14ac:dyDescent="0.25">
      <c r="B37" s="202"/>
      <c r="C37" s="188"/>
      <c r="D37" s="188"/>
      <c r="E37" s="188"/>
      <c r="F37" s="188"/>
      <c r="G37" s="188"/>
      <c r="H37" s="188"/>
      <c r="I37" s="188"/>
      <c r="J37" s="188"/>
      <c r="K37" s="188"/>
      <c r="L37" s="189"/>
      <c r="M37" s="187"/>
      <c r="N37" s="188"/>
      <c r="O37" s="188"/>
      <c r="P37" s="188"/>
      <c r="Q37" s="188"/>
      <c r="R37" s="188"/>
      <c r="S37" s="188"/>
      <c r="T37" s="188"/>
      <c r="U37" s="188"/>
      <c r="V37" s="188"/>
      <c r="W37" s="189"/>
      <c r="X37" s="187"/>
      <c r="Y37" s="188"/>
      <c r="Z37" s="188"/>
      <c r="AA37" s="188"/>
      <c r="AB37" s="188"/>
      <c r="AC37" s="188"/>
      <c r="AD37" s="188"/>
      <c r="AE37" s="188"/>
      <c r="AF37" s="188"/>
      <c r="AG37" s="188"/>
      <c r="AH37" s="189"/>
      <c r="AI37" s="187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9"/>
      <c r="AU37" s="187"/>
      <c r="AV37" s="188"/>
      <c r="AW37" s="188"/>
      <c r="AX37" s="188"/>
      <c r="AY37" s="188"/>
      <c r="AZ37" s="188"/>
      <c r="BA37" s="188"/>
      <c r="BB37" s="188"/>
      <c r="BC37" s="188"/>
      <c r="BD37" s="188"/>
      <c r="BE37" s="188"/>
      <c r="BF37" s="195"/>
    </row>
    <row r="38" spans="2:58" ht="13" customHeight="1" x14ac:dyDescent="0.25">
      <c r="B38" s="203"/>
      <c r="C38" s="191"/>
      <c r="D38" s="191"/>
      <c r="E38" s="191"/>
      <c r="F38" s="191"/>
      <c r="G38" s="191"/>
      <c r="H38" s="191"/>
      <c r="I38" s="191"/>
      <c r="J38" s="191"/>
      <c r="K38" s="191"/>
      <c r="L38" s="148"/>
      <c r="M38" s="190"/>
      <c r="N38" s="191"/>
      <c r="O38" s="191"/>
      <c r="P38" s="191"/>
      <c r="Q38" s="191"/>
      <c r="R38" s="191"/>
      <c r="S38" s="191"/>
      <c r="T38" s="191"/>
      <c r="U38" s="191"/>
      <c r="V38" s="191"/>
      <c r="W38" s="148"/>
      <c r="X38" s="190"/>
      <c r="Y38" s="191"/>
      <c r="Z38" s="191"/>
      <c r="AA38" s="191"/>
      <c r="AB38" s="191"/>
      <c r="AC38" s="191"/>
      <c r="AD38" s="191"/>
      <c r="AE38" s="191"/>
      <c r="AF38" s="191"/>
      <c r="AG38" s="191"/>
      <c r="AH38" s="148"/>
      <c r="AI38" s="190"/>
      <c r="AJ38" s="191"/>
      <c r="AK38" s="191"/>
      <c r="AL38" s="191"/>
      <c r="AM38" s="191"/>
      <c r="AN38" s="191"/>
      <c r="AO38" s="191"/>
      <c r="AP38" s="191"/>
      <c r="AQ38" s="191"/>
      <c r="AR38" s="191"/>
      <c r="AS38" s="191"/>
      <c r="AT38" s="148"/>
      <c r="AU38" s="190"/>
      <c r="AV38" s="191"/>
      <c r="AW38" s="191"/>
      <c r="AX38" s="191"/>
      <c r="AY38" s="191"/>
      <c r="AZ38" s="191"/>
      <c r="BA38" s="191"/>
      <c r="BB38" s="191"/>
      <c r="BC38" s="191"/>
      <c r="BD38" s="191"/>
      <c r="BE38" s="191"/>
      <c r="BF38" s="196"/>
    </row>
    <row r="39" spans="2:58" ht="13" customHeight="1" x14ac:dyDescent="0.25">
      <c r="B39" s="180" t="s">
        <v>256</v>
      </c>
      <c r="C39" s="178"/>
      <c r="D39" s="178"/>
      <c r="E39" s="178"/>
      <c r="F39" s="178"/>
      <c r="G39" s="178"/>
      <c r="H39" s="178"/>
      <c r="I39" s="178"/>
      <c r="J39" s="178"/>
      <c r="K39" s="178"/>
      <c r="L39" s="149"/>
      <c r="M39" s="183" t="s">
        <v>257</v>
      </c>
      <c r="N39" s="178"/>
      <c r="O39" s="178"/>
      <c r="P39" s="178"/>
      <c r="Q39" s="178"/>
      <c r="R39" s="178"/>
      <c r="S39" s="178"/>
      <c r="T39" s="178"/>
      <c r="U39" s="178"/>
      <c r="V39" s="178"/>
      <c r="W39" s="149"/>
      <c r="X39" s="181" t="s">
        <v>258</v>
      </c>
      <c r="Y39" s="178"/>
      <c r="Z39" s="178"/>
      <c r="AA39" s="178"/>
      <c r="AB39" s="178"/>
      <c r="AC39" s="178"/>
      <c r="AD39" s="178"/>
      <c r="AE39" s="178"/>
      <c r="AF39" s="178"/>
      <c r="AG39" s="178"/>
      <c r="AH39" s="149"/>
      <c r="AI39" s="131" t="s">
        <v>259</v>
      </c>
      <c r="AJ39" s="178"/>
      <c r="AK39" s="178"/>
      <c r="AL39" s="178"/>
      <c r="AM39" s="178"/>
      <c r="AN39" s="178"/>
      <c r="AO39" s="178"/>
      <c r="AP39" s="178"/>
      <c r="AQ39" s="178"/>
      <c r="AR39" s="178"/>
      <c r="AS39" s="178"/>
      <c r="AT39" s="149"/>
      <c r="AU39" s="131" t="s">
        <v>260</v>
      </c>
      <c r="AV39" s="178"/>
      <c r="AW39" s="178"/>
      <c r="AX39" s="178"/>
      <c r="AY39" s="178"/>
      <c r="AZ39" s="178"/>
      <c r="BA39" s="178"/>
      <c r="BB39" s="178"/>
      <c r="BC39" s="178"/>
      <c r="BD39" s="178"/>
      <c r="BE39" s="178"/>
      <c r="BF39" s="182"/>
    </row>
    <row r="40" spans="2:58" ht="13" customHeight="1" x14ac:dyDescent="0.25">
      <c r="B40" s="201"/>
      <c r="C40" s="185"/>
      <c r="D40" s="185"/>
      <c r="E40" s="185"/>
      <c r="F40" s="185"/>
      <c r="G40" s="185"/>
      <c r="H40" s="185"/>
      <c r="I40" s="185"/>
      <c r="J40" s="185"/>
      <c r="K40" s="185"/>
      <c r="L40" s="186"/>
      <c r="M40" s="204"/>
      <c r="N40" s="185"/>
      <c r="O40" s="185"/>
      <c r="P40" s="185"/>
      <c r="Q40" s="185"/>
      <c r="R40" s="185"/>
      <c r="S40" s="185"/>
      <c r="T40" s="185"/>
      <c r="U40" s="185"/>
      <c r="V40" s="185"/>
      <c r="W40" s="186"/>
      <c r="X40" s="205"/>
      <c r="Y40" s="185"/>
      <c r="Z40" s="185"/>
      <c r="AA40" s="185"/>
      <c r="AB40" s="185"/>
      <c r="AC40" s="185"/>
      <c r="AD40" s="185"/>
      <c r="AE40" s="185"/>
      <c r="AF40" s="185"/>
      <c r="AG40" s="185"/>
      <c r="AH40" s="186"/>
      <c r="AI40" s="193"/>
      <c r="AJ40" s="185"/>
      <c r="AK40" s="185"/>
      <c r="AL40" s="185"/>
      <c r="AM40" s="185"/>
      <c r="AN40" s="185"/>
      <c r="AO40" s="185"/>
      <c r="AP40" s="185"/>
      <c r="AQ40" s="185"/>
      <c r="AR40" s="185"/>
      <c r="AS40" s="185"/>
      <c r="AT40" s="186"/>
      <c r="AU40" s="193"/>
      <c r="AV40" s="185"/>
      <c r="AW40" s="185"/>
      <c r="AX40" s="185"/>
      <c r="AY40" s="185"/>
      <c r="AZ40" s="185"/>
      <c r="BA40" s="185"/>
      <c r="BB40" s="185"/>
      <c r="BC40" s="185"/>
      <c r="BD40" s="185"/>
      <c r="BE40" s="185"/>
      <c r="BF40" s="194"/>
    </row>
    <row r="41" spans="2:58" ht="13" customHeight="1" x14ac:dyDescent="0.25">
      <c r="B41" s="202"/>
      <c r="C41" s="188"/>
      <c r="D41" s="188"/>
      <c r="E41" s="188"/>
      <c r="F41" s="188"/>
      <c r="G41" s="188"/>
      <c r="H41" s="188"/>
      <c r="I41" s="188"/>
      <c r="J41" s="188"/>
      <c r="K41" s="188"/>
      <c r="L41" s="189"/>
      <c r="M41" s="187"/>
      <c r="N41" s="188"/>
      <c r="O41" s="188"/>
      <c r="P41" s="188"/>
      <c r="Q41" s="188"/>
      <c r="R41" s="188"/>
      <c r="S41" s="188"/>
      <c r="T41" s="188"/>
      <c r="U41" s="188"/>
      <c r="V41" s="188"/>
      <c r="W41" s="189"/>
      <c r="X41" s="187"/>
      <c r="Y41" s="188"/>
      <c r="Z41" s="188"/>
      <c r="AA41" s="188"/>
      <c r="AB41" s="188"/>
      <c r="AC41" s="188"/>
      <c r="AD41" s="188"/>
      <c r="AE41" s="188"/>
      <c r="AF41" s="188"/>
      <c r="AG41" s="188"/>
      <c r="AH41" s="189"/>
      <c r="AI41" s="187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9"/>
      <c r="AU41" s="187"/>
      <c r="AV41" s="188"/>
      <c r="AW41" s="188"/>
      <c r="AX41" s="188"/>
      <c r="AY41" s="188"/>
      <c r="AZ41" s="188"/>
      <c r="BA41" s="188"/>
      <c r="BB41" s="188"/>
      <c r="BC41" s="188"/>
      <c r="BD41" s="188"/>
      <c r="BE41" s="188"/>
      <c r="BF41" s="195"/>
    </row>
    <row r="42" spans="2:58" ht="13" customHeight="1" x14ac:dyDescent="0.25">
      <c r="B42" s="202"/>
      <c r="C42" s="188"/>
      <c r="D42" s="188"/>
      <c r="E42" s="188"/>
      <c r="F42" s="188"/>
      <c r="G42" s="188"/>
      <c r="H42" s="188"/>
      <c r="I42" s="188"/>
      <c r="J42" s="188"/>
      <c r="K42" s="188"/>
      <c r="L42" s="189"/>
      <c r="M42" s="187"/>
      <c r="N42" s="188"/>
      <c r="O42" s="188"/>
      <c r="P42" s="188"/>
      <c r="Q42" s="188"/>
      <c r="R42" s="188"/>
      <c r="S42" s="188"/>
      <c r="T42" s="188"/>
      <c r="U42" s="188"/>
      <c r="V42" s="188"/>
      <c r="W42" s="189"/>
      <c r="X42" s="187"/>
      <c r="Y42" s="188"/>
      <c r="Z42" s="188"/>
      <c r="AA42" s="188"/>
      <c r="AB42" s="188"/>
      <c r="AC42" s="188"/>
      <c r="AD42" s="188"/>
      <c r="AE42" s="188"/>
      <c r="AF42" s="188"/>
      <c r="AG42" s="188"/>
      <c r="AH42" s="189"/>
      <c r="AI42" s="187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9"/>
      <c r="AU42" s="187"/>
      <c r="AV42" s="188"/>
      <c r="AW42" s="188"/>
      <c r="AX42" s="188"/>
      <c r="AY42" s="188"/>
      <c r="AZ42" s="188"/>
      <c r="BA42" s="188"/>
      <c r="BB42" s="188"/>
      <c r="BC42" s="188"/>
      <c r="BD42" s="188"/>
      <c r="BE42" s="188"/>
      <c r="BF42" s="195"/>
    </row>
    <row r="43" spans="2:58" ht="13" customHeight="1" x14ac:dyDescent="0.25">
      <c r="B43" s="202"/>
      <c r="C43" s="188"/>
      <c r="D43" s="188"/>
      <c r="E43" s="188"/>
      <c r="F43" s="188"/>
      <c r="G43" s="188"/>
      <c r="H43" s="188"/>
      <c r="I43" s="188"/>
      <c r="J43" s="188"/>
      <c r="K43" s="188"/>
      <c r="L43" s="189"/>
      <c r="M43" s="187"/>
      <c r="N43" s="188"/>
      <c r="O43" s="188"/>
      <c r="P43" s="188"/>
      <c r="Q43" s="188"/>
      <c r="R43" s="188"/>
      <c r="S43" s="188"/>
      <c r="T43" s="188"/>
      <c r="U43" s="188"/>
      <c r="V43" s="188"/>
      <c r="W43" s="189"/>
      <c r="X43" s="187"/>
      <c r="Y43" s="188"/>
      <c r="Z43" s="188"/>
      <c r="AA43" s="188"/>
      <c r="AB43" s="188"/>
      <c r="AC43" s="188"/>
      <c r="AD43" s="188"/>
      <c r="AE43" s="188"/>
      <c r="AF43" s="188"/>
      <c r="AG43" s="188"/>
      <c r="AH43" s="189"/>
      <c r="AI43" s="187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9"/>
      <c r="AU43" s="187"/>
      <c r="AV43" s="188"/>
      <c r="AW43" s="188"/>
      <c r="AX43" s="188"/>
      <c r="AY43" s="188"/>
      <c r="AZ43" s="188"/>
      <c r="BA43" s="188"/>
      <c r="BB43" s="188"/>
      <c r="BC43" s="188"/>
      <c r="BD43" s="188"/>
      <c r="BE43" s="188"/>
      <c r="BF43" s="195"/>
    </row>
    <row r="44" spans="2:58" ht="13" customHeight="1" x14ac:dyDescent="0.25">
      <c r="B44" s="202"/>
      <c r="C44" s="188"/>
      <c r="D44" s="188"/>
      <c r="E44" s="188"/>
      <c r="F44" s="188"/>
      <c r="G44" s="188"/>
      <c r="H44" s="188"/>
      <c r="I44" s="188"/>
      <c r="J44" s="188"/>
      <c r="K44" s="188"/>
      <c r="L44" s="189"/>
      <c r="M44" s="187"/>
      <c r="N44" s="188"/>
      <c r="O44" s="188"/>
      <c r="P44" s="188"/>
      <c r="Q44" s="188"/>
      <c r="R44" s="188"/>
      <c r="S44" s="188"/>
      <c r="T44" s="188"/>
      <c r="U44" s="188"/>
      <c r="V44" s="188"/>
      <c r="W44" s="189"/>
      <c r="X44" s="187"/>
      <c r="Y44" s="188"/>
      <c r="Z44" s="188"/>
      <c r="AA44" s="188"/>
      <c r="AB44" s="188"/>
      <c r="AC44" s="188"/>
      <c r="AD44" s="188"/>
      <c r="AE44" s="188"/>
      <c r="AF44" s="188"/>
      <c r="AG44" s="188"/>
      <c r="AH44" s="189"/>
      <c r="AI44" s="187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9"/>
      <c r="AU44" s="187"/>
      <c r="AV44" s="188"/>
      <c r="AW44" s="188"/>
      <c r="AX44" s="188"/>
      <c r="AY44" s="188"/>
      <c r="AZ44" s="188"/>
      <c r="BA44" s="188"/>
      <c r="BB44" s="188"/>
      <c r="BC44" s="188"/>
      <c r="BD44" s="188"/>
      <c r="BE44" s="188"/>
      <c r="BF44" s="195"/>
    </row>
    <row r="45" spans="2:58" ht="13" customHeight="1" x14ac:dyDescent="0.25">
      <c r="B45" s="203"/>
      <c r="C45" s="191"/>
      <c r="D45" s="191"/>
      <c r="E45" s="191"/>
      <c r="F45" s="191"/>
      <c r="G45" s="191"/>
      <c r="H45" s="191"/>
      <c r="I45" s="191"/>
      <c r="J45" s="191"/>
      <c r="K45" s="191"/>
      <c r="L45" s="148"/>
      <c r="M45" s="190"/>
      <c r="N45" s="191"/>
      <c r="O45" s="191"/>
      <c r="P45" s="191"/>
      <c r="Q45" s="191"/>
      <c r="R45" s="191"/>
      <c r="S45" s="191"/>
      <c r="T45" s="191"/>
      <c r="U45" s="191"/>
      <c r="V45" s="191"/>
      <c r="W45" s="148"/>
      <c r="X45" s="190"/>
      <c r="Y45" s="191"/>
      <c r="Z45" s="191"/>
      <c r="AA45" s="191"/>
      <c r="AB45" s="191"/>
      <c r="AC45" s="191"/>
      <c r="AD45" s="191"/>
      <c r="AE45" s="191"/>
      <c r="AF45" s="191"/>
      <c r="AG45" s="191"/>
      <c r="AH45" s="148"/>
      <c r="AI45" s="190"/>
      <c r="AJ45" s="191"/>
      <c r="AK45" s="191"/>
      <c r="AL45" s="191"/>
      <c r="AM45" s="191"/>
      <c r="AN45" s="191"/>
      <c r="AO45" s="191"/>
      <c r="AP45" s="191"/>
      <c r="AQ45" s="191"/>
      <c r="AR45" s="191"/>
      <c r="AS45" s="191"/>
      <c r="AT45" s="148"/>
      <c r="AU45" s="190"/>
      <c r="AV45" s="191"/>
      <c r="AW45" s="191"/>
      <c r="AX45" s="191"/>
      <c r="AY45" s="191"/>
      <c r="AZ45" s="191"/>
      <c r="BA45" s="191"/>
      <c r="BB45" s="191"/>
      <c r="BC45" s="191"/>
      <c r="BD45" s="191"/>
      <c r="BE45" s="191"/>
      <c r="BF45" s="196"/>
    </row>
    <row r="46" spans="2:58" ht="13" customHeight="1" x14ac:dyDescent="0.25">
      <c r="B46" s="180" t="s">
        <v>261</v>
      </c>
      <c r="C46" s="178"/>
      <c r="D46" s="178"/>
      <c r="E46" s="178"/>
      <c r="F46" s="178"/>
      <c r="G46" s="178"/>
      <c r="H46" s="178"/>
      <c r="I46" s="178"/>
      <c r="J46" s="178"/>
      <c r="K46" s="178"/>
      <c r="L46" s="149"/>
      <c r="M46" s="155" t="s">
        <v>262</v>
      </c>
      <c r="N46" s="178"/>
      <c r="O46" s="178"/>
      <c r="P46" s="178"/>
      <c r="Q46" s="178"/>
      <c r="R46" s="178"/>
      <c r="S46" s="178"/>
      <c r="T46" s="178"/>
      <c r="U46" s="178"/>
      <c r="V46" s="178"/>
      <c r="W46" s="149"/>
      <c r="X46" s="181" t="s">
        <v>263</v>
      </c>
      <c r="Y46" s="178"/>
      <c r="Z46" s="178"/>
      <c r="AA46" s="178"/>
      <c r="AB46" s="178"/>
      <c r="AC46" s="178"/>
      <c r="AD46" s="178"/>
      <c r="AE46" s="178"/>
      <c r="AF46" s="178"/>
      <c r="AG46" s="178"/>
      <c r="AH46" s="149"/>
      <c r="AI46" s="131" t="s">
        <v>264</v>
      </c>
      <c r="AJ46" s="178"/>
      <c r="AK46" s="178"/>
      <c r="AL46" s="178"/>
      <c r="AM46" s="178"/>
      <c r="AN46" s="178"/>
      <c r="AO46" s="178"/>
      <c r="AP46" s="178"/>
      <c r="AQ46" s="178"/>
      <c r="AR46" s="178"/>
      <c r="AS46" s="178"/>
      <c r="AT46" s="149"/>
      <c r="AU46" s="131" t="s">
        <v>265</v>
      </c>
      <c r="AV46" s="178"/>
      <c r="AW46" s="178"/>
      <c r="AX46" s="178"/>
      <c r="AY46" s="178"/>
      <c r="AZ46" s="178"/>
      <c r="BA46" s="178"/>
      <c r="BB46" s="178"/>
      <c r="BC46" s="178"/>
      <c r="BD46" s="178"/>
      <c r="BE46" s="178"/>
      <c r="BF46" s="182"/>
    </row>
    <row r="47" spans="2:58" ht="13" customHeight="1" x14ac:dyDescent="0.25">
      <c r="B47" s="201"/>
      <c r="C47" s="185"/>
      <c r="D47" s="185"/>
      <c r="E47" s="185"/>
      <c r="F47" s="185"/>
      <c r="G47" s="185"/>
      <c r="H47" s="185"/>
      <c r="I47" s="185"/>
      <c r="J47" s="185"/>
      <c r="K47" s="185"/>
      <c r="L47" s="186"/>
      <c r="M47" s="204"/>
      <c r="N47" s="185"/>
      <c r="O47" s="185"/>
      <c r="P47" s="185"/>
      <c r="Q47" s="185"/>
      <c r="R47" s="185"/>
      <c r="S47" s="185"/>
      <c r="T47" s="185"/>
      <c r="U47" s="185"/>
      <c r="V47" s="185"/>
      <c r="W47" s="186"/>
      <c r="X47" s="205"/>
      <c r="Y47" s="185"/>
      <c r="Z47" s="185"/>
      <c r="AA47" s="185"/>
      <c r="AB47" s="185"/>
      <c r="AC47" s="185"/>
      <c r="AD47" s="185"/>
      <c r="AE47" s="185"/>
      <c r="AF47" s="185"/>
      <c r="AG47" s="185"/>
      <c r="AH47" s="186"/>
      <c r="AI47" s="193"/>
      <c r="AJ47" s="185"/>
      <c r="AK47" s="185"/>
      <c r="AL47" s="185"/>
      <c r="AM47" s="185"/>
      <c r="AN47" s="185"/>
      <c r="AO47" s="185"/>
      <c r="AP47" s="185"/>
      <c r="AQ47" s="185"/>
      <c r="AR47" s="185"/>
      <c r="AS47" s="185"/>
      <c r="AT47" s="186"/>
      <c r="AU47" s="193"/>
      <c r="AV47" s="185"/>
      <c r="AW47" s="185"/>
      <c r="AX47" s="185"/>
      <c r="AY47" s="185"/>
      <c r="AZ47" s="185"/>
      <c r="BA47" s="185"/>
      <c r="BB47" s="185"/>
      <c r="BC47" s="185"/>
      <c r="BD47" s="185"/>
      <c r="BE47" s="185"/>
      <c r="BF47" s="194"/>
    </row>
    <row r="48" spans="2:58" ht="13" customHeight="1" x14ac:dyDescent="0.25">
      <c r="B48" s="202"/>
      <c r="C48" s="188"/>
      <c r="D48" s="188"/>
      <c r="E48" s="188"/>
      <c r="F48" s="188"/>
      <c r="G48" s="188"/>
      <c r="H48" s="188"/>
      <c r="I48" s="188"/>
      <c r="J48" s="188"/>
      <c r="K48" s="188"/>
      <c r="L48" s="189"/>
      <c r="M48" s="187"/>
      <c r="N48" s="188"/>
      <c r="O48" s="188"/>
      <c r="P48" s="188"/>
      <c r="Q48" s="188"/>
      <c r="R48" s="188"/>
      <c r="S48" s="188"/>
      <c r="T48" s="188"/>
      <c r="U48" s="188"/>
      <c r="V48" s="188"/>
      <c r="W48" s="189"/>
      <c r="X48" s="187"/>
      <c r="Y48" s="188"/>
      <c r="Z48" s="188"/>
      <c r="AA48" s="188"/>
      <c r="AB48" s="188"/>
      <c r="AC48" s="188"/>
      <c r="AD48" s="188"/>
      <c r="AE48" s="188"/>
      <c r="AF48" s="188"/>
      <c r="AG48" s="188"/>
      <c r="AH48" s="189"/>
      <c r="AI48" s="187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9"/>
      <c r="AU48" s="187"/>
      <c r="AV48" s="188"/>
      <c r="AW48" s="188"/>
      <c r="AX48" s="188"/>
      <c r="AY48" s="188"/>
      <c r="AZ48" s="188"/>
      <c r="BA48" s="188"/>
      <c r="BB48" s="188"/>
      <c r="BC48" s="188"/>
      <c r="BD48" s="188"/>
      <c r="BE48" s="188"/>
      <c r="BF48" s="195"/>
    </row>
    <row r="49" spans="2:58" ht="13" customHeight="1" x14ac:dyDescent="0.25">
      <c r="B49" s="202"/>
      <c r="C49" s="188"/>
      <c r="D49" s="188"/>
      <c r="E49" s="188"/>
      <c r="F49" s="188"/>
      <c r="G49" s="188"/>
      <c r="H49" s="188"/>
      <c r="I49" s="188"/>
      <c r="J49" s="188"/>
      <c r="K49" s="188"/>
      <c r="L49" s="189"/>
      <c r="M49" s="187"/>
      <c r="N49" s="188"/>
      <c r="O49" s="188"/>
      <c r="P49" s="188"/>
      <c r="Q49" s="188"/>
      <c r="R49" s="188"/>
      <c r="S49" s="188"/>
      <c r="T49" s="188"/>
      <c r="U49" s="188"/>
      <c r="V49" s="188"/>
      <c r="W49" s="189"/>
      <c r="X49" s="187"/>
      <c r="Y49" s="188"/>
      <c r="Z49" s="188"/>
      <c r="AA49" s="188"/>
      <c r="AB49" s="188"/>
      <c r="AC49" s="188"/>
      <c r="AD49" s="188"/>
      <c r="AE49" s="188"/>
      <c r="AF49" s="188"/>
      <c r="AG49" s="188"/>
      <c r="AH49" s="189"/>
      <c r="AI49" s="187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9"/>
      <c r="AU49" s="187"/>
      <c r="AV49" s="188"/>
      <c r="AW49" s="188"/>
      <c r="AX49" s="188"/>
      <c r="AY49" s="188"/>
      <c r="AZ49" s="188"/>
      <c r="BA49" s="188"/>
      <c r="BB49" s="188"/>
      <c r="BC49" s="188"/>
      <c r="BD49" s="188"/>
      <c r="BE49" s="188"/>
      <c r="BF49" s="195"/>
    </row>
    <row r="50" spans="2:58" ht="13" customHeight="1" x14ac:dyDescent="0.25">
      <c r="B50" s="202"/>
      <c r="C50" s="188"/>
      <c r="D50" s="188"/>
      <c r="E50" s="188"/>
      <c r="F50" s="188"/>
      <c r="G50" s="188"/>
      <c r="H50" s="188"/>
      <c r="I50" s="188"/>
      <c r="J50" s="188"/>
      <c r="K50" s="188"/>
      <c r="L50" s="189"/>
      <c r="M50" s="187"/>
      <c r="N50" s="188"/>
      <c r="O50" s="188"/>
      <c r="P50" s="188"/>
      <c r="Q50" s="188"/>
      <c r="R50" s="188"/>
      <c r="S50" s="188"/>
      <c r="T50" s="188"/>
      <c r="U50" s="188"/>
      <c r="V50" s="188"/>
      <c r="W50" s="189"/>
      <c r="X50" s="187"/>
      <c r="Y50" s="188"/>
      <c r="Z50" s="188"/>
      <c r="AA50" s="188"/>
      <c r="AB50" s="188"/>
      <c r="AC50" s="188"/>
      <c r="AD50" s="188"/>
      <c r="AE50" s="188"/>
      <c r="AF50" s="188"/>
      <c r="AG50" s="188"/>
      <c r="AH50" s="189"/>
      <c r="AI50" s="187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9"/>
      <c r="AU50" s="187"/>
      <c r="AV50" s="188"/>
      <c r="AW50" s="188"/>
      <c r="AX50" s="188"/>
      <c r="AY50" s="188"/>
      <c r="AZ50" s="188"/>
      <c r="BA50" s="188"/>
      <c r="BB50" s="188"/>
      <c r="BC50" s="188"/>
      <c r="BD50" s="188"/>
      <c r="BE50" s="188"/>
      <c r="BF50" s="195"/>
    </row>
    <row r="51" spans="2:58" ht="13" customHeight="1" x14ac:dyDescent="0.25">
      <c r="B51" s="202"/>
      <c r="C51" s="188"/>
      <c r="D51" s="188"/>
      <c r="E51" s="188"/>
      <c r="F51" s="188"/>
      <c r="G51" s="188"/>
      <c r="H51" s="188"/>
      <c r="I51" s="188"/>
      <c r="J51" s="188"/>
      <c r="K51" s="188"/>
      <c r="L51" s="189"/>
      <c r="M51" s="187"/>
      <c r="N51" s="188"/>
      <c r="O51" s="188"/>
      <c r="P51" s="188"/>
      <c r="Q51" s="188"/>
      <c r="R51" s="188"/>
      <c r="S51" s="188"/>
      <c r="T51" s="188"/>
      <c r="U51" s="188"/>
      <c r="V51" s="188"/>
      <c r="W51" s="189"/>
      <c r="X51" s="187"/>
      <c r="Y51" s="188"/>
      <c r="Z51" s="188"/>
      <c r="AA51" s="188"/>
      <c r="AB51" s="188"/>
      <c r="AC51" s="188"/>
      <c r="AD51" s="188"/>
      <c r="AE51" s="188"/>
      <c r="AF51" s="188"/>
      <c r="AG51" s="188"/>
      <c r="AH51" s="189"/>
      <c r="AI51" s="187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9"/>
      <c r="AU51" s="187"/>
      <c r="AV51" s="188"/>
      <c r="AW51" s="188"/>
      <c r="AX51" s="188"/>
      <c r="AY51" s="188"/>
      <c r="AZ51" s="188"/>
      <c r="BA51" s="188"/>
      <c r="BB51" s="188"/>
      <c r="BC51" s="188"/>
      <c r="BD51" s="188"/>
      <c r="BE51" s="188"/>
      <c r="BF51" s="195"/>
    </row>
    <row r="52" spans="2:58" ht="13" customHeight="1" x14ac:dyDescent="0.25">
      <c r="B52" s="203"/>
      <c r="C52" s="191"/>
      <c r="D52" s="191"/>
      <c r="E52" s="191"/>
      <c r="F52" s="191"/>
      <c r="G52" s="191"/>
      <c r="H52" s="191"/>
      <c r="I52" s="191"/>
      <c r="J52" s="191"/>
      <c r="K52" s="191"/>
      <c r="L52" s="148"/>
      <c r="M52" s="190"/>
      <c r="N52" s="191"/>
      <c r="O52" s="191"/>
      <c r="P52" s="191"/>
      <c r="Q52" s="191"/>
      <c r="R52" s="191"/>
      <c r="S52" s="191"/>
      <c r="T52" s="191"/>
      <c r="U52" s="191"/>
      <c r="V52" s="191"/>
      <c r="W52" s="148"/>
      <c r="X52" s="190"/>
      <c r="Y52" s="191"/>
      <c r="Z52" s="191"/>
      <c r="AA52" s="191"/>
      <c r="AB52" s="191"/>
      <c r="AC52" s="191"/>
      <c r="AD52" s="191"/>
      <c r="AE52" s="191"/>
      <c r="AF52" s="191"/>
      <c r="AG52" s="191"/>
      <c r="AH52" s="148"/>
      <c r="AI52" s="190"/>
      <c r="AJ52" s="191"/>
      <c r="AK52" s="191"/>
      <c r="AL52" s="191"/>
      <c r="AM52" s="191"/>
      <c r="AN52" s="191"/>
      <c r="AO52" s="191"/>
      <c r="AP52" s="191"/>
      <c r="AQ52" s="191"/>
      <c r="AR52" s="191"/>
      <c r="AS52" s="191"/>
      <c r="AT52" s="148"/>
      <c r="AU52" s="190"/>
      <c r="AV52" s="191"/>
      <c r="AW52" s="191"/>
      <c r="AX52" s="191"/>
      <c r="AY52" s="191"/>
      <c r="AZ52" s="191"/>
      <c r="BA52" s="191"/>
      <c r="BB52" s="191"/>
      <c r="BC52" s="191"/>
      <c r="BD52" s="191"/>
      <c r="BE52" s="191"/>
      <c r="BF52" s="196"/>
    </row>
    <row r="53" spans="2:58" ht="13" customHeight="1" x14ac:dyDescent="0.25">
      <c r="B53" s="180" t="s">
        <v>266</v>
      </c>
      <c r="C53" s="178"/>
      <c r="D53" s="178"/>
      <c r="E53" s="178"/>
      <c r="F53" s="178"/>
      <c r="G53" s="178"/>
      <c r="H53" s="178"/>
      <c r="I53" s="178"/>
      <c r="J53" s="178"/>
      <c r="K53" s="178"/>
      <c r="L53" s="149"/>
      <c r="M53" s="183" t="s">
        <v>267</v>
      </c>
      <c r="N53" s="178"/>
      <c r="O53" s="178"/>
      <c r="P53" s="178"/>
      <c r="Q53" s="178"/>
      <c r="R53" s="178"/>
      <c r="S53" s="178"/>
      <c r="T53" s="178"/>
      <c r="U53" s="178"/>
      <c r="V53" s="178"/>
      <c r="W53" s="149"/>
      <c r="X53" s="181" t="s">
        <v>268</v>
      </c>
      <c r="Y53" s="178"/>
      <c r="Z53" s="178"/>
      <c r="AA53" s="178"/>
      <c r="AB53" s="178"/>
      <c r="AC53" s="178"/>
      <c r="AD53" s="178"/>
      <c r="AE53" s="178"/>
      <c r="AF53" s="178"/>
      <c r="AG53" s="178"/>
      <c r="AH53" s="149"/>
      <c r="AI53" s="131" t="s">
        <v>269</v>
      </c>
      <c r="AJ53" s="178"/>
      <c r="AK53" s="178"/>
      <c r="AL53" s="178"/>
      <c r="AM53" s="178"/>
      <c r="AN53" s="178"/>
      <c r="AO53" s="178"/>
      <c r="AP53" s="178"/>
      <c r="AQ53" s="178"/>
      <c r="AR53" s="178"/>
      <c r="AS53" s="178"/>
      <c r="AT53" s="149"/>
      <c r="AU53" s="131" t="s">
        <v>270</v>
      </c>
      <c r="AV53" s="178"/>
      <c r="AW53" s="178"/>
      <c r="AX53" s="178"/>
      <c r="AY53" s="178"/>
      <c r="AZ53" s="178"/>
      <c r="BA53" s="178"/>
      <c r="BB53" s="178"/>
      <c r="BC53" s="178"/>
      <c r="BD53" s="178"/>
      <c r="BE53" s="178"/>
      <c r="BF53" s="182"/>
    </row>
    <row r="54" spans="2:58" ht="13" customHeight="1" x14ac:dyDescent="0.25">
      <c r="B54" s="201"/>
      <c r="C54" s="185"/>
      <c r="D54" s="185"/>
      <c r="E54" s="185"/>
      <c r="F54" s="185"/>
      <c r="G54" s="185"/>
      <c r="H54" s="185"/>
      <c r="I54" s="185"/>
      <c r="J54" s="185"/>
      <c r="K54" s="185"/>
      <c r="L54" s="186"/>
      <c r="M54" s="209"/>
      <c r="N54" s="185"/>
      <c r="O54" s="185"/>
      <c r="P54" s="185"/>
      <c r="Q54" s="185"/>
      <c r="R54" s="185"/>
      <c r="S54" s="185"/>
      <c r="T54" s="185"/>
      <c r="U54" s="185"/>
      <c r="V54" s="185"/>
      <c r="W54" s="186"/>
      <c r="X54" s="205"/>
      <c r="Y54" s="185"/>
      <c r="Z54" s="185"/>
      <c r="AA54" s="185"/>
      <c r="AB54" s="185"/>
      <c r="AC54" s="185"/>
      <c r="AD54" s="185"/>
      <c r="AE54" s="185"/>
      <c r="AF54" s="185"/>
      <c r="AG54" s="185"/>
      <c r="AH54" s="186"/>
      <c r="AI54" s="193"/>
      <c r="AJ54" s="185"/>
      <c r="AK54" s="185"/>
      <c r="AL54" s="185"/>
      <c r="AM54" s="185"/>
      <c r="AN54" s="185"/>
      <c r="AO54" s="185"/>
      <c r="AP54" s="185"/>
      <c r="AQ54" s="185"/>
      <c r="AR54" s="185"/>
      <c r="AS54" s="185"/>
      <c r="AT54" s="186"/>
      <c r="AU54" s="193"/>
      <c r="AV54" s="185"/>
      <c r="AW54" s="185"/>
      <c r="AX54" s="185"/>
      <c r="AY54" s="185"/>
      <c r="AZ54" s="185"/>
      <c r="BA54" s="185"/>
      <c r="BB54" s="185"/>
      <c r="BC54" s="185"/>
      <c r="BD54" s="185"/>
      <c r="BE54" s="185"/>
      <c r="BF54" s="194"/>
    </row>
    <row r="55" spans="2:58" ht="13" customHeight="1" x14ac:dyDescent="0.25">
      <c r="B55" s="202"/>
      <c r="C55" s="188"/>
      <c r="D55" s="188"/>
      <c r="E55" s="188"/>
      <c r="F55" s="188"/>
      <c r="G55" s="188"/>
      <c r="H55" s="188"/>
      <c r="I55" s="188"/>
      <c r="J55" s="188"/>
      <c r="K55" s="188"/>
      <c r="L55" s="189"/>
      <c r="M55" s="187"/>
      <c r="N55" s="188"/>
      <c r="O55" s="188"/>
      <c r="P55" s="188"/>
      <c r="Q55" s="188"/>
      <c r="R55" s="188"/>
      <c r="S55" s="188"/>
      <c r="T55" s="188"/>
      <c r="U55" s="188"/>
      <c r="V55" s="188"/>
      <c r="W55" s="189"/>
      <c r="X55" s="187"/>
      <c r="Y55" s="188"/>
      <c r="Z55" s="188"/>
      <c r="AA55" s="188"/>
      <c r="AB55" s="188"/>
      <c r="AC55" s="188"/>
      <c r="AD55" s="188"/>
      <c r="AE55" s="188"/>
      <c r="AF55" s="188"/>
      <c r="AG55" s="188"/>
      <c r="AH55" s="189"/>
      <c r="AI55" s="187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9"/>
      <c r="AU55" s="187"/>
      <c r="AV55" s="188"/>
      <c r="AW55" s="188"/>
      <c r="AX55" s="188"/>
      <c r="AY55" s="188"/>
      <c r="AZ55" s="188"/>
      <c r="BA55" s="188"/>
      <c r="BB55" s="188"/>
      <c r="BC55" s="188"/>
      <c r="BD55" s="188"/>
      <c r="BE55" s="188"/>
      <c r="BF55" s="195"/>
    </row>
    <row r="56" spans="2:58" ht="13" customHeight="1" x14ac:dyDescent="0.25">
      <c r="B56" s="202"/>
      <c r="C56" s="188"/>
      <c r="D56" s="188"/>
      <c r="E56" s="188"/>
      <c r="F56" s="188"/>
      <c r="G56" s="188"/>
      <c r="H56" s="188"/>
      <c r="I56" s="188"/>
      <c r="J56" s="188"/>
      <c r="K56" s="188"/>
      <c r="L56" s="189"/>
      <c r="M56" s="187"/>
      <c r="N56" s="188"/>
      <c r="O56" s="188"/>
      <c r="P56" s="188"/>
      <c r="Q56" s="188"/>
      <c r="R56" s="188"/>
      <c r="S56" s="188"/>
      <c r="T56" s="188"/>
      <c r="U56" s="188"/>
      <c r="V56" s="188"/>
      <c r="W56" s="189"/>
      <c r="X56" s="187"/>
      <c r="Y56" s="188"/>
      <c r="Z56" s="188"/>
      <c r="AA56" s="188"/>
      <c r="AB56" s="188"/>
      <c r="AC56" s="188"/>
      <c r="AD56" s="188"/>
      <c r="AE56" s="188"/>
      <c r="AF56" s="188"/>
      <c r="AG56" s="188"/>
      <c r="AH56" s="189"/>
      <c r="AI56" s="187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9"/>
      <c r="AU56" s="187"/>
      <c r="AV56" s="188"/>
      <c r="AW56" s="188"/>
      <c r="AX56" s="188"/>
      <c r="AY56" s="188"/>
      <c r="AZ56" s="188"/>
      <c r="BA56" s="188"/>
      <c r="BB56" s="188"/>
      <c r="BC56" s="188"/>
      <c r="BD56" s="188"/>
      <c r="BE56" s="188"/>
      <c r="BF56" s="195"/>
    </row>
    <row r="57" spans="2:58" ht="13" customHeight="1" x14ac:dyDescent="0.25">
      <c r="B57" s="202"/>
      <c r="C57" s="188"/>
      <c r="D57" s="188"/>
      <c r="E57" s="188"/>
      <c r="F57" s="188"/>
      <c r="G57" s="188"/>
      <c r="H57" s="188"/>
      <c r="I57" s="188"/>
      <c r="J57" s="188"/>
      <c r="K57" s="188"/>
      <c r="L57" s="189"/>
      <c r="M57" s="187"/>
      <c r="N57" s="188"/>
      <c r="O57" s="188"/>
      <c r="P57" s="188"/>
      <c r="Q57" s="188"/>
      <c r="R57" s="188"/>
      <c r="S57" s="188"/>
      <c r="T57" s="188"/>
      <c r="U57" s="188"/>
      <c r="V57" s="188"/>
      <c r="W57" s="189"/>
      <c r="X57" s="187"/>
      <c r="Y57" s="188"/>
      <c r="Z57" s="188"/>
      <c r="AA57" s="188"/>
      <c r="AB57" s="188"/>
      <c r="AC57" s="188"/>
      <c r="AD57" s="188"/>
      <c r="AE57" s="188"/>
      <c r="AF57" s="188"/>
      <c r="AG57" s="188"/>
      <c r="AH57" s="189"/>
      <c r="AI57" s="187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9"/>
      <c r="AU57" s="187"/>
      <c r="AV57" s="188"/>
      <c r="AW57" s="188"/>
      <c r="AX57" s="188"/>
      <c r="AY57" s="188"/>
      <c r="AZ57" s="188"/>
      <c r="BA57" s="188"/>
      <c r="BB57" s="188"/>
      <c r="BC57" s="188"/>
      <c r="BD57" s="188"/>
      <c r="BE57" s="188"/>
      <c r="BF57" s="195"/>
    </row>
    <row r="58" spans="2:58" ht="13" customHeight="1" x14ac:dyDescent="0.25">
      <c r="B58" s="202"/>
      <c r="C58" s="188"/>
      <c r="D58" s="188"/>
      <c r="E58" s="188"/>
      <c r="F58" s="188"/>
      <c r="G58" s="188"/>
      <c r="H58" s="188"/>
      <c r="I58" s="188"/>
      <c r="J58" s="188"/>
      <c r="K58" s="188"/>
      <c r="L58" s="189"/>
      <c r="M58" s="187"/>
      <c r="N58" s="188"/>
      <c r="O58" s="188"/>
      <c r="P58" s="188"/>
      <c r="Q58" s="188"/>
      <c r="R58" s="188"/>
      <c r="S58" s="188"/>
      <c r="T58" s="188"/>
      <c r="U58" s="188"/>
      <c r="V58" s="188"/>
      <c r="W58" s="189"/>
      <c r="X58" s="187"/>
      <c r="Y58" s="188"/>
      <c r="Z58" s="188"/>
      <c r="AA58" s="188"/>
      <c r="AB58" s="188"/>
      <c r="AC58" s="188"/>
      <c r="AD58" s="188"/>
      <c r="AE58" s="188"/>
      <c r="AF58" s="188"/>
      <c r="AG58" s="188"/>
      <c r="AH58" s="189"/>
      <c r="AI58" s="187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9"/>
      <c r="AU58" s="187"/>
      <c r="AV58" s="188"/>
      <c r="AW58" s="188"/>
      <c r="AX58" s="188"/>
      <c r="AY58" s="188"/>
      <c r="AZ58" s="188"/>
      <c r="BA58" s="188"/>
      <c r="BB58" s="188"/>
      <c r="BC58" s="188"/>
      <c r="BD58" s="188"/>
      <c r="BE58" s="188"/>
      <c r="BF58" s="195"/>
    </row>
    <row r="59" spans="2:58" ht="13" customHeight="1" x14ac:dyDescent="0.25">
      <c r="B59" s="206"/>
      <c r="C59" s="207"/>
      <c r="D59" s="207"/>
      <c r="E59" s="207"/>
      <c r="F59" s="207"/>
      <c r="G59" s="207"/>
      <c r="H59" s="207"/>
      <c r="I59" s="207"/>
      <c r="J59" s="207"/>
      <c r="K59" s="207"/>
      <c r="L59" s="208"/>
      <c r="M59" s="210"/>
      <c r="N59" s="207"/>
      <c r="O59" s="207"/>
      <c r="P59" s="207"/>
      <c r="Q59" s="207"/>
      <c r="R59" s="207"/>
      <c r="S59" s="207"/>
      <c r="T59" s="207"/>
      <c r="U59" s="207"/>
      <c r="V59" s="207"/>
      <c r="W59" s="208"/>
      <c r="X59" s="210"/>
      <c r="Y59" s="207"/>
      <c r="Z59" s="207"/>
      <c r="AA59" s="207"/>
      <c r="AB59" s="207"/>
      <c r="AC59" s="207"/>
      <c r="AD59" s="207"/>
      <c r="AE59" s="207"/>
      <c r="AF59" s="207"/>
      <c r="AG59" s="207"/>
      <c r="AH59" s="208"/>
      <c r="AI59" s="210"/>
      <c r="AJ59" s="207"/>
      <c r="AK59" s="207"/>
      <c r="AL59" s="207"/>
      <c r="AM59" s="207"/>
      <c r="AN59" s="207"/>
      <c r="AO59" s="207"/>
      <c r="AP59" s="207"/>
      <c r="AQ59" s="207"/>
      <c r="AR59" s="207"/>
      <c r="AS59" s="207"/>
      <c r="AT59" s="208"/>
      <c r="AU59" s="210"/>
      <c r="AV59" s="207"/>
      <c r="AW59" s="207"/>
      <c r="AX59" s="207"/>
      <c r="AY59" s="207"/>
      <c r="AZ59" s="207"/>
      <c r="BA59" s="207"/>
      <c r="BB59" s="207"/>
      <c r="BC59" s="207"/>
      <c r="BD59" s="207"/>
      <c r="BE59" s="207"/>
      <c r="BF59" s="211"/>
    </row>
    <row r="60" spans="2:58" ht="13" customHeight="1" x14ac:dyDescent="0.25">
      <c r="B60" s="147" t="s">
        <v>372</v>
      </c>
      <c r="C60" s="148"/>
      <c r="D60" s="9" t="s">
        <v>19</v>
      </c>
      <c r="E60" s="124" t="s">
        <v>20</v>
      </c>
      <c r="F60" s="127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28"/>
      <c r="AN60" s="128"/>
      <c r="AO60" s="129"/>
      <c r="AP60" s="129"/>
      <c r="AQ60" s="129"/>
      <c r="AR60" s="129"/>
      <c r="AS60" s="129"/>
      <c r="AT60" s="129"/>
      <c r="AU60" s="129"/>
      <c r="AV60" s="129"/>
      <c r="AW60" s="129"/>
      <c r="AX60" s="129"/>
      <c r="AY60" s="129"/>
      <c r="AZ60" s="129"/>
      <c r="BA60" s="129"/>
      <c r="BB60" s="129"/>
      <c r="BC60" s="129"/>
      <c r="BD60" s="129"/>
      <c r="BE60" s="129"/>
      <c r="BF60" s="130"/>
    </row>
    <row r="61" spans="2:58" ht="13" customHeight="1" x14ac:dyDescent="0.25">
      <c r="B61" s="123" t="s">
        <v>226</v>
      </c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31"/>
      <c r="AP61" s="131"/>
      <c r="AQ61" s="131"/>
      <c r="AR61" s="131"/>
      <c r="AS61" s="131"/>
      <c r="AT61" s="131"/>
      <c r="AU61" s="131"/>
      <c r="AV61" s="131"/>
      <c r="AW61" s="131"/>
      <c r="AX61" s="131"/>
      <c r="AY61" s="131"/>
      <c r="AZ61" s="131"/>
      <c r="BA61" s="131"/>
      <c r="BB61" s="131"/>
      <c r="BC61" s="131"/>
      <c r="BD61" s="131"/>
      <c r="BE61" s="131"/>
      <c r="BF61" s="132"/>
    </row>
    <row r="62" spans="2:58" ht="13" customHeight="1" thickBot="1" x14ac:dyDescent="0.3">
      <c r="B62" s="135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  <c r="AD62" s="126"/>
      <c r="AE62" s="126"/>
      <c r="AF62" s="126"/>
      <c r="AG62" s="126"/>
      <c r="AH62" s="126"/>
      <c r="AI62" s="126"/>
      <c r="AJ62" s="126"/>
      <c r="AK62" s="126"/>
      <c r="AL62" s="126"/>
      <c r="AM62" s="126"/>
      <c r="AN62" s="126"/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3"/>
      <c r="BB62" s="133"/>
      <c r="BC62" s="133"/>
      <c r="BD62" s="133"/>
      <c r="BE62" s="133"/>
      <c r="BF62" s="134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O23" sqref="O23"/>
    </sheetView>
  </sheetViews>
  <sheetFormatPr defaultRowHeight="8" x14ac:dyDescent="0.25"/>
  <cols>
    <col min="1" max="1" width="0.453125" style="6" customWidth="1"/>
    <col min="2" max="2" width="3.453125" style="6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50" t="s">
        <v>227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151"/>
      <c r="AI2" s="151"/>
      <c r="AJ2" s="151"/>
      <c r="AK2" s="151"/>
      <c r="AL2" s="151"/>
      <c r="AM2" s="151"/>
      <c r="AN2" s="151"/>
      <c r="AO2" s="151"/>
      <c r="AP2" s="151"/>
      <c r="AQ2" s="151"/>
      <c r="AR2" s="151"/>
    </row>
    <row r="3" spans="2:47" ht="20.15" customHeight="1" x14ac:dyDescent="0.25">
      <c r="B3" s="152" t="s">
        <v>181</v>
      </c>
      <c r="C3" s="110" t="s">
        <v>163</v>
      </c>
      <c r="D3" s="160"/>
      <c r="E3" s="160"/>
      <c r="F3" s="160"/>
      <c r="G3" s="160"/>
      <c r="H3" s="161"/>
      <c r="I3" s="164" t="s">
        <v>8</v>
      </c>
      <c r="J3" s="160"/>
      <c r="K3" s="160"/>
      <c r="L3" s="160"/>
      <c r="M3" s="160"/>
      <c r="N3" s="160"/>
      <c r="O3" s="160"/>
      <c r="P3" s="165"/>
      <c r="Q3" s="110" t="s">
        <v>77</v>
      </c>
      <c r="R3" s="160"/>
      <c r="S3" s="165"/>
      <c r="T3" s="110" t="s">
        <v>10</v>
      </c>
      <c r="U3" s="160"/>
      <c r="V3" s="160"/>
      <c r="W3" s="165"/>
      <c r="X3" s="110" t="s">
        <v>80</v>
      </c>
      <c r="Y3" s="111"/>
      <c r="Z3" s="110" t="s">
        <v>11</v>
      </c>
      <c r="AA3" s="111"/>
      <c r="AB3" s="13" t="s">
        <v>13</v>
      </c>
      <c r="AC3" s="110" t="s">
        <v>14</v>
      </c>
      <c r="AD3" s="111"/>
      <c r="AE3" s="114" t="s">
        <v>88</v>
      </c>
      <c r="AF3" s="115"/>
      <c r="AG3" s="115"/>
      <c r="AH3" s="115"/>
      <c r="AI3" s="115"/>
      <c r="AJ3" s="115"/>
      <c r="AK3" s="116"/>
      <c r="AL3" s="110" t="s">
        <v>18</v>
      </c>
      <c r="AM3" s="156"/>
      <c r="AN3" s="157"/>
      <c r="AO3" s="156" t="s">
        <v>16</v>
      </c>
      <c r="AP3" s="156"/>
      <c r="AQ3" s="156"/>
      <c r="AR3" s="159"/>
    </row>
    <row r="4" spans="2:47" ht="30" customHeight="1" x14ac:dyDescent="0.25">
      <c r="B4" s="153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62" t="s">
        <v>62</v>
      </c>
      <c r="J4" s="163"/>
      <c r="K4" s="3" t="s">
        <v>6</v>
      </c>
      <c r="L4" s="3" t="s">
        <v>66</v>
      </c>
      <c r="M4" s="3" t="s">
        <v>164</v>
      </c>
      <c r="N4" s="3" t="s">
        <v>165</v>
      </c>
      <c r="O4" s="117" t="s">
        <v>7</v>
      </c>
      <c r="P4" s="118"/>
      <c r="Q4" s="155" t="s">
        <v>71</v>
      </c>
      <c r="R4" s="118"/>
      <c r="S4" s="3" t="s">
        <v>51</v>
      </c>
      <c r="T4" s="3" t="s">
        <v>75</v>
      </c>
      <c r="U4" s="155" t="s">
        <v>78</v>
      </c>
      <c r="V4" s="118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12" t="s">
        <v>89</v>
      </c>
      <c r="AF4" s="113"/>
      <c r="AG4" s="112" t="s">
        <v>92</v>
      </c>
      <c r="AH4" s="113"/>
      <c r="AI4" s="10" t="s">
        <v>166</v>
      </c>
      <c r="AJ4" s="10" t="s">
        <v>167</v>
      </c>
      <c r="AK4" s="11" t="s">
        <v>115</v>
      </c>
      <c r="AL4" s="155" t="s">
        <v>110</v>
      </c>
      <c r="AM4" s="118"/>
      <c r="AN4" s="29" t="s">
        <v>111</v>
      </c>
      <c r="AO4" s="26" t="s">
        <v>12</v>
      </c>
      <c r="AP4" s="3" t="s">
        <v>1</v>
      </c>
      <c r="AQ4" s="131" t="s">
        <v>161</v>
      </c>
      <c r="AR4" s="158"/>
      <c r="AU4" s="20"/>
    </row>
    <row r="5" spans="2:47" ht="20.15" customHeight="1" x14ac:dyDescent="0.25">
      <c r="B5" s="154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289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>
        <v>11.02431</v>
      </c>
      <c r="C6" s="54">
        <v>20.70855</v>
      </c>
      <c r="D6" s="54">
        <v>418.508</v>
      </c>
      <c r="E6" s="54"/>
      <c r="F6" s="54"/>
      <c r="G6" s="54">
        <v>418.987</v>
      </c>
      <c r="H6" s="55">
        <v>0</v>
      </c>
      <c r="I6" s="56"/>
      <c r="J6" s="54">
        <v>41.25434</v>
      </c>
      <c r="K6" s="54">
        <v>1.310945</v>
      </c>
      <c r="L6" s="54">
        <v>109.5323</v>
      </c>
      <c r="M6" s="54">
        <v>112.3987</v>
      </c>
      <c r="N6" s="54">
        <v>20.5252</v>
      </c>
      <c r="O6" s="54"/>
      <c r="P6" s="54"/>
      <c r="Q6" s="54"/>
      <c r="R6" s="54">
        <v>139.3157</v>
      </c>
      <c r="S6" s="54">
        <v>1.606066</v>
      </c>
      <c r="T6" s="54">
        <v>0.3037672</v>
      </c>
      <c r="U6" s="54"/>
      <c r="V6" s="54">
        <v>90.6901</v>
      </c>
      <c r="W6" s="54">
        <v>0.5284514</v>
      </c>
      <c r="X6" s="54"/>
      <c r="Y6" s="54">
        <v>0.7119792</v>
      </c>
      <c r="Z6" s="54">
        <v>149.6383</v>
      </c>
      <c r="AA6" s="54">
        <v>162.9413</v>
      </c>
      <c r="AB6" s="54">
        <v>0.3131149</v>
      </c>
      <c r="AC6" s="54">
        <v>154.0509</v>
      </c>
      <c r="AD6" s="54">
        <v>33.72</v>
      </c>
      <c r="AE6" s="57"/>
      <c r="AF6" s="57"/>
      <c r="AG6" s="57">
        <v>17.17</v>
      </c>
      <c r="AH6" s="57"/>
      <c r="AI6" s="57"/>
      <c r="AJ6" s="57">
        <v>6.84</v>
      </c>
      <c r="AK6" s="57">
        <v>0</v>
      </c>
      <c r="AL6" s="54"/>
      <c r="AM6" s="58">
        <v>56.98785</v>
      </c>
      <c r="AN6" s="59"/>
      <c r="AO6" s="60">
        <v>-80.25174</v>
      </c>
      <c r="AP6" s="61">
        <v>0.2896412</v>
      </c>
      <c r="AQ6" s="61"/>
      <c r="AR6" s="62"/>
    </row>
    <row r="7" spans="2:47" ht="13.5" customHeight="1" x14ac:dyDescent="0.25">
      <c r="B7" s="14">
        <v>7.718461</v>
      </c>
      <c r="C7" s="54">
        <v>20.05208</v>
      </c>
      <c r="D7" s="54">
        <v>416.9865</v>
      </c>
      <c r="E7" s="54">
        <v>0.1842422</v>
      </c>
      <c r="F7" s="54">
        <v>0</v>
      </c>
      <c r="G7" s="54">
        <v>418.7668</v>
      </c>
      <c r="H7" s="55">
        <v>28.58435</v>
      </c>
      <c r="I7" s="56">
        <v>0.01972217</v>
      </c>
      <c r="J7" s="54">
        <v>41.21094</v>
      </c>
      <c r="K7" s="54">
        <v>1.323061</v>
      </c>
      <c r="L7" s="54">
        <v>111.2251</v>
      </c>
      <c r="M7" s="54">
        <v>115.4586</v>
      </c>
      <c r="N7" s="54">
        <v>20.01371</v>
      </c>
      <c r="O7" s="54">
        <v>20.16211</v>
      </c>
      <c r="P7" s="54"/>
      <c r="Q7" s="54">
        <v>2.539062</v>
      </c>
      <c r="R7" s="54">
        <v>139.5038</v>
      </c>
      <c r="S7" s="54">
        <v>1.605686</v>
      </c>
      <c r="T7" s="54">
        <v>0.2985114</v>
      </c>
      <c r="U7" s="54">
        <v>0.2998438</v>
      </c>
      <c r="V7" s="54">
        <v>90.44415</v>
      </c>
      <c r="W7" s="54">
        <v>0.5313541</v>
      </c>
      <c r="X7" s="54"/>
      <c r="Y7" s="54">
        <v>0.7412616</v>
      </c>
      <c r="Z7" s="54">
        <v>150.1736</v>
      </c>
      <c r="AA7" s="54">
        <v>162.9557</v>
      </c>
      <c r="AB7" s="54">
        <v>0.3674407</v>
      </c>
      <c r="AC7" s="54">
        <v>155.3313</v>
      </c>
      <c r="AD7" s="54"/>
      <c r="AE7" s="57"/>
      <c r="AF7" s="57"/>
      <c r="AG7" s="57"/>
      <c r="AH7" s="57"/>
      <c r="AI7" s="57"/>
      <c r="AJ7" s="57"/>
      <c r="AK7" s="57">
        <v>0</v>
      </c>
      <c r="AL7" s="54">
        <v>0.01817432</v>
      </c>
      <c r="AM7" s="58">
        <v>55.34216</v>
      </c>
      <c r="AN7" s="59"/>
      <c r="AO7" s="60">
        <v>-80.07812</v>
      </c>
      <c r="AP7" s="61">
        <v>0.2907986</v>
      </c>
      <c r="AQ7" s="61">
        <v>0.0002899628</v>
      </c>
      <c r="AR7" s="62"/>
    </row>
    <row r="8" spans="2:47" ht="13.5" customHeight="1" x14ac:dyDescent="0.25">
      <c r="B8" s="41">
        <v>3.454138</v>
      </c>
      <c r="C8" s="54">
        <v>19.80794</v>
      </c>
      <c r="D8" s="54">
        <v>415.0253</v>
      </c>
      <c r="E8" s="54">
        <v>0.1598516</v>
      </c>
      <c r="F8" s="54">
        <v>0</v>
      </c>
      <c r="G8" s="54">
        <v>418.3849</v>
      </c>
      <c r="H8" s="55">
        <v>27.1412</v>
      </c>
      <c r="I8" s="56">
        <v>0.01988281</v>
      </c>
      <c r="J8" s="54">
        <v>40.97222</v>
      </c>
      <c r="K8" s="54">
        <v>1.309136</v>
      </c>
      <c r="L8" s="54">
        <v>108.827</v>
      </c>
      <c r="M8" s="54">
        <v>112.9268</v>
      </c>
      <c r="N8" s="54">
        <v>20.23556</v>
      </c>
      <c r="O8" s="54">
        <v>20.17432</v>
      </c>
      <c r="P8" s="54"/>
      <c r="Q8" s="54">
        <v>2.506165</v>
      </c>
      <c r="R8" s="54">
        <v>139.5689</v>
      </c>
      <c r="S8" s="54">
        <v>1.606699</v>
      </c>
      <c r="T8" s="54">
        <v>0.2992058</v>
      </c>
      <c r="U8" s="54">
        <v>0.3000469</v>
      </c>
      <c r="V8" s="54">
        <v>90.50925</v>
      </c>
      <c r="W8" s="54">
        <v>0.5322098</v>
      </c>
      <c r="X8" s="54"/>
      <c r="Y8" s="54">
        <v>0.734838</v>
      </c>
      <c r="Z8" s="54">
        <v>150.3617</v>
      </c>
      <c r="AA8" s="54">
        <v>162.9919</v>
      </c>
      <c r="AB8" s="54">
        <v>0.3220125</v>
      </c>
      <c r="AC8" s="54">
        <v>155.136</v>
      </c>
      <c r="AD8" s="54"/>
      <c r="AE8" s="57"/>
      <c r="AF8" s="57"/>
      <c r="AG8" s="57"/>
      <c r="AH8" s="57"/>
      <c r="AI8" s="57"/>
      <c r="AJ8" s="57"/>
      <c r="AK8" s="57">
        <v>10.93027</v>
      </c>
      <c r="AL8" s="54">
        <v>0.01354687</v>
      </c>
      <c r="AM8" s="58">
        <v>53.1684</v>
      </c>
      <c r="AN8" s="59"/>
      <c r="AO8" s="60">
        <v>-80.16493</v>
      </c>
      <c r="AP8" s="61">
        <v>0.2951389</v>
      </c>
      <c r="AQ8" s="61">
        <v>0.0002922516</v>
      </c>
      <c r="AR8" s="62"/>
    </row>
    <row r="9" spans="2:47" ht="13.5" customHeight="1" x14ac:dyDescent="0.25">
      <c r="B9" s="14">
        <v>4.528357</v>
      </c>
      <c r="C9" s="54">
        <v>19.16233</v>
      </c>
      <c r="D9" s="54">
        <v>416.6368</v>
      </c>
      <c r="E9" s="54">
        <v>0.3362422</v>
      </c>
      <c r="F9" s="54">
        <v>0</v>
      </c>
      <c r="G9" s="54">
        <v>417.6739</v>
      </c>
      <c r="H9" s="55">
        <v>23.16623</v>
      </c>
      <c r="I9" s="56">
        <v>0.01963281</v>
      </c>
      <c r="J9" s="54">
        <v>40.21991</v>
      </c>
      <c r="K9" s="54">
        <v>1.276042</v>
      </c>
      <c r="L9" s="54">
        <v>107.0041</v>
      </c>
      <c r="M9" s="54">
        <v>112.6157</v>
      </c>
      <c r="N9" s="54">
        <v>20.20441</v>
      </c>
      <c r="O9" s="54">
        <v>20.17285</v>
      </c>
      <c r="P9" s="54"/>
      <c r="Q9" s="54">
        <v>2.598145</v>
      </c>
      <c r="R9" s="54">
        <v>139.511</v>
      </c>
      <c r="S9" s="54">
        <v>1.605812</v>
      </c>
      <c r="T9" s="54">
        <v>0.3013398</v>
      </c>
      <c r="U9" s="54">
        <v>0.3000391</v>
      </c>
      <c r="V9" s="54">
        <v>90.82031</v>
      </c>
      <c r="W9" s="54">
        <v>0.52967</v>
      </c>
      <c r="X9" s="54"/>
      <c r="Y9" s="54">
        <v>0.7269098</v>
      </c>
      <c r="Z9" s="54">
        <v>149.3707</v>
      </c>
      <c r="AA9" s="54">
        <v>162.623</v>
      </c>
      <c r="AB9" s="54">
        <v>0.312717</v>
      </c>
      <c r="AC9" s="54">
        <v>154.7888</v>
      </c>
      <c r="AD9" s="54"/>
      <c r="AE9" s="57"/>
      <c r="AF9" s="57"/>
      <c r="AG9" s="57"/>
      <c r="AH9" s="57"/>
      <c r="AI9" s="57"/>
      <c r="AJ9" s="57"/>
      <c r="AK9" s="57">
        <v>11.97555</v>
      </c>
      <c r="AL9" s="54">
        <v>0.009548828</v>
      </c>
      <c r="AM9" s="58">
        <v>51.841</v>
      </c>
      <c r="AN9" s="59"/>
      <c r="AO9" s="60">
        <v>-80.1143</v>
      </c>
      <c r="AP9" s="61">
        <v>0.2829138</v>
      </c>
      <c r="AQ9" s="61">
        <v>0.0002930984</v>
      </c>
      <c r="AR9" s="62"/>
    </row>
    <row r="10" spans="2:47" ht="13.5" customHeight="1" x14ac:dyDescent="0.25">
      <c r="B10" s="41">
        <v>5.42173</v>
      </c>
      <c r="C10" s="54">
        <v>19.02127</v>
      </c>
      <c r="D10" s="54">
        <v>416.7177</v>
      </c>
      <c r="E10" s="54">
        <v>0.3401406</v>
      </c>
      <c r="F10" s="54">
        <v>0</v>
      </c>
      <c r="G10" s="54">
        <v>417.8787</v>
      </c>
      <c r="H10" s="55">
        <v>24.12833</v>
      </c>
      <c r="I10" s="56">
        <v>0.01996484</v>
      </c>
      <c r="J10" s="54">
        <v>41.58709</v>
      </c>
      <c r="K10" s="54">
        <v>1.322881</v>
      </c>
      <c r="L10" s="54">
        <v>105.8594</v>
      </c>
      <c r="M10" s="54">
        <v>114.3446</v>
      </c>
      <c r="N10" s="54">
        <v>20.42849</v>
      </c>
      <c r="O10" s="54">
        <v>20.15918</v>
      </c>
      <c r="P10" s="54"/>
      <c r="Q10" s="54">
        <v>2.526978</v>
      </c>
      <c r="R10" s="54">
        <v>139.3012</v>
      </c>
      <c r="S10" s="54">
        <v>1.617712</v>
      </c>
      <c r="T10" s="54">
        <v>0.3040676</v>
      </c>
      <c r="U10" s="54">
        <v>0.2997734</v>
      </c>
      <c r="V10" s="54">
        <v>90.84924</v>
      </c>
      <c r="W10" s="54">
        <v>0.5285388</v>
      </c>
      <c r="X10" s="54"/>
      <c r="Y10" s="54">
        <v>0.7280672</v>
      </c>
      <c r="Z10" s="54">
        <v>149.4864</v>
      </c>
      <c r="AA10" s="54">
        <v>162.7025</v>
      </c>
      <c r="AB10" s="54">
        <v>0.5170718</v>
      </c>
      <c r="AC10" s="54">
        <v>154.7454</v>
      </c>
      <c r="AD10" s="54"/>
      <c r="AE10" s="57"/>
      <c r="AF10" s="57"/>
      <c r="AG10" s="57"/>
      <c r="AH10" s="57"/>
      <c r="AI10" s="57"/>
      <c r="AJ10" s="57"/>
      <c r="AK10" s="57">
        <v>3.045428</v>
      </c>
      <c r="AL10" s="54">
        <v>0.009296875</v>
      </c>
      <c r="AM10" s="58">
        <v>50.53168</v>
      </c>
      <c r="AN10" s="59"/>
      <c r="AO10" s="60">
        <v>-80.12876</v>
      </c>
      <c r="AP10" s="61">
        <v>0.2979601</v>
      </c>
      <c r="AQ10" s="61">
        <v>0.0002917633</v>
      </c>
      <c r="AR10" s="62"/>
    </row>
    <row r="11" spans="2:47" ht="13.5" customHeight="1" x14ac:dyDescent="0.25">
      <c r="B11" s="14">
        <v>7.165075</v>
      </c>
      <c r="C11" s="54">
        <v>18.78798</v>
      </c>
      <c r="D11" s="54">
        <v>416.7235</v>
      </c>
      <c r="E11" s="54">
        <v>0.3603594</v>
      </c>
      <c r="F11" s="54">
        <v>0</v>
      </c>
      <c r="G11" s="54">
        <v>417.8903</v>
      </c>
      <c r="H11" s="55">
        <v>26.25506</v>
      </c>
      <c r="I11" s="56">
        <v>0.01966895</v>
      </c>
      <c r="J11" s="54">
        <v>40.67564</v>
      </c>
      <c r="K11" s="54">
        <v>1.303078</v>
      </c>
      <c r="L11" s="54">
        <v>109.4944</v>
      </c>
      <c r="M11" s="54">
        <v>113.2668</v>
      </c>
      <c r="N11" s="54">
        <v>20.16731</v>
      </c>
      <c r="O11" s="54">
        <v>20.13281</v>
      </c>
      <c r="P11" s="54"/>
      <c r="Q11" s="54">
        <v>2.546204</v>
      </c>
      <c r="R11" s="54">
        <v>139.5544</v>
      </c>
      <c r="S11" s="54">
        <v>1.604293</v>
      </c>
      <c r="T11" s="54">
        <v>0.2998348</v>
      </c>
      <c r="U11" s="54">
        <v>0.299375</v>
      </c>
      <c r="V11" s="54">
        <v>90.79137</v>
      </c>
      <c r="W11" s="54">
        <v>0.5271506</v>
      </c>
      <c r="X11" s="54"/>
      <c r="Y11" s="54">
        <v>0.7418982</v>
      </c>
      <c r="Z11" s="54">
        <v>150.4051</v>
      </c>
      <c r="AA11" s="54">
        <v>162.7966</v>
      </c>
      <c r="AB11" s="54">
        <v>0.4176794</v>
      </c>
      <c r="AC11" s="54">
        <v>155.23</v>
      </c>
      <c r="AD11" s="54"/>
      <c r="AE11" s="57"/>
      <c r="AF11" s="57"/>
      <c r="AG11" s="57"/>
      <c r="AH11" s="57"/>
      <c r="AI11" s="57"/>
      <c r="AJ11" s="57"/>
      <c r="AK11" s="57">
        <v>21.77011</v>
      </c>
      <c r="AL11" s="54">
        <v>0.01040967</v>
      </c>
      <c r="AM11" s="58">
        <v>61.62109</v>
      </c>
      <c r="AN11" s="59"/>
      <c r="AO11" s="60">
        <v>-80.14323</v>
      </c>
      <c r="AP11" s="61">
        <v>0.2737992</v>
      </c>
      <c r="AQ11" s="61">
        <v>0.0002932739</v>
      </c>
      <c r="AR11" s="62"/>
    </row>
    <row r="12" spans="2:47" ht="13.5" customHeight="1" x14ac:dyDescent="0.25">
      <c r="B12" s="41">
        <v>10.19965</v>
      </c>
      <c r="C12" s="54">
        <v>18.57639</v>
      </c>
      <c r="D12" s="54">
        <v>418.2496</v>
      </c>
      <c r="E12" s="54">
        <v>0.415125</v>
      </c>
      <c r="F12" s="54">
        <v>0</v>
      </c>
      <c r="G12" s="54">
        <v>418.1493</v>
      </c>
      <c r="H12" s="55">
        <v>28.15394</v>
      </c>
      <c r="I12" s="56">
        <v>0.02003125</v>
      </c>
      <c r="J12" s="54">
        <v>40.99392</v>
      </c>
      <c r="K12" s="54">
        <v>1.309046</v>
      </c>
      <c r="L12" s="54">
        <v>110.5415</v>
      </c>
      <c r="M12" s="54">
        <v>113.4404</v>
      </c>
      <c r="N12" s="54">
        <v>20.74077</v>
      </c>
      <c r="O12" s="54">
        <v>20.1958</v>
      </c>
      <c r="P12" s="54"/>
      <c r="Q12" s="54">
        <v>2.614807</v>
      </c>
      <c r="R12" s="54">
        <v>139.4965</v>
      </c>
      <c r="S12" s="54">
        <v>1.607078</v>
      </c>
      <c r="T12" s="54">
        <v>0.3078775</v>
      </c>
      <c r="U12" s="54">
        <v>0.3003047</v>
      </c>
      <c r="V12" s="54">
        <v>90.6467</v>
      </c>
      <c r="W12" s="54">
        <v>0.5213835</v>
      </c>
      <c r="X12" s="54"/>
      <c r="Y12" s="54">
        <v>0.74022</v>
      </c>
      <c r="Z12" s="54">
        <v>150.0506</v>
      </c>
      <c r="AA12" s="54">
        <v>162.5289</v>
      </c>
      <c r="AB12" s="54">
        <v>0.4517144</v>
      </c>
      <c r="AC12" s="54">
        <v>155.136</v>
      </c>
      <c r="AD12" s="54"/>
      <c r="AE12" s="57"/>
      <c r="AF12" s="57"/>
      <c r="AG12" s="57"/>
      <c r="AH12" s="57"/>
      <c r="AI12" s="57"/>
      <c r="AJ12" s="57"/>
      <c r="AK12" s="57">
        <v>31.12703</v>
      </c>
      <c r="AL12" s="54">
        <v>0.01724512</v>
      </c>
      <c r="AM12" s="58">
        <v>59.25203</v>
      </c>
      <c r="AN12" s="59"/>
      <c r="AO12" s="60">
        <v>-80.20834</v>
      </c>
      <c r="AP12" s="61">
        <v>0.3046875</v>
      </c>
      <c r="AQ12" s="61">
        <v>0.0002943649</v>
      </c>
      <c r="AR12" s="62"/>
    </row>
    <row r="13" spans="2:47" ht="13.5" customHeight="1" x14ac:dyDescent="0.25">
      <c r="B13" s="14">
        <v>10.14178</v>
      </c>
      <c r="C13" s="54">
        <v>18.69575</v>
      </c>
      <c r="D13" s="54">
        <v>418.7566</v>
      </c>
      <c r="E13" s="54">
        <v>0.3006719</v>
      </c>
      <c r="F13" s="54">
        <v>0</v>
      </c>
      <c r="G13" s="54">
        <v>418.7977</v>
      </c>
      <c r="H13" s="55">
        <v>0</v>
      </c>
      <c r="I13" s="56">
        <v>0.01995752</v>
      </c>
      <c r="J13" s="54">
        <v>41.1603</v>
      </c>
      <c r="K13" s="54">
        <v>1.300998</v>
      </c>
      <c r="L13" s="54">
        <v>110.2973</v>
      </c>
      <c r="M13" s="54">
        <v>113.0353</v>
      </c>
      <c r="N13" s="54">
        <v>20.34038</v>
      </c>
      <c r="O13" s="54">
        <v>20.19336</v>
      </c>
      <c r="P13" s="54"/>
      <c r="Q13" s="54">
        <v>2.634155</v>
      </c>
      <c r="R13" s="54">
        <v>139.4821</v>
      </c>
      <c r="S13" s="54">
        <v>1.607711</v>
      </c>
      <c r="T13" s="54">
        <v>0.3016776</v>
      </c>
      <c r="U13" s="54">
        <v>0.3003125</v>
      </c>
      <c r="V13" s="54">
        <v>91.07349</v>
      </c>
      <c r="W13" s="54">
        <v>0.5268148</v>
      </c>
      <c r="X13" s="54"/>
      <c r="Y13" s="54">
        <v>0.7323496</v>
      </c>
      <c r="Z13" s="54">
        <v>150.123</v>
      </c>
      <c r="AA13" s="54">
        <v>162.6664</v>
      </c>
      <c r="AB13" s="54">
        <v>0.4665075</v>
      </c>
      <c r="AC13" s="54">
        <v>155.2662</v>
      </c>
      <c r="AD13" s="54"/>
      <c r="AE13" s="57"/>
      <c r="AF13" s="57"/>
      <c r="AG13" s="57"/>
      <c r="AH13" s="57"/>
      <c r="AI13" s="57"/>
      <c r="AJ13" s="57"/>
      <c r="AK13" s="57">
        <v>0</v>
      </c>
      <c r="AL13" s="54">
        <v>0.01484961</v>
      </c>
      <c r="AM13" s="58">
        <v>57.29528</v>
      </c>
      <c r="AN13" s="59"/>
      <c r="AO13" s="60">
        <v>-80.33131</v>
      </c>
      <c r="AP13" s="61">
        <v>0.3002749</v>
      </c>
      <c r="AQ13" s="61">
        <v>0.0002944489</v>
      </c>
      <c r="AR13" s="62"/>
    </row>
    <row r="14" spans="2:47" ht="13.5" customHeight="1" x14ac:dyDescent="0.25">
      <c r="B14" s="14">
        <v>11.41131</v>
      </c>
      <c r="C14" s="54">
        <v>18.53841</v>
      </c>
      <c r="D14" s="54">
        <v>418.7879</v>
      </c>
      <c r="E14" s="54">
        <v>0.3564609</v>
      </c>
      <c r="F14" s="54">
        <v>0</v>
      </c>
      <c r="G14" s="54">
        <v>419.1732</v>
      </c>
      <c r="H14" s="55">
        <v>18.58362</v>
      </c>
      <c r="I14" s="56">
        <v>0.0199668</v>
      </c>
      <c r="J14" s="54">
        <v>41.05903</v>
      </c>
      <c r="K14" s="54">
        <v>1.301993</v>
      </c>
      <c r="L14" s="54">
        <v>110.4547</v>
      </c>
      <c r="M14" s="54">
        <v>113.7153</v>
      </c>
      <c r="N14" s="54">
        <v>20.2496</v>
      </c>
      <c r="O14" s="54">
        <v>20.18262</v>
      </c>
      <c r="P14" s="54"/>
      <c r="Q14" s="54">
        <v>2.622681</v>
      </c>
      <c r="R14" s="54">
        <v>139.3229</v>
      </c>
      <c r="S14" s="54">
        <v>1.605179</v>
      </c>
      <c r="T14" s="54">
        <v>0.2979498</v>
      </c>
      <c r="U14" s="54">
        <v>0.3001094</v>
      </c>
      <c r="V14" s="54">
        <v>90.1982</v>
      </c>
      <c r="W14" s="54">
        <v>0.528501</v>
      </c>
      <c r="X14" s="54"/>
      <c r="Y14" s="54">
        <v>0.7342593</v>
      </c>
      <c r="Z14" s="54">
        <v>149.3924</v>
      </c>
      <c r="AA14" s="54">
        <v>162.4928</v>
      </c>
      <c r="AB14" s="54">
        <v>0.4886068</v>
      </c>
      <c r="AC14" s="54">
        <v>154.8683</v>
      </c>
      <c r="AD14" s="54"/>
      <c r="AE14" s="57"/>
      <c r="AF14" s="57"/>
      <c r="AG14" s="57"/>
      <c r="AH14" s="57"/>
      <c r="AI14" s="57"/>
      <c r="AJ14" s="57"/>
      <c r="AK14" s="57">
        <v>7.360388</v>
      </c>
      <c r="AL14" s="54">
        <v>0.01351318</v>
      </c>
      <c r="AM14" s="58">
        <v>56.56829</v>
      </c>
      <c r="AN14" s="59"/>
      <c r="AO14" s="60">
        <v>-80.31684</v>
      </c>
      <c r="AP14" s="61">
        <v>0.2914497</v>
      </c>
      <c r="AQ14" s="61">
        <v>0.0002937622</v>
      </c>
      <c r="AR14" s="62"/>
    </row>
    <row r="15" spans="2:47" ht="13.5" customHeight="1" x14ac:dyDescent="0.25">
      <c r="B15" s="14">
        <v>12.55787</v>
      </c>
      <c r="C15" s="54">
        <v>18.52214</v>
      </c>
      <c r="D15" s="54">
        <v>418.7879</v>
      </c>
      <c r="E15" s="54">
        <v>0.3354922</v>
      </c>
      <c r="F15" s="54">
        <v>0</v>
      </c>
      <c r="G15" s="54">
        <v>419.1732</v>
      </c>
      <c r="H15" s="55">
        <v>25.95124</v>
      </c>
      <c r="I15" s="56">
        <v>0.01971484</v>
      </c>
      <c r="J15" s="54">
        <v>41.64497</v>
      </c>
      <c r="K15" s="54">
        <v>1.330114</v>
      </c>
      <c r="L15" s="54">
        <v>105.2192</v>
      </c>
      <c r="M15" s="54">
        <v>111.9502</v>
      </c>
      <c r="N15" s="54">
        <v>20.13161</v>
      </c>
      <c r="O15" s="54">
        <v>20.18945</v>
      </c>
      <c r="P15" s="54"/>
      <c r="Q15" s="54">
        <v>2.589111</v>
      </c>
      <c r="R15" s="54">
        <v>139.5399</v>
      </c>
      <c r="S15" s="54">
        <v>1.608597</v>
      </c>
      <c r="T15" s="54">
        <v>0.3012767</v>
      </c>
      <c r="U15" s="54">
        <v>0.3001797</v>
      </c>
      <c r="V15" s="54">
        <v>90.63223</v>
      </c>
      <c r="W15" s="54">
        <v>0.5291848</v>
      </c>
      <c r="X15" s="54"/>
      <c r="Y15" s="54">
        <v>0.7303241</v>
      </c>
      <c r="Z15" s="54">
        <v>149.4792</v>
      </c>
      <c r="AA15" s="54">
        <v>162.7315</v>
      </c>
      <c r="AB15" s="54">
        <v>0.491428</v>
      </c>
      <c r="AC15" s="54">
        <v>154.9696</v>
      </c>
      <c r="AD15" s="54"/>
      <c r="AE15" s="57"/>
      <c r="AF15" s="57"/>
      <c r="AG15" s="57"/>
      <c r="AH15" s="57"/>
      <c r="AI15" s="57"/>
      <c r="AJ15" s="57"/>
      <c r="AK15" s="57">
        <v>0</v>
      </c>
      <c r="AL15" s="54">
        <v>0.01032373</v>
      </c>
      <c r="AM15" s="58">
        <v>54.29688</v>
      </c>
      <c r="AN15" s="59"/>
      <c r="AO15" s="60">
        <v>-80.37471</v>
      </c>
      <c r="AP15" s="61">
        <v>0.2938368</v>
      </c>
      <c r="AQ15" s="61">
        <v>0.0002930603</v>
      </c>
      <c r="AR15" s="62"/>
    </row>
    <row r="16" spans="2:47" ht="13.5" customHeight="1" x14ac:dyDescent="0.25">
      <c r="B16" s="14">
        <v>13.44763</v>
      </c>
      <c r="C16" s="54">
        <v>18.41363</v>
      </c>
      <c r="D16" s="54">
        <v>418.7879</v>
      </c>
      <c r="E16" s="54">
        <v>0.3355781</v>
      </c>
      <c r="F16" s="54">
        <v>0</v>
      </c>
      <c r="G16" s="54">
        <v>419.1732</v>
      </c>
      <c r="H16" s="55">
        <v>23.57133</v>
      </c>
      <c r="I16" s="56">
        <v>0.0200835</v>
      </c>
      <c r="J16" s="54">
        <v>41.47135</v>
      </c>
      <c r="K16" s="54">
        <v>1.317184</v>
      </c>
      <c r="L16" s="54">
        <v>109.3696</v>
      </c>
      <c r="M16" s="54">
        <v>112.1383</v>
      </c>
      <c r="N16" s="54">
        <v>20.08095</v>
      </c>
      <c r="O16" s="54">
        <v>20.17529</v>
      </c>
      <c r="P16" s="54"/>
      <c r="Q16" s="54">
        <v>2.620178</v>
      </c>
      <c r="R16" s="54">
        <v>139.4169</v>
      </c>
      <c r="S16" s="54">
        <v>1.605939</v>
      </c>
      <c r="T16" s="54">
        <v>0.2981208</v>
      </c>
      <c r="U16" s="54">
        <v>0.3000391</v>
      </c>
      <c r="V16" s="54">
        <v>90.625</v>
      </c>
      <c r="W16" s="54">
        <v>0.5295671</v>
      </c>
      <c r="X16" s="54"/>
      <c r="Y16" s="54">
        <v>0.7322338</v>
      </c>
      <c r="Z16" s="54">
        <v>149.3924</v>
      </c>
      <c r="AA16" s="54">
        <v>162.406</v>
      </c>
      <c r="AB16" s="54">
        <v>0.4284216</v>
      </c>
      <c r="AC16" s="54">
        <v>154.6875</v>
      </c>
      <c r="AD16" s="54"/>
      <c r="AE16" s="57"/>
      <c r="AF16" s="57"/>
      <c r="AG16" s="57"/>
      <c r="AH16" s="57"/>
      <c r="AI16" s="57"/>
      <c r="AJ16" s="57"/>
      <c r="AK16" s="57">
        <v>26.5842</v>
      </c>
      <c r="AL16" s="54">
        <v>0.007490234</v>
      </c>
      <c r="AM16" s="58">
        <v>52.32566</v>
      </c>
      <c r="AN16" s="59"/>
      <c r="AO16" s="60">
        <v>-80.39641</v>
      </c>
      <c r="AP16" s="61">
        <v>0.2892072</v>
      </c>
      <c r="AQ16" s="61">
        <v>0.0002943802</v>
      </c>
      <c r="AR16" s="62"/>
    </row>
    <row r="17" spans="2:44" ht="13.5" customHeight="1" x14ac:dyDescent="0.25">
      <c r="B17" s="14">
        <v>14.0625</v>
      </c>
      <c r="C17" s="54">
        <v>18.25629</v>
      </c>
      <c r="D17" s="54">
        <v>418.7879</v>
      </c>
      <c r="E17" s="54">
        <v>0.3358047</v>
      </c>
      <c r="F17" s="54">
        <v>0</v>
      </c>
      <c r="G17" s="54">
        <v>419.1732</v>
      </c>
      <c r="H17" s="55">
        <v>6.456163</v>
      </c>
      <c r="I17" s="56">
        <v>0.0197832</v>
      </c>
      <c r="J17" s="54">
        <v>39.82205</v>
      </c>
      <c r="K17" s="54">
        <v>1.270978</v>
      </c>
      <c r="L17" s="54">
        <v>109.9447</v>
      </c>
      <c r="M17" s="54">
        <v>112.0443</v>
      </c>
      <c r="N17" s="54">
        <v>20.06575</v>
      </c>
      <c r="O17" s="54">
        <v>20.17383</v>
      </c>
      <c r="P17" s="54"/>
      <c r="Q17" s="54">
        <v>2.645813</v>
      </c>
      <c r="R17" s="54">
        <v>139.6412</v>
      </c>
      <c r="S17" s="54">
        <v>1.605812</v>
      </c>
      <c r="T17" s="54">
        <v>0.2993571</v>
      </c>
      <c r="U17" s="54">
        <v>0.3000547</v>
      </c>
      <c r="V17" s="54">
        <v>90.23438</v>
      </c>
      <c r="W17" s="54">
        <v>0.530848</v>
      </c>
      <c r="X17" s="54"/>
      <c r="Y17" s="54">
        <v>0.7359954</v>
      </c>
      <c r="Z17" s="54">
        <v>149.3128</v>
      </c>
      <c r="AA17" s="54">
        <v>162.377</v>
      </c>
      <c r="AB17" s="54">
        <v>0.4051288</v>
      </c>
      <c r="AC17" s="54">
        <v>154.9479</v>
      </c>
      <c r="AD17" s="54"/>
      <c r="AE17" s="57"/>
      <c r="AF17" s="57"/>
      <c r="AG17" s="57"/>
      <c r="AH17" s="57"/>
      <c r="AI17" s="57"/>
      <c r="AJ17" s="57"/>
      <c r="AK17" s="57">
        <v>0</v>
      </c>
      <c r="AL17" s="54">
        <v>0.007026367</v>
      </c>
      <c r="AM17" s="58">
        <v>50.60402</v>
      </c>
      <c r="AN17" s="59"/>
      <c r="AO17" s="60">
        <v>-80.31684</v>
      </c>
      <c r="AP17" s="61">
        <v>0.2982494</v>
      </c>
      <c r="AQ17" s="61">
        <v>0.0002949219</v>
      </c>
      <c r="AR17" s="62"/>
    </row>
    <row r="18" spans="2:44" ht="13.5" customHeight="1" x14ac:dyDescent="0.25">
      <c r="B18" s="42">
        <v>11.6645</v>
      </c>
      <c r="C18" s="63">
        <v>18.48958</v>
      </c>
      <c r="D18" s="63">
        <v>418.7879</v>
      </c>
      <c r="E18" s="63">
        <v>0.1922891</v>
      </c>
      <c r="F18" s="63">
        <v>0</v>
      </c>
      <c r="G18" s="63">
        <v>419.1732</v>
      </c>
      <c r="H18" s="64">
        <v>28.83753</v>
      </c>
      <c r="I18" s="65">
        <v>0.01991943</v>
      </c>
      <c r="J18" s="63">
        <v>39.1276</v>
      </c>
      <c r="K18" s="63">
        <v>1.235804</v>
      </c>
      <c r="L18" s="63">
        <v>109.2502</v>
      </c>
      <c r="M18" s="63">
        <v>114.1493</v>
      </c>
      <c r="N18" s="63">
        <v>20.39932</v>
      </c>
      <c r="O18" s="63">
        <v>20.1543</v>
      </c>
      <c r="P18" s="63"/>
      <c r="Q18" s="63">
        <v>2.596802</v>
      </c>
      <c r="R18" s="63">
        <v>139.5833</v>
      </c>
      <c r="S18" s="63">
        <v>1.607711</v>
      </c>
      <c r="T18" s="63">
        <v>0.3016177</v>
      </c>
      <c r="U18" s="63">
        <v>0.2997344</v>
      </c>
      <c r="V18" s="63">
        <v>90.66117</v>
      </c>
      <c r="W18" s="63">
        <v>0.5272962</v>
      </c>
      <c r="X18" s="63">
        <v>0.5303376</v>
      </c>
      <c r="Y18" s="63">
        <v>0.7283565</v>
      </c>
      <c r="Z18" s="63">
        <v>149.443</v>
      </c>
      <c r="AA18" s="63">
        <v>162.6591</v>
      </c>
      <c r="AB18" s="63">
        <v>0.6271701</v>
      </c>
      <c r="AC18" s="63">
        <v>154.7381</v>
      </c>
      <c r="AD18" s="63">
        <v>32.74</v>
      </c>
      <c r="AE18" s="66"/>
      <c r="AF18" s="66"/>
      <c r="AG18" s="66">
        <v>16.46</v>
      </c>
      <c r="AH18" s="66"/>
      <c r="AI18" s="66"/>
      <c r="AJ18" s="66">
        <v>7.04</v>
      </c>
      <c r="AK18" s="66">
        <v>3.501157</v>
      </c>
      <c r="AL18" s="63">
        <v>0.0069375</v>
      </c>
      <c r="AM18" s="67">
        <v>48.5243</v>
      </c>
      <c r="AN18" s="68"/>
      <c r="AO18" s="60">
        <v>-80.2228</v>
      </c>
      <c r="AP18" s="61">
        <v>0.2840712</v>
      </c>
      <c r="AQ18" s="61">
        <v>0.0002920303</v>
      </c>
      <c r="AR18" s="69"/>
    </row>
    <row r="19" spans="2:44" ht="18" customHeight="1" x14ac:dyDescent="0.25">
      <c r="B19" s="122" t="s">
        <v>181</v>
      </c>
      <c r="C19" s="36" t="s">
        <v>168</v>
      </c>
      <c r="D19" s="36" t="s">
        <v>171</v>
      </c>
      <c r="E19" s="137" t="s">
        <v>17</v>
      </c>
      <c r="F19" s="138"/>
      <c r="G19" s="139"/>
      <c r="H19" s="140" t="s">
        <v>108</v>
      </c>
      <c r="I19" s="138"/>
      <c r="J19" s="138"/>
      <c r="K19" s="138"/>
      <c r="L19" s="141"/>
      <c r="M19" s="142" t="s">
        <v>123</v>
      </c>
      <c r="N19" s="138"/>
      <c r="O19" s="138"/>
      <c r="P19" s="138"/>
      <c r="Q19" s="139"/>
      <c r="R19" s="140" t="s">
        <v>147</v>
      </c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9"/>
      <c r="AG19" s="143" t="s">
        <v>24</v>
      </c>
      <c r="AH19" s="139"/>
      <c r="AI19" s="119" t="s">
        <v>173</v>
      </c>
      <c r="AJ19" s="120"/>
      <c r="AK19" s="120"/>
      <c r="AL19" s="120"/>
      <c r="AM19" s="121"/>
      <c r="AN19" s="143" t="s">
        <v>47</v>
      </c>
      <c r="AO19" s="144"/>
      <c r="AP19" s="138" t="s">
        <v>180</v>
      </c>
      <c r="AQ19" s="145"/>
      <c r="AR19" s="146"/>
    </row>
    <row r="20" spans="2:44" ht="20.15" customHeight="1" x14ac:dyDescent="0.25">
      <c r="B20" s="123"/>
      <c r="C20" s="3" t="s">
        <v>169</v>
      </c>
      <c r="D20" s="3" t="s">
        <v>113</v>
      </c>
      <c r="E20" s="3" t="s">
        <v>15</v>
      </c>
      <c r="F20" s="117" t="s">
        <v>100</v>
      </c>
      <c r="G20" s="118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31" t="s">
        <v>148</v>
      </c>
      <c r="AE20" s="118"/>
      <c r="AF20" s="17" t="s">
        <v>151</v>
      </c>
      <c r="AG20" s="17" t="s">
        <v>153</v>
      </c>
      <c r="AH20" s="17" t="s">
        <v>155</v>
      </c>
      <c r="AI20" s="112" t="s">
        <v>89</v>
      </c>
      <c r="AJ20" s="113"/>
      <c r="AK20" s="112" t="s">
        <v>92</v>
      </c>
      <c r="AL20" s="113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23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41">
        <v>-80.25174</v>
      </c>
      <c r="C22" s="54">
        <v>-80.52662</v>
      </c>
      <c r="D22" s="54">
        <v>103.1286</v>
      </c>
      <c r="E22" s="54">
        <v>0.08253761</v>
      </c>
      <c r="F22" s="54"/>
      <c r="G22" s="54"/>
      <c r="H22" s="54"/>
      <c r="I22" s="54"/>
      <c r="J22" s="54"/>
      <c r="K22" s="54"/>
      <c r="L22" s="55">
        <v>79.57175</v>
      </c>
      <c r="M22" s="70">
        <v>47.37413</v>
      </c>
      <c r="N22" s="54">
        <v>39.5</v>
      </c>
      <c r="O22" s="54">
        <v>22</v>
      </c>
      <c r="P22" s="54">
        <v>3.442274</v>
      </c>
      <c r="Q22" s="54">
        <v>17.45153</v>
      </c>
      <c r="R22" s="54">
        <v>92.62153</v>
      </c>
      <c r="S22" s="71">
        <v>0</v>
      </c>
      <c r="T22" s="71">
        <v>0</v>
      </c>
      <c r="U22" s="71">
        <v>18.59809</v>
      </c>
      <c r="V22" s="71">
        <v>55.15408</v>
      </c>
      <c r="W22" s="71">
        <v>29</v>
      </c>
      <c r="X22" s="71">
        <v>80.04521</v>
      </c>
      <c r="Y22" s="71">
        <v>14.04803</v>
      </c>
      <c r="Z22" s="71">
        <v>16.71007</v>
      </c>
      <c r="AA22" s="71"/>
      <c r="AB22" s="71"/>
      <c r="AC22" s="58">
        <v>0</v>
      </c>
      <c r="AD22" s="58"/>
      <c r="AE22" s="58">
        <v>20.36675</v>
      </c>
      <c r="AF22" s="58">
        <v>19.61082</v>
      </c>
      <c r="AG22" s="58"/>
      <c r="AH22" s="58"/>
      <c r="AI22" s="72"/>
      <c r="AJ22" s="72"/>
      <c r="AK22" s="72"/>
      <c r="AL22" s="72"/>
      <c r="AM22" s="72">
        <v>52.17737</v>
      </c>
      <c r="AN22" s="58">
        <v>50</v>
      </c>
      <c r="AO22" s="59">
        <v>23.94386</v>
      </c>
      <c r="AP22" s="60">
        <v>41.58348</v>
      </c>
      <c r="AQ22" s="61">
        <v>0.07595825</v>
      </c>
      <c r="AR22" s="62"/>
    </row>
    <row r="23" spans="2:44" ht="13.5" customHeight="1" x14ac:dyDescent="0.25">
      <c r="B23" s="14">
        <v>-80.07812</v>
      </c>
      <c r="C23" s="54">
        <v>-80.46875</v>
      </c>
      <c r="D23" s="54">
        <v>103.1358</v>
      </c>
      <c r="E23" s="54">
        <v>0.1064815</v>
      </c>
      <c r="F23" s="54">
        <v>9.515953E-05</v>
      </c>
      <c r="G23" s="54"/>
      <c r="H23" s="54"/>
      <c r="I23" s="54"/>
      <c r="J23" s="54"/>
      <c r="K23" s="54"/>
      <c r="L23" s="55">
        <v>79.64771</v>
      </c>
      <c r="M23" s="70">
        <v>47.4754</v>
      </c>
      <c r="N23" s="54">
        <v>39.5</v>
      </c>
      <c r="O23" s="54">
        <v>22</v>
      </c>
      <c r="P23" s="54">
        <v>3.313802</v>
      </c>
      <c r="Q23" s="54">
        <v>18.21108</v>
      </c>
      <c r="R23" s="54">
        <v>94.04297</v>
      </c>
      <c r="S23" s="71">
        <v>0</v>
      </c>
      <c r="T23" s="71">
        <v>0</v>
      </c>
      <c r="U23" s="71">
        <v>18.41363</v>
      </c>
      <c r="V23" s="71">
        <v>53.21723</v>
      </c>
      <c r="W23" s="71">
        <v>29</v>
      </c>
      <c r="X23" s="71">
        <v>80.84129</v>
      </c>
      <c r="Y23" s="71">
        <v>14.36632</v>
      </c>
      <c r="Z23" s="71">
        <v>17.5727</v>
      </c>
      <c r="AA23" s="71"/>
      <c r="AB23" s="71"/>
      <c r="AC23" s="58">
        <v>1.54834</v>
      </c>
      <c r="AD23" s="58">
        <v>0.001417023</v>
      </c>
      <c r="AE23" s="58">
        <v>20.60547</v>
      </c>
      <c r="AF23" s="58">
        <v>31.09447</v>
      </c>
      <c r="AG23" s="58">
        <v>605.4</v>
      </c>
      <c r="AH23" s="58"/>
      <c r="AI23" s="72"/>
      <c r="AJ23" s="72"/>
      <c r="AK23" s="72"/>
      <c r="AL23" s="72"/>
      <c r="AM23" s="72">
        <v>51.09954</v>
      </c>
      <c r="AN23" s="58">
        <v>50</v>
      </c>
      <c r="AO23" s="59">
        <v>25.51722</v>
      </c>
      <c r="AP23" s="60">
        <v>41.01562</v>
      </c>
      <c r="AQ23" s="61">
        <v>0.07595825</v>
      </c>
      <c r="AR23" s="62"/>
    </row>
    <row r="24" spans="2:44" ht="13.5" customHeight="1" x14ac:dyDescent="0.25">
      <c r="B24" s="41">
        <v>-80.16493</v>
      </c>
      <c r="C24" s="54">
        <v>-80.57002</v>
      </c>
      <c r="D24" s="54">
        <v>103.1322</v>
      </c>
      <c r="E24" s="54">
        <v>0.09809028</v>
      </c>
      <c r="F24" s="54">
        <v>9.389687E-05</v>
      </c>
      <c r="G24" s="54"/>
      <c r="H24" s="54"/>
      <c r="I24" s="54"/>
      <c r="J24" s="54"/>
      <c r="K24" s="54"/>
      <c r="L24" s="55">
        <v>80.13599</v>
      </c>
      <c r="M24" s="70">
        <v>47.42477</v>
      </c>
      <c r="N24" s="54">
        <v>39.5</v>
      </c>
      <c r="O24" s="54">
        <v>22</v>
      </c>
      <c r="P24" s="54">
        <v>3.240885</v>
      </c>
      <c r="Q24" s="54">
        <v>18.35938</v>
      </c>
      <c r="R24" s="54">
        <v>96.49522</v>
      </c>
      <c r="S24" s="71">
        <v>0</v>
      </c>
      <c r="T24" s="71">
        <v>0</v>
      </c>
      <c r="U24" s="71">
        <v>18.35938</v>
      </c>
      <c r="V24" s="71">
        <v>51.68186</v>
      </c>
      <c r="W24" s="71">
        <v>29</v>
      </c>
      <c r="X24" s="71">
        <v>81.16645</v>
      </c>
      <c r="Y24" s="71">
        <v>14.39887</v>
      </c>
      <c r="Z24" s="71">
        <v>17.77344</v>
      </c>
      <c r="AA24" s="71"/>
      <c r="AB24" s="71"/>
      <c r="AC24" s="58">
        <v>1.548286</v>
      </c>
      <c r="AD24" s="58">
        <v>0.001503784</v>
      </c>
      <c r="AE24" s="58">
        <v>20.54036</v>
      </c>
      <c r="AF24" s="58">
        <v>15.14757</v>
      </c>
      <c r="AG24" s="58">
        <v>555.3</v>
      </c>
      <c r="AH24" s="58"/>
      <c r="AI24" s="72"/>
      <c r="AJ24" s="72"/>
      <c r="AK24" s="72"/>
      <c r="AL24" s="72"/>
      <c r="AM24" s="72">
        <v>50.0868</v>
      </c>
      <c r="AN24" s="58">
        <v>50</v>
      </c>
      <c r="AO24" s="59">
        <v>26.756</v>
      </c>
      <c r="AP24" s="60">
        <v>40.22714</v>
      </c>
      <c r="AQ24" s="61">
        <v>0.07595825</v>
      </c>
      <c r="AR24" s="62"/>
    </row>
    <row r="25" spans="2:44" ht="13.5" customHeight="1" x14ac:dyDescent="0.25">
      <c r="B25" s="14">
        <v>-80.1143</v>
      </c>
      <c r="C25" s="54">
        <v>-80.50492</v>
      </c>
      <c r="D25" s="54">
        <v>103.1322</v>
      </c>
      <c r="E25" s="54">
        <v>0.1006221</v>
      </c>
      <c r="F25" s="54">
        <v>9.729767E-05</v>
      </c>
      <c r="G25" s="54"/>
      <c r="H25" s="54"/>
      <c r="I25" s="54"/>
      <c r="J25" s="54"/>
      <c r="K25" s="54"/>
      <c r="L25" s="55">
        <v>79.95153</v>
      </c>
      <c r="M25" s="70">
        <v>47.14265</v>
      </c>
      <c r="N25" s="54">
        <v>39.5</v>
      </c>
      <c r="O25" s="54">
        <v>22</v>
      </c>
      <c r="P25" s="54">
        <v>3.527778</v>
      </c>
      <c r="Q25" s="54">
        <v>18.36299</v>
      </c>
      <c r="R25" s="54">
        <v>95.59824</v>
      </c>
      <c r="S25" s="71">
        <v>0</v>
      </c>
      <c r="T25" s="71">
        <v>0</v>
      </c>
      <c r="U25" s="71">
        <v>18.27257</v>
      </c>
      <c r="V25" s="71">
        <v>50.57509</v>
      </c>
      <c r="W25" s="71">
        <v>25.5</v>
      </c>
      <c r="X25" s="71">
        <v>70.795</v>
      </c>
      <c r="Y25" s="71">
        <v>13.92687</v>
      </c>
      <c r="Z25" s="71">
        <v>17.65408</v>
      </c>
      <c r="AA25" s="71"/>
      <c r="AB25" s="71"/>
      <c r="AC25" s="58">
        <v>1.548394</v>
      </c>
      <c r="AD25" s="58">
        <v>0.001437927</v>
      </c>
      <c r="AE25" s="58">
        <v>20.44994</v>
      </c>
      <c r="AF25" s="58">
        <v>17.50217</v>
      </c>
      <c r="AG25" s="58">
        <v>172.6</v>
      </c>
      <c r="AH25" s="58"/>
      <c r="AI25" s="72"/>
      <c r="AJ25" s="72"/>
      <c r="AK25" s="72"/>
      <c r="AL25" s="72"/>
      <c r="AM25" s="72">
        <v>49.11024</v>
      </c>
      <c r="AN25" s="58">
        <v>50</v>
      </c>
      <c r="AO25" s="59">
        <v>27.35279</v>
      </c>
      <c r="AP25" s="60">
        <v>40.22352</v>
      </c>
      <c r="AQ25" s="61">
        <v>0.07595825</v>
      </c>
      <c r="AR25" s="62"/>
    </row>
    <row r="26" spans="2:44" ht="13.5" customHeight="1" x14ac:dyDescent="0.25">
      <c r="B26" s="41">
        <v>-80.12876</v>
      </c>
      <c r="C26" s="54">
        <v>-80.51215</v>
      </c>
      <c r="D26" s="54">
        <v>103.125</v>
      </c>
      <c r="E26" s="54">
        <v>0.1017072</v>
      </c>
      <c r="F26" s="54">
        <v>9.846687E-05</v>
      </c>
      <c r="G26" s="54"/>
      <c r="H26" s="54"/>
      <c r="I26" s="54"/>
      <c r="J26" s="54"/>
      <c r="K26" s="54"/>
      <c r="L26" s="55">
        <v>79.85026</v>
      </c>
      <c r="M26" s="70">
        <v>47.12095</v>
      </c>
      <c r="N26" s="54">
        <v>39.5</v>
      </c>
      <c r="O26" s="54">
        <v>22</v>
      </c>
      <c r="P26" s="54">
        <v>3.68967</v>
      </c>
      <c r="Q26" s="54">
        <v>18.36299</v>
      </c>
      <c r="R26" s="54">
        <v>95.81886</v>
      </c>
      <c r="S26" s="71">
        <v>0</v>
      </c>
      <c r="T26" s="71">
        <v>0</v>
      </c>
      <c r="U26" s="71">
        <v>18.38108</v>
      </c>
      <c r="V26" s="71">
        <v>49.40321</v>
      </c>
      <c r="W26" s="71">
        <v>25.5</v>
      </c>
      <c r="X26" s="71">
        <v>70.85106</v>
      </c>
      <c r="Y26" s="71">
        <v>14.05527</v>
      </c>
      <c r="Z26" s="71">
        <v>17.68121</v>
      </c>
      <c r="AA26" s="71"/>
      <c r="AB26" s="71"/>
      <c r="AC26" s="58">
        <v>1.548286</v>
      </c>
      <c r="AD26" s="58">
        <v>0.00154776</v>
      </c>
      <c r="AE26" s="58">
        <v>20.90567</v>
      </c>
      <c r="AF26" s="58">
        <v>26.11762</v>
      </c>
      <c r="AG26" s="58"/>
      <c r="AH26" s="58"/>
      <c r="AI26" s="72"/>
      <c r="AJ26" s="72"/>
      <c r="AK26" s="72"/>
      <c r="AL26" s="72"/>
      <c r="AM26" s="72">
        <v>47.97454</v>
      </c>
      <c r="AN26" s="58">
        <v>50</v>
      </c>
      <c r="AO26" s="59">
        <v>27.398</v>
      </c>
      <c r="AP26" s="60">
        <v>39.65929</v>
      </c>
      <c r="AQ26" s="61">
        <v>0.07595825</v>
      </c>
      <c r="AR26" s="62"/>
    </row>
    <row r="27" spans="2:44" ht="13.5" customHeight="1" x14ac:dyDescent="0.25">
      <c r="B27" s="14">
        <v>-80.14323</v>
      </c>
      <c r="C27" s="54">
        <v>-80.52662</v>
      </c>
      <c r="D27" s="54">
        <v>103.125</v>
      </c>
      <c r="E27" s="54">
        <v>0.08666088</v>
      </c>
      <c r="F27" s="54">
        <v>9.524727E-05</v>
      </c>
      <c r="G27" s="54"/>
      <c r="H27" s="54"/>
      <c r="I27" s="54"/>
      <c r="J27" s="54"/>
      <c r="K27" s="54"/>
      <c r="L27" s="55">
        <v>79.48857</v>
      </c>
      <c r="M27" s="70">
        <v>46.99797</v>
      </c>
      <c r="N27" s="54">
        <v>39.5</v>
      </c>
      <c r="O27" s="54">
        <v>22</v>
      </c>
      <c r="P27" s="54">
        <v>3.451823</v>
      </c>
      <c r="Q27" s="54">
        <v>18.64511</v>
      </c>
      <c r="R27" s="54">
        <v>95.79716</v>
      </c>
      <c r="S27" s="71">
        <v>0</v>
      </c>
      <c r="T27" s="71">
        <v>0</v>
      </c>
      <c r="U27" s="71">
        <v>18.60894</v>
      </c>
      <c r="V27" s="71">
        <v>48.28017</v>
      </c>
      <c r="W27" s="71">
        <v>25.5</v>
      </c>
      <c r="X27" s="71">
        <v>70.36893</v>
      </c>
      <c r="Y27" s="71">
        <v>13.85634</v>
      </c>
      <c r="Z27" s="71">
        <v>18.05013</v>
      </c>
      <c r="AA27" s="71"/>
      <c r="AB27" s="71"/>
      <c r="AC27" s="58">
        <v>1.548231</v>
      </c>
      <c r="AD27" s="58">
        <v>0.001483307</v>
      </c>
      <c r="AE27" s="58">
        <v>20.68142</v>
      </c>
      <c r="AF27" s="58">
        <v>21.60735</v>
      </c>
      <c r="AG27" s="58"/>
      <c r="AH27" s="58"/>
      <c r="AI27" s="72"/>
      <c r="AJ27" s="72"/>
      <c r="AK27" s="72"/>
      <c r="AL27" s="72"/>
      <c r="AM27" s="72">
        <v>46.86776</v>
      </c>
      <c r="AN27" s="58">
        <v>50</v>
      </c>
      <c r="AO27" s="59">
        <v>27.13578</v>
      </c>
      <c r="AP27" s="60">
        <v>39.96311</v>
      </c>
      <c r="AQ27" s="61">
        <v>0.07595825</v>
      </c>
      <c r="AR27" s="62"/>
    </row>
    <row r="28" spans="2:44" ht="13.5" customHeight="1" x14ac:dyDescent="0.25">
      <c r="B28" s="41">
        <v>-80.20834</v>
      </c>
      <c r="C28" s="54">
        <v>-80.48322</v>
      </c>
      <c r="D28" s="54">
        <v>103.1286</v>
      </c>
      <c r="E28" s="54">
        <v>0.1016348</v>
      </c>
      <c r="F28" s="54">
        <v>9.928894E-05</v>
      </c>
      <c r="G28" s="54"/>
      <c r="H28" s="54"/>
      <c r="I28" s="54"/>
      <c r="J28" s="54"/>
      <c r="K28" s="54"/>
      <c r="L28" s="55">
        <v>77.85373</v>
      </c>
      <c r="M28" s="70">
        <v>47.50796</v>
      </c>
      <c r="N28" s="54">
        <v>39.5</v>
      </c>
      <c r="O28" s="54">
        <v>22</v>
      </c>
      <c r="P28" s="54">
        <v>3.419271</v>
      </c>
      <c r="Q28" s="54">
        <v>18.82595</v>
      </c>
      <c r="R28" s="54">
        <v>96.62543</v>
      </c>
      <c r="S28" s="71">
        <v>0</v>
      </c>
      <c r="T28" s="71">
        <v>0</v>
      </c>
      <c r="U28" s="71">
        <v>19.24913</v>
      </c>
      <c r="V28" s="71">
        <v>47.37956</v>
      </c>
      <c r="W28" s="71">
        <v>25.5</v>
      </c>
      <c r="X28" s="71">
        <v>70.29604</v>
      </c>
      <c r="Y28" s="71">
        <v>13.93229</v>
      </c>
      <c r="Z28" s="71">
        <v>18.37023</v>
      </c>
      <c r="AA28" s="71"/>
      <c r="AB28" s="71"/>
      <c r="AC28" s="58">
        <v>1.548286</v>
      </c>
      <c r="AD28" s="58">
        <v>0.001226166</v>
      </c>
      <c r="AE28" s="58">
        <v>20.7827</v>
      </c>
      <c r="AF28" s="58">
        <v>16.69198</v>
      </c>
      <c r="AG28" s="58"/>
      <c r="AH28" s="58"/>
      <c r="AI28" s="72"/>
      <c r="AJ28" s="72"/>
      <c r="AK28" s="72"/>
      <c r="AL28" s="72"/>
      <c r="AM28" s="72">
        <v>45.99971</v>
      </c>
      <c r="AN28" s="58">
        <v>50</v>
      </c>
      <c r="AO28" s="59">
        <v>27.53364</v>
      </c>
      <c r="AP28" s="60">
        <v>39.56163</v>
      </c>
      <c r="AQ28" s="61">
        <v>0.06510925</v>
      </c>
      <c r="AR28" s="62"/>
    </row>
    <row r="29" spans="2:44" ht="13.5" customHeight="1" x14ac:dyDescent="0.25">
      <c r="B29" s="14">
        <v>-80.33131</v>
      </c>
      <c r="C29" s="54">
        <v>-80.50492</v>
      </c>
      <c r="D29" s="54">
        <v>103.125</v>
      </c>
      <c r="E29" s="54">
        <v>0.1014178</v>
      </c>
      <c r="F29" s="54">
        <v>9.325409E-05</v>
      </c>
      <c r="G29" s="54"/>
      <c r="H29" s="54"/>
      <c r="I29" s="54"/>
      <c r="J29" s="54"/>
      <c r="K29" s="54"/>
      <c r="L29" s="55">
        <v>77.74884</v>
      </c>
      <c r="M29" s="70">
        <v>47.39945</v>
      </c>
      <c r="N29" s="54">
        <v>39.5</v>
      </c>
      <c r="O29" s="54">
        <v>22</v>
      </c>
      <c r="P29" s="54">
        <v>3.338108</v>
      </c>
      <c r="Q29" s="54">
        <v>19.2853</v>
      </c>
      <c r="R29" s="54">
        <v>93.33767</v>
      </c>
      <c r="S29" s="71">
        <v>0</v>
      </c>
      <c r="T29" s="71">
        <v>0</v>
      </c>
      <c r="U29" s="71">
        <v>19.8622</v>
      </c>
      <c r="V29" s="71">
        <v>46.56576</v>
      </c>
      <c r="W29" s="71">
        <v>26</v>
      </c>
      <c r="X29" s="71">
        <v>71.5182</v>
      </c>
      <c r="Y29" s="71">
        <v>13.91602</v>
      </c>
      <c r="Z29" s="71">
        <v>18.61979</v>
      </c>
      <c r="AA29" s="71"/>
      <c r="AB29" s="71"/>
      <c r="AC29" s="58">
        <v>1.548286</v>
      </c>
      <c r="AD29" s="58">
        <v>0.001458191</v>
      </c>
      <c r="AE29" s="58">
        <v>20.80078</v>
      </c>
      <c r="AF29" s="58">
        <v>19.0719</v>
      </c>
      <c r="AG29" s="58"/>
      <c r="AH29" s="58"/>
      <c r="AI29" s="72"/>
      <c r="AJ29" s="72"/>
      <c r="AK29" s="72"/>
      <c r="AL29" s="72"/>
      <c r="AM29" s="72">
        <v>45.13889</v>
      </c>
      <c r="AN29" s="58">
        <v>50</v>
      </c>
      <c r="AO29" s="59">
        <v>27.65119</v>
      </c>
      <c r="AP29" s="60">
        <v>39.76056</v>
      </c>
      <c r="AQ29" s="61">
        <v>0.07595825</v>
      </c>
      <c r="AR29" s="62"/>
    </row>
    <row r="30" spans="2:44" ht="13.5" customHeight="1" x14ac:dyDescent="0.25">
      <c r="B30" s="14">
        <v>-80.31684</v>
      </c>
      <c r="C30" s="54">
        <v>-80.51215</v>
      </c>
      <c r="D30" s="54">
        <v>103.1214</v>
      </c>
      <c r="E30" s="54">
        <v>0.08224826</v>
      </c>
      <c r="F30" s="54">
        <v>9.175873E-05</v>
      </c>
      <c r="G30" s="54"/>
      <c r="H30" s="54"/>
      <c r="I30" s="54"/>
      <c r="J30" s="54"/>
      <c r="K30" s="54"/>
      <c r="L30" s="55">
        <v>79.39815</v>
      </c>
      <c r="M30" s="70">
        <v>47.04499</v>
      </c>
      <c r="N30" s="54">
        <v>39.5</v>
      </c>
      <c r="O30" s="54">
        <v>22</v>
      </c>
      <c r="P30" s="54">
        <v>3.628906</v>
      </c>
      <c r="Q30" s="54">
        <v>19.09722</v>
      </c>
      <c r="R30" s="54">
        <v>91.9741</v>
      </c>
      <c r="S30" s="71">
        <v>0</v>
      </c>
      <c r="T30" s="71">
        <v>0</v>
      </c>
      <c r="U30" s="71">
        <v>20.55122</v>
      </c>
      <c r="V30" s="71">
        <v>45.73026</v>
      </c>
      <c r="W30" s="71">
        <v>26</v>
      </c>
      <c r="X30" s="71">
        <v>71.4285</v>
      </c>
      <c r="Y30" s="71">
        <v>13.66645</v>
      </c>
      <c r="Z30" s="71">
        <v>18.47873</v>
      </c>
      <c r="AA30" s="71"/>
      <c r="AB30" s="71"/>
      <c r="AC30" s="58">
        <v>1.548286</v>
      </c>
      <c r="AD30" s="58">
        <v>0.001522034</v>
      </c>
      <c r="AE30" s="58">
        <v>20.46441</v>
      </c>
      <c r="AF30" s="58">
        <v>19.0068</v>
      </c>
      <c r="AG30" s="58"/>
      <c r="AH30" s="58"/>
      <c r="AI30" s="72"/>
      <c r="AJ30" s="72"/>
      <c r="AK30" s="72"/>
      <c r="AL30" s="72"/>
      <c r="AM30" s="72">
        <v>44.29977</v>
      </c>
      <c r="AN30" s="58">
        <v>50</v>
      </c>
      <c r="AO30" s="59">
        <v>26.56612</v>
      </c>
      <c r="AP30" s="60">
        <v>39.5327</v>
      </c>
      <c r="AQ30" s="61">
        <v>0.05426025</v>
      </c>
      <c r="AR30" s="62"/>
    </row>
    <row r="31" spans="2:44" ht="13.5" customHeight="1" x14ac:dyDescent="0.25">
      <c r="B31" s="14">
        <v>-80.37471</v>
      </c>
      <c r="C31" s="54">
        <v>-80.50492</v>
      </c>
      <c r="D31" s="54">
        <v>103.1214</v>
      </c>
      <c r="E31" s="54">
        <v>0.09787326</v>
      </c>
      <c r="F31" s="54">
        <v>9.460068E-05</v>
      </c>
      <c r="G31" s="54"/>
      <c r="H31" s="54"/>
      <c r="I31" s="54"/>
      <c r="J31" s="54"/>
      <c r="K31" s="54"/>
      <c r="L31" s="55">
        <v>79.65495</v>
      </c>
      <c r="M31" s="70">
        <v>47.39945</v>
      </c>
      <c r="N31" s="54">
        <v>39.5</v>
      </c>
      <c r="O31" s="54">
        <v>22</v>
      </c>
      <c r="P31" s="54">
        <v>3.515625</v>
      </c>
      <c r="Q31" s="54">
        <v>18.94893</v>
      </c>
      <c r="R31" s="54">
        <v>94.2636</v>
      </c>
      <c r="S31" s="71">
        <v>0</v>
      </c>
      <c r="T31" s="71">
        <v>0</v>
      </c>
      <c r="U31" s="71">
        <v>21.52235</v>
      </c>
      <c r="V31" s="71">
        <v>44.9273</v>
      </c>
      <c r="W31" s="71">
        <v>26</v>
      </c>
      <c r="X31" s="71">
        <v>70.9856</v>
      </c>
      <c r="Y31" s="71">
        <v>13.57241</v>
      </c>
      <c r="Z31" s="71">
        <v>18.45161</v>
      </c>
      <c r="AA31" s="71"/>
      <c r="AB31" s="71"/>
      <c r="AC31" s="58">
        <v>1.548286</v>
      </c>
      <c r="AD31" s="58">
        <v>0.001450836</v>
      </c>
      <c r="AE31" s="58">
        <v>19.87124</v>
      </c>
      <c r="AF31" s="58">
        <v>19.95081</v>
      </c>
      <c r="AG31" s="58"/>
      <c r="AH31" s="58"/>
      <c r="AI31" s="72"/>
      <c r="AJ31" s="72"/>
      <c r="AK31" s="72"/>
      <c r="AL31" s="72"/>
      <c r="AM31" s="72">
        <v>43.40278</v>
      </c>
      <c r="AN31" s="58">
        <v>50</v>
      </c>
      <c r="AO31" s="59">
        <v>25.34541</v>
      </c>
      <c r="AP31" s="60">
        <v>39.89077</v>
      </c>
      <c r="AQ31" s="61">
        <v>0.05426025</v>
      </c>
      <c r="AR31" s="62"/>
    </row>
    <row r="32" spans="2:44" ht="13.5" customHeight="1" x14ac:dyDescent="0.25">
      <c r="B32" s="14">
        <v>-80.39641</v>
      </c>
      <c r="C32" s="54">
        <v>-80.52662</v>
      </c>
      <c r="D32" s="54">
        <v>103.1178</v>
      </c>
      <c r="E32" s="54">
        <v>0.09483507</v>
      </c>
      <c r="F32" s="54">
        <v>8.930588E-05</v>
      </c>
      <c r="G32" s="54"/>
      <c r="H32" s="54"/>
      <c r="I32" s="54"/>
      <c r="J32" s="54"/>
      <c r="K32" s="54"/>
      <c r="L32" s="55">
        <v>80.04195</v>
      </c>
      <c r="M32" s="70">
        <v>47.38498</v>
      </c>
      <c r="N32" s="54">
        <v>39.5</v>
      </c>
      <c r="O32" s="54">
        <v>22</v>
      </c>
      <c r="P32" s="54">
        <v>3.451389</v>
      </c>
      <c r="Q32" s="54">
        <v>18.99957</v>
      </c>
      <c r="R32" s="54">
        <v>92.9796</v>
      </c>
      <c r="S32" s="71">
        <v>0</v>
      </c>
      <c r="T32" s="71">
        <v>0</v>
      </c>
      <c r="U32" s="71">
        <v>22.16254</v>
      </c>
      <c r="V32" s="71">
        <v>44.14063</v>
      </c>
      <c r="W32" s="71">
        <v>26</v>
      </c>
      <c r="X32" s="71">
        <v>72.10684</v>
      </c>
      <c r="Y32" s="71">
        <v>13.32104</v>
      </c>
      <c r="Z32" s="71">
        <v>18.48416</v>
      </c>
      <c r="AA32" s="71"/>
      <c r="AB32" s="71"/>
      <c r="AC32" s="58">
        <v>1.548286</v>
      </c>
      <c r="AD32" s="58">
        <v>0.001548859</v>
      </c>
      <c r="AE32" s="58">
        <v>20.50781</v>
      </c>
      <c r="AF32" s="58">
        <v>16.82581</v>
      </c>
      <c r="AG32" s="58"/>
      <c r="AH32" s="58"/>
      <c r="AI32" s="72"/>
      <c r="AJ32" s="72"/>
      <c r="AK32" s="72"/>
      <c r="AL32" s="72"/>
      <c r="AM32" s="72">
        <v>42.58536</v>
      </c>
      <c r="AN32" s="58">
        <v>50</v>
      </c>
      <c r="AO32" s="59">
        <v>24.94756</v>
      </c>
      <c r="AP32" s="60">
        <v>39.94864</v>
      </c>
      <c r="AQ32" s="61">
        <v>0.04341125</v>
      </c>
      <c r="AR32" s="62"/>
    </row>
    <row r="33" spans="2:44" ht="13.5" customHeight="1" x14ac:dyDescent="0.25">
      <c r="B33" s="14">
        <v>-80.31684</v>
      </c>
      <c r="C33" s="54">
        <v>-80.51215</v>
      </c>
      <c r="D33" s="54">
        <v>103.125</v>
      </c>
      <c r="E33" s="54">
        <v>0.09939236</v>
      </c>
      <c r="F33" s="54">
        <v>9.296418E-05</v>
      </c>
      <c r="G33" s="54"/>
      <c r="H33" s="54"/>
      <c r="I33" s="54"/>
      <c r="J33" s="54"/>
      <c r="K33" s="54"/>
      <c r="L33" s="55">
        <v>79.91536</v>
      </c>
      <c r="M33" s="70">
        <v>47.12457</v>
      </c>
      <c r="N33" s="54">
        <v>39.5</v>
      </c>
      <c r="O33" s="54">
        <v>22</v>
      </c>
      <c r="P33" s="54">
        <v>3.499132</v>
      </c>
      <c r="Q33" s="54">
        <v>19.11531</v>
      </c>
      <c r="R33" s="54">
        <v>91.64497</v>
      </c>
      <c r="S33" s="71">
        <v>0</v>
      </c>
      <c r="T33" s="71">
        <v>0</v>
      </c>
      <c r="U33" s="71">
        <v>22.59115</v>
      </c>
      <c r="V33" s="71">
        <v>43.38108</v>
      </c>
      <c r="W33" s="71">
        <v>26</v>
      </c>
      <c r="X33" s="71">
        <v>71.55183</v>
      </c>
      <c r="Y33" s="71">
        <v>13.19806</v>
      </c>
      <c r="Z33" s="71">
        <v>18.54926</v>
      </c>
      <c r="AA33" s="71"/>
      <c r="AB33" s="71"/>
      <c r="AC33" s="58">
        <v>1.548231</v>
      </c>
      <c r="AD33" s="58">
        <v>0.001415588</v>
      </c>
      <c r="AE33" s="58">
        <v>20.37037</v>
      </c>
      <c r="AF33" s="58">
        <v>15.65755</v>
      </c>
      <c r="AG33" s="58"/>
      <c r="AH33" s="58"/>
      <c r="AI33" s="72"/>
      <c r="AJ33" s="72"/>
      <c r="AK33" s="72"/>
      <c r="AL33" s="72"/>
      <c r="AM33" s="72">
        <v>41.74624</v>
      </c>
      <c r="AN33" s="58">
        <v>50</v>
      </c>
      <c r="AO33" s="59">
        <v>24.28747</v>
      </c>
      <c r="AP33" s="60">
        <v>39.76056</v>
      </c>
      <c r="AQ33" s="61">
        <v>0.04341125</v>
      </c>
      <c r="AR33" s="62"/>
    </row>
    <row r="34" spans="2:44" ht="13.5" customHeight="1" x14ac:dyDescent="0.25">
      <c r="B34" s="42">
        <v>-80.2228</v>
      </c>
      <c r="C34" s="63">
        <v>-80.52662</v>
      </c>
      <c r="D34" s="63">
        <v>103.125</v>
      </c>
      <c r="E34" s="63">
        <v>0.1572627</v>
      </c>
      <c r="F34" s="63">
        <v>9.321595E-05</v>
      </c>
      <c r="G34" s="63"/>
      <c r="H34" s="63"/>
      <c r="I34" s="63"/>
      <c r="J34" s="63"/>
      <c r="K34" s="63"/>
      <c r="L34" s="64">
        <v>79.01837</v>
      </c>
      <c r="M34" s="73">
        <v>47.27647</v>
      </c>
      <c r="N34" s="63">
        <v>39.5</v>
      </c>
      <c r="O34" s="63">
        <v>22</v>
      </c>
      <c r="P34" s="63">
        <v>3.451389</v>
      </c>
      <c r="Q34" s="63">
        <v>18.95255</v>
      </c>
      <c r="R34" s="63">
        <v>94.29977</v>
      </c>
      <c r="S34" s="74">
        <v>0</v>
      </c>
      <c r="T34" s="74">
        <v>0</v>
      </c>
      <c r="U34" s="74">
        <v>92.75716</v>
      </c>
      <c r="V34" s="74">
        <v>101.3129</v>
      </c>
      <c r="W34" s="74">
        <v>29</v>
      </c>
      <c r="X34" s="74">
        <v>79.20989</v>
      </c>
      <c r="Y34" s="74">
        <v>13.3355</v>
      </c>
      <c r="Z34" s="74">
        <v>18.50586</v>
      </c>
      <c r="AA34" s="74"/>
      <c r="AB34" s="74"/>
      <c r="AC34" s="67">
        <v>1.548123</v>
      </c>
      <c r="AD34" s="67">
        <v>0.0009281006</v>
      </c>
      <c r="AE34" s="67">
        <v>19.96528</v>
      </c>
      <c r="AF34" s="67">
        <v>53.02011</v>
      </c>
      <c r="AG34" s="67"/>
      <c r="AH34" s="67">
        <v>5.81</v>
      </c>
      <c r="AI34" s="75"/>
      <c r="AJ34" s="75"/>
      <c r="AK34" s="75"/>
      <c r="AL34" s="75"/>
      <c r="AM34" s="75">
        <v>41.26157</v>
      </c>
      <c r="AN34" s="67">
        <v>50</v>
      </c>
      <c r="AO34" s="68">
        <v>23.88961</v>
      </c>
      <c r="AP34" s="76">
        <v>39.55801</v>
      </c>
      <c r="AQ34" s="77">
        <v>0.05426025</v>
      </c>
      <c r="AR34" s="78"/>
    </row>
    <row r="35" spans="2:44" ht="15" customHeight="1" x14ac:dyDescent="0.25">
      <c r="B35" s="136" t="s">
        <v>181</v>
      </c>
      <c r="C35" s="137" t="s">
        <v>38</v>
      </c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  <c r="R35" s="166"/>
      <c r="S35" s="166"/>
      <c r="T35" s="166"/>
      <c r="U35" s="166"/>
      <c r="V35" s="166"/>
      <c r="W35" s="167" t="s">
        <v>216</v>
      </c>
      <c r="X35" s="168"/>
      <c r="Y35" s="168"/>
      <c r="Z35" s="168"/>
      <c r="AA35" s="168"/>
      <c r="AB35" s="168"/>
      <c r="AC35" s="168"/>
      <c r="AD35" s="168"/>
      <c r="AE35" s="168"/>
      <c r="AF35" s="168"/>
      <c r="AG35" s="168"/>
      <c r="AH35" s="168"/>
      <c r="AI35" s="168"/>
      <c r="AJ35" s="169"/>
      <c r="AK35" s="143" t="s">
        <v>48</v>
      </c>
      <c r="AL35" s="141"/>
      <c r="AM35" s="170" t="s">
        <v>223</v>
      </c>
      <c r="AN35" s="171"/>
      <c r="AO35" s="43"/>
      <c r="AP35" s="43"/>
      <c r="AQ35" s="43"/>
      <c r="AR35" s="44"/>
    </row>
    <row r="36" spans="2:44" ht="20.15" customHeight="1" x14ac:dyDescent="0.25">
      <c r="B36" s="123"/>
      <c r="C36" s="117" t="s">
        <v>32</v>
      </c>
      <c r="D36" s="149"/>
      <c r="E36" s="117" t="s">
        <v>33</v>
      </c>
      <c r="F36" s="178"/>
      <c r="G36" s="149"/>
      <c r="H36" s="172" t="s">
        <v>276</v>
      </c>
      <c r="I36" s="173"/>
      <c r="J36" s="4" t="s">
        <v>27</v>
      </c>
      <c r="K36" s="4" t="s">
        <v>30</v>
      </c>
      <c r="L36" s="4" t="s">
        <v>191</v>
      </c>
      <c r="M36" s="174" t="s">
        <v>192</v>
      </c>
      <c r="N36" s="175"/>
      <c r="O36" s="4" t="s">
        <v>26</v>
      </c>
      <c r="P36" s="4" t="s">
        <v>197</v>
      </c>
      <c r="Q36" s="117" t="s">
        <v>199</v>
      </c>
      <c r="R36" s="179"/>
      <c r="S36" s="117" t="s">
        <v>202</v>
      </c>
      <c r="T36" s="179"/>
      <c r="U36" s="117" t="s">
        <v>201</v>
      </c>
      <c r="V36" s="176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31" t="s">
        <v>46</v>
      </c>
      <c r="AI36" s="177"/>
      <c r="AJ36" s="118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23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23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290</v>
      </c>
      <c r="N38" s="1" t="s">
        <v>291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41">
        <v>0</v>
      </c>
      <c r="C39" s="50"/>
      <c r="D39" s="50">
        <v>50.15191</v>
      </c>
      <c r="E39" s="50"/>
      <c r="F39" s="50"/>
      <c r="G39" s="50">
        <v>0</v>
      </c>
      <c r="H39" s="50"/>
      <c r="I39" s="50">
        <v>24.77575</v>
      </c>
      <c r="J39" s="50">
        <v>40</v>
      </c>
      <c r="K39" s="50">
        <v>36.14185</v>
      </c>
      <c r="L39" s="50">
        <v>0</v>
      </c>
      <c r="M39" s="50"/>
      <c r="N39" s="50">
        <v>27.9315</v>
      </c>
      <c r="O39" s="50">
        <v>0.05</v>
      </c>
      <c r="P39" s="50">
        <v>0.1270978</v>
      </c>
      <c r="Q39" s="50"/>
      <c r="R39" s="50">
        <v>0</v>
      </c>
      <c r="S39" s="50"/>
      <c r="T39" s="50">
        <v>0</v>
      </c>
      <c r="U39" s="51"/>
      <c r="V39" s="52">
        <v>93.07002</v>
      </c>
      <c r="W39" s="53">
        <v>16.03009</v>
      </c>
      <c r="X39" s="51">
        <v>28</v>
      </c>
      <c r="Y39" s="51">
        <v>65.97223</v>
      </c>
      <c r="Z39" s="51">
        <v>18.59809</v>
      </c>
      <c r="AA39" s="51">
        <v>55.15408</v>
      </c>
      <c r="AB39" s="51">
        <v>28</v>
      </c>
      <c r="AC39" s="51">
        <v>69.12761</v>
      </c>
      <c r="AD39" s="51">
        <v>14.04803</v>
      </c>
      <c r="AE39" s="45">
        <v>16.71007</v>
      </c>
      <c r="AF39" s="45"/>
      <c r="AG39" s="45">
        <v>0</v>
      </c>
      <c r="AH39" s="45">
        <v>0</v>
      </c>
      <c r="AI39" s="45"/>
      <c r="AJ39" s="45">
        <v>60.40943</v>
      </c>
      <c r="AK39" s="45">
        <v>58.07292</v>
      </c>
      <c r="AL39" s="47"/>
      <c r="AM39" s="49"/>
      <c r="AN39" s="46"/>
      <c r="AO39" s="45"/>
      <c r="AP39" s="45"/>
      <c r="AQ39" s="45"/>
      <c r="AR39" s="48"/>
    </row>
    <row r="40" spans="2:44" ht="13.5" customHeight="1" x14ac:dyDescent="0.25">
      <c r="B40" s="14">
        <v>0</v>
      </c>
      <c r="C40" s="54">
        <v>2.092838E-06</v>
      </c>
      <c r="D40" s="54">
        <v>50.10851</v>
      </c>
      <c r="E40" s="54"/>
      <c r="F40" s="54"/>
      <c r="G40" s="54">
        <v>0</v>
      </c>
      <c r="H40" s="54">
        <v>0</v>
      </c>
      <c r="I40" s="54">
        <v>24.8933</v>
      </c>
      <c r="J40" s="54">
        <v>40</v>
      </c>
      <c r="K40" s="54">
        <v>35.52698</v>
      </c>
      <c r="L40" s="54">
        <v>0</v>
      </c>
      <c r="M40" s="54">
        <v>0</v>
      </c>
      <c r="N40" s="54">
        <v>27.28045</v>
      </c>
      <c r="O40" s="54">
        <v>0.05</v>
      </c>
      <c r="P40" s="54">
        <v>0.1279659</v>
      </c>
      <c r="Q40" s="54">
        <v>0.0001270599</v>
      </c>
      <c r="R40" s="54">
        <v>0</v>
      </c>
      <c r="S40" s="54">
        <v>0</v>
      </c>
      <c r="T40" s="54">
        <v>0</v>
      </c>
      <c r="U40" s="71">
        <v>0</v>
      </c>
      <c r="V40" s="79">
        <v>89.09143</v>
      </c>
      <c r="W40" s="80">
        <v>19.51316</v>
      </c>
      <c r="X40" s="71">
        <v>25</v>
      </c>
      <c r="Y40" s="71">
        <v>62.46528</v>
      </c>
      <c r="Z40" s="71">
        <v>18.41363</v>
      </c>
      <c r="AA40" s="71">
        <v>53.21723</v>
      </c>
      <c r="AB40" s="71">
        <v>28</v>
      </c>
      <c r="AC40" s="71">
        <v>69.28386</v>
      </c>
      <c r="AD40" s="71">
        <v>14.36632</v>
      </c>
      <c r="AE40" s="58">
        <v>17.5727</v>
      </c>
      <c r="AF40" s="58"/>
      <c r="AG40" s="58">
        <v>0</v>
      </c>
      <c r="AH40" s="58">
        <v>0</v>
      </c>
      <c r="AI40" s="58">
        <v>0</v>
      </c>
      <c r="AJ40" s="58">
        <v>60.37688</v>
      </c>
      <c r="AK40" s="58">
        <v>56.79977</v>
      </c>
      <c r="AL40" s="59"/>
      <c r="AM40" s="81"/>
      <c r="AN40" s="72"/>
      <c r="AO40" s="58"/>
      <c r="AP40" s="58"/>
      <c r="AQ40" s="58"/>
      <c r="AR40" s="62"/>
    </row>
    <row r="41" spans="2:44" ht="13.5" customHeight="1" x14ac:dyDescent="0.25">
      <c r="B41" s="41">
        <v>0</v>
      </c>
      <c r="C41" s="54">
        <v>0</v>
      </c>
      <c r="D41" s="54">
        <v>49.02344</v>
      </c>
      <c r="E41" s="54"/>
      <c r="F41" s="54"/>
      <c r="G41" s="54">
        <v>0</v>
      </c>
      <c r="H41" s="54">
        <v>0</v>
      </c>
      <c r="I41" s="54">
        <v>24.91139</v>
      </c>
      <c r="J41" s="54">
        <v>40</v>
      </c>
      <c r="K41" s="54">
        <v>34.77647</v>
      </c>
      <c r="L41" s="54">
        <v>0</v>
      </c>
      <c r="M41" s="54">
        <v>0</v>
      </c>
      <c r="N41" s="54">
        <v>26.71079</v>
      </c>
      <c r="O41" s="54">
        <v>0.05</v>
      </c>
      <c r="P41" s="54">
        <v>0.1280382</v>
      </c>
      <c r="Q41" s="54">
        <v>0.0001269188</v>
      </c>
      <c r="R41" s="54">
        <v>0</v>
      </c>
      <c r="S41" s="54">
        <v>0</v>
      </c>
      <c r="T41" s="54">
        <v>0</v>
      </c>
      <c r="U41" s="71">
        <v>0</v>
      </c>
      <c r="V41" s="79">
        <v>95.26548</v>
      </c>
      <c r="W41" s="80">
        <v>17.94705</v>
      </c>
      <c r="X41" s="71">
        <v>25</v>
      </c>
      <c r="Y41" s="71">
        <v>61.72743</v>
      </c>
      <c r="Z41" s="71">
        <v>18.35938</v>
      </c>
      <c r="AA41" s="71">
        <v>51.68186</v>
      </c>
      <c r="AB41" s="71">
        <v>28</v>
      </c>
      <c r="AC41" s="71">
        <v>68.65886</v>
      </c>
      <c r="AD41" s="71">
        <v>14.39887</v>
      </c>
      <c r="AE41" s="58">
        <v>17.77344</v>
      </c>
      <c r="AF41" s="58"/>
      <c r="AG41" s="58">
        <v>0</v>
      </c>
      <c r="AH41" s="58">
        <v>0</v>
      </c>
      <c r="AI41" s="58">
        <v>0</v>
      </c>
      <c r="AJ41" s="58">
        <v>60.34433</v>
      </c>
      <c r="AK41" s="58">
        <v>55.66262</v>
      </c>
      <c r="AL41" s="59"/>
      <c r="AM41" s="81"/>
      <c r="AN41" s="72"/>
      <c r="AO41" s="58"/>
      <c r="AP41" s="58"/>
      <c r="AQ41" s="58"/>
      <c r="AR41" s="62"/>
    </row>
    <row r="42" spans="2:44" ht="13.5" customHeight="1" x14ac:dyDescent="0.25">
      <c r="B42" s="14">
        <v>0</v>
      </c>
      <c r="C42" s="54">
        <v>6.350279E-06</v>
      </c>
      <c r="D42" s="54">
        <v>39.35909</v>
      </c>
      <c r="E42" s="54"/>
      <c r="F42" s="54"/>
      <c r="G42" s="54">
        <v>0</v>
      </c>
      <c r="H42" s="54">
        <v>0</v>
      </c>
      <c r="I42" s="54">
        <v>24.8933</v>
      </c>
      <c r="J42" s="54">
        <v>40</v>
      </c>
      <c r="K42" s="54">
        <v>34.27915</v>
      </c>
      <c r="L42" s="54">
        <v>0</v>
      </c>
      <c r="M42" s="54">
        <v>0</v>
      </c>
      <c r="N42" s="54">
        <v>26.15017</v>
      </c>
      <c r="O42" s="54">
        <v>0.05</v>
      </c>
      <c r="P42" s="54">
        <v>0.1584925</v>
      </c>
      <c r="Q42" s="54">
        <v>0.0001464767</v>
      </c>
      <c r="R42" s="54">
        <v>0</v>
      </c>
      <c r="S42" s="54">
        <v>0</v>
      </c>
      <c r="T42" s="54">
        <v>0</v>
      </c>
      <c r="U42" s="71">
        <v>0</v>
      </c>
      <c r="V42" s="79">
        <v>92.79875</v>
      </c>
      <c r="W42" s="80">
        <v>16.21817</v>
      </c>
      <c r="X42" s="71">
        <v>25</v>
      </c>
      <c r="Y42" s="71">
        <v>60.27778</v>
      </c>
      <c r="Z42" s="71">
        <v>18.27257</v>
      </c>
      <c r="AA42" s="71">
        <v>50.57509</v>
      </c>
      <c r="AB42" s="71">
        <v>30</v>
      </c>
      <c r="AC42" s="71">
        <v>72.76042</v>
      </c>
      <c r="AD42" s="71">
        <v>13.92687</v>
      </c>
      <c r="AE42" s="58">
        <v>17.65408</v>
      </c>
      <c r="AF42" s="58"/>
      <c r="AG42" s="58">
        <v>0</v>
      </c>
      <c r="AH42" s="58">
        <v>0</v>
      </c>
      <c r="AI42" s="58">
        <v>0</v>
      </c>
      <c r="AJ42" s="58">
        <v>60.30454</v>
      </c>
      <c r="AK42" s="58">
        <v>54.6904</v>
      </c>
      <c r="AL42" s="59"/>
      <c r="AM42" s="81"/>
      <c r="AN42" s="72"/>
      <c r="AO42" s="58"/>
      <c r="AP42" s="58"/>
      <c r="AQ42" s="58"/>
      <c r="AR42" s="62"/>
    </row>
    <row r="43" spans="2:44" ht="13.5" customHeight="1" x14ac:dyDescent="0.25">
      <c r="B43" s="41">
        <v>0</v>
      </c>
      <c r="C43" s="54">
        <v>0</v>
      </c>
      <c r="D43" s="54">
        <v>42.03559</v>
      </c>
      <c r="E43" s="54"/>
      <c r="F43" s="54"/>
      <c r="G43" s="54">
        <v>0</v>
      </c>
      <c r="H43" s="54">
        <v>0</v>
      </c>
      <c r="I43" s="54">
        <v>24.73054</v>
      </c>
      <c r="J43" s="54">
        <v>40</v>
      </c>
      <c r="K43" s="54">
        <v>33.61003</v>
      </c>
      <c r="L43" s="54">
        <v>0</v>
      </c>
      <c r="M43" s="54">
        <v>0</v>
      </c>
      <c r="N43" s="54">
        <v>25.60764</v>
      </c>
      <c r="O43" s="54">
        <v>0.05</v>
      </c>
      <c r="P43" s="54">
        <v>0.1553096</v>
      </c>
      <c r="Q43" s="54">
        <v>0.0001567421</v>
      </c>
      <c r="R43" s="54">
        <v>0</v>
      </c>
      <c r="S43" s="54">
        <v>0</v>
      </c>
      <c r="T43" s="54">
        <v>0</v>
      </c>
      <c r="U43" s="71">
        <v>0</v>
      </c>
      <c r="V43" s="79">
        <v>93.22193</v>
      </c>
      <c r="W43" s="80">
        <v>16.97772</v>
      </c>
      <c r="X43" s="71">
        <v>25</v>
      </c>
      <c r="Y43" s="71">
        <v>60.41667</v>
      </c>
      <c r="Z43" s="71">
        <v>18.38108</v>
      </c>
      <c r="AA43" s="71">
        <v>49.40321</v>
      </c>
      <c r="AB43" s="71">
        <v>25</v>
      </c>
      <c r="AC43" s="71">
        <v>60.26042</v>
      </c>
      <c r="AD43" s="71">
        <v>14.05527</v>
      </c>
      <c r="AE43" s="58">
        <v>17.68121</v>
      </c>
      <c r="AF43" s="58">
        <v>1</v>
      </c>
      <c r="AG43" s="58">
        <v>0</v>
      </c>
      <c r="AH43" s="58">
        <v>0</v>
      </c>
      <c r="AI43" s="58">
        <v>0</v>
      </c>
      <c r="AJ43" s="58">
        <v>60.26114</v>
      </c>
      <c r="AK43" s="58">
        <v>53.71817</v>
      </c>
      <c r="AL43" s="59"/>
      <c r="AM43" s="81"/>
      <c r="AN43" s="72"/>
      <c r="AO43" s="58"/>
      <c r="AP43" s="58"/>
      <c r="AQ43" s="58"/>
      <c r="AR43" s="62"/>
    </row>
    <row r="44" spans="2:44" ht="13.5" customHeight="1" x14ac:dyDescent="0.25">
      <c r="B44" s="14">
        <v>0</v>
      </c>
      <c r="C44" s="54">
        <v>0</v>
      </c>
      <c r="D44" s="54">
        <v>41.97772</v>
      </c>
      <c r="E44" s="54"/>
      <c r="F44" s="54"/>
      <c r="G44" s="54">
        <v>0</v>
      </c>
      <c r="H44" s="54">
        <v>0</v>
      </c>
      <c r="I44" s="54">
        <v>24.32364</v>
      </c>
      <c r="J44" s="54">
        <v>40</v>
      </c>
      <c r="K44" s="54">
        <v>32.97707</v>
      </c>
      <c r="L44" s="54">
        <v>0</v>
      </c>
      <c r="M44" s="54">
        <v>0</v>
      </c>
      <c r="N44" s="54">
        <v>24.92043</v>
      </c>
      <c r="O44" s="54">
        <v>0.05</v>
      </c>
      <c r="P44" s="54">
        <v>0.1644965</v>
      </c>
      <c r="Q44" s="54">
        <v>0.0001564789</v>
      </c>
      <c r="R44" s="54">
        <v>0</v>
      </c>
      <c r="S44" s="54">
        <v>0</v>
      </c>
      <c r="T44" s="54">
        <v>0</v>
      </c>
      <c r="U44" s="71">
        <v>0</v>
      </c>
      <c r="V44" s="79">
        <v>90.23799</v>
      </c>
      <c r="W44" s="80">
        <v>16.88006</v>
      </c>
      <c r="X44" s="71">
        <v>25</v>
      </c>
      <c r="Y44" s="71">
        <v>60.10417</v>
      </c>
      <c r="Z44" s="71">
        <v>18.60894</v>
      </c>
      <c r="AA44" s="71">
        <v>48.28017</v>
      </c>
      <c r="AB44" s="71">
        <v>25</v>
      </c>
      <c r="AC44" s="71">
        <v>60.20399</v>
      </c>
      <c r="AD44" s="71">
        <v>13.85634</v>
      </c>
      <c r="AE44" s="58">
        <v>18.05013</v>
      </c>
      <c r="AF44" s="58"/>
      <c r="AG44" s="58">
        <v>0</v>
      </c>
      <c r="AH44" s="58">
        <v>0</v>
      </c>
      <c r="AI44" s="58">
        <v>0</v>
      </c>
      <c r="AJ44" s="58">
        <v>60.22135</v>
      </c>
      <c r="AK44" s="58">
        <v>52.81829</v>
      </c>
      <c r="AL44" s="59"/>
      <c r="AM44" s="81"/>
      <c r="AN44" s="72"/>
      <c r="AO44" s="58"/>
      <c r="AP44" s="58"/>
      <c r="AQ44" s="58"/>
      <c r="AR44" s="62"/>
    </row>
    <row r="45" spans="2:44" ht="13.5" customHeight="1" x14ac:dyDescent="0.25">
      <c r="B45" s="41">
        <v>0</v>
      </c>
      <c r="C45" s="54">
        <v>7.099628E-06</v>
      </c>
      <c r="D45" s="54">
        <v>49.13918</v>
      </c>
      <c r="E45" s="54"/>
      <c r="F45" s="54"/>
      <c r="G45" s="54">
        <v>0</v>
      </c>
      <c r="H45" s="54">
        <v>0</v>
      </c>
      <c r="I45" s="54">
        <v>24.06141</v>
      </c>
      <c r="J45" s="54">
        <v>40</v>
      </c>
      <c r="K45" s="54">
        <v>32.40741</v>
      </c>
      <c r="L45" s="54">
        <v>0</v>
      </c>
      <c r="M45" s="54">
        <v>0</v>
      </c>
      <c r="N45" s="54">
        <v>24.30556</v>
      </c>
      <c r="O45" s="54">
        <v>0.05</v>
      </c>
      <c r="P45" s="54">
        <v>0.1874277</v>
      </c>
      <c r="Q45" s="54">
        <v>0.0001569862</v>
      </c>
      <c r="R45" s="54">
        <v>0</v>
      </c>
      <c r="S45" s="54">
        <v>0</v>
      </c>
      <c r="T45" s="54">
        <v>0</v>
      </c>
      <c r="U45" s="71">
        <v>0</v>
      </c>
      <c r="V45" s="79">
        <v>96.78458</v>
      </c>
      <c r="W45" s="80">
        <v>16.08796</v>
      </c>
      <c r="X45" s="71">
        <v>50</v>
      </c>
      <c r="Y45" s="71">
        <v>119.9826</v>
      </c>
      <c r="Z45" s="71">
        <v>19.24913</v>
      </c>
      <c r="AA45" s="71">
        <v>47.37956</v>
      </c>
      <c r="AB45" s="71">
        <v>50</v>
      </c>
      <c r="AC45" s="71">
        <v>122.4913</v>
      </c>
      <c r="AD45" s="71">
        <v>13.93229</v>
      </c>
      <c r="AE45" s="58">
        <v>18.37023</v>
      </c>
      <c r="AF45" s="58"/>
      <c r="AG45" s="58">
        <v>0</v>
      </c>
      <c r="AH45" s="58">
        <v>0</v>
      </c>
      <c r="AI45" s="58">
        <v>0</v>
      </c>
      <c r="AJ45" s="58">
        <v>60.18157</v>
      </c>
      <c r="AK45" s="58">
        <v>51.97338</v>
      </c>
      <c r="AL45" s="59"/>
      <c r="AM45" s="81"/>
      <c r="AN45" s="72"/>
      <c r="AO45" s="58"/>
      <c r="AP45" s="58"/>
      <c r="AQ45" s="58"/>
      <c r="AR45" s="62"/>
    </row>
    <row r="46" spans="2:44" ht="13.5" customHeight="1" x14ac:dyDescent="0.25">
      <c r="B46" s="14">
        <v>0</v>
      </c>
      <c r="C46" s="54">
        <v>8.025884E-06</v>
      </c>
      <c r="D46" s="54">
        <v>49.94213</v>
      </c>
      <c r="E46" s="54"/>
      <c r="F46" s="54"/>
      <c r="G46" s="54">
        <v>0</v>
      </c>
      <c r="H46" s="54">
        <v>0</v>
      </c>
      <c r="I46" s="54">
        <v>23.65451</v>
      </c>
      <c r="J46" s="54">
        <v>40</v>
      </c>
      <c r="K46" s="54">
        <v>31.84679</v>
      </c>
      <c r="L46" s="54">
        <v>0</v>
      </c>
      <c r="M46" s="54">
        <v>0</v>
      </c>
      <c r="N46" s="54">
        <v>23.73589</v>
      </c>
      <c r="O46" s="54">
        <v>0.05</v>
      </c>
      <c r="P46" s="54">
        <v>0.1486545</v>
      </c>
      <c r="Q46" s="54">
        <v>0.0001532326</v>
      </c>
      <c r="R46" s="54">
        <v>0</v>
      </c>
      <c r="S46" s="54">
        <v>0</v>
      </c>
      <c r="T46" s="54">
        <v>0</v>
      </c>
      <c r="U46" s="71">
        <v>0</v>
      </c>
      <c r="V46" s="79">
        <v>95.3776</v>
      </c>
      <c r="W46" s="80">
        <v>16.93793</v>
      </c>
      <c r="X46" s="71">
        <v>50</v>
      </c>
      <c r="Y46" s="71">
        <v>120.0087</v>
      </c>
      <c r="Z46" s="71">
        <v>19.8622</v>
      </c>
      <c r="AA46" s="71">
        <v>46.56576</v>
      </c>
      <c r="AB46" s="71">
        <v>50</v>
      </c>
      <c r="AC46" s="71">
        <v>121.8663</v>
      </c>
      <c r="AD46" s="71">
        <v>13.91602</v>
      </c>
      <c r="AE46" s="58">
        <v>18.61979</v>
      </c>
      <c r="AF46" s="58"/>
      <c r="AG46" s="58">
        <v>0</v>
      </c>
      <c r="AH46" s="58">
        <v>0</v>
      </c>
      <c r="AI46" s="58">
        <v>0</v>
      </c>
      <c r="AJ46" s="58">
        <v>60.1454</v>
      </c>
      <c r="AK46" s="58">
        <v>51.16609</v>
      </c>
      <c r="AL46" s="59"/>
      <c r="AM46" s="81"/>
      <c r="AN46" s="72"/>
      <c r="AO46" s="58"/>
      <c r="AP46" s="58"/>
      <c r="AQ46" s="58"/>
      <c r="AR46" s="62"/>
    </row>
    <row r="47" spans="2:44" ht="13.5" customHeight="1" x14ac:dyDescent="0.25">
      <c r="B47" s="14">
        <v>0</v>
      </c>
      <c r="C47" s="54">
        <v>0</v>
      </c>
      <c r="D47" s="54">
        <v>49.18258</v>
      </c>
      <c r="E47" s="54"/>
      <c r="F47" s="54"/>
      <c r="G47" s="54">
        <v>0</v>
      </c>
      <c r="H47" s="54">
        <v>0</v>
      </c>
      <c r="I47" s="54">
        <v>23.25665</v>
      </c>
      <c r="J47" s="54">
        <v>40</v>
      </c>
      <c r="K47" s="54">
        <v>31.46701</v>
      </c>
      <c r="L47" s="54">
        <v>0</v>
      </c>
      <c r="M47" s="54">
        <v>0</v>
      </c>
      <c r="N47" s="54">
        <v>23.29282</v>
      </c>
      <c r="O47" s="54">
        <v>0.05</v>
      </c>
      <c r="P47" s="54">
        <v>0.1729601</v>
      </c>
      <c r="Q47" s="54">
        <v>0.0001595612</v>
      </c>
      <c r="R47" s="54">
        <v>0</v>
      </c>
      <c r="S47" s="54">
        <v>0</v>
      </c>
      <c r="T47" s="54">
        <v>0</v>
      </c>
      <c r="U47" s="71">
        <v>0</v>
      </c>
      <c r="V47" s="79">
        <v>93.18938</v>
      </c>
      <c r="W47" s="80">
        <v>16.84028</v>
      </c>
      <c r="X47" s="71">
        <v>50</v>
      </c>
      <c r="Y47" s="71">
        <v>121.0677</v>
      </c>
      <c r="Z47" s="71">
        <v>20.55122</v>
      </c>
      <c r="AA47" s="71">
        <v>45.73026</v>
      </c>
      <c r="AB47" s="71">
        <v>50</v>
      </c>
      <c r="AC47" s="71">
        <v>121.6146</v>
      </c>
      <c r="AD47" s="71">
        <v>13.66645</v>
      </c>
      <c r="AE47" s="58">
        <v>18.47873</v>
      </c>
      <c r="AF47" s="58"/>
      <c r="AG47" s="58">
        <v>0</v>
      </c>
      <c r="AH47" s="58">
        <v>0</v>
      </c>
      <c r="AI47" s="58">
        <v>0</v>
      </c>
      <c r="AJ47" s="58">
        <v>60.12732</v>
      </c>
      <c r="AK47" s="58">
        <v>50.36459</v>
      </c>
      <c r="AL47" s="59"/>
      <c r="AM47" s="81"/>
      <c r="AN47" s="72"/>
      <c r="AO47" s="58"/>
      <c r="AP47" s="58"/>
      <c r="AQ47" s="58"/>
      <c r="AR47" s="62"/>
    </row>
    <row r="48" spans="2:44" ht="13.5" customHeight="1" x14ac:dyDescent="0.25">
      <c r="B48" s="14">
        <v>0</v>
      </c>
      <c r="C48" s="54">
        <v>1.159954E-05</v>
      </c>
      <c r="D48" s="54">
        <v>51.38889</v>
      </c>
      <c r="E48" s="54"/>
      <c r="F48" s="54"/>
      <c r="G48" s="54">
        <v>0</v>
      </c>
      <c r="H48" s="54">
        <v>0</v>
      </c>
      <c r="I48" s="54">
        <v>22.80454</v>
      </c>
      <c r="J48" s="54">
        <v>40</v>
      </c>
      <c r="K48" s="54">
        <v>31.12341</v>
      </c>
      <c r="L48" s="54">
        <v>0</v>
      </c>
      <c r="M48" s="54">
        <v>0</v>
      </c>
      <c r="N48" s="54">
        <v>22.88592</v>
      </c>
      <c r="O48" s="54">
        <v>0.05</v>
      </c>
      <c r="P48" s="54">
        <v>0.1553819</v>
      </c>
      <c r="Q48" s="54">
        <v>0.0001536484</v>
      </c>
      <c r="R48" s="54">
        <v>0</v>
      </c>
      <c r="S48" s="54">
        <v>0</v>
      </c>
      <c r="T48" s="54">
        <v>0</v>
      </c>
      <c r="U48" s="71">
        <v>0</v>
      </c>
      <c r="V48" s="79">
        <v>97.06308</v>
      </c>
      <c r="W48" s="80">
        <v>17.36111</v>
      </c>
      <c r="X48" s="71">
        <v>25</v>
      </c>
      <c r="Y48" s="71">
        <v>59.93924</v>
      </c>
      <c r="Z48" s="71">
        <v>21.52235</v>
      </c>
      <c r="AA48" s="71">
        <v>44.9273</v>
      </c>
      <c r="AB48" s="71">
        <v>25</v>
      </c>
      <c r="AC48" s="71">
        <v>59.67882</v>
      </c>
      <c r="AD48" s="71">
        <v>13.57241</v>
      </c>
      <c r="AE48" s="58">
        <v>18.45161</v>
      </c>
      <c r="AF48" s="58">
        <v>172.6</v>
      </c>
      <c r="AG48" s="58">
        <v>0</v>
      </c>
      <c r="AH48" s="58">
        <v>0</v>
      </c>
      <c r="AI48" s="58">
        <v>0</v>
      </c>
      <c r="AJ48" s="58">
        <v>60.06583</v>
      </c>
      <c r="AK48" s="58">
        <v>49.66725</v>
      </c>
      <c r="AL48" s="59"/>
      <c r="AM48" s="81"/>
      <c r="AN48" s="72"/>
      <c r="AO48" s="58"/>
      <c r="AP48" s="58"/>
      <c r="AQ48" s="58"/>
      <c r="AR48" s="62"/>
    </row>
    <row r="49" spans="2:44" ht="13.5" customHeight="1" x14ac:dyDescent="0.25">
      <c r="B49" s="14">
        <v>0</v>
      </c>
      <c r="C49" s="54">
        <v>0</v>
      </c>
      <c r="D49" s="54">
        <v>57.84143</v>
      </c>
      <c r="E49" s="54"/>
      <c r="F49" s="54"/>
      <c r="G49" s="54">
        <v>0</v>
      </c>
      <c r="H49" s="54">
        <v>0</v>
      </c>
      <c r="I49" s="54">
        <v>22.34339</v>
      </c>
      <c r="J49" s="54">
        <v>40</v>
      </c>
      <c r="K49" s="54">
        <v>31.73828</v>
      </c>
      <c r="L49" s="54">
        <v>0</v>
      </c>
      <c r="M49" s="54">
        <v>0</v>
      </c>
      <c r="N49" s="54">
        <v>22.45189</v>
      </c>
      <c r="O49" s="54">
        <v>0.05</v>
      </c>
      <c r="P49" s="54">
        <v>0.2086227</v>
      </c>
      <c r="Q49" s="54">
        <v>0.000186264</v>
      </c>
      <c r="R49" s="54">
        <v>0</v>
      </c>
      <c r="S49" s="54">
        <v>0</v>
      </c>
      <c r="T49" s="54">
        <v>0</v>
      </c>
      <c r="U49" s="71">
        <v>0</v>
      </c>
      <c r="V49" s="79">
        <v>94.40827</v>
      </c>
      <c r="W49" s="80">
        <v>17.84939</v>
      </c>
      <c r="X49" s="71">
        <v>15</v>
      </c>
      <c r="Y49" s="71">
        <v>35.73351</v>
      </c>
      <c r="Z49" s="71">
        <v>22.16254</v>
      </c>
      <c r="AA49" s="71">
        <v>44.14063</v>
      </c>
      <c r="AB49" s="71">
        <v>15</v>
      </c>
      <c r="AC49" s="71">
        <v>35.01302</v>
      </c>
      <c r="AD49" s="71">
        <v>13.32104</v>
      </c>
      <c r="AE49" s="58">
        <v>18.48416</v>
      </c>
      <c r="AF49" s="58"/>
      <c r="AG49" s="58">
        <v>0</v>
      </c>
      <c r="AH49" s="58">
        <v>0</v>
      </c>
      <c r="AI49" s="58">
        <v>0</v>
      </c>
      <c r="AJ49" s="58">
        <v>60.06583</v>
      </c>
      <c r="AK49" s="58">
        <v>48.94676</v>
      </c>
      <c r="AL49" s="59"/>
      <c r="AM49" s="81"/>
      <c r="AN49" s="72"/>
      <c r="AO49" s="58"/>
      <c r="AP49" s="58"/>
      <c r="AQ49" s="58"/>
      <c r="AR49" s="62"/>
    </row>
    <row r="50" spans="2:44" ht="13.5" customHeight="1" x14ac:dyDescent="0.25">
      <c r="B50" s="14">
        <v>0</v>
      </c>
      <c r="C50" s="54">
        <v>1.911187E-05</v>
      </c>
      <c r="D50" s="54">
        <v>57.16869</v>
      </c>
      <c r="E50" s="54"/>
      <c r="F50" s="54"/>
      <c r="G50" s="54">
        <v>0</v>
      </c>
      <c r="H50" s="54">
        <v>0</v>
      </c>
      <c r="I50" s="54">
        <v>21.90032</v>
      </c>
      <c r="J50" s="54">
        <v>40</v>
      </c>
      <c r="K50" s="54">
        <v>33.35684</v>
      </c>
      <c r="L50" s="54">
        <v>0</v>
      </c>
      <c r="M50" s="54">
        <v>0</v>
      </c>
      <c r="N50" s="54">
        <v>22.06308</v>
      </c>
      <c r="O50" s="54">
        <v>0.05</v>
      </c>
      <c r="P50" s="54">
        <v>0.1271701</v>
      </c>
      <c r="Q50" s="54">
        <v>0.0001401825</v>
      </c>
      <c r="R50" s="54">
        <v>0</v>
      </c>
      <c r="S50" s="54">
        <v>0</v>
      </c>
      <c r="T50" s="54">
        <v>0</v>
      </c>
      <c r="U50" s="71">
        <v>0</v>
      </c>
      <c r="V50" s="79">
        <v>93.35214</v>
      </c>
      <c r="W50" s="80">
        <v>16.49306</v>
      </c>
      <c r="X50" s="71">
        <v>30</v>
      </c>
      <c r="Y50" s="71">
        <v>71.8316</v>
      </c>
      <c r="Z50" s="71">
        <v>22.59115</v>
      </c>
      <c r="AA50" s="71">
        <v>43.38108</v>
      </c>
      <c r="AB50" s="71">
        <v>30</v>
      </c>
      <c r="AC50" s="71">
        <v>72.24827</v>
      </c>
      <c r="AD50" s="71">
        <v>13.19806</v>
      </c>
      <c r="AE50" s="58">
        <v>18.54926</v>
      </c>
      <c r="AF50" s="58"/>
      <c r="AG50" s="58">
        <v>0</v>
      </c>
      <c r="AH50" s="58">
        <v>0</v>
      </c>
      <c r="AI50" s="58">
        <v>0</v>
      </c>
      <c r="AJ50" s="58">
        <v>60.04412</v>
      </c>
      <c r="AK50" s="58">
        <v>48.30729</v>
      </c>
      <c r="AL50" s="59"/>
      <c r="AM50" s="81"/>
      <c r="AN50" s="72"/>
      <c r="AO50" s="58"/>
      <c r="AP50" s="58"/>
      <c r="AQ50" s="58"/>
      <c r="AR50" s="62"/>
    </row>
    <row r="51" spans="2:44" ht="13.5" customHeight="1" x14ac:dyDescent="0.25">
      <c r="B51" s="42">
        <v>0</v>
      </c>
      <c r="C51" s="63">
        <v>2.551079E-07</v>
      </c>
      <c r="D51" s="63">
        <v>54.33304</v>
      </c>
      <c r="E51" s="63"/>
      <c r="F51" s="63"/>
      <c r="G51" s="63">
        <v>0</v>
      </c>
      <c r="H51" s="63">
        <v>0</v>
      </c>
      <c r="I51" s="63">
        <v>21.56576</v>
      </c>
      <c r="J51" s="63">
        <v>40</v>
      </c>
      <c r="K51" s="63">
        <v>35.38231</v>
      </c>
      <c r="L51" s="63">
        <v>0</v>
      </c>
      <c r="M51" s="63">
        <v>0</v>
      </c>
      <c r="N51" s="63">
        <v>22.27105</v>
      </c>
      <c r="O51" s="63">
        <v>0.05</v>
      </c>
      <c r="P51" s="63">
        <v>0.1752749</v>
      </c>
      <c r="Q51" s="63">
        <v>0.0001613541</v>
      </c>
      <c r="R51" s="63">
        <v>0</v>
      </c>
      <c r="S51" s="63">
        <v>0</v>
      </c>
      <c r="T51" s="63">
        <v>0</v>
      </c>
      <c r="U51" s="74">
        <v>0</v>
      </c>
      <c r="V51" s="82">
        <v>96.4048</v>
      </c>
      <c r="W51" s="83">
        <v>16.45327</v>
      </c>
      <c r="X51" s="74">
        <v>50</v>
      </c>
      <c r="Y51" s="74">
        <v>121.7144</v>
      </c>
      <c r="Z51" s="74">
        <v>92.75716</v>
      </c>
      <c r="AA51" s="74">
        <v>101.3129</v>
      </c>
      <c r="AB51" s="74">
        <v>30</v>
      </c>
      <c r="AC51" s="74">
        <v>52.03125</v>
      </c>
      <c r="AD51" s="74">
        <v>13.3355</v>
      </c>
      <c r="AE51" s="67">
        <v>18.50586</v>
      </c>
      <c r="AF51" s="67"/>
      <c r="AG51" s="67">
        <v>0</v>
      </c>
      <c r="AH51" s="67">
        <v>0</v>
      </c>
      <c r="AI51" s="67">
        <v>0</v>
      </c>
      <c r="AJ51" s="67">
        <v>60.06583</v>
      </c>
      <c r="AK51" s="67">
        <v>47.69676</v>
      </c>
      <c r="AL51" s="68"/>
      <c r="AM51" s="84"/>
      <c r="AN51" s="75"/>
      <c r="AO51" s="67"/>
      <c r="AP51" s="67"/>
      <c r="AQ51" s="67"/>
      <c r="AR51" s="78"/>
    </row>
    <row r="52" spans="2:44" ht="13.5" customHeight="1" x14ac:dyDescent="0.25">
      <c r="B52" s="147" t="s">
        <v>372</v>
      </c>
      <c r="C52" s="148"/>
      <c r="D52" s="9" t="s">
        <v>274</v>
      </c>
      <c r="E52" s="124" t="s">
        <v>20</v>
      </c>
      <c r="F52" s="127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  <c r="AN52" s="128"/>
      <c r="AO52" s="129"/>
      <c r="AP52" s="129"/>
      <c r="AQ52" s="129"/>
      <c r="AR52" s="130"/>
    </row>
    <row r="53" spans="2:44" ht="13.5" customHeight="1" x14ac:dyDescent="0.25">
      <c r="B53" s="123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31"/>
      <c r="AP53" s="131"/>
      <c r="AQ53" s="131"/>
      <c r="AR53" s="132"/>
    </row>
    <row r="54" spans="2:44" ht="13.5" customHeight="1" thickBot="1" x14ac:dyDescent="0.3">
      <c r="B54" s="135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  <c r="AD54" s="126"/>
      <c r="AE54" s="126"/>
      <c r="AF54" s="126"/>
      <c r="AG54" s="126"/>
      <c r="AH54" s="126"/>
      <c r="AI54" s="126"/>
      <c r="AJ54" s="126"/>
      <c r="AK54" s="126"/>
      <c r="AL54" s="126"/>
      <c r="AM54" s="126"/>
      <c r="AN54" s="126"/>
      <c r="AO54" s="133"/>
      <c r="AP54" s="133"/>
      <c r="AQ54" s="133"/>
      <c r="AR54" s="134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50" t="s">
        <v>230</v>
      </c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1"/>
      <c r="AF1" s="151"/>
      <c r="AG1" s="151"/>
      <c r="AH1" s="151"/>
      <c r="AI1" s="151"/>
      <c r="AJ1" s="151"/>
      <c r="AK1" s="151"/>
      <c r="AL1" s="151"/>
      <c r="AM1" s="151"/>
      <c r="AN1" s="151"/>
      <c r="AO1" s="151"/>
      <c r="AP1" s="151"/>
      <c r="AQ1" s="151"/>
      <c r="AR1" s="151"/>
      <c r="AS1" s="151"/>
      <c r="AT1" s="151"/>
      <c r="AU1" s="151"/>
      <c r="AV1" s="151"/>
      <c r="AW1" s="151"/>
      <c r="AX1" s="151"/>
      <c r="AY1" s="151"/>
      <c r="AZ1" s="151"/>
      <c r="BA1" s="151"/>
      <c r="BB1" s="151"/>
      <c r="BC1" s="151"/>
      <c r="BD1" s="151"/>
      <c r="BE1" s="151"/>
      <c r="BF1" s="151"/>
    </row>
    <row r="2" spans="2:58" ht="13" customHeight="1" x14ac:dyDescent="0.25">
      <c r="B2" s="197" t="s">
        <v>232</v>
      </c>
      <c r="C2" s="160"/>
      <c r="D2" s="160"/>
      <c r="E2" s="160"/>
      <c r="F2" s="160"/>
      <c r="G2" s="160"/>
      <c r="H2" s="160"/>
      <c r="I2" s="160"/>
      <c r="J2" s="160"/>
      <c r="K2" s="160"/>
      <c r="L2" s="165"/>
      <c r="M2" s="198" t="s">
        <v>231</v>
      </c>
      <c r="N2" s="160"/>
      <c r="O2" s="160"/>
      <c r="P2" s="160"/>
      <c r="Q2" s="160"/>
      <c r="R2" s="160"/>
      <c r="S2" s="160"/>
      <c r="T2" s="160"/>
      <c r="U2" s="160"/>
      <c r="V2" s="160"/>
      <c r="W2" s="165"/>
      <c r="X2" s="110" t="s">
        <v>233</v>
      </c>
      <c r="Y2" s="160"/>
      <c r="Z2" s="160"/>
      <c r="AA2" s="160"/>
      <c r="AB2" s="160"/>
      <c r="AC2" s="160"/>
      <c r="AD2" s="160"/>
      <c r="AE2" s="160"/>
      <c r="AF2" s="160"/>
      <c r="AG2" s="160"/>
      <c r="AH2" s="165"/>
      <c r="AI2" s="198" t="s">
        <v>234</v>
      </c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5"/>
      <c r="AU2" s="110" t="s">
        <v>235</v>
      </c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99"/>
    </row>
    <row r="3" spans="2:58" ht="13" customHeight="1" x14ac:dyDescent="0.25">
      <c r="B3" s="201"/>
      <c r="C3" s="185"/>
      <c r="D3" s="185"/>
      <c r="E3" s="185"/>
      <c r="F3" s="185"/>
      <c r="G3" s="185"/>
      <c r="H3" s="185"/>
      <c r="I3" s="185"/>
      <c r="J3" s="185"/>
      <c r="K3" s="185"/>
      <c r="L3" s="186"/>
      <c r="M3" s="204"/>
      <c r="N3" s="185"/>
      <c r="O3" s="185"/>
      <c r="P3" s="185"/>
      <c r="Q3" s="185"/>
      <c r="R3" s="185"/>
      <c r="S3" s="185"/>
      <c r="T3" s="185"/>
      <c r="U3" s="185"/>
      <c r="V3" s="185"/>
      <c r="W3" s="186"/>
      <c r="X3" s="192"/>
      <c r="Y3" s="185"/>
      <c r="Z3" s="185"/>
      <c r="AA3" s="185"/>
      <c r="AB3" s="185"/>
      <c r="AC3" s="185"/>
      <c r="AD3" s="185"/>
      <c r="AE3" s="185"/>
      <c r="AF3" s="185"/>
      <c r="AG3" s="185"/>
      <c r="AH3" s="186"/>
      <c r="AI3" s="214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6"/>
      <c r="AU3" s="192"/>
      <c r="AV3" s="185"/>
      <c r="AW3" s="185"/>
      <c r="AX3" s="185"/>
      <c r="AY3" s="185"/>
      <c r="AZ3" s="185"/>
      <c r="BA3" s="185"/>
      <c r="BB3" s="185"/>
      <c r="BC3" s="185"/>
      <c r="BD3" s="185"/>
      <c r="BE3" s="185"/>
      <c r="BF3" s="194"/>
    </row>
    <row r="4" spans="2:58" ht="13" customHeight="1" x14ac:dyDescent="0.25">
      <c r="B4" s="202"/>
      <c r="C4" s="188"/>
      <c r="D4" s="188"/>
      <c r="E4" s="188"/>
      <c r="F4" s="188"/>
      <c r="G4" s="188"/>
      <c r="H4" s="188"/>
      <c r="I4" s="188"/>
      <c r="J4" s="188"/>
      <c r="K4" s="188"/>
      <c r="L4" s="189"/>
      <c r="M4" s="187"/>
      <c r="N4" s="188"/>
      <c r="O4" s="188"/>
      <c r="P4" s="188"/>
      <c r="Q4" s="188"/>
      <c r="R4" s="188"/>
      <c r="S4" s="188"/>
      <c r="T4" s="188"/>
      <c r="U4" s="188"/>
      <c r="V4" s="188"/>
      <c r="W4" s="189"/>
      <c r="X4" s="187"/>
      <c r="Y4" s="188"/>
      <c r="Z4" s="188"/>
      <c r="AA4" s="188"/>
      <c r="AB4" s="188"/>
      <c r="AC4" s="188"/>
      <c r="AD4" s="188"/>
      <c r="AE4" s="188"/>
      <c r="AF4" s="188"/>
      <c r="AG4" s="188"/>
      <c r="AH4" s="189"/>
      <c r="AI4" s="187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9"/>
      <c r="AU4" s="187"/>
      <c r="AV4" s="188"/>
      <c r="AW4" s="188"/>
      <c r="AX4" s="188"/>
      <c r="AY4" s="188"/>
      <c r="AZ4" s="188"/>
      <c r="BA4" s="188"/>
      <c r="BB4" s="188"/>
      <c r="BC4" s="188"/>
      <c r="BD4" s="188"/>
      <c r="BE4" s="188"/>
      <c r="BF4" s="195"/>
    </row>
    <row r="5" spans="2:58" ht="13" customHeight="1" x14ac:dyDescent="0.25">
      <c r="B5" s="202"/>
      <c r="C5" s="188"/>
      <c r="D5" s="188"/>
      <c r="E5" s="188"/>
      <c r="F5" s="188"/>
      <c r="G5" s="188"/>
      <c r="H5" s="188"/>
      <c r="I5" s="188"/>
      <c r="J5" s="188"/>
      <c r="K5" s="188"/>
      <c r="L5" s="189"/>
      <c r="M5" s="187"/>
      <c r="N5" s="188"/>
      <c r="O5" s="188"/>
      <c r="P5" s="188"/>
      <c r="Q5" s="188"/>
      <c r="R5" s="188"/>
      <c r="S5" s="188"/>
      <c r="T5" s="188"/>
      <c r="U5" s="188"/>
      <c r="V5" s="188"/>
      <c r="W5" s="189"/>
      <c r="X5" s="187"/>
      <c r="Y5" s="188"/>
      <c r="Z5" s="188"/>
      <c r="AA5" s="188"/>
      <c r="AB5" s="188"/>
      <c r="AC5" s="188"/>
      <c r="AD5" s="188"/>
      <c r="AE5" s="188"/>
      <c r="AF5" s="188"/>
      <c r="AG5" s="188"/>
      <c r="AH5" s="189"/>
      <c r="AI5" s="187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9"/>
      <c r="AU5" s="187"/>
      <c r="AV5" s="188"/>
      <c r="AW5" s="188"/>
      <c r="AX5" s="188"/>
      <c r="AY5" s="188"/>
      <c r="AZ5" s="188"/>
      <c r="BA5" s="188"/>
      <c r="BB5" s="188"/>
      <c r="BC5" s="188"/>
      <c r="BD5" s="188"/>
      <c r="BE5" s="188"/>
      <c r="BF5" s="195"/>
    </row>
    <row r="6" spans="2:58" ht="13" customHeight="1" x14ac:dyDescent="0.25">
      <c r="B6" s="202"/>
      <c r="C6" s="188"/>
      <c r="D6" s="188"/>
      <c r="E6" s="188"/>
      <c r="F6" s="188"/>
      <c r="G6" s="188"/>
      <c r="H6" s="188"/>
      <c r="I6" s="188"/>
      <c r="J6" s="188"/>
      <c r="K6" s="188"/>
      <c r="L6" s="189"/>
      <c r="M6" s="187"/>
      <c r="N6" s="188"/>
      <c r="O6" s="188"/>
      <c r="P6" s="188"/>
      <c r="Q6" s="188"/>
      <c r="R6" s="188"/>
      <c r="S6" s="188"/>
      <c r="T6" s="188"/>
      <c r="U6" s="188"/>
      <c r="V6" s="188"/>
      <c r="W6" s="189"/>
      <c r="X6" s="187"/>
      <c r="Y6" s="188"/>
      <c r="Z6" s="188"/>
      <c r="AA6" s="188"/>
      <c r="AB6" s="188"/>
      <c r="AC6" s="188"/>
      <c r="AD6" s="188"/>
      <c r="AE6" s="188"/>
      <c r="AF6" s="188"/>
      <c r="AG6" s="188"/>
      <c r="AH6" s="189"/>
      <c r="AI6" s="187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9"/>
      <c r="AU6" s="187"/>
      <c r="AV6" s="188"/>
      <c r="AW6" s="188"/>
      <c r="AX6" s="188"/>
      <c r="AY6" s="188"/>
      <c r="AZ6" s="188"/>
      <c r="BA6" s="188"/>
      <c r="BB6" s="188"/>
      <c r="BC6" s="188"/>
      <c r="BD6" s="188"/>
      <c r="BE6" s="188"/>
      <c r="BF6" s="195"/>
    </row>
    <row r="7" spans="2:58" ht="13" customHeight="1" x14ac:dyDescent="0.25">
      <c r="B7" s="202"/>
      <c r="C7" s="188"/>
      <c r="D7" s="188"/>
      <c r="E7" s="188"/>
      <c r="F7" s="188"/>
      <c r="G7" s="188"/>
      <c r="H7" s="188"/>
      <c r="I7" s="188"/>
      <c r="J7" s="188"/>
      <c r="K7" s="188"/>
      <c r="L7" s="189"/>
      <c r="M7" s="187"/>
      <c r="N7" s="188"/>
      <c r="O7" s="188"/>
      <c r="P7" s="188"/>
      <c r="Q7" s="188"/>
      <c r="R7" s="188"/>
      <c r="S7" s="188"/>
      <c r="T7" s="188"/>
      <c r="U7" s="188"/>
      <c r="V7" s="188"/>
      <c r="W7" s="189"/>
      <c r="X7" s="187"/>
      <c r="Y7" s="188"/>
      <c r="Z7" s="188"/>
      <c r="AA7" s="188"/>
      <c r="AB7" s="188"/>
      <c r="AC7" s="188"/>
      <c r="AD7" s="188"/>
      <c r="AE7" s="188"/>
      <c r="AF7" s="188"/>
      <c r="AG7" s="188"/>
      <c r="AH7" s="189"/>
      <c r="AI7" s="187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9"/>
      <c r="AU7" s="187"/>
      <c r="AV7" s="188"/>
      <c r="AW7" s="188"/>
      <c r="AX7" s="188"/>
      <c r="AY7" s="188"/>
      <c r="AZ7" s="188"/>
      <c r="BA7" s="188"/>
      <c r="BB7" s="188"/>
      <c r="BC7" s="188"/>
      <c r="BD7" s="188"/>
      <c r="BE7" s="188"/>
      <c r="BF7" s="195"/>
    </row>
    <row r="8" spans="2:58" ht="13" customHeight="1" x14ac:dyDescent="0.25">
      <c r="B8" s="202"/>
      <c r="C8" s="188"/>
      <c r="D8" s="188"/>
      <c r="E8" s="188"/>
      <c r="F8" s="188"/>
      <c r="G8" s="188"/>
      <c r="H8" s="188"/>
      <c r="I8" s="188"/>
      <c r="J8" s="188"/>
      <c r="K8" s="188"/>
      <c r="L8" s="189"/>
      <c r="M8" s="187"/>
      <c r="N8" s="188"/>
      <c r="O8" s="188"/>
      <c r="P8" s="188"/>
      <c r="Q8" s="188"/>
      <c r="R8" s="188"/>
      <c r="S8" s="188"/>
      <c r="T8" s="188"/>
      <c r="U8" s="188"/>
      <c r="V8" s="188"/>
      <c r="W8" s="189"/>
      <c r="X8" s="187"/>
      <c r="Y8" s="188"/>
      <c r="Z8" s="188"/>
      <c r="AA8" s="188"/>
      <c r="AB8" s="188"/>
      <c r="AC8" s="188"/>
      <c r="AD8" s="188"/>
      <c r="AE8" s="188"/>
      <c r="AF8" s="188"/>
      <c r="AG8" s="188"/>
      <c r="AH8" s="189"/>
      <c r="AI8" s="187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9"/>
      <c r="AU8" s="187"/>
      <c r="AV8" s="188"/>
      <c r="AW8" s="188"/>
      <c r="AX8" s="188"/>
      <c r="AY8" s="188"/>
      <c r="AZ8" s="188"/>
      <c r="BA8" s="188"/>
      <c r="BB8" s="188"/>
      <c r="BC8" s="188"/>
      <c r="BD8" s="188"/>
      <c r="BE8" s="188"/>
      <c r="BF8" s="195"/>
    </row>
    <row r="9" spans="2:58" ht="13" customHeight="1" x14ac:dyDescent="0.25">
      <c r="B9" s="203"/>
      <c r="C9" s="191"/>
      <c r="D9" s="191"/>
      <c r="E9" s="191"/>
      <c r="F9" s="191"/>
      <c r="G9" s="191"/>
      <c r="H9" s="191"/>
      <c r="I9" s="191"/>
      <c r="J9" s="191"/>
      <c r="K9" s="191"/>
      <c r="L9" s="148"/>
      <c r="M9" s="190"/>
      <c r="N9" s="191"/>
      <c r="O9" s="191"/>
      <c r="P9" s="191"/>
      <c r="Q9" s="191"/>
      <c r="R9" s="191"/>
      <c r="S9" s="191"/>
      <c r="T9" s="191"/>
      <c r="U9" s="191"/>
      <c r="V9" s="191"/>
      <c r="W9" s="148"/>
      <c r="X9" s="190"/>
      <c r="Y9" s="191"/>
      <c r="Z9" s="191"/>
      <c r="AA9" s="191"/>
      <c r="AB9" s="191"/>
      <c r="AC9" s="191"/>
      <c r="AD9" s="191"/>
      <c r="AE9" s="191"/>
      <c r="AF9" s="191"/>
      <c r="AG9" s="191"/>
      <c r="AH9" s="148"/>
      <c r="AI9" s="190"/>
      <c r="AJ9" s="191"/>
      <c r="AK9" s="191"/>
      <c r="AL9" s="191"/>
      <c r="AM9" s="191"/>
      <c r="AN9" s="191"/>
      <c r="AO9" s="191"/>
      <c r="AP9" s="191"/>
      <c r="AQ9" s="191"/>
      <c r="AR9" s="191"/>
      <c r="AS9" s="191"/>
      <c r="AT9" s="148"/>
      <c r="AU9" s="190"/>
      <c r="AV9" s="191"/>
      <c r="AW9" s="191"/>
      <c r="AX9" s="191"/>
      <c r="AY9" s="191"/>
      <c r="AZ9" s="191"/>
      <c r="BA9" s="191"/>
      <c r="BB9" s="191"/>
      <c r="BC9" s="191"/>
      <c r="BD9" s="191"/>
      <c r="BE9" s="191"/>
      <c r="BF9" s="196"/>
    </row>
    <row r="10" spans="2:58" ht="13" customHeight="1" x14ac:dyDescent="0.25">
      <c r="B10" s="180" t="s">
        <v>236</v>
      </c>
      <c r="C10" s="178"/>
      <c r="D10" s="178"/>
      <c r="E10" s="178"/>
      <c r="F10" s="178"/>
      <c r="G10" s="178"/>
      <c r="H10" s="178"/>
      <c r="I10" s="178"/>
      <c r="J10" s="178"/>
      <c r="K10" s="178"/>
      <c r="L10" s="149"/>
      <c r="M10" s="200" t="s">
        <v>237</v>
      </c>
      <c r="N10" s="178"/>
      <c r="O10" s="178"/>
      <c r="P10" s="178"/>
      <c r="Q10" s="178"/>
      <c r="R10" s="178"/>
      <c r="S10" s="178"/>
      <c r="T10" s="178"/>
      <c r="U10" s="178"/>
      <c r="V10" s="178"/>
      <c r="W10" s="149"/>
      <c r="X10" s="155" t="s">
        <v>238</v>
      </c>
      <c r="Y10" s="178"/>
      <c r="Z10" s="178"/>
      <c r="AA10" s="178"/>
      <c r="AB10" s="178"/>
      <c r="AC10" s="178"/>
      <c r="AD10" s="178"/>
      <c r="AE10" s="178"/>
      <c r="AF10" s="178"/>
      <c r="AG10" s="178"/>
      <c r="AH10" s="149"/>
      <c r="AI10" s="155" t="s">
        <v>239</v>
      </c>
      <c r="AJ10" s="178"/>
      <c r="AK10" s="178"/>
      <c r="AL10" s="178"/>
      <c r="AM10" s="178"/>
      <c r="AN10" s="178"/>
      <c r="AO10" s="178"/>
      <c r="AP10" s="178"/>
      <c r="AQ10" s="178"/>
      <c r="AR10" s="178"/>
      <c r="AS10" s="178"/>
      <c r="AT10" s="149"/>
      <c r="AU10" s="131" t="s">
        <v>240</v>
      </c>
      <c r="AV10" s="178"/>
      <c r="AW10" s="178"/>
      <c r="AX10" s="178"/>
      <c r="AY10" s="178"/>
      <c r="AZ10" s="178"/>
      <c r="BA10" s="178"/>
      <c r="BB10" s="178"/>
      <c r="BC10" s="178"/>
      <c r="BD10" s="178"/>
      <c r="BE10" s="178"/>
      <c r="BF10" s="182"/>
    </row>
    <row r="11" spans="2:58" ht="13" customHeight="1" x14ac:dyDescent="0.25">
      <c r="B11" s="201"/>
      <c r="C11" s="185"/>
      <c r="D11" s="185"/>
      <c r="E11" s="185"/>
      <c r="F11" s="185"/>
      <c r="G11" s="185"/>
      <c r="H11" s="185"/>
      <c r="I11" s="185"/>
      <c r="J11" s="185"/>
      <c r="K11" s="185"/>
      <c r="L11" s="186"/>
      <c r="M11" s="204"/>
      <c r="N11" s="185"/>
      <c r="O11" s="185"/>
      <c r="P11" s="185"/>
      <c r="Q11" s="185"/>
      <c r="R11" s="185"/>
      <c r="S11" s="185"/>
      <c r="T11" s="185"/>
      <c r="U11" s="185"/>
      <c r="V11" s="185"/>
      <c r="W11" s="186"/>
      <c r="X11" s="204"/>
      <c r="Y11" s="185"/>
      <c r="Z11" s="185"/>
      <c r="AA11" s="185"/>
      <c r="AB11" s="185"/>
      <c r="AC11" s="185"/>
      <c r="AD11" s="185"/>
      <c r="AE11" s="185"/>
      <c r="AF11" s="185"/>
      <c r="AG11" s="185"/>
      <c r="AH11" s="186"/>
      <c r="AI11" s="204"/>
      <c r="AJ11" s="185"/>
      <c r="AK11" s="185"/>
      <c r="AL11" s="185"/>
      <c r="AM11" s="185"/>
      <c r="AN11" s="185"/>
      <c r="AO11" s="185"/>
      <c r="AP11" s="185"/>
      <c r="AQ11" s="185"/>
      <c r="AR11" s="185"/>
      <c r="AS11" s="185"/>
      <c r="AT11" s="186"/>
      <c r="AU11" s="193"/>
      <c r="AV11" s="185"/>
      <c r="AW11" s="185"/>
      <c r="AX11" s="185"/>
      <c r="AY11" s="185"/>
      <c r="AZ11" s="185"/>
      <c r="BA11" s="185"/>
      <c r="BB11" s="185"/>
      <c r="BC11" s="185"/>
      <c r="BD11" s="185"/>
      <c r="BE11" s="185"/>
      <c r="BF11" s="194"/>
    </row>
    <row r="12" spans="2:58" ht="13" customHeight="1" x14ac:dyDescent="0.25">
      <c r="B12" s="202"/>
      <c r="C12" s="188"/>
      <c r="D12" s="188"/>
      <c r="E12" s="188"/>
      <c r="F12" s="188"/>
      <c r="G12" s="188"/>
      <c r="H12" s="188"/>
      <c r="I12" s="188"/>
      <c r="J12" s="188"/>
      <c r="K12" s="188"/>
      <c r="L12" s="189"/>
      <c r="M12" s="187"/>
      <c r="N12" s="188"/>
      <c r="O12" s="188"/>
      <c r="P12" s="188"/>
      <c r="Q12" s="188"/>
      <c r="R12" s="188"/>
      <c r="S12" s="188"/>
      <c r="T12" s="188"/>
      <c r="U12" s="188"/>
      <c r="V12" s="188"/>
      <c r="W12" s="189"/>
      <c r="X12" s="187"/>
      <c r="Y12" s="188"/>
      <c r="Z12" s="188"/>
      <c r="AA12" s="188"/>
      <c r="AB12" s="188"/>
      <c r="AC12" s="188"/>
      <c r="AD12" s="188"/>
      <c r="AE12" s="188"/>
      <c r="AF12" s="188"/>
      <c r="AG12" s="188"/>
      <c r="AH12" s="189"/>
      <c r="AI12" s="187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9"/>
      <c r="AU12" s="187"/>
      <c r="AV12" s="188"/>
      <c r="AW12" s="188"/>
      <c r="AX12" s="188"/>
      <c r="AY12" s="188"/>
      <c r="AZ12" s="188"/>
      <c r="BA12" s="188"/>
      <c r="BB12" s="188"/>
      <c r="BC12" s="188"/>
      <c r="BD12" s="188"/>
      <c r="BE12" s="188"/>
      <c r="BF12" s="195"/>
    </row>
    <row r="13" spans="2:58" ht="13" customHeight="1" x14ac:dyDescent="0.25">
      <c r="B13" s="202"/>
      <c r="C13" s="188"/>
      <c r="D13" s="188"/>
      <c r="E13" s="188"/>
      <c r="F13" s="188"/>
      <c r="G13" s="188"/>
      <c r="H13" s="188"/>
      <c r="I13" s="188"/>
      <c r="J13" s="188"/>
      <c r="K13" s="188"/>
      <c r="L13" s="189"/>
      <c r="M13" s="187"/>
      <c r="N13" s="188"/>
      <c r="O13" s="188"/>
      <c r="P13" s="188"/>
      <c r="Q13" s="188"/>
      <c r="R13" s="188"/>
      <c r="S13" s="188"/>
      <c r="T13" s="188"/>
      <c r="U13" s="188"/>
      <c r="V13" s="188"/>
      <c r="W13" s="189"/>
      <c r="X13" s="187"/>
      <c r="Y13" s="188"/>
      <c r="Z13" s="188"/>
      <c r="AA13" s="188"/>
      <c r="AB13" s="188"/>
      <c r="AC13" s="188"/>
      <c r="AD13" s="188"/>
      <c r="AE13" s="188"/>
      <c r="AF13" s="188"/>
      <c r="AG13" s="188"/>
      <c r="AH13" s="189"/>
      <c r="AI13" s="187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9"/>
      <c r="AU13" s="187"/>
      <c r="AV13" s="188"/>
      <c r="AW13" s="188"/>
      <c r="AX13" s="188"/>
      <c r="AY13" s="188"/>
      <c r="AZ13" s="188"/>
      <c r="BA13" s="188"/>
      <c r="BB13" s="188"/>
      <c r="BC13" s="188"/>
      <c r="BD13" s="188"/>
      <c r="BE13" s="188"/>
      <c r="BF13" s="195"/>
    </row>
    <row r="14" spans="2:58" ht="13" customHeight="1" x14ac:dyDescent="0.25">
      <c r="B14" s="202"/>
      <c r="C14" s="188"/>
      <c r="D14" s="188"/>
      <c r="E14" s="188"/>
      <c r="F14" s="188"/>
      <c r="G14" s="188"/>
      <c r="H14" s="188"/>
      <c r="I14" s="188"/>
      <c r="J14" s="188"/>
      <c r="K14" s="188"/>
      <c r="L14" s="189"/>
      <c r="M14" s="187"/>
      <c r="N14" s="188"/>
      <c r="O14" s="188"/>
      <c r="P14" s="188"/>
      <c r="Q14" s="188"/>
      <c r="R14" s="188"/>
      <c r="S14" s="188"/>
      <c r="T14" s="188"/>
      <c r="U14" s="188"/>
      <c r="V14" s="188"/>
      <c r="W14" s="189"/>
      <c r="X14" s="187"/>
      <c r="Y14" s="188"/>
      <c r="Z14" s="188"/>
      <c r="AA14" s="188"/>
      <c r="AB14" s="188"/>
      <c r="AC14" s="188"/>
      <c r="AD14" s="188"/>
      <c r="AE14" s="188"/>
      <c r="AF14" s="188"/>
      <c r="AG14" s="188"/>
      <c r="AH14" s="189"/>
      <c r="AI14" s="187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9"/>
      <c r="AU14" s="187"/>
      <c r="AV14" s="188"/>
      <c r="AW14" s="188"/>
      <c r="AX14" s="188"/>
      <c r="AY14" s="188"/>
      <c r="AZ14" s="188"/>
      <c r="BA14" s="188"/>
      <c r="BB14" s="188"/>
      <c r="BC14" s="188"/>
      <c r="BD14" s="188"/>
      <c r="BE14" s="188"/>
      <c r="BF14" s="195"/>
    </row>
    <row r="15" spans="2:58" ht="13" customHeight="1" x14ac:dyDescent="0.25">
      <c r="B15" s="202"/>
      <c r="C15" s="188"/>
      <c r="D15" s="188"/>
      <c r="E15" s="188"/>
      <c r="F15" s="188"/>
      <c r="G15" s="188"/>
      <c r="H15" s="188"/>
      <c r="I15" s="188"/>
      <c r="J15" s="188"/>
      <c r="K15" s="188"/>
      <c r="L15" s="189"/>
      <c r="M15" s="187"/>
      <c r="N15" s="188"/>
      <c r="O15" s="188"/>
      <c r="P15" s="188"/>
      <c r="Q15" s="188"/>
      <c r="R15" s="188"/>
      <c r="S15" s="188"/>
      <c r="T15" s="188"/>
      <c r="U15" s="188"/>
      <c r="V15" s="188"/>
      <c r="W15" s="189"/>
      <c r="X15" s="187"/>
      <c r="Y15" s="188"/>
      <c r="Z15" s="188"/>
      <c r="AA15" s="188"/>
      <c r="AB15" s="188"/>
      <c r="AC15" s="188"/>
      <c r="AD15" s="188"/>
      <c r="AE15" s="188"/>
      <c r="AF15" s="188"/>
      <c r="AG15" s="188"/>
      <c r="AH15" s="189"/>
      <c r="AI15" s="187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9"/>
      <c r="AU15" s="187"/>
      <c r="AV15" s="188"/>
      <c r="AW15" s="188"/>
      <c r="AX15" s="188"/>
      <c r="AY15" s="188"/>
      <c r="AZ15" s="188"/>
      <c r="BA15" s="188"/>
      <c r="BB15" s="188"/>
      <c r="BC15" s="188"/>
      <c r="BD15" s="188"/>
      <c r="BE15" s="188"/>
      <c r="BF15" s="195"/>
    </row>
    <row r="16" spans="2:58" ht="13" customHeight="1" x14ac:dyDescent="0.25">
      <c r="B16" s="202"/>
      <c r="C16" s="188"/>
      <c r="D16" s="188"/>
      <c r="E16" s="188"/>
      <c r="F16" s="188"/>
      <c r="G16" s="188"/>
      <c r="H16" s="188"/>
      <c r="I16" s="188"/>
      <c r="J16" s="188"/>
      <c r="K16" s="188"/>
      <c r="L16" s="189"/>
      <c r="M16" s="187"/>
      <c r="N16" s="188"/>
      <c r="O16" s="188"/>
      <c r="P16" s="188"/>
      <c r="Q16" s="188"/>
      <c r="R16" s="188"/>
      <c r="S16" s="188"/>
      <c r="T16" s="188"/>
      <c r="U16" s="188"/>
      <c r="V16" s="188"/>
      <c r="W16" s="189"/>
      <c r="X16" s="187"/>
      <c r="Y16" s="188"/>
      <c r="Z16" s="188"/>
      <c r="AA16" s="188"/>
      <c r="AB16" s="188"/>
      <c r="AC16" s="188"/>
      <c r="AD16" s="188"/>
      <c r="AE16" s="188"/>
      <c r="AF16" s="188"/>
      <c r="AG16" s="188"/>
      <c r="AH16" s="189"/>
      <c r="AI16" s="187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9"/>
      <c r="AU16" s="187"/>
      <c r="AV16" s="188"/>
      <c r="AW16" s="188"/>
      <c r="AX16" s="188"/>
      <c r="AY16" s="188"/>
      <c r="AZ16" s="188"/>
      <c r="BA16" s="188"/>
      <c r="BB16" s="188"/>
      <c r="BC16" s="188"/>
      <c r="BD16" s="188"/>
      <c r="BE16" s="188"/>
      <c r="BF16" s="195"/>
    </row>
    <row r="17" spans="2:58" ht="13" customHeight="1" x14ac:dyDescent="0.25">
      <c r="B17" s="203"/>
      <c r="C17" s="191"/>
      <c r="D17" s="191"/>
      <c r="E17" s="191"/>
      <c r="F17" s="191"/>
      <c r="G17" s="191"/>
      <c r="H17" s="191"/>
      <c r="I17" s="191"/>
      <c r="J17" s="191"/>
      <c r="K17" s="191"/>
      <c r="L17" s="148"/>
      <c r="M17" s="190"/>
      <c r="N17" s="191"/>
      <c r="O17" s="191"/>
      <c r="P17" s="191"/>
      <c r="Q17" s="191"/>
      <c r="R17" s="191"/>
      <c r="S17" s="191"/>
      <c r="T17" s="191"/>
      <c r="U17" s="191"/>
      <c r="V17" s="191"/>
      <c r="W17" s="148"/>
      <c r="X17" s="190"/>
      <c r="Y17" s="191"/>
      <c r="Z17" s="191"/>
      <c r="AA17" s="191"/>
      <c r="AB17" s="191"/>
      <c r="AC17" s="191"/>
      <c r="AD17" s="191"/>
      <c r="AE17" s="191"/>
      <c r="AF17" s="191"/>
      <c r="AG17" s="191"/>
      <c r="AH17" s="148"/>
      <c r="AI17" s="190"/>
      <c r="AJ17" s="191"/>
      <c r="AK17" s="191"/>
      <c r="AL17" s="191"/>
      <c r="AM17" s="191"/>
      <c r="AN17" s="191"/>
      <c r="AO17" s="191"/>
      <c r="AP17" s="191"/>
      <c r="AQ17" s="191"/>
      <c r="AR17" s="191"/>
      <c r="AS17" s="191"/>
      <c r="AT17" s="148"/>
      <c r="AU17" s="190"/>
      <c r="AV17" s="191"/>
      <c r="AW17" s="191"/>
      <c r="AX17" s="191"/>
      <c r="AY17" s="191"/>
      <c r="AZ17" s="191"/>
      <c r="BA17" s="191"/>
      <c r="BB17" s="191"/>
      <c r="BC17" s="191"/>
      <c r="BD17" s="191"/>
      <c r="BE17" s="191"/>
      <c r="BF17" s="196"/>
    </row>
    <row r="18" spans="2:58" ht="13" customHeight="1" x14ac:dyDescent="0.25">
      <c r="B18" s="180" t="s">
        <v>241</v>
      </c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213" t="s">
        <v>242</v>
      </c>
      <c r="N18" s="178"/>
      <c r="O18" s="178"/>
      <c r="P18" s="178"/>
      <c r="Q18" s="178"/>
      <c r="R18" s="178"/>
      <c r="S18" s="178"/>
      <c r="T18" s="178"/>
      <c r="U18" s="178"/>
      <c r="V18" s="178"/>
      <c r="W18" s="149"/>
      <c r="X18" s="212" t="s">
        <v>243</v>
      </c>
      <c r="Y18" s="178"/>
      <c r="Z18" s="178"/>
      <c r="AA18" s="178"/>
      <c r="AB18" s="178"/>
      <c r="AC18" s="178"/>
      <c r="AD18" s="178"/>
      <c r="AE18" s="178"/>
      <c r="AF18" s="178"/>
      <c r="AG18" s="178"/>
      <c r="AH18" s="149"/>
      <c r="AI18" s="117" t="s">
        <v>244</v>
      </c>
      <c r="AJ18" s="178"/>
      <c r="AK18" s="178"/>
      <c r="AL18" s="178"/>
      <c r="AM18" s="178"/>
      <c r="AN18" s="178"/>
      <c r="AO18" s="178"/>
      <c r="AP18" s="178"/>
      <c r="AQ18" s="178"/>
      <c r="AR18" s="178"/>
      <c r="AS18" s="178"/>
      <c r="AT18" s="149"/>
      <c r="AU18" s="131" t="s">
        <v>245</v>
      </c>
      <c r="AV18" s="178"/>
      <c r="AW18" s="178"/>
      <c r="AX18" s="178"/>
      <c r="AY18" s="178"/>
      <c r="AZ18" s="178"/>
      <c r="BA18" s="178"/>
      <c r="BB18" s="178"/>
      <c r="BC18" s="178"/>
      <c r="BD18" s="178"/>
      <c r="BE18" s="178"/>
      <c r="BF18" s="182"/>
    </row>
    <row r="19" spans="2:58" ht="13" customHeight="1" x14ac:dyDescent="0.25">
      <c r="B19" s="201"/>
      <c r="C19" s="185"/>
      <c r="D19" s="185"/>
      <c r="E19" s="185"/>
      <c r="F19" s="185"/>
      <c r="G19" s="185"/>
      <c r="H19" s="185"/>
      <c r="I19" s="185"/>
      <c r="J19" s="185"/>
      <c r="K19" s="185"/>
      <c r="L19" s="186"/>
      <c r="M19" s="215"/>
      <c r="N19" s="185"/>
      <c r="O19" s="185"/>
      <c r="P19" s="185"/>
      <c r="Q19" s="185"/>
      <c r="R19" s="185"/>
      <c r="S19" s="185"/>
      <c r="T19" s="185"/>
      <c r="U19" s="185"/>
      <c r="V19" s="185"/>
      <c r="W19" s="186"/>
      <c r="X19" s="184"/>
      <c r="Y19" s="185"/>
      <c r="Z19" s="185"/>
      <c r="AA19" s="185"/>
      <c r="AB19" s="185"/>
      <c r="AC19" s="185"/>
      <c r="AD19" s="185"/>
      <c r="AE19" s="185"/>
      <c r="AF19" s="185"/>
      <c r="AG19" s="185"/>
      <c r="AH19" s="186"/>
      <c r="AI19" s="192"/>
      <c r="AJ19" s="185"/>
      <c r="AK19" s="185"/>
      <c r="AL19" s="185"/>
      <c r="AM19" s="185"/>
      <c r="AN19" s="185"/>
      <c r="AO19" s="185"/>
      <c r="AP19" s="185"/>
      <c r="AQ19" s="185"/>
      <c r="AR19" s="185"/>
      <c r="AS19" s="185"/>
      <c r="AT19" s="186"/>
      <c r="AU19" s="193"/>
      <c r="AV19" s="185"/>
      <c r="AW19" s="185"/>
      <c r="AX19" s="185"/>
      <c r="AY19" s="185"/>
      <c r="AZ19" s="185"/>
      <c r="BA19" s="185"/>
      <c r="BB19" s="185"/>
      <c r="BC19" s="185"/>
      <c r="BD19" s="185"/>
      <c r="BE19" s="185"/>
      <c r="BF19" s="194"/>
    </row>
    <row r="20" spans="2:58" ht="13" customHeight="1" x14ac:dyDescent="0.25">
      <c r="B20" s="202"/>
      <c r="C20" s="188"/>
      <c r="D20" s="188"/>
      <c r="E20" s="188"/>
      <c r="F20" s="188"/>
      <c r="G20" s="188"/>
      <c r="H20" s="188"/>
      <c r="I20" s="188"/>
      <c r="J20" s="188"/>
      <c r="K20" s="188"/>
      <c r="L20" s="189"/>
      <c r="M20" s="187"/>
      <c r="N20" s="188"/>
      <c r="O20" s="188"/>
      <c r="P20" s="188"/>
      <c r="Q20" s="188"/>
      <c r="R20" s="188"/>
      <c r="S20" s="188"/>
      <c r="T20" s="188"/>
      <c r="U20" s="188"/>
      <c r="V20" s="188"/>
      <c r="W20" s="189"/>
      <c r="X20" s="187"/>
      <c r="Y20" s="188"/>
      <c r="Z20" s="188"/>
      <c r="AA20" s="188"/>
      <c r="AB20" s="188"/>
      <c r="AC20" s="188"/>
      <c r="AD20" s="188"/>
      <c r="AE20" s="188"/>
      <c r="AF20" s="188"/>
      <c r="AG20" s="188"/>
      <c r="AH20" s="189"/>
      <c r="AI20" s="187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9"/>
      <c r="AU20" s="187"/>
      <c r="AV20" s="188"/>
      <c r="AW20" s="188"/>
      <c r="AX20" s="188"/>
      <c r="AY20" s="188"/>
      <c r="AZ20" s="188"/>
      <c r="BA20" s="188"/>
      <c r="BB20" s="188"/>
      <c r="BC20" s="188"/>
      <c r="BD20" s="188"/>
      <c r="BE20" s="188"/>
      <c r="BF20" s="195"/>
    </row>
    <row r="21" spans="2:58" ht="13" customHeight="1" x14ac:dyDescent="0.25">
      <c r="B21" s="202"/>
      <c r="C21" s="188"/>
      <c r="D21" s="188"/>
      <c r="E21" s="188"/>
      <c r="F21" s="188"/>
      <c r="G21" s="188"/>
      <c r="H21" s="188"/>
      <c r="I21" s="188"/>
      <c r="J21" s="188"/>
      <c r="K21" s="188"/>
      <c r="L21" s="189"/>
      <c r="M21" s="187"/>
      <c r="N21" s="188"/>
      <c r="O21" s="188"/>
      <c r="P21" s="188"/>
      <c r="Q21" s="188"/>
      <c r="R21" s="188"/>
      <c r="S21" s="188"/>
      <c r="T21" s="188"/>
      <c r="U21" s="188"/>
      <c r="V21" s="188"/>
      <c r="W21" s="189"/>
      <c r="X21" s="187"/>
      <c r="Y21" s="188"/>
      <c r="Z21" s="188"/>
      <c r="AA21" s="188"/>
      <c r="AB21" s="188"/>
      <c r="AC21" s="188"/>
      <c r="AD21" s="188"/>
      <c r="AE21" s="188"/>
      <c r="AF21" s="188"/>
      <c r="AG21" s="188"/>
      <c r="AH21" s="189"/>
      <c r="AI21" s="187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9"/>
      <c r="AU21" s="187"/>
      <c r="AV21" s="188"/>
      <c r="AW21" s="188"/>
      <c r="AX21" s="188"/>
      <c r="AY21" s="188"/>
      <c r="AZ21" s="188"/>
      <c r="BA21" s="188"/>
      <c r="BB21" s="188"/>
      <c r="BC21" s="188"/>
      <c r="BD21" s="188"/>
      <c r="BE21" s="188"/>
      <c r="BF21" s="195"/>
    </row>
    <row r="22" spans="2:58" ht="13" customHeight="1" x14ac:dyDescent="0.25">
      <c r="B22" s="202"/>
      <c r="C22" s="188"/>
      <c r="D22" s="188"/>
      <c r="E22" s="188"/>
      <c r="F22" s="188"/>
      <c r="G22" s="188"/>
      <c r="H22" s="188"/>
      <c r="I22" s="188"/>
      <c r="J22" s="188"/>
      <c r="K22" s="188"/>
      <c r="L22" s="189"/>
      <c r="M22" s="187"/>
      <c r="N22" s="188"/>
      <c r="O22" s="188"/>
      <c r="P22" s="188"/>
      <c r="Q22" s="188"/>
      <c r="R22" s="188"/>
      <c r="S22" s="188"/>
      <c r="T22" s="188"/>
      <c r="U22" s="188"/>
      <c r="V22" s="188"/>
      <c r="W22" s="189"/>
      <c r="X22" s="187"/>
      <c r="Y22" s="188"/>
      <c r="Z22" s="188"/>
      <c r="AA22" s="188"/>
      <c r="AB22" s="188"/>
      <c r="AC22" s="188"/>
      <c r="AD22" s="188"/>
      <c r="AE22" s="188"/>
      <c r="AF22" s="188"/>
      <c r="AG22" s="188"/>
      <c r="AH22" s="189"/>
      <c r="AI22" s="187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9"/>
      <c r="AU22" s="187"/>
      <c r="AV22" s="188"/>
      <c r="AW22" s="188"/>
      <c r="AX22" s="188"/>
      <c r="AY22" s="188"/>
      <c r="AZ22" s="188"/>
      <c r="BA22" s="188"/>
      <c r="BB22" s="188"/>
      <c r="BC22" s="188"/>
      <c r="BD22" s="188"/>
      <c r="BE22" s="188"/>
      <c r="BF22" s="195"/>
    </row>
    <row r="23" spans="2:58" ht="13" customHeight="1" x14ac:dyDescent="0.25">
      <c r="B23" s="202"/>
      <c r="C23" s="188"/>
      <c r="D23" s="188"/>
      <c r="E23" s="188"/>
      <c r="F23" s="188"/>
      <c r="G23" s="188"/>
      <c r="H23" s="188"/>
      <c r="I23" s="188"/>
      <c r="J23" s="188"/>
      <c r="K23" s="188"/>
      <c r="L23" s="189"/>
      <c r="M23" s="187"/>
      <c r="N23" s="188"/>
      <c r="O23" s="188"/>
      <c r="P23" s="188"/>
      <c r="Q23" s="188"/>
      <c r="R23" s="188"/>
      <c r="S23" s="188"/>
      <c r="T23" s="188"/>
      <c r="U23" s="188"/>
      <c r="V23" s="188"/>
      <c r="W23" s="189"/>
      <c r="X23" s="187"/>
      <c r="Y23" s="188"/>
      <c r="Z23" s="188"/>
      <c r="AA23" s="188"/>
      <c r="AB23" s="188"/>
      <c r="AC23" s="188"/>
      <c r="AD23" s="188"/>
      <c r="AE23" s="188"/>
      <c r="AF23" s="188"/>
      <c r="AG23" s="188"/>
      <c r="AH23" s="189"/>
      <c r="AI23" s="187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9"/>
      <c r="AU23" s="187"/>
      <c r="AV23" s="188"/>
      <c r="AW23" s="188"/>
      <c r="AX23" s="188"/>
      <c r="AY23" s="188"/>
      <c r="AZ23" s="188"/>
      <c r="BA23" s="188"/>
      <c r="BB23" s="188"/>
      <c r="BC23" s="188"/>
      <c r="BD23" s="188"/>
      <c r="BE23" s="188"/>
      <c r="BF23" s="195"/>
    </row>
    <row r="24" spans="2:58" ht="13" customHeight="1" x14ac:dyDescent="0.25">
      <c r="B24" s="203"/>
      <c r="C24" s="191"/>
      <c r="D24" s="191"/>
      <c r="E24" s="191"/>
      <c r="F24" s="191"/>
      <c r="G24" s="191"/>
      <c r="H24" s="191"/>
      <c r="I24" s="191"/>
      <c r="J24" s="191"/>
      <c r="K24" s="191"/>
      <c r="L24" s="148"/>
      <c r="M24" s="190"/>
      <c r="N24" s="191"/>
      <c r="O24" s="191"/>
      <c r="P24" s="191"/>
      <c r="Q24" s="191"/>
      <c r="R24" s="191"/>
      <c r="S24" s="191"/>
      <c r="T24" s="191"/>
      <c r="U24" s="191"/>
      <c r="V24" s="191"/>
      <c r="W24" s="148"/>
      <c r="X24" s="190"/>
      <c r="Y24" s="191"/>
      <c r="Z24" s="191"/>
      <c r="AA24" s="191"/>
      <c r="AB24" s="191"/>
      <c r="AC24" s="191"/>
      <c r="AD24" s="191"/>
      <c r="AE24" s="191"/>
      <c r="AF24" s="191"/>
      <c r="AG24" s="191"/>
      <c r="AH24" s="148"/>
      <c r="AI24" s="190"/>
      <c r="AJ24" s="191"/>
      <c r="AK24" s="191"/>
      <c r="AL24" s="191"/>
      <c r="AM24" s="191"/>
      <c r="AN24" s="191"/>
      <c r="AO24" s="191"/>
      <c r="AP24" s="191"/>
      <c r="AQ24" s="191"/>
      <c r="AR24" s="191"/>
      <c r="AS24" s="191"/>
      <c r="AT24" s="148"/>
      <c r="AU24" s="190"/>
      <c r="AV24" s="191"/>
      <c r="AW24" s="191"/>
      <c r="AX24" s="191"/>
      <c r="AY24" s="191"/>
      <c r="AZ24" s="191"/>
      <c r="BA24" s="191"/>
      <c r="BB24" s="191"/>
      <c r="BC24" s="191"/>
      <c r="BD24" s="191"/>
      <c r="BE24" s="191"/>
      <c r="BF24" s="196"/>
    </row>
    <row r="25" spans="2:58" ht="13" customHeight="1" x14ac:dyDescent="0.25">
      <c r="B25" s="180" t="s">
        <v>246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49"/>
      <c r="M25" s="155" t="s">
        <v>247</v>
      </c>
      <c r="N25" s="178"/>
      <c r="O25" s="178"/>
      <c r="P25" s="178"/>
      <c r="Q25" s="178"/>
      <c r="R25" s="178"/>
      <c r="S25" s="178"/>
      <c r="T25" s="178"/>
      <c r="U25" s="178"/>
      <c r="V25" s="178"/>
      <c r="W25" s="149"/>
      <c r="X25" s="181" t="s">
        <v>248</v>
      </c>
      <c r="Y25" s="178"/>
      <c r="Z25" s="178"/>
      <c r="AA25" s="178"/>
      <c r="AB25" s="178"/>
      <c r="AC25" s="178"/>
      <c r="AD25" s="178"/>
      <c r="AE25" s="178"/>
      <c r="AF25" s="178"/>
      <c r="AG25" s="178"/>
      <c r="AH25" s="149"/>
      <c r="AI25" s="131" t="s">
        <v>249</v>
      </c>
      <c r="AJ25" s="178"/>
      <c r="AK25" s="178"/>
      <c r="AL25" s="178"/>
      <c r="AM25" s="178"/>
      <c r="AN25" s="178"/>
      <c r="AO25" s="178"/>
      <c r="AP25" s="178"/>
      <c r="AQ25" s="178"/>
      <c r="AR25" s="178"/>
      <c r="AS25" s="178"/>
      <c r="AT25" s="149"/>
      <c r="AU25" s="131" t="s">
        <v>250</v>
      </c>
      <c r="AV25" s="178"/>
      <c r="AW25" s="178"/>
      <c r="AX25" s="178"/>
      <c r="AY25" s="178"/>
      <c r="AZ25" s="178"/>
      <c r="BA25" s="178"/>
      <c r="BB25" s="178"/>
      <c r="BC25" s="178"/>
      <c r="BD25" s="178"/>
      <c r="BE25" s="178"/>
      <c r="BF25" s="182"/>
    </row>
    <row r="26" spans="2:58" ht="13" customHeight="1" x14ac:dyDescent="0.25">
      <c r="B26" s="201"/>
      <c r="C26" s="185"/>
      <c r="D26" s="185"/>
      <c r="E26" s="185"/>
      <c r="F26" s="185"/>
      <c r="G26" s="185"/>
      <c r="H26" s="185"/>
      <c r="I26" s="185"/>
      <c r="J26" s="185"/>
      <c r="K26" s="185"/>
      <c r="L26" s="186"/>
      <c r="M26" s="209"/>
      <c r="N26" s="185"/>
      <c r="O26" s="185"/>
      <c r="P26" s="185"/>
      <c r="Q26" s="185"/>
      <c r="R26" s="185"/>
      <c r="S26" s="185"/>
      <c r="T26" s="185"/>
      <c r="U26" s="185"/>
      <c r="V26" s="185"/>
      <c r="W26" s="186"/>
      <c r="X26" s="205"/>
      <c r="Y26" s="185"/>
      <c r="Z26" s="185"/>
      <c r="AA26" s="185"/>
      <c r="AB26" s="185"/>
      <c r="AC26" s="185"/>
      <c r="AD26" s="185"/>
      <c r="AE26" s="185"/>
      <c r="AF26" s="185"/>
      <c r="AG26" s="185"/>
      <c r="AH26" s="186"/>
      <c r="AI26" s="193"/>
      <c r="AJ26" s="185"/>
      <c r="AK26" s="185"/>
      <c r="AL26" s="185"/>
      <c r="AM26" s="185"/>
      <c r="AN26" s="185"/>
      <c r="AO26" s="185"/>
      <c r="AP26" s="185"/>
      <c r="AQ26" s="185"/>
      <c r="AR26" s="185"/>
      <c r="AS26" s="185"/>
      <c r="AT26" s="186"/>
      <c r="AU26" s="193"/>
      <c r="AV26" s="185"/>
      <c r="AW26" s="185"/>
      <c r="AX26" s="185"/>
      <c r="AY26" s="185"/>
      <c r="AZ26" s="185"/>
      <c r="BA26" s="185"/>
      <c r="BB26" s="185"/>
      <c r="BC26" s="185"/>
      <c r="BD26" s="185"/>
      <c r="BE26" s="185"/>
      <c r="BF26" s="194"/>
    </row>
    <row r="27" spans="2:58" ht="13" customHeight="1" x14ac:dyDescent="0.25">
      <c r="B27" s="202"/>
      <c r="C27" s="188"/>
      <c r="D27" s="188"/>
      <c r="E27" s="188"/>
      <c r="F27" s="188"/>
      <c r="G27" s="188"/>
      <c r="H27" s="188"/>
      <c r="I27" s="188"/>
      <c r="J27" s="188"/>
      <c r="K27" s="188"/>
      <c r="L27" s="189"/>
      <c r="M27" s="187"/>
      <c r="N27" s="188"/>
      <c r="O27" s="188"/>
      <c r="P27" s="188"/>
      <c r="Q27" s="188"/>
      <c r="R27" s="188"/>
      <c r="S27" s="188"/>
      <c r="T27" s="188"/>
      <c r="U27" s="188"/>
      <c r="V27" s="188"/>
      <c r="W27" s="189"/>
      <c r="X27" s="187"/>
      <c r="Y27" s="188"/>
      <c r="Z27" s="188"/>
      <c r="AA27" s="188"/>
      <c r="AB27" s="188"/>
      <c r="AC27" s="188"/>
      <c r="AD27" s="188"/>
      <c r="AE27" s="188"/>
      <c r="AF27" s="188"/>
      <c r="AG27" s="188"/>
      <c r="AH27" s="189"/>
      <c r="AI27" s="187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9"/>
      <c r="AU27" s="187"/>
      <c r="AV27" s="188"/>
      <c r="AW27" s="188"/>
      <c r="AX27" s="188"/>
      <c r="AY27" s="188"/>
      <c r="AZ27" s="188"/>
      <c r="BA27" s="188"/>
      <c r="BB27" s="188"/>
      <c r="BC27" s="188"/>
      <c r="BD27" s="188"/>
      <c r="BE27" s="188"/>
      <c r="BF27" s="195"/>
    </row>
    <row r="28" spans="2:58" ht="13" customHeight="1" x14ac:dyDescent="0.25">
      <c r="B28" s="202"/>
      <c r="C28" s="188"/>
      <c r="D28" s="188"/>
      <c r="E28" s="188"/>
      <c r="F28" s="188"/>
      <c r="G28" s="188"/>
      <c r="H28" s="188"/>
      <c r="I28" s="188"/>
      <c r="J28" s="188"/>
      <c r="K28" s="188"/>
      <c r="L28" s="189"/>
      <c r="M28" s="187"/>
      <c r="N28" s="188"/>
      <c r="O28" s="188"/>
      <c r="P28" s="188"/>
      <c r="Q28" s="188"/>
      <c r="R28" s="188"/>
      <c r="S28" s="188"/>
      <c r="T28" s="188"/>
      <c r="U28" s="188"/>
      <c r="V28" s="188"/>
      <c r="W28" s="189"/>
      <c r="X28" s="187"/>
      <c r="Y28" s="188"/>
      <c r="Z28" s="188"/>
      <c r="AA28" s="188"/>
      <c r="AB28" s="188"/>
      <c r="AC28" s="188"/>
      <c r="AD28" s="188"/>
      <c r="AE28" s="188"/>
      <c r="AF28" s="188"/>
      <c r="AG28" s="188"/>
      <c r="AH28" s="189"/>
      <c r="AI28" s="187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9"/>
      <c r="AU28" s="187"/>
      <c r="AV28" s="188"/>
      <c r="AW28" s="188"/>
      <c r="AX28" s="188"/>
      <c r="AY28" s="188"/>
      <c r="AZ28" s="188"/>
      <c r="BA28" s="188"/>
      <c r="BB28" s="188"/>
      <c r="BC28" s="188"/>
      <c r="BD28" s="188"/>
      <c r="BE28" s="188"/>
      <c r="BF28" s="195"/>
    </row>
    <row r="29" spans="2:58" ht="13" customHeight="1" x14ac:dyDescent="0.25">
      <c r="B29" s="202"/>
      <c r="C29" s="188"/>
      <c r="D29" s="188"/>
      <c r="E29" s="188"/>
      <c r="F29" s="188"/>
      <c r="G29" s="188"/>
      <c r="H29" s="188"/>
      <c r="I29" s="188"/>
      <c r="J29" s="188"/>
      <c r="K29" s="188"/>
      <c r="L29" s="189"/>
      <c r="M29" s="187"/>
      <c r="N29" s="188"/>
      <c r="O29" s="188"/>
      <c r="P29" s="188"/>
      <c r="Q29" s="188"/>
      <c r="R29" s="188"/>
      <c r="S29" s="188"/>
      <c r="T29" s="188"/>
      <c r="U29" s="188"/>
      <c r="V29" s="188"/>
      <c r="W29" s="189"/>
      <c r="X29" s="187"/>
      <c r="Y29" s="188"/>
      <c r="Z29" s="188"/>
      <c r="AA29" s="188"/>
      <c r="AB29" s="188"/>
      <c r="AC29" s="188"/>
      <c r="AD29" s="188"/>
      <c r="AE29" s="188"/>
      <c r="AF29" s="188"/>
      <c r="AG29" s="188"/>
      <c r="AH29" s="189"/>
      <c r="AI29" s="187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9"/>
      <c r="AU29" s="187"/>
      <c r="AV29" s="188"/>
      <c r="AW29" s="188"/>
      <c r="AX29" s="188"/>
      <c r="AY29" s="188"/>
      <c r="AZ29" s="188"/>
      <c r="BA29" s="188"/>
      <c r="BB29" s="188"/>
      <c r="BC29" s="188"/>
      <c r="BD29" s="188"/>
      <c r="BE29" s="188"/>
      <c r="BF29" s="195"/>
    </row>
    <row r="30" spans="2:58" ht="13" customHeight="1" x14ac:dyDescent="0.25">
      <c r="B30" s="202"/>
      <c r="C30" s="188"/>
      <c r="D30" s="188"/>
      <c r="E30" s="188"/>
      <c r="F30" s="188"/>
      <c r="G30" s="188"/>
      <c r="H30" s="188"/>
      <c r="I30" s="188"/>
      <c r="J30" s="188"/>
      <c r="K30" s="188"/>
      <c r="L30" s="189"/>
      <c r="M30" s="187"/>
      <c r="N30" s="188"/>
      <c r="O30" s="188"/>
      <c r="P30" s="188"/>
      <c r="Q30" s="188"/>
      <c r="R30" s="188"/>
      <c r="S30" s="188"/>
      <c r="T30" s="188"/>
      <c r="U30" s="188"/>
      <c r="V30" s="188"/>
      <c r="W30" s="189"/>
      <c r="X30" s="187"/>
      <c r="Y30" s="188"/>
      <c r="Z30" s="188"/>
      <c r="AA30" s="188"/>
      <c r="AB30" s="188"/>
      <c r="AC30" s="188"/>
      <c r="AD30" s="188"/>
      <c r="AE30" s="188"/>
      <c r="AF30" s="188"/>
      <c r="AG30" s="188"/>
      <c r="AH30" s="189"/>
      <c r="AI30" s="187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9"/>
      <c r="AU30" s="187"/>
      <c r="AV30" s="188"/>
      <c r="AW30" s="188"/>
      <c r="AX30" s="188"/>
      <c r="AY30" s="188"/>
      <c r="AZ30" s="188"/>
      <c r="BA30" s="188"/>
      <c r="BB30" s="188"/>
      <c r="BC30" s="188"/>
      <c r="BD30" s="188"/>
      <c r="BE30" s="188"/>
      <c r="BF30" s="195"/>
    </row>
    <row r="31" spans="2:58" ht="13" customHeight="1" x14ac:dyDescent="0.25">
      <c r="B31" s="203"/>
      <c r="C31" s="191"/>
      <c r="D31" s="191"/>
      <c r="E31" s="191"/>
      <c r="F31" s="191"/>
      <c r="G31" s="191"/>
      <c r="H31" s="191"/>
      <c r="I31" s="191"/>
      <c r="J31" s="191"/>
      <c r="K31" s="191"/>
      <c r="L31" s="148"/>
      <c r="M31" s="190"/>
      <c r="N31" s="191"/>
      <c r="O31" s="191"/>
      <c r="P31" s="191"/>
      <c r="Q31" s="191"/>
      <c r="R31" s="191"/>
      <c r="S31" s="191"/>
      <c r="T31" s="191"/>
      <c r="U31" s="191"/>
      <c r="V31" s="191"/>
      <c r="W31" s="148"/>
      <c r="X31" s="190"/>
      <c r="Y31" s="191"/>
      <c r="Z31" s="191"/>
      <c r="AA31" s="191"/>
      <c r="AB31" s="191"/>
      <c r="AC31" s="191"/>
      <c r="AD31" s="191"/>
      <c r="AE31" s="191"/>
      <c r="AF31" s="191"/>
      <c r="AG31" s="191"/>
      <c r="AH31" s="148"/>
      <c r="AI31" s="190"/>
      <c r="AJ31" s="191"/>
      <c r="AK31" s="191"/>
      <c r="AL31" s="191"/>
      <c r="AM31" s="191"/>
      <c r="AN31" s="191"/>
      <c r="AO31" s="191"/>
      <c r="AP31" s="191"/>
      <c r="AQ31" s="191"/>
      <c r="AR31" s="191"/>
      <c r="AS31" s="191"/>
      <c r="AT31" s="148"/>
      <c r="AU31" s="190"/>
      <c r="AV31" s="191"/>
      <c r="AW31" s="191"/>
      <c r="AX31" s="191"/>
      <c r="AY31" s="191"/>
      <c r="AZ31" s="191"/>
      <c r="BA31" s="191"/>
      <c r="BB31" s="191"/>
      <c r="BC31" s="191"/>
      <c r="BD31" s="191"/>
      <c r="BE31" s="191"/>
      <c r="BF31" s="196"/>
    </row>
    <row r="32" spans="2:58" ht="13" customHeight="1" x14ac:dyDescent="0.25">
      <c r="B32" s="180" t="s">
        <v>251</v>
      </c>
      <c r="C32" s="178"/>
      <c r="D32" s="178"/>
      <c r="E32" s="178"/>
      <c r="F32" s="178"/>
      <c r="G32" s="178"/>
      <c r="H32" s="178"/>
      <c r="I32" s="178"/>
      <c r="J32" s="178"/>
      <c r="K32" s="178"/>
      <c r="L32" s="149"/>
      <c r="M32" s="183" t="s">
        <v>252</v>
      </c>
      <c r="N32" s="178"/>
      <c r="O32" s="178"/>
      <c r="P32" s="178"/>
      <c r="Q32" s="178"/>
      <c r="R32" s="178"/>
      <c r="S32" s="178"/>
      <c r="T32" s="178"/>
      <c r="U32" s="178"/>
      <c r="V32" s="178"/>
      <c r="W32" s="149"/>
      <c r="X32" s="181" t="s">
        <v>253</v>
      </c>
      <c r="Y32" s="178"/>
      <c r="Z32" s="178"/>
      <c r="AA32" s="178"/>
      <c r="AB32" s="178"/>
      <c r="AC32" s="178"/>
      <c r="AD32" s="178"/>
      <c r="AE32" s="178"/>
      <c r="AF32" s="178"/>
      <c r="AG32" s="178"/>
      <c r="AH32" s="149"/>
      <c r="AI32" s="131" t="s">
        <v>254</v>
      </c>
      <c r="AJ32" s="178"/>
      <c r="AK32" s="178"/>
      <c r="AL32" s="178"/>
      <c r="AM32" s="178"/>
      <c r="AN32" s="178"/>
      <c r="AO32" s="178"/>
      <c r="AP32" s="178"/>
      <c r="AQ32" s="178"/>
      <c r="AR32" s="178"/>
      <c r="AS32" s="178"/>
      <c r="AT32" s="149"/>
      <c r="AU32" s="131" t="s">
        <v>255</v>
      </c>
      <c r="AV32" s="178"/>
      <c r="AW32" s="178"/>
      <c r="AX32" s="178"/>
      <c r="AY32" s="178"/>
      <c r="AZ32" s="178"/>
      <c r="BA32" s="178"/>
      <c r="BB32" s="178"/>
      <c r="BC32" s="178"/>
      <c r="BD32" s="178"/>
      <c r="BE32" s="178"/>
      <c r="BF32" s="182"/>
    </row>
    <row r="33" spans="2:58" ht="13" customHeight="1" x14ac:dyDescent="0.25">
      <c r="B33" s="201"/>
      <c r="C33" s="185"/>
      <c r="D33" s="185"/>
      <c r="E33" s="185"/>
      <c r="F33" s="185"/>
      <c r="G33" s="185"/>
      <c r="H33" s="185"/>
      <c r="I33" s="185"/>
      <c r="J33" s="185"/>
      <c r="K33" s="185"/>
      <c r="L33" s="186"/>
      <c r="M33" s="204"/>
      <c r="N33" s="185"/>
      <c r="O33" s="185"/>
      <c r="P33" s="185"/>
      <c r="Q33" s="185"/>
      <c r="R33" s="185"/>
      <c r="S33" s="185"/>
      <c r="T33" s="185"/>
      <c r="U33" s="185"/>
      <c r="V33" s="185"/>
      <c r="W33" s="186"/>
      <c r="X33" s="205"/>
      <c r="Y33" s="185"/>
      <c r="Z33" s="185"/>
      <c r="AA33" s="185"/>
      <c r="AB33" s="185"/>
      <c r="AC33" s="185"/>
      <c r="AD33" s="185"/>
      <c r="AE33" s="185"/>
      <c r="AF33" s="185"/>
      <c r="AG33" s="185"/>
      <c r="AH33" s="186"/>
      <c r="AI33" s="193"/>
      <c r="AJ33" s="185"/>
      <c r="AK33" s="185"/>
      <c r="AL33" s="185"/>
      <c r="AM33" s="185"/>
      <c r="AN33" s="185"/>
      <c r="AO33" s="185"/>
      <c r="AP33" s="185"/>
      <c r="AQ33" s="185"/>
      <c r="AR33" s="185"/>
      <c r="AS33" s="185"/>
      <c r="AT33" s="186"/>
      <c r="AU33" s="193"/>
      <c r="AV33" s="185"/>
      <c r="AW33" s="185"/>
      <c r="AX33" s="185"/>
      <c r="AY33" s="185"/>
      <c r="AZ33" s="185"/>
      <c r="BA33" s="185"/>
      <c r="BB33" s="185"/>
      <c r="BC33" s="185"/>
      <c r="BD33" s="185"/>
      <c r="BE33" s="185"/>
      <c r="BF33" s="194"/>
    </row>
    <row r="34" spans="2:58" ht="13" customHeight="1" x14ac:dyDescent="0.25">
      <c r="B34" s="202"/>
      <c r="C34" s="188"/>
      <c r="D34" s="188"/>
      <c r="E34" s="188"/>
      <c r="F34" s="188"/>
      <c r="G34" s="188"/>
      <c r="H34" s="188"/>
      <c r="I34" s="188"/>
      <c r="J34" s="188"/>
      <c r="K34" s="188"/>
      <c r="L34" s="189"/>
      <c r="M34" s="187"/>
      <c r="N34" s="188"/>
      <c r="O34" s="188"/>
      <c r="P34" s="188"/>
      <c r="Q34" s="188"/>
      <c r="R34" s="188"/>
      <c r="S34" s="188"/>
      <c r="T34" s="188"/>
      <c r="U34" s="188"/>
      <c r="V34" s="188"/>
      <c r="W34" s="189"/>
      <c r="X34" s="187"/>
      <c r="Y34" s="188"/>
      <c r="Z34" s="188"/>
      <c r="AA34" s="188"/>
      <c r="AB34" s="188"/>
      <c r="AC34" s="188"/>
      <c r="AD34" s="188"/>
      <c r="AE34" s="188"/>
      <c r="AF34" s="188"/>
      <c r="AG34" s="188"/>
      <c r="AH34" s="189"/>
      <c r="AI34" s="187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9"/>
      <c r="AU34" s="187"/>
      <c r="AV34" s="188"/>
      <c r="AW34" s="188"/>
      <c r="AX34" s="188"/>
      <c r="AY34" s="188"/>
      <c r="AZ34" s="188"/>
      <c r="BA34" s="188"/>
      <c r="BB34" s="188"/>
      <c r="BC34" s="188"/>
      <c r="BD34" s="188"/>
      <c r="BE34" s="188"/>
      <c r="BF34" s="195"/>
    </row>
    <row r="35" spans="2:58" ht="13" customHeight="1" x14ac:dyDescent="0.25">
      <c r="B35" s="202"/>
      <c r="C35" s="188"/>
      <c r="D35" s="188"/>
      <c r="E35" s="188"/>
      <c r="F35" s="188"/>
      <c r="G35" s="188"/>
      <c r="H35" s="188"/>
      <c r="I35" s="188"/>
      <c r="J35" s="188"/>
      <c r="K35" s="188"/>
      <c r="L35" s="189"/>
      <c r="M35" s="187"/>
      <c r="N35" s="188"/>
      <c r="O35" s="188"/>
      <c r="P35" s="188"/>
      <c r="Q35" s="188"/>
      <c r="R35" s="188"/>
      <c r="S35" s="188"/>
      <c r="T35" s="188"/>
      <c r="U35" s="188"/>
      <c r="V35" s="188"/>
      <c r="W35" s="189"/>
      <c r="X35" s="187"/>
      <c r="Y35" s="188"/>
      <c r="Z35" s="188"/>
      <c r="AA35" s="188"/>
      <c r="AB35" s="188"/>
      <c r="AC35" s="188"/>
      <c r="AD35" s="188"/>
      <c r="AE35" s="188"/>
      <c r="AF35" s="188"/>
      <c r="AG35" s="188"/>
      <c r="AH35" s="189"/>
      <c r="AI35" s="187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9"/>
      <c r="AU35" s="187"/>
      <c r="AV35" s="188"/>
      <c r="AW35" s="188"/>
      <c r="AX35" s="188"/>
      <c r="AY35" s="188"/>
      <c r="AZ35" s="188"/>
      <c r="BA35" s="188"/>
      <c r="BB35" s="188"/>
      <c r="BC35" s="188"/>
      <c r="BD35" s="188"/>
      <c r="BE35" s="188"/>
      <c r="BF35" s="195"/>
    </row>
    <row r="36" spans="2:58" ht="13" customHeight="1" x14ac:dyDescent="0.25">
      <c r="B36" s="202"/>
      <c r="C36" s="188"/>
      <c r="D36" s="188"/>
      <c r="E36" s="188"/>
      <c r="F36" s="188"/>
      <c r="G36" s="188"/>
      <c r="H36" s="188"/>
      <c r="I36" s="188"/>
      <c r="J36" s="188"/>
      <c r="K36" s="188"/>
      <c r="L36" s="189"/>
      <c r="M36" s="187"/>
      <c r="N36" s="188"/>
      <c r="O36" s="188"/>
      <c r="P36" s="188"/>
      <c r="Q36" s="188"/>
      <c r="R36" s="188"/>
      <c r="S36" s="188"/>
      <c r="T36" s="188"/>
      <c r="U36" s="188"/>
      <c r="V36" s="188"/>
      <c r="W36" s="189"/>
      <c r="X36" s="187"/>
      <c r="Y36" s="188"/>
      <c r="Z36" s="188"/>
      <c r="AA36" s="188"/>
      <c r="AB36" s="188"/>
      <c r="AC36" s="188"/>
      <c r="AD36" s="188"/>
      <c r="AE36" s="188"/>
      <c r="AF36" s="188"/>
      <c r="AG36" s="188"/>
      <c r="AH36" s="189"/>
      <c r="AI36" s="187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9"/>
      <c r="AU36" s="187"/>
      <c r="AV36" s="188"/>
      <c r="AW36" s="188"/>
      <c r="AX36" s="188"/>
      <c r="AY36" s="188"/>
      <c r="AZ36" s="188"/>
      <c r="BA36" s="188"/>
      <c r="BB36" s="188"/>
      <c r="BC36" s="188"/>
      <c r="BD36" s="188"/>
      <c r="BE36" s="188"/>
      <c r="BF36" s="195"/>
    </row>
    <row r="37" spans="2:58" ht="13" customHeight="1" x14ac:dyDescent="0.25">
      <c r="B37" s="202"/>
      <c r="C37" s="188"/>
      <c r="D37" s="188"/>
      <c r="E37" s="188"/>
      <c r="F37" s="188"/>
      <c r="G37" s="188"/>
      <c r="H37" s="188"/>
      <c r="I37" s="188"/>
      <c r="J37" s="188"/>
      <c r="K37" s="188"/>
      <c r="L37" s="189"/>
      <c r="M37" s="187"/>
      <c r="N37" s="188"/>
      <c r="O37" s="188"/>
      <c r="P37" s="188"/>
      <c r="Q37" s="188"/>
      <c r="R37" s="188"/>
      <c r="S37" s="188"/>
      <c r="T37" s="188"/>
      <c r="U37" s="188"/>
      <c r="V37" s="188"/>
      <c r="W37" s="189"/>
      <c r="X37" s="187"/>
      <c r="Y37" s="188"/>
      <c r="Z37" s="188"/>
      <c r="AA37" s="188"/>
      <c r="AB37" s="188"/>
      <c r="AC37" s="188"/>
      <c r="AD37" s="188"/>
      <c r="AE37" s="188"/>
      <c r="AF37" s="188"/>
      <c r="AG37" s="188"/>
      <c r="AH37" s="189"/>
      <c r="AI37" s="187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9"/>
      <c r="AU37" s="187"/>
      <c r="AV37" s="188"/>
      <c r="AW37" s="188"/>
      <c r="AX37" s="188"/>
      <c r="AY37" s="188"/>
      <c r="AZ37" s="188"/>
      <c r="BA37" s="188"/>
      <c r="BB37" s="188"/>
      <c r="BC37" s="188"/>
      <c r="BD37" s="188"/>
      <c r="BE37" s="188"/>
      <c r="BF37" s="195"/>
    </row>
    <row r="38" spans="2:58" ht="13" customHeight="1" x14ac:dyDescent="0.25">
      <c r="B38" s="203"/>
      <c r="C38" s="191"/>
      <c r="D38" s="191"/>
      <c r="E38" s="191"/>
      <c r="F38" s="191"/>
      <c r="G38" s="191"/>
      <c r="H38" s="191"/>
      <c r="I38" s="191"/>
      <c r="J38" s="191"/>
      <c r="K38" s="191"/>
      <c r="L38" s="148"/>
      <c r="M38" s="190"/>
      <c r="N38" s="191"/>
      <c r="O38" s="191"/>
      <c r="P38" s="191"/>
      <c r="Q38" s="191"/>
      <c r="R38" s="191"/>
      <c r="S38" s="191"/>
      <c r="T38" s="191"/>
      <c r="U38" s="191"/>
      <c r="V38" s="191"/>
      <c r="W38" s="148"/>
      <c r="X38" s="190"/>
      <c r="Y38" s="191"/>
      <c r="Z38" s="191"/>
      <c r="AA38" s="191"/>
      <c r="AB38" s="191"/>
      <c r="AC38" s="191"/>
      <c r="AD38" s="191"/>
      <c r="AE38" s="191"/>
      <c r="AF38" s="191"/>
      <c r="AG38" s="191"/>
      <c r="AH38" s="148"/>
      <c r="AI38" s="190"/>
      <c r="AJ38" s="191"/>
      <c r="AK38" s="191"/>
      <c r="AL38" s="191"/>
      <c r="AM38" s="191"/>
      <c r="AN38" s="191"/>
      <c r="AO38" s="191"/>
      <c r="AP38" s="191"/>
      <c r="AQ38" s="191"/>
      <c r="AR38" s="191"/>
      <c r="AS38" s="191"/>
      <c r="AT38" s="148"/>
      <c r="AU38" s="190"/>
      <c r="AV38" s="191"/>
      <c r="AW38" s="191"/>
      <c r="AX38" s="191"/>
      <c r="AY38" s="191"/>
      <c r="AZ38" s="191"/>
      <c r="BA38" s="191"/>
      <c r="BB38" s="191"/>
      <c r="BC38" s="191"/>
      <c r="BD38" s="191"/>
      <c r="BE38" s="191"/>
      <c r="BF38" s="196"/>
    </row>
    <row r="39" spans="2:58" ht="13" customHeight="1" x14ac:dyDescent="0.25">
      <c r="B39" s="180" t="s">
        <v>256</v>
      </c>
      <c r="C39" s="178"/>
      <c r="D39" s="178"/>
      <c r="E39" s="178"/>
      <c r="F39" s="178"/>
      <c r="G39" s="178"/>
      <c r="H39" s="178"/>
      <c r="I39" s="178"/>
      <c r="J39" s="178"/>
      <c r="K39" s="178"/>
      <c r="L39" s="149"/>
      <c r="M39" s="183" t="s">
        <v>257</v>
      </c>
      <c r="N39" s="178"/>
      <c r="O39" s="178"/>
      <c r="P39" s="178"/>
      <c r="Q39" s="178"/>
      <c r="R39" s="178"/>
      <c r="S39" s="178"/>
      <c r="T39" s="178"/>
      <c r="U39" s="178"/>
      <c r="V39" s="178"/>
      <c r="W39" s="149"/>
      <c r="X39" s="181" t="s">
        <v>258</v>
      </c>
      <c r="Y39" s="178"/>
      <c r="Z39" s="178"/>
      <c r="AA39" s="178"/>
      <c r="AB39" s="178"/>
      <c r="AC39" s="178"/>
      <c r="AD39" s="178"/>
      <c r="AE39" s="178"/>
      <c r="AF39" s="178"/>
      <c r="AG39" s="178"/>
      <c r="AH39" s="149"/>
      <c r="AI39" s="131" t="s">
        <v>259</v>
      </c>
      <c r="AJ39" s="178"/>
      <c r="AK39" s="178"/>
      <c r="AL39" s="178"/>
      <c r="AM39" s="178"/>
      <c r="AN39" s="178"/>
      <c r="AO39" s="178"/>
      <c r="AP39" s="178"/>
      <c r="AQ39" s="178"/>
      <c r="AR39" s="178"/>
      <c r="AS39" s="178"/>
      <c r="AT39" s="149"/>
      <c r="AU39" s="131" t="s">
        <v>260</v>
      </c>
      <c r="AV39" s="178"/>
      <c r="AW39" s="178"/>
      <c r="AX39" s="178"/>
      <c r="AY39" s="178"/>
      <c r="AZ39" s="178"/>
      <c r="BA39" s="178"/>
      <c r="BB39" s="178"/>
      <c r="BC39" s="178"/>
      <c r="BD39" s="178"/>
      <c r="BE39" s="178"/>
      <c r="BF39" s="182"/>
    </row>
    <row r="40" spans="2:58" ht="13" customHeight="1" x14ac:dyDescent="0.25">
      <c r="B40" s="201"/>
      <c r="C40" s="185"/>
      <c r="D40" s="185"/>
      <c r="E40" s="185"/>
      <c r="F40" s="185"/>
      <c r="G40" s="185"/>
      <c r="H40" s="185"/>
      <c r="I40" s="185"/>
      <c r="J40" s="185"/>
      <c r="K40" s="185"/>
      <c r="L40" s="186"/>
      <c r="M40" s="204"/>
      <c r="N40" s="185"/>
      <c r="O40" s="185"/>
      <c r="P40" s="185"/>
      <c r="Q40" s="185"/>
      <c r="R40" s="185"/>
      <c r="S40" s="185"/>
      <c r="T40" s="185"/>
      <c r="U40" s="185"/>
      <c r="V40" s="185"/>
      <c r="W40" s="186"/>
      <c r="X40" s="205"/>
      <c r="Y40" s="185"/>
      <c r="Z40" s="185"/>
      <c r="AA40" s="185"/>
      <c r="AB40" s="185"/>
      <c r="AC40" s="185"/>
      <c r="AD40" s="185"/>
      <c r="AE40" s="185"/>
      <c r="AF40" s="185"/>
      <c r="AG40" s="185"/>
      <c r="AH40" s="186"/>
      <c r="AI40" s="193"/>
      <c r="AJ40" s="185"/>
      <c r="AK40" s="185"/>
      <c r="AL40" s="185"/>
      <c r="AM40" s="185"/>
      <c r="AN40" s="185"/>
      <c r="AO40" s="185"/>
      <c r="AP40" s="185"/>
      <c r="AQ40" s="185"/>
      <c r="AR40" s="185"/>
      <c r="AS40" s="185"/>
      <c r="AT40" s="186"/>
      <c r="AU40" s="193"/>
      <c r="AV40" s="185"/>
      <c r="AW40" s="185"/>
      <c r="AX40" s="185"/>
      <c r="AY40" s="185"/>
      <c r="AZ40" s="185"/>
      <c r="BA40" s="185"/>
      <c r="BB40" s="185"/>
      <c r="BC40" s="185"/>
      <c r="BD40" s="185"/>
      <c r="BE40" s="185"/>
      <c r="BF40" s="194"/>
    </row>
    <row r="41" spans="2:58" ht="13" customHeight="1" x14ac:dyDescent="0.25">
      <c r="B41" s="202"/>
      <c r="C41" s="188"/>
      <c r="D41" s="188"/>
      <c r="E41" s="188"/>
      <c r="F41" s="188"/>
      <c r="G41" s="188"/>
      <c r="H41" s="188"/>
      <c r="I41" s="188"/>
      <c r="J41" s="188"/>
      <c r="K41" s="188"/>
      <c r="L41" s="189"/>
      <c r="M41" s="187"/>
      <c r="N41" s="188"/>
      <c r="O41" s="188"/>
      <c r="P41" s="188"/>
      <c r="Q41" s="188"/>
      <c r="R41" s="188"/>
      <c r="S41" s="188"/>
      <c r="T41" s="188"/>
      <c r="U41" s="188"/>
      <c r="V41" s="188"/>
      <c r="W41" s="189"/>
      <c r="X41" s="187"/>
      <c r="Y41" s="188"/>
      <c r="Z41" s="188"/>
      <c r="AA41" s="188"/>
      <c r="AB41" s="188"/>
      <c r="AC41" s="188"/>
      <c r="AD41" s="188"/>
      <c r="AE41" s="188"/>
      <c r="AF41" s="188"/>
      <c r="AG41" s="188"/>
      <c r="AH41" s="189"/>
      <c r="AI41" s="187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9"/>
      <c r="AU41" s="187"/>
      <c r="AV41" s="188"/>
      <c r="AW41" s="188"/>
      <c r="AX41" s="188"/>
      <c r="AY41" s="188"/>
      <c r="AZ41" s="188"/>
      <c r="BA41" s="188"/>
      <c r="BB41" s="188"/>
      <c r="BC41" s="188"/>
      <c r="BD41" s="188"/>
      <c r="BE41" s="188"/>
      <c r="BF41" s="195"/>
    </row>
    <row r="42" spans="2:58" ht="13" customHeight="1" x14ac:dyDescent="0.25">
      <c r="B42" s="202"/>
      <c r="C42" s="188"/>
      <c r="D42" s="188"/>
      <c r="E42" s="188"/>
      <c r="F42" s="188"/>
      <c r="G42" s="188"/>
      <c r="H42" s="188"/>
      <c r="I42" s="188"/>
      <c r="J42" s="188"/>
      <c r="K42" s="188"/>
      <c r="L42" s="189"/>
      <c r="M42" s="187"/>
      <c r="N42" s="188"/>
      <c r="O42" s="188"/>
      <c r="P42" s="188"/>
      <c r="Q42" s="188"/>
      <c r="R42" s="188"/>
      <c r="S42" s="188"/>
      <c r="T42" s="188"/>
      <c r="U42" s="188"/>
      <c r="V42" s="188"/>
      <c r="W42" s="189"/>
      <c r="X42" s="187"/>
      <c r="Y42" s="188"/>
      <c r="Z42" s="188"/>
      <c r="AA42" s="188"/>
      <c r="AB42" s="188"/>
      <c r="AC42" s="188"/>
      <c r="AD42" s="188"/>
      <c r="AE42" s="188"/>
      <c r="AF42" s="188"/>
      <c r="AG42" s="188"/>
      <c r="AH42" s="189"/>
      <c r="AI42" s="187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9"/>
      <c r="AU42" s="187"/>
      <c r="AV42" s="188"/>
      <c r="AW42" s="188"/>
      <c r="AX42" s="188"/>
      <c r="AY42" s="188"/>
      <c r="AZ42" s="188"/>
      <c r="BA42" s="188"/>
      <c r="BB42" s="188"/>
      <c r="BC42" s="188"/>
      <c r="BD42" s="188"/>
      <c r="BE42" s="188"/>
      <c r="BF42" s="195"/>
    </row>
    <row r="43" spans="2:58" ht="13" customHeight="1" x14ac:dyDescent="0.25">
      <c r="B43" s="202"/>
      <c r="C43" s="188"/>
      <c r="D43" s="188"/>
      <c r="E43" s="188"/>
      <c r="F43" s="188"/>
      <c r="G43" s="188"/>
      <c r="H43" s="188"/>
      <c r="I43" s="188"/>
      <c r="J43" s="188"/>
      <c r="K43" s="188"/>
      <c r="L43" s="189"/>
      <c r="M43" s="187"/>
      <c r="N43" s="188"/>
      <c r="O43" s="188"/>
      <c r="P43" s="188"/>
      <c r="Q43" s="188"/>
      <c r="R43" s="188"/>
      <c r="S43" s="188"/>
      <c r="T43" s="188"/>
      <c r="U43" s="188"/>
      <c r="V43" s="188"/>
      <c r="W43" s="189"/>
      <c r="X43" s="187"/>
      <c r="Y43" s="188"/>
      <c r="Z43" s="188"/>
      <c r="AA43" s="188"/>
      <c r="AB43" s="188"/>
      <c r="AC43" s="188"/>
      <c r="AD43" s="188"/>
      <c r="AE43" s="188"/>
      <c r="AF43" s="188"/>
      <c r="AG43" s="188"/>
      <c r="AH43" s="189"/>
      <c r="AI43" s="187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9"/>
      <c r="AU43" s="187"/>
      <c r="AV43" s="188"/>
      <c r="AW43" s="188"/>
      <c r="AX43" s="188"/>
      <c r="AY43" s="188"/>
      <c r="AZ43" s="188"/>
      <c r="BA43" s="188"/>
      <c r="BB43" s="188"/>
      <c r="BC43" s="188"/>
      <c r="BD43" s="188"/>
      <c r="BE43" s="188"/>
      <c r="BF43" s="195"/>
    </row>
    <row r="44" spans="2:58" ht="13" customHeight="1" x14ac:dyDescent="0.25">
      <c r="B44" s="202"/>
      <c r="C44" s="188"/>
      <c r="D44" s="188"/>
      <c r="E44" s="188"/>
      <c r="F44" s="188"/>
      <c r="G44" s="188"/>
      <c r="H44" s="188"/>
      <c r="I44" s="188"/>
      <c r="J44" s="188"/>
      <c r="K44" s="188"/>
      <c r="L44" s="189"/>
      <c r="M44" s="187"/>
      <c r="N44" s="188"/>
      <c r="O44" s="188"/>
      <c r="P44" s="188"/>
      <c r="Q44" s="188"/>
      <c r="R44" s="188"/>
      <c r="S44" s="188"/>
      <c r="T44" s="188"/>
      <c r="U44" s="188"/>
      <c r="V44" s="188"/>
      <c r="W44" s="189"/>
      <c r="X44" s="187"/>
      <c r="Y44" s="188"/>
      <c r="Z44" s="188"/>
      <c r="AA44" s="188"/>
      <c r="AB44" s="188"/>
      <c r="AC44" s="188"/>
      <c r="AD44" s="188"/>
      <c r="AE44" s="188"/>
      <c r="AF44" s="188"/>
      <c r="AG44" s="188"/>
      <c r="AH44" s="189"/>
      <c r="AI44" s="187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9"/>
      <c r="AU44" s="187"/>
      <c r="AV44" s="188"/>
      <c r="AW44" s="188"/>
      <c r="AX44" s="188"/>
      <c r="AY44" s="188"/>
      <c r="AZ44" s="188"/>
      <c r="BA44" s="188"/>
      <c r="BB44" s="188"/>
      <c r="BC44" s="188"/>
      <c r="BD44" s="188"/>
      <c r="BE44" s="188"/>
      <c r="BF44" s="195"/>
    </row>
    <row r="45" spans="2:58" ht="13" customHeight="1" x14ac:dyDescent="0.25">
      <c r="B45" s="203"/>
      <c r="C45" s="191"/>
      <c r="D45" s="191"/>
      <c r="E45" s="191"/>
      <c r="F45" s="191"/>
      <c r="G45" s="191"/>
      <c r="H45" s="191"/>
      <c r="I45" s="191"/>
      <c r="J45" s="191"/>
      <c r="K45" s="191"/>
      <c r="L45" s="148"/>
      <c r="M45" s="190"/>
      <c r="N45" s="191"/>
      <c r="O45" s="191"/>
      <c r="P45" s="191"/>
      <c r="Q45" s="191"/>
      <c r="R45" s="191"/>
      <c r="S45" s="191"/>
      <c r="T45" s="191"/>
      <c r="U45" s="191"/>
      <c r="V45" s="191"/>
      <c r="W45" s="148"/>
      <c r="X45" s="190"/>
      <c r="Y45" s="191"/>
      <c r="Z45" s="191"/>
      <c r="AA45" s="191"/>
      <c r="AB45" s="191"/>
      <c r="AC45" s="191"/>
      <c r="AD45" s="191"/>
      <c r="AE45" s="191"/>
      <c r="AF45" s="191"/>
      <c r="AG45" s="191"/>
      <c r="AH45" s="148"/>
      <c r="AI45" s="190"/>
      <c r="AJ45" s="191"/>
      <c r="AK45" s="191"/>
      <c r="AL45" s="191"/>
      <c r="AM45" s="191"/>
      <c r="AN45" s="191"/>
      <c r="AO45" s="191"/>
      <c r="AP45" s="191"/>
      <c r="AQ45" s="191"/>
      <c r="AR45" s="191"/>
      <c r="AS45" s="191"/>
      <c r="AT45" s="148"/>
      <c r="AU45" s="190"/>
      <c r="AV45" s="191"/>
      <c r="AW45" s="191"/>
      <c r="AX45" s="191"/>
      <c r="AY45" s="191"/>
      <c r="AZ45" s="191"/>
      <c r="BA45" s="191"/>
      <c r="BB45" s="191"/>
      <c r="BC45" s="191"/>
      <c r="BD45" s="191"/>
      <c r="BE45" s="191"/>
      <c r="BF45" s="196"/>
    </row>
    <row r="46" spans="2:58" ht="13" customHeight="1" x14ac:dyDescent="0.25">
      <c r="B46" s="180" t="s">
        <v>261</v>
      </c>
      <c r="C46" s="178"/>
      <c r="D46" s="178"/>
      <c r="E46" s="178"/>
      <c r="F46" s="178"/>
      <c r="G46" s="178"/>
      <c r="H46" s="178"/>
      <c r="I46" s="178"/>
      <c r="J46" s="178"/>
      <c r="K46" s="178"/>
      <c r="L46" s="149"/>
      <c r="M46" s="155" t="s">
        <v>262</v>
      </c>
      <c r="N46" s="178"/>
      <c r="O46" s="178"/>
      <c r="P46" s="178"/>
      <c r="Q46" s="178"/>
      <c r="R46" s="178"/>
      <c r="S46" s="178"/>
      <c r="T46" s="178"/>
      <c r="U46" s="178"/>
      <c r="V46" s="178"/>
      <c r="W46" s="149"/>
      <c r="X46" s="181" t="s">
        <v>263</v>
      </c>
      <c r="Y46" s="178"/>
      <c r="Z46" s="178"/>
      <c r="AA46" s="178"/>
      <c r="AB46" s="178"/>
      <c r="AC46" s="178"/>
      <c r="AD46" s="178"/>
      <c r="AE46" s="178"/>
      <c r="AF46" s="178"/>
      <c r="AG46" s="178"/>
      <c r="AH46" s="149"/>
      <c r="AI46" s="131" t="s">
        <v>264</v>
      </c>
      <c r="AJ46" s="178"/>
      <c r="AK46" s="178"/>
      <c r="AL46" s="178"/>
      <c r="AM46" s="178"/>
      <c r="AN46" s="178"/>
      <c r="AO46" s="178"/>
      <c r="AP46" s="178"/>
      <c r="AQ46" s="178"/>
      <c r="AR46" s="178"/>
      <c r="AS46" s="178"/>
      <c r="AT46" s="149"/>
      <c r="AU46" s="131" t="s">
        <v>265</v>
      </c>
      <c r="AV46" s="178"/>
      <c r="AW46" s="178"/>
      <c r="AX46" s="178"/>
      <c r="AY46" s="178"/>
      <c r="AZ46" s="178"/>
      <c r="BA46" s="178"/>
      <c r="BB46" s="178"/>
      <c r="BC46" s="178"/>
      <c r="BD46" s="178"/>
      <c r="BE46" s="178"/>
      <c r="BF46" s="182"/>
    </row>
    <row r="47" spans="2:58" ht="13" customHeight="1" x14ac:dyDescent="0.25">
      <c r="B47" s="201"/>
      <c r="C47" s="185"/>
      <c r="D47" s="185"/>
      <c r="E47" s="185"/>
      <c r="F47" s="185"/>
      <c r="G47" s="185"/>
      <c r="H47" s="185"/>
      <c r="I47" s="185"/>
      <c r="J47" s="185"/>
      <c r="K47" s="185"/>
      <c r="L47" s="186"/>
      <c r="M47" s="204"/>
      <c r="N47" s="185"/>
      <c r="O47" s="185"/>
      <c r="P47" s="185"/>
      <c r="Q47" s="185"/>
      <c r="R47" s="185"/>
      <c r="S47" s="185"/>
      <c r="T47" s="185"/>
      <c r="U47" s="185"/>
      <c r="V47" s="185"/>
      <c r="W47" s="186"/>
      <c r="X47" s="205"/>
      <c r="Y47" s="185"/>
      <c r="Z47" s="185"/>
      <c r="AA47" s="185"/>
      <c r="AB47" s="185"/>
      <c r="AC47" s="185"/>
      <c r="AD47" s="185"/>
      <c r="AE47" s="185"/>
      <c r="AF47" s="185"/>
      <c r="AG47" s="185"/>
      <c r="AH47" s="186"/>
      <c r="AI47" s="193"/>
      <c r="AJ47" s="185"/>
      <c r="AK47" s="185"/>
      <c r="AL47" s="185"/>
      <c r="AM47" s="185"/>
      <c r="AN47" s="185"/>
      <c r="AO47" s="185"/>
      <c r="AP47" s="185"/>
      <c r="AQ47" s="185"/>
      <c r="AR47" s="185"/>
      <c r="AS47" s="185"/>
      <c r="AT47" s="186"/>
      <c r="AU47" s="193"/>
      <c r="AV47" s="185"/>
      <c r="AW47" s="185"/>
      <c r="AX47" s="185"/>
      <c r="AY47" s="185"/>
      <c r="AZ47" s="185"/>
      <c r="BA47" s="185"/>
      <c r="BB47" s="185"/>
      <c r="BC47" s="185"/>
      <c r="BD47" s="185"/>
      <c r="BE47" s="185"/>
      <c r="BF47" s="194"/>
    </row>
    <row r="48" spans="2:58" ht="13" customHeight="1" x14ac:dyDescent="0.25">
      <c r="B48" s="202"/>
      <c r="C48" s="188"/>
      <c r="D48" s="188"/>
      <c r="E48" s="188"/>
      <c r="F48" s="188"/>
      <c r="G48" s="188"/>
      <c r="H48" s="188"/>
      <c r="I48" s="188"/>
      <c r="J48" s="188"/>
      <c r="K48" s="188"/>
      <c r="L48" s="189"/>
      <c r="M48" s="187"/>
      <c r="N48" s="188"/>
      <c r="O48" s="188"/>
      <c r="P48" s="188"/>
      <c r="Q48" s="188"/>
      <c r="R48" s="188"/>
      <c r="S48" s="188"/>
      <c r="T48" s="188"/>
      <c r="U48" s="188"/>
      <c r="V48" s="188"/>
      <c r="W48" s="189"/>
      <c r="X48" s="187"/>
      <c r="Y48" s="188"/>
      <c r="Z48" s="188"/>
      <c r="AA48" s="188"/>
      <c r="AB48" s="188"/>
      <c r="AC48" s="188"/>
      <c r="AD48" s="188"/>
      <c r="AE48" s="188"/>
      <c r="AF48" s="188"/>
      <c r="AG48" s="188"/>
      <c r="AH48" s="189"/>
      <c r="AI48" s="187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9"/>
      <c r="AU48" s="187"/>
      <c r="AV48" s="188"/>
      <c r="AW48" s="188"/>
      <c r="AX48" s="188"/>
      <c r="AY48" s="188"/>
      <c r="AZ48" s="188"/>
      <c r="BA48" s="188"/>
      <c r="BB48" s="188"/>
      <c r="BC48" s="188"/>
      <c r="BD48" s="188"/>
      <c r="BE48" s="188"/>
      <c r="BF48" s="195"/>
    </row>
    <row r="49" spans="2:58" ht="13" customHeight="1" x14ac:dyDescent="0.25">
      <c r="B49" s="202"/>
      <c r="C49" s="188"/>
      <c r="D49" s="188"/>
      <c r="E49" s="188"/>
      <c r="F49" s="188"/>
      <c r="G49" s="188"/>
      <c r="H49" s="188"/>
      <c r="I49" s="188"/>
      <c r="J49" s="188"/>
      <c r="K49" s="188"/>
      <c r="L49" s="189"/>
      <c r="M49" s="187"/>
      <c r="N49" s="188"/>
      <c r="O49" s="188"/>
      <c r="P49" s="188"/>
      <c r="Q49" s="188"/>
      <c r="R49" s="188"/>
      <c r="S49" s="188"/>
      <c r="T49" s="188"/>
      <c r="U49" s="188"/>
      <c r="V49" s="188"/>
      <c r="W49" s="189"/>
      <c r="X49" s="187"/>
      <c r="Y49" s="188"/>
      <c r="Z49" s="188"/>
      <c r="AA49" s="188"/>
      <c r="AB49" s="188"/>
      <c r="AC49" s="188"/>
      <c r="AD49" s="188"/>
      <c r="AE49" s="188"/>
      <c r="AF49" s="188"/>
      <c r="AG49" s="188"/>
      <c r="AH49" s="189"/>
      <c r="AI49" s="187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9"/>
      <c r="AU49" s="187"/>
      <c r="AV49" s="188"/>
      <c r="AW49" s="188"/>
      <c r="AX49" s="188"/>
      <c r="AY49" s="188"/>
      <c r="AZ49" s="188"/>
      <c r="BA49" s="188"/>
      <c r="BB49" s="188"/>
      <c r="BC49" s="188"/>
      <c r="BD49" s="188"/>
      <c r="BE49" s="188"/>
      <c r="BF49" s="195"/>
    </row>
    <row r="50" spans="2:58" ht="13" customHeight="1" x14ac:dyDescent="0.25">
      <c r="B50" s="202"/>
      <c r="C50" s="188"/>
      <c r="D50" s="188"/>
      <c r="E50" s="188"/>
      <c r="F50" s="188"/>
      <c r="G50" s="188"/>
      <c r="H50" s="188"/>
      <c r="I50" s="188"/>
      <c r="J50" s="188"/>
      <c r="K50" s="188"/>
      <c r="L50" s="189"/>
      <c r="M50" s="187"/>
      <c r="N50" s="188"/>
      <c r="O50" s="188"/>
      <c r="P50" s="188"/>
      <c r="Q50" s="188"/>
      <c r="R50" s="188"/>
      <c r="S50" s="188"/>
      <c r="T50" s="188"/>
      <c r="U50" s="188"/>
      <c r="V50" s="188"/>
      <c r="W50" s="189"/>
      <c r="X50" s="187"/>
      <c r="Y50" s="188"/>
      <c r="Z50" s="188"/>
      <c r="AA50" s="188"/>
      <c r="AB50" s="188"/>
      <c r="AC50" s="188"/>
      <c r="AD50" s="188"/>
      <c r="AE50" s="188"/>
      <c r="AF50" s="188"/>
      <c r="AG50" s="188"/>
      <c r="AH50" s="189"/>
      <c r="AI50" s="187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9"/>
      <c r="AU50" s="187"/>
      <c r="AV50" s="188"/>
      <c r="AW50" s="188"/>
      <c r="AX50" s="188"/>
      <c r="AY50" s="188"/>
      <c r="AZ50" s="188"/>
      <c r="BA50" s="188"/>
      <c r="BB50" s="188"/>
      <c r="BC50" s="188"/>
      <c r="BD50" s="188"/>
      <c r="BE50" s="188"/>
      <c r="BF50" s="195"/>
    </row>
    <row r="51" spans="2:58" ht="13" customHeight="1" x14ac:dyDescent="0.25">
      <c r="B51" s="202"/>
      <c r="C51" s="188"/>
      <c r="D51" s="188"/>
      <c r="E51" s="188"/>
      <c r="F51" s="188"/>
      <c r="G51" s="188"/>
      <c r="H51" s="188"/>
      <c r="I51" s="188"/>
      <c r="J51" s="188"/>
      <c r="K51" s="188"/>
      <c r="L51" s="189"/>
      <c r="M51" s="187"/>
      <c r="N51" s="188"/>
      <c r="O51" s="188"/>
      <c r="P51" s="188"/>
      <c r="Q51" s="188"/>
      <c r="R51" s="188"/>
      <c r="S51" s="188"/>
      <c r="T51" s="188"/>
      <c r="U51" s="188"/>
      <c r="V51" s="188"/>
      <c r="W51" s="189"/>
      <c r="X51" s="187"/>
      <c r="Y51" s="188"/>
      <c r="Z51" s="188"/>
      <c r="AA51" s="188"/>
      <c r="AB51" s="188"/>
      <c r="AC51" s="188"/>
      <c r="AD51" s="188"/>
      <c r="AE51" s="188"/>
      <c r="AF51" s="188"/>
      <c r="AG51" s="188"/>
      <c r="AH51" s="189"/>
      <c r="AI51" s="187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9"/>
      <c r="AU51" s="187"/>
      <c r="AV51" s="188"/>
      <c r="AW51" s="188"/>
      <c r="AX51" s="188"/>
      <c r="AY51" s="188"/>
      <c r="AZ51" s="188"/>
      <c r="BA51" s="188"/>
      <c r="BB51" s="188"/>
      <c r="BC51" s="188"/>
      <c r="BD51" s="188"/>
      <c r="BE51" s="188"/>
      <c r="BF51" s="195"/>
    </row>
    <row r="52" spans="2:58" ht="13" customHeight="1" x14ac:dyDescent="0.25">
      <c r="B52" s="203"/>
      <c r="C52" s="191"/>
      <c r="D52" s="191"/>
      <c r="E52" s="191"/>
      <c r="F52" s="191"/>
      <c r="G52" s="191"/>
      <c r="H52" s="191"/>
      <c r="I52" s="191"/>
      <c r="J52" s="191"/>
      <c r="K52" s="191"/>
      <c r="L52" s="148"/>
      <c r="M52" s="190"/>
      <c r="N52" s="191"/>
      <c r="O52" s="191"/>
      <c r="P52" s="191"/>
      <c r="Q52" s="191"/>
      <c r="R52" s="191"/>
      <c r="S52" s="191"/>
      <c r="T52" s="191"/>
      <c r="U52" s="191"/>
      <c r="V52" s="191"/>
      <c r="W52" s="148"/>
      <c r="X52" s="190"/>
      <c r="Y52" s="191"/>
      <c r="Z52" s="191"/>
      <c r="AA52" s="191"/>
      <c r="AB52" s="191"/>
      <c r="AC52" s="191"/>
      <c r="AD52" s="191"/>
      <c r="AE52" s="191"/>
      <c r="AF52" s="191"/>
      <c r="AG52" s="191"/>
      <c r="AH52" s="148"/>
      <c r="AI52" s="190"/>
      <c r="AJ52" s="191"/>
      <c r="AK52" s="191"/>
      <c r="AL52" s="191"/>
      <c r="AM52" s="191"/>
      <c r="AN52" s="191"/>
      <c r="AO52" s="191"/>
      <c r="AP52" s="191"/>
      <c r="AQ52" s="191"/>
      <c r="AR52" s="191"/>
      <c r="AS52" s="191"/>
      <c r="AT52" s="148"/>
      <c r="AU52" s="190"/>
      <c r="AV52" s="191"/>
      <c r="AW52" s="191"/>
      <c r="AX52" s="191"/>
      <c r="AY52" s="191"/>
      <c r="AZ52" s="191"/>
      <c r="BA52" s="191"/>
      <c r="BB52" s="191"/>
      <c r="BC52" s="191"/>
      <c r="BD52" s="191"/>
      <c r="BE52" s="191"/>
      <c r="BF52" s="196"/>
    </row>
    <row r="53" spans="2:58" ht="13" customHeight="1" x14ac:dyDescent="0.25">
      <c r="B53" s="180" t="s">
        <v>266</v>
      </c>
      <c r="C53" s="178"/>
      <c r="D53" s="178"/>
      <c r="E53" s="178"/>
      <c r="F53" s="178"/>
      <c r="G53" s="178"/>
      <c r="H53" s="178"/>
      <c r="I53" s="178"/>
      <c r="J53" s="178"/>
      <c r="K53" s="178"/>
      <c r="L53" s="149"/>
      <c r="M53" s="183" t="s">
        <v>267</v>
      </c>
      <c r="N53" s="178"/>
      <c r="O53" s="178"/>
      <c r="P53" s="178"/>
      <c r="Q53" s="178"/>
      <c r="R53" s="178"/>
      <c r="S53" s="178"/>
      <c r="T53" s="178"/>
      <c r="U53" s="178"/>
      <c r="V53" s="178"/>
      <c r="W53" s="149"/>
      <c r="X53" s="181" t="s">
        <v>268</v>
      </c>
      <c r="Y53" s="178"/>
      <c r="Z53" s="178"/>
      <c r="AA53" s="178"/>
      <c r="AB53" s="178"/>
      <c r="AC53" s="178"/>
      <c r="AD53" s="178"/>
      <c r="AE53" s="178"/>
      <c r="AF53" s="178"/>
      <c r="AG53" s="178"/>
      <c r="AH53" s="149"/>
      <c r="AI53" s="131" t="s">
        <v>269</v>
      </c>
      <c r="AJ53" s="178"/>
      <c r="AK53" s="178"/>
      <c r="AL53" s="178"/>
      <c r="AM53" s="178"/>
      <c r="AN53" s="178"/>
      <c r="AO53" s="178"/>
      <c r="AP53" s="178"/>
      <c r="AQ53" s="178"/>
      <c r="AR53" s="178"/>
      <c r="AS53" s="178"/>
      <c r="AT53" s="149"/>
      <c r="AU53" s="131" t="s">
        <v>270</v>
      </c>
      <c r="AV53" s="178"/>
      <c r="AW53" s="178"/>
      <c r="AX53" s="178"/>
      <c r="AY53" s="178"/>
      <c r="AZ53" s="178"/>
      <c r="BA53" s="178"/>
      <c r="BB53" s="178"/>
      <c r="BC53" s="178"/>
      <c r="BD53" s="178"/>
      <c r="BE53" s="178"/>
      <c r="BF53" s="182"/>
    </row>
    <row r="54" spans="2:58" ht="13" customHeight="1" x14ac:dyDescent="0.25">
      <c r="B54" s="201"/>
      <c r="C54" s="185"/>
      <c r="D54" s="185"/>
      <c r="E54" s="185"/>
      <c r="F54" s="185"/>
      <c r="G54" s="185"/>
      <c r="H54" s="185"/>
      <c r="I54" s="185"/>
      <c r="J54" s="185"/>
      <c r="K54" s="185"/>
      <c r="L54" s="186"/>
      <c r="M54" s="209"/>
      <c r="N54" s="185"/>
      <c r="O54" s="185"/>
      <c r="P54" s="185"/>
      <c r="Q54" s="185"/>
      <c r="R54" s="185"/>
      <c r="S54" s="185"/>
      <c r="T54" s="185"/>
      <c r="U54" s="185"/>
      <c r="V54" s="185"/>
      <c r="W54" s="186"/>
      <c r="X54" s="205"/>
      <c r="Y54" s="185"/>
      <c r="Z54" s="185"/>
      <c r="AA54" s="185"/>
      <c r="AB54" s="185"/>
      <c r="AC54" s="185"/>
      <c r="AD54" s="185"/>
      <c r="AE54" s="185"/>
      <c r="AF54" s="185"/>
      <c r="AG54" s="185"/>
      <c r="AH54" s="186"/>
      <c r="AI54" s="193"/>
      <c r="AJ54" s="185"/>
      <c r="AK54" s="185"/>
      <c r="AL54" s="185"/>
      <c r="AM54" s="185"/>
      <c r="AN54" s="185"/>
      <c r="AO54" s="185"/>
      <c r="AP54" s="185"/>
      <c r="AQ54" s="185"/>
      <c r="AR54" s="185"/>
      <c r="AS54" s="185"/>
      <c r="AT54" s="186"/>
      <c r="AU54" s="193"/>
      <c r="AV54" s="185"/>
      <c r="AW54" s="185"/>
      <c r="AX54" s="185"/>
      <c r="AY54" s="185"/>
      <c r="AZ54" s="185"/>
      <c r="BA54" s="185"/>
      <c r="BB54" s="185"/>
      <c r="BC54" s="185"/>
      <c r="BD54" s="185"/>
      <c r="BE54" s="185"/>
      <c r="BF54" s="194"/>
    </row>
    <row r="55" spans="2:58" ht="13" customHeight="1" x14ac:dyDescent="0.25">
      <c r="B55" s="202"/>
      <c r="C55" s="188"/>
      <c r="D55" s="188"/>
      <c r="E55" s="188"/>
      <c r="F55" s="188"/>
      <c r="G55" s="188"/>
      <c r="H55" s="188"/>
      <c r="I55" s="188"/>
      <c r="J55" s="188"/>
      <c r="K55" s="188"/>
      <c r="L55" s="189"/>
      <c r="M55" s="187"/>
      <c r="N55" s="188"/>
      <c r="O55" s="188"/>
      <c r="P55" s="188"/>
      <c r="Q55" s="188"/>
      <c r="R55" s="188"/>
      <c r="S55" s="188"/>
      <c r="T55" s="188"/>
      <c r="U55" s="188"/>
      <c r="V55" s="188"/>
      <c r="W55" s="189"/>
      <c r="X55" s="187"/>
      <c r="Y55" s="188"/>
      <c r="Z55" s="188"/>
      <c r="AA55" s="188"/>
      <c r="AB55" s="188"/>
      <c r="AC55" s="188"/>
      <c r="AD55" s="188"/>
      <c r="AE55" s="188"/>
      <c r="AF55" s="188"/>
      <c r="AG55" s="188"/>
      <c r="AH55" s="189"/>
      <c r="AI55" s="187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9"/>
      <c r="AU55" s="187"/>
      <c r="AV55" s="188"/>
      <c r="AW55" s="188"/>
      <c r="AX55" s="188"/>
      <c r="AY55" s="188"/>
      <c r="AZ55" s="188"/>
      <c r="BA55" s="188"/>
      <c r="BB55" s="188"/>
      <c r="BC55" s="188"/>
      <c r="BD55" s="188"/>
      <c r="BE55" s="188"/>
      <c r="BF55" s="195"/>
    </row>
    <row r="56" spans="2:58" ht="13" customHeight="1" x14ac:dyDescent="0.25">
      <c r="B56" s="202"/>
      <c r="C56" s="188"/>
      <c r="D56" s="188"/>
      <c r="E56" s="188"/>
      <c r="F56" s="188"/>
      <c r="G56" s="188"/>
      <c r="H56" s="188"/>
      <c r="I56" s="188"/>
      <c r="J56" s="188"/>
      <c r="K56" s="188"/>
      <c r="L56" s="189"/>
      <c r="M56" s="187"/>
      <c r="N56" s="188"/>
      <c r="O56" s="188"/>
      <c r="P56" s="188"/>
      <c r="Q56" s="188"/>
      <c r="R56" s="188"/>
      <c r="S56" s="188"/>
      <c r="T56" s="188"/>
      <c r="U56" s="188"/>
      <c r="V56" s="188"/>
      <c r="W56" s="189"/>
      <c r="X56" s="187"/>
      <c r="Y56" s="188"/>
      <c r="Z56" s="188"/>
      <c r="AA56" s="188"/>
      <c r="AB56" s="188"/>
      <c r="AC56" s="188"/>
      <c r="AD56" s="188"/>
      <c r="AE56" s="188"/>
      <c r="AF56" s="188"/>
      <c r="AG56" s="188"/>
      <c r="AH56" s="189"/>
      <c r="AI56" s="187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9"/>
      <c r="AU56" s="187"/>
      <c r="AV56" s="188"/>
      <c r="AW56" s="188"/>
      <c r="AX56" s="188"/>
      <c r="AY56" s="188"/>
      <c r="AZ56" s="188"/>
      <c r="BA56" s="188"/>
      <c r="BB56" s="188"/>
      <c r="BC56" s="188"/>
      <c r="BD56" s="188"/>
      <c r="BE56" s="188"/>
      <c r="BF56" s="195"/>
    </row>
    <row r="57" spans="2:58" ht="13" customHeight="1" x14ac:dyDescent="0.25">
      <c r="B57" s="202"/>
      <c r="C57" s="188"/>
      <c r="D57" s="188"/>
      <c r="E57" s="188"/>
      <c r="F57" s="188"/>
      <c r="G57" s="188"/>
      <c r="H57" s="188"/>
      <c r="I57" s="188"/>
      <c r="J57" s="188"/>
      <c r="K57" s="188"/>
      <c r="L57" s="189"/>
      <c r="M57" s="187"/>
      <c r="N57" s="188"/>
      <c r="O57" s="188"/>
      <c r="P57" s="188"/>
      <c r="Q57" s="188"/>
      <c r="R57" s="188"/>
      <c r="S57" s="188"/>
      <c r="T57" s="188"/>
      <c r="U57" s="188"/>
      <c r="V57" s="188"/>
      <c r="W57" s="189"/>
      <c r="X57" s="187"/>
      <c r="Y57" s="188"/>
      <c r="Z57" s="188"/>
      <c r="AA57" s="188"/>
      <c r="AB57" s="188"/>
      <c r="AC57" s="188"/>
      <c r="AD57" s="188"/>
      <c r="AE57" s="188"/>
      <c r="AF57" s="188"/>
      <c r="AG57" s="188"/>
      <c r="AH57" s="189"/>
      <c r="AI57" s="187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9"/>
      <c r="AU57" s="187"/>
      <c r="AV57" s="188"/>
      <c r="AW57" s="188"/>
      <c r="AX57" s="188"/>
      <c r="AY57" s="188"/>
      <c r="AZ57" s="188"/>
      <c r="BA57" s="188"/>
      <c r="BB57" s="188"/>
      <c r="BC57" s="188"/>
      <c r="BD57" s="188"/>
      <c r="BE57" s="188"/>
      <c r="BF57" s="195"/>
    </row>
    <row r="58" spans="2:58" ht="13" customHeight="1" x14ac:dyDescent="0.25">
      <c r="B58" s="202"/>
      <c r="C58" s="188"/>
      <c r="D58" s="188"/>
      <c r="E58" s="188"/>
      <c r="F58" s="188"/>
      <c r="G58" s="188"/>
      <c r="H58" s="188"/>
      <c r="I58" s="188"/>
      <c r="J58" s="188"/>
      <c r="K58" s="188"/>
      <c r="L58" s="189"/>
      <c r="M58" s="187"/>
      <c r="N58" s="188"/>
      <c r="O58" s="188"/>
      <c r="P58" s="188"/>
      <c r="Q58" s="188"/>
      <c r="R58" s="188"/>
      <c r="S58" s="188"/>
      <c r="T58" s="188"/>
      <c r="U58" s="188"/>
      <c r="V58" s="188"/>
      <c r="W58" s="189"/>
      <c r="X58" s="187"/>
      <c r="Y58" s="188"/>
      <c r="Z58" s="188"/>
      <c r="AA58" s="188"/>
      <c r="AB58" s="188"/>
      <c r="AC58" s="188"/>
      <c r="AD58" s="188"/>
      <c r="AE58" s="188"/>
      <c r="AF58" s="188"/>
      <c r="AG58" s="188"/>
      <c r="AH58" s="189"/>
      <c r="AI58" s="187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9"/>
      <c r="AU58" s="187"/>
      <c r="AV58" s="188"/>
      <c r="AW58" s="188"/>
      <c r="AX58" s="188"/>
      <c r="AY58" s="188"/>
      <c r="AZ58" s="188"/>
      <c r="BA58" s="188"/>
      <c r="BB58" s="188"/>
      <c r="BC58" s="188"/>
      <c r="BD58" s="188"/>
      <c r="BE58" s="188"/>
      <c r="BF58" s="195"/>
    </row>
    <row r="59" spans="2:58" ht="13" customHeight="1" x14ac:dyDescent="0.25">
      <c r="B59" s="206"/>
      <c r="C59" s="207"/>
      <c r="D59" s="207"/>
      <c r="E59" s="207"/>
      <c r="F59" s="207"/>
      <c r="G59" s="207"/>
      <c r="H59" s="207"/>
      <c r="I59" s="207"/>
      <c r="J59" s="207"/>
      <c r="K59" s="207"/>
      <c r="L59" s="208"/>
      <c r="M59" s="210"/>
      <c r="N59" s="207"/>
      <c r="O59" s="207"/>
      <c r="P59" s="207"/>
      <c r="Q59" s="207"/>
      <c r="R59" s="207"/>
      <c r="S59" s="207"/>
      <c r="T59" s="207"/>
      <c r="U59" s="207"/>
      <c r="V59" s="207"/>
      <c r="W59" s="208"/>
      <c r="X59" s="210"/>
      <c r="Y59" s="207"/>
      <c r="Z59" s="207"/>
      <c r="AA59" s="207"/>
      <c r="AB59" s="207"/>
      <c r="AC59" s="207"/>
      <c r="AD59" s="207"/>
      <c r="AE59" s="207"/>
      <c r="AF59" s="207"/>
      <c r="AG59" s="207"/>
      <c r="AH59" s="208"/>
      <c r="AI59" s="210"/>
      <c r="AJ59" s="207"/>
      <c r="AK59" s="207"/>
      <c r="AL59" s="207"/>
      <c r="AM59" s="207"/>
      <c r="AN59" s="207"/>
      <c r="AO59" s="207"/>
      <c r="AP59" s="207"/>
      <c r="AQ59" s="207"/>
      <c r="AR59" s="207"/>
      <c r="AS59" s="207"/>
      <c r="AT59" s="208"/>
      <c r="AU59" s="210"/>
      <c r="AV59" s="207"/>
      <c r="AW59" s="207"/>
      <c r="AX59" s="207"/>
      <c r="AY59" s="207"/>
      <c r="AZ59" s="207"/>
      <c r="BA59" s="207"/>
      <c r="BB59" s="207"/>
      <c r="BC59" s="207"/>
      <c r="BD59" s="207"/>
      <c r="BE59" s="207"/>
      <c r="BF59" s="211"/>
    </row>
    <row r="60" spans="2:58" ht="13" customHeight="1" x14ac:dyDescent="0.25">
      <c r="B60" s="147" t="s">
        <v>372</v>
      </c>
      <c r="C60" s="148"/>
      <c r="D60" s="9" t="s">
        <v>274</v>
      </c>
      <c r="E60" s="124" t="s">
        <v>20</v>
      </c>
      <c r="F60" s="127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28"/>
      <c r="AN60" s="128"/>
      <c r="AO60" s="129"/>
      <c r="AP60" s="129"/>
      <c r="AQ60" s="129"/>
      <c r="AR60" s="129"/>
      <c r="AS60" s="129"/>
      <c r="AT60" s="129"/>
      <c r="AU60" s="129"/>
      <c r="AV60" s="129"/>
      <c r="AW60" s="129"/>
      <c r="AX60" s="129"/>
      <c r="AY60" s="129"/>
      <c r="AZ60" s="129"/>
      <c r="BA60" s="129"/>
      <c r="BB60" s="129"/>
      <c r="BC60" s="129"/>
      <c r="BD60" s="129"/>
      <c r="BE60" s="129"/>
      <c r="BF60" s="130"/>
    </row>
    <row r="61" spans="2:58" ht="13" customHeight="1" x14ac:dyDescent="0.25">
      <c r="B61" s="123" t="s">
        <v>275</v>
      </c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31"/>
      <c r="AP61" s="131"/>
      <c r="AQ61" s="131"/>
      <c r="AR61" s="131"/>
      <c r="AS61" s="131"/>
      <c r="AT61" s="131"/>
      <c r="AU61" s="131"/>
      <c r="AV61" s="131"/>
      <c r="AW61" s="131"/>
      <c r="AX61" s="131"/>
      <c r="AY61" s="131"/>
      <c r="AZ61" s="131"/>
      <c r="BA61" s="131"/>
      <c r="BB61" s="131"/>
      <c r="BC61" s="131"/>
      <c r="BD61" s="131"/>
      <c r="BE61" s="131"/>
      <c r="BF61" s="132"/>
    </row>
    <row r="62" spans="2:58" ht="13" customHeight="1" thickBot="1" x14ac:dyDescent="0.3">
      <c r="B62" s="135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  <c r="AD62" s="126"/>
      <c r="AE62" s="126"/>
      <c r="AF62" s="126"/>
      <c r="AG62" s="126"/>
      <c r="AH62" s="126"/>
      <c r="AI62" s="126"/>
      <c r="AJ62" s="126"/>
      <c r="AK62" s="126"/>
      <c r="AL62" s="126"/>
      <c r="AM62" s="126"/>
      <c r="AN62" s="126"/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3"/>
      <c r="BB62" s="133"/>
      <c r="BC62" s="133"/>
      <c r="BD62" s="133"/>
      <c r="BE62" s="133"/>
      <c r="BF62" s="134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B2:T11"/>
  <sheetViews>
    <sheetView tabSelected="1" zoomScaleNormal="100" workbookViewId="0">
      <selection activeCell="I19" sqref="I19:J19"/>
    </sheetView>
  </sheetViews>
  <sheetFormatPr defaultColWidth="9.81640625" defaultRowHeight="13" x14ac:dyDescent="0.25"/>
  <cols>
    <col min="1" max="1" width="1.7265625" style="105" customWidth="1"/>
    <col min="2" max="7" width="13.7265625" style="105" customWidth="1"/>
    <col min="8" max="10" width="13.90625" style="105" customWidth="1"/>
    <col min="11" max="11" width="12.7265625" style="105" bestFit="1" customWidth="1"/>
    <col min="12" max="12" width="11.36328125" style="105" bestFit="1" customWidth="1"/>
    <col min="13" max="15" width="9.90625" style="105" bestFit="1" customWidth="1"/>
    <col min="16" max="16" width="12.36328125" style="105" bestFit="1" customWidth="1"/>
    <col min="17" max="17" width="9.90625" style="105" bestFit="1" customWidth="1"/>
    <col min="18" max="18" width="9.81640625" style="105"/>
  </cols>
  <sheetData>
    <row r="2" spans="2:19" x14ac:dyDescent="0.25">
      <c r="B2" s="243" t="s">
        <v>350</v>
      </c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4"/>
      <c r="N2" s="244"/>
      <c r="O2" s="244"/>
      <c r="P2" s="244"/>
      <c r="Q2" s="244"/>
      <c r="R2" s="244"/>
      <c r="S2" s="245"/>
    </row>
    <row r="3" spans="2:19" x14ac:dyDescent="0.25">
      <c r="B3" s="246" t="s">
        <v>372</v>
      </c>
      <c r="C3" s="247"/>
      <c r="D3" s="247"/>
      <c r="E3" s="247"/>
      <c r="F3" s="247"/>
      <c r="G3" s="247"/>
      <c r="H3" s="247"/>
      <c r="I3" s="247"/>
      <c r="J3" s="247"/>
      <c r="K3" s="247"/>
      <c r="L3" s="247"/>
      <c r="M3" s="247"/>
      <c r="N3" s="247"/>
      <c r="O3" s="247"/>
      <c r="P3" s="247"/>
      <c r="Q3" s="247"/>
      <c r="R3" s="247"/>
      <c r="S3" s="248"/>
    </row>
    <row r="4" spans="2:19" x14ac:dyDescent="0.25">
      <c r="B4" s="216" t="s">
        <v>351</v>
      </c>
      <c r="C4" s="91" t="s">
        <v>292</v>
      </c>
      <c r="D4" s="106" t="s">
        <v>352</v>
      </c>
      <c r="E4" s="106" t="s">
        <v>287</v>
      </c>
      <c r="F4" s="106" t="s">
        <v>288</v>
      </c>
      <c r="G4" s="91" t="s">
        <v>353</v>
      </c>
      <c r="H4" s="91" t="s">
        <v>354</v>
      </c>
      <c r="I4" s="91" t="s">
        <v>355</v>
      </c>
      <c r="J4" s="91" t="s">
        <v>356</v>
      </c>
      <c r="K4" s="106" t="s">
        <v>357</v>
      </c>
      <c r="L4" s="106" t="s">
        <v>358</v>
      </c>
      <c r="M4" s="91" t="s">
        <v>359</v>
      </c>
      <c r="N4" s="91" t="s">
        <v>360</v>
      </c>
      <c r="O4" s="91" t="s">
        <v>361</v>
      </c>
      <c r="P4" s="91" t="s">
        <v>362</v>
      </c>
      <c r="Q4" s="91" t="s">
        <v>363</v>
      </c>
      <c r="R4" s="91" t="s">
        <v>371</v>
      </c>
      <c r="S4" s="91" t="s">
        <v>370</v>
      </c>
    </row>
    <row r="5" spans="2:19" x14ac:dyDescent="0.25">
      <c r="B5" s="216"/>
      <c r="C5" s="91" t="s">
        <v>293</v>
      </c>
      <c r="D5" s="107" t="s">
        <v>364</v>
      </c>
      <c r="E5" s="91" t="s">
        <v>365</v>
      </c>
      <c r="F5" s="91" t="s">
        <v>366</v>
      </c>
      <c r="G5" s="91" t="s">
        <v>366</v>
      </c>
      <c r="H5" s="91" t="s">
        <v>366</v>
      </c>
      <c r="I5" s="91" t="s">
        <v>366</v>
      </c>
      <c r="J5" s="91" t="s">
        <v>366</v>
      </c>
      <c r="K5" s="91" t="s">
        <v>284</v>
      </c>
      <c r="L5" s="91" t="s">
        <v>282</v>
      </c>
      <c r="M5" s="91" t="s">
        <v>283</v>
      </c>
      <c r="N5" s="91" t="s">
        <v>283</v>
      </c>
      <c r="O5" s="91" t="s">
        <v>283</v>
      </c>
      <c r="P5" s="91" t="s">
        <v>281</v>
      </c>
      <c r="Q5" s="91" t="s">
        <v>281</v>
      </c>
      <c r="R5" s="91" t="s">
        <v>281</v>
      </c>
      <c r="S5" s="91" t="s">
        <v>281</v>
      </c>
    </row>
    <row r="6" spans="2:19" x14ac:dyDescent="0.25">
      <c r="B6" s="249" t="s">
        <v>372</v>
      </c>
      <c r="C6" s="249" t="s">
        <v>367</v>
      </c>
      <c r="D6" s="108">
        <v>82.85</v>
      </c>
      <c r="E6" s="108">
        <v>15.16</v>
      </c>
      <c r="F6" s="108">
        <v>541.5</v>
      </c>
      <c r="G6" s="250">
        <f>F6+F7+F8</f>
        <v>0</v>
      </c>
      <c r="H6" s="109">
        <f>F6*D6/100</f>
        <v>0</v>
      </c>
      <c r="I6" s="251">
        <f>H6+H7+H8</f>
        <v>0</v>
      </c>
      <c r="J6" s="251">
        <f t="shared" ref="J6" si="0">I6</f>
        <v>0</v>
      </c>
      <c r="K6" s="251">
        <v>3.60013</v>
      </c>
      <c r="L6" s="251">
        <v>418.872425</v>
      </c>
      <c r="M6" s="251">
        <f>K6*L6/1000</f>
        <v>0</v>
      </c>
      <c r="N6" s="251">
        <f>M6+'[1]2025.12月 '!N190</f>
        <v>0</v>
      </c>
      <c r="O6" s="251" t="e">
        <f>I6/M6*1.2/10</f>
        <v>#DIV/0!</v>
      </c>
      <c r="P6" s="252" t="s">
        <v>368</v>
      </c>
      <c r="Q6" s="251" t="e">
        <f>(I6+I9)/(K6+K9)/L6*1.2*100</f>
        <v>#DIV/0!</v>
      </c>
      <c r="R6" s="251">
        <v>2104.6215</v>
      </c>
      <c r="S6" s="251">
        <v>2586.4</v>
      </c>
    </row>
    <row r="7" spans="2:19" x14ac:dyDescent="0.25">
      <c r="B7" s="249"/>
      <c r="C7" s="249"/>
      <c r="D7" s="108">
        <v>82.91</v>
      </c>
      <c r="E7" s="108">
        <v>14.83</v>
      </c>
      <c r="F7" s="108">
        <v>508.7</v>
      </c>
      <c r="G7" s="250"/>
      <c r="H7" s="109">
        <f t="shared" ref="H7:H11" si="1">F7*D7/100</f>
        <v>0</v>
      </c>
      <c r="I7" s="251"/>
      <c r="J7" s="251"/>
      <c r="K7" s="251"/>
      <c r="L7" s="251"/>
      <c r="M7" s="251"/>
      <c r="N7" s="251"/>
      <c r="O7" s="251"/>
      <c r="P7" s="252" t="s">
        <v>368</v>
      </c>
      <c r="Q7" s="251"/>
      <c r="R7" s="251"/>
      <c r="S7" s="251"/>
    </row>
    <row r="8" spans="2:19" x14ac:dyDescent="0.25">
      <c r="B8" s="249"/>
      <c r="C8" s="249"/>
      <c r="D8" s="108">
        <v>88.02</v>
      </c>
      <c r="E8" s="108">
        <v>6.97</v>
      </c>
      <c r="F8" s="108">
        <v>202.9</v>
      </c>
      <c r="G8" s="250"/>
      <c r="H8" s="109">
        <f t="shared" si="1"/>
        <v>0</v>
      </c>
      <c r="I8" s="251"/>
      <c r="J8" s="251"/>
      <c r="K8" s="251"/>
      <c r="L8" s="251"/>
      <c r="M8" s="251"/>
      <c r="N8" s="251"/>
      <c r="O8" s="251"/>
      <c r="P8" s="252" t="s">
        <v>369</v>
      </c>
      <c r="Q8" s="251"/>
      <c r="R8" s="251"/>
      <c r="S8" s="251"/>
    </row>
    <row r="9" spans="2:19" x14ac:dyDescent="0.25">
      <c r="B9" s="249"/>
      <c r="C9" s="249"/>
      <c r="D9" s="108">
        <v>77.95</v>
      </c>
      <c r="E9" s="108">
        <v>18.53</v>
      </c>
      <c r="F9" s="108">
        <v>605.4</v>
      </c>
      <c r="G9" s="250">
        <f>F9+F10+F11</f>
        <v>0</v>
      </c>
      <c r="H9" s="109">
        <f>F9*D9/100</f>
        <v>0</v>
      </c>
      <c r="I9" s="251">
        <f>H9+H10+H11</f>
        <v>0</v>
      </c>
      <c r="J9" s="251">
        <f>J6+I9</f>
        <v>0</v>
      </c>
      <c r="K9" s="251">
        <v>3.59981</v>
      </c>
      <c r="L9" s="251">
        <v>418.6017833333333</v>
      </c>
      <c r="M9" s="251">
        <f>K9*L9/1000</f>
        <v>0</v>
      </c>
      <c r="N9" s="251">
        <f>M9+N6</f>
        <v>0</v>
      </c>
      <c r="O9" s="251" t="e">
        <f>I9/M9*1.2/10</f>
        <v>#DIV/0!</v>
      </c>
      <c r="P9" s="252" t="s">
        <v>368</v>
      </c>
      <c r="Q9" s="251"/>
      <c r="R9" s="251"/>
      <c r="S9" s="251"/>
    </row>
    <row r="10" spans="2:19" x14ac:dyDescent="0.25">
      <c r="B10" s="249"/>
      <c r="C10" s="249"/>
      <c r="D10" s="108">
        <v>78.22</v>
      </c>
      <c r="E10" s="108">
        <v>18</v>
      </c>
      <c r="F10" s="108">
        <v>555.3</v>
      </c>
      <c r="G10" s="250"/>
      <c r="H10" s="109">
        <f t="shared" si="1"/>
        <v>0</v>
      </c>
      <c r="I10" s="251"/>
      <c r="J10" s="251"/>
      <c r="K10" s="251"/>
      <c r="L10" s="251"/>
      <c r="M10" s="251"/>
      <c r="N10" s="251"/>
      <c r="O10" s="251"/>
      <c r="P10" s="252" t="s">
        <v>368</v>
      </c>
      <c r="Q10" s="251"/>
      <c r="R10" s="251"/>
      <c r="S10" s="251"/>
    </row>
    <row r="11" spans="2:19" x14ac:dyDescent="0.25">
      <c r="B11" s="249"/>
      <c r="C11" s="249"/>
      <c r="D11" s="108">
        <v>86.54</v>
      </c>
      <c r="E11" s="108">
        <v>6.91</v>
      </c>
      <c r="F11" s="108">
        <v>172.6</v>
      </c>
      <c r="G11" s="250"/>
      <c r="H11" s="109">
        <f t="shared" si="1"/>
        <v>0</v>
      </c>
      <c r="I11" s="251"/>
      <c r="J11" s="251"/>
      <c r="K11" s="251"/>
      <c r="L11" s="251"/>
      <c r="M11" s="251"/>
      <c r="N11" s="251"/>
      <c r="O11" s="251"/>
      <c r="P11" s="252" t="s">
        <v>369</v>
      </c>
      <c r="Q11" s="251"/>
      <c r="R11" s="251"/>
      <c r="S11" s="251"/>
    </row>
  </sheetData>
  <mergeCells count="24"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  <mergeCell ref="S6:S11"/>
    <mergeCell ref="R6:R11"/>
    <mergeCell ref="N9:N11"/>
    <mergeCell ref="O9:O11"/>
    <mergeCell ref="K6:K8"/>
    <mergeCell ref="L6:L8"/>
    <mergeCell ref="M6:M8"/>
    <mergeCell ref="N6:N8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K35"/>
  <sheetViews>
    <sheetView zoomScaleNormal="100" workbookViewId="0">
      <selection activeCell="O16" sqref="O16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5" customHeight="1" x14ac:dyDescent="0.25">
      <c r="B2" s="220" t="s">
        <v>349</v>
      </c>
      <c r="C2" s="221"/>
      <c r="D2" s="221"/>
      <c r="E2" s="221"/>
      <c r="F2" s="221"/>
      <c r="G2" s="221"/>
      <c r="H2" s="221"/>
      <c r="I2" s="221"/>
      <c r="J2" s="222"/>
    </row>
    <row r="3" spans="2:10" ht="20.15" customHeight="1" x14ac:dyDescent="0.25">
      <c r="B3" s="85"/>
      <c r="C3" s="86"/>
      <c r="D3" s="86"/>
      <c r="E3" s="86"/>
      <c r="F3" s="86"/>
      <c r="G3" s="87"/>
      <c r="H3" s="223"/>
      <c r="I3" s="223"/>
      <c r="J3" s="224"/>
    </row>
    <row r="4" spans="2:10" ht="21" x14ac:dyDescent="0.25">
      <c r="B4" s="225" t="s">
        <v>292</v>
      </c>
      <c r="C4" s="226"/>
      <c r="D4" s="227"/>
      <c r="E4" s="88" t="s">
        <v>293</v>
      </c>
      <c r="F4" s="88" t="s">
        <v>294</v>
      </c>
      <c r="G4" s="88" t="s">
        <v>295</v>
      </c>
      <c r="H4" s="228" t="s">
        <v>296</v>
      </c>
      <c r="I4" s="227"/>
      <c r="J4" s="89" t="s">
        <v>297</v>
      </c>
    </row>
    <row r="5" spans="2:10" x14ac:dyDescent="0.25">
      <c r="B5" s="90" t="s">
        <v>298</v>
      </c>
      <c r="C5" s="216" t="s">
        <v>299</v>
      </c>
      <c r="D5" s="216"/>
      <c r="E5" s="91" t="s">
        <v>283</v>
      </c>
      <c r="F5" s="92">
        <v>90</v>
      </c>
      <c r="G5" s="93">
        <v>83.7422451739992</v>
      </c>
      <c r="H5" s="94">
        <f>(G5-F5)/F5*100</f>
        <v>-100</v>
      </c>
      <c r="I5" s="95" t="s">
        <v>283</v>
      </c>
      <c r="J5" s="96"/>
    </row>
    <row r="6" spans="2:10" x14ac:dyDescent="0.25">
      <c r="B6" s="217" t="s">
        <v>300</v>
      </c>
      <c r="C6" s="216" t="s">
        <v>301</v>
      </c>
      <c r="D6" s="216"/>
      <c r="E6" s="91" t="s">
        <v>280</v>
      </c>
      <c r="F6" s="92" t="s">
        <v>302</v>
      </c>
      <c r="G6" s="93">
        <v>1432.5055720345676</v>
      </c>
      <c r="H6" s="97" t="str">
        <f>IF($G6="","",IF(AND($G6&gt;=0,$G6&lt;=1427),"合格","不合格"))</f>
        <v/>
      </c>
      <c r="I6" s="98" t="s">
        <v>4</v>
      </c>
      <c r="J6" s="96"/>
    </row>
    <row r="7" spans="2:10" x14ac:dyDescent="0.25">
      <c r="B7" s="218"/>
      <c r="C7" s="216" t="s">
        <v>303</v>
      </c>
      <c r="D7" s="216"/>
      <c r="E7" s="91" t="s">
        <v>280</v>
      </c>
      <c r="F7" s="92" t="s">
        <v>304</v>
      </c>
      <c r="G7" s="93">
        <v>225.86911708352307</v>
      </c>
      <c r="H7" s="97" t="str">
        <f>IF($G7="","",IF(AND($G7&gt;=210,$G7&lt;=220),"合格","不合格"))</f>
        <v/>
      </c>
      <c r="I7" s="98" t="s">
        <v>4</v>
      </c>
      <c r="J7" s="96"/>
    </row>
    <row r="8" spans="2:10" x14ac:dyDescent="0.25">
      <c r="B8" s="219"/>
      <c r="C8" s="216" t="s">
        <v>305</v>
      </c>
      <c r="D8" s="216"/>
      <c r="E8" s="91" t="s">
        <v>280</v>
      </c>
      <c r="F8" s="92" t="s">
        <v>306</v>
      </c>
      <c r="G8" s="93">
        <v>255.3380263387027</v>
      </c>
      <c r="H8" s="97" t="str">
        <f>IF($G8="","",IF(AND($G8&gt;=190,$G8&lt;=210),"合格","不合格"))</f>
        <v/>
      </c>
      <c r="I8" s="98" t="s">
        <v>4</v>
      </c>
      <c r="J8" s="96"/>
    </row>
    <row r="9" spans="2:10" x14ac:dyDescent="0.25">
      <c r="B9" s="217" t="s">
        <v>307</v>
      </c>
      <c r="C9" s="91" t="s">
        <v>308</v>
      </c>
      <c r="D9" s="91" t="s">
        <v>309</v>
      </c>
      <c r="E9" s="91" t="s">
        <v>310</v>
      </c>
      <c r="F9" s="92" t="s">
        <v>311</v>
      </c>
      <c r="G9" s="93">
        <v>418.73710416666665</v>
      </c>
      <c r="H9" s="97" t="str">
        <f>IF($G9="","",IF(AND($G9&gt;=412,$G9&lt;=422),"合格","不合格"))</f>
        <v/>
      </c>
      <c r="I9" s="98" t="s">
        <v>4</v>
      </c>
      <c r="J9" s="96"/>
    </row>
    <row r="10" spans="2:10" x14ac:dyDescent="0.25">
      <c r="B10" s="218"/>
      <c r="C10" s="216" t="s">
        <v>312</v>
      </c>
      <c r="D10" s="91" t="s">
        <v>313</v>
      </c>
      <c r="E10" s="98" t="s">
        <v>4</v>
      </c>
      <c r="F10" s="92" t="s">
        <v>314</v>
      </c>
      <c r="G10" s="93">
        <v>0.5303547708333334</v>
      </c>
      <c r="H10" s="97" t="str">
        <f>IF($G10="","",IF(AND($G10&gt;=0.525,$G10&lt;=0.5357),"合格","不合格"))</f>
        <v/>
      </c>
      <c r="I10" s="98" t="s">
        <v>4</v>
      </c>
      <c r="J10" s="96"/>
    </row>
    <row r="11" spans="2:10" x14ac:dyDescent="0.25">
      <c r="B11" s="218"/>
      <c r="C11" s="216"/>
      <c r="D11" s="91" t="s">
        <v>315</v>
      </c>
      <c r="E11" s="91" t="s">
        <v>316</v>
      </c>
      <c r="F11" s="92">
        <v>46.63</v>
      </c>
      <c r="G11" s="93">
        <v>46.652650905808386</v>
      </c>
      <c r="H11" s="97" t="s">
        <v>317</v>
      </c>
      <c r="I11" s="98" t="s">
        <v>4</v>
      </c>
      <c r="J11" s="96"/>
    </row>
    <row r="12" spans="2:10" x14ac:dyDescent="0.25">
      <c r="B12" s="218"/>
      <c r="C12" s="216"/>
      <c r="D12" s="91" t="s">
        <v>318</v>
      </c>
      <c r="E12" s="91" t="s">
        <v>285</v>
      </c>
      <c r="F12" s="92" t="s">
        <v>319</v>
      </c>
      <c r="G12" s="93">
        <v>0.7346499166666667</v>
      </c>
      <c r="H12" s="97" t="str">
        <f>IF($G12="","",IF(AND($G12&gt;=0.745,$G12&lt;=0.755),"合格","不合格"))</f>
        <v/>
      </c>
      <c r="I12" s="98" t="s">
        <v>4</v>
      </c>
      <c r="J12" s="96"/>
    </row>
    <row r="13" spans="2:10" x14ac:dyDescent="0.25">
      <c r="B13" s="218"/>
      <c r="C13" s="216"/>
      <c r="D13" s="91" t="s">
        <v>320</v>
      </c>
      <c r="E13" s="91" t="s">
        <v>286</v>
      </c>
      <c r="F13" s="92" t="s">
        <v>321</v>
      </c>
      <c r="G13" s="93">
        <v>90.57315541666667</v>
      </c>
      <c r="H13" s="97" t="str">
        <f>IF($G13="","",IF(AND($G13&gt;=88,$G13&lt;=92),"合格","不合格"))</f>
        <v/>
      </c>
      <c r="I13" s="98" t="s">
        <v>4</v>
      </c>
      <c r="J13" s="96"/>
    </row>
    <row r="14" spans="2:10" x14ac:dyDescent="0.25">
      <c r="B14" s="218"/>
      <c r="C14" s="216"/>
      <c r="D14" s="91" t="s">
        <v>322</v>
      </c>
      <c r="E14" s="91" t="s">
        <v>286</v>
      </c>
      <c r="F14" s="92" t="s">
        <v>323</v>
      </c>
      <c r="G14" s="93">
        <v>139.49471666666665</v>
      </c>
      <c r="H14" s="97" t="str">
        <f>IF($G14="","",IF(AND($G14&gt;=143,$G14&lt;=147),"合格","不合格"))</f>
        <v/>
      </c>
      <c r="I14" s="98" t="s">
        <v>4</v>
      </c>
      <c r="J14" s="96"/>
    </row>
    <row r="15" spans="2:10" x14ac:dyDescent="0.25">
      <c r="B15" s="218"/>
      <c r="C15" s="216"/>
      <c r="D15" s="91" t="s">
        <v>324</v>
      </c>
      <c r="E15" s="91" t="s">
        <v>286</v>
      </c>
      <c r="F15" s="92" t="s">
        <v>325</v>
      </c>
      <c r="G15" s="93">
        <v>162.68054166666664</v>
      </c>
      <c r="H15" s="97" t="str">
        <f>IF($G15="","",IF(AND($G15&gt;=166,$G15&lt;=170),"合格","不合格"))</f>
        <v/>
      </c>
      <c r="I15" s="98" t="s">
        <v>4</v>
      </c>
      <c r="J15" s="96"/>
    </row>
    <row r="16" spans="2:10" x14ac:dyDescent="0.25">
      <c r="B16" s="218"/>
      <c r="C16" s="216" t="s">
        <v>326</v>
      </c>
      <c r="D16" s="91" t="s">
        <v>327</v>
      </c>
      <c r="E16" s="91" t="s">
        <v>286</v>
      </c>
      <c r="F16" s="92" t="s">
        <v>328</v>
      </c>
      <c r="G16" s="93">
        <v>47.29470958333333</v>
      </c>
      <c r="H16" s="97" t="str">
        <f>IF($G16="","",IF(AND($G16&gt;=0,$G16&lt;=45),"合格","不合格"))</f>
        <v/>
      </c>
      <c r="I16" s="98" t="s">
        <v>4</v>
      </c>
      <c r="J16" s="96"/>
    </row>
    <row r="17" spans="2:10" x14ac:dyDescent="0.25">
      <c r="B17" s="218"/>
      <c r="C17" s="216"/>
      <c r="D17" s="91" t="s">
        <v>329</v>
      </c>
      <c r="E17" s="91" t="s">
        <v>286</v>
      </c>
      <c r="F17" s="92" t="s">
        <v>330</v>
      </c>
      <c r="G17" s="93">
        <v>19.07506875</v>
      </c>
      <c r="H17" s="97" t="str">
        <f>IF($G17="","",IF(AND($G17&gt;=0,$G17&lt;=20),"合格","不合格"))</f>
        <v/>
      </c>
      <c r="I17" s="98" t="s">
        <v>4</v>
      </c>
      <c r="J17" s="96"/>
    </row>
    <row r="18" spans="2:10" x14ac:dyDescent="0.25">
      <c r="B18" s="218"/>
      <c r="C18" s="216"/>
      <c r="D18" s="91" t="s">
        <v>331</v>
      </c>
      <c r="E18" s="91" t="s">
        <v>286</v>
      </c>
      <c r="F18" s="92" t="s">
        <v>332</v>
      </c>
      <c r="G18" s="93">
        <v>0</v>
      </c>
      <c r="H18" s="97" t="str">
        <f>IF($G18="","",IF(AND($G18&gt;=46,$G18&lt;=50),"合格","不合格"))</f>
        <v/>
      </c>
      <c r="I18" s="98" t="s">
        <v>4</v>
      </c>
      <c r="J18" s="96"/>
    </row>
    <row r="19" spans="2:10" x14ac:dyDescent="0.25">
      <c r="B19" s="218"/>
      <c r="C19" s="216"/>
      <c r="D19" s="91" t="s">
        <v>333</v>
      </c>
      <c r="E19" s="91" t="s">
        <v>286</v>
      </c>
      <c r="F19" s="92" t="s">
        <v>334</v>
      </c>
      <c r="G19" s="93">
        <v>17.182375</v>
      </c>
      <c r="H19" s="97" t="str">
        <f>IF($G19="","",IF(AND($G19&gt;=0,$G19&lt;=20),"合格","不合格"))</f>
        <v/>
      </c>
      <c r="I19" s="98" t="s">
        <v>4</v>
      </c>
      <c r="J19" s="96"/>
    </row>
    <row r="20" spans="2:10" x14ac:dyDescent="0.25">
      <c r="B20" s="218"/>
      <c r="C20" s="216" t="s">
        <v>335</v>
      </c>
      <c r="D20" s="91" t="s">
        <v>89</v>
      </c>
      <c r="E20" s="91" t="s">
        <v>283</v>
      </c>
      <c r="F20" s="99" t="s">
        <v>82</v>
      </c>
      <c r="G20" s="93">
        <v>33.25</v>
      </c>
      <c r="H20" s="100" t="s">
        <v>336</v>
      </c>
      <c r="I20" s="98" t="s">
        <v>4</v>
      </c>
      <c r="J20" s="96"/>
    </row>
    <row r="21" spans="2:10" x14ac:dyDescent="0.25">
      <c r="B21" s="218"/>
      <c r="C21" s="216"/>
      <c r="D21" s="91" t="s">
        <v>92</v>
      </c>
      <c r="E21" s="91" t="s">
        <v>283</v>
      </c>
      <c r="F21" s="99" t="s">
        <v>82</v>
      </c>
      <c r="G21" s="93">
        <v>33.59</v>
      </c>
      <c r="H21" s="100" t="s">
        <v>336</v>
      </c>
      <c r="I21" s="98" t="s">
        <v>4</v>
      </c>
      <c r="J21" s="96"/>
    </row>
    <row r="22" spans="2:10" x14ac:dyDescent="0.25">
      <c r="B22" s="218"/>
      <c r="C22" s="216"/>
      <c r="D22" s="91" t="s">
        <v>337</v>
      </c>
      <c r="E22" s="98" t="s">
        <v>4</v>
      </c>
      <c r="F22" s="99" t="s">
        <v>82</v>
      </c>
      <c r="G22" s="93">
        <v>6.9366666666666665</v>
      </c>
      <c r="H22" s="100" t="s">
        <v>336</v>
      </c>
      <c r="I22" s="98" t="s">
        <v>4</v>
      </c>
      <c r="J22" s="96"/>
    </row>
    <row r="23" spans="2:10" x14ac:dyDescent="0.25">
      <c r="B23" s="218"/>
      <c r="C23" s="216"/>
      <c r="D23" s="91" t="s">
        <v>166</v>
      </c>
      <c r="E23" s="91" t="s">
        <v>310</v>
      </c>
      <c r="F23" s="99" t="s">
        <v>82</v>
      </c>
      <c r="G23" s="93">
        <v>33.69</v>
      </c>
      <c r="H23" s="100" t="s">
        <v>336</v>
      </c>
      <c r="I23" s="98" t="s">
        <v>4</v>
      </c>
      <c r="J23" s="96"/>
    </row>
    <row r="24" spans="2:10" x14ac:dyDescent="0.25">
      <c r="B24" s="219"/>
      <c r="C24" s="216"/>
      <c r="D24" s="91" t="s">
        <v>167</v>
      </c>
      <c r="E24" s="91" t="s">
        <v>310</v>
      </c>
      <c r="F24" s="99" t="s">
        <v>82</v>
      </c>
      <c r="G24" s="93">
        <v>33.79</v>
      </c>
      <c r="H24" s="100" t="s">
        <v>336</v>
      </c>
      <c r="I24" s="98" t="s">
        <v>4</v>
      </c>
      <c r="J24" s="96"/>
    </row>
    <row r="25" spans="2:10" x14ac:dyDescent="0.25">
      <c r="B25" s="229" t="s">
        <v>338</v>
      </c>
      <c r="C25" s="91" t="s">
        <v>339</v>
      </c>
      <c r="D25" s="91" t="s">
        <v>340</v>
      </c>
      <c r="E25" s="91" t="s">
        <v>341</v>
      </c>
      <c r="F25" s="92" t="s">
        <v>342</v>
      </c>
      <c r="G25" s="93">
        <v>0.16284733383176025</v>
      </c>
      <c r="H25" s="97" t="str">
        <f>IF($G25="","",IF(AND($G25&gt;=0,$G25&lt;=0.38),"合格","不合格"))</f>
        <v/>
      </c>
      <c r="I25" s="98" t="s">
        <v>4</v>
      </c>
      <c r="J25" s="96"/>
    </row>
    <row r="26" spans="2:10" x14ac:dyDescent="0.25">
      <c r="B26" s="229"/>
      <c r="C26" s="216" t="s">
        <v>343</v>
      </c>
      <c r="D26" s="91" t="s">
        <v>10</v>
      </c>
      <c r="E26" s="91" t="s">
        <v>283</v>
      </c>
      <c r="F26" s="92">
        <v>7</v>
      </c>
      <c r="G26" s="93">
        <v>21.2</v>
      </c>
      <c r="H26" s="94">
        <f>(G26-F26)</f>
        <v>-7</v>
      </c>
      <c r="I26" s="98" t="s">
        <v>283</v>
      </c>
      <c r="J26" s="96"/>
    </row>
    <row r="27" spans="2:10" x14ac:dyDescent="0.25">
      <c r="B27" s="229"/>
      <c r="C27" s="216"/>
      <c r="D27" s="91" t="s">
        <v>344</v>
      </c>
      <c r="E27" s="91" t="s">
        <v>283</v>
      </c>
      <c r="F27" s="92">
        <v>15</v>
      </c>
      <c r="G27" s="93">
        <v>21.3</v>
      </c>
      <c r="H27" s="94">
        <f t="shared" ref="H27:H31" si="0">(G27-F27)</f>
        <v>-15</v>
      </c>
      <c r="I27" s="98" t="s">
        <v>283</v>
      </c>
      <c r="J27" s="96"/>
    </row>
    <row r="28" spans="2:10" x14ac:dyDescent="0.25">
      <c r="B28" s="229"/>
      <c r="C28" s="216"/>
      <c r="D28" s="91" t="s">
        <v>345</v>
      </c>
      <c r="E28" s="91" t="s">
        <v>283</v>
      </c>
      <c r="F28" s="92">
        <v>4</v>
      </c>
      <c r="G28" s="93">
        <v>21.4</v>
      </c>
      <c r="H28" s="94">
        <f t="shared" si="0"/>
        <v>-4</v>
      </c>
      <c r="I28" s="98" t="s">
        <v>283</v>
      </c>
      <c r="J28" s="96"/>
    </row>
    <row r="29" spans="2:10" x14ac:dyDescent="0.25">
      <c r="B29" s="229"/>
      <c r="C29" s="216"/>
      <c r="D29" s="91" t="s">
        <v>166</v>
      </c>
      <c r="E29" s="91" t="s">
        <v>283</v>
      </c>
      <c r="F29" s="92">
        <v>7</v>
      </c>
      <c r="G29" s="93">
        <v>21.5</v>
      </c>
      <c r="H29" s="94">
        <f t="shared" si="0"/>
        <v>-7</v>
      </c>
      <c r="I29" s="98" t="s">
        <v>283</v>
      </c>
      <c r="J29" s="96"/>
    </row>
    <row r="30" spans="2:10" x14ac:dyDescent="0.25">
      <c r="B30" s="229"/>
      <c r="C30" s="216"/>
      <c r="D30" s="91" t="s">
        <v>167</v>
      </c>
      <c r="E30" s="91" t="s">
        <v>283</v>
      </c>
      <c r="F30" s="92">
        <v>7</v>
      </c>
      <c r="G30" s="93">
        <v>21.6</v>
      </c>
      <c r="H30" s="94">
        <f t="shared" si="0"/>
        <v>-7</v>
      </c>
      <c r="I30" s="98" t="s">
        <v>283</v>
      </c>
      <c r="J30" s="96"/>
    </row>
    <row r="31" spans="2:10" x14ac:dyDescent="0.25">
      <c r="B31" s="229"/>
      <c r="C31" s="216"/>
      <c r="D31" s="91" t="s">
        <v>346</v>
      </c>
      <c r="E31" s="91" t="s">
        <v>347</v>
      </c>
      <c r="F31" s="92">
        <v>10</v>
      </c>
      <c r="G31" s="93">
        <v>21.7</v>
      </c>
      <c r="H31" s="94">
        <f t="shared" si="0"/>
        <v>-10</v>
      </c>
      <c r="I31" s="98" t="s">
        <v>283</v>
      </c>
      <c r="J31" s="96"/>
    </row>
    <row r="32" spans="2:10" ht="14.5" thickBot="1" x14ac:dyDescent="0.3">
      <c r="B32" s="217"/>
      <c r="C32" s="230"/>
      <c r="D32" s="101" t="s">
        <v>287</v>
      </c>
      <c r="E32" s="101" t="s">
        <v>283</v>
      </c>
      <c r="F32" s="102">
        <v>50</v>
      </c>
      <c r="G32" s="103">
        <v>21.8</v>
      </c>
      <c r="H32" s="94">
        <f>(G32-F32)</f>
        <v>-50</v>
      </c>
      <c r="I32" s="98" t="s">
        <v>283</v>
      </c>
      <c r="J32" s="104"/>
    </row>
    <row r="33" spans="2:10" x14ac:dyDescent="0.25">
      <c r="B33" s="231" t="s">
        <v>348</v>
      </c>
      <c r="C33" s="234"/>
      <c r="D33" s="235"/>
      <c r="E33" s="235"/>
      <c r="F33" s="235"/>
      <c r="G33" s="235"/>
      <c r="H33" s="235"/>
      <c r="I33" s="235"/>
      <c r="J33" s="236"/>
    </row>
    <row r="34" spans="2:10" x14ac:dyDescent="0.25">
      <c r="B34" s="232"/>
      <c r="C34" s="237"/>
      <c r="D34" s="238"/>
      <c r="E34" s="238"/>
      <c r="F34" s="238"/>
      <c r="G34" s="238"/>
      <c r="H34" s="238"/>
      <c r="I34" s="238"/>
      <c r="J34" s="239"/>
    </row>
    <row r="35" spans="2:10" ht="14.5" thickBot="1" x14ac:dyDescent="0.3">
      <c r="B35" s="233"/>
      <c r="C35" s="240"/>
      <c r="D35" s="241"/>
      <c r="E35" s="241"/>
      <c r="F35" s="241"/>
      <c r="G35" s="241"/>
      <c r="H35" s="241"/>
      <c r="I35" s="241"/>
      <c r="J35" s="242"/>
    </row>
  </sheetData>
  <sheetCalcPr fullCalcOnLoad="1"/>
  <mergeCells count="17">
    <mergeCell ref="B25:B32"/>
    <mergeCell ref="C26:C32"/>
    <mergeCell ref="B33:B35"/>
    <mergeCell ref="C33:J35"/>
    <mergeCell ref="B9:B24"/>
    <mergeCell ref="C20:C24"/>
    <mergeCell ref="C16:C19"/>
    <mergeCell ref="C10:C15"/>
    <mergeCell ref="B6:B8"/>
    <mergeCell ref="C6:D6"/>
    <mergeCell ref="C7:D7"/>
    <mergeCell ref="C8:D8"/>
    <mergeCell ref="B2:J2"/>
    <mergeCell ref="H3:J3"/>
    <mergeCell ref="B4:D4"/>
    <mergeCell ref="H4:I4"/>
    <mergeCell ref="C5:D5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6</vt:i4>
      </vt:variant>
    </vt:vector>
  </HeadingPairs>
  <TitlesOfParts>
    <vt:vector baseType="lpstr" size="6">
      <vt:lpstr>白班过程记录</vt:lpstr>
      <vt:lpstr>白班曲线</vt:lpstr>
      <vt:lpstr>夜班过程记录</vt:lpstr>
      <vt:lpstr>夜班曲线</vt:lpstr>
      <vt:lpstr>台账</vt:lpstr>
      <vt:lpstr>日报表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2026-05-28T03:10:59Z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