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AFBA7D6-C5C3-4C1C-A3AC-624A2D718240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'班组＆日生产过程运行质量考评表'!$A$1:$AK$44</definedName>
  </definedNames>
  <calcPr calcId="191029"/>
</workbook>
</file>

<file path=xl/calcChain.xml><?xml version="1.0" encoding="utf-8"?>
<calcChain xmlns="http://schemas.openxmlformats.org/spreadsheetml/2006/main"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A9A84C14-28C1-4DE7-B8E9-F59C3C7F87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308442AD-CF00-4A0F-BEF7-59DA0EABFE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A56CCC72-971B-40CA-B444-1B80F6132FC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E6CFAD59-AC96-4FE2-9E98-2D8308917C2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115E47-2824-41CE-9978-5C32A1E8AC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7FC6C82F-827F-4AA8-8403-762F41BE765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877197E2-96E1-4C17-9DBB-5A0A6B1FD32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92129967-F845-43FE-8F5A-C25BDBEAF3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E76EBC0D-5E30-4F24-92C8-3B07F0258D8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8B41A775-4705-4AD5-804B-2F1C9142AFC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06CBEB-4D72-474B-BA25-C641E9AD115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28A1A1ED-E2EC-42D7-BCAB-DD8D5A67B9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5" authorId="0" shapeId="0" xr:uid="{05A120A8-01CB-4958-B658-62065CB1DB8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 shapeId="0" xr:uid="{60246A2B-21D6-43BA-941D-1869BF1A044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 shapeId="0" xr:uid="{00A40D93-BA3F-4DB3-946C-CB0E4F4D5B8D}">
      <text>
        <r>
          <rPr>
            <b/>
            <sz val="8"/>
            <color indexed="81"/>
            <rFont val="宋体"/>
            <family val="3"/>
            <charset val="134"/>
          </rPr>
          <t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 shapeId="0" xr:uid="{23D489FE-E626-47CD-A001-02AC0968B7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 shapeId="0" xr:uid="{A8F1F3BC-E8B4-46AD-A15D-72406D59AC1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 shapeId="0" xr:uid="{750C9BBB-ECFF-4036-98D7-2F63CDE2BEE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 shapeId="0" xr:uid="{5DC846CD-9453-4BC7-92D4-23A26D1E01F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 shapeId="0" xr:uid="{8E9EB913-62C9-4BB9-916E-0969EFC2BB1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 shapeId="0" xr:uid="{2EF11806-DC1D-4D25-BA95-C295A722D5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 shapeId="0" xr:uid="{C1C09320-0D37-43CF-A9F8-1169B5C460E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<sst xmlns="http://schemas.openxmlformats.org/spreadsheetml/2006/main" count="1493" uniqueCount="459">
  <si>
    <t>LT-04441
(%)</t>
    <phoneticPr fontId="1" type="noConversion"/>
  </si>
  <si>
    <t>压力</t>
    <phoneticPr fontId="1" type="noConversion"/>
  </si>
  <si>
    <t>瞬时流量</t>
    <phoneticPr fontId="1" type="noConversion"/>
  </si>
  <si>
    <t>累计量</t>
    <phoneticPr fontId="1" type="noConversion"/>
  </si>
  <si>
    <t>/</t>
    <phoneticPr fontId="1" type="noConversion"/>
  </si>
  <si>
    <t>8:00</t>
    <phoneticPr fontId="1" type="noConversion"/>
  </si>
  <si>
    <t>气化温度</t>
    <phoneticPr fontId="1" type="noConversion"/>
  </si>
  <si>
    <t>气氨流量
FT-05141</t>
    <phoneticPr fontId="1" type="noConversion"/>
  </si>
  <si>
    <t>液氨气化</t>
    <phoneticPr fontId="1" type="noConversion"/>
  </si>
  <si>
    <t>预热后
温度</t>
    <phoneticPr fontId="1" type="noConversion"/>
  </si>
  <si>
    <t>羟基乙腈</t>
    <phoneticPr fontId="1" type="noConversion"/>
  </si>
  <si>
    <t>反应前</t>
    <phoneticPr fontId="1" type="noConversion"/>
  </si>
  <si>
    <t>温度</t>
    <phoneticPr fontId="1" type="noConversion"/>
  </si>
  <si>
    <t>反应中</t>
    <phoneticPr fontId="1" type="noConversion"/>
  </si>
  <si>
    <t>反应后</t>
    <phoneticPr fontId="1" type="noConversion"/>
  </si>
  <si>
    <t>液位</t>
    <phoneticPr fontId="1" type="noConversion"/>
  </si>
  <si>
    <t>闪发器</t>
    <phoneticPr fontId="1" type="noConversion"/>
  </si>
  <si>
    <t>冷凝液罐</t>
    <phoneticPr fontId="1" type="noConversion"/>
  </si>
  <si>
    <t>稀硫酸中和</t>
    <phoneticPr fontId="1" type="noConversion"/>
  </si>
  <si>
    <t>白班</t>
    <phoneticPr fontId="1" type="noConversion"/>
  </si>
  <si>
    <t>特殊
情况
说明</t>
    <phoneticPr fontId="1" type="noConversion"/>
  </si>
  <si>
    <t>AT-06111</t>
    <phoneticPr fontId="1" type="noConversion"/>
  </si>
  <si>
    <t>TT-06125</t>
    <phoneticPr fontId="1" type="noConversion"/>
  </si>
  <si>
    <t>TT-06126</t>
    <phoneticPr fontId="1" type="noConversion"/>
  </si>
  <si>
    <t>一次结晶分离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</si>
  <si>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</si>
  <si>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</si>
  <si>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</si>
  <si>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</si>
  <si>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</si>
  <si>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</si>
  <si>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</si>
  <si>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</si>
  <si>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</si>
  <si>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</si>
  <si>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真空水箱
液位</t>
    <phoneticPr fontId="1" type="noConversion"/>
  </si>
  <si>
    <t>真空泵
水温</t>
    <phoneticPr fontId="1" type="noConversion"/>
  </si>
  <si>
    <t>FT-07137</t>
    <phoneticPr fontId="1" type="noConversion"/>
  </si>
  <si>
    <t>低蒸结晶器</t>
    <phoneticPr fontId="1" type="noConversion"/>
  </si>
  <si>
    <t>LT-08181</t>
    <phoneticPr fontId="1" type="noConversion"/>
  </si>
  <si>
    <t>TT-08171</t>
    <phoneticPr fontId="1" type="noConversion"/>
  </si>
  <si>
    <t>SIC-08P01</t>
    <phoneticPr fontId="1" type="noConversion"/>
  </si>
  <si>
    <t>FT-08122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</si>
  <si>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</si>
  <si>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</si>
  <si>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</si>
  <si>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废液槽</t>
    <phoneticPr fontId="1" type="noConversion"/>
  </si>
  <si>
    <t>一次清洗水箱</t>
    <phoneticPr fontId="1" type="noConversion"/>
  </si>
  <si>
    <t>二次清洗水箱</t>
    <phoneticPr fontId="1" type="noConversion"/>
  </si>
  <si>
    <t>2025-11-12</t>
    <phoneticPr fontId="1" type="noConversion"/>
  </si>
  <si>
    <t>20:00</t>
    <phoneticPr fontId="1" type="noConversion"/>
  </si>
  <si>
    <t>氨+汽
混合温度</t>
    <phoneticPr fontId="1" type="noConversion"/>
  </si>
  <si>
    <t>配料罐
液位</t>
    <phoneticPr fontId="1" type="noConversion"/>
  </si>
  <si>
    <t>羟基乙腈
温度</t>
    <phoneticPr fontId="1" type="noConversion"/>
  </si>
  <si>
    <r>
      <t>TT-04751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</si>
  <si>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AT-04112
(g/L)</t>
    <phoneticPr fontId="1" type="noConversion"/>
  </si>
  <si>
    <t>原料
浓度</t>
    <phoneticPr fontId="1" type="noConversion"/>
  </si>
  <si>
    <t>原料
累计</t>
    <phoneticPr fontId="1" type="noConversion"/>
  </si>
  <si>
    <t>FQ-04111
(m3)</t>
    <phoneticPr fontId="1" type="noConversion"/>
  </si>
  <si>
    <t>脱盐水
累计</t>
    <phoneticPr fontId="1" type="noConversion"/>
  </si>
  <si>
    <t>FQ-04113
(m3)</t>
    <phoneticPr fontId="1" type="noConversion"/>
  </si>
  <si>
    <t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</si>
  <si>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>FT-05112</t>
    </r>
    <phoneticPr fontId="1" type="noConversion"/>
  </si>
  <si>
    <r>
      <rPr>
        <sz val="6"/>
        <rFont val="宋体"/>
        <family val="1"/>
        <charset val="134"/>
      </rPr>
      <t>瞬时流量（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</si>
  <si>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kg</t>
    </r>
    <r>
      <rPr>
        <sz val="6"/>
        <rFont val="宋体"/>
        <family val="1"/>
        <charset val="134"/>
      </rPr>
      <t>）</t>
    </r>
    <phoneticPr fontId="1" type="noConversion"/>
  </si>
  <si>
    <r>
      <t>TT-05151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</si>
  <si>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气化压力</t>
    <phoneticPr fontId="1" type="noConversion"/>
  </si>
  <si>
    <t>PT-05115
(Mpa)</t>
    <phoneticPr fontId="1" type="noConversion"/>
  </si>
  <si>
    <r>
      <t>TT-05121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</si>
  <si>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TT-05131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</si>
  <si>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</si>
  <si>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配料蒸汽流量
（</t>
    </r>
    <r>
      <rPr>
        <sz val="6"/>
        <rFont val="Times New Roman"/>
        <family val="1"/>
      </rPr>
      <t>FT-05142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</si>
  <si>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</si>
  <si>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</si>
  <si>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r>
      <t>TT-05143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</si>
  <si>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羟基乙腈
进料压力</t>
    <phoneticPr fontId="1" type="noConversion"/>
  </si>
  <si>
    <t>PT-05212
(Mpa)</t>
    <phoneticPr fontId="1" type="noConversion"/>
  </si>
  <si>
    <t>（氨+汽）混合</t>
    <phoneticPr fontId="1" type="noConversion"/>
  </si>
  <si>
    <r>
      <rPr>
        <sz val="6"/>
        <rFont val="宋体"/>
        <family val="1"/>
        <charset val="134"/>
      </rPr>
      <t>羟基乙腈进料流量
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</si>
  <si>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t>TT-05214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</si>
  <si>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摩尔比
（气氨/羟基乙腈）</t>
    <phoneticPr fontId="1" type="noConversion"/>
  </si>
  <si>
    <t>AT-05140</t>
    <phoneticPr fontId="1" type="noConversion"/>
  </si>
  <si>
    <t>/</t>
  </si>
  <si>
    <t>PT-05311
(Mpa)</t>
    <phoneticPr fontId="1" type="noConversion"/>
  </si>
  <si>
    <r>
      <t>TT-05312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</si>
  <si>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TT-05300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</si>
  <si>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PT-05317
(Mpa)</t>
    <phoneticPr fontId="1" type="noConversion"/>
  </si>
  <si>
    <r>
      <t>TT-05316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</si>
  <si>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反应液检测数据</t>
    <phoneticPr fontId="1" type="noConversion"/>
  </si>
  <si>
    <t>二乙腈含量</t>
    <phoneticPr fontId="1" type="noConversion"/>
  </si>
  <si>
    <t>化分
（%）</t>
    <phoneticPr fontId="1" type="noConversion"/>
  </si>
  <si>
    <t>色谱
（%）</t>
    <phoneticPr fontId="1" type="noConversion"/>
  </si>
  <si>
    <t>羟基乙腈残余</t>
    <phoneticPr fontId="1" type="noConversion"/>
  </si>
  <si>
    <t>（%）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</si>
  <si>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g/L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</si>
  <si>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</si>
  <si>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t>TT-05324
(℃)</t>
    <phoneticPr fontId="1" type="noConversion"/>
  </si>
  <si>
    <t>PT-05325
(MPA)</t>
    <phoneticPr fontId="1" type="noConversion"/>
  </si>
  <si>
    <t>瞬时流量
(L/h)</t>
    <phoneticPr fontId="1" type="noConversion"/>
  </si>
  <si>
    <t>LT-05344
(%)</t>
    <phoneticPr fontId="1" type="noConversion"/>
  </si>
  <si>
    <t>采出流量
FT-05343</t>
    <phoneticPr fontId="1" type="noConversion"/>
  </si>
  <si>
    <t>瞬时流量
（L/h）</t>
    <phoneticPr fontId="1" type="noConversion"/>
  </si>
  <si>
    <t>累积量
(m3)</t>
    <phoneticPr fontId="1" type="noConversion"/>
  </si>
  <si>
    <t>COD</t>
    <phoneticPr fontId="1" type="noConversion"/>
  </si>
  <si>
    <t>(mg/L)</t>
    <phoneticPr fontId="1" type="noConversion"/>
  </si>
  <si>
    <t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</si>
  <si>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</si>
  <si>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>甲醛</t>
    </r>
    <phoneticPr fontId="1" type="noConversion"/>
  </si>
  <si>
    <t>闪发器冷凝液检测数据记录</t>
    <phoneticPr fontId="1" type="noConversion"/>
  </si>
  <si>
    <t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</si>
  <si>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>FT-05411</t>
    </r>
    <phoneticPr fontId="1" type="noConversion"/>
  </si>
  <si>
    <t>硫酸桶
液位</t>
  </si>
  <si>
    <t>LT-05417
（%）</t>
  </si>
  <si>
    <t>真空度</t>
  </si>
  <si>
    <t>PT-05332
(Mpa)</t>
  </si>
  <si>
    <t>pH</t>
  </si>
  <si>
    <t>预冷器
液位</t>
    <phoneticPr fontId="1" type="noConversion"/>
  </si>
  <si>
    <t>LT-06945
(%)</t>
    <phoneticPr fontId="1" type="noConversion"/>
  </si>
  <si>
    <t>预冷器
温度</t>
    <phoneticPr fontId="1" type="noConversion"/>
  </si>
  <si>
    <t>TT-06971
(℃)</t>
    <phoneticPr fontId="1" type="noConversion"/>
  </si>
  <si>
    <t>SIC-06P01
(HZ)</t>
    <phoneticPr fontId="1" type="noConversion"/>
  </si>
  <si>
    <t>SIC-06P02
(HZ)</t>
    <phoneticPr fontId="1" type="noConversion"/>
  </si>
  <si>
    <t>料液pH</t>
    <phoneticPr fontId="1" type="noConversion"/>
  </si>
  <si>
    <t>预冷器</t>
    <phoneticPr fontId="1" type="noConversion"/>
  </si>
  <si>
    <t>结晶器
温度</t>
    <phoneticPr fontId="1" type="noConversion"/>
  </si>
  <si>
    <t>TT-06171
(℃)</t>
    <phoneticPr fontId="1" type="noConversion"/>
  </si>
  <si>
    <t>结晶器
液位</t>
    <phoneticPr fontId="1" type="noConversion"/>
  </si>
  <si>
    <t>LT-06181
(%)</t>
    <phoneticPr fontId="1" type="noConversion"/>
  </si>
  <si>
    <t>FT-06122
(m3/h)</t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</si>
  <si>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</si>
  <si>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</si>
  <si>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</si>
  <si>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</si>
  <si>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</si>
  <si>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B</t>
    </r>
    <phoneticPr fontId="1" type="noConversion"/>
  </si>
  <si>
    <t>SIC-06P03
(HZ)</t>
    <phoneticPr fontId="1" type="noConversion"/>
  </si>
  <si>
    <t>FT-06132
(m3/h)</t>
    <phoneticPr fontId="1" type="noConversion"/>
  </si>
  <si>
    <r>
      <t>TT-06135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</si>
  <si>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t>TT-06136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</si>
  <si>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t>结晶液
密度</t>
    <phoneticPr fontId="1" type="noConversion"/>
  </si>
  <si>
    <t>AT-06149
(Kg/m3)</t>
    <phoneticPr fontId="1" type="noConversion"/>
  </si>
  <si>
    <t>冷却循环频率A</t>
    <phoneticPr fontId="1" type="noConversion"/>
  </si>
  <si>
    <t>冷却循环频率B</t>
    <phoneticPr fontId="1" type="noConversion"/>
  </si>
  <si>
    <t>冷却循环流量B</t>
    <phoneticPr fontId="1" type="noConversion"/>
  </si>
  <si>
    <t>冷却循环流量A</t>
    <phoneticPr fontId="1" type="noConversion"/>
  </si>
  <si>
    <t>物料循环
流量</t>
    <phoneticPr fontId="1" type="noConversion"/>
  </si>
  <si>
    <t>AT-06149
(m3/h)</t>
    <phoneticPr fontId="1" type="noConversion"/>
  </si>
  <si>
    <t>一次结晶器</t>
    <phoneticPr fontId="1" type="noConversion"/>
  </si>
  <si>
    <t>排料流量
FT-06149</t>
    <phoneticPr fontId="1" type="noConversion"/>
  </si>
  <si>
    <t>即时流量
（L/h）</t>
    <phoneticPr fontId="1" type="noConversion"/>
  </si>
  <si>
    <t>累计量
（m3）</t>
    <phoneticPr fontId="1" type="noConversion"/>
  </si>
  <si>
    <t>溢流槽
液位</t>
    <phoneticPr fontId="1" type="noConversion"/>
  </si>
  <si>
    <t>LT-06471
(%)</t>
    <phoneticPr fontId="1" type="noConversion"/>
  </si>
  <si>
    <t>母液槽
液位</t>
    <phoneticPr fontId="1" type="noConversion"/>
  </si>
  <si>
    <t>LT-06524
(%)</t>
    <phoneticPr fontId="1" type="noConversion"/>
  </si>
  <si>
    <t>一次分离
产量</t>
    <phoneticPr fontId="1" type="noConversion"/>
  </si>
  <si>
    <t>（Kg）</t>
    <phoneticPr fontId="1" type="noConversion"/>
  </si>
  <si>
    <t>瞬时
配比</t>
    <phoneticPr fontId="1" type="noConversion"/>
  </si>
  <si>
    <t>累计
配比</t>
    <phoneticPr fontId="1" type="noConversion"/>
  </si>
  <si>
    <t>热点
温度</t>
    <phoneticPr fontId="1" type="noConversion"/>
  </si>
  <si>
    <t>累计量
(m3)</t>
  </si>
  <si>
    <t>采出流量
FT-05323</t>
    <phoneticPr fontId="1" type="noConversion"/>
  </si>
  <si>
    <t>配后
浓度</t>
    <phoneticPr fontId="1" type="noConversion"/>
  </si>
  <si>
    <t>羟基乙腈配料</t>
    <phoneticPr fontId="1" type="noConversion"/>
  </si>
  <si>
    <t>一级     加热器
温度</t>
    <phoneticPr fontId="1" type="noConversion"/>
  </si>
  <si>
    <t>二级       加热器
温度</t>
    <phoneticPr fontId="1" type="noConversion"/>
  </si>
  <si>
    <t>甘氨腈</t>
    <phoneticPr fontId="1" type="noConversion"/>
  </si>
  <si>
    <t>三乙腈</t>
    <phoneticPr fontId="1" type="noConversion"/>
  </si>
  <si>
    <t>高效
分离器</t>
  </si>
  <si>
    <t>压力</t>
  </si>
  <si>
    <t>PT-05327
(Mpa)</t>
  </si>
  <si>
    <t>真空
系统</t>
    <phoneticPr fontId="1" type="noConversion"/>
  </si>
  <si>
    <t>硫铵
含量</t>
    <phoneticPr fontId="1" type="noConversion"/>
  </si>
  <si>
    <t>一次母液分析数据</t>
    <phoneticPr fontId="1" type="noConversion"/>
  </si>
  <si>
    <t>TT-06311
(℃)</t>
    <phoneticPr fontId="1" type="noConversion"/>
  </si>
  <si>
    <t>LT-06315
(%)</t>
    <phoneticPr fontId="1" type="noConversion"/>
  </si>
  <si>
    <t>TT-07143
(℃)</t>
    <phoneticPr fontId="1" type="noConversion"/>
  </si>
  <si>
    <t>LT-07144
(%)</t>
    <phoneticPr fontId="1" type="noConversion"/>
  </si>
  <si>
    <t>真空度
PT-07145</t>
    <phoneticPr fontId="1" type="noConversion"/>
  </si>
  <si>
    <t>PT-07145
(Mpa)</t>
    <phoneticPr fontId="1" type="noConversion"/>
  </si>
  <si>
    <t>低蒸真空系统</t>
    <phoneticPr fontId="1" type="noConversion"/>
  </si>
  <si>
    <t>时
间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</si>
  <si>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</si>
  <si>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</si>
  <si>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t>（℃）</t>
  </si>
  <si>
    <t>（℃）</t>
    <phoneticPr fontId="1" type="noConversion"/>
  </si>
  <si>
    <t>瞬时流量
FT-06611</t>
    <phoneticPr fontId="1" type="noConversion"/>
  </si>
  <si>
    <t>累计量
FQ-06611</t>
    <phoneticPr fontId="1" type="noConversion"/>
  </si>
  <si>
    <t>瞬时流量
FT-06524</t>
    <phoneticPr fontId="1" type="noConversion"/>
  </si>
  <si>
    <t>累计量
FQ-06524</t>
    <phoneticPr fontId="1" type="noConversion"/>
  </si>
  <si>
    <t>(HZ)</t>
    <phoneticPr fontId="1" type="noConversion"/>
  </si>
  <si>
    <t>加热温度</t>
    <phoneticPr fontId="1" type="noConversion"/>
  </si>
  <si>
    <t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</si>
  <si>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</si>
  <si>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>FQ-07126</t>
    </r>
    <phoneticPr fontId="1" type="noConversion"/>
  </si>
  <si>
    <t>(m3/h)</t>
    <phoneticPr fontId="1" type="noConversion"/>
  </si>
  <si>
    <t>(m3)</t>
    <phoneticPr fontId="1" type="noConversion"/>
  </si>
  <si>
    <t>浓缩液
密度</t>
    <phoneticPr fontId="1" type="noConversion"/>
  </si>
  <si>
    <t>(kg/m3)</t>
    <phoneticPr fontId="1" type="noConversion"/>
  </si>
  <si>
    <t>低蒸出料
FT-07122</t>
    <phoneticPr fontId="1" type="noConversion"/>
  </si>
  <si>
    <t>（m3/h）</t>
    <phoneticPr fontId="1" type="noConversion"/>
  </si>
  <si>
    <t>冷凝水采出
FT-07174-2</t>
    <phoneticPr fontId="1" type="noConversion"/>
  </si>
  <si>
    <t>冷凝液采出
FT-07174-1</t>
    <phoneticPr fontId="1" type="noConversion"/>
  </si>
  <si>
    <t>(%)</t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</si>
  <si>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</si>
  <si>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</si>
  <si>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A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</si>
  <si>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</si>
  <si>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</rPr>
      <t>B</t>
    </r>
    <phoneticPr fontId="1" type="noConversion"/>
  </si>
  <si>
    <t>SIC-08P03</t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</si>
  <si>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</si>
  <si>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B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</si>
  <si>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</rPr>
      <t>B</t>
    </r>
    <phoneticPr fontId="1" type="noConversion"/>
  </si>
  <si>
    <t>二次
分离</t>
    <phoneticPr fontId="1" type="noConversion"/>
  </si>
  <si>
    <t>累计
产量</t>
    <phoneticPr fontId="1" type="noConversion"/>
  </si>
  <si>
    <t>(kg)</t>
    <phoneticPr fontId="1" type="noConversion"/>
  </si>
  <si>
    <t>二次结晶器/分离</t>
    <phoneticPr fontId="1" type="noConversion"/>
  </si>
  <si>
    <t>液位
LT-08522</t>
    <phoneticPr fontId="1" type="noConversion"/>
  </si>
  <si>
    <t>排放流量
FT-08523</t>
    <phoneticPr fontId="1" type="noConversion"/>
  </si>
  <si>
    <t>排放累计
FQ-08523</t>
    <phoneticPr fontId="1" type="noConversion"/>
  </si>
  <si>
    <t>(℃)</t>
    <phoneticPr fontId="1" type="noConversion"/>
  </si>
  <si>
    <t>LT-08315</t>
    <phoneticPr fontId="1" type="noConversion"/>
  </si>
  <si>
    <t>TT-08311</t>
    <phoneticPr fontId="1" type="noConversion"/>
  </si>
  <si>
    <t>脱色数据记录</t>
    <phoneticPr fontId="1" type="noConversion"/>
  </si>
  <si>
    <t>脱色前
透光率</t>
    <phoneticPr fontId="1" type="noConversion"/>
  </si>
  <si>
    <t>脱色后
透光率</t>
    <phoneticPr fontId="1" type="noConversion"/>
  </si>
  <si>
    <t>甲班：熊茂盛</t>
    <phoneticPr fontId="1" type="noConversion"/>
  </si>
  <si>
    <t>二乙腈中试生产过程记录表</t>
    <phoneticPr fontId="1" type="noConversion"/>
  </si>
  <si>
    <t>循环
频率A</t>
    <phoneticPr fontId="1" type="noConversion"/>
  </si>
  <si>
    <t>循环
频率B</t>
    <phoneticPr fontId="1" type="noConversion"/>
  </si>
  <si>
    <t>二乙腈中试生产过程曲线</t>
    <phoneticPr fontId="1" type="noConversion"/>
  </si>
  <si>
    <r>
      <rPr>
        <sz val="6"/>
        <rFont val="宋体"/>
        <family val="1"/>
        <charset val="134"/>
      </rPr>
      <t>曲线02： 羟基乙腈浓度曲线（</t>
    </r>
    <r>
      <rPr>
        <sz val="6"/>
        <rFont val="Times New Roman"/>
        <family val="1"/>
      </rPr>
      <t>AT-04112 + AT-04212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</si>
  <si>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曲线01： 羟基乙腈配料罐温度曲线（</t>
    </r>
    <r>
      <rPr>
        <sz val="6"/>
        <rFont val="Times New Roman"/>
        <family val="1"/>
      </rPr>
      <t>TT-04751</t>
    </r>
    <r>
      <rPr>
        <sz val="6"/>
        <rFont val="宋体"/>
        <family val="1"/>
        <charset val="134"/>
      </rPr>
      <t>）</t>
    </r>
    <phoneticPr fontId="1" type="noConversion"/>
  </si>
  <si>
    <t>曲线03： 液氨汽化器液位曲线（LT-05113）</t>
    <phoneticPr fontId="1" type="noConversion"/>
  </si>
  <si>
    <r>
      <rPr>
        <sz val="6"/>
        <rFont val="宋体"/>
        <family val="1"/>
        <charset val="134"/>
      </rPr>
      <t>曲线04： 液氨汽化器温度曲线（</t>
    </r>
    <r>
      <rPr>
        <sz val="6"/>
        <rFont val="Times New Roman"/>
        <family val="1"/>
      </rPr>
      <t>TT-05151</t>
    </r>
    <r>
      <rPr>
        <sz val="6"/>
        <rFont val="宋体"/>
        <family val="1"/>
        <charset val="134"/>
      </rPr>
      <t>）</t>
    </r>
    <phoneticPr fontId="1" type="noConversion"/>
  </si>
  <si>
    <t>曲线05： 液氨汽化器压力曲线（PT-05115）</t>
    <phoneticPr fontId="1" type="noConversion"/>
  </si>
  <si>
    <r>
      <rPr>
        <sz val="6"/>
        <rFont val="宋体"/>
        <family val="1"/>
        <charset val="134"/>
      </rPr>
      <t>曲线06： 气氨一级加热器温度曲线（</t>
    </r>
    <r>
      <rPr>
        <sz val="6"/>
        <rFont val="Times New Roman"/>
        <family val="1"/>
      </rPr>
      <t>TT-05121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</si>
  <si>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3"/>
        <charset val="134"/>
      </rPr>
      <t>曲线07： 气氨流量曲线（</t>
    </r>
    <r>
      <rPr>
        <sz val="6"/>
        <rFont val="Times New Roman"/>
        <family val="1"/>
      </rPr>
      <t>FT-05141</t>
    </r>
    <r>
      <rPr>
        <sz val="6"/>
        <rFont val="宋体"/>
        <family val="3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</si>
  <si>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曲线08： 气氨二级加热器温度曲线（</t>
    </r>
    <r>
      <rPr>
        <sz val="6"/>
        <rFont val="Times New Roman"/>
        <family val="1"/>
      </rPr>
      <t>TT-05131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</si>
  <si>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曲线09： 气氨配汽后温度曲线（</t>
    </r>
    <r>
      <rPr>
        <sz val="6"/>
        <rFont val="Times New Roman"/>
        <family val="1"/>
      </rPr>
      <t>TT-05143</t>
    </r>
    <r>
      <rPr>
        <sz val="6"/>
        <rFont val="宋体"/>
        <family val="1"/>
        <charset val="134"/>
      </rPr>
      <t>）</t>
    </r>
    <phoneticPr fontId="1" type="noConversion"/>
  </si>
  <si>
    <t>曲线10： 气氨配汽蒸汽流量曲线（FT-05142）</t>
    <phoneticPr fontId="1" type="noConversion"/>
  </si>
  <si>
    <r>
      <rPr>
        <sz val="6"/>
        <rFont val="宋体"/>
        <family val="1"/>
        <charset val="134"/>
      </rPr>
      <t>曲线11： 羟基乙腈温度曲线（</t>
    </r>
    <r>
      <rPr>
        <sz val="6"/>
        <rFont val="Times New Roman"/>
        <family val="1"/>
      </rPr>
      <t>FT-05214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</si>
  <si>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曲线12： 羟基乙腈流量曲线（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</si>
  <si>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曲线13： 气氨/羟基乙腈摩尔比曲线（</t>
    </r>
    <r>
      <rPr>
        <sz val="6"/>
        <rFont val="Times New Roman"/>
        <family val="1"/>
      </rPr>
      <t>AT-05140</t>
    </r>
    <r>
      <rPr>
        <sz val="6"/>
        <rFont val="宋体"/>
        <family val="1"/>
        <charset val="134"/>
      </rPr>
      <t>）</t>
    </r>
    <phoneticPr fontId="1" type="noConversion"/>
  </si>
  <si>
    <t>曲线14： 反应前压力曲线（PT-05311）</t>
    <phoneticPr fontId="1" type="noConversion"/>
  </si>
  <si>
    <t>曲线15：反应前温度曲线（TT-05312）</t>
    <phoneticPr fontId="1" type="noConversion"/>
  </si>
  <si>
    <r>
      <rPr>
        <sz val="6"/>
        <rFont val="宋体"/>
        <family val="1"/>
        <charset val="134"/>
      </rPr>
      <t>曲线16： 反应温度曲线（</t>
    </r>
    <r>
      <rPr>
        <sz val="6"/>
        <rFont val="Times New Roman"/>
        <family val="1"/>
      </rPr>
      <t>TT-05300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</si>
  <si>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曲线17： 反应后压力曲线（</t>
    </r>
    <r>
      <rPr>
        <sz val="6"/>
        <rFont val="Times New Roman"/>
        <family val="1"/>
      </rPr>
      <t>PT-05317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</si>
  <si>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曲线18： 稀硫酸流量曲线（</t>
    </r>
    <r>
      <rPr>
        <sz val="6"/>
        <rFont val="Times New Roman"/>
        <family val="1"/>
      </rPr>
      <t>FT-05411</t>
    </r>
    <r>
      <rPr>
        <sz val="6"/>
        <rFont val="宋体"/>
        <family val="1"/>
        <charset val="134"/>
      </rPr>
      <t>）</t>
    </r>
    <phoneticPr fontId="1" type="noConversion"/>
  </si>
  <si>
    <t>曲线19： 闪发器pH曲线（AT-05411）</t>
    <phoneticPr fontId="1" type="noConversion"/>
  </si>
  <si>
    <t>曲线20： 闪发器温度曲线（TT-05352）</t>
    <phoneticPr fontId="1" type="noConversion"/>
  </si>
  <si>
    <r>
      <rPr>
        <sz val="6"/>
        <rFont val="宋体"/>
        <family val="1"/>
        <charset val="134"/>
      </rPr>
      <t>曲线21： 闪发器真空度曲线（</t>
    </r>
    <r>
      <rPr>
        <sz val="6"/>
        <rFont val="Times New Roman"/>
        <family val="1"/>
      </rPr>
      <t>PT-05325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</si>
  <si>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曲线22： 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曲线（</t>
    </r>
    <r>
      <rPr>
        <sz val="6"/>
        <rFont val="Times New Roman"/>
        <family val="1"/>
      </rPr>
      <t>AT-06111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</si>
  <si>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曲线23： 预冷器温度曲线（</t>
    </r>
    <r>
      <rPr>
        <sz val="6"/>
        <rFont val="Times New Roman"/>
        <family val="1"/>
      </rPr>
      <t>TT-06971</t>
    </r>
    <r>
      <rPr>
        <sz val="6"/>
        <rFont val="宋体"/>
        <family val="1"/>
        <charset val="134"/>
      </rPr>
      <t>）</t>
    </r>
    <phoneticPr fontId="1" type="noConversion"/>
  </si>
  <si>
    <t>曲线24： 一次结晶器温度曲线（TT-06171）</t>
    <phoneticPr fontId="1" type="noConversion"/>
  </si>
  <si>
    <t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</si>
  <si>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>曲线26： 一次结晶外冷器温差曲线（</t>
    </r>
    <r>
      <rPr>
        <sz val="6"/>
        <rFont val="Times New Roman"/>
        <family val="1"/>
      </rPr>
      <t>TT-06171-06126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TT-06171-TT-06136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</si>
  <si>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FT-06132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</si>
  <si>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曲线28： 一次结晶固液比曲线（密度：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</si>
  <si>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曲线29： 一次清洗水箱液位曲线（LT-06315）</t>
    <phoneticPr fontId="1" type="noConversion"/>
  </si>
  <si>
    <t>曲线30： 一次清洗水箱温度曲线（TT-06311）</t>
    <phoneticPr fontId="1" type="noConversion"/>
  </si>
  <si>
    <r>
      <rPr>
        <sz val="6"/>
        <rFont val="宋体"/>
        <family val="1"/>
        <charset val="134"/>
      </rPr>
      <t>曲线31： 低蒸结晶器液位曲线（</t>
    </r>
    <r>
      <rPr>
        <sz val="6"/>
        <rFont val="Times New Roman"/>
        <family val="1"/>
      </rPr>
      <t>LT-07171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</si>
  <si>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曲线32： 低蒸结晶器温度曲线（</t>
    </r>
    <r>
      <rPr>
        <sz val="6"/>
        <rFont val="Times New Roman"/>
        <family val="1"/>
      </rPr>
      <t>TT-07152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</si>
  <si>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曲线33： 低蒸结晶器真空度曲线（</t>
    </r>
    <r>
      <rPr>
        <sz val="6"/>
        <rFont val="Times New Roman"/>
        <family val="1"/>
      </rPr>
      <t>PT-07145</t>
    </r>
    <r>
      <rPr>
        <sz val="6"/>
        <rFont val="宋体"/>
        <family val="1"/>
        <charset val="134"/>
      </rPr>
      <t>）</t>
    </r>
    <phoneticPr fontId="1" type="noConversion"/>
  </si>
  <si>
    <t>曲线34： 低蒸结晶器浓度曲线（密度：AT-07137）</t>
    <phoneticPr fontId="1" type="noConversion"/>
  </si>
  <si>
    <t>曲线35： 二次结晶器温度曲线（TT-08171）</t>
    <phoneticPr fontId="1" type="noConversion"/>
  </si>
  <si>
    <r>
      <rPr>
        <sz val="6"/>
        <rFont val="宋体"/>
        <family val="1"/>
        <charset val="134"/>
      </rPr>
      <t>曲线36： 二次结晶器间壁温差曲线（</t>
    </r>
    <r>
      <rPr>
        <sz val="6"/>
        <rFont val="Times New Roman"/>
        <family val="1"/>
      </rPr>
      <t>TT-08171-TT-08125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</si>
  <si>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曲线37： 二次结晶外冷器温差曲线（</t>
    </r>
    <r>
      <rPr>
        <sz val="6"/>
        <rFont val="Times New Roman"/>
        <family val="1"/>
      </rPr>
      <t>TT-08171-TT-08126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</si>
  <si>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曲线38： 二次结晶器外循环流量曲线（</t>
    </r>
    <r>
      <rPr>
        <sz val="6"/>
        <rFont val="Times New Roman"/>
        <family val="1"/>
      </rPr>
      <t>FT-08122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FT-08132</t>
    </r>
    <r>
      <rPr>
        <sz val="6"/>
        <rFont val="宋体"/>
        <family val="1"/>
        <charset val="134"/>
      </rPr>
      <t>）</t>
    </r>
    <phoneticPr fontId="1" type="noConversion"/>
  </si>
  <si>
    <t>曲线39： 二次清洗水箱液位曲线（LT-08315）</t>
    <phoneticPr fontId="1" type="noConversion"/>
  </si>
  <si>
    <t>曲线40： 二次清洗水箱温度曲线（TT-08311）</t>
    <phoneticPr fontId="1" type="noConversion"/>
  </si>
  <si>
    <t>22:00</t>
    <phoneticPr fontId="1" type="noConversion"/>
  </si>
  <si>
    <t>0:00</t>
    <phoneticPr fontId="1" type="noConversion"/>
  </si>
  <si>
    <t>2:00</t>
    <phoneticPr fontId="1" type="noConversion"/>
  </si>
  <si>
    <t>夜班</t>
    <phoneticPr fontId="1" type="noConversion"/>
  </si>
  <si>
    <t>乙班：曹平</t>
    <phoneticPr fontId="1" type="noConversion"/>
  </si>
  <si>
    <t>低蒸进料</t>
    <phoneticPr fontId="1" type="noConversion"/>
  </si>
  <si>
    <t>瞬时流量
FT-07111</t>
    <phoneticPr fontId="1" type="noConversion"/>
  </si>
  <si>
    <t>累计量
FQ-07111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</si>
  <si>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</si>
  <si>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t>kg/t</t>
    <phoneticPr fontId="1" type="noConversion"/>
  </si>
  <si>
    <t>kg</t>
    <phoneticPr fontId="1" type="noConversion"/>
  </si>
  <si>
    <t>t</t>
    <phoneticPr fontId="1" type="noConversion"/>
  </si>
  <si>
    <t>g/L</t>
    <phoneticPr fontId="1" type="noConversion"/>
  </si>
  <si>
    <t>%</t>
    <phoneticPr fontId="1" type="noConversion"/>
  </si>
  <si>
    <t>脱色前后
差值</t>
    <phoneticPr fontId="1" type="noConversion"/>
  </si>
  <si>
    <t>脱色后
含量</t>
    <phoneticPr fontId="1" type="noConversion"/>
  </si>
  <si>
    <t>脱色前
含量</t>
    <phoneticPr fontId="1" type="noConversion"/>
  </si>
  <si>
    <t>活性炭
型号</t>
    <phoneticPr fontId="1" type="noConversion"/>
  </si>
  <si>
    <t>活性炭
单耗</t>
    <phoneticPr fontId="1" type="noConversion"/>
  </si>
  <si>
    <t>活性炭
消耗</t>
    <phoneticPr fontId="1" type="noConversion"/>
  </si>
  <si>
    <t>脱色液
产量</t>
    <phoneticPr fontId="1" type="noConversion"/>
  </si>
  <si>
    <t>脱色前后硫铵含量变化</t>
    <phoneticPr fontId="1" type="noConversion"/>
  </si>
  <si>
    <t>脱色前后羟基乙腈变化</t>
    <phoneticPr fontId="1" type="noConversion"/>
  </si>
  <si>
    <t>脱色前后二乙腈变化</t>
    <phoneticPr fontId="1" type="noConversion"/>
  </si>
  <si>
    <t>脱色系统</t>
    <phoneticPr fontId="1" type="noConversion"/>
  </si>
  <si>
    <t>0.8</t>
    <phoneticPr fontId="1" type="noConversion"/>
  </si>
  <si>
    <t>t/t</t>
    <phoneticPr fontId="1" type="noConversion"/>
  </si>
  <si>
    <t>t/h</t>
    <phoneticPr fontId="1" type="noConversion"/>
  </si>
  <si>
    <t>m3/h</t>
    <phoneticPr fontId="1" type="noConversion"/>
  </si>
  <si>
    <t>m3</t>
    <phoneticPr fontId="1" type="noConversion"/>
  </si>
  <si>
    <t>Mpa</t>
    <phoneticPr fontId="1" type="noConversion"/>
  </si>
  <si>
    <t>℃</t>
    <phoneticPr fontId="1" type="noConversion"/>
  </si>
  <si>
    <t>mg/L</t>
    <phoneticPr fontId="1" type="noConversion"/>
  </si>
  <si>
    <t>蒸汽单耗
评价</t>
    <phoneticPr fontId="1" type="noConversion"/>
  </si>
  <si>
    <t>蒸汽单耗
理论值</t>
    <phoneticPr fontId="1" type="noConversion"/>
  </si>
  <si>
    <t>蒸汽
单耗</t>
    <phoneticPr fontId="1" type="noConversion"/>
  </si>
  <si>
    <t>蒸汽
平均流量</t>
    <phoneticPr fontId="1" type="noConversion"/>
  </si>
  <si>
    <t>蒸汽
消耗</t>
    <phoneticPr fontId="1" type="noConversion"/>
  </si>
  <si>
    <t>浓缩比</t>
    <phoneticPr fontId="1" type="noConversion"/>
  </si>
  <si>
    <t>出料
比重</t>
    <phoneticPr fontId="1" type="noConversion"/>
  </si>
  <si>
    <t>出料
平均流量</t>
    <phoneticPr fontId="1" type="noConversion"/>
  </si>
  <si>
    <t>出料
总量</t>
    <phoneticPr fontId="1" type="noConversion"/>
  </si>
  <si>
    <t>进料
平均流量</t>
    <phoneticPr fontId="1" type="noConversion"/>
  </si>
  <si>
    <t>进料
总量</t>
    <phoneticPr fontId="1" type="noConversion"/>
  </si>
  <si>
    <t>物料
液位</t>
    <phoneticPr fontId="1" type="noConversion"/>
  </si>
  <si>
    <t>低蒸
压力</t>
    <phoneticPr fontId="1" type="noConversion"/>
  </si>
  <si>
    <t>物料
温度</t>
    <phoneticPr fontId="1" type="noConversion"/>
  </si>
  <si>
    <t>加热
温度</t>
    <phoneticPr fontId="1" type="noConversion"/>
  </si>
  <si>
    <t>综合
含量</t>
    <phoneticPr fontId="1" type="noConversion"/>
  </si>
  <si>
    <t>水分</t>
    <phoneticPr fontId="1" type="noConversion"/>
  </si>
  <si>
    <t>二乙腈
折干含量</t>
    <phoneticPr fontId="1" type="noConversion"/>
  </si>
  <si>
    <t>pH</t>
    <phoneticPr fontId="1" type="noConversion"/>
  </si>
  <si>
    <t>降温
温差</t>
    <phoneticPr fontId="1" type="noConversion"/>
  </si>
  <si>
    <t>冷却水
温度</t>
    <phoneticPr fontId="1" type="noConversion"/>
  </si>
  <si>
    <t>甲醛</t>
    <phoneticPr fontId="1" type="noConversion"/>
  </si>
  <si>
    <t>低蒸数据分析</t>
    <phoneticPr fontId="1" type="noConversion"/>
  </si>
  <si>
    <t>低蒸过程数据</t>
    <phoneticPr fontId="1" type="noConversion"/>
  </si>
  <si>
    <t>二次结晶物分析数据</t>
    <phoneticPr fontId="1" type="noConversion"/>
  </si>
  <si>
    <t>二次结晶过程数据</t>
    <phoneticPr fontId="1" type="noConversion"/>
  </si>
  <si>
    <t>一次结晶物分析数据</t>
    <phoneticPr fontId="1" type="noConversion"/>
  </si>
  <si>
    <t>一次结晶过程数据</t>
    <phoneticPr fontId="1" type="noConversion"/>
  </si>
  <si>
    <t>废水分析数据</t>
    <phoneticPr fontId="1" type="noConversion"/>
  </si>
  <si>
    <t>低蒸系统</t>
    <phoneticPr fontId="1" type="noConversion"/>
  </si>
  <si>
    <t>二次结晶系统</t>
    <phoneticPr fontId="1" type="noConversion"/>
  </si>
  <si>
    <t>一次结晶系统</t>
    <phoneticPr fontId="1" type="noConversion"/>
  </si>
  <si>
    <t>闪蒸系统</t>
    <phoneticPr fontId="1" type="noConversion"/>
  </si>
  <si>
    <t>33.1</t>
    <phoneticPr fontId="1" type="noConversion"/>
  </si>
  <si>
    <t>kg/h</t>
  </si>
  <si>
    <t>kg/h</t>
    <phoneticPr fontId="1" type="noConversion"/>
  </si>
  <si>
    <t>氨氮</t>
    <phoneticPr fontId="1" type="noConversion"/>
  </si>
  <si>
    <t>总腈</t>
    <phoneticPr fontId="1" type="noConversion"/>
  </si>
  <si>
    <t>含量评价</t>
    <phoneticPr fontId="1" type="noConversion"/>
  </si>
  <si>
    <t>差值</t>
    <phoneticPr fontId="1" type="noConversion"/>
  </si>
  <si>
    <t>化分</t>
    <phoneticPr fontId="1" type="noConversion"/>
  </si>
  <si>
    <t>色谱</t>
    <phoneticPr fontId="1" type="noConversion"/>
  </si>
  <si>
    <t>浓度</t>
    <phoneticPr fontId="1" type="noConversion"/>
  </si>
  <si>
    <t>流量</t>
    <phoneticPr fontId="1" type="noConversion"/>
  </si>
  <si>
    <t>闪蒸过程参数</t>
    <phoneticPr fontId="1" type="noConversion"/>
  </si>
  <si>
    <t>稀硫酸
消耗
评价</t>
    <phoneticPr fontId="1" type="noConversion"/>
  </si>
  <si>
    <r>
      <rPr>
        <sz val="8"/>
        <rFont val="宋体"/>
        <family val="1"/>
        <charset val="134"/>
      </rPr>
      <t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>差值</t>
    </r>
    <phoneticPr fontId="1" type="noConversion"/>
  </si>
  <si>
    <t>稀硫酸
实际耗量</t>
    <phoneticPr fontId="1" type="noConversion"/>
  </si>
  <si>
    <t>稀硫酸
设计耗量</t>
    <phoneticPr fontId="1" type="noConversion"/>
  </si>
  <si>
    <t>羟基乙腈实测含量</t>
    <phoneticPr fontId="1" type="noConversion"/>
  </si>
  <si>
    <t>羟基乙腈设计含量</t>
    <phoneticPr fontId="1" type="noConversion"/>
  </si>
  <si>
    <t>反应液
比重</t>
    <phoneticPr fontId="1" type="noConversion"/>
  </si>
  <si>
    <t>二乙腈实测含量</t>
    <phoneticPr fontId="1" type="noConversion"/>
  </si>
  <si>
    <t>二乙腈设计含量</t>
    <phoneticPr fontId="1" type="noConversion"/>
  </si>
  <si>
    <t>反应器
出口压力</t>
    <phoneticPr fontId="1" type="noConversion"/>
  </si>
  <si>
    <t>反应器
出口温度</t>
    <phoneticPr fontId="1" type="noConversion"/>
  </si>
  <si>
    <t>反应器
热点温度</t>
    <phoneticPr fontId="1" type="noConversion"/>
  </si>
  <si>
    <t>反应器
入口压力</t>
    <phoneticPr fontId="1" type="noConversion"/>
  </si>
  <si>
    <t>反应器
入口温度</t>
    <phoneticPr fontId="1" type="noConversion"/>
  </si>
  <si>
    <t>配比蒸汽
流量</t>
    <phoneticPr fontId="1" type="noConversion"/>
  </si>
  <si>
    <t>气氨
流量</t>
    <phoneticPr fontId="1" type="noConversion"/>
  </si>
  <si>
    <t>羟基流量</t>
    <phoneticPr fontId="1" type="noConversion"/>
  </si>
  <si>
    <t>摩尔比
评价</t>
    <phoneticPr fontId="1" type="noConversion"/>
  </si>
  <si>
    <t>实际
摩尔比</t>
    <phoneticPr fontId="1" type="noConversion"/>
  </si>
  <si>
    <t>理论
摩尔比</t>
    <phoneticPr fontId="1" type="noConversion"/>
  </si>
  <si>
    <t>反应液分析数据</t>
    <phoneticPr fontId="1" type="noConversion"/>
  </si>
  <si>
    <t>氨化反应过程数据</t>
    <phoneticPr fontId="1" type="noConversion"/>
  </si>
  <si>
    <t>摩尔比情况</t>
    <phoneticPr fontId="1" type="noConversion"/>
  </si>
  <si>
    <t>m3/t</t>
    <phoneticPr fontId="1" type="noConversion"/>
  </si>
  <si>
    <t>kwh/t</t>
    <phoneticPr fontId="1" type="noConversion"/>
  </si>
  <si>
    <t>m3/t</t>
  </si>
  <si>
    <t>夜
班</t>
    <phoneticPr fontId="1" type="noConversion"/>
  </si>
  <si>
    <t>二次产品
占比率</t>
    <phoneticPr fontId="1" type="noConversion"/>
  </si>
  <si>
    <t>未知物
平均含量</t>
    <phoneticPr fontId="1" type="noConversion"/>
  </si>
  <si>
    <t>平均
含水率</t>
    <phoneticPr fontId="1" type="noConversion"/>
  </si>
  <si>
    <t>二乙腈
平均含量</t>
    <phoneticPr fontId="1" type="noConversion"/>
  </si>
  <si>
    <t>折百
产量</t>
    <phoneticPr fontId="1" type="noConversion"/>
  </si>
  <si>
    <t>产量</t>
    <phoneticPr fontId="1" type="noConversion"/>
  </si>
  <si>
    <t>第二袋
未知物含量</t>
    <phoneticPr fontId="1" type="noConversion"/>
  </si>
  <si>
    <t>第一袋
未知物含量</t>
    <phoneticPr fontId="1" type="noConversion"/>
  </si>
  <si>
    <t>第二袋
含水率</t>
    <phoneticPr fontId="1" type="noConversion"/>
  </si>
  <si>
    <t>第一袋
含水率</t>
    <phoneticPr fontId="1" type="noConversion"/>
  </si>
  <si>
    <t>第一袋
二乙腈
含量</t>
    <phoneticPr fontId="1" type="noConversion"/>
  </si>
  <si>
    <t>差额</t>
    <phoneticPr fontId="1" type="noConversion"/>
  </si>
  <si>
    <t>产量
评价</t>
    <phoneticPr fontId="1" type="noConversion"/>
  </si>
  <si>
    <t>折百</t>
    <phoneticPr fontId="1" type="noConversion"/>
  </si>
  <si>
    <t>总产量</t>
    <phoneticPr fontId="1" type="noConversion"/>
  </si>
  <si>
    <t>废液
单位排放</t>
    <phoneticPr fontId="1" type="noConversion"/>
  </si>
  <si>
    <t>废水
单位排放</t>
    <phoneticPr fontId="1" type="noConversion"/>
  </si>
  <si>
    <t>电
单耗</t>
    <phoneticPr fontId="1" type="noConversion"/>
  </si>
  <si>
    <t>脱盐水
单耗</t>
    <phoneticPr fontId="1" type="noConversion"/>
  </si>
  <si>
    <t>低蒸蒸汽
单耗</t>
    <phoneticPr fontId="1" type="noConversion"/>
  </si>
  <si>
    <t>反应蒸汽
单耗</t>
    <phoneticPr fontId="1" type="noConversion"/>
  </si>
  <si>
    <t>稀硫酸
单耗</t>
    <phoneticPr fontId="1" type="noConversion"/>
  </si>
  <si>
    <t>液氨
单耗</t>
    <phoneticPr fontId="1" type="noConversion"/>
  </si>
  <si>
    <t>羟基乙腈单耗</t>
    <phoneticPr fontId="1" type="noConversion"/>
  </si>
  <si>
    <t>二次产品情况</t>
    <phoneticPr fontId="1" type="noConversion"/>
  </si>
  <si>
    <t>一次产品（一次分离）情况</t>
    <phoneticPr fontId="1" type="noConversion"/>
  </si>
  <si>
    <r>
      <rPr>
        <sz val="8"/>
        <rFont val="宋体"/>
        <family val="1"/>
        <charset val="134"/>
      </rPr>
      <t>产量</t>
    </r>
    <r>
      <rPr>
        <sz val="8"/>
        <rFont val="Times New Roman"/>
        <family val="1"/>
      </rPr>
      <t>/</t>
    </r>
    <r>
      <rPr>
        <sz val="8"/>
        <rFont val="宋体"/>
        <family val="1"/>
        <charset val="134"/>
      </rPr>
      <t>质量情况汇总</t>
    </r>
    <phoneticPr fontId="1" type="noConversion"/>
  </si>
  <si>
    <t>原料消耗＆废液排放</t>
    <phoneticPr fontId="1" type="noConversion"/>
  </si>
  <si>
    <t>产量/质量情况汇总</t>
    <phoneticPr fontId="1" type="noConversion"/>
  </si>
  <si>
    <t>班
次</t>
    <phoneticPr fontId="1" type="noConversion"/>
  </si>
  <si>
    <t>日
期</t>
    <phoneticPr fontId="1" type="noConversion"/>
  </si>
  <si>
    <t>白
班</t>
    <phoneticPr fontId="1" type="noConversion"/>
  </si>
  <si>
    <t>一、核心工艺指标</t>
    <phoneticPr fontId="1" type="noConversion"/>
  </si>
  <si>
    <t>目标
合格率</t>
    <phoneticPr fontId="1" type="noConversion"/>
  </si>
  <si>
    <t>实际
合格率</t>
    <phoneticPr fontId="1" type="noConversion"/>
  </si>
  <si>
    <t>督查情况</t>
    <phoneticPr fontId="1" type="noConversion"/>
  </si>
  <si>
    <t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</si>
  <si>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>羟基乙腈浓度</t>
    </r>
    <phoneticPr fontId="1" type="noConversion"/>
  </si>
  <si>
    <t>≥98%</t>
    <phoneticPr fontId="1" type="noConversion"/>
  </si>
  <si>
    <r>
      <t xml:space="preserve">2 </t>
    </r>
    <r>
      <rPr>
        <sz val="12"/>
        <rFont val="宋体"/>
        <family val="1"/>
        <charset val="134"/>
      </rPr>
      <t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</si>
  <si>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>一次结晶温度</t>
    </r>
    <phoneticPr fontId="1" type="noConversion"/>
  </si>
  <si>
    <t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</si>
  <si>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</si>
  <si>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>氨/腈摩尔比</t>
    </r>
    <phoneticPr fontId="1" type="noConversion"/>
  </si>
  <si>
    <t>三、收率</t>
    <phoneticPr fontId="1" type="noConversion"/>
  </si>
  <si>
    <t>责任目标</t>
    <phoneticPr fontId="1" type="noConversion"/>
  </si>
  <si>
    <r>
      <t xml:space="preserve">1 </t>
    </r>
    <r>
      <rPr>
        <sz val="12"/>
        <rFont val="宋体"/>
        <family val="1"/>
        <charset val="134"/>
      </rPr>
      <t>二乙腈</t>
    </r>
    <phoneticPr fontId="1" type="noConversion"/>
  </si>
  <si>
    <t>四、安全环保指标</t>
    <phoneticPr fontId="1" type="noConversion"/>
  </si>
  <si>
    <t>安全环保有无异常情况</t>
    <phoneticPr fontId="1" type="noConversion"/>
  </si>
  <si>
    <t>二乙腈中试
安全环保状况</t>
    <phoneticPr fontId="1" type="noConversion"/>
  </si>
  <si>
    <t>五、合计得分</t>
    <phoneticPr fontId="1" type="noConversion"/>
  </si>
  <si>
    <t>考核单元</t>
    <phoneticPr fontId="1" type="noConversion"/>
  </si>
  <si>
    <t>合计
得分</t>
    <phoneticPr fontId="1" type="noConversion"/>
  </si>
  <si>
    <t>二乙腈中试装置</t>
    <phoneticPr fontId="1" type="noConversion"/>
  </si>
  <si>
    <t>产量/质量情况简报</t>
    <phoneticPr fontId="1" type="noConversion"/>
  </si>
  <si>
    <t>当日总产量</t>
    <phoneticPr fontId="1" type="noConversion"/>
  </si>
  <si>
    <t>折百产量</t>
    <phoneticPr fontId="1" type="noConversion"/>
  </si>
  <si>
    <t>同比增加</t>
    <phoneticPr fontId="1" type="noConversion"/>
  </si>
  <si>
    <t>同比减少</t>
    <phoneticPr fontId="1" type="noConversion"/>
  </si>
  <si>
    <t>综合含量</t>
    <phoneticPr fontId="1" type="noConversion"/>
  </si>
  <si>
    <t>水分含量</t>
    <phoneticPr fontId="1" type="noConversion"/>
  </si>
  <si>
    <t>未知物含量</t>
    <phoneticPr fontId="1" type="noConversion"/>
  </si>
  <si>
    <t>其他事项说明</t>
    <phoneticPr fontId="1" type="noConversion"/>
  </si>
  <si>
    <t>Kg</t>
  </si>
  <si>
    <t>Kg</t>
    <phoneticPr fontId="1" type="noConversion"/>
  </si>
  <si>
    <t>呈报人：</t>
    <phoneticPr fontId="1" type="noConversion"/>
  </si>
  <si>
    <t>督查人：</t>
    <phoneticPr fontId="1" type="noConversion"/>
  </si>
  <si>
    <t>考评人：</t>
    <phoneticPr fontId="1" type="noConversion"/>
  </si>
  <si>
    <t>呈报单位负责人：</t>
    <phoneticPr fontId="1" type="noConversion"/>
  </si>
  <si>
    <t>督查办负责人：</t>
    <phoneticPr fontId="1" type="noConversion"/>
  </si>
  <si>
    <t>考评办负责人：</t>
    <phoneticPr fontId="1" type="noConversion"/>
  </si>
  <si>
    <t>编号：HB/ZS26-01</t>
    <phoneticPr fontId="1" type="noConversion"/>
  </si>
  <si>
    <t>累计量
(m³)</t>
    <phoneticPr fontId="1" type="noConversion"/>
  </si>
  <si>
    <t>(t/h)</t>
    <phoneticPr fontId="1" type="noConversion"/>
  </si>
  <si>
    <t>(t)</t>
    <phoneticPr fontId="1" type="noConversion"/>
  </si>
  <si>
    <t>文件编号：                                                                           班组＆日---生产过程运行质量考评表</t>
    <phoneticPr fontId="1" type="noConversion"/>
  </si>
  <si>
    <t>/</t>
    <phoneticPr fontId="1" type="noConversion"/>
  </si>
  <si>
    <t>时间</t>
    <phoneticPr fontId="1" type="noConversion"/>
  </si>
  <si>
    <t>和邦生物化工研究院
二乙腈中试装置责任目标一级考核-日考评表</t>
    <phoneticPr fontId="1" type="noConversion"/>
  </si>
  <si>
    <r>
      <rPr>
        <b/>
        <sz val="12"/>
        <color rgb="FF00B050"/>
        <rFont val="等线"/>
        <family val="3"/>
        <charset val="134"/>
      </rPr>
      <t>≥</t>
    </r>
    <r>
      <rPr>
        <b/>
        <sz val="12"/>
        <color rgb="FF00B050"/>
        <rFont val="Times New Roman"/>
        <family val="1"/>
      </rPr>
      <t>98%</t>
    </r>
    <phoneticPr fontId="1" type="noConversion"/>
  </si>
  <si>
    <r>
      <rPr>
        <b/>
        <sz val="12"/>
        <color rgb="FF00B050"/>
        <rFont val="宋体"/>
        <family val="1"/>
        <charset val="134"/>
      </rPr>
      <t>≥</t>
    </r>
    <r>
      <rPr>
        <b/>
        <sz val="12"/>
        <color rgb="FF00B050"/>
        <rFont val="Times New Roman"/>
        <family val="1"/>
      </rPr>
      <t>90%</t>
    </r>
    <phoneticPr fontId="1" type="noConversion"/>
  </si>
  <si>
    <t>当日</t>
    <phoneticPr fontId="1" type="noConversion"/>
  </si>
  <si>
    <t>当日收率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</si>
</sst>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4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00B050"/>
      <name val="宋体"/>
      <family val="1"/>
      <charset val="134"/>
    </font>
    <font>
      <b/>
      <sz val="12"/>
      <color rgb="FF00B050"/>
      <name val="等线"/>
      <family val="3"/>
      <charset val="134"/>
    </font>
    <font>
      <b/>
      <sz val="11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9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/>
    <xf numFmtId="0" fontId="28" fillId="0" borderId="0" xfId="0" applyFont="1"/>
    <xf numFmtId="0" fontId="30" fillId="0" borderId="2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0" xfId="0" applyFont="1"/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99" xfId="0" applyFont="1" applyFill="1" applyBorder="1" applyAlignment="1">
      <alignment horizontal="center" vertical="center"/>
    </xf>
    <xf numFmtId="49" fontId="19" fillId="4" borderId="100" xfId="0" applyNumberFormat="1" applyFont="1" applyFill="1" applyBorder="1" applyAlignment="1">
      <alignment horizontal="center" vertical="center" wrapText="1"/>
    </xf>
    <xf numFmtId="176" fontId="40" fillId="0" borderId="4" xfId="0" applyNumberFormat="1" applyFont="1" applyBorder="1" applyAlignment="1">
      <alignment horizontal="center" vertical="center" wrapText="1"/>
    </xf>
    <xf numFmtId="176" fontId="41" fillId="0" borderId="4" xfId="0" applyNumberFormat="1" applyFont="1" applyBorder="1" applyAlignment="1">
      <alignment horizontal="center" vertical="center" wrapText="1"/>
    </xf>
    <xf numFmtId="176" fontId="41" fillId="0" borderId="47" xfId="0" applyNumberFormat="1" applyFont="1" applyBorder="1" applyAlignment="1">
      <alignment horizontal="center" vertical="center" wrapText="1"/>
    </xf>
    <xf numFmtId="176" fontId="41" fillId="0" borderId="5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77" fontId="40" fillId="0" borderId="4" xfId="0" applyNumberFormat="1" applyFont="1" applyBorder="1" applyAlignment="1">
      <alignment horizontal="center" vertical="center" wrapText="1"/>
    </xf>
    <xf numFmtId="177" fontId="40" fillId="0" borderId="47" xfId="0" applyNumberFormat="1" applyFont="1" applyBorder="1" applyAlignment="1">
      <alignment horizontal="center" vertical="center" wrapText="1"/>
    </xf>
    <xf numFmtId="177" fontId="40" fillId="0" borderId="51" xfId="0" applyNumberFormat="1" applyFont="1" applyBorder="1" applyAlignment="1">
      <alignment horizontal="center" vertical="center" wrapText="1"/>
    </xf>
    <xf numFmtId="177" fontId="40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40" fillId="0" borderId="30" xfId="0" applyNumberFormat="1" applyFont="1" applyBorder="1" applyAlignment="1">
      <alignment horizontal="center" vertical="center" wrapText="1"/>
    </xf>
    <xf numFmtId="177" fontId="40" fillId="0" borderId="48" xfId="0" applyNumberFormat="1" applyFont="1" applyBorder="1" applyAlignment="1">
      <alignment horizontal="center" vertical="center" wrapText="1"/>
    </xf>
    <xf numFmtId="177" fontId="40" fillId="0" borderId="52" xfId="0" applyNumberFormat="1" applyFont="1" applyBorder="1" applyAlignment="1">
      <alignment horizontal="center" vertical="center" wrapText="1"/>
    </xf>
    <xf numFmtId="177" fontId="40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0" fillId="0" borderId="12" xfId="0" applyNumberFormat="1" applyFont="1" applyBorder="1" applyAlignment="1">
      <alignment horizontal="center" vertical="center" wrapText="1"/>
    </xf>
    <xf numFmtId="177" fontId="41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40" fillId="0" borderId="45" xfId="0" applyNumberFormat="1" applyFont="1" applyBorder="1" applyAlignment="1">
      <alignment horizontal="center" vertical="center" wrapText="1"/>
    </xf>
    <xf numFmtId="177" fontId="41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41" fillId="0" borderId="47" xfId="0" applyNumberFormat="1" applyFont="1" applyBorder="1" applyAlignment="1">
      <alignment horizontal="center" vertical="center" wrapText="1"/>
    </xf>
    <xf numFmtId="177" fontId="41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41" fillId="0" borderId="48" xfId="0" applyNumberFormat="1" applyFont="1" applyBorder="1" applyAlignment="1">
      <alignment horizontal="center" vertical="center" wrapText="1"/>
    </xf>
    <xf numFmtId="177" fontId="41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177" fontId="42" fillId="0" borderId="52" xfId="0" applyNumberFormat="1" applyFont="1" applyBorder="1" applyAlignment="1">
      <alignment horizontal="center" vertical="center" wrapText="1"/>
    </xf>
    <xf numFmtId="177" fontId="43" fillId="0" borderId="52" xfId="0" applyNumberFormat="1" applyFont="1" applyBorder="1" applyAlignment="1">
      <alignment horizontal="center" vertical="center" wrapText="1"/>
    </xf>
    <xf numFmtId="177" fontId="43" fillId="0" borderId="30" xfId="0" applyNumberFormat="1" applyFont="1" applyBorder="1" applyAlignment="1">
      <alignment horizontal="center" vertical="center" wrapText="1"/>
    </xf>
    <xf numFmtId="177" fontId="43" fillId="0" borderId="76" xfId="0" applyNumberFormat="1" applyFont="1" applyBorder="1" applyAlignment="1">
      <alignment horizontal="center" vertical="center" wrapText="1"/>
    </xf>
    <xf numFmtId="177" fontId="43" fillId="0" borderId="48" xfId="0" applyNumberFormat="1" applyFont="1" applyBorder="1" applyAlignment="1">
      <alignment horizontal="center" vertical="center" wrapText="1"/>
    </xf>
    <xf numFmtId="177" fontId="44" fillId="0" borderId="30" xfId="0" applyNumberFormat="1" applyFont="1" applyBorder="1" applyAlignment="1">
      <alignment horizontal="center" vertical="center" wrapText="1"/>
    </xf>
    <xf numFmtId="0" fontId="31" fillId="0" borderId="104" xfId="0" applyFont="1" applyBorder="1" applyAlignment="1">
      <alignment vertical="center"/>
    </xf>
    <xf numFmtId="0" fontId="30" fillId="0" borderId="105" xfId="0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0" fillId="0" borderId="97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0" fontId="21" fillId="0" borderId="97" xfId="0" applyFont="1" applyBorder="1" applyAlignment="1">
      <alignment horizontal="center" vertical="center" wrapText="1"/>
    </xf>
    <xf numFmtId="0" fontId="0" fillId="0" borderId="98" xfId="0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49" fontId="38" fillId="0" borderId="72" xfId="0" applyNumberFormat="1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101" xfId="0" applyFont="1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33" fillId="0" borderId="92" xfId="0" applyFont="1" applyBorder="1" applyAlignment="1">
      <alignment horizontal="left" vertical="center"/>
    </xf>
    <xf numFmtId="0" fontId="33" fillId="0" borderId="93" xfId="0" applyFont="1" applyBorder="1" applyAlignment="1">
      <alignment horizontal="left" vertical="center"/>
    </xf>
    <xf numFmtId="0" fontId="33" fillId="0" borderId="94" xfId="0" applyFont="1" applyBorder="1" applyAlignment="1">
      <alignment horizontal="left" vertical="center"/>
    </xf>
    <xf numFmtId="0" fontId="21" fillId="0" borderId="95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 vertical="center" wrapText="1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27" fillId="0" borderId="90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29" fillId="0" borderId="8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178" fontId="28" fillId="0" borderId="11" xfId="0" applyNumberFormat="1" applyFont="1" applyBorder="1" applyAlignment="1">
      <alignment horizontal="center" vertical="center"/>
    </xf>
    <xf numFmtId="178" fontId="29" fillId="0" borderId="12" xfId="0" applyNumberFormat="1" applyFont="1" applyBorder="1" applyAlignment="1">
      <alignment horizontal="center" vertical="center"/>
    </xf>
    <xf numFmtId="178" fontId="29" fillId="0" borderId="54" xfId="0" applyNumberFormat="1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178" fontId="28" fillId="0" borderId="67" xfId="0" applyNumberFormat="1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0" fontId="34" fillId="0" borderId="78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50" xfId="0" applyFont="1" applyBorder="1"/>
    <xf numFmtId="0" fontId="29" fillId="0" borderId="41" xfId="0" applyFont="1" applyBorder="1"/>
    <xf numFmtId="0" fontId="29" fillId="0" borderId="42" xfId="0" applyFont="1" applyBorder="1"/>
    <xf numFmtId="0" fontId="29" fillId="0" borderId="91" xfId="0" applyFont="1" applyBorder="1"/>
    <xf numFmtId="0" fontId="29" fillId="0" borderId="87" xfId="0" applyFont="1" applyBorder="1"/>
    <xf numFmtId="0" fontId="29" fillId="0" borderId="89" xfId="0" applyFont="1" applyBorder="1"/>
    <xf numFmtId="0" fontId="33" fillId="0" borderId="60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0" fontId="34" fillId="0" borderId="85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86" xfId="0" applyFont="1" applyBorder="1" applyAlignment="1">
      <alignment horizontal="left" vertical="center"/>
    </xf>
    <xf numFmtId="0" fontId="33" fillId="0" borderId="11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/>
    </xf>
    <xf numFmtId="0" fontId="28" fillId="0" borderId="40" xfId="0" applyFont="1" applyBorder="1"/>
    <xf numFmtId="0" fontId="30" fillId="0" borderId="82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31" fillId="0" borderId="38" xfId="0" applyFont="1" applyBorder="1" applyAlignment="1">
      <alignment horizontal="left" vertical="center"/>
    </xf>
    <xf numFmtId="0" fontId="30" fillId="0" borderId="36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13" xfId="0" applyFont="1" applyBorder="1"/>
    <xf numFmtId="0" fontId="29" fillId="0" borderId="18" xfId="0" applyFont="1" applyBorder="1"/>
    <xf numFmtId="0" fontId="29" fillId="0" borderId="14" xfId="0" applyFont="1" applyBorder="1"/>
    <xf numFmtId="0" fontId="29" fillId="0" borderId="15" xfId="0" applyFont="1" applyBorder="1"/>
    <xf numFmtId="0" fontId="29" fillId="0" borderId="55" xfId="0" applyFont="1" applyBorder="1"/>
    <xf numFmtId="0" fontId="29" fillId="0" borderId="16" xfId="0" applyFont="1" applyBorder="1"/>
    <xf numFmtId="0" fontId="29" fillId="0" borderId="25" xfId="0" applyFont="1" applyBorder="1"/>
    <xf numFmtId="0" fontId="29" fillId="0" borderId="56" xfId="0" applyFont="1" applyBorder="1"/>
    <xf numFmtId="0" fontId="28" fillId="0" borderId="83" xfId="0" applyFont="1" applyBorder="1" applyAlignment="1">
      <alignment horizontal="left" vertical="center"/>
    </xf>
    <xf numFmtId="0" fontId="29" fillId="0" borderId="57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45" fillId="0" borderId="39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10" fontId="28" fillId="0" borderId="4" xfId="0" applyNumberFormat="1" applyFont="1" applyBorder="1" applyAlignment="1">
      <alignment horizontal="center" vertical="center"/>
    </xf>
    <xf numFmtId="10" fontId="29" fillId="0" borderId="4" xfId="0" applyNumberFormat="1" applyFont="1" applyBorder="1" applyAlignment="1">
      <alignment horizontal="center" vertical="center"/>
    </xf>
    <xf numFmtId="0" fontId="28" fillId="0" borderId="39" xfId="0" applyFont="1" applyBorder="1"/>
    <xf numFmtId="0" fontId="29" fillId="0" borderId="57" xfId="0" applyFont="1" applyBorder="1"/>
    <xf numFmtId="0" fontId="29" fillId="0" borderId="45" xfId="0" applyFont="1" applyBorder="1"/>
    <xf numFmtId="0" fontId="29" fillId="0" borderId="84" xfId="0" applyFont="1" applyBorder="1"/>
    <xf numFmtId="0" fontId="28" fillId="0" borderId="67" xfId="0" applyFont="1" applyBorder="1" applyAlignment="1">
      <alignment horizontal="left" vertical="center"/>
    </xf>
    <xf numFmtId="0" fontId="29" fillId="0" borderId="41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9" fontId="45" fillId="0" borderId="11" xfId="0" applyNumberFormat="1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28" fillId="0" borderId="11" xfId="0" applyFont="1" applyBorder="1"/>
    <xf numFmtId="0" fontId="29" fillId="0" borderId="12" xfId="0" applyFont="1" applyBorder="1"/>
    <xf numFmtId="9" fontId="45" fillId="0" borderId="39" xfId="0" applyNumberFormat="1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28" fillId="0" borderId="29" xfId="0" applyFont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0" fontId="28" fillId="0" borderId="30" xfId="0" applyFont="1" applyBorder="1"/>
    <xf numFmtId="0" fontId="29" fillId="0" borderId="30" xfId="0" applyFont="1" applyBorder="1"/>
    <xf numFmtId="0" fontId="29" fillId="0" borderId="31" xfId="0" applyFont="1" applyBorder="1"/>
    <xf numFmtId="0" fontId="28" fillId="0" borderId="3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45" fillId="0" borderId="4" xfId="0" applyFont="1" applyBorder="1" applyAlignment="1">
      <alignment horizontal="center" vertical="center"/>
    </xf>
    <xf numFmtId="0" fontId="28" fillId="0" borderId="4" xfId="0" applyFont="1" applyBorder="1"/>
    <xf numFmtId="0" fontId="29" fillId="0" borderId="4" xfId="0" applyFont="1" applyBorder="1"/>
    <xf numFmtId="0" fontId="29" fillId="0" borderId="5" xfId="0" applyFont="1" applyBorder="1"/>
    <xf numFmtId="0" fontId="24" fillId="0" borderId="81" xfId="0" applyFont="1" applyBorder="1" applyAlignment="1">
      <alignment horizontal="center" vertical="center" wrapText="1"/>
    </xf>
    <xf numFmtId="0" fontId="25" fillId="0" borderId="78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0" borderId="104" xfId="0" applyFont="1" applyBorder="1" applyAlignment="1">
      <alignment horizontal="center" vertical="center"/>
    </xf>
    <xf numFmtId="0" fontId="30" fillId="3" borderId="106" xfId="0" applyFont="1" applyFill="1" applyBorder="1" applyAlignment="1">
      <alignment horizontal="center" vertical="center"/>
    </xf>
    <xf numFmtId="0" fontId="30" fillId="3" borderId="107" xfId="0" applyFont="1" applyFill="1" applyBorder="1" applyAlignment="1">
      <alignment horizontal="center" vertical="center"/>
    </xf>
    <xf numFmtId="0" fontId="30" fillId="3" borderId="108" xfId="0" applyFont="1" applyFill="1" applyBorder="1" applyAlignment="1">
      <alignment horizontal="center" vertical="center"/>
    </xf>
  </cellXfs>
  <cellStyles count="1">
    <cellStyle name="常规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U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  <col min="16170" max="16384" width="9" style="6"/>
  </cols>
  <sheetData>
    <row r="1" spans="2:47" ht="5.15" customHeight="1" x14ac:dyDescent="0.25"/>
    <row r="2" spans="2:47" ht="17.5" customHeight="1" thickBot="1" x14ac:dyDescent="0.3">
      <c r="B2" s="180" t="s">
        <v>227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</row>
    <row r="3" spans="2:47" ht="20.149999999999999" customHeight="1" x14ac:dyDescent="0.25">
      <c r="B3" s="184" t="s">
        <v>181</v>
      </c>
      <c r="C3" s="182" t="s">
        <v>163</v>
      </c>
      <c r="D3" s="194"/>
      <c r="E3" s="194"/>
      <c r="F3" s="194"/>
      <c r="G3" s="194"/>
      <c r="H3" s="195"/>
      <c r="I3" s="198" t="s">
        <v>8</v>
      </c>
      <c r="J3" s="194"/>
      <c r="K3" s="194"/>
      <c r="L3" s="194"/>
      <c r="M3" s="194"/>
      <c r="N3" s="194"/>
      <c r="O3" s="194"/>
      <c r="P3" s="199"/>
      <c r="Q3" s="182" t="s">
        <v>77</v>
      </c>
      <c r="R3" s="194"/>
      <c r="S3" s="199"/>
      <c r="T3" s="182" t="s">
        <v>10</v>
      </c>
      <c r="U3" s="194"/>
      <c r="V3" s="194"/>
      <c r="W3" s="199"/>
      <c r="X3" s="182" t="s">
        <v>80</v>
      </c>
      <c r="Y3" s="183"/>
      <c r="Z3" s="182" t="s">
        <v>11</v>
      </c>
      <c r="AA3" s="183"/>
      <c r="AB3" s="13" t="s">
        <v>13</v>
      </c>
      <c r="AC3" s="182" t="s">
        <v>14</v>
      </c>
      <c r="AD3" s="183"/>
      <c r="AE3" s="223" t="s">
        <v>88</v>
      </c>
      <c r="AF3" s="224"/>
      <c r="AG3" s="224"/>
      <c r="AH3" s="224"/>
      <c r="AI3" s="224"/>
      <c r="AJ3" s="224"/>
      <c r="AK3" s="225"/>
      <c r="AL3" s="182" t="s">
        <v>18</v>
      </c>
      <c r="AM3" s="190"/>
      <c r="AN3" s="191"/>
      <c r="AO3" s="190" t="s">
        <v>16</v>
      </c>
      <c r="AP3" s="190"/>
      <c r="AQ3" s="190"/>
      <c r="AR3" s="193"/>
    </row>
    <row r="4" spans="2:47" ht="30" customHeight="1" x14ac:dyDescent="0.25">
      <c r="B4" s="18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6" t="s">
        <v>62</v>
      </c>
      <c r="J4" s="197"/>
      <c r="K4" s="3" t="s">
        <v>6</v>
      </c>
      <c r="L4" s="3" t="s">
        <v>66</v>
      </c>
      <c r="M4" s="3" t="s">
        <v>164</v>
      </c>
      <c r="N4" s="3" t="s">
        <v>165</v>
      </c>
      <c r="O4" s="170" t="s">
        <v>7</v>
      </c>
      <c r="P4" s="174"/>
      <c r="Q4" s="187" t="s">
        <v>71</v>
      </c>
      <c r="R4" s="174"/>
      <c r="S4" s="3" t="s">
        <v>51</v>
      </c>
      <c r="T4" s="3" t="s">
        <v>75</v>
      </c>
      <c r="U4" s="187" t="s">
        <v>78</v>
      </c>
      <c r="V4" s="174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88" t="s">
        <v>89</v>
      </c>
      <c r="AF4" s="189"/>
      <c r="AG4" s="188" t="s">
        <v>92</v>
      </c>
      <c r="AH4" s="189"/>
      <c r="AI4" s="10" t="s">
        <v>166</v>
      </c>
      <c r="AJ4" s="10" t="s">
        <v>167</v>
      </c>
      <c r="AK4" s="11" t="s">
        <v>115</v>
      </c>
      <c r="AL4" s="187" t="s">
        <v>110</v>
      </c>
      <c r="AM4" s="174"/>
      <c r="AN4" s="29" t="s">
        <v>111</v>
      </c>
      <c r="AO4" s="26" t="s">
        <v>12</v>
      </c>
      <c r="AP4" s="3" t="s">
        <v>1</v>
      </c>
      <c r="AQ4" s="172" t="s">
        <v>161</v>
      </c>
      <c r="AR4" s="192"/>
      <c r="AU4" s="20"/>
    </row>
    <row r="5" spans="2:47" ht="20.149999999999999" customHeight="1" x14ac:dyDescent="0.25">
      <c r="B5" s="1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448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101"/>
      <c r="D6" s="101"/>
      <c r="E6" s="101"/>
      <c r="F6" s="101"/>
      <c r="G6" s="101"/>
      <c r="H6" s="102"/>
      <c r="I6" s="103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4"/>
      <c r="AF6" s="104"/>
      <c r="AG6" s="104"/>
      <c r="AH6" s="104"/>
      <c r="AI6" s="104"/>
      <c r="AJ6" s="104"/>
      <c r="AK6" s="104"/>
      <c r="AL6" s="101"/>
      <c r="AM6" s="105"/>
      <c r="AN6" s="106"/>
      <c r="AO6" s="107"/>
      <c r="AP6" s="108"/>
      <c r="AQ6" s="108"/>
      <c r="AR6" s="109"/>
    </row>
    <row r="7" spans="2:47" ht="13.5" customHeight="1" x14ac:dyDescent="0.25">
      <c r="B7" s="14">
        <v>0.375</v>
      </c>
      <c r="C7" s="101"/>
      <c r="D7" s="101"/>
      <c r="E7" s="101"/>
      <c r="F7" s="101"/>
      <c r="G7" s="101"/>
      <c r="H7" s="102"/>
      <c r="I7" s="103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 t="s">
        <v>82</v>
      </c>
      <c r="Z7" s="101"/>
      <c r="AA7" s="101"/>
      <c r="AB7" s="101"/>
      <c r="AC7" s="101"/>
      <c r="AD7" s="101"/>
      <c r="AE7" s="104"/>
      <c r="AF7" s="104"/>
      <c r="AG7" s="104"/>
      <c r="AH7" s="104"/>
      <c r="AI7" s="104"/>
      <c r="AJ7" s="104"/>
      <c r="AK7" s="104"/>
      <c r="AL7" s="101"/>
      <c r="AM7" s="105"/>
      <c r="AN7" s="106"/>
      <c r="AO7" s="107"/>
      <c r="AP7" s="108"/>
      <c r="AQ7" s="108"/>
      <c r="AR7" s="109"/>
    </row>
    <row r="8" spans="2:47" ht="13.5" customHeight="1" x14ac:dyDescent="0.25">
      <c r="B8" s="14">
        <v>0.41666666666666669</v>
      </c>
      <c r="C8" s="101"/>
      <c r="D8" s="101"/>
      <c r="E8" s="101"/>
      <c r="F8" s="101"/>
      <c r="G8" s="101"/>
      <c r="H8" s="102"/>
      <c r="I8" s="103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 t="s">
        <v>82</v>
      </c>
      <c r="Z8" s="101"/>
      <c r="AA8" s="101"/>
      <c r="AB8" s="101"/>
      <c r="AC8" s="101"/>
      <c r="AD8" s="101"/>
      <c r="AE8" s="104"/>
      <c r="AF8" s="104"/>
      <c r="AG8" s="104"/>
      <c r="AH8" s="104"/>
      <c r="AI8" s="104"/>
      <c r="AJ8" s="104"/>
      <c r="AK8" s="104"/>
      <c r="AL8" s="101"/>
      <c r="AM8" s="105"/>
      <c r="AN8" s="106"/>
      <c r="AO8" s="107"/>
      <c r="AP8" s="108"/>
      <c r="AQ8" s="108"/>
      <c r="AR8" s="109"/>
    </row>
    <row r="9" spans="2:47" ht="13.5" customHeight="1" x14ac:dyDescent="0.25">
      <c r="B9" s="14">
        <v>0.45833333333333298</v>
      </c>
      <c r="C9" s="101"/>
      <c r="D9" s="101"/>
      <c r="E9" s="101"/>
      <c r="F9" s="101"/>
      <c r="G9" s="101"/>
      <c r="H9" s="102"/>
      <c r="I9" s="103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 t="s">
        <v>82</v>
      </c>
      <c r="Z9" s="101"/>
      <c r="AA9" s="101"/>
      <c r="AB9" s="101"/>
      <c r="AC9" s="101"/>
      <c r="AD9" s="101"/>
      <c r="AE9" s="104"/>
      <c r="AF9" s="104"/>
      <c r="AG9" s="104"/>
      <c r="AH9" s="104"/>
      <c r="AI9" s="104"/>
      <c r="AJ9" s="104"/>
      <c r="AK9" s="104"/>
      <c r="AL9" s="101"/>
      <c r="AM9" s="105"/>
      <c r="AN9" s="106"/>
      <c r="AO9" s="107"/>
      <c r="AP9" s="108"/>
      <c r="AQ9" s="108"/>
      <c r="AR9" s="109"/>
    </row>
    <row r="10" spans="2:47" ht="13.5" customHeight="1" x14ac:dyDescent="0.25">
      <c r="B10" s="14">
        <v>0.5</v>
      </c>
      <c r="C10" s="101"/>
      <c r="D10" s="101"/>
      <c r="E10" s="101"/>
      <c r="F10" s="101"/>
      <c r="G10" s="101"/>
      <c r="H10" s="102"/>
      <c r="I10" s="103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 t="s">
        <v>82</v>
      </c>
      <c r="Z10" s="101"/>
      <c r="AA10" s="101"/>
      <c r="AB10" s="101"/>
      <c r="AC10" s="101"/>
      <c r="AD10" s="101"/>
      <c r="AE10" s="104"/>
      <c r="AF10" s="104"/>
      <c r="AG10" s="104"/>
      <c r="AH10" s="104"/>
      <c r="AI10" s="104"/>
      <c r="AJ10" s="104"/>
      <c r="AK10" s="104"/>
      <c r="AL10" s="101"/>
      <c r="AM10" s="105"/>
      <c r="AN10" s="106"/>
      <c r="AO10" s="107"/>
      <c r="AP10" s="108"/>
      <c r="AQ10" s="108"/>
      <c r="AR10" s="109"/>
    </row>
    <row r="11" spans="2:47" ht="13.5" customHeight="1" x14ac:dyDescent="0.25">
      <c r="B11" s="14">
        <v>0.54166666666666696</v>
      </c>
      <c r="C11" s="101"/>
      <c r="D11" s="101"/>
      <c r="E11" s="101"/>
      <c r="F11" s="101"/>
      <c r="G11" s="101"/>
      <c r="H11" s="102"/>
      <c r="I11" s="103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 t="s">
        <v>82</v>
      </c>
      <c r="Z11" s="101"/>
      <c r="AA11" s="101"/>
      <c r="AB11" s="101"/>
      <c r="AC11" s="101"/>
      <c r="AD11" s="101"/>
      <c r="AE11" s="104"/>
      <c r="AF11" s="104"/>
      <c r="AG11" s="104"/>
      <c r="AH11" s="104"/>
      <c r="AI11" s="104"/>
      <c r="AJ11" s="104"/>
      <c r="AK11" s="104"/>
      <c r="AL11" s="101"/>
      <c r="AM11" s="105"/>
      <c r="AN11" s="106"/>
      <c r="AO11" s="107"/>
      <c r="AP11" s="108"/>
      <c r="AQ11" s="108"/>
      <c r="AR11" s="109"/>
    </row>
    <row r="12" spans="2:47" ht="13.5" customHeight="1" x14ac:dyDescent="0.25">
      <c r="B12" s="14">
        <v>0.58333333333333304</v>
      </c>
      <c r="C12" s="101"/>
      <c r="D12" s="101"/>
      <c r="E12" s="101"/>
      <c r="F12" s="101"/>
      <c r="G12" s="101"/>
      <c r="H12" s="102"/>
      <c r="I12" s="103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 t="s">
        <v>82</v>
      </c>
      <c r="Z12" s="101"/>
      <c r="AA12" s="101"/>
      <c r="AB12" s="101"/>
      <c r="AC12" s="101"/>
      <c r="AD12" s="101"/>
      <c r="AE12" s="104"/>
      <c r="AF12" s="104"/>
      <c r="AG12" s="104"/>
      <c r="AH12" s="104"/>
      <c r="AI12" s="104"/>
      <c r="AJ12" s="104"/>
      <c r="AK12" s="104"/>
      <c r="AL12" s="101"/>
      <c r="AM12" s="105"/>
      <c r="AN12" s="106"/>
      <c r="AO12" s="107"/>
      <c r="AP12" s="108"/>
      <c r="AQ12" s="108"/>
      <c r="AR12" s="109"/>
    </row>
    <row r="13" spans="2:47" ht="13.5" customHeight="1" x14ac:dyDescent="0.25">
      <c r="B13" s="14">
        <v>0.625</v>
      </c>
      <c r="C13" s="101"/>
      <c r="D13" s="101"/>
      <c r="E13" s="101"/>
      <c r="F13" s="101"/>
      <c r="G13" s="101"/>
      <c r="H13" s="102"/>
      <c r="I13" s="103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 t="s">
        <v>82</v>
      </c>
      <c r="Z13" s="101"/>
      <c r="AA13" s="101"/>
      <c r="AB13" s="101"/>
      <c r="AC13" s="101"/>
      <c r="AD13" s="101"/>
      <c r="AE13" s="104"/>
      <c r="AF13" s="104"/>
      <c r="AG13" s="104"/>
      <c r="AH13" s="104"/>
      <c r="AI13" s="104"/>
      <c r="AJ13" s="104"/>
      <c r="AK13" s="104"/>
      <c r="AL13" s="101"/>
      <c r="AM13" s="105"/>
      <c r="AN13" s="106"/>
      <c r="AO13" s="107"/>
      <c r="AP13" s="108"/>
      <c r="AQ13" s="108"/>
      <c r="AR13" s="109"/>
    </row>
    <row r="14" spans="2:47" ht="13.5" customHeight="1" x14ac:dyDescent="0.25">
      <c r="B14" s="14">
        <v>0.66666666666666696</v>
      </c>
      <c r="C14" s="101"/>
      <c r="D14" s="101"/>
      <c r="E14" s="101"/>
      <c r="F14" s="101"/>
      <c r="G14" s="101"/>
      <c r="H14" s="102"/>
      <c r="I14" s="103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 t="s">
        <v>82</v>
      </c>
      <c r="Z14" s="101"/>
      <c r="AA14" s="101"/>
      <c r="AB14" s="101"/>
      <c r="AC14" s="101"/>
      <c r="AD14" s="101"/>
      <c r="AE14" s="104"/>
      <c r="AF14" s="104"/>
      <c r="AG14" s="104"/>
      <c r="AH14" s="104"/>
      <c r="AI14" s="104"/>
      <c r="AJ14" s="104"/>
      <c r="AK14" s="104"/>
      <c r="AL14" s="101"/>
      <c r="AM14" s="105"/>
      <c r="AN14" s="106"/>
      <c r="AO14" s="107"/>
      <c r="AP14" s="108"/>
      <c r="AQ14" s="108"/>
      <c r="AR14" s="109"/>
    </row>
    <row r="15" spans="2:47" ht="13.5" customHeight="1" x14ac:dyDescent="0.25">
      <c r="B15" s="14">
        <v>0.70833333333333304</v>
      </c>
      <c r="C15" s="101"/>
      <c r="D15" s="101"/>
      <c r="E15" s="101"/>
      <c r="F15" s="101"/>
      <c r="G15" s="101"/>
      <c r="H15" s="102"/>
      <c r="I15" s="103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 t="s">
        <v>82</v>
      </c>
      <c r="Z15" s="101"/>
      <c r="AA15" s="101"/>
      <c r="AB15" s="101"/>
      <c r="AC15" s="101"/>
      <c r="AD15" s="101"/>
      <c r="AE15" s="104"/>
      <c r="AF15" s="104"/>
      <c r="AG15" s="104"/>
      <c r="AH15" s="104"/>
      <c r="AI15" s="104"/>
      <c r="AJ15" s="104"/>
      <c r="AK15" s="104"/>
      <c r="AL15" s="101"/>
      <c r="AM15" s="105"/>
      <c r="AN15" s="106"/>
      <c r="AO15" s="107"/>
      <c r="AP15" s="108"/>
      <c r="AQ15" s="108"/>
      <c r="AR15" s="109"/>
    </row>
    <row r="16" spans="2:47" ht="13.5" customHeight="1" x14ac:dyDescent="0.25">
      <c r="B16" s="14">
        <v>0.75</v>
      </c>
      <c r="C16" s="101"/>
      <c r="D16" s="101"/>
      <c r="E16" s="101"/>
      <c r="F16" s="101"/>
      <c r="G16" s="101"/>
      <c r="H16" s="102"/>
      <c r="I16" s="103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 t="s">
        <v>82</v>
      </c>
      <c r="Z16" s="101"/>
      <c r="AA16" s="101"/>
      <c r="AB16" s="101"/>
      <c r="AC16" s="101"/>
      <c r="AD16" s="101"/>
      <c r="AE16" s="104"/>
      <c r="AF16" s="104"/>
      <c r="AG16" s="104"/>
      <c r="AH16" s="104"/>
      <c r="AI16" s="104"/>
      <c r="AJ16" s="104"/>
      <c r="AK16" s="104"/>
      <c r="AL16" s="101"/>
      <c r="AM16" s="105"/>
      <c r="AN16" s="106"/>
      <c r="AO16" s="107"/>
      <c r="AP16" s="108"/>
      <c r="AQ16" s="108"/>
      <c r="AR16" s="109"/>
    </row>
    <row r="17" spans="2:44" ht="13.5" customHeight="1" x14ac:dyDescent="0.25">
      <c r="B17" s="14">
        <v>0.79166666666666696</v>
      </c>
      <c r="C17" s="101"/>
      <c r="D17" s="101"/>
      <c r="E17" s="101"/>
      <c r="F17" s="101"/>
      <c r="G17" s="101"/>
      <c r="H17" s="102"/>
      <c r="I17" s="103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s">
        <v>82</v>
      </c>
      <c r="Z17" s="101"/>
      <c r="AA17" s="101"/>
      <c r="AB17" s="101"/>
      <c r="AC17" s="101"/>
      <c r="AD17" s="101"/>
      <c r="AE17" s="104"/>
      <c r="AF17" s="104"/>
      <c r="AG17" s="104"/>
      <c r="AH17" s="104"/>
      <c r="AI17" s="104"/>
      <c r="AJ17" s="104"/>
      <c r="AK17" s="104"/>
      <c r="AL17" s="101"/>
      <c r="AM17" s="105"/>
      <c r="AN17" s="106"/>
      <c r="AO17" s="107"/>
      <c r="AP17" s="108"/>
      <c r="AQ17" s="108"/>
      <c r="AR17" s="109"/>
    </row>
    <row r="18" spans="2:44" ht="13.5" customHeight="1" x14ac:dyDescent="0.25">
      <c r="B18" s="42">
        <v>0.83333333333333404</v>
      </c>
      <c r="C18" s="110"/>
      <c r="D18" s="110"/>
      <c r="E18" s="110"/>
      <c r="F18" s="110"/>
      <c r="G18" s="110"/>
      <c r="H18" s="111"/>
      <c r="I18" s="112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3"/>
      <c r="AF18" s="113"/>
      <c r="AG18" s="113"/>
      <c r="AH18" s="113"/>
      <c r="AI18" s="113"/>
      <c r="AJ18" s="113"/>
      <c r="AK18" s="113"/>
      <c r="AL18" s="110"/>
      <c r="AM18" s="114"/>
      <c r="AN18" s="115"/>
      <c r="AO18" s="107"/>
      <c r="AP18" s="108"/>
      <c r="AQ18" s="108"/>
      <c r="AR18" s="116"/>
    </row>
    <row r="19" spans="2:44" ht="18" customHeight="1" x14ac:dyDescent="0.25">
      <c r="B19" s="200" t="s">
        <v>181</v>
      </c>
      <c r="C19" s="36" t="s">
        <v>168</v>
      </c>
      <c r="D19" s="36" t="s">
        <v>171</v>
      </c>
      <c r="E19" s="159" t="s">
        <v>17</v>
      </c>
      <c r="F19" s="214"/>
      <c r="G19" s="215"/>
      <c r="H19" s="216" t="s">
        <v>108</v>
      </c>
      <c r="I19" s="214"/>
      <c r="J19" s="214"/>
      <c r="K19" s="214"/>
      <c r="L19" s="179"/>
      <c r="M19" s="217" t="s">
        <v>123</v>
      </c>
      <c r="N19" s="214"/>
      <c r="O19" s="214"/>
      <c r="P19" s="214"/>
      <c r="Q19" s="215"/>
      <c r="R19" s="216" t="s">
        <v>147</v>
      </c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5"/>
      <c r="AG19" s="178" t="s">
        <v>24</v>
      </c>
      <c r="AH19" s="215"/>
      <c r="AI19" s="226" t="s">
        <v>173</v>
      </c>
      <c r="AJ19" s="227"/>
      <c r="AK19" s="227"/>
      <c r="AL19" s="227"/>
      <c r="AM19" s="228"/>
      <c r="AN19" s="178" t="s">
        <v>47</v>
      </c>
      <c r="AO19" s="218"/>
      <c r="AP19" s="214" t="s">
        <v>180</v>
      </c>
      <c r="AQ19" s="219"/>
      <c r="AR19" s="220"/>
    </row>
    <row r="20" spans="2:44" ht="20.149999999999999" customHeight="1" x14ac:dyDescent="0.25">
      <c r="B20" s="201"/>
      <c r="C20" s="3" t="s">
        <v>169</v>
      </c>
      <c r="D20" s="3" t="s">
        <v>113</v>
      </c>
      <c r="E20" s="3" t="s">
        <v>15</v>
      </c>
      <c r="F20" s="170" t="s">
        <v>100</v>
      </c>
      <c r="G20" s="174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72" t="s">
        <v>148</v>
      </c>
      <c r="AE20" s="174"/>
      <c r="AF20" s="17" t="s">
        <v>151</v>
      </c>
      <c r="AG20" s="17" t="s">
        <v>153</v>
      </c>
      <c r="AH20" s="17" t="s">
        <v>155</v>
      </c>
      <c r="AI20" s="188" t="s">
        <v>89</v>
      </c>
      <c r="AJ20" s="189"/>
      <c r="AK20" s="188" t="s">
        <v>92</v>
      </c>
      <c r="AL20" s="189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201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2"/>
      <c r="M22" s="117"/>
      <c r="N22" s="101"/>
      <c r="O22" s="101"/>
      <c r="P22" s="101"/>
      <c r="Q22" s="101"/>
      <c r="R22" s="101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05"/>
      <c r="AD22" s="105"/>
      <c r="AE22" s="105"/>
      <c r="AF22" s="105"/>
      <c r="AG22" s="105"/>
      <c r="AH22" s="105"/>
      <c r="AI22" s="119"/>
      <c r="AJ22" s="119"/>
      <c r="AK22" s="119"/>
      <c r="AL22" s="119"/>
      <c r="AM22" s="119"/>
      <c r="AN22" s="105"/>
      <c r="AO22" s="106"/>
      <c r="AP22" s="107"/>
      <c r="AQ22" s="108"/>
      <c r="AR22" s="109"/>
    </row>
    <row r="23" spans="2:44" ht="13.5" customHeight="1" x14ac:dyDescent="0.25">
      <c r="B23" s="14">
        <v>0.375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2"/>
      <c r="M23" s="117"/>
      <c r="N23" s="101"/>
      <c r="O23" s="101"/>
      <c r="P23" s="101"/>
      <c r="Q23" s="101"/>
      <c r="R23" s="101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05"/>
      <c r="AD23" s="105"/>
      <c r="AE23" s="105"/>
      <c r="AF23" s="105"/>
      <c r="AG23" s="105"/>
      <c r="AH23" s="105"/>
      <c r="AI23" s="119"/>
      <c r="AJ23" s="119"/>
      <c r="AK23" s="119"/>
      <c r="AL23" s="119"/>
      <c r="AM23" s="119"/>
      <c r="AN23" s="105"/>
      <c r="AO23" s="106"/>
      <c r="AP23" s="107"/>
      <c r="AQ23" s="108"/>
      <c r="AR23" s="109"/>
    </row>
    <row r="24" spans="2:44" ht="13.5" customHeight="1" x14ac:dyDescent="0.25">
      <c r="B24" s="14">
        <v>0.41666666666666702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2"/>
      <c r="M24" s="117"/>
      <c r="N24" s="101"/>
      <c r="O24" s="101"/>
      <c r="P24" s="101"/>
      <c r="Q24" s="101"/>
      <c r="R24" s="101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05"/>
      <c r="AD24" s="105"/>
      <c r="AE24" s="105"/>
      <c r="AF24" s="105"/>
      <c r="AG24" s="105"/>
      <c r="AH24" s="105"/>
      <c r="AI24" s="119"/>
      <c r="AJ24" s="119"/>
      <c r="AK24" s="119"/>
      <c r="AL24" s="119"/>
      <c r="AM24" s="119"/>
      <c r="AN24" s="105"/>
      <c r="AO24" s="106"/>
      <c r="AP24" s="107"/>
      <c r="AQ24" s="108"/>
      <c r="AR24" s="109"/>
    </row>
    <row r="25" spans="2:44" ht="13.5" customHeight="1" x14ac:dyDescent="0.25">
      <c r="B25" s="14">
        <v>0.45833333333333298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117"/>
      <c r="N25" s="101"/>
      <c r="O25" s="101"/>
      <c r="P25" s="101"/>
      <c r="Q25" s="101"/>
      <c r="R25" s="101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05"/>
      <c r="AD25" s="105"/>
      <c r="AE25" s="105"/>
      <c r="AF25" s="105"/>
      <c r="AG25" s="105"/>
      <c r="AH25" s="105"/>
      <c r="AI25" s="119"/>
      <c r="AJ25" s="119"/>
      <c r="AK25" s="119"/>
      <c r="AL25" s="119"/>
      <c r="AM25" s="119"/>
      <c r="AN25" s="105"/>
      <c r="AO25" s="106"/>
      <c r="AP25" s="107"/>
      <c r="AQ25" s="108"/>
      <c r="AR25" s="109"/>
    </row>
    <row r="26" spans="2:44" ht="13.5" customHeight="1" x14ac:dyDescent="0.25">
      <c r="B26" s="14">
        <v>0.5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17"/>
      <c r="N26" s="101"/>
      <c r="O26" s="101"/>
      <c r="P26" s="101"/>
      <c r="Q26" s="101"/>
      <c r="R26" s="101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05"/>
      <c r="AD26" s="105"/>
      <c r="AE26" s="105"/>
      <c r="AF26" s="105"/>
      <c r="AG26" s="105"/>
      <c r="AH26" s="105"/>
      <c r="AI26" s="119"/>
      <c r="AJ26" s="119"/>
      <c r="AK26" s="119"/>
      <c r="AL26" s="119"/>
      <c r="AM26" s="119"/>
      <c r="AN26" s="105"/>
      <c r="AO26" s="106"/>
      <c r="AP26" s="107"/>
      <c r="AQ26" s="108"/>
      <c r="AR26" s="109"/>
    </row>
    <row r="27" spans="2:44" ht="13.5" customHeight="1" x14ac:dyDescent="0.25">
      <c r="B27" s="14">
        <v>0.54166666666666596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2"/>
      <c r="M27" s="117"/>
      <c r="N27" s="101"/>
      <c r="O27" s="101"/>
      <c r="P27" s="101"/>
      <c r="Q27" s="101"/>
      <c r="R27" s="101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05"/>
      <c r="AD27" s="105"/>
      <c r="AE27" s="105"/>
      <c r="AF27" s="105"/>
      <c r="AG27" s="105"/>
      <c r="AH27" s="105"/>
      <c r="AI27" s="119"/>
      <c r="AJ27" s="119"/>
      <c r="AK27" s="119"/>
      <c r="AL27" s="119"/>
      <c r="AM27" s="119"/>
      <c r="AN27" s="105"/>
      <c r="AO27" s="106"/>
      <c r="AP27" s="107"/>
      <c r="AQ27" s="108"/>
      <c r="AR27" s="109"/>
    </row>
    <row r="28" spans="2:44" ht="13.5" customHeight="1" x14ac:dyDescent="0.25">
      <c r="B28" s="14">
        <v>0.58333333333333304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2"/>
      <c r="M28" s="117"/>
      <c r="N28" s="101"/>
      <c r="O28" s="101"/>
      <c r="P28" s="101"/>
      <c r="Q28" s="101"/>
      <c r="R28" s="101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05"/>
      <c r="AD28" s="105"/>
      <c r="AE28" s="105"/>
      <c r="AF28" s="105"/>
      <c r="AG28" s="105"/>
      <c r="AH28" s="105"/>
      <c r="AI28" s="119"/>
      <c r="AJ28" s="119"/>
      <c r="AK28" s="119"/>
      <c r="AL28" s="119"/>
      <c r="AM28" s="119"/>
      <c r="AN28" s="105"/>
      <c r="AO28" s="106"/>
      <c r="AP28" s="107"/>
      <c r="AQ28" s="108"/>
      <c r="AR28" s="109"/>
    </row>
    <row r="29" spans="2:44" ht="13.5" customHeight="1" x14ac:dyDescent="0.25">
      <c r="B29" s="14">
        <v>0.625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2"/>
      <c r="M29" s="117"/>
      <c r="N29" s="101"/>
      <c r="O29" s="101"/>
      <c r="P29" s="101"/>
      <c r="Q29" s="101"/>
      <c r="R29" s="101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05"/>
      <c r="AD29" s="105"/>
      <c r="AE29" s="105"/>
      <c r="AF29" s="105"/>
      <c r="AG29" s="105"/>
      <c r="AH29" s="105"/>
      <c r="AI29" s="119"/>
      <c r="AJ29" s="119"/>
      <c r="AK29" s="119"/>
      <c r="AL29" s="119"/>
      <c r="AM29" s="119"/>
      <c r="AN29" s="105"/>
      <c r="AO29" s="106"/>
      <c r="AP29" s="107"/>
      <c r="AQ29" s="108"/>
      <c r="AR29" s="109"/>
    </row>
    <row r="30" spans="2:44" ht="13.5" customHeight="1" x14ac:dyDescent="0.25">
      <c r="B30" s="14">
        <v>0.66666666666666596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2"/>
      <c r="M30" s="117"/>
      <c r="N30" s="101"/>
      <c r="O30" s="101"/>
      <c r="P30" s="101"/>
      <c r="Q30" s="101"/>
      <c r="R30" s="101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05"/>
      <c r="AD30" s="105"/>
      <c r="AE30" s="105"/>
      <c r="AF30" s="105"/>
      <c r="AG30" s="105"/>
      <c r="AH30" s="105"/>
      <c r="AI30" s="119"/>
      <c r="AJ30" s="119"/>
      <c r="AK30" s="119"/>
      <c r="AL30" s="119"/>
      <c r="AM30" s="119"/>
      <c r="AN30" s="105"/>
      <c r="AO30" s="106"/>
      <c r="AP30" s="107"/>
      <c r="AQ30" s="108"/>
      <c r="AR30" s="109"/>
    </row>
    <row r="31" spans="2:44" ht="13.5" customHeight="1" x14ac:dyDescent="0.25">
      <c r="B31" s="14">
        <v>0.70833333333333304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2"/>
      <c r="M31" s="117"/>
      <c r="N31" s="101"/>
      <c r="O31" s="101"/>
      <c r="P31" s="101"/>
      <c r="Q31" s="101"/>
      <c r="R31" s="101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05"/>
      <c r="AD31" s="105"/>
      <c r="AE31" s="105"/>
      <c r="AF31" s="105"/>
      <c r="AG31" s="105"/>
      <c r="AH31" s="105"/>
      <c r="AI31" s="119"/>
      <c r="AJ31" s="119"/>
      <c r="AK31" s="119"/>
      <c r="AL31" s="119"/>
      <c r="AM31" s="119"/>
      <c r="AN31" s="105"/>
      <c r="AO31" s="106"/>
      <c r="AP31" s="107"/>
      <c r="AQ31" s="108"/>
      <c r="AR31" s="109"/>
    </row>
    <row r="32" spans="2:44" ht="13.5" customHeight="1" x14ac:dyDescent="0.25">
      <c r="B32" s="14">
        <v>0.75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2"/>
      <c r="M32" s="117"/>
      <c r="N32" s="101"/>
      <c r="O32" s="101"/>
      <c r="P32" s="101"/>
      <c r="Q32" s="101"/>
      <c r="R32" s="101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05"/>
      <c r="AD32" s="105"/>
      <c r="AE32" s="105"/>
      <c r="AF32" s="105"/>
      <c r="AG32" s="105"/>
      <c r="AH32" s="105"/>
      <c r="AI32" s="119"/>
      <c r="AJ32" s="119"/>
      <c r="AK32" s="119"/>
      <c r="AL32" s="119"/>
      <c r="AM32" s="119"/>
      <c r="AN32" s="105"/>
      <c r="AO32" s="106"/>
      <c r="AP32" s="107"/>
      <c r="AQ32" s="108"/>
      <c r="AR32" s="109"/>
    </row>
    <row r="33" spans="2:44" ht="13.5" customHeight="1" x14ac:dyDescent="0.25">
      <c r="B33" s="14">
        <v>0.79166666666666696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7"/>
      <c r="N33" s="101"/>
      <c r="O33" s="101"/>
      <c r="P33" s="101"/>
      <c r="Q33" s="101"/>
      <c r="R33" s="101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05"/>
      <c r="AD33" s="105"/>
      <c r="AE33" s="105"/>
      <c r="AF33" s="105"/>
      <c r="AG33" s="105"/>
      <c r="AH33" s="105"/>
      <c r="AI33" s="119"/>
      <c r="AJ33" s="119"/>
      <c r="AK33" s="119"/>
      <c r="AL33" s="119"/>
      <c r="AM33" s="119"/>
      <c r="AN33" s="105"/>
      <c r="AO33" s="106"/>
      <c r="AP33" s="107"/>
      <c r="AQ33" s="108"/>
      <c r="AR33" s="109"/>
    </row>
    <row r="34" spans="2:44" ht="13.5" customHeight="1" x14ac:dyDescent="0.25">
      <c r="B34" s="15">
        <v>0.83333333333333304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1"/>
      <c r="M34" s="120"/>
      <c r="N34" s="110"/>
      <c r="O34" s="110"/>
      <c r="P34" s="110"/>
      <c r="Q34" s="110"/>
      <c r="R34" s="110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14"/>
      <c r="AD34" s="114"/>
      <c r="AE34" s="114"/>
      <c r="AF34" s="114"/>
      <c r="AG34" s="114"/>
      <c r="AH34" s="114"/>
      <c r="AI34" s="122"/>
      <c r="AJ34" s="122"/>
      <c r="AK34" s="122"/>
      <c r="AL34" s="122"/>
      <c r="AM34" s="122"/>
      <c r="AN34" s="114"/>
      <c r="AO34" s="115"/>
      <c r="AP34" s="123"/>
      <c r="AQ34" s="124"/>
      <c r="AR34" s="125"/>
    </row>
    <row r="35" spans="2:44" ht="15" customHeight="1" x14ac:dyDescent="0.25">
      <c r="B35" s="213" t="s">
        <v>181</v>
      </c>
      <c r="C35" s="159" t="s">
        <v>38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1" t="s">
        <v>216</v>
      </c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3"/>
      <c r="AK35" s="178" t="s">
        <v>48</v>
      </c>
      <c r="AL35" s="179"/>
      <c r="AM35" s="164" t="s">
        <v>223</v>
      </c>
      <c r="AN35" s="165"/>
      <c r="AO35" s="43"/>
      <c r="AP35" s="43"/>
      <c r="AQ35" s="43"/>
      <c r="AR35" s="44"/>
    </row>
    <row r="36" spans="2:44" ht="20.149999999999999" customHeight="1" x14ac:dyDescent="0.25">
      <c r="B36" s="201"/>
      <c r="C36" s="170" t="s">
        <v>32</v>
      </c>
      <c r="D36" s="176"/>
      <c r="E36" s="170" t="s">
        <v>33</v>
      </c>
      <c r="F36" s="175"/>
      <c r="G36" s="176"/>
      <c r="H36" s="166" t="s">
        <v>276</v>
      </c>
      <c r="I36" s="167"/>
      <c r="J36" s="4" t="s">
        <v>27</v>
      </c>
      <c r="K36" s="4" t="s">
        <v>30</v>
      </c>
      <c r="L36" s="4" t="s">
        <v>191</v>
      </c>
      <c r="M36" s="168" t="s">
        <v>192</v>
      </c>
      <c r="N36" s="169"/>
      <c r="O36" s="4" t="s">
        <v>26</v>
      </c>
      <c r="P36" s="4" t="s">
        <v>197</v>
      </c>
      <c r="Q36" s="170" t="s">
        <v>199</v>
      </c>
      <c r="R36" s="177"/>
      <c r="S36" s="170" t="s">
        <v>202</v>
      </c>
      <c r="T36" s="177"/>
      <c r="U36" s="170" t="s">
        <v>201</v>
      </c>
      <c r="V36" s="171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72" t="s">
        <v>46</v>
      </c>
      <c r="AI36" s="173"/>
      <c r="AJ36" s="174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201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201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449</v>
      </c>
      <c r="N38" s="1" t="s">
        <v>450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18"/>
      <c r="V39" s="126"/>
      <c r="W39" s="127"/>
      <c r="X39" s="118"/>
      <c r="Y39" s="118"/>
      <c r="Z39" s="118"/>
      <c r="AA39" s="118"/>
      <c r="AB39" s="118"/>
      <c r="AC39" s="118"/>
      <c r="AD39" s="118"/>
      <c r="AE39" s="105"/>
      <c r="AF39" s="105"/>
      <c r="AG39" s="105"/>
      <c r="AH39" s="105"/>
      <c r="AI39" s="105"/>
      <c r="AJ39" s="105"/>
      <c r="AK39" s="105"/>
      <c r="AL39" s="106"/>
      <c r="AM39" s="128"/>
      <c r="AN39" s="119"/>
      <c r="AO39" s="105"/>
      <c r="AP39" s="105"/>
      <c r="AQ39" s="105"/>
      <c r="AR39" s="109"/>
    </row>
    <row r="40" spans="2:44" ht="13.5" customHeight="1" x14ac:dyDescent="0.25">
      <c r="B40" s="14">
        <v>0.375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18"/>
      <c r="V40" s="126"/>
      <c r="W40" s="127"/>
      <c r="X40" s="118"/>
      <c r="Y40" s="118"/>
      <c r="Z40" s="118"/>
      <c r="AA40" s="118"/>
      <c r="AB40" s="118"/>
      <c r="AC40" s="118"/>
      <c r="AD40" s="118"/>
      <c r="AE40" s="105"/>
      <c r="AF40" s="105"/>
      <c r="AG40" s="105"/>
      <c r="AH40" s="105"/>
      <c r="AI40" s="105"/>
      <c r="AJ40" s="105"/>
      <c r="AK40" s="105"/>
      <c r="AL40" s="106"/>
      <c r="AM40" s="128"/>
      <c r="AN40" s="119"/>
      <c r="AO40" s="105"/>
      <c r="AP40" s="105"/>
      <c r="AQ40" s="105"/>
      <c r="AR40" s="109"/>
    </row>
    <row r="41" spans="2:44" ht="13.5" customHeight="1" x14ac:dyDescent="0.25">
      <c r="B41" s="14">
        <v>0.41666666666666702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18"/>
      <c r="V41" s="126"/>
      <c r="W41" s="127"/>
      <c r="X41" s="118"/>
      <c r="Y41" s="118"/>
      <c r="Z41" s="118"/>
      <c r="AA41" s="118"/>
      <c r="AB41" s="118"/>
      <c r="AC41" s="118"/>
      <c r="AD41" s="118"/>
      <c r="AE41" s="105"/>
      <c r="AF41" s="105"/>
      <c r="AG41" s="105"/>
      <c r="AH41" s="105"/>
      <c r="AI41" s="105"/>
      <c r="AJ41" s="105"/>
      <c r="AK41" s="105"/>
      <c r="AL41" s="106"/>
      <c r="AM41" s="128"/>
      <c r="AN41" s="119"/>
      <c r="AO41" s="105"/>
      <c r="AP41" s="105"/>
      <c r="AQ41" s="105"/>
      <c r="AR41" s="109"/>
    </row>
    <row r="42" spans="2:44" ht="13.5" customHeight="1" x14ac:dyDescent="0.25">
      <c r="B42" s="14">
        <v>0.45833333333333298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18"/>
      <c r="V42" s="126"/>
      <c r="W42" s="127"/>
      <c r="X42" s="118"/>
      <c r="Y42" s="118"/>
      <c r="Z42" s="118"/>
      <c r="AA42" s="118"/>
      <c r="AB42" s="118"/>
      <c r="AC42" s="118"/>
      <c r="AD42" s="118"/>
      <c r="AE42" s="105"/>
      <c r="AF42" s="105"/>
      <c r="AG42" s="105"/>
      <c r="AH42" s="105"/>
      <c r="AI42" s="105"/>
      <c r="AJ42" s="105"/>
      <c r="AK42" s="105"/>
      <c r="AL42" s="106"/>
      <c r="AM42" s="128"/>
      <c r="AN42" s="119"/>
      <c r="AO42" s="105"/>
      <c r="AP42" s="105"/>
      <c r="AQ42" s="105"/>
      <c r="AR42" s="109"/>
    </row>
    <row r="43" spans="2:44" ht="13.5" customHeight="1" x14ac:dyDescent="0.25">
      <c r="B43" s="14">
        <v>0.5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18"/>
      <c r="V43" s="126"/>
      <c r="W43" s="127"/>
      <c r="X43" s="118"/>
      <c r="Y43" s="118"/>
      <c r="Z43" s="118"/>
      <c r="AA43" s="118"/>
      <c r="AB43" s="118"/>
      <c r="AC43" s="118"/>
      <c r="AD43" s="118"/>
      <c r="AE43" s="105"/>
      <c r="AF43" s="105"/>
      <c r="AG43" s="105"/>
      <c r="AH43" s="105"/>
      <c r="AI43" s="105"/>
      <c r="AJ43" s="105"/>
      <c r="AK43" s="105"/>
      <c r="AL43" s="106"/>
      <c r="AM43" s="128"/>
      <c r="AN43" s="119"/>
      <c r="AO43" s="105"/>
      <c r="AP43" s="105"/>
      <c r="AQ43" s="105"/>
      <c r="AR43" s="109"/>
    </row>
    <row r="44" spans="2:44" ht="13.5" customHeight="1" x14ac:dyDescent="0.25">
      <c r="B44" s="14">
        <v>0.54166666666666596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18"/>
      <c r="V44" s="126"/>
      <c r="W44" s="127"/>
      <c r="X44" s="118"/>
      <c r="Y44" s="118"/>
      <c r="Z44" s="118"/>
      <c r="AA44" s="118"/>
      <c r="AB44" s="118"/>
      <c r="AC44" s="118"/>
      <c r="AD44" s="118"/>
      <c r="AE44" s="105"/>
      <c r="AF44" s="105"/>
      <c r="AG44" s="105"/>
      <c r="AH44" s="105"/>
      <c r="AI44" s="105"/>
      <c r="AJ44" s="105"/>
      <c r="AK44" s="105"/>
      <c r="AL44" s="106"/>
      <c r="AM44" s="128"/>
      <c r="AN44" s="119"/>
      <c r="AO44" s="105"/>
      <c r="AP44" s="105"/>
      <c r="AQ44" s="105"/>
      <c r="AR44" s="109"/>
    </row>
    <row r="45" spans="2:44" ht="13.5" customHeight="1" x14ac:dyDescent="0.25">
      <c r="B45" s="14">
        <v>0.58333333333333304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18"/>
      <c r="V45" s="126"/>
      <c r="W45" s="127"/>
      <c r="X45" s="118"/>
      <c r="Y45" s="118"/>
      <c r="Z45" s="118"/>
      <c r="AA45" s="118"/>
      <c r="AB45" s="118"/>
      <c r="AC45" s="118"/>
      <c r="AD45" s="118"/>
      <c r="AE45" s="105"/>
      <c r="AF45" s="105"/>
      <c r="AG45" s="105"/>
      <c r="AH45" s="105"/>
      <c r="AI45" s="105"/>
      <c r="AJ45" s="105"/>
      <c r="AK45" s="105"/>
      <c r="AL45" s="106"/>
      <c r="AM45" s="128"/>
      <c r="AN45" s="119"/>
      <c r="AO45" s="105"/>
      <c r="AP45" s="105"/>
      <c r="AQ45" s="105"/>
      <c r="AR45" s="109"/>
    </row>
    <row r="46" spans="2:44" ht="13.5" customHeight="1" x14ac:dyDescent="0.25">
      <c r="B46" s="14">
        <v>0.625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18"/>
      <c r="V46" s="126"/>
      <c r="W46" s="127"/>
      <c r="X46" s="118"/>
      <c r="Y46" s="118"/>
      <c r="Z46" s="118"/>
      <c r="AA46" s="118"/>
      <c r="AB46" s="118"/>
      <c r="AC46" s="118"/>
      <c r="AD46" s="118"/>
      <c r="AE46" s="105"/>
      <c r="AF46" s="105"/>
      <c r="AG46" s="105"/>
      <c r="AH46" s="105"/>
      <c r="AI46" s="105"/>
      <c r="AJ46" s="105"/>
      <c r="AK46" s="105"/>
      <c r="AL46" s="106"/>
      <c r="AM46" s="128"/>
      <c r="AN46" s="119"/>
      <c r="AO46" s="105"/>
      <c r="AP46" s="105"/>
      <c r="AQ46" s="105"/>
      <c r="AR46" s="109"/>
    </row>
    <row r="47" spans="2:44" ht="13.5" customHeight="1" x14ac:dyDescent="0.25">
      <c r="B47" s="14">
        <v>0.66666666666666596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18"/>
      <c r="V47" s="126"/>
      <c r="W47" s="127"/>
      <c r="X47" s="118"/>
      <c r="Y47" s="118"/>
      <c r="Z47" s="118"/>
      <c r="AA47" s="118"/>
      <c r="AB47" s="118"/>
      <c r="AC47" s="118"/>
      <c r="AD47" s="118"/>
      <c r="AE47" s="105"/>
      <c r="AF47" s="105"/>
      <c r="AG47" s="105"/>
      <c r="AH47" s="105"/>
      <c r="AI47" s="105"/>
      <c r="AJ47" s="105"/>
      <c r="AK47" s="105"/>
      <c r="AL47" s="106"/>
      <c r="AM47" s="128"/>
      <c r="AN47" s="119"/>
      <c r="AO47" s="105"/>
      <c r="AP47" s="105"/>
      <c r="AQ47" s="105"/>
      <c r="AR47" s="109"/>
    </row>
    <row r="48" spans="2:44" ht="13.5" customHeight="1" x14ac:dyDescent="0.25">
      <c r="B48" s="14">
        <v>0.70833333333333304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18"/>
      <c r="V48" s="126"/>
      <c r="W48" s="127"/>
      <c r="X48" s="118"/>
      <c r="Y48" s="118"/>
      <c r="Z48" s="118"/>
      <c r="AA48" s="118"/>
      <c r="AB48" s="118"/>
      <c r="AC48" s="118"/>
      <c r="AD48" s="118"/>
      <c r="AE48" s="105"/>
      <c r="AF48" s="105"/>
      <c r="AG48" s="105"/>
      <c r="AH48" s="105"/>
      <c r="AI48" s="105"/>
      <c r="AJ48" s="105"/>
      <c r="AK48" s="105"/>
      <c r="AL48" s="106"/>
      <c r="AM48" s="128"/>
      <c r="AN48" s="119"/>
      <c r="AO48" s="105"/>
      <c r="AP48" s="105"/>
      <c r="AQ48" s="105"/>
      <c r="AR48" s="109"/>
    </row>
    <row r="49" spans="2:44" ht="13.5" customHeight="1" x14ac:dyDescent="0.25">
      <c r="B49" s="14">
        <v>0.75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18"/>
      <c r="V49" s="126"/>
      <c r="W49" s="127"/>
      <c r="X49" s="118"/>
      <c r="Y49" s="118"/>
      <c r="Z49" s="118"/>
      <c r="AA49" s="118"/>
      <c r="AB49" s="118"/>
      <c r="AC49" s="118"/>
      <c r="AD49" s="118"/>
      <c r="AE49" s="105"/>
      <c r="AF49" s="105"/>
      <c r="AG49" s="105"/>
      <c r="AH49" s="105"/>
      <c r="AI49" s="105"/>
      <c r="AJ49" s="105"/>
      <c r="AK49" s="105"/>
      <c r="AL49" s="106"/>
      <c r="AM49" s="128"/>
      <c r="AN49" s="119"/>
      <c r="AO49" s="105"/>
      <c r="AP49" s="105"/>
      <c r="AQ49" s="105"/>
      <c r="AR49" s="109"/>
    </row>
    <row r="50" spans="2:44" ht="13.5" customHeight="1" x14ac:dyDescent="0.25">
      <c r="B50" s="14">
        <v>0.79166666666666696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18"/>
      <c r="V50" s="126"/>
      <c r="W50" s="127"/>
      <c r="X50" s="118"/>
      <c r="Y50" s="118"/>
      <c r="Z50" s="118"/>
      <c r="AA50" s="118"/>
      <c r="AB50" s="118"/>
      <c r="AC50" s="118"/>
      <c r="AD50" s="118"/>
      <c r="AE50" s="105"/>
      <c r="AF50" s="105"/>
      <c r="AG50" s="105"/>
      <c r="AH50" s="105"/>
      <c r="AI50" s="105"/>
      <c r="AJ50" s="105"/>
      <c r="AK50" s="105"/>
      <c r="AL50" s="106"/>
      <c r="AM50" s="128"/>
      <c r="AN50" s="119"/>
      <c r="AO50" s="105"/>
      <c r="AP50" s="105"/>
      <c r="AQ50" s="105"/>
      <c r="AR50" s="109"/>
    </row>
    <row r="51" spans="2:44" ht="13.5" customHeight="1" x14ac:dyDescent="0.25">
      <c r="B51" s="14">
        <v>0.83333333333333304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1"/>
      <c r="V51" s="129"/>
      <c r="W51" s="130"/>
      <c r="X51" s="121"/>
      <c r="Y51" s="121"/>
      <c r="Z51" s="121"/>
      <c r="AA51" s="121"/>
      <c r="AB51" s="121"/>
      <c r="AC51" s="121"/>
      <c r="AD51" s="121"/>
      <c r="AE51" s="114"/>
      <c r="AF51" s="114"/>
      <c r="AG51" s="114"/>
      <c r="AH51" s="114"/>
      <c r="AI51" s="114"/>
      <c r="AJ51" s="114"/>
      <c r="AK51" s="114"/>
      <c r="AL51" s="115"/>
      <c r="AM51" s="131"/>
      <c r="AN51" s="122"/>
      <c r="AO51" s="114"/>
      <c r="AP51" s="114"/>
      <c r="AQ51" s="114"/>
      <c r="AR51" s="125"/>
    </row>
    <row r="52" spans="2:44" ht="13.5" customHeight="1" x14ac:dyDescent="0.25">
      <c r="B52" s="221"/>
      <c r="C52" s="222"/>
      <c r="D52" s="9" t="s">
        <v>19</v>
      </c>
      <c r="E52" s="202" t="s">
        <v>20</v>
      </c>
      <c r="F52" s="205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7"/>
      <c r="AP52" s="207"/>
      <c r="AQ52" s="207"/>
      <c r="AR52" s="208"/>
    </row>
    <row r="53" spans="2:44" ht="13.5" customHeight="1" x14ac:dyDescent="0.25">
      <c r="B53" s="201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172"/>
      <c r="AP53" s="172"/>
      <c r="AQ53" s="172"/>
      <c r="AR53" s="209"/>
    </row>
    <row r="54" spans="2:44" ht="13.5" customHeight="1" thickBot="1" x14ac:dyDescent="0.3">
      <c r="B54" s="212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10"/>
      <c r="AP54" s="210"/>
      <c r="AQ54" s="210"/>
      <c r="AR54" s="21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A0EE-EFC5-448E-92C8-164A0C5253E9}">
  <dimension ref="B1:BF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  <col min="16184" max="16384" width="9" style="6"/>
  </cols>
  <sheetData>
    <row r="1" spans="2:58" ht="17.5" customHeight="1" thickBot="1" x14ac:dyDescent="0.3">
      <c r="B1" s="180" t="s">
        <v>230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</row>
    <row r="2" spans="2:58" ht="13" customHeight="1" x14ac:dyDescent="0.25">
      <c r="B2" s="261" t="s">
        <v>232</v>
      </c>
      <c r="C2" s="194"/>
      <c r="D2" s="194"/>
      <c r="E2" s="194"/>
      <c r="F2" s="194"/>
      <c r="G2" s="194"/>
      <c r="H2" s="194"/>
      <c r="I2" s="194"/>
      <c r="J2" s="194"/>
      <c r="K2" s="194"/>
      <c r="L2" s="199"/>
      <c r="M2" s="262" t="s">
        <v>231</v>
      </c>
      <c r="N2" s="194"/>
      <c r="O2" s="194"/>
      <c r="P2" s="194"/>
      <c r="Q2" s="194"/>
      <c r="R2" s="194"/>
      <c r="S2" s="194"/>
      <c r="T2" s="194"/>
      <c r="U2" s="194"/>
      <c r="V2" s="194"/>
      <c r="W2" s="199"/>
      <c r="X2" s="182" t="s">
        <v>233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9"/>
      <c r="AI2" s="262" t="s">
        <v>234</v>
      </c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9"/>
      <c r="AU2" s="182" t="s">
        <v>235</v>
      </c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263"/>
    </row>
    <row r="3" spans="2:58" ht="13" customHeight="1" x14ac:dyDescent="0.25">
      <c r="B3" s="229"/>
      <c r="C3" s="230"/>
      <c r="D3" s="230"/>
      <c r="E3" s="230"/>
      <c r="F3" s="230"/>
      <c r="G3" s="230"/>
      <c r="H3" s="230"/>
      <c r="I3" s="230"/>
      <c r="J3" s="230"/>
      <c r="K3" s="230"/>
      <c r="L3" s="231"/>
      <c r="M3" s="237"/>
      <c r="N3" s="230"/>
      <c r="O3" s="230"/>
      <c r="P3" s="230"/>
      <c r="Q3" s="230"/>
      <c r="R3" s="230"/>
      <c r="S3" s="230"/>
      <c r="T3" s="230"/>
      <c r="U3" s="230"/>
      <c r="V3" s="230"/>
      <c r="W3" s="231"/>
      <c r="X3" s="241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42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1"/>
      <c r="AU3" s="241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43"/>
    </row>
    <row r="4" spans="2:58" ht="13" customHeight="1" x14ac:dyDescent="0.25">
      <c r="B4" s="232"/>
      <c r="C4" s="233"/>
      <c r="D4" s="233"/>
      <c r="E4" s="233"/>
      <c r="F4" s="233"/>
      <c r="G4" s="233"/>
      <c r="H4" s="233"/>
      <c r="I4" s="233"/>
      <c r="J4" s="233"/>
      <c r="K4" s="233"/>
      <c r="L4" s="234"/>
      <c r="M4" s="238"/>
      <c r="N4" s="233"/>
      <c r="O4" s="233"/>
      <c r="P4" s="233"/>
      <c r="Q4" s="233"/>
      <c r="R4" s="233"/>
      <c r="S4" s="233"/>
      <c r="T4" s="233"/>
      <c r="U4" s="233"/>
      <c r="V4" s="233"/>
      <c r="W4" s="234"/>
      <c r="X4" s="238"/>
      <c r="Y4" s="233"/>
      <c r="Z4" s="233"/>
      <c r="AA4" s="233"/>
      <c r="AB4" s="233"/>
      <c r="AC4" s="233"/>
      <c r="AD4" s="233"/>
      <c r="AE4" s="233"/>
      <c r="AF4" s="233"/>
      <c r="AG4" s="233"/>
      <c r="AH4" s="234"/>
      <c r="AI4" s="238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4"/>
      <c r="AU4" s="238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44"/>
    </row>
    <row r="5" spans="2:58" ht="13" customHeight="1" x14ac:dyDescent="0.25">
      <c r="B5" s="232"/>
      <c r="C5" s="233"/>
      <c r="D5" s="233"/>
      <c r="E5" s="233"/>
      <c r="F5" s="233"/>
      <c r="G5" s="233"/>
      <c r="H5" s="233"/>
      <c r="I5" s="233"/>
      <c r="J5" s="233"/>
      <c r="K5" s="233"/>
      <c r="L5" s="234"/>
      <c r="M5" s="238"/>
      <c r="N5" s="233"/>
      <c r="O5" s="233"/>
      <c r="P5" s="233"/>
      <c r="Q5" s="233"/>
      <c r="R5" s="233"/>
      <c r="S5" s="233"/>
      <c r="T5" s="233"/>
      <c r="U5" s="233"/>
      <c r="V5" s="233"/>
      <c r="W5" s="234"/>
      <c r="X5" s="238"/>
      <c r="Y5" s="233"/>
      <c r="Z5" s="233"/>
      <c r="AA5" s="233"/>
      <c r="AB5" s="233"/>
      <c r="AC5" s="233"/>
      <c r="AD5" s="233"/>
      <c r="AE5" s="233"/>
      <c r="AF5" s="233"/>
      <c r="AG5" s="233"/>
      <c r="AH5" s="234"/>
      <c r="AI5" s="238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4"/>
      <c r="AU5" s="238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44"/>
    </row>
    <row r="6" spans="2:58" ht="13" customHeight="1" x14ac:dyDescent="0.25">
      <c r="B6" s="232"/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8"/>
      <c r="N6" s="233"/>
      <c r="O6" s="233"/>
      <c r="P6" s="233"/>
      <c r="Q6" s="233"/>
      <c r="R6" s="233"/>
      <c r="S6" s="233"/>
      <c r="T6" s="233"/>
      <c r="U6" s="233"/>
      <c r="V6" s="233"/>
      <c r="W6" s="234"/>
      <c r="X6" s="238"/>
      <c r="Y6" s="233"/>
      <c r="Z6" s="233"/>
      <c r="AA6" s="233"/>
      <c r="AB6" s="233"/>
      <c r="AC6" s="233"/>
      <c r="AD6" s="233"/>
      <c r="AE6" s="233"/>
      <c r="AF6" s="233"/>
      <c r="AG6" s="233"/>
      <c r="AH6" s="234"/>
      <c r="AI6" s="238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4"/>
      <c r="AU6" s="238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44"/>
    </row>
    <row r="7" spans="2:58" ht="13" customHeight="1" x14ac:dyDescent="0.25">
      <c r="B7" s="232"/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238"/>
      <c r="N7" s="233"/>
      <c r="O7" s="233"/>
      <c r="P7" s="233"/>
      <c r="Q7" s="233"/>
      <c r="R7" s="233"/>
      <c r="S7" s="233"/>
      <c r="T7" s="233"/>
      <c r="U7" s="233"/>
      <c r="V7" s="233"/>
      <c r="W7" s="234"/>
      <c r="X7" s="238"/>
      <c r="Y7" s="233"/>
      <c r="Z7" s="233"/>
      <c r="AA7" s="233"/>
      <c r="AB7" s="233"/>
      <c r="AC7" s="233"/>
      <c r="AD7" s="233"/>
      <c r="AE7" s="233"/>
      <c r="AF7" s="233"/>
      <c r="AG7" s="233"/>
      <c r="AH7" s="234"/>
      <c r="AI7" s="238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4"/>
      <c r="AU7" s="238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44"/>
    </row>
    <row r="8" spans="2:58" ht="13" customHeight="1" x14ac:dyDescent="0.25">
      <c r="B8" s="232"/>
      <c r="C8" s="233"/>
      <c r="D8" s="233"/>
      <c r="E8" s="233"/>
      <c r="F8" s="233"/>
      <c r="G8" s="233"/>
      <c r="H8" s="233"/>
      <c r="I8" s="233"/>
      <c r="J8" s="233"/>
      <c r="K8" s="233"/>
      <c r="L8" s="234"/>
      <c r="M8" s="238"/>
      <c r="N8" s="233"/>
      <c r="O8" s="233"/>
      <c r="P8" s="233"/>
      <c r="Q8" s="233"/>
      <c r="R8" s="233"/>
      <c r="S8" s="233"/>
      <c r="T8" s="233"/>
      <c r="U8" s="233"/>
      <c r="V8" s="233"/>
      <c r="W8" s="234"/>
      <c r="X8" s="238"/>
      <c r="Y8" s="233"/>
      <c r="Z8" s="233"/>
      <c r="AA8" s="233"/>
      <c r="AB8" s="233"/>
      <c r="AC8" s="233"/>
      <c r="AD8" s="233"/>
      <c r="AE8" s="233"/>
      <c r="AF8" s="233"/>
      <c r="AG8" s="233"/>
      <c r="AH8" s="234"/>
      <c r="AI8" s="238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4"/>
      <c r="AU8" s="238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44"/>
    </row>
    <row r="9" spans="2:58" ht="13" customHeight="1" x14ac:dyDescent="0.25"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22"/>
      <c r="M9" s="239"/>
      <c r="N9" s="236"/>
      <c r="O9" s="236"/>
      <c r="P9" s="236"/>
      <c r="Q9" s="236"/>
      <c r="R9" s="236"/>
      <c r="S9" s="236"/>
      <c r="T9" s="236"/>
      <c r="U9" s="236"/>
      <c r="V9" s="236"/>
      <c r="W9" s="222"/>
      <c r="X9" s="239"/>
      <c r="Y9" s="236"/>
      <c r="Z9" s="236"/>
      <c r="AA9" s="236"/>
      <c r="AB9" s="236"/>
      <c r="AC9" s="236"/>
      <c r="AD9" s="236"/>
      <c r="AE9" s="236"/>
      <c r="AF9" s="236"/>
      <c r="AG9" s="236"/>
      <c r="AH9" s="222"/>
      <c r="AI9" s="239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22"/>
      <c r="AU9" s="239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45"/>
    </row>
    <row r="10" spans="2:58" ht="13" customHeight="1" x14ac:dyDescent="0.25">
      <c r="B10" s="249" t="s">
        <v>236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6"/>
      <c r="M10" s="260" t="s">
        <v>237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6"/>
      <c r="X10" s="187" t="s">
        <v>238</v>
      </c>
      <c r="Y10" s="175"/>
      <c r="Z10" s="175"/>
      <c r="AA10" s="175"/>
      <c r="AB10" s="175"/>
      <c r="AC10" s="175"/>
      <c r="AD10" s="175"/>
      <c r="AE10" s="175"/>
      <c r="AF10" s="175"/>
      <c r="AG10" s="175"/>
      <c r="AH10" s="176"/>
      <c r="AI10" s="187" t="s">
        <v>239</v>
      </c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6"/>
      <c r="AU10" s="172" t="s">
        <v>240</v>
      </c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254"/>
    </row>
    <row r="11" spans="2:58" ht="13" customHeight="1" x14ac:dyDescent="0.25">
      <c r="B11" s="229"/>
      <c r="C11" s="230"/>
      <c r="D11" s="230"/>
      <c r="E11" s="230"/>
      <c r="F11" s="230"/>
      <c r="G11" s="230"/>
      <c r="H11" s="230"/>
      <c r="I11" s="230"/>
      <c r="J11" s="230"/>
      <c r="K11" s="230"/>
      <c r="L11" s="231"/>
      <c r="M11" s="237"/>
      <c r="N11" s="230"/>
      <c r="O11" s="230"/>
      <c r="P11" s="230"/>
      <c r="Q11" s="230"/>
      <c r="R11" s="230"/>
      <c r="S11" s="230"/>
      <c r="T11" s="230"/>
      <c r="U11" s="230"/>
      <c r="V11" s="230"/>
      <c r="W11" s="231"/>
      <c r="X11" s="237"/>
      <c r="Y11" s="230"/>
      <c r="Z11" s="230"/>
      <c r="AA11" s="230"/>
      <c r="AB11" s="230"/>
      <c r="AC11" s="230"/>
      <c r="AD11" s="230"/>
      <c r="AE11" s="230"/>
      <c r="AF11" s="230"/>
      <c r="AG11" s="230"/>
      <c r="AH11" s="231"/>
      <c r="AI11" s="237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1"/>
      <c r="AU11" s="246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43"/>
    </row>
    <row r="12" spans="2:58" ht="13" customHeight="1" x14ac:dyDescent="0.25">
      <c r="B12" s="232"/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8"/>
      <c r="N12" s="233"/>
      <c r="O12" s="233"/>
      <c r="P12" s="233"/>
      <c r="Q12" s="233"/>
      <c r="R12" s="233"/>
      <c r="S12" s="233"/>
      <c r="T12" s="233"/>
      <c r="U12" s="233"/>
      <c r="V12" s="233"/>
      <c r="W12" s="234"/>
      <c r="X12" s="238"/>
      <c r="Y12" s="233"/>
      <c r="Z12" s="233"/>
      <c r="AA12" s="233"/>
      <c r="AB12" s="233"/>
      <c r="AC12" s="233"/>
      <c r="AD12" s="233"/>
      <c r="AE12" s="233"/>
      <c r="AF12" s="233"/>
      <c r="AG12" s="233"/>
      <c r="AH12" s="234"/>
      <c r="AI12" s="238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4"/>
      <c r="AU12" s="238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44"/>
    </row>
    <row r="13" spans="2:58" ht="13" customHeight="1" x14ac:dyDescent="0.25">
      <c r="B13" s="232"/>
      <c r="C13" s="233"/>
      <c r="D13" s="233"/>
      <c r="E13" s="233"/>
      <c r="F13" s="233"/>
      <c r="G13" s="233"/>
      <c r="H13" s="233"/>
      <c r="I13" s="233"/>
      <c r="J13" s="233"/>
      <c r="K13" s="233"/>
      <c r="L13" s="234"/>
      <c r="M13" s="238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38"/>
      <c r="Y13" s="233"/>
      <c r="Z13" s="233"/>
      <c r="AA13" s="233"/>
      <c r="AB13" s="233"/>
      <c r="AC13" s="233"/>
      <c r="AD13" s="233"/>
      <c r="AE13" s="233"/>
      <c r="AF13" s="233"/>
      <c r="AG13" s="233"/>
      <c r="AH13" s="234"/>
      <c r="AI13" s="238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4"/>
      <c r="AU13" s="238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44"/>
    </row>
    <row r="14" spans="2:58" ht="13" customHeight="1" x14ac:dyDescent="0.25">
      <c r="B14" s="232"/>
      <c r="C14" s="233"/>
      <c r="D14" s="233"/>
      <c r="E14" s="233"/>
      <c r="F14" s="233"/>
      <c r="G14" s="233"/>
      <c r="H14" s="233"/>
      <c r="I14" s="233"/>
      <c r="J14" s="233"/>
      <c r="K14" s="233"/>
      <c r="L14" s="234"/>
      <c r="M14" s="238"/>
      <c r="N14" s="233"/>
      <c r="O14" s="233"/>
      <c r="P14" s="233"/>
      <c r="Q14" s="233"/>
      <c r="R14" s="233"/>
      <c r="S14" s="233"/>
      <c r="T14" s="233"/>
      <c r="U14" s="233"/>
      <c r="V14" s="233"/>
      <c r="W14" s="234"/>
      <c r="X14" s="238"/>
      <c r="Y14" s="233"/>
      <c r="Z14" s="233"/>
      <c r="AA14" s="233"/>
      <c r="AB14" s="233"/>
      <c r="AC14" s="233"/>
      <c r="AD14" s="233"/>
      <c r="AE14" s="233"/>
      <c r="AF14" s="233"/>
      <c r="AG14" s="233"/>
      <c r="AH14" s="234"/>
      <c r="AI14" s="238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4"/>
      <c r="AU14" s="238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44"/>
    </row>
    <row r="15" spans="2:58" ht="13" customHeight="1" x14ac:dyDescent="0.25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238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38"/>
      <c r="Y15" s="233"/>
      <c r="Z15" s="233"/>
      <c r="AA15" s="233"/>
      <c r="AB15" s="233"/>
      <c r="AC15" s="233"/>
      <c r="AD15" s="233"/>
      <c r="AE15" s="233"/>
      <c r="AF15" s="233"/>
      <c r="AG15" s="233"/>
      <c r="AH15" s="234"/>
      <c r="AI15" s="238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4"/>
      <c r="AU15" s="238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44"/>
    </row>
    <row r="16" spans="2:58" ht="13" customHeight="1" x14ac:dyDescent="0.25">
      <c r="B16" s="232"/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8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38"/>
      <c r="Y16" s="233"/>
      <c r="Z16" s="233"/>
      <c r="AA16" s="233"/>
      <c r="AB16" s="233"/>
      <c r="AC16" s="233"/>
      <c r="AD16" s="233"/>
      <c r="AE16" s="233"/>
      <c r="AF16" s="233"/>
      <c r="AG16" s="233"/>
      <c r="AH16" s="234"/>
      <c r="AI16" s="238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4"/>
      <c r="AU16" s="238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44"/>
    </row>
    <row r="17" spans="2:58" ht="13" customHeight="1" x14ac:dyDescent="0.25"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22"/>
      <c r="M17" s="239"/>
      <c r="N17" s="236"/>
      <c r="O17" s="236"/>
      <c r="P17" s="236"/>
      <c r="Q17" s="236"/>
      <c r="R17" s="236"/>
      <c r="S17" s="236"/>
      <c r="T17" s="236"/>
      <c r="U17" s="236"/>
      <c r="V17" s="236"/>
      <c r="W17" s="222"/>
      <c r="X17" s="239"/>
      <c r="Y17" s="236"/>
      <c r="Z17" s="236"/>
      <c r="AA17" s="236"/>
      <c r="AB17" s="236"/>
      <c r="AC17" s="236"/>
      <c r="AD17" s="236"/>
      <c r="AE17" s="236"/>
      <c r="AF17" s="236"/>
      <c r="AG17" s="236"/>
      <c r="AH17" s="222"/>
      <c r="AI17" s="239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22"/>
      <c r="AU17" s="239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45"/>
    </row>
    <row r="18" spans="2:58" ht="13" customHeight="1" x14ac:dyDescent="0.25">
      <c r="B18" s="249" t="s">
        <v>241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250" t="s">
        <v>242</v>
      </c>
      <c r="N18" s="175"/>
      <c r="O18" s="175"/>
      <c r="P18" s="175"/>
      <c r="Q18" s="175"/>
      <c r="R18" s="175"/>
      <c r="S18" s="175"/>
      <c r="T18" s="175"/>
      <c r="U18" s="175"/>
      <c r="V18" s="175"/>
      <c r="W18" s="176"/>
      <c r="X18" s="248" t="s">
        <v>243</v>
      </c>
      <c r="Y18" s="175"/>
      <c r="Z18" s="175"/>
      <c r="AA18" s="175"/>
      <c r="AB18" s="175"/>
      <c r="AC18" s="175"/>
      <c r="AD18" s="175"/>
      <c r="AE18" s="175"/>
      <c r="AF18" s="175"/>
      <c r="AG18" s="175"/>
      <c r="AH18" s="176"/>
      <c r="AI18" s="170" t="s">
        <v>244</v>
      </c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6"/>
      <c r="AU18" s="172" t="s">
        <v>245</v>
      </c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254"/>
    </row>
    <row r="19" spans="2:58" ht="13" customHeight="1" x14ac:dyDescent="0.25">
      <c r="B19" s="229"/>
      <c r="C19" s="230"/>
      <c r="D19" s="230"/>
      <c r="E19" s="230"/>
      <c r="F19" s="230"/>
      <c r="G19" s="230"/>
      <c r="H19" s="230"/>
      <c r="I19" s="230"/>
      <c r="J19" s="230"/>
      <c r="K19" s="230"/>
      <c r="L19" s="231"/>
      <c r="M19" s="247"/>
      <c r="N19" s="230"/>
      <c r="O19" s="230"/>
      <c r="P19" s="230"/>
      <c r="Q19" s="230"/>
      <c r="R19" s="230"/>
      <c r="S19" s="230"/>
      <c r="T19" s="230"/>
      <c r="U19" s="230"/>
      <c r="V19" s="230"/>
      <c r="W19" s="231"/>
      <c r="X19" s="264"/>
      <c r="Y19" s="230"/>
      <c r="Z19" s="230"/>
      <c r="AA19" s="230"/>
      <c r="AB19" s="230"/>
      <c r="AC19" s="230"/>
      <c r="AD19" s="230"/>
      <c r="AE19" s="230"/>
      <c r="AF19" s="230"/>
      <c r="AG19" s="230"/>
      <c r="AH19" s="231"/>
      <c r="AI19" s="241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1"/>
      <c r="AU19" s="246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43"/>
    </row>
    <row r="20" spans="2:58" ht="13" customHeight="1" x14ac:dyDescent="0.25">
      <c r="B20" s="232"/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8"/>
      <c r="N20" s="233"/>
      <c r="O20" s="233"/>
      <c r="P20" s="233"/>
      <c r="Q20" s="233"/>
      <c r="R20" s="233"/>
      <c r="S20" s="233"/>
      <c r="T20" s="233"/>
      <c r="U20" s="233"/>
      <c r="V20" s="233"/>
      <c r="W20" s="234"/>
      <c r="X20" s="238"/>
      <c r="Y20" s="233"/>
      <c r="Z20" s="233"/>
      <c r="AA20" s="233"/>
      <c r="AB20" s="233"/>
      <c r="AC20" s="233"/>
      <c r="AD20" s="233"/>
      <c r="AE20" s="233"/>
      <c r="AF20" s="233"/>
      <c r="AG20" s="233"/>
      <c r="AH20" s="234"/>
      <c r="AI20" s="238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4"/>
      <c r="AU20" s="238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44"/>
    </row>
    <row r="21" spans="2:58" ht="13" customHeight="1" x14ac:dyDescent="0.25">
      <c r="B21" s="232"/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8"/>
      <c r="N21" s="233"/>
      <c r="O21" s="233"/>
      <c r="P21" s="233"/>
      <c r="Q21" s="233"/>
      <c r="R21" s="233"/>
      <c r="S21" s="233"/>
      <c r="T21" s="233"/>
      <c r="U21" s="233"/>
      <c r="V21" s="233"/>
      <c r="W21" s="234"/>
      <c r="X21" s="238"/>
      <c r="Y21" s="233"/>
      <c r="Z21" s="233"/>
      <c r="AA21" s="233"/>
      <c r="AB21" s="233"/>
      <c r="AC21" s="233"/>
      <c r="AD21" s="233"/>
      <c r="AE21" s="233"/>
      <c r="AF21" s="233"/>
      <c r="AG21" s="233"/>
      <c r="AH21" s="234"/>
      <c r="AI21" s="238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4"/>
      <c r="AU21" s="238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44"/>
    </row>
    <row r="22" spans="2:58" ht="13" customHeight="1" x14ac:dyDescent="0.25">
      <c r="B22" s="232"/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8"/>
      <c r="N22" s="233"/>
      <c r="O22" s="233"/>
      <c r="P22" s="233"/>
      <c r="Q22" s="233"/>
      <c r="R22" s="233"/>
      <c r="S22" s="233"/>
      <c r="T22" s="233"/>
      <c r="U22" s="233"/>
      <c r="V22" s="233"/>
      <c r="W22" s="234"/>
      <c r="X22" s="238"/>
      <c r="Y22" s="233"/>
      <c r="Z22" s="233"/>
      <c r="AA22" s="233"/>
      <c r="AB22" s="233"/>
      <c r="AC22" s="233"/>
      <c r="AD22" s="233"/>
      <c r="AE22" s="233"/>
      <c r="AF22" s="233"/>
      <c r="AG22" s="233"/>
      <c r="AH22" s="234"/>
      <c r="AI22" s="238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4"/>
      <c r="AU22" s="238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44"/>
    </row>
    <row r="23" spans="2:58" ht="13" customHeight="1" x14ac:dyDescent="0.25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8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38"/>
      <c r="Y23" s="233"/>
      <c r="Z23" s="233"/>
      <c r="AA23" s="233"/>
      <c r="AB23" s="233"/>
      <c r="AC23" s="233"/>
      <c r="AD23" s="233"/>
      <c r="AE23" s="233"/>
      <c r="AF23" s="233"/>
      <c r="AG23" s="233"/>
      <c r="AH23" s="234"/>
      <c r="AI23" s="238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4"/>
      <c r="AU23" s="238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44"/>
    </row>
    <row r="24" spans="2:58" ht="13" customHeight="1" x14ac:dyDescent="0.25"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22"/>
      <c r="M24" s="239"/>
      <c r="N24" s="236"/>
      <c r="O24" s="236"/>
      <c r="P24" s="236"/>
      <c r="Q24" s="236"/>
      <c r="R24" s="236"/>
      <c r="S24" s="236"/>
      <c r="T24" s="236"/>
      <c r="U24" s="236"/>
      <c r="V24" s="236"/>
      <c r="W24" s="222"/>
      <c r="X24" s="239"/>
      <c r="Y24" s="236"/>
      <c r="Z24" s="236"/>
      <c r="AA24" s="236"/>
      <c r="AB24" s="236"/>
      <c r="AC24" s="236"/>
      <c r="AD24" s="236"/>
      <c r="AE24" s="236"/>
      <c r="AF24" s="236"/>
      <c r="AG24" s="236"/>
      <c r="AH24" s="222"/>
      <c r="AI24" s="239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22"/>
      <c r="AU24" s="239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45"/>
    </row>
    <row r="25" spans="2:58" ht="13" customHeight="1" x14ac:dyDescent="0.25">
      <c r="B25" s="249" t="s">
        <v>246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6"/>
      <c r="M25" s="187" t="s">
        <v>247</v>
      </c>
      <c r="N25" s="175"/>
      <c r="O25" s="175"/>
      <c r="P25" s="175"/>
      <c r="Q25" s="175"/>
      <c r="R25" s="175"/>
      <c r="S25" s="175"/>
      <c r="T25" s="175"/>
      <c r="U25" s="175"/>
      <c r="V25" s="175"/>
      <c r="W25" s="176"/>
      <c r="X25" s="253" t="s">
        <v>248</v>
      </c>
      <c r="Y25" s="175"/>
      <c r="Z25" s="175"/>
      <c r="AA25" s="175"/>
      <c r="AB25" s="175"/>
      <c r="AC25" s="175"/>
      <c r="AD25" s="175"/>
      <c r="AE25" s="175"/>
      <c r="AF25" s="175"/>
      <c r="AG25" s="175"/>
      <c r="AH25" s="176"/>
      <c r="AI25" s="172" t="s">
        <v>249</v>
      </c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6"/>
      <c r="AU25" s="172" t="s">
        <v>250</v>
      </c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254"/>
    </row>
    <row r="26" spans="2:58" ht="13" customHeight="1" x14ac:dyDescent="0.25">
      <c r="B26" s="229"/>
      <c r="C26" s="230"/>
      <c r="D26" s="230"/>
      <c r="E26" s="230"/>
      <c r="F26" s="230"/>
      <c r="G26" s="230"/>
      <c r="H26" s="230"/>
      <c r="I26" s="230"/>
      <c r="J26" s="230"/>
      <c r="K26" s="230"/>
      <c r="L26" s="231"/>
      <c r="M26" s="251"/>
      <c r="N26" s="230"/>
      <c r="O26" s="230"/>
      <c r="P26" s="230"/>
      <c r="Q26" s="230"/>
      <c r="R26" s="230"/>
      <c r="S26" s="230"/>
      <c r="T26" s="230"/>
      <c r="U26" s="230"/>
      <c r="V26" s="230"/>
      <c r="W26" s="231"/>
      <c r="X26" s="240"/>
      <c r="Y26" s="230"/>
      <c r="Z26" s="230"/>
      <c r="AA26" s="230"/>
      <c r="AB26" s="230"/>
      <c r="AC26" s="230"/>
      <c r="AD26" s="230"/>
      <c r="AE26" s="230"/>
      <c r="AF26" s="230"/>
      <c r="AG26" s="230"/>
      <c r="AH26" s="231"/>
      <c r="AI26" s="246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1"/>
      <c r="AU26" s="246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43"/>
    </row>
    <row r="27" spans="2:58" ht="13" customHeight="1" x14ac:dyDescent="0.25">
      <c r="B27" s="232"/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8"/>
      <c r="N27" s="233"/>
      <c r="O27" s="233"/>
      <c r="P27" s="233"/>
      <c r="Q27" s="233"/>
      <c r="R27" s="233"/>
      <c r="S27" s="233"/>
      <c r="T27" s="233"/>
      <c r="U27" s="233"/>
      <c r="V27" s="233"/>
      <c r="W27" s="234"/>
      <c r="X27" s="238"/>
      <c r="Y27" s="233"/>
      <c r="Z27" s="233"/>
      <c r="AA27" s="233"/>
      <c r="AB27" s="233"/>
      <c r="AC27" s="233"/>
      <c r="AD27" s="233"/>
      <c r="AE27" s="233"/>
      <c r="AF27" s="233"/>
      <c r="AG27" s="233"/>
      <c r="AH27" s="234"/>
      <c r="AI27" s="238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4"/>
      <c r="AU27" s="238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44"/>
    </row>
    <row r="28" spans="2:58" ht="13" customHeight="1" x14ac:dyDescent="0.25">
      <c r="B28" s="232"/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8"/>
      <c r="N28" s="233"/>
      <c r="O28" s="233"/>
      <c r="P28" s="233"/>
      <c r="Q28" s="233"/>
      <c r="R28" s="233"/>
      <c r="S28" s="233"/>
      <c r="T28" s="233"/>
      <c r="U28" s="233"/>
      <c r="V28" s="233"/>
      <c r="W28" s="234"/>
      <c r="X28" s="238"/>
      <c r="Y28" s="233"/>
      <c r="Z28" s="233"/>
      <c r="AA28" s="233"/>
      <c r="AB28" s="233"/>
      <c r="AC28" s="233"/>
      <c r="AD28" s="233"/>
      <c r="AE28" s="233"/>
      <c r="AF28" s="233"/>
      <c r="AG28" s="233"/>
      <c r="AH28" s="234"/>
      <c r="AI28" s="238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4"/>
      <c r="AU28" s="238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44"/>
    </row>
    <row r="29" spans="2:58" ht="13" customHeight="1" x14ac:dyDescent="0.2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8"/>
      <c r="N29" s="233"/>
      <c r="O29" s="233"/>
      <c r="P29" s="233"/>
      <c r="Q29" s="233"/>
      <c r="R29" s="233"/>
      <c r="S29" s="233"/>
      <c r="T29" s="233"/>
      <c r="U29" s="233"/>
      <c r="V29" s="233"/>
      <c r="W29" s="234"/>
      <c r="X29" s="238"/>
      <c r="Y29" s="233"/>
      <c r="Z29" s="233"/>
      <c r="AA29" s="233"/>
      <c r="AB29" s="233"/>
      <c r="AC29" s="233"/>
      <c r="AD29" s="233"/>
      <c r="AE29" s="233"/>
      <c r="AF29" s="233"/>
      <c r="AG29" s="233"/>
      <c r="AH29" s="234"/>
      <c r="AI29" s="238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4"/>
      <c r="AU29" s="238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44"/>
    </row>
    <row r="30" spans="2:58" ht="13" customHeight="1" x14ac:dyDescent="0.2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8"/>
      <c r="N30" s="233"/>
      <c r="O30" s="233"/>
      <c r="P30" s="233"/>
      <c r="Q30" s="233"/>
      <c r="R30" s="233"/>
      <c r="S30" s="233"/>
      <c r="T30" s="233"/>
      <c r="U30" s="233"/>
      <c r="V30" s="233"/>
      <c r="W30" s="234"/>
      <c r="X30" s="238"/>
      <c r="Y30" s="233"/>
      <c r="Z30" s="233"/>
      <c r="AA30" s="233"/>
      <c r="AB30" s="233"/>
      <c r="AC30" s="233"/>
      <c r="AD30" s="233"/>
      <c r="AE30" s="233"/>
      <c r="AF30" s="233"/>
      <c r="AG30" s="233"/>
      <c r="AH30" s="234"/>
      <c r="AI30" s="238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4"/>
      <c r="AU30" s="238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44"/>
    </row>
    <row r="31" spans="2:58" ht="13" customHeight="1" x14ac:dyDescent="0.2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22"/>
      <c r="M31" s="239"/>
      <c r="N31" s="236"/>
      <c r="O31" s="236"/>
      <c r="P31" s="236"/>
      <c r="Q31" s="236"/>
      <c r="R31" s="236"/>
      <c r="S31" s="236"/>
      <c r="T31" s="236"/>
      <c r="U31" s="236"/>
      <c r="V31" s="236"/>
      <c r="W31" s="222"/>
      <c r="X31" s="239"/>
      <c r="Y31" s="236"/>
      <c r="Z31" s="236"/>
      <c r="AA31" s="236"/>
      <c r="AB31" s="236"/>
      <c r="AC31" s="236"/>
      <c r="AD31" s="236"/>
      <c r="AE31" s="236"/>
      <c r="AF31" s="236"/>
      <c r="AG31" s="236"/>
      <c r="AH31" s="222"/>
      <c r="AI31" s="239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22"/>
      <c r="AU31" s="239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45"/>
    </row>
    <row r="32" spans="2:58" ht="13" customHeight="1" x14ac:dyDescent="0.25">
      <c r="B32" s="249" t="s">
        <v>251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6"/>
      <c r="M32" s="252" t="s">
        <v>252</v>
      </c>
      <c r="N32" s="175"/>
      <c r="O32" s="175"/>
      <c r="P32" s="175"/>
      <c r="Q32" s="175"/>
      <c r="R32" s="175"/>
      <c r="S32" s="175"/>
      <c r="T32" s="175"/>
      <c r="U32" s="175"/>
      <c r="V32" s="175"/>
      <c r="W32" s="176"/>
      <c r="X32" s="253" t="s">
        <v>253</v>
      </c>
      <c r="Y32" s="175"/>
      <c r="Z32" s="175"/>
      <c r="AA32" s="175"/>
      <c r="AB32" s="175"/>
      <c r="AC32" s="175"/>
      <c r="AD32" s="175"/>
      <c r="AE32" s="175"/>
      <c r="AF32" s="175"/>
      <c r="AG32" s="175"/>
      <c r="AH32" s="176"/>
      <c r="AI32" s="172" t="s">
        <v>254</v>
      </c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6"/>
      <c r="AU32" s="172" t="s">
        <v>255</v>
      </c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254"/>
    </row>
    <row r="33" spans="2:58" ht="13" customHeight="1" x14ac:dyDescent="0.2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37"/>
      <c r="N33" s="230"/>
      <c r="O33" s="230"/>
      <c r="P33" s="230"/>
      <c r="Q33" s="230"/>
      <c r="R33" s="230"/>
      <c r="S33" s="230"/>
      <c r="T33" s="230"/>
      <c r="U33" s="230"/>
      <c r="V33" s="230"/>
      <c r="W33" s="231"/>
      <c r="X33" s="240"/>
      <c r="Y33" s="230"/>
      <c r="Z33" s="230"/>
      <c r="AA33" s="230"/>
      <c r="AB33" s="230"/>
      <c r="AC33" s="230"/>
      <c r="AD33" s="230"/>
      <c r="AE33" s="230"/>
      <c r="AF33" s="230"/>
      <c r="AG33" s="230"/>
      <c r="AH33" s="231"/>
      <c r="AI33" s="246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1"/>
      <c r="AU33" s="246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43"/>
    </row>
    <row r="34" spans="2:58" ht="13" customHeight="1" x14ac:dyDescent="0.2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238"/>
      <c r="N34" s="233"/>
      <c r="O34" s="233"/>
      <c r="P34" s="233"/>
      <c r="Q34" s="233"/>
      <c r="R34" s="233"/>
      <c r="S34" s="233"/>
      <c r="T34" s="233"/>
      <c r="U34" s="233"/>
      <c r="V34" s="233"/>
      <c r="W34" s="234"/>
      <c r="X34" s="238"/>
      <c r="Y34" s="233"/>
      <c r="Z34" s="233"/>
      <c r="AA34" s="233"/>
      <c r="AB34" s="233"/>
      <c r="AC34" s="233"/>
      <c r="AD34" s="233"/>
      <c r="AE34" s="233"/>
      <c r="AF34" s="233"/>
      <c r="AG34" s="233"/>
      <c r="AH34" s="234"/>
      <c r="AI34" s="238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4"/>
      <c r="AU34" s="238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44"/>
    </row>
    <row r="35" spans="2:58" ht="13" customHeight="1" x14ac:dyDescent="0.2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38"/>
      <c r="N35" s="233"/>
      <c r="O35" s="233"/>
      <c r="P35" s="233"/>
      <c r="Q35" s="233"/>
      <c r="R35" s="233"/>
      <c r="S35" s="233"/>
      <c r="T35" s="233"/>
      <c r="U35" s="233"/>
      <c r="V35" s="233"/>
      <c r="W35" s="234"/>
      <c r="X35" s="238"/>
      <c r="Y35" s="233"/>
      <c r="Z35" s="233"/>
      <c r="AA35" s="233"/>
      <c r="AB35" s="233"/>
      <c r="AC35" s="233"/>
      <c r="AD35" s="233"/>
      <c r="AE35" s="233"/>
      <c r="AF35" s="233"/>
      <c r="AG35" s="233"/>
      <c r="AH35" s="234"/>
      <c r="AI35" s="238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4"/>
      <c r="AU35" s="238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44"/>
    </row>
    <row r="36" spans="2:58" ht="13" customHeight="1" x14ac:dyDescent="0.2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38"/>
      <c r="N36" s="233"/>
      <c r="O36" s="233"/>
      <c r="P36" s="233"/>
      <c r="Q36" s="233"/>
      <c r="R36" s="233"/>
      <c r="S36" s="233"/>
      <c r="T36" s="233"/>
      <c r="U36" s="233"/>
      <c r="V36" s="233"/>
      <c r="W36" s="234"/>
      <c r="X36" s="238"/>
      <c r="Y36" s="233"/>
      <c r="Z36" s="233"/>
      <c r="AA36" s="233"/>
      <c r="AB36" s="233"/>
      <c r="AC36" s="233"/>
      <c r="AD36" s="233"/>
      <c r="AE36" s="233"/>
      <c r="AF36" s="233"/>
      <c r="AG36" s="233"/>
      <c r="AH36" s="234"/>
      <c r="AI36" s="238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4"/>
      <c r="AU36" s="238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44"/>
    </row>
    <row r="37" spans="2:58" ht="13" customHeight="1" x14ac:dyDescent="0.2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38"/>
      <c r="N37" s="233"/>
      <c r="O37" s="233"/>
      <c r="P37" s="233"/>
      <c r="Q37" s="233"/>
      <c r="R37" s="233"/>
      <c r="S37" s="233"/>
      <c r="T37" s="233"/>
      <c r="U37" s="233"/>
      <c r="V37" s="233"/>
      <c r="W37" s="234"/>
      <c r="X37" s="238"/>
      <c r="Y37" s="233"/>
      <c r="Z37" s="233"/>
      <c r="AA37" s="233"/>
      <c r="AB37" s="233"/>
      <c r="AC37" s="233"/>
      <c r="AD37" s="233"/>
      <c r="AE37" s="233"/>
      <c r="AF37" s="233"/>
      <c r="AG37" s="233"/>
      <c r="AH37" s="234"/>
      <c r="AI37" s="238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4"/>
      <c r="AU37" s="238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44"/>
    </row>
    <row r="38" spans="2:58" ht="13" customHeight="1" x14ac:dyDescent="0.25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22"/>
      <c r="M38" s="239"/>
      <c r="N38" s="236"/>
      <c r="O38" s="236"/>
      <c r="P38" s="236"/>
      <c r="Q38" s="236"/>
      <c r="R38" s="236"/>
      <c r="S38" s="236"/>
      <c r="T38" s="236"/>
      <c r="U38" s="236"/>
      <c r="V38" s="236"/>
      <c r="W38" s="222"/>
      <c r="X38" s="239"/>
      <c r="Y38" s="236"/>
      <c r="Z38" s="236"/>
      <c r="AA38" s="236"/>
      <c r="AB38" s="236"/>
      <c r="AC38" s="236"/>
      <c r="AD38" s="236"/>
      <c r="AE38" s="236"/>
      <c r="AF38" s="236"/>
      <c r="AG38" s="236"/>
      <c r="AH38" s="222"/>
      <c r="AI38" s="239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22"/>
      <c r="AU38" s="239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45"/>
    </row>
    <row r="39" spans="2:58" ht="13" customHeight="1" x14ac:dyDescent="0.25">
      <c r="B39" s="249" t="s">
        <v>256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6"/>
      <c r="M39" s="252" t="s">
        <v>257</v>
      </c>
      <c r="N39" s="175"/>
      <c r="O39" s="175"/>
      <c r="P39" s="175"/>
      <c r="Q39" s="175"/>
      <c r="R39" s="175"/>
      <c r="S39" s="175"/>
      <c r="T39" s="175"/>
      <c r="U39" s="175"/>
      <c r="V39" s="175"/>
      <c r="W39" s="176"/>
      <c r="X39" s="253" t="s">
        <v>258</v>
      </c>
      <c r="Y39" s="175"/>
      <c r="Z39" s="175"/>
      <c r="AA39" s="175"/>
      <c r="AB39" s="175"/>
      <c r="AC39" s="175"/>
      <c r="AD39" s="175"/>
      <c r="AE39" s="175"/>
      <c r="AF39" s="175"/>
      <c r="AG39" s="175"/>
      <c r="AH39" s="176"/>
      <c r="AI39" s="172" t="s">
        <v>259</v>
      </c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6"/>
      <c r="AU39" s="172" t="s">
        <v>260</v>
      </c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254"/>
    </row>
    <row r="40" spans="2:58" ht="13" customHeight="1" x14ac:dyDescent="0.25">
      <c r="B40" s="229"/>
      <c r="C40" s="230"/>
      <c r="D40" s="230"/>
      <c r="E40" s="230"/>
      <c r="F40" s="230"/>
      <c r="G40" s="230"/>
      <c r="H40" s="230"/>
      <c r="I40" s="230"/>
      <c r="J40" s="230"/>
      <c r="K40" s="230"/>
      <c r="L40" s="231"/>
      <c r="M40" s="237"/>
      <c r="N40" s="230"/>
      <c r="O40" s="230"/>
      <c r="P40" s="230"/>
      <c r="Q40" s="230"/>
      <c r="R40" s="230"/>
      <c r="S40" s="230"/>
      <c r="T40" s="230"/>
      <c r="U40" s="230"/>
      <c r="V40" s="230"/>
      <c r="W40" s="231"/>
      <c r="X40" s="240"/>
      <c r="Y40" s="230"/>
      <c r="Z40" s="230"/>
      <c r="AA40" s="230"/>
      <c r="AB40" s="230"/>
      <c r="AC40" s="230"/>
      <c r="AD40" s="230"/>
      <c r="AE40" s="230"/>
      <c r="AF40" s="230"/>
      <c r="AG40" s="230"/>
      <c r="AH40" s="231"/>
      <c r="AI40" s="246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1"/>
      <c r="AU40" s="246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43"/>
    </row>
    <row r="41" spans="2:58" ht="13" customHeight="1" x14ac:dyDescent="0.25">
      <c r="B41" s="232"/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238"/>
      <c r="N41" s="233"/>
      <c r="O41" s="233"/>
      <c r="P41" s="233"/>
      <c r="Q41" s="233"/>
      <c r="R41" s="233"/>
      <c r="S41" s="233"/>
      <c r="T41" s="233"/>
      <c r="U41" s="233"/>
      <c r="V41" s="233"/>
      <c r="W41" s="234"/>
      <c r="X41" s="238"/>
      <c r="Y41" s="233"/>
      <c r="Z41" s="233"/>
      <c r="AA41" s="233"/>
      <c r="AB41" s="233"/>
      <c r="AC41" s="233"/>
      <c r="AD41" s="233"/>
      <c r="AE41" s="233"/>
      <c r="AF41" s="233"/>
      <c r="AG41" s="233"/>
      <c r="AH41" s="234"/>
      <c r="AI41" s="238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4"/>
      <c r="AU41" s="238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44"/>
    </row>
    <row r="42" spans="2:58" ht="13" customHeight="1" x14ac:dyDescent="0.25">
      <c r="B42" s="232"/>
      <c r="C42" s="233"/>
      <c r="D42" s="233"/>
      <c r="E42" s="233"/>
      <c r="F42" s="233"/>
      <c r="G42" s="233"/>
      <c r="H42" s="233"/>
      <c r="I42" s="233"/>
      <c r="J42" s="233"/>
      <c r="K42" s="233"/>
      <c r="L42" s="234"/>
      <c r="M42" s="238"/>
      <c r="N42" s="233"/>
      <c r="O42" s="233"/>
      <c r="P42" s="233"/>
      <c r="Q42" s="233"/>
      <c r="R42" s="233"/>
      <c r="S42" s="233"/>
      <c r="T42" s="233"/>
      <c r="U42" s="233"/>
      <c r="V42" s="233"/>
      <c r="W42" s="234"/>
      <c r="X42" s="238"/>
      <c r="Y42" s="233"/>
      <c r="Z42" s="233"/>
      <c r="AA42" s="233"/>
      <c r="AB42" s="233"/>
      <c r="AC42" s="233"/>
      <c r="AD42" s="233"/>
      <c r="AE42" s="233"/>
      <c r="AF42" s="233"/>
      <c r="AG42" s="233"/>
      <c r="AH42" s="234"/>
      <c r="AI42" s="238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4"/>
      <c r="AU42" s="238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44"/>
    </row>
    <row r="43" spans="2:58" ht="13" customHeight="1" x14ac:dyDescent="0.25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4"/>
      <c r="M43" s="238"/>
      <c r="N43" s="233"/>
      <c r="O43" s="233"/>
      <c r="P43" s="233"/>
      <c r="Q43" s="233"/>
      <c r="R43" s="233"/>
      <c r="S43" s="233"/>
      <c r="T43" s="233"/>
      <c r="U43" s="233"/>
      <c r="V43" s="233"/>
      <c r="W43" s="234"/>
      <c r="X43" s="238"/>
      <c r="Y43" s="233"/>
      <c r="Z43" s="233"/>
      <c r="AA43" s="233"/>
      <c r="AB43" s="233"/>
      <c r="AC43" s="233"/>
      <c r="AD43" s="233"/>
      <c r="AE43" s="233"/>
      <c r="AF43" s="233"/>
      <c r="AG43" s="233"/>
      <c r="AH43" s="234"/>
      <c r="AI43" s="238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4"/>
      <c r="AU43" s="238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44"/>
    </row>
    <row r="44" spans="2:58" ht="13" customHeight="1" x14ac:dyDescent="0.25">
      <c r="B44" s="232"/>
      <c r="C44" s="233"/>
      <c r="D44" s="233"/>
      <c r="E44" s="233"/>
      <c r="F44" s="233"/>
      <c r="G44" s="233"/>
      <c r="H44" s="233"/>
      <c r="I44" s="233"/>
      <c r="J44" s="233"/>
      <c r="K44" s="233"/>
      <c r="L44" s="234"/>
      <c r="M44" s="238"/>
      <c r="N44" s="233"/>
      <c r="O44" s="233"/>
      <c r="P44" s="233"/>
      <c r="Q44" s="233"/>
      <c r="R44" s="233"/>
      <c r="S44" s="233"/>
      <c r="T44" s="233"/>
      <c r="U44" s="233"/>
      <c r="V44" s="233"/>
      <c r="W44" s="234"/>
      <c r="X44" s="238"/>
      <c r="Y44" s="233"/>
      <c r="Z44" s="233"/>
      <c r="AA44" s="233"/>
      <c r="AB44" s="233"/>
      <c r="AC44" s="233"/>
      <c r="AD44" s="233"/>
      <c r="AE44" s="233"/>
      <c r="AF44" s="233"/>
      <c r="AG44" s="233"/>
      <c r="AH44" s="234"/>
      <c r="AI44" s="238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4"/>
      <c r="AU44" s="238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44"/>
    </row>
    <row r="45" spans="2:58" ht="13" customHeight="1" x14ac:dyDescent="0.25"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22"/>
      <c r="M45" s="239"/>
      <c r="N45" s="236"/>
      <c r="O45" s="236"/>
      <c r="P45" s="236"/>
      <c r="Q45" s="236"/>
      <c r="R45" s="236"/>
      <c r="S45" s="236"/>
      <c r="T45" s="236"/>
      <c r="U45" s="236"/>
      <c r="V45" s="236"/>
      <c r="W45" s="222"/>
      <c r="X45" s="239"/>
      <c r="Y45" s="236"/>
      <c r="Z45" s="236"/>
      <c r="AA45" s="236"/>
      <c r="AB45" s="236"/>
      <c r="AC45" s="236"/>
      <c r="AD45" s="236"/>
      <c r="AE45" s="236"/>
      <c r="AF45" s="236"/>
      <c r="AG45" s="236"/>
      <c r="AH45" s="222"/>
      <c r="AI45" s="239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22"/>
      <c r="AU45" s="239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45"/>
    </row>
    <row r="46" spans="2:58" ht="13" customHeight="1" x14ac:dyDescent="0.25">
      <c r="B46" s="249" t="s">
        <v>261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6"/>
      <c r="M46" s="187" t="s">
        <v>262</v>
      </c>
      <c r="N46" s="175"/>
      <c r="O46" s="175"/>
      <c r="P46" s="175"/>
      <c r="Q46" s="175"/>
      <c r="R46" s="175"/>
      <c r="S46" s="175"/>
      <c r="T46" s="175"/>
      <c r="U46" s="175"/>
      <c r="V46" s="175"/>
      <c r="W46" s="176"/>
      <c r="X46" s="253" t="s">
        <v>263</v>
      </c>
      <c r="Y46" s="175"/>
      <c r="Z46" s="175"/>
      <c r="AA46" s="175"/>
      <c r="AB46" s="175"/>
      <c r="AC46" s="175"/>
      <c r="AD46" s="175"/>
      <c r="AE46" s="175"/>
      <c r="AF46" s="175"/>
      <c r="AG46" s="175"/>
      <c r="AH46" s="176"/>
      <c r="AI46" s="172" t="s">
        <v>264</v>
      </c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6"/>
      <c r="AU46" s="172" t="s">
        <v>265</v>
      </c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254"/>
    </row>
    <row r="47" spans="2:58" ht="13" customHeight="1" x14ac:dyDescent="0.25">
      <c r="B47" s="229"/>
      <c r="C47" s="230"/>
      <c r="D47" s="230"/>
      <c r="E47" s="230"/>
      <c r="F47" s="230"/>
      <c r="G47" s="230"/>
      <c r="H47" s="230"/>
      <c r="I47" s="230"/>
      <c r="J47" s="230"/>
      <c r="K47" s="230"/>
      <c r="L47" s="231"/>
      <c r="M47" s="237"/>
      <c r="N47" s="230"/>
      <c r="O47" s="230"/>
      <c r="P47" s="230"/>
      <c r="Q47" s="230"/>
      <c r="R47" s="230"/>
      <c r="S47" s="230"/>
      <c r="T47" s="230"/>
      <c r="U47" s="230"/>
      <c r="V47" s="230"/>
      <c r="W47" s="231"/>
      <c r="X47" s="240"/>
      <c r="Y47" s="230"/>
      <c r="Z47" s="230"/>
      <c r="AA47" s="230"/>
      <c r="AB47" s="230"/>
      <c r="AC47" s="230"/>
      <c r="AD47" s="230"/>
      <c r="AE47" s="230"/>
      <c r="AF47" s="230"/>
      <c r="AG47" s="230"/>
      <c r="AH47" s="231"/>
      <c r="AI47" s="246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1"/>
      <c r="AU47" s="246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43"/>
    </row>
    <row r="48" spans="2:58" ht="13" customHeight="1" x14ac:dyDescent="0.25">
      <c r="B48" s="232"/>
      <c r="C48" s="233"/>
      <c r="D48" s="233"/>
      <c r="E48" s="233"/>
      <c r="F48" s="233"/>
      <c r="G48" s="233"/>
      <c r="H48" s="233"/>
      <c r="I48" s="233"/>
      <c r="J48" s="233"/>
      <c r="K48" s="233"/>
      <c r="L48" s="234"/>
      <c r="M48" s="238"/>
      <c r="N48" s="233"/>
      <c r="O48" s="233"/>
      <c r="P48" s="233"/>
      <c r="Q48" s="233"/>
      <c r="R48" s="233"/>
      <c r="S48" s="233"/>
      <c r="T48" s="233"/>
      <c r="U48" s="233"/>
      <c r="V48" s="233"/>
      <c r="W48" s="234"/>
      <c r="X48" s="238"/>
      <c r="Y48" s="233"/>
      <c r="Z48" s="233"/>
      <c r="AA48" s="233"/>
      <c r="AB48" s="233"/>
      <c r="AC48" s="233"/>
      <c r="AD48" s="233"/>
      <c r="AE48" s="233"/>
      <c r="AF48" s="233"/>
      <c r="AG48" s="233"/>
      <c r="AH48" s="234"/>
      <c r="AI48" s="238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4"/>
      <c r="AU48" s="238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44"/>
    </row>
    <row r="49" spans="2:58" ht="13" customHeight="1" x14ac:dyDescent="0.25">
      <c r="B49" s="232"/>
      <c r="C49" s="233"/>
      <c r="D49" s="233"/>
      <c r="E49" s="233"/>
      <c r="F49" s="233"/>
      <c r="G49" s="233"/>
      <c r="H49" s="233"/>
      <c r="I49" s="233"/>
      <c r="J49" s="233"/>
      <c r="K49" s="233"/>
      <c r="L49" s="234"/>
      <c r="M49" s="238"/>
      <c r="N49" s="233"/>
      <c r="O49" s="233"/>
      <c r="P49" s="233"/>
      <c r="Q49" s="233"/>
      <c r="R49" s="233"/>
      <c r="S49" s="233"/>
      <c r="T49" s="233"/>
      <c r="U49" s="233"/>
      <c r="V49" s="233"/>
      <c r="W49" s="234"/>
      <c r="X49" s="238"/>
      <c r="Y49" s="233"/>
      <c r="Z49" s="233"/>
      <c r="AA49" s="233"/>
      <c r="AB49" s="233"/>
      <c r="AC49" s="233"/>
      <c r="AD49" s="233"/>
      <c r="AE49" s="233"/>
      <c r="AF49" s="233"/>
      <c r="AG49" s="233"/>
      <c r="AH49" s="234"/>
      <c r="AI49" s="238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4"/>
      <c r="AU49" s="238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44"/>
    </row>
    <row r="50" spans="2:58" ht="13" customHeight="1" x14ac:dyDescent="0.25">
      <c r="B50" s="232"/>
      <c r="C50" s="233"/>
      <c r="D50" s="233"/>
      <c r="E50" s="233"/>
      <c r="F50" s="233"/>
      <c r="G50" s="233"/>
      <c r="H50" s="233"/>
      <c r="I50" s="233"/>
      <c r="J50" s="233"/>
      <c r="K50" s="233"/>
      <c r="L50" s="234"/>
      <c r="M50" s="238"/>
      <c r="N50" s="233"/>
      <c r="O50" s="233"/>
      <c r="P50" s="233"/>
      <c r="Q50" s="233"/>
      <c r="R50" s="233"/>
      <c r="S50" s="233"/>
      <c r="T50" s="233"/>
      <c r="U50" s="233"/>
      <c r="V50" s="233"/>
      <c r="W50" s="234"/>
      <c r="X50" s="238"/>
      <c r="Y50" s="233"/>
      <c r="Z50" s="233"/>
      <c r="AA50" s="233"/>
      <c r="AB50" s="233"/>
      <c r="AC50" s="233"/>
      <c r="AD50" s="233"/>
      <c r="AE50" s="233"/>
      <c r="AF50" s="233"/>
      <c r="AG50" s="233"/>
      <c r="AH50" s="234"/>
      <c r="AI50" s="238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4"/>
      <c r="AU50" s="238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44"/>
    </row>
    <row r="51" spans="2:58" ht="13" customHeight="1" x14ac:dyDescent="0.25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4"/>
      <c r="M51" s="238"/>
      <c r="N51" s="233"/>
      <c r="O51" s="233"/>
      <c r="P51" s="233"/>
      <c r="Q51" s="233"/>
      <c r="R51" s="233"/>
      <c r="S51" s="233"/>
      <c r="T51" s="233"/>
      <c r="U51" s="233"/>
      <c r="V51" s="233"/>
      <c r="W51" s="234"/>
      <c r="X51" s="238"/>
      <c r="Y51" s="233"/>
      <c r="Z51" s="233"/>
      <c r="AA51" s="233"/>
      <c r="AB51" s="233"/>
      <c r="AC51" s="233"/>
      <c r="AD51" s="233"/>
      <c r="AE51" s="233"/>
      <c r="AF51" s="233"/>
      <c r="AG51" s="233"/>
      <c r="AH51" s="234"/>
      <c r="AI51" s="238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4"/>
      <c r="AU51" s="238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44"/>
    </row>
    <row r="52" spans="2:58" ht="13" customHeight="1" x14ac:dyDescent="0.25"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22"/>
      <c r="M52" s="239"/>
      <c r="N52" s="236"/>
      <c r="O52" s="236"/>
      <c r="P52" s="236"/>
      <c r="Q52" s="236"/>
      <c r="R52" s="236"/>
      <c r="S52" s="236"/>
      <c r="T52" s="236"/>
      <c r="U52" s="236"/>
      <c r="V52" s="236"/>
      <c r="W52" s="222"/>
      <c r="X52" s="239"/>
      <c r="Y52" s="236"/>
      <c r="Z52" s="236"/>
      <c r="AA52" s="236"/>
      <c r="AB52" s="236"/>
      <c r="AC52" s="236"/>
      <c r="AD52" s="236"/>
      <c r="AE52" s="236"/>
      <c r="AF52" s="236"/>
      <c r="AG52" s="236"/>
      <c r="AH52" s="222"/>
      <c r="AI52" s="239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22"/>
      <c r="AU52" s="239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45"/>
    </row>
    <row r="53" spans="2:58" ht="13" customHeight="1" x14ac:dyDescent="0.25">
      <c r="B53" s="249" t="s">
        <v>266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6"/>
      <c r="M53" s="252" t="s">
        <v>267</v>
      </c>
      <c r="N53" s="175"/>
      <c r="O53" s="175"/>
      <c r="P53" s="175"/>
      <c r="Q53" s="175"/>
      <c r="R53" s="175"/>
      <c r="S53" s="175"/>
      <c r="T53" s="175"/>
      <c r="U53" s="175"/>
      <c r="V53" s="175"/>
      <c r="W53" s="176"/>
      <c r="X53" s="253" t="s">
        <v>268</v>
      </c>
      <c r="Y53" s="175"/>
      <c r="Z53" s="175"/>
      <c r="AA53" s="175"/>
      <c r="AB53" s="175"/>
      <c r="AC53" s="175"/>
      <c r="AD53" s="175"/>
      <c r="AE53" s="175"/>
      <c r="AF53" s="175"/>
      <c r="AG53" s="175"/>
      <c r="AH53" s="176"/>
      <c r="AI53" s="172" t="s">
        <v>269</v>
      </c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6"/>
      <c r="AU53" s="172" t="s">
        <v>270</v>
      </c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254"/>
    </row>
    <row r="54" spans="2:58" ht="13" customHeight="1" x14ac:dyDescent="0.25">
      <c r="B54" s="229"/>
      <c r="C54" s="230"/>
      <c r="D54" s="230"/>
      <c r="E54" s="230"/>
      <c r="F54" s="230"/>
      <c r="G54" s="230"/>
      <c r="H54" s="230"/>
      <c r="I54" s="230"/>
      <c r="J54" s="230"/>
      <c r="K54" s="230"/>
      <c r="L54" s="231"/>
      <c r="M54" s="251"/>
      <c r="N54" s="230"/>
      <c r="O54" s="230"/>
      <c r="P54" s="230"/>
      <c r="Q54" s="230"/>
      <c r="R54" s="230"/>
      <c r="S54" s="230"/>
      <c r="T54" s="230"/>
      <c r="U54" s="230"/>
      <c r="V54" s="230"/>
      <c r="W54" s="231"/>
      <c r="X54" s="240"/>
      <c r="Y54" s="230"/>
      <c r="Z54" s="230"/>
      <c r="AA54" s="230"/>
      <c r="AB54" s="230"/>
      <c r="AC54" s="230"/>
      <c r="AD54" s="230"/>
      <c r="AE54" s="230"/>
      <c r="AF54" s="230"/>
      <c r="AG54" s="230"/>
      <c r="AH54" s="231"/>
      <c r="AI54" s="246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1"/>
      <c r="AU54" s="246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43"/>
    </row>
    <row r="55" spans="2:58" ht="13" customHeight="1" x14ac:dyDescent="0.25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4"/>
      <c r="M55" s="238"/>
      <c r="N55" s="233"/>
      <c r="O55" s="233"/>
      <c r="P55" s="233"/>
      <c r="Q55" s="233"/>
      <c r="R55" s="233"/>
      <c r="S55" s="233"/>
      <c r="T55" s="233"/>
      <c r="U55" s="233"/>
      <c r="V55" s="233"/>
      <c r="W55" s="234"/>
      <c r="X55" s="238"/>
      <c r="Y55" s="233"/>
      <c r="Z55" s="233"/>
      <c r="AA55" s="233"/>
      <c r="AB55" s="233"/>
      <c r="AC55" s="233"/>
      <c r="AD55" s="233"/>
      <c r="AE55" s="233"/>
      <c r="AF55" s="233"/>
      <c r="AG55" s="233"/>
      <c r="AH55" s="234"/>
      <c r="AI55" s="238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4"/>
      <c r="AU55" s="238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44"/>
    </row>
    <row r="56" spans="2:58" ht="13" customHeight="1" x14ac:dyDescent="0.25">
      <c r="B56" s="232"/>
      <c r="C56" s="233"/>
      <c r="D56" s="233"/>
      <c r="E56" s="233"/>
      <c r="F56" s="233"/>
      <c r="G56" s="233"/>
      <c r="H56" s="233"/>
      <c r="I56" s="233"/>
      <c r="J56" s="233"/>
      <c r="K56" s="233"/>
      <c r="L56" s="234"/>
      <c r="M56" s="238"/>
      <c r="N56" s="233"/>
      <c r="O56" s="233"/>
      <c r="P56" s="233"/>
      <c r="Q56" s="233"/>
      <c r="R56" s="233"/>
      <c r="S56" s="233"/>
      <c r="T56" s="233"/>
      <c r="U56" s="233"/>
      <c r="V56" s="233"/>
      <c r="W56" s="234"/>
      <c r="X56" s="238"/>
      <c r="Y56" s="233"/>
      <c r="Z56" s="233"/>
      <c r="AA56" s="233"/>
      <c r="AB56" s="233"/>
      <c r="AC56" s="233"/>
      <c r="AD56" s="233"/>
      <c r="AE56" s="233"/>
      <c r="AF56" s="233"/>
      <c r="AG56" s="233"/>
      <c r="AH56" s="234"/>
      <c r="AI56" s="238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4"/>
      <c r="AU56" s="238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44"/>
    </row>
    <row r="57" spans="2:58" ht="13" customHeight="1" x14ac:dyDescent="0.25">
      <c r="B57" s="232"/>
      <c r="C57" s="233"/>
      <c r="D57" s="233"/>
      <c r="E57" s="233"/>
      <c r="F57" s="233"/>
      <c r="G57" s="233"/>
      <c r="H57" s="233"/>
      <c r="I57" s="233"/>
      <c r="J57" s="233"/>
      <c r="K57" s="233"/>
      <c r="L57" s="234"/>
      <c r="M57" s="238"/>
      <c r="N57" s="233"/>
      <c r="O57" s="233"/>
      <c r="P57" s="233"/>
      <c r="Q57" s="233"/>
      <c r="R57" s="233"/>
      <c r="S57" s="233"/>
      <c r="T57" s="233"/>
      <c r="U57" s="233"/>
      <c r="V57" s="233"/>
      <c r="W57" s="234"/>
      <c r="X57" s="238"/>
      <c r="Y57" s="233"/>
      <c r="Z57" s="233"/>
      <c r="AA57" s="233"/>
      <c r="AB57" s="233"/>
      <c r="AC57" s="233"/>
      <c r="AD57" s="233"/>
      <c r="AE57" s="233"/>
      <c r="AF57" s="233"/>
      <c r="AG57" s="233"/>
      <c r="AH57" s="234"/>
      <c r="AI57" s="238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4"/>
      <c r="AU57" s="238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44"/>
    </row>
    <row r="58" spans="2:58" ht="13" customHeight="1" x14ac:dyDescent="0.25">
      <c r="B58" s="232"/>
      <c r="C58" s="233"/>
      <c r="D58" s="233"/>
      <c r="E58" s="233"/>
      <c r="F58" s="233"/>
      <c r="G58" s="233"/>
      <c r="H58" s="233"/>
      <c r="I58" s="233"/>
      <c r="J58" s="233"/>
      <c r="K58" s="233"/>
      <c r="L58" s="234"/>
      <c r="M58" s="238"/>
      <c r="N58" s="233"/>
      <c r="O58" s="233"/>
      <c r="P58" s="233"/>
      <c r="Q58" s="233"/>
      <c r="R58" s="233"/>
      <c r="S58" s="233"/>
      <c r="T58" s="233"/>
      <c r="U58" s="233"/>
      <c r="V58" s="233"/>
      <c r="W58" s="234"/>
      <c r="X58" s="238"/>
      <c r="Y58" s="233"/>
      <c r="Z58" s="233"/>
      <c r="AA58" s="233"/>
      <c r="AB58" s="233"/>
      <c r="AC58" s="233"/>
      <c r="AD58" s="233"/>
      <c r="AE58" s="233"/>
      <c r="AF58" s="233"/>
      <c r="AG58" s="233"/>
      <c r="AH58" s="234"/>
      <c r="AI58" s="238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4"/>
      <c r="AU58" s="238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44"/>
    </row>
    <row r="59" spans="2:58" ht="13" customHeight="1" x14ac:dyDescent="0.25">
      <c r="B59" s="255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58"/>
      <c r="N59" s="256"/>
      <c r="O59" s="256"/>
      <c r="P59" s="256"/>
      <c r="Q59" s="256"/>
      <c r="R59" s="256"/>
      <c r="S59" s="256"/>
      <c r="T59" s="256"/>
      <c r="U59" s="256"/>
      <c r="V59" s="256"/>
      <c r="W59" s="257"/>
      <c r="X59" s="258"/>
      <c r="Y59" s="256"/>
      <c r="Z59" s="256"/>
      <c r="AA59" s="256"/>
      <c r="AB59" s="256"/>
      <c r="AC59" s="256"/>
      <c r="AD59" s="256"/>
      <c r="AE59" s="256"/>
      <c r="AF59" s="256"/>
      <c r="AG59" s="256"/>
      <c r="AH59" s="257"/>
      <c r="AI59" s="258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7"/>
      <c r="AU59" s="258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9"/>
    </row>
    <row r="60" spans="2:58" ht="13" customHeight="1" x14ac:dyDescent="0.25">
      <c r="B60" s="221" t="s">
        <v>49</v>
      </c>
      <c r="C60" s="222"/>
      <c r="D60" s="9" t="s">
        <v>19</v>
      </c>
      <c r="E60" s="202" t="s">
        <v>20</v>
      </c>
      <c r="F60" s="205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8"/>
    </row>
    <row r="61" spans="2:58" ht="13" customHeight="1" x14ac:dyDescent="0.25">
      <c r="B61" s="201" t="s">
        <v>226</v>
      </c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209"/>
    </row>
    <row r="62" spans="2:58" ht="13" customHeight="1" thickBot="1" x14ac:dyDescent="0.3">
      <c r="B62" s="212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  <c r="BD62" s="210"/>
      <c r="BE62" s="210"/>
      <c r="BF62" s="21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FA-5897-4555-851A-F7BA26B3C8EB}">
  <dimension ref="B1:AU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  <col min="16170" max="16384" width="9" style="6"/>
  </cols>
  <sheetData>
    <row r="1" spans="2:47" ht="5.15" customHeight="1" x14ac:dyDescent="0.25"/>
    <row r="2" spans="2:47" ht="17.5" customHeight="1" thickBot="1" x14ac:dyDescent="0.3">
      <c r="B2" s="180" t="s">
        <v>227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</row>
    <row r="3" spans="2:47" ht="20.149999999999999" customHeight="1" x14ac:dyDescent="0.25">
      <c r="B3" s="184" t="s">
        <v>181</v>
      </c>
      <c r="C3" s="182" t="s">
        <v>163</v>
      </c>
      <c r="D3" s="194"/>
      <c r="E3" s="194"/>
      <c r="F3" s="194"/>
      <c r="G3" s="194"/>
      <c r="H3" s="195"/>
      <c r="I3" s="198" t="s">
        <v>8</v>
      </c>
      <c r="J3" s="194"/>
      <c r="K3" s="194"/>
      <c r="L3" s="194"/>
      <c r="M3" s="194"/>
      <c r="N3" s="194"/>
      <c r="O3" s="194"/>
      <c r="P3" s="199"/>
      <c r="Q3" s="182" t="s">
        <v>77</v>
      </c>
      <c r="R3" s="194"/>
      <c r="S3" s="199"/>
      <c r="T3" s="182" t="s">
        <v>10</v>
      </c>
      <c r="U3" s="194"/>
      <c r="V3" s="194"/>
      <c r="W3" s="199"/>
      <c r="X3" s="182" t="s">
        <v>80</v>
      </c>
      <c r="Y3" s="183"/>
      <c r="Z3" s="182" t="s">
        <v>11</v>
      </c>
      <c r="AA3" s="183"/>
      <c r="AB3" s="13" t="s">
        <v>13</v>
      </c>
      <c r="AC3" s="182" t="s">
        <v>14</v>
      </c>
      <c r="AD3" s="183"/>
      <c r="AE3" s="223" t="s">
        <v>88</v>
      </c>
      <c r="AF3" s="224"/>
      <c r="AG3" s="224"/>
      <c r="AH3" s="224"/>
      <c r="AI3" s="224"/>
      <c r="AJ3" s="224"/>
      <c r="AK3" s="225"/>
      <c r="AL3" s="182" t="s">
        <v>18</v>
      </c>
      <c r="AM3" s="190"/>
      <c r="AN3" s="191"/>
      <c r="AO3" s="190" t="s">
        <v>16</v>
      </c>
      <c r="AP3" s="190"/>
      <c r="AQ3" s="190"/>
      <c r="AR3" s="193"/>
    </row>
    <row r="4" spans="2:47" ht="30" customHeight="1" x14ac:dyDescent="0.25">
      <c r="B4" s="18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6" t="s">
        <v>62</v>
      </c>
      <c r="J4" s="197"/>
      <c r="K4" s="3" t="s">
        <v>6</v>
      </c>
      <c r="L4" s="3" t="s">
        <v>66</v>
      </c>
      <c r="M4" s="3" t="s">
        <v>164</v>
      </c>
      <c r="N4" s="3" t="s">
        <v>165</v>
      </c>
      <c r="O4" s="170" t="s">
        <v>7</v>
      </c>
      <c r="P4" s="174"/>
      <c r="Q4" s="187" t="s">
        <v>71</v>
      </c>
      <c r="R4" s="174"/>
      <c r="S4" s="3" t="s">
        <v>51</v>
      </c>
      <c r="T4" s="3" t="s">
        <v>75</v>
      </c>
      <c r="U4" s="187" t="s">
        <v>78</v>
      </c>
      <c r="V4" s="174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88" t="s">
        <v>89</v>
      </c>
      <c r="AF4" s="189"/>
      <c r="AG4" s="188" t="s">
        <v>92</v>
      </c>
      <c r="AH4" s="189"/>
      <c r="AI4" s="10" t="s">
        <v>166</v>
      </c>
      <c r="AJ4" s="10" t="s">
        <v>167</v>
      </c>
      <c r="AK4" s="11" t="s">
        <v>115</v>
      </c>
      <c r="AL4" s="187" t="s">
        <v>110</v>
      </c>
      <c r="AM4" s="174"/>
      <c r="AN4" s="29" t="s">
        <v>111</v>
      </c>
      <c r="AO4" s="26" t="s">
        <v>12</v>
      </c>
      <c r="AP4" s="3" t="s">
        <v>1</v>
      </c>
      <c r="AQ4" s="172" t="s">
        <v>161</v>
      </c>
      <c r="AR4" s="192"/>
      <c r="AU4" s="20"/>
    </row>
    <row r="5" spans="2:47" ht="20.149999999999999" customHeight="1" x14ac:dyDescent="0.25">
      <c r="B5" s="1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448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101"/>
      <c r="D6" s="101"/>
      <c r="E6" s="101"/>
      <c r="F6" s="101"/>
      <c r="G6" s="101"/>
      <c r="H6" s="102"/>
      <c r="I6" s="103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 t="s">
        <v>4</v>
      </c>
      <c r="Z6" s="101"/>
      <c r="AA6" s="101"/>
      <c r="AB6" s="101"/>
      <c r="AC6" s="101"/>
      <c r="AD6" s="101"/>
      <c r="AE6" s="104"/>
      <c r="AF6" s="104"/>
      <c r="AG6" s="104"/>
      <c r="AH6" s="104"/>
      <c r="AI6" s="104"/>
      <c r="AJ6" s="104"/>
      <c r="AK6" s="104"/>
      <c r="AL6" s="101"/>
      <c r="AM6" s="105"/>
      <c r="AN6" s="106"/>
      <c r="AO6" s="107"/>
      <c r="AP6" s="108"/>
      <c r="AQ6" s="108"/>
      <c r="AR6" s="109"/>
    </row>
    <row r="7" spans="2:47" ht="13.5" customHeight="1" x14ac:dyDescent="0.25">
      <c r="B7" s="14">
        <v>0.875</v>
      </c>
      <c r="C7" s="101"/>
      <c r="D7" s="101"/>
      <c r="E7" s="101"/>
      <c r="F7" s="101"/>
      <c r="G7" s="101"/>
      <c r="H7" s="102"/>
      <c r="I7" s="103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 t="s">
        <v>82</v>
      </c>
      <c r="Z7" s="101"/>
      <c r="AA7" s="101"/>
      <c r="AB7" s="101"/>
      <c r="AC7" s="101"/>
      <c r="AD7" s="101"/>
      <c r="AE7" s="104"/>
      <c r="AF7" s="104"/>
      <c r="AG7" s="104"/>
      <c r="AH7" s="104"/>
      <c r="AI7" s="104"/>
      <c r="AJ7" s="104"/>
      <c r="AK7" s="104"/>
      <c r="AL7" s="101"/>
      <c r="AM7" s="105"/>
      <c r="AN7" s="106"/>
      <c r="AO7" s="107"/>
      <c r="AP7" s="108"/>
      <c r="AQ7" s="108"/>
      <c r="AR7" s="109"/>
    </row>
    <row r="8" spans="2:47" ht="13.5" customHeight="1" x14ac:dyDescent="0.25">
      <c r="B8" s="41" t="s">
        <v>271</v>
      </c>
      <c r="C8" s="101"/>
      <c r="D8" s="101"/>
      <c r="E8" s="101"/>
      <c r="F8" s="101"/>
      <c r="G8" s="101"/>
      <c r="H8" s="102"/>
      <c r="I8" s="103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 t="s">
        <v>82</v>
      </c>
      <c r="Z8" s="101"/>
      <c r="AA8" s="101"/>
      <c r="AB8" s="101"/>
      <c r="AC8" s="101"/>
      <c r="AD8" s="101"/>
      <c r="AE8" s="104"/>
      <c r="AF8" s="104"/>
      <c r="AG8" s="104"/>
      <c r="AH8" s="104"/>
      <c r="AI8" s="104"/>
      <c r="AJ8" s="104"/>
      <c r="AK8" s="104"/>
      <c r="AL8" s="101"/>
      <c r="AM8" s="105"/>
      <c r="AN8" s="106"/>
      <c r="AO8" s="107"/>
      <c r="AP8" s="108"/>
      <c r="AQ8" s="108"/>
      <c r="AR8" s="109"/>
    </row>
    <row r="9" spans="2:47" ht="13.5" customHeight="1" x14ac:dyDescent="0.25">
      <c r="B9" s="14">
        <v>0.95833333333333337</v>
      </c>
      <c r="C9" s="101"/>
      <c r="D9" s="101"/>
      <c r="E9" s="101"/>
      <c r="F9" s="101"/>
      <c r="G9" s="101"/>
      <c r="H9" s="102"/>
      <c r="I9" s="103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 t="s">
        <v>82</v>
      </c>
      <c r="Z9" s="101"/>
      <c r="AA9" s="101"/>
      <c r="AB9" s="101"/>
      <c r="AC9" s="101"/>
      <c r="AD9" s="101"/>
      <c r="AE9" s="104"/>
      <c r="AF9" s="104"/>
      <c r="AG9" s="104"/>
      <c r="AH9" s="104"/>
      <c r="AI9" s="104"/>
      <c r="AJ9" s="104"/>
      <c r="AK9" s="104"/>
      <c r="AL9" s="101"/>
      <c r="AM9" s="105"/>
      <c r="AN9" s="106"/>
      <c r="AO9" s="107"/>
      <c r="AP9" s="108"/>
      <c r="AQ9" s="108"/>
      <c r="AR9" s="109"/>
    </row>
    <row r="10" spans="2:47" ht="13.5" customHeight="1" x14ac:dyDescent="0.25">
      <c r="B10" s="41" t="s">
        <v>272</v>
      </c>
      <c r="C10" s="101"/>
      <c r="D10" s="101"/>
      <c r="E10" s="101"/>
      <c r="F10" s="101"/>
      <c r="G10" s="101"/>
      <c r="H10" s="102"/>
      <c r="I10" s="103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 t="s">
        <v>82</v>
      </c>
      <c r="Z10" s="101"/>
      <c r="AA10" s="101"/>
      <c r="AB10" s="101"/>
      <c r="AC10" s="101"/>
      <c r="AD10" s="101"/>
      <c r="AE10" s="104"/>
      <c r="AF10" s="104"/>
      <c r="AG10" s="104"/>
      <c r="AH10" s="104"/>
      <c r="AI10" s="104"/>
      <c r="AJ10" s="104"/>
      <c r="AK10" s="104"/>
      <c r="AL10" s="101"/>
      <c r="AM10" s="105"/>
      <c r="AN10" s="106"/>
      <c r="AO10" s="107"/>
      <c r="AP10" s="108"/>
      <c r="AQ10" s="108"/>
      <c r="AR10" s="109"/>
    </row>
    <row r="11" spans="2:47" ht="13.5" customHeight="1" x14ac:dyDescent="0.25">
      <c r="B11" s="14">
        <v>4.1666666666666664E-2</v>
      </c>
      <c r="C11" s="101"/>
      <c r="D11" s="101"/>
      <c r="E11" s="101"/>
      <c r="F11" s="101"/>
      <c r="G11" s="101"/>
      <c r="H11" s="102"/>
      <c r="I11" s="103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 t="s">
        <v>82</v>
      </c>
      <c r="Z11" s="101"/>
      <c r="AA11" s="101"/>
      <c r="AB11" s="101"/>
      <c r="AC11" s="101"/>
      <c r="AD11" s="101"/>
      <c r="AE11" s="104"/>
      <c r="AF11" s="104"/>
      <c r="AG11" s="104"/>
      <c r="AH11" s="104"/>
      <c r="AI11" s="104"/>
      <c r="AJ11" s="104"/>
      <c r="AK11" s="104"/>
      <c r="AL11" s="101"/>
      <c r="AM11" s="105"/>
      <c r="AN11" s="106"/>
      <c r="AO11" s="107"/>
      <c r="AP11" s="108"/>
      <c r="AQ11" s="108"/>
      <c r="AR11" s="109"/>
    </row>
    <row r="12" spans="2:47" ht="13.5" customHeight="1" x14ac:dyDescent="0.25">
      <c r="B12" s="41" t="s">
        <v>273</v>
      </c>
      <c r="C12" s="101"/>
      <c r="D12" s="101"/>
      <c r="E12" s="101"/>
      <c r="F12" s="101"/>
      <c r="G12" s="101"/>
      <c r="H12" s="102"/>
      <c r="I12" s="103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 t="s">
        <v>82</v>
      </c>
      <c r="Z12" s="101"/>
      <c r="AA12" s="101"/>
      <c r="AB12" s="101"/>
      <c r="AC12" s="101"/>
      <c r="AD12" s="101"/>
      <c r="AE12" s="104"/>
      <c r="AF12" s="104"/>
      <c r="AG12" s="104"/>
      <c r="AH12" s="104"/>
      <c r="AI12" s="104"/>
      <c r="AJ12" s="104"/>
      <c r="AK12" s="104"/>
      <c r="AL12" s="101"/>
      <c r="AM12" s="105"/>
      <c r="AN12" s="106"/>
      <c r="AO12" s="107"/>
      <c r="AP12" s="108"/>
      <c r="AQ12" s="108"/>
      <c r="AR12" s="109"/>
    </row>
    <row r="13" spans="2:47" ht="13.5" customHeight="1" x14ac:dyDescent="0.25">
      <c r="B13" s="14">
        <v>0.125</v>
      </c>
      <c r="C13" s="101"/>
      <c r="D13" s="101"/>
      <c r="E13" s="101"/>
      <c r="F13" s="101"/>
      <c r="G13" s="101"/>
      <c r="H13" s="102"/>
      <c r="I13" s="103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 t="s">
        <v>82</v>
      </c>
      <c r="Z13" s="101"/>
      <c r="AA13" s="101"/>
      <c r="AB13" s="101"/>
      <c r="AC13" s="101"/>
      <c r="AD13" s="101"/>
      <c r="AE13" s="104"/>
      <c r="AF13" s="104"/>
      <c r="AG13" s="104"/>
      <c r="AH13" s="104"/>
      <c r="AI13" s="104"/>
      <c r="AJ13" s="104"/>
      <c r="AK13" s="104"/>
      <c r="AL13" s="101"/>
      <c r="AM13" s="105"/>
      <c r="AN13" s="106"/>
      <c r="AO13" s="107"/>
      <c r="AP13" s="108"/>
      <c r="AQ13" s="108"/>
      <c r="AR13" s="109"/>
    </row>
    <row r="14" spans="2:47" ht="13.5" customHeight="1" x14ac:dyDescent="0.25">
      <c r="B14" s="14">
        <v>0.16666666666666666</v>
      </c>
      <c r="C14" s="101"/>
      <c r="D14" s="101"/>
      <c r="E14" s="101"/>
      <c r="F14" s="101"/>
      <c r="G14" s="101"/>
      <c r="H14" s="102"/>
      <c r="I14" s="103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 t="s">
        <v>82</v>
      </c>
      <c r="Z14" s="101"/>
      <c r="AA14" s="101"/>
      <c r="AB14" s="101"/>
      <c r="AC14" s="101"/>
      <c r="AD14" s="101"/>
      <c r="AE14" s="104"/>
      <c r="AF14" s="104"/>
      <c r="AG14" s="104"/>
      <c r="AH14" s="104"/>
      <c r="AI14" s="104"/>
      <c r="AJ14" s="104"/>
      <c r="AK14" s="104"/>
      <c r="AL14" s="101"/>
      <c r="AM14" s="105"/>
      <c r="AN14" s="106"/>
      <c r="AO14" s="107"/>
      <c r="AP14" s="108"/>
      <c r="AQ14" s="108"/>
      <c r="AR14" s="109"/>
    </row>
    <row r="15" spans="2:47" ht="13.5" customHeight="1" x14ac:dyDescent="0.25">
      <c r="B15" s="14">
        <v>0.20833333333333334</v>
      </c>
      <c r="C15" s="101"/>
      <c r="D15" s="101"/>
      <c r="E15" s="101"/>
      <c r="F15" s="101"/>
      <c r="G15" s="101"/>
      <c r="H15" s="102"/>
      <c r="I15" s="103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 t="s">
        <v>82</v>
      </c>
      <c r="Z15" s="101"/>
      <c r="AA15" s="101"/>
      <c r="AB15" s="101"/>
      <c r="AC15" s="101"/>
      <c r="AD15" s="101"/>
      <c r="AE15" s="104"/>
      <c r="AF15" s="104"/>
      <c r="AG15" s="104"/>
      <c r="AH15" s="104"/>
      <c r="AI15" s="104"/>
      <c r="AJ15" s="104"/>
      <c r="AK15" s="104"/>
      <c r="AL15" s="101"/>
      <c r="AM15" s="105"/>
      <c r="AN15" s="106"/>
      <c r="AO15" s="107"/>
      <c r="AP15" s="108"/>
      <c r="AQ15" s="108"/>
      <c r="AR15" s="109"/>
    </row>
    <row r="16" spans="2:47" ht="13.5" customHeight="1" x14ac:dyDescent="0.25">
      <c r="B16" s="14">
        <v>0.25</v>
      </c>
      <c r="C16" s="101"/>
      <c r="D16" s="101"/>
      <c r="E16" s="101"/>
      <c r="F16" s="101"/>
      <c r="G16" s="101"/>
      <c r="H16" s="102"/>
      <c r="I16" s="103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 t="s">
        <v>82</v>
      </c>
      <c r="Z16" s="101"/>
      <c r="AA16" s="101"/>
      <c r="AB16" s="101"/>
      <c r="AC16" s="101"/>
      <c r="AD16" s="101"/>
      <c r="AE16" s="104"/>
      <c r="AF16" s="104"/>
      <c r="AG16" s="104"/>
      <c r="AH16" s="104"/>
      <c r="AI16" s="104"/>
      <c r="AJ16" s="104"/>
      <c r="AK16" s="104"/>
      <c r="AL16" s="101"/>
      <c r="AM16" s="105"/>
      <c r="AN16" s="106"/>
      <c r="AO16" s="107"/>
      <c r="AP16" s="108"/>
      <c r="AQ16" s="108"/>
      <c r="AR16" s="109"/>
    </row>
    <row r="17" spans="2:44" ht="13.5" customHeight="1" x14ac:dyDescent="0.25">
      <c r="B17" s="14">
        <v>0.29166666666666669</v>
      </c>
      <c r="C17" s="101"/>
      <c r="D17" s="101"/>
      <c r="E17" s="101"/>
      <c r="F17" s="101"/>
      <c r="G17" s="101"/>
      <c r="H17" s="102"/>
      <c r="I17" s="103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s">
        <v>82</v>
      </c>
      <c r="Z17" s="101"/>
      <c r="AA17" s="101"/>
      <c r="AB17" s="101"/>
      <c r="AC17" s="101"/>
      <c r="AD17" s="101"/>
      <c r="AE17" s="104"/>
      <c r="AF17" s="104"/>
      <c r="AG17" s="104"/>
      <c r="AH17" s="104"/>
      <c r="AI17" s="104"/>
      <c r="AJ17" s="104"/>
      <c r="AK17" s="104"/>
      <c r="AL17" s="101"/>
      <c r="AM17" s="105"/>
      <c r="AN17" s="106"/>
      <c r="AO17" s="107"/>
      <c r="AP17" s="108"/>
      <c r="AQ17" s="108"/>
      <c r="AR17" s="109"/>
    </row>
    <row r="18" spans="2:44" ht="13.5" customHeight="1" x14ac:dyDescent="0.25">
      <c r="B18" s="42">
        <v>0.33333333333333331</v>
      </c>
      <c r="C18" s="110"/>
      <c r="D18" s="110"/>
      <c r="E18" s="110"/>
      <c r="F18" s="110"/>
      <c r="G18" s="110"/>
      <c r="H18" s="111"/>
      <c r="I18" s="112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3"/>
      <c r="AF18" s="113"/>
      <c r="AG18" s="113"/>
      <c r="AH18" s="113"/>
      <c r="AI18" s="113"/>
      <c r="AJ18" s="113"/>
      <c r="AK18" s="113"/>
      <c r="AL18" s="110"/>
      <c r="AM18" s="114"/>
      <c r="AN18" s="115"/>
      <c r="AO18" s="107"/>
      <c r="AP18" s="108"/>
      <c r="AQ18" s="108"/>
      <c r="AR18" s="116"/>
    </row>
    <row r="19" spans="2:44" ht="18" customHeight="1" x14ac:dyDescent="0.25">
      <c r="B19" s="200" t="s">
        <v>181</v>
      </c>
      <c r="C19" s="36" t="s">
        <v>168</v>
      </c>
      <c r="D19" s="36" t="s">
        <v>171</v>
      </c>
      <c r="E19" s="159" t="s">
        <v>17</v>
      </c>
      <c r="F19" s="214"/>
      <c r="G19" s="215"/>
      <c r="H19" s="216" t="s">
        <v>108</v>
      </c>
      <c r="I19" s="214"/>
      <c r="J19" s="214"/>
      <c r="K19" s="214"/>
      <c r="L19" s="179"/>
      <c r="M19" s="217" t="s">
        <v>123</v>
      </c>
      <c r="N19" s="214"/>
      <c r="O19" s="214"/>
      <c r="P19" s="214"/>
      <c r="Q19" s="215"/>
      <c r="R19" s="216" t="s">
        <v>147</v>
      </c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5"/>
      <c r="AG19" s="178" t="s">
        <v>24</v>
      </c>
      <c r="AH19" s="215"/>
      <c r="AI19" s="226" t="s">
        <v>173</v>
      </c>
      <c r="AJ19" s="227"/>
      <c r="AK19" s="227"/>
      <c r="AL19" s="227"/>
      <c r="AM19" s="228"/>
      <c r="AN19" s="178" t="s">
        <v>47</v>
      </c>
      <c r="AO19" s="218"/>
      <c r="AP19" s="214" t="s">
        <v>180</v>
      </c>
      <c r="AQ19" s="219"/>
      <c r="AR19" s="220"/>
    </row>
    <row r="20" spans="2:44" ht="20.149999999999999" customHeight="1" x14ac:dyDescent="0.25">
      <c r="B20" s="201"/>
      <c r="C20" s="3" t="s">
        <v>169</v>
      </c>
      <c r="D20" s="3" t="s">
        <v>113</v>
      </c>
      <c r="E20" s="3" t="s">
        <v>15</v>
      </c>
      <c r="F20" s="170" t="s">
        <v>100</v>
      </c>
      <c r="G20" s="174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72" t="s">
        <v>148</v>
      </c>
      <c r="AE20" s="174"/>
      <c r="AF20" s="17" t="s">
        <v>151</v>
      </c>
      <c r="AG20" s="17" t="s">
        <v>153</v>
      </c>
      <c r="AH20" s="17" t="s">
        <v>155</v>
      </c>
      <c r="AI20" s="188" t="s">
        <v>89</v>
      </c>
      <c r="AJ20" s="189"/>
      <c r="AK20" s="188" t="s">
        <v>92</v>
      </c>
      <c r="AL20" s="189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201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2"/>
      <c r="M22" s="117"/>
      <c r="N22" s="101"/>
      <c r="O22" s="101"/>
      <c r="P22" s="101"/>
      <c r="Q22" s="101"/>
      <c r="R22" s="101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05"/>
      <c r="AD22" s="105"/>
      <c r="AE22" s="105"/>
      <c r="AF22" s="105"/>
      <c r="AG22" s="105"/>
      <c r="AH22" s="105"/>
      <c r="AI22" s="119"/>
      <c r="AJ22" s="119"/>
      <c r="AK22" s="119"/>
      <c r="AL22" s="119"/>
      <c r="AM22" s="119"/>
      <c r="AN22" s="105"/>
      <c r="AO22" s="106"/>
      <c r="AP22" s="107"/>
      <c r="AQ22" s="108"/>
      <c r="AR22" s="109"/>
    </row>
    <row r="23" spans="2:44" ht="13.5" customHeight="1" x14ac:dyDescent="0.25">
      <c r="B23" s="14">
        <v>0.875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2"/>
      <c r="M23" s="117"/>
      <c r="N23" s="101"/>
      <c r="O23" s="101"/>
      <c r="P23" s="101"/>
      <c r="Q23" s="101"/>
      <c r="R23" s="101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05"/>
      <c r="AD23" s="105"/>
      <c r="AE23" s="105"/>
      <c r="AF23" s="105"/>
      <c r="AG23" s="105"/>
      <c r="AH23" s="105"/>
      <c r="AI23" s="119"/>
      <c r="AJ23" s="119"/>
      <c r="AK23" s="119"/>
      <c r="AL23" s="119"/>
      <c r="AM23" s="119"/>
      <c r="AN23" s="105"/>
      <c r="AO23" s="106"/>
      <c r="AP23" s="107"/>
      <c r="AQ23" s="108"/>
      <c r="AR23" s="109"/>
    </row>
    <row r="24" spans="2:44" ht="13.5" customHeight="1" x14ac:dyDescent="0.25">
      <c r="B24" s="41" t="s">
        <v>271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2"/>
      <c r="M24" s="117"/>
      <c r="N24" s="101"/>
      <c r="O24" s="101"/>
      <c r="P24" s="101"/>
      <c r="Q24" s="101"/>
      <c r="R24" s="101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05"/>
      <c r="AD24" s="105"/>
      <c r="AE24" s="105"/>
      <c r="AF24" s="105"/>
      <c r="AG24" s="105"/>
      <c r="AH24" s="105"/>
      <c r="AI24" s="119"/>
      <c r="AJ24" s="119"/>
      <c r="AK24" s="119"/>
      <c r="AL24" s="119"/>
      <c r="AM24" s="119"/>
      <c r="AN24" s="105"/>
      <c r="AO24" s="106"/>
      <c r="AP24" s="107"/>
      <c r="AQ24" s="108"/>
      <c r="AR24" s="109"/>
    </row>
    <row r="25" spans="2:44" ht="13.5" customHeight="1" x14ac:dyDescent="0.25">
      <c r="B25" s="14">
        <v>0.95833333333333337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117"/>
      <c r="N25" s="101"/>
      <c r="O25" s="101"/>
      <c r="P25" s="101"/>
      <c r="Q25" s="101"/>
      <c r="R25" s="101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05"/>
      <c r="AD25" s="105"/>
      <c r="AE25" s="105"/>
      <c r="AF25" s="105"/>
      <c r="AG25" s="105"/>
      <c r="AH25" s="105"/>
      <c r="AI25" s="119"/>
      <c r="AJ25" s="119"/>
      <c r="AK25" s="119"/>
      <c r="AL25" s="119"/>
      <c r="AM25" s="119"/>
      <c r="AN25" s="105"/>
      <c r="AO25" s="106"/>
      <c r="AP25" s="107"/>
      <c r="AQ25" s="108"/>
      <c r="AR25" s="109"/>
    </row>
    <row r="26" spans="2:44" ht="13.5" customHeight="1" x14ac:dyDescent="0.25">
      <c r="B26" s="41" t="s">
        <v>272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17"/>
      <c r="N26" s="101"/>
      <c r="O26" s="101"/>
      <c r="P26" s="101"/>
      <c r="Q26" s="101"/>
      <c r="R26" s="101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05"/>
      <c r="AD26" s="105"/>
      <c r="AE26" s="105"/>
      <c r="AF26" s="105"/>
      <c r="AG26" s="105"/>
      <c r="AH26" s="105"/>
      <c r="AI26" s="119"/>
      <c r="AJ26" s="119"/>
      <c r="AK26" s="119"/>
      <c r="AL26" s="119"/>
      <c r="AM26" s="119"/>
      <c r="AN26" s="105"/>
      <c r="AO26" s="106"/>
      <c r="AP26" s="107"/>
      <c r="AQ26" s="108"/>
      <c r="AR26" s="109"/>
    </row>
    <row r="27" spans="2:44" ht="13.5" customHeight="1" x14ac:dyDescent="0.25">
      <c r="B27" s="14">
        <v>4.1666666666666664E-2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2"/>
      <c r="M27" s="117"/>
      <c r="N27" s="101"/>
      <c r="O27" s="101"/>
      <c r="P27" s="101"/>
      <c r="Q27" s="101"/>
      <c r="R27" s="101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05"/>
      <c r="AD27" s="105"/>
      <c r="AE27" s="105"/>
      <c r="AF27" s="105"/>
      <c r="AG27" s="105"/>
      <c r="AH27" s="105"/>
      <c r="AI27" s="119"/>
      <c r="AJ27" s="119"/>
      <c r="AK27" s="119"/>
      <c r="AL27" s="119"/>
      <c r="AM27" s="119"/>
      <c r="AN27" s="105"/>
      <c r="AO27" s="106"/>
      <c r="AP27" s="107"/>
      <c r="AQ27" s="108"/>
      <c r="AR27" s="109"/>
    </row>
    <row r="28" spans="2:44" ht="13.5" customHeight="1" x14ac:dyDescent="0.25">
      <c r="B28" s="41" t="s">
        <v>273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2"/>
      <c r="M28" s="117"/>
      <c r="N28" s="101"/>
      <c r="O28" s="101"/>
      <c r="P28" s="101"/>
      <c r="Q28" s="101"/>
      <c r="R28" s="101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05"/>
      <c r="AD28" s="105"/>
      <c r="AE28" s="105"/>
      <c r="AF28" s="105"/>
      <c r="AG28" s="105"/>
      <c r="AH28" s="105"/>
      <c r="AI28" s="119"/>
      <c r="AJ28" s="119"/>
      <c r="AK28" s="119"/>
      <c r="AL28" s="119"/>
      <c r="AM28" s="119"/>
      <c r="AN28" s="105"/>
      <c r="AO28" s="106"/>
      <c r="AP28" s="107"/>
      <c r="AQ28" s="108"/>
      <c r="AR28" s="109"/>
    </row>
    <row r="29" spans="2:44" ht="13.5" customHeight="1" x14ac:dyDescent="0.25">
      <c r="B29" s="14">
        <v>0.125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2"/>
      <c r="M29" s="117"/>
      <c r="N29" s="101"/>
      <c r="O29" s="101"/>
      <c r="P29" s="101"/>
      <c r="Q29" s="101"/>
      <c r="R29" s="101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05"/>
      <c r="AD29" s="105"/>
      <c r="AE29" s="105"/>
      <c r="AF29" s="105"/>
      <c r="AG29" s="105"/>
      <c r="AH29" s="105"/>
      <c r="AI29" s="119"/>
      <c r="AJ29" s="119"/>
      <c r="AK29" s="119"/>
      <c r="AL29" s="119"/>
      <c r="AM29" s="119"/>
      <c r="AN29" s="105"/>
      <c r="AO29" s="106"/>
      <c r="AP29" s="107"/>
      <c r="AQ29" s="108"/>
      <c r="AR29" s="109"/>
    </row>
    <row r="30" spans="2:44" ht="13.5" customHeight="1" x14ac:dyDescent="0.25">
      <c r="B30" s="14">
        <v>0.16666666666666666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2"/>
      <c r="M30" s="117"/>
      <c r="N30" s="101"/>
      <c r="O30" s="101"/>
      <c r="P30" s="101"/>
      <c r="Q30" s="101"/>
      <c r="R30" s="101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05"/>
      <c r="AD30" s="105"/>
      <c r="AE30" s="105"/>
      <c r="AF30" s="105"/>
      <c r="AG30" s="105"/>
      <c r="AH30" s="105"/>
      <c r="AI30" s="119"/>
      <c r="AJ30" s="119"/>
      <c r="AK30" s="119"/>
      <c r="AL30" s="119"/>
      <c r="AM30" s="119"/>
      <c r="AN30" s="105"/>
      <c r="AO30" s="106"/>
      <c r="AP30" s="107"/>
      <c r="AQ30" s="108"/>
      <c r="AR30" s="109"/>
    </row>
    <row r="31" spans="2:44" ht="13.5" customHeight="1" x14ac:dyDescent="0.25">
      <c r="B31" s="14">
        <v>0.20833333333333334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2"/>
      <c r="M31" s="117"/>
      <c r="N31" s="101"/>
      <c r="O31" s="101"/>
      <c r="P31" s="101"/>
      <c r="Q31" s="101"/>
      <c r="R31" s="101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05"/>
      <c r="AD31" s="105"/>
      <c r="AE31" s="105"/>
      <c r="AF31" s="105"/>
      <c r="AG31" s="105"/>
      <c r="AH31" s="105"/>
      <c r="AI31" s="119"/>
      <c r="AJ31" s="119"/>
      <c r="AK31" s="119"/>
      <c r="AL31" s="119"/>
      <c r="AM31" s="119"/>
      <c r="AN31" s="105"/>
      <c r="AO31" s="106"/>
      <c r="AP31" s="107"/>
      <c r="AQ31" s="108"/>
      <c r="AR31" s="109"/>
    </row>
    <row r="32" spans="2:44" ht="13.5" customHeight="1" x14ac:dyDescent="0.25">
      <c r="B32" s="14">
        <v>0.25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2"/>
      <c r="M32" s="117"/>
      <c r="N32" s="101"/>
      <c r="O32" s="101"/>
      <c r="P32" s="101"/>
      <c r="Q32" s="101"/>
      <c r="R32" s="101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05"/>
      <c r="AD32" s="105"/>
      <c r="AE32" s="105"/>
      <c r="AF32" s="105"/>
      <c r="AG32" s="105"/>
      <c r="AH32" s="105"/>
      <c r="AI32" s="119"/>
      <c r="AJ32" s="119"/>
      <c r="AK32" s="119"/>
      <c r="AL32" s="119"/>
      <c r="AM32" s="119"/>
      <c r="AN32" s="105"/>
      <c r="AO32" s="106"/>
      <c r="AP32" s="107"/>
      <c r="AQ32" s="108"/>
      <c r="AR32" s="109"/>
    </row>
    <row r="33" spans="2:44" ht="13.5" customHeight="1" x14ac:dyDescent="0.25">
      <c r="B33" s="14">
        <v>0.29166666666666669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7"/>
      <c r="N33" s="101"/>
      <c r="O33" s="101"/>
      <c r="P33" s="101"/>
      <c r="Q33" s="101"/>
      <c r="R33" s="101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05"/>
      <c r="AD33" s="105"/>
      <c r="AE33" s="105"/>
      <c r="AF33" s="105"/>
      <c r="AG33" s="105"/>
      <c r="AH33" s="105"/>
      <c r="AI33" s="119"/>
      <c r="AJ33" s="119"/>
      <c r="AK33" s="119"/>
      <c r="AL33" s="119"/>
      <c r="AM33" s="119"/>
      <c r="AN33" s="105"/>
      <c r="AO33" s="106"/>
      <c r="AP33" s="107"/>
      <c r="AQ33" s="108"/>
      <c r="AR33" s="109"/>
    </row>
    <row r="34" spans="2:44" ht="13.5" customHeight="1" x14ac:dyDescent="0.25">
      <c r="B34" s="42">
        <v>0.33333333333333331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1"/>
      <c r="M34" s="120"/>
      <c r="N34" s="110"/>
      <c r="O34" s="110"/>
      <c r="P34" s="110"/>
      <c r="Q34" s="110"/>
      <c r="R34" s="110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14"/>
      <c r="AD34" s="114"/>
      <c r="AE34" s="114"/>
      <c r="AF34" s="114"/>
      <c r="AG34" s="114"/>
      <c r="AH34" s="114"/>
      <c r="AI34" s="122"/>
      <c r="AJ34" s="122"/>
      <c r="AK34" s="122"/>
      <c r="AL34" s="122"/>
      <c r="AM34" s="122"/>
      <c r="AN34" s="114"/>
      <c r="AO34" s="115"/>
      <c r="AP34" s="123"/>
      <c r="AQ34" s="124"/>
      <c r="AR34" s="125"/>
    </row>
    <row r="35" spans="2:44" ht="15" customHeight="1" x14ac:dyDescent="0.25">
      <c r="B35" s="213" t="s">
        <v>181</v>
      </c>
      <c r="C35" s="159" t="s">
        <v>38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1" t="s">
        <v>216</v>
      </c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3"/>
      <c r="AK35" s="178" t="s">
        <v>48</v>
      </c>
      <c r="AL35" s="179"/>
      <c r="AM35" s="164" t="s">
        <v>223</v>
      </c>
      <c r="AN35" s="165"/>
      <c r="AO35" s="43"/>
      <c r="AP35" s="43"/>
      <c r="AQ35" s="43"/>
      <c r="AR35" s="44"/>
    </row>
    <row r="36" spans="2:44" ht="20.149999999999999" customHeight="1" x14ac:dyDescent="0.25">
      <c r="B36" s="201"/>
      <c r="C36" s="170" t="s">
        <v>32</v>
      </c>
      <c r="D36" s="176"/>
      <c r="E36" s="170" t="s">
        <v>33</v>
      </c>
      <c r="F36" s="175"/>
      <c r="G36" s="176"/>
      <c r="H36" s="166" t="s">
        <v>276</v>
      </c>
      <c r="I36" s="167"/>
      <c r="J36" s="4" t="s">
        <v>27</v>
      </c>
      <c r="K36" s="4" t="s">
        <v>30</v>
      </c>
      <c r="L36" s="4" t="s">
        <v>191</v>
      </c>
      <c r="M36" s="168" t="s">
        <v>192</v>
      </c>
      <c r="N36" s="169"/>
      <c r="O36" s="4" t="s">
        <v>26</v>
      </c>
      <c r="P36" s="4" t="s">
        <v>197</v>
      </c>
      <c r="Q36" s="170" t="s">
        <v>199</v>
      </c>
      <c r="R36" s="177"/>
      <c r="S36" s="170" t="s">
        <v>202</v>
      </c>
      <c r="T36" s="177"/>
      <c r="U36" s="170" t="s">
        <v>201</v>
      </c>
      <c r="V36" s="171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72" t="s">
        <v>46</v>
      </c>
      <c r="AI36" s="173"/>
      <c r="AJ36" s="174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201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201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449</v>
      </c>
      <c r="N38" s="1" t="s">
        <v>450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6"/>
      <c r="V39" s="97"/>
      <c r="W39" s="98"/>
      <c r="X39" s="96"/>
      <c r="Y39" s="96"/>
      <c r="Z39" s="96"/>
      <c r="AA39" s="96"/>
      <c r="AB39" s="96"/>
      <c r="AC39" s="96"/>
      <c r="AD39" s="96"/>
      <c r="AE39" s="87"/>
      <c r="AF39" s="87"/>
      <c r="AG39" s="87"/>
      <c r="AH39" s="87"/>
      <c r="AI39" s="87"/>
      <c r="AJ39" s="87"/>
      <c r="AK39" s="87"/>
      <c r="AL39" s="89"/>
      <c r="AM39" s="91"/>
      <c r="AN39" s="88"/>
      <c r="AO39" s="87"/>
      <c r="AP39" s="87"/>
      <c r="AQ39" s="87"/>
      <c r="AR39" s="90"/>
    </row>
    <row r="40" spans="2:44" ht="13.5" customHeight="1" x14ac:dyDescent="0.25">
      <c r="B40" s="14">
        <v>0.875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18"/>
      <c r="V40" s="126"/>
      <c r="W40" s="127"/>
      <c r="X40" s="118"/>
      <c r="Y40" s="118"/>
      <c r="Z40" s="118"/>
      <c r="AA40" s="118"/>
      <c r="AB40" s="118"/>
      <c r="AC40" s="118"/>
      <c r="AD40" s="118"/>
      <c r="AE40" s="105"/>
      <c r="AF40" s="105"/>
      <c r="AG40" s="105"/>
      <c r="AH40" s="105"/>
      <c r="AI40" s="105"/>
      <c r="AJ40" s="105"/>
      <c r="AK40" s="105"/>
      <c r="AL40" s="106"/>
      <c r="AM40" s="128"/>
      <c r="AN40" s="119"/>
      <c r="AO40" s="105"/>
      <c r="AP40" s="105"/>
      <c r="AQ40" s="105"/>
      <c r="AR40" s="109"/>
    </row>
    <row r="41" spans="2:44" ht="13.5" customHeight="1" x14ac:dyDescent="0.25">
      <c r="B41" s="41" t="s">
        <v>271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18"/>
      <c r="V41" s="126"/>
      <c r="W41" s="127"/>
      <c r="X41" s="118"/>
      <c r="Y41" s="118"/>
      <c r="Z41" s="118"/>
      <c r="AA41" s="118"/>
      <c r="AB41" s="118"/>
      <c r="AC41" s="118"/>
      <c r="AD41" s="118"/>
      <c r="AE41" s="105"/>
      <c r="AF41" s="105"/>
      <c r="AG41" s="105"/>
      <c r="AH41" s="105"/>
      <c r="AI41" s="105"/>
      <c r="AJ41" s="105"/>
      <c r="AK41" s="105"/>
      <c r="AL41" s="106"/>
      <c r="AM41" s="128"/>
      <c r="AN41" s="119"/>
      <c r="AO41" s="105"/>
      <c r="AP41" s="105"/>
      <c r="AQ41" s="105"/>
      <c r="AR41" s="109"/>
    </row>
    <row r="42" spans="2:44" ht="13.5" customHeight="1" x14ac:dyDescent="0.25">
      <c r="B42" s="14">
        <v>0.95833333333333337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18"/>
      <c r="V42" s="126"/>
      <c r="W42" s="127"/>
      <c r="X42" s="118"/>
      <c r="Y42" s="118"/>
      <c r="Z42" s="118"/>
      <c r="AA42" s="118"/>
      <c r="AB42" s="118"/>
      <c r="AC42" s="118"/>
      <c r="AD42" s="118"/>
      <c r="AE42" s="105"/>
      <c r="AF42" s="105"/>
      <c r="AG42" s="105"/>
      <c r="AH42" s="105"/>
      <c r="AI42" s="105"/>
      <c r="AJ42" s="105"/>
      <c r="AK42" s="105"/>
      <c r="AL42" s="106"/>
      <c r="AM42" s="128"/>
      <c r="AN42" s="119"/>
      <c r="AO42" s="105"/>
      <c r="AP42" s="105"/>
      <c r="AQ42" s="105"/>
      <c r="AR42" s="109"/>
    </row>
    <row r="43" spans="2:44" ht="13.5" customHeight="1" x14ac:dyDescent="0.25">
      <c r="B43" s="41" t="s">
        <v>272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18"/>
      <c r="V43" s="126"/>
      <c r="W43" s="127"/>
      <c r="X43" s="118"/>
      <c r="Y43" s="118"/>
      <c r="Z43" s="118"/>
      <c r="AA43" s="118"/>
      <c r="AB43" s="118"/>
      <c r="AC43" s="118"/>
      <c r="AD43" s="118"/>
      <c r="AE43" s="105"/>
      <c r="AF43" s="105"/>
      <c r="AG43" s="105"/>
      <c r="AH43" s="105"/>
      <c r="AI43" s="105"/>
      <c r="AJ43" s="105"/>
      <c r="AK43" s="105"/>
      <c r="AL43" s="106"/>
      <c r="AM43" s="128"/>
      <c r="AN43" s="119"/>
      <c r="AO43" s="105"/>
      <c r="AP43" s="105"/>
      <c r="AQ43" s="105"/>
      <c r="AR43" s="109"/>
    </row>
    <row r="44" spans="2:44" ht="13.5" customHeight="1" x14ac:dyDescent="0.25">
      <c r="B44" s="14">
        <v>4.1666666666666664E-2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18"/>
      <c r="V44" s="126"/>
      <c r="W44" s="127"/>
      <c r="X44" s="118"/>
      <c r="Y44" s="118"/>
      <c r="Z44" s="118"/>
      <c r="AA44" s="118"/>
      <c r="AB44" s="118"/>
      <c r="AC44" s="118"/>
      <c r="AD44" s="118"/>
      <c r="AE44" s="105"/>
      <c r="AF44" s="105"/>
      <c r="AG44" s="105"/>
      <c r="AH44" s="105"/>
      <c r="AI44" s="105"/>
      <c r="AJ44" s="105"/>
      <c r="AK44" s="105"/>
      <c r="AL44" s="106"/>
      <c r="AM44" s="128"/>
      <c r="AN44" s="119"/>
      <c r="AO44" s="105"/>
      <c r="AP44" s="105"/>
      <c r="AQ44" s="105"/>
      <c r="AR44" s="109"/>
    </row>
    <row r="45" spans="2:44" ht="13.5" customHeight="1" x14ac:dyDescent="0.25">
      <c r="B45" s="41" t="s">
        <v>273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18"/>
      <c r="V45" s="126"/>
      <c r="W45" s="127"/>
      <c r="X45" s="118"/>
      <c r="Y45" s="118"/>
      <c r="Z45" s="118"/>
      <c r="AA45" s="118"/>
      <c r="AB45" s="118"/>
      <c r="AC45" s="118"/>
      <c r="AD45" s="118"/>
      <c r="AE45" s="105"/>
      <c r="AF45" s="105"/>
      <c r="AG45" s="105"/>
      <c r="AH45" s="105"/>
      <c r="AI45" s="105"/>
      <c r="AJ45" s="105"/>
      <c r="AK45" s="105"/>
      <c r="AL45" s="106"/>
      <c r="AM45" s="128"/>
      <c r="AN45" s="119"/>
      <c r="AO45" s="105"/>
      <c r="AP45" s="105"/>
      <c r="AQ45" s="105"/>
      <c r="AR45" s="109"/>
    </row>
    <row r="46" spans="2:44" ht="13.5" customHeight="1" x14ac:dyDescent="0.25">
      <c r="B46" s="14">
        <v>0.125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18"/>
      <c r="V46" s="126"/>
      <c r="W46" s="127"/>
      <c r="X46" s="118"/>
      <c r="Y46" s="118"/>
      <c r="Z46" s="118"/>
      <c r="AA46" s="118"/>
      <c r="AB46" s="118"/>
      <c r="AC46" s="118"/>
      <c r="AD46" s="118"/>
      <c r="AE46" s="105"/>
      <c r="AF46" s="105"/>
      <c r="AG46" s="105"/>
      <c r="AH46" s="105"/>
      <c r="AI46" s="105"/>
      <c r="AJ46" s="105"/>
      <c r="AK46" s="105"/>
      <c r="AL46" s="106"/>
      <c r="AM46" s="128"/>
      <c r="AN46" s="119"/>
      <c r="AO46" s="105"/>
      <c r="AP46" s="105"/>
      <c r="AQ46" s="105"/>
      <c r="AR46" s="109"/>
    </row>
    <row r="47" spans="2:44" ht="13.5" customHeight="1" x14ac:dyDescent="0.25">
      <c r="B47" s="14">
        <v>0.16666666666666666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18"/>
      <c r="V47" s="126"/>
      <c r="W47" s="127"/>
      <c r="X47" s="118"/>
      <c r="Y47" s="118"/>
      <c r="Z47" s="118"/>
      <c r="AA47" s="118"/>
      <c r="AB47" s="118"/>
      <c r="AC47" s="118"/>
      <c r="AD47" s="118"/>
      <c r="AE47" s="105"/>
      <c r="AF47" s="105"/>
      <c r="AG47" s="105"/>
      <c r="AH47" s="105"/>
      <c r="AI47" s="105"/>
      <c r="AJ47" s="105"/>
      <c r="AK47" s="105"/>
      <c r="AL47" s="106"/>
      <c r="AM47" s="128"/>
      <c r="AN47" s="119"/>
      <c r="AO47" s="105"/>
      <c r="AP47" s="105"/>
      <c r="AQ47" s="105"/>
      <c r="AR47" s="109"/>
    </row>
    <row r="48" spans="2:44" ht="13.5" customHeight="1" x14ac:dyDescent="0.25">
      <c r="B48" s="14">
        <v>0.20833333333333334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18"/>
      <c r="V48" s="126"/>
      <c r="W48" s="127"/>
      <c r="X48" s="118"/>
      <c r="Y48" s="118"/>
      <c r="Z48" s="118"/>
      <c r="AA48" s="118"/>
      <c r="AB48" s="118"/>
      <c r="AC48" s="118"/>
      <c r="AD48" s="118"/>
      <c r="AE48" s="105"/>
      <c r="AF48" s="105"/>
      <c r="AG48" s="105"/>
      <c r="AH48" s="105"/>
      <c r="AI48" s="105"/>
      <c r="AJ48" s="105"/>
      <c r="AK48" s="105"/>
      <c r="AL48" s="106"/>
      <c r="AM48" s="128"/>
      <c r="AN48" s="119"/>
      <c r="AO48" s="105"/>
      <c r="AP48" s="105"/>
      <c r="AQ48" s="105"/>
      <c r="AR48" s="109"/>
    </row>
    <row r="49" spans="2:44" ht="13.5" customHeight="1" x14ac:dyDescent="0.25">
      <c r="B49" s="14">
        <v>0.25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18"/>
      <c r="V49" s="126"/>
      <c r="W49" s="127"/>
      <c r="X49" s="118"/>
      <c r="Y49" s="118"/>
      <c r="Z49" s="118"/>
      <c r="AA49" s="118"/>
      <c r="AB49" s="118"/>
      <c r="AC49" s="118"/>
      <c r="AD49" s="118"/>
      <c r="AE49" s="105"/>
      <c r="AF49" s="105"/>
      <c r="AG49" s="105"/>
      <c r="AH49" s="105"/>
      <c r="AI49" s="105"/>
      <c r="AJ49" s="105"/>
      <c r="AK49" s="105"/>
      <c r="AL49" s="106"/>
      <c r="AM49" s="128"/>
      <c r="AN49" s="119"/>
      <c r="AO49" s="105"/>
      <c r="AP49" s="105"/>
      <c r="AQ49" s="105"/>
      <c r="AR49" s="109"/>
    </row>
    <row r="50" spans="2:44" ht="13.5" customHeight="1" x14ac:dyDescent="0.25">
      <c r="B50" s="14">
        <v>0.29166666666666669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18"/>
      <c r="V50" s="126"/>
      <c r="W50" s="127"/>
      <c r="X50" s="118"/>
      <c r="Y50" s="118"/>
      <c r="Z50" s="118"/>
      <c r="AA50" s="118"/>
      <c r="AB50" s="118"/>
      <c r="AC50" s="118"/>
      <c r="AD50" s="118"/>
      <c r="AE50" s="105"/>
      <c r="AF50" s="105"/>
      <c r="AG50" s="105"/>
      <c r="AH50" s="105"/>
      <c r="AI50" s="105"/>
      <c r="AJ50" s="105"/>
      <c r="AK50" s="105"/>
      <c r="AL50" s="106"/>
      <c r="AM50" s="128"/>
      <c r="AN50" s="119"/>
      <c r="AO50" s="105"/>
      <c r="AP50" s="105"/>
      <c r="AQ50" s="105"/>
      <c r="AR50" s="109"/>
    </row>
    <row r="51" spans="2:44" ht="13.5" customHeight="1" x14ac:dyDescent="0.25">
      <c r="B51" s="42">
        <v>0.33333333333333331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1"/>
      <c r="V51" s="129"/>
      <c r="W51" s="130"/>
      <c r="X51" s="121"/>
      <c r="Y51" s="121"/>
      <c r="Z51" s="121"/>
      <c r="AA51" s="121"/>
      <c r="AB51" s="121"/>
      <c r="AC51" s="121"/>
      <c r="AD51" s="121"/>
      <c r="AE51" s="114"/>
      <c r="AF51" s="114"/>
      <c r="AG51" s="114"/>
      <c r="AH51" s="114"/>
      <c r="AI51" s="114"/>
      <c r="AJ51" s="114"/>
      <c r="AK51" s="114"/>
      <c r="AL51" s="115"/>
      <c r="AM51" s="131"/>
      <c r="AN51" s="122"/>
      <c r="AO51" s="114"/>
      <c r="AP51" s="114"/>
      <c r="AQ51" s="114"/>
      <c r="AR51" s="125"/>
    </row>
    <row r="52" spans="2:44" ht="13.5" customHeight="1" x14ac:dyDescent="0.25">
      <c r="B52" s="221"/>
      <c r="C52" s="222"/>
      <c r="D52" s="9" t="s">
        <v>274</v>
      </c>
      <c r="E52" s="202" t="s">
        <v>20</v>
      </c>
      <c r="F52" s="205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7"/>
      <c r="AP52" s="207"/>
      <c r="AQ52" s="207"/>
      <c r="AR52" s="208"/>
    </row>
    <row r="53" spans="2:44" ht="13.5" customHeight="1" x14ac:dyDescent="0.25">
      <c r="B53" s="201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172"/>
      <c r="AP53" s="172"/>
      <c r="AQ53" s="172"/>
      <c r="AR53" s="209"/>
    </row>
    <row r="54" spans="2:44" ht="13.5" customHeight="1" thickBot="1" x14ac:dyDescent="0.3">
      <c r="B54" s="212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10"/>
      <c r="AP54" s="210"/>
      <c r="AQ54" s="210"/>
      <c r="AR54" s="21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F1F-5760-4265-BDF5-19B9701076ED}">
  <dimension ref="B1:BF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  <col min="16184" max="16384" width="9" style="6"/>
  </cols>
  <sheetData>
    <row r="1" spans="2:58" ht="17.5" customHeight="1" thickBot="1" x14ac:dyDescent="0.3">
      <c r="B1" s="180" t="s">
        <v>230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</row>
    <row r="2" spans="2:58" ht="13" customHeight="1" x14ac:dyDescent="0.25">
      <c r="B2" s="261" t="s">
        <v>232</v>
      </c>
      <c r="C2" s="194"/>
      <c r="D2" s="194"/>
      <c r="E2" s="194"/>
      <c r="F2" s="194"/>
      <c r="G2" s="194"/>
      <c r="H2" s="194"/>
      <c r="I2" s="194"/>
      <c r="J2" s="194"/>
      <c r="K2" s="194"/>
      <c r="L2" s="199"/>
      <c r="M2" s="262" t="s">
        <v>231</v>
      </c>
      <c r="N2" s="194"/>
      <c r="O2" s="194"/>
      <c r="P2" s="194"/>
      <c r="Q2" s="194"/>
      <c r="R2" s="194"/>
      <c r="S2" s="194"/>
      <c r="T2" s="194"/>
      <c r="U2" s="194"/>
      <c r="V2" s="194"/>
      <c r="W2" s="199"/>
      <c r="X2" s="182" t="s">
        <v>233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9"/>
      <c r="AI2" s="262" t="s">
        <v>234</v>
      </c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9"/>
      <c r="AU2" s="182" t="s">
        <v>235</v>
      </c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263"/>
    </row>
    <row r="3" spans="2:58" ht="13" customHeight="1" x14ac:dyDescent="0.25">
      <c r="B3" s="229"/>
      <c r="C3" s="230"/>
      <c r="D3" s="230"/>
      <c r="E3" s="230"/>
      <c r="F3" s="230"/>
      <c r="G3" s="230"/>
      <c r="H3" s="230"/>
      <c r="I3" s="230"/>
      <c r="J3" s="230"/>
      <c r="K3" s="230"/>
      <c r="L3" s="231"/>
      <c r="M3" s="237"/>
      <c r="N3" s="230"/>
      <c r="O3" s="230"/>
      <c r="P3" s="230"/>
      <c r="Q3" s="230"/>
      <c r="R3" s="230"/>
      <c r="S3" s="230"/>
      <c r="T3" s="230"/>
      <c r="U3" s="230"/>
      <c r="V3" s="230"/>
      <c r="W3" s="231"/>
      <c r="X3" s="241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42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1"/>
      <c r="AU3" s="241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43"/>
    </row>
    <row r="4" spans="2:58" ht="13" customHeight="1" x14ac:dyDescent="0.25">
      <c r="B4" s="232"/>
      <c r="C4" s="233"/>
      <c r="D4" s="233"/>
      <c r="E4" s="233"/>
      <c r="F4" s="233"/>
      <c r="G4" s="233"/>
      <c r="H4" s="233"/>
      <c r="I4" s="233"/>
      <c r="J4" s="233"/>
      <c r="K4" s="233"/>
      <c r="L4" s="234"/>
      <c r="M4" s="238"/>
      <c r="N4" s="233"/>
      <c r="O4" s="233"/>
      <c r="P4" s="233"/>
      <c r="Q4" s="233"/>
      <c r="R4" s="233"/>
      <c r="S4" s="233"/>
      <c r="T4" s="233"/>
      <c r="U4" s="233"/>
      <c r="V4" s="233"/>
      <c r="W4" s="234"/>
      <c r="X4" s="238"/>
      <c r="Y4" s="233"/>
      <c r="Z4" s="233"/>
      <c r="AA4" s="233"/>
      <c r="AB4" s="233"/>
      <c r="AC4" s="233"/>
      <c r="AD4" s="233"/>
      <c r="AE4" s="233"/>
      <c r="AF4" s="233"/>
      <c r="AG4" s="233"/>
      <c r="AH4" s="234"/>
      <c r="AI4" s="238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4"/>
      <c r="AU4" s="238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44"/>
    </row>
    <row r="5" spans="2:58" ht="13" customHeight="1" x14ac:dyDescent="0.25">
      <c r="B5" s="232"/>
      <c r="C5" s="233"/>
      <c r="D5" s="233"/>
      <c r="E5" s="233"/>
      <c r="F5" s="233"/>
      <c r="G5" s="233"/>
      <c r="H5" s="233"/>
      <c r="I5" s="233"/>
      <c r="J5" s="233"/>
      <c r="K5" s="233"/>
      <c r="L5" s="234"/>
      <c r="M5" s="238"/>
      <c r="N5" s="233"/>
      <c r="O5" s="233"/>
      <c r="P5" s="233"/>
      <c r="Q5" s="233"/>
      <c r="R5" s="233"/>
      <c r="S5" s="233"/>
      <c r="T5" s="233"/>
      <c r="U5" s="233"/>
      <c r="V5" s="233"/>
      <c r="W5" s="234"/>
      <c r="X5" s="238"/>
      <c r="Y5" s="233"/>
      <c r="Z5" s="233"/>
      <c r="AA5" s="233"/>
      <c r="AB5" s="233"/>
      <c r="AC5" s="233"/>
      <c r="AD5" s="233"/>
      <c r="AE5" s="233"/>
      <c r="AF5" s="233"/>
      <c r="AG5" s="233"/>
      <c r="AH5" s="234"/>
      <c r="AI5" s="238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4"/>
      <c r="AU5" s="238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44"/>
    </row>
    <row r="6" spans="2:58" ht="13" customHeight="1" x14ac:dyDescent="0.25">
      <c r="B6" s="232"/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8"/>
      <c r="N6" s="233"/>
      <c r="O6" s="233"/>
      <c r="P6" s="233"/>
      <c r="Q6" s="233"/>
      <c r="R6" s="233"/>
      <c r="S6" s="233"/>
      <c r="T6" s="233"/>
      <c r="U6" s="233"/>
      <c r="V6" s="233"/>
      <c r="W6" s="234"/>
      <c r="X6" s="238"/>
      <c r="Y6" s="233"/>
      <c r="Z6" s="233"/>
      <c r="AA6" s="233"/>
      <c r="AB6" s="233"/>
      <c r="AC6" s="233"/>
      <c r="AD6" s="233"/>
      <c r="AE6" s="233"/>
      <c r="AF6" s="233"/>
      <c r="AG6" s="233"/>
      <c r="AH6" s="234"/>
      <c r="AI6" s="238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4"/>
      <c r="AU6" s="238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44"/>
    </row>
    <row r="7" spans="2:58" ht="13" customHeight="1" x14ac:dyDescent="0.25">
      <c r="B7" s="232"/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238"/>
      <c r="N7" s="233"/>
      <c r="O7" s="233"/>
      <c r="P7" s="233"/>
      <c r="Q7" s="233"/>
      <c r="R7" s="233"/>
      <c r="S7" s="233"/>
      <c r="T7" s="233"/>
      <c r="U7" s="233"/>
      <c r="V7" s="233"/>
      <c r="W7" s="234"/>
      <c r="X7" s="238"/>
      <c r="Y7" s="233"/>
      <c r="Z7" s="233"/>
      <c r="AA7" s="233"/>
      <c r="AB7" s="233"/>
      <c r="AC7" s="233"/>
      <c r="AD7" s="233"/>
      <c r="AE7" s="233"/>
      <c r="AF7" s="233"/>
      <c r="AG7" s="233"/>
      <c r="AH7" s="234"/>
      <c r="AI7" s="238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4"/>
      <c r="AU7" s="238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44"/>
    </row>
    <row r="8" spans="2:58" ht="13" customHeight="1" x14ac:dyDescent="0.25">
      <c r="B8" s="232"/>
      <c r="C8" s="233"/>
      <c r="D8" s="233"/>
      <c r="E8" s="233"/>
      <c r="F8" s="233"/>
      <c r="G8" s="233"/>
      <c r="H8" s="233"/>
      <c r="I8" s="233"/>
      <c r="J8" s="233"/>
      <c r="K8" s="233"/>
      <c r="L8" s="234"/>
      <c r="M8" s="238"/>
      <c r="N8" s="233"/>
      <c r="O8" s="233"/>
      <c r="P8" s="233"/>
      <c r="Q8" s="233"/>
      <c r="R8" s="233"/>
      <c r="S8" s="233"/>
      <c r="T8" s="233"/>
      <c r="U8" s="233"/>
      <c r="V8" s="233"/>
      <c r="W8" s="234"/>
      <c r="X8" s="238"/>
      <c r="Y8" s="233"/>
      <c r="Z8" s="233"/>
      <c r="AA8" s="233"/>
      <c r="AB8" s="233"/>
      <c r="AC8" s="233"/>
      <c r="AD8" s="233"/>
      <c r="AE8" s="233"/>
      <c r="AF8" s="233"/>
      <c r="AG8" s="233"/>
      <c r="AH8" s="234"/>
      <c r="AI8" s="238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4"/>
      <c r="AU8" s="238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44"/>
    </row>
    <row r="9" spans="2:58" ht="13" customHeight="1" x14ac:dyDescent="0.25"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22"/>
      <c r="M9" s="239"/>
      <c r="N9" s="236"/>
      <c r="O9" s="236"/>
      <c r="P9" s="236"/>
      <c r="Q9" s="236"/>
      <c r="R9" s="236"/>
      <c r="S9" s="236"/>
      <c r="T9" s="236"/>
      <c r="U9" s="236"/>
      <c r="V9" s="236"/>
      <c r="W9" s="222"/>
      <c r="X9" s="239"/>
      <c r="Y9" s="236"/>
      <c r="Z9" s="236"/>
      <c r="AA9" s="236"/>
      <c r="AB9" s="236"/>
      <c r="AC9" s="236"/>
      <c r="AD9" s="236"/>
      <c r="AE9" s="236"/>
      <c r="AF9" s="236"/>
      <c r="AG9" s="236"/>
      <c r="AH9" s="222"/>
      <c r="AI9" s="239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22"/>
      <c r="AU9" s="239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45"/>
    </row>
    <row r="10" spans="2:58" ht="13" customHeight="1" x14ac:dyDescent="0.25">
      <c r="B10" s="249" t="s">
        <v>236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6"/>
      <c r="M10" s="260" t="s">
        <v>237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6"/>
      <c r="X10" s="187" t="s">
        <v>238</v>
      </c>
      <c r="Y10" s="175"/>
      <c r="Z10" s="175"/>
      <c r="AA10" s="175"/>
      <c r="AB10" s="175"/>
      <c r="AC10" s="175"/>
      <c r="AD10" s="175"/>
      <c r="AE10" s="175"/>
      <c r="AF10" s="175"/>
      <c r="AG10" s="175"/>
      <c r="AH10" s="176"/>
      <c r="AI10" s="187" t="s">
        <v>239</v>
      </c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6"/>
      <c r="AU10" s="172" t="s">
        <v>240</v>
      </c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254"/>
    </row>
    <row r="11" spans="2:58" ht="13" customHeight="1" x14ac:dyDescent="0.25">
      <c r="B11" s="229"/>
      <c r="C11" s="230"/>
      <c r="D11" s="230"/>
      <c r="E11" s="230"/>
      <c r="F11" s="230"/>
      <c r="G11" s="230"/>
      <c r="H11" s="230"/>
      <c r="I11" s="230"/>
      <c r="J11" s="230"/>
      <c r="K11" s="230"/>
      <c r="L11" s="231"/>
      <c r="M11" s="237"/>
      <c r="N11" s="230"/>
      <c r="O11" s="230"/>
      <c r="P11" s="230"/>
      <c r="Q11" s="230"/>
      <c r="R11" s="230"/>
      <c r="S11" s="230"/>
      <c r="T11" s="230"/>
      <c r="U11" s="230"/>
      <c r="V11" s="230"/>
      <c r="W11" s="231"/>
      <c r="X11" s="237"/>
      <c r="Y11" s="230"/>
      <c r="Z11" s="230"/>
      <c r="AA11" s="230"/>
      <c r="AB11" s="230"/>
      <c r="AC11" s="230"/>
      <c r="AD11" s="230"/>
      <c r="AE11" s="230"/>
      <c r="AF11" s="230"/>
      <c r="AG11" s="230"/>
      <c r="AH11" s="231"/>
      <c r="AI11" s="237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1"/>
      <c r="AU11" s="246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43"/>
    </row>
    <row r="12" spans="2:58" ht="13" customHeight="1" x14ac:dyDescent="0.25">
      <c r="B12" s="232"/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8"/>
      <c r="N12" s="233"/>
      <c r="O12" s="233"/>
      <c r="P12" s="233"/>
      <c r="Q12" s="233"/>
      <c r="R12" s="233"/>
      <c r="S12" s="233"/>
      <c r="T12" s="233"/>
      <c r="U12" s="233"/>
      <c r="V12" s="233"/>
      <c r="W12" s="234"/>
      <c r="X12" s="238"/>
      <c r="Y12" s="233"/>
      <c r="Z12" s="233"/>
      <c r="AA12" s="233"/>
      <c r="AB12" s="233"/>
      <c r="AC12" s="233"/>
      <c r="AD12" s="233"/>
      <c r="AE12" s="233"/>
      <c r="AF12" s="233"/>
      <c r="AG12" s="233"/>
      <c r="AH12" s="234"/>
      <c r="AI12" s="238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4"/>
      <c r="AU12" s="238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44"/>
    </row>
    <row r="13" spans="2:58" ht="13" customHeight="1" x14ac:dyDescent="0.25">
      <c r="B13" s="232"/>
      <c r="C13" s="233"/>
      <c r="D13" s="233"/>
      <c r="E13" s="233"/>
      <c r="F13" s="233"/>
      <c r="G13" s="233"/>
      <c r="H13" s="233"/>
      <c r="I13" s="233"/>
      <c r="J13" s="233"/>
      <c r="K13" s="233"/>
      <c r="L13" s="234"/>
      <c r="M13" s="238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38"/>
      <c r="Y13" s="233"/>
      <c r="Z13" s="233"/>
      <c r="AA13" s="233"/>
      <c r="AB13" s="233"/>
      <c r="AC13" s="233"/>
      <c r="AD13" s="233"/>
      <c r="AE13" s="233"/>
      <c r="AF13" s="233"/>
      <c r="AG13" s="233"/>
      <c r="AH13" s="234"/>
      <c r="AI13" s="238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4"/>
      <c r="AU13" s="238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44"/>
    </row>
    <row r="14" spans="2:58" ht="13" customHeight="1" x14ac:dyDescent="0.25">
      <c r="B14" s="232"/>
      <c r="C14" s="233"/>
      <c r="D14" s="233"/>
      <c r="E14" s="233"/>
      <c r="F14" s="233"/>
      <c r="G14" s="233"/>
      <c r="H14" s="233"/>
      <c r="I14" s="233"/>
      <c r="J14" s="233"/>
      <c r="K14" s="233"/>
      <c r="L14" s="234"/>
      <c r="M14" s="238"/>
      <c r="N14" s="233"/>
      <c r="O14" s="233"/>
      <c r="P14" s="233"/>
      <c r="Q14" s="233"/>
      <c r="R14" s="233"/>
      <c r="S14" s="233"/>
      <c r="T14" s="233"/>
      <c r="U14" s="233"/>
      <c r="V14" s="233"/>
      <c r="W14" s="234"/>
      <c r="X14" s="238"/>
      <c r="Y14" s="233"/>
      <c r="Z14" s="233"/>
      <c r="AA14" s="233"/>
      <c r="AB14" s="233"/>
      <c r="AC14" s="233"/>
      <c r="AD14" s="233"/>
      <c r="AE14" s="233"/>
      <c r="AF14" s="233"/>
      <c r="AG14" s="233"/>
      <c r="AH14" s="234"/>
      <c r="AI14" s="238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4"/>
      <c r="AU14" s="238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44"/>
    </row>
    <row r="15" spans="2:58" ht="13" customHeight="1" x14ac:dyDescent="0.25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238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38"/>
      <c r="Y15" s="233"/>
      <c r="Z15" s="233"/>
      <c r="AA15" s="233"/>
      <c r="AB15" s="233"/>
      <c r="AC15" s="233"/>
      <c r="AD15" s="233"/>
      <c r="AE15" s="233"/>
      <c r="AF15" s="233"/>
      <c r="AG15" s="233"/>
      <c r="AH15" s="234"/>
      <c r="AI15" s="238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4"/>
      <c r="AU15" s="238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44"/>
    </row>
    <row r="16" spans="2:58" ht="13" customHeight="1" x14ac:dyDescent="0.25">
      <c r="B16" s="232"/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8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38"/>
      <c r="Y16" s="233"/>
      <c r="Z16" s="233"/>
      <c r="AA16" s="233"/>
      <c r="AB16" s="233"/>
      <c r="AC16" s="233"/>
      <c r="AD16" s="233"/>
      <c r="AE16" s="233"/>
      <c r="AF16" s="233"/>
      <c r="AG16" s="233"/>
      <c r="AH16" s="234"/>
      <c r="AI16" s="238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4"/>
      <c r="AU16" s="238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44"/>
    </row>
    <row r="17" spans="2:58" ht="13" customHeight="1" x14ac:dyDescent="0.25"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22"/>
      <c r="M17" s="239"/>
      <c r="N17" s="236"/>
      <c r="O17" s="236"/>
      <c r="P17" s="236"/>
      <c r="Q17" s="236"/>
      <c r="R17" s="236"/>
      <c r="S17" s="236"/>
      <c r="T17" s="236"/>
      <c r="U17" s="236"/>
      <c r="V17" s="236"/>
      <c r="W17" s="222"/>
      <c r="X17" s="239"/>
      <c r="Y17" s="236"/>
      <c r="Z17" s="236"/>
      <c r="AA17" s="236"/>
      <c r="AB17" s="236"/>
      <c r="AC17" s="236"/>
      <c r="AD17" s="236"/>
      <c r="AE17" s="236"/>
      <c r="AF17" s="236"/>
      <c r="AG17" s="236"/>
      <c r="AH17" s="222"/>
      <c r="AI17" s="239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22"/>
      <c r="AU17" s="239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45"/>
    </row>
    <row r="18" spans="2:58" ht="13" customHeight="1" x14ac:dyDescent="0.25">
      <c r="B18" s="249" t="s">
        <v>241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250" t="s">
        <v>242</v>
      </c>
      <c r="N18" s="175"/>
      <c r="O18" s="175"/>
      <c r="P18" s="175"/>
      <c r="Q18" s="175"/>
      <c r="R18" s="175"/>
      <c r="S18" s="175"/>
      <c r="T18" s="175"/>
      <c r="U18" s="175"/>
      <c r="V18" s="175"/>
      <c r="W18" s="176"/>
      <c r="X18" s="248" t="s">
        <v>243</v>
      </c>
      <c r="Y18" s="175"/>
      <c r="Z18" s="175"/>
      <c r="AA18" s="175"/>
      <c r="AB18" s="175"/>
      <c r="AC18" s="175"/>
      <c r="AD18" s="175"/>
      <c r="AE18" s="175"/>
      <c r="AF18" s="175"/>
      <c r="AG18" s="175"/>
      <c r="AH18" s="176"/>
      <c r="AI18" s="170" t="s">
        <v>244</v>
      </c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6"/>
      <c r="AU18" s="172" t="s">
        <v>245</v>
      </c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254"/>
    </row>
    <row r="19" spans="2:58" ht="13" customHeight="1" x14ac:dyDescent="0.25">
      <c r="B19" s="229"/>
      <c r="C19" s="230"/>
      <c r="D19" s="230"/>
      <c r="E19" s="230"/>
      <c r="F19" s="230"/>
      <c r="G19" s="230"/>
      <c r="H19" s="230"/>
      <c r="I19" s="230"/>
      <c r="J19" s="230"/>
      <c r="K19" s="230"/>
      <c r="L19" s="231"/>
      <c r="M19" s="247"/>
      <c r="N19" s="230"/>
      <c r="O19" s="230"/>
      <c r="P19" s="230"/>
      <c r="Q19" s="230"/>
      <c r="R19" s="230"/>
      <c r="S19" s="230"/>
      <c r="T19" s="230"/>
      <c r="U19" s="230"/>
      <c r="V19" s="230"/>
      <c r="W19" s="231"/>
      <c r="X19" s="264"/>
      <c r="Y19" s="230"/>
      <c r="Z19" s="230"/>
      <c r="AA19" s="230"/>
      <c r="AB19" s="230"/>
      <c r="AC19" s="230"/>
      <c r="AD19" s="230"/>
      <c r="AE19" s="230"/>
      <c r="AF19" s="230"/>
      <c r="AG19" s="230"/>
      <c r="AH19" s="231"/>
      <c r="AI19" s="241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1"/>
      <c r="AU19" s="246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43"/>
    </row>
    <row r="20" spans="2:58" ht="13" customHeight="1" x14ac:dyDescent="0.25">
      <c r="B20" s="232"/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8"/>
      <c r="N20" s="233"/>
      <c r="O20" s="233"/>
      <c r="P20" s="233"/>
      <c r="Q20" s="233"/>
      <c r="R20" s="233"/>
      <c r="S20" s="233"/>
      <c r="T20" s="233"/>
      <c r="U20" s="233"/>
      <c r="V20" s="233"/>
      <c r="W20" s="234"/>
      <c r="X20" s="238"/>
      <c r="Y20" s="233"/>
      <c r="Z20" s="233"/>
      <c r="AA20" s="233"/>
      <c r="AB20" s="233"/>
      <c r="AC20" s="233"/>
      <c r="AD20" s="233"/>
      <c r="AE20" s="233"/>
      <c r="AF20" s="233"/>
      <c r="AG20" s="233"/>
      <c r="AH20" s="234"/>
      <c r="AI20" s="238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4"/>
      <c r="AU20" s="238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44"/>
    </row>
    <row r="21" spans="2:58" ht="13" customHeight="1" x14ac:dyDescent="0.25">
      <c r="B21" s="232"/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8"/>
      <c r="N21" s="233"/>
      <c r="O21" s="233"/>
      <c r="P21" s="233"/>
      <c r="Q21" s="233"/>
      <c r="R21" s="233"/>
      <c r="S21" s="233"/>
      <c r="T21" s="233"/>
      <c r="U21" s="233"/>
      <c r="V21" s="233"/>
      <c r="W21" s="234"/>
      <c r="X21" s="238"/>
      <c r="Y21" s="233"/>
      <c r="Z21" s="233"/>
      <c r="AA21" s="233"/>
      <c r="AB21" s="233"/>
      <c r="AC21" s="233"/>
      <c r="AD21" s="233"/>
      <c r="AE21" s="233"/>
      <c r="AF21" s="233"/>
      <c r="AG21" s="233"/>
      <c r="AH21" s="234"/>
      <c r="AI21" s="238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4"/>
      <c r="AU21" s="238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44"/>
    </row>
    <row r="22" spans="2:58" ht="13" customHeight="1" x14ac:dyDescent="0.25">
      <c r="B22" s="232"/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8"/>
      <c r="N22" s="233"/>
      <c r="O22" s="233"/>
      <c r="P22" s="233"/>
      <c r="Q22" s="233"/>
      <c r="R22" s="233"/>
      <c r="S22" s="233"/>
      <c r="T22" s="233"/>
      <c r="U22" s="233"/>
      <c r="V22" s="233"/>
      <c r="W22" s="234"/>
      <c r="X22" s="238"/>
      <c r="Y22" s="233"/>
      <c r="Z22" s="233"/>
      <c r="AA22" s="233"/>
      <c r="AB22" s="233"/>
      <c r="AC22" s="233"/>
      <c r="AD22" s="233"/>
      <c r="AE22" s="233"/>
      <c r="AF22" s="233"/>
      <c r="AG22" s="233"/>
      <c r="AH22" s="234"/>
      <c r="AI22" s="238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4"/>
      <c r="AU22" s="238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44"/>
    </row>
    <row r="23" spans="2:58" ht="13" customHeight="1" x14ac:dyDescent="0.25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8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38"/>
      <c r="Y23" s="233"/>
      <c r="Z23" s="233"/>
      <c r="AA23" s="233"/>
      <c r="AB23" s="233"/>
      <c r="AC23" s="233"/>
      <c r="AD23" s="233"/>
      <c r="AE23" s="233"/>
      <c r="AF23" s="233"/>
      <c r="AG23" s="233"/>
      <c r="AH23" s="234"/>
      <c r="AI23" s="238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4"/>
      <c r="AU23" s="238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44"/>
    </row>
    <row r="24" spans="2:58" ht="13" customHeight="1" x14ac:dyDescent="0.25"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22"/>
      <c r="M24" s="239"/>
      <c r="N24" s="236"/>
      <c r="O24" s="236"/>
      <c r="P24" s="236"/>
      <c r="Q24" s="236"/>
      <c r="R24" s="236"/>
      <c r="S24" s="236"/>
      <c r="T24" s="236"/>
      <c r="U24" s="236"/>
      <c r="V24" s="236"/>
      <c r="W24" s="222"/>
      <c r="X24" s="239"/>
      <c r="Y24" s="236"/>
      <c r="Z24" s="236"/>
      <c r="AA24" s="236"/>
      <c r="AB24" s="236"/>
      <c r="AC24" s="236"/>
      <c r="AD24" s="236"/>
      <c r="AE24" s="236"/>
      <c r="AF24" s="236"/>
      <c r="AG24" s="236"/>
      <c r="AH24" s="222"/>
      <c r="AI24" s="239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22"/>
      <c r="AU24" s="239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45"/>
    </row>
    <row r="25" spans="2:58" ht="13" customHeight="1" x14ac:dyDescent="0.25">
      <c r="B25" s="249" t="s">
        <v>246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6"/>
      <c r="M25" s="187" t="s">
        <v>247</v>
      </c>
      <c r="N25" s="175"/>
      <c r="O25" s="175"/>
      <c r="P25" s="175"/>
      <c r="Q25" s="175"/>
      <c r="R25" s="175"/>
      <c r="S25" s="175"/>
      <c r="T25" s="175"/>
      <c r="U25" s="175"/>
      <c r="V25" s="175"/>
      <c r="W25" s="176"/>
      <c r="X25" s="253" t="s">
        <v>248</v>
      </c>
      <c r="Y25" s="175"/>
      <c r="Z25" s="175"/>
      <c r="AA25" s="175"/>
      <c r="AB25" s="175"/>
      <c r="AC25" s="175"/>
      <c r="AD25" s="175"/>
      <c r="AE25" s="175"/>
      <c r="AF25" s="175"/>
      <c r="AG25" s="175"/>
      <c r="AH25" s="176"/>
      <c r="AI25" s="172" t="s">
        <v>249</v>
      </c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6"/>
      <c r="AU25" s="172" t="s">
        <v>250</v>
      </c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254"/>
    </row>
    <row r="26" spans="2:58" ht="13" customHeight="1" x14ac:dyDescent="0.25">
      <c r="B26" s="229"/>
      <c r="C26" s="230"/>
      <c r="D26" s="230"/>
      <c r="E26" s="230"/>
      <c r="F26" s="230"/>
      <c r="G26" s="230"/>
      <c r="H26" s="230"/>
      <c r="I26" s="230"/>
      <c r="J26" s="230"/>
      <c r="K26" s="230"/>
      <c r="L26" s="231"/>
      <c r="M26" s="251"/>
      <c r="N26" s="230"/>
      <c r="O26" s="230"/>
      <c r="P26" s="230"/>
      <c r="Q26" s="230"/>
      <c r="R26" s="230"/>
      <c r="S26" s="230"/>
      <c r="T26" s="230"/>
      <c r="U26" s="230"/>
      <c r="V26" s="230"/>
      <c r="W26" s="231"/>
      <c r="X26" s="240"/>
      <c r="Y26" s="230"/>
      <c r="Z26" s="230"/>
      <c r="AA26" s="230"/>
      <c r="AB26" s="230"/>
      <c r="AC26" s="230"/>
      <c r="AD26" s="230"/>
      <c r="AE26" s="230"/>
      <c r="AF26" s="230"/>
      <c r="AG26" s="230"/>
      <c r="AH26" s="231"/>
      <c r="AI26" s="246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1"/>
      <c r="AU26" s="246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43"/>
    </row>
    <row r="27" spans="2:58" ht="13" customHeight="1" x14ac:dyDescent="0.25">
      <c r="B27" s="232"/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8"/>
      <c r="N27" s="233"/>
      <c r="O27" s="233"/>
      <c r="P27" s="233"/>
      <c r="Q27" s="233"/>
      <c r="R27" s="233"/>
      <c r="S27" s="233"/>
      <c r="T27" s="233"/>
      <c r="U27" s="233"/>
      <c r="V27" s="233"/>
      <c r="W27" s="234"/>
      <c r="X27" s="238"/>
      <c r="Y27" s="233"/>
      <c r="Z27" s="233"/>
      <c r="AA27" s="233"/>
      <c r="AB27" s="233"/>
      <c r="AC27" s="233"/>
      <c r="AD27" s="233"/>
      <c r="AE27" s="233"/>
      <c r="AF27" s="233"/>
      <c r="AG27" s="233"/>
      <c r="AH27" s="234"/>
      <c r="AI27" s="238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4"/>
      <c r="AU27" s="238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44"/>
    </row>
    <row r="28" spans="2:58" ht="13" customHeight="1" x14ac:dyDescent="0.25">
      <c r="B28" s="232"/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8"/>
      <c r="N28" s="233"/>
      <c r="O28" s="233"/>
      <c r="P28" s="233"/>
      <c r="Q28" s="233"/>
      <c r="R28" s="233"/>
      <c r="S28" s="233"/>
      <c r="T28" s="233"/>
      <c r="U28" s="233"/>
      <c r="V28" s="233"/>
      <c r="W28" s="234"/>
      <c r="X28" s="238"/>
      <c r="Y28" s="233"/>
      <c r="Z28" s="233"/>
      <c r="AA28" s="233"/>
      <c r="AB28" s="233"/>
      <c r="AC28" s="233"/>
      <c r="AD28" s="233"/>
      <c r="AE28" s="233"/>
      <c r="AF28" s="233"/>
      <c r="AG28" s="233"/>
      <c r="AH28" s="234"/>
      <c r="AI28" s="238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4"/>
      <c r="AU28" s="238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44"/>
    </row>
    <row r="29" spans="2:58" ht="13" customHeight="1" x14ac:dyDescent="0.2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8"/>
      <c r="N29" s="233"/>
      <c r="O29" s="233"/>
      <c r="P29" s="233"/>
      <c r="Q29" s="233"/>
      <c r="R29" s="233"/>
      <c r="S29" s="233"/>
      <c r="T29" s="233"/>
      <c r="U29" s="233"/>
      <c r="V29" s="233"/>
      <c r="W29" s="234"/>
      <c r="X29" s="238"/>
      <c r="Y29" s="233"/>
      <c r="Z29" s="233"/>
      <c r="AA29" s="233"/>
      <c r="AB29" s="233"/>
      <c r="AC29" s="233"/>
      <c r="AD29" s="233"/>
      <c r="AE29" s="233"/>
      <c r="AF29" s="233"/>
      <c r="AG29" s="233"/>
      <c r="AH29" s="234"/>
      <c r="AI29" s="238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4"/>
      <c r="AU29" s="238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44"/>
    </row>
    <row r="30" spans="2:58" ht="13" customHeight="1" x14ac:dyDescent="0.2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8"/>
      <c r="N30" s="233"/>
      <c r="O30" s="233"/>
      <c r="P30" s="233"/>
      <c r="Q30" s="233"/>
      <c r="R30" s="233"/>
      <c r="S30" s="233"/>
      <c r="T30" s="233"/>
      <c r="U30" s="233"/>
      <c r="V30" s="233"/>
      <c r="W30" s="234"/>
      <c r="X30" s="238"/>
      <c r="Y30" s="233"/>
      <c r="Z30" s="233"/>
      <c r="AA30" s="233"/>
      <c r="AB30" s="233"/>
      <c r="AC30" s="233"/>
      <c r="AD30" s="233"/>
      <c r="AE30" s="233"/>
      <c r="AF30" s="233"/>
      <c r="AG30" s="233"/>
      <c r="AH30" s="234"/>
      <c r="AI30" s="238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4"/>
      <c r="AU30" s="238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44"/>
    </row>
    <row r="31" spans="2:58" ht="13" customHeight="1" x14ac:dyDescent="0.2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22"/>
      <c r="M31" s="239"/>
      <c r="N31" s="236"/>
      <c r="O31" s="236"/>
      <c r="P31" s="236"/>
      <c r="Q31" s="236"/>
      <c r="R31" s="236"/>
      <c r="S31" s="236"/>
      <c r="T31" s="236"/>
      <c r="U31" s="236"/>
      <c r="V31" s="236"/>
      <c r="W31" s="222"/>
      <c r="X31" s="239"/>
      <c r="Y31" s="236"/>
      <c r="Z31" s="236"/>
      <c r="AA31" s="236"/>
      <c r="AB31" s="236"/>
      <c r="AC31" s="236"/>
      <c r="AD31" s="236"/>
      <c r="AE31" s="236"/>
      <c r="AF31" s="236"/>
      <c r="AG31" s="236"/>
      <c r="AH31" s="222"/>
      <c r="AI31" s="239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22"/>
      <c r="AU31" s="239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45"/>
    </row>
    <row r="32" spans="2:58" ht="13" customHeight="1" x14ac:dyDescent="0.25">
      <c r="B32" s="249" t="s">
        <v>251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6"/>
      <c r="M32" s="252" t="s">
        <v>252</v>
      </c>
      <c r="N32" s="175"/>
      <c r="O32" s="175"/>
      <c r="P32" s="175"/>
      <c r="Q32" s="175"/>
      <c r="R32" s="175"/>
      <c r="S32" s="175"/>
      <c r="T32" s="175"/>
      <c r="U32" s="175"/>
      <c r="V32" s="175"/>
      <c r="W32" s="176"/>
      <c r="X32" s="253" t="s">
        <v>253</v>
      </c>
      <c r="Y32" s="175"/>
      <c r="Z32" s="175"/>
      <c r="AA32" s="175"/>
      <c r="AB32" s="175"/>
      <c r="AC32" s="175"/>
      <c r="AD32" s="175"/>
      <c r="AE32" s="175"/>
      <c r="AF32" s="175"/>
      <c r="AG32" s="175"/>
      <c r="AH32" s="176"/>
      <c r="AI32" s="172" t="s">
        <v>254</v>
      </c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6"/>
      <c r="AU32" s="172" t="s">
        <v>255</v>
      </c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254"/>
    </row>
    <row r="33" spans="2:58" ht="13" customHeight="1" x14ac:dyDescent="0.2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37"/>
      <c r="N33" s="230"/>
      <c r="O33" s="230"/>
      <c r="P33" s="230"/>
      <c r="Q33" s="230"/>
      <c r="R33" s="230"/>
      <c r="S33" s="230"/>
      <c r="T33" s="230"/>
      <c r="U33" s="230"/>
      <c r="V33" s="230"/>
      <c r="W33" s="231"/>
      <c r="X33" s="240"/>
      <c r="Y33" s="230"/>
      <c r="Z33" s="230"/>
      <c r="AA33" s="230"/>
      <c r="AB33" s="230"/>
      <c r="AC33" s="230"/>
      <c r="AD33" s="230"/>
      <c r="AE33" s="230"/>
      <c r="AF33" s="230"/>
      <c r="AG33" s="230"/>
      <c r="AH33" s="231"/>
      <c r="AI33" s="246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1"/>
      <c r="AU33" s="246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43"/>
    </row>
    <row r="34" spans="2:58" ht="13" customHeight="1" x14ac:dyDescent="0.2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238"/>
      <c r="N34" s="233"/>
      <c r="O34" s="233"/>
      <c r="P34" s="233"/>
      <c r="Q34" s="233"/>
      <c r="R34" s="233"/>
      <c r="S34" s="233"/>
      <c r="T34" s="233"/>
      <c r="U34" s="233"/>
      <c r="V34" s="233"/>
      <c r="W34" s="234"/>
      <c r="X34" s="238"/>
      <c r="Y34" s="233"/>
      <c r="Z34" s="233"/>
      <c r="AA34" s="233"/>
      <c r="AB34" s="233"/>
      <c r="AC34" s="233"/>
      <c r="AD34" s="233"/>
      <c r="AE34" s="233"/>
      <c r="AF34" s="233"/>
      <c r="AG34" s="233"/>
      <c r="AH34" s="234"/>
      <c r="AI34" s="238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4"/>
      <c r="AU34" s="238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44"/>
    </row>
    <row r="35" spans="2:58" ht="13" customHeight="1" x14ac:dyDescent="0.2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38"/>
      <c r="N35" s="233"/>
      <c r="O35" s="233"/>
      <c r="P35" s="233"/>
      <c r="Q35" s="233"/>
      <c r="R35" s="233"/>
      <c r="S35" s="233"/>
      <c r="T35" s="233"/>
      <c r="U35" s="233"/>
      <c r="V35" s="233"/>
      <c r="W35" s="234"/>
      <c r="X35" s="238"/>
      <c r="Y35" s="233"/>
      <c r="Z35" s="233"/>
      <c r="AA35" s="233"/>
      <c r="AB35" s="233"/>
      <c r="AC35" s="233"/>
      <c r="AD35" s="233"/>
      <c r="AE35" s="233"/>
      <c r="AF35" s="233"/>
      <c r="AG35" s="233"/>
      <c r="AH35" s="234"/>
      <c r="AI35" s="238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4"/>
      <c r="AU35" s="238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44"/>
    </row>
    <row r="36" spans="2:58" ht="13" customHeight="1" x14ac:dyDescent="0.2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38"/>
      <c r="N36" s="233"/>
      <c r="O36" s="233"/>
      <c r="P36" s="233"/>
      <c r="Q36" s="233"/>
      <c r="R36" s="233"/>
      <c r="S36" s="233"/>
      <c r="T36" s="233"/>
      <c r="U36" s="233"/>
      <c r="V36" s="233"/>
      <c r="W36" s="234"/>
      <c r="X36" s="238"/>
      <c r="Y36" s="233"/>
      <c r="Z36" s="233"/>
      <c r="AA36" s="233"/>
      <c r="AB36" s="233"/>
      <c r="AC36" s="233"/>
      <c r="AD36" s="233"/>
      <c r="AE36" s="233"/>
      <c r="AF36" s="233"/>
      <c r="AG36" s="233"/>
      <c r="AH36" s="234"/>
      <c r="AI36" s="238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4"/>
      <c r="AU36" s="238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44"/>
    </row>
    <row r="37" spans="2:58" ht="13" customHeight="1" x14ac:dyDescent="0.2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38"/>
      <c r="N37" s="233"/>
      <c r="O37" s="233"/>
      <c r="P37" s="233"/>
      <c r="Q37" s="233"/>
      <c r="R37" s="233"/>
      <c r="S37" s="233"/>
      <c r="T37" s="233"/>
      <c r="U37" s="233"/>
      <c r="V37" s="233"/>
      <c r="W37" s="234"/>
      <c r="X37" s="238"/>
      <c r="Y37" s="233"/>
      <c r="Z37" s="233"/>
      <c r="AA37" s="233"/>
      <c r="AB37" s="233"/>
      <c r="AC37" s="233"/>
      <c r="AD37" s="233"/>
      <c r="AE37" s="233"/>
      <c r="AF37" s="233"/>
      <c r="AG37" s="233"/>
      <c r="AH37" s="234"/>
      <c r="AI37" s="238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4"/>
      <c r="AU37" s="238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44"/>
    </row>
    <row r="38" spans="2:58" ht="13" customHeight="1" x14ac:dyDescent="0.25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22"/>
      <c r="M38" s="239"/>
      <c r="N38" s="236"/>
      <c r="O38" s="236"/>
      <c r="P38" s="236"/>
      <c r="Q38" s="236"/>
      <c r="R38" s="236"/>
      <c r="S38" s="236"/>
      <c r="T38" s="236"/>
      <c r="U38" s="236"/>
      <c r="V38" s="236"/>
      <c r="W38" s="222"/>
      <c r="X38" s="239"/>
      <c r="Y38" s="236"/>
      <c r="Z38" s="236"/>
      <c r="AA38" s="236"/>
      <c r="AB38" s="236"/>
      <c r="AC38" s="236"/>
      <c r="AD38" s="236"/>
      <c r="AE38" s="236"/>
      <c r="AF38" s="236"/>
      <c r="AG38" s="236"/>
      <c r="AH38" s="222"/>
      <c r="AI38" s="239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22"/>
      <c r="AU38" s="239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45"/>
    </row>
    <row r="39" spans="2:58" ht="13" customHeight="1" x14ac:dyDescent="0.25">
      <c r="B39" s="249" t="s">
        <v>256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6"/>
      <c r="M39" s="252" t="s">
        <v>257</v>
      </c>
      <c r="N39" s="175"/>
      <c r="O39" s="175"/>
      <c r="P39" s="175"/>
      <c r="Q39" s="175"/>
      <c r="R39" s="175"/>
      <c r="S39" s="175"/>
      <c r="T39" s="175"/>
      <c r="U39" s="175"/>
      <c r="V39" s="175"/>
      <c r="W39" s="176"/>
      <c r="X39" s="253" t="s">
        <v>258</v>
      </c>
      <c r="Y39" s="175"/>
      <c r="Z39" s="175"/>
      <c r="AA39" s="175"/>
      <c r="AB39" s="175"/>
      <c r="AC39" s="175"/>
      <c r="AD39" s="175"/>
      <c r="AE39" s="175"/>
      <c r="AF39" s="175"/>
      <c r="AG39" s="175"/>
      <c r="AH39" s="176"/>
      <c r="AI39" s="172" t="s">
        <v>259</v>
      </c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6"/>
      <c r="AU39" s="172" t="s">
        <v>260</v>
      </c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254"/>
    </row>
    <row r="40" spans="2:58" ht="13" customHeight="1" x14ac:dyDescent="0.25">
      <c r="B40" s="229"/>
      <c r="C40" s="230"/>
      <c r="D40" s="230"/>
      <c r="E40" s="230"/>
      <c r="F40" s="230"/>
      <c r="G40" s="230"/>
      <c r="H40" s="230"/>
      <c r="I40" s="230"/>
      <c r="J40" s="230"/>
      <c r="K40" s="230"/>
      <c r="L40" s="231"/>
      <c r="M40" s="237"/>
      <c r="N40" s="230"/>
      <c r="O40" s="230"/>
      <c r="P40" s="230"/>
      <c r="Q40" s="230"/>
      <c r="R40" s="230"/>
      <c r="S40" s="230"/>
      <c r="T40" s="230"/>
      <c r="U40" s="230"/>
      <c r="V40" s="230"/>
      <c r="W40" s="231"/>
      <c r="X40" s="240"/>
      <c r="Y40" s="230"/>
      <c r="Z40" s="230"/>
      <c r="AA40" s="230"/>
      <c r="AB40" s="230"/>
      <c r="AC40" s="230"/>
      <c r="AD40" s="230"/>
      <c r="AE40" s="230"/>
      <c r="AF40" s="230"/>
      <c r="AG40" s="230"/>
      <c r="AH40" s="231"/>
      <c r="AI40" s="246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1"/>
      <c r="AU40" s="246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43"/>
    </row>
    <row r="41" spans="2:58" ht="13" customHeight="1" x14ac:dyDescent="0.25">
      <c r="B41" s="232"/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238"/>
      <c r="N41" s="233"/>
      <c r="O41" s="233"/>
      <c r="P41" s="233"/>
      <c r="Q41" s="233"/>
      <c r="R41" s="233"/>
      <c r="S41" s="233"/>
      <c r="T41" s="233"/>
      <c r="U41" s="233"/>
      <c r="V41" s="233"/>
      <c r="W41" s="234"/>
      <c r="X41" s="238"/>
      <c r="Y41" s="233"/>
      <c r="Z41" s="233"/>
      <c r="AA41" s="233"/>
      <c r="AB41" s="233"/>
      <c r="AC41" s="233"/>
      <c r="AD41" s="233"/>
      <c r="AE41" s="233"/>
      <c r="AF41" s="233"/>
      <c r="AG41" s="233"/>
      <c r="AH41" s="234"/>
      <c r="AI41" s="238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4"/>
      <c r="AU41" s="238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44"/>
    </row>
    <row r="42" spans="2:58" ht="13" customHeight="1" x14ac:dyDescent="0.25">
      <c r="B42" s="232"/>
      <c r="C42" s="233"/>
      <c r="D42" s="233"/>
      <c r="E42" s="233"/>
      <c r="F42" s="233"/>
      <c r="G42" s="233"/>
      <c r="H42" s="233"/>
      <c r="I42" s="233"/>
      <c r="J42" s="233"/>
      <c r="K42" s="233"/>
      <c r="L42" s="234"/>
      <c r="M42" s="238"/>
      <c r="N42" s="233"/>
      <c r="O42" s="233"/>
      <c r="P42" s="233"/>
      <c r="Q42" s="233"/>
      <c r="R42" s="233"/>
      <c r="S42" s="233"/>
      <c r="T42" s="233"/>
      <c r="U42" s="233"/>
      <c r="V42" s="233"/>
      <c r="W42" s="234"/>
      <c r="X42" s="238"/>
      <c r="Y42" s="233"/>
      <c r="Z42" s="233"/>
      <c r="AA42" s="233"/>
      <c r="AB42" s="233"/>
      <c r="AC42" s="233"/>
      <c r="AD42" s="233"/>
      <c r="AE42" s="233"/>
      <c r="AF42" s="233"/>
      <c r="AG42" s="233"/>
      <c r="AH42" s="234"/>
      <c r="AI42" s="238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4"/>
      <c r="AU42" s="238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44"/>
    </row>
    <row r="43" spans="2:58" ht="13" customHeight="1" x14ac:dyDescent="0.25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4"/>
      <c r="M43" s="238"/>
      <c r="N43" s="233"/>
      <c r="O43" s="233"/>
      <c r="P43" s="233"/>
      <c r="Q43" s="233"/>
      <c r="R43" s="233"/>
      <c r="S43" s="233"/>
      <c r="T43" s="233"/>
      <c r="U43" s="233"/>
      <c r="V43" s="233"/>
      <c r="W43" s="234"/>
      <c r="X43" s="238"/>
      <c r="Y43" s="233"/>
      <c r="Z43" s="233"/>
      <c r="AA43" s="233"/>
      <c r="AB43" s="233"/>
      <c r="AC43" s="233"/>
      <c r="AD43" s="233"/>
      <c r="AE43" s="233"/>
      <c r="AF43" s="233"/>
      <c r="AG43" s="233"/>
      <c r="AH43" s="234"/>
      <c r="AI43" s="238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4"/>
      <c r="AU43" s="238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44"/>
    </row>
    <row r="44" spans="2:58" ht="13" customHeight="1" x14ac:dyDescent="0.25">
      <c r="B44" s="232"/>
      <c r="C44" s="233"/>
      <c r="D44" s="233"/>
      <c r="E44" s="233"/>
      <c r="F44" s="233"/>
      <c r="G44" s="233"/>
      <c r="H44" s="233"/>
      <c r="I44" s="233"/>
      <c r="J44" s="233"/>
      <c r="K44" s="233"/>
      <c r="L44" s="234"/>
      <c r="M44" s="238"/>
      <c r="N44" s="233"/>
      <c r="O44" s="233"/>
      <c r="P44" s="233"/>
      <c r="Q44" s="233"/>
      <c r="R44" s="233"/>
      <c r="S44" s="233"/>
      <c r="T44" s="233"/>
      <c r="U44" s="233"/>
      <c r="V44" s="233"/>
      <c r="W44" s="234"/>
      <c r="X44" s="238"/>
      <c r="Y44" s="233"/>
      <c r="Z44" s="233"/>
      <c r="AA44" s="233"/>
      <c r="AB44" s="233"/>
      <c r="AC44" s="233"/>
      <c r="AD44" s="233"/>
      <c r="AE44" s="233"/>
      <c r="AF44" s="233"/>
      <c r="AG44" s="233"/>
      <c r="AH44" s="234"/>
      <c r="AI44" s="238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4"/>
      <c r="AU44" s="238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44"/>
    </row>
    <row r="45" spans="2:58" ht="13" customHeight="1" x14ac:dyDescent="0.25"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22"/>
      <c r="M45" s="239"/>
      <c r="N45" s="236"/>
      <c r="O45" s="236"/>
      <c r="P45" s="236"/>
      <c r="Q45" s="236"/>
      <c r="R45" s="236"/>
      <c r="S45" s="236"/>
      <c r="T45" s="236"/>
      <c r="U45" s="236"/>
      <c r="V45" s="236"/>
      <c r="W45" s="222"/>
      <c r="X45" s="239"/>
      <c r="Y45" s="236"/>
      <c r="Z45" s="236"/>
      <c r="AA45" s="236"/>
      <c r="AB45" s="236"/>
      <c r="AC45" s="236"/>
      <c r="AD45" s="236"/>
      <c r="AE45" s="236"/>
      <c r="AF45" s="236"/>
      <c r="AG45" s="236"/>
      <c r="AH45" s="222"/>
      <c r="AI45" s="239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22"/>
      <c r="AU45" s="239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45"/>
    </row>
    <row r="46" spans="2:58" ht="13" customHeight="1" x14ac:dyDescent="0.25">
      <c r="B46" s="249" t="s">
        <v>261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6"/>
      <c r="M46" s="187" t="s">
        <v>262</v>
      </c>
      <c r="N46" s="175"/>
      <c r="O46" s="175"/>
      <c r="P46" s="175"/>
      <c r="Q46" s="175"/>
      <c r="R46" s="175"/>
      <c r="S46" s="175"/>
      <c r="T46" s="175"/>
      <c r="U46" s="175"/>
      <c r="V46" s="175"/>
      <c r="W46" s="176"/>
      <c r="X46" s="253" t="s">
        <v>263</v>
      </c>
      <c r="Y46" s="175"/>
      <c r="Z46" s="175"/>
      <c r="AA46" s="175"/>
      <c r="AB46" s="175"/>
      <c r="AC46" s="175"/>
      <c r="AD46" s="175"/>
      <c r="AE46" s="175"/>
      <c r="AF46" s="175"/>
      <c r="AG46" s="175"/>
      <c r="AH46" s="176"/>
      <c r="AI46" s="172" t="s">
        <v>264</v>
      </c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6"/>
      <c r="AU46" s="172" t="s">
        <v>265</v>
      </c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254"/>
    </row>
    <row r="47" spans="2:58" ht="13" customHeight="1" x14ac:dyDescent="0.25">
      <c r="B47" s="229"/>
      <c r="C47" s="230"/>
      <c r="D47" s="230"/>
      <c r="E47" s="230"/>
      <c r="F47" s="230"/>
      <c r="G47" s="230"/>
      <c r="H47" s="230"/>
      <c r="I47" s="230"/>
      <c r="J47" s="230"/>
      <c r="K47" s="230"/>
      <c r="L47" s="231"/>
      <c r="M47" s="237"/>
      <c r="N47" s="230"/>
      <c r="O47" s="230"/>
      <c r="P47" s="230"/>
      <c r="Q47" s="230"/>
      <c r="R47" s="230"/>
      <c r="S47" s="230"/>
      <c r="T47" s="230"/>
      <c r="U47" s="230"/>
      <c r="V47" s="230"/>
      <c r="W47" s="231"/>
      <c r="X47" s="240"/>
      <c r="Y47" s="230"/>
      <c r="Z47" s="230"/>
      <c r="AA47" s="230"/>
      <c r="AB47" s="230"/>
      <c r="AC47" s="230"/>
      <c r="AD47" s="230"/>
      <c r="AE47" s="230"/>
      <c r="AF47" s="230"/>
      <c r="AG47" s="230"/>
      <c r="AH47" s="231"/>
      <c r="AI47" s="246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1"/>
      <c r="AU47" s="246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43"/>
    </row>
    <row r="48" spans="2:58" ht="13" customHeight="1" x14ac:dyDescent="0.25">
      <c r="B48" s="232"/>
      <c r="C48" s="233"/>
      <c r="D48" s="233"/>
      <c r="E48" s="233"/>
      <c r="F48" s="233"/>
      <c r="G48" s="233"/>
      <c r="H48" s="233"/>
      <c r="I48" s="233"/>
      <c r="J48" s="233"/>
      <c r="K48" s="233"/>
      <c r="L48" s="234"/>
      <c r="M48" s="238"/>
      <c r="N48" s="233"/>
      <c r="O48" s="233"/>
      <c r="P48" s="233"/>
      <c r="Q48" s="233"/>
      <c r="R48" s="233"/>
      <c r="S48" s="233"/>
      <c r="T48" s="233"/>
      <c r="U48" s="233"/>
      <c r="V48" s="233"/>
      <c r="W48" s="234"/>
      <c r="X48" s="238"/>
      <c r="Y48" s="233"/>
      <c r="Z48" s="233"/>
      <c r="AA48" s="233"/>
      <c r="AB48" s="233"/>
      <c r="AC48" s="233"/>
      <c r="AD48" s="233"/>
      <c r="AE48" s="233"/>
      <c r="AF48" s="233"/>
      <c r="AG48" s="233"/>
      <c r="AH48" s="234"/>
      <c r="AI48" s="238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4"/>
      <c r="AU48" s="238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44"/>
    </row>
    <row r="49" spans="2:58" ht="13" customHeight="1" x14ac:dyDescent="0.25">
      <c r="B49" s="232"/>
      <c r="C49" s="233"/>
      <c r="D49" s="233"/>
      <c r="E49" s="233"/>
      <c r="F49" s="233"/>
      <c r="G49" s="233"/>
      <c r="H49" s="233"/>
      <c r="I49" s="233"/>
      <c r="J49" s="233"/>
      <c r="K49" s="233"/>
      <c r="L49" s="234"/>
      <c r="M49" s="238"/>
      <c r="N49" s="233"/>
      <c r="O49" s="233"/>
      <c r="P49" s="233"/>
      <c r="Q49" s="233"/>
      <c r="R49" s="233"/>
      <c r="S49" s="233"/>
      <c r="T49" s="233"/>
      <c r="U49" s="233"/>
      <c r="V49" s="233"/>
      <c r="W49" s="234"/>
      <c r="X49" s="238"/>
      <c r="Y49" s="233"/>
      <c r="Z49" s="233"/>
      <c r="AA49" s="233"/>
      <c r="AB49" s="233"/>
      <c r="AC49" s="233"/>
      <c r="AD49" s="233"/>
      <c r="AE49" s="233"/>
      <c r="AF49" s="233"/>
      <c r="AG49" s="233"/>
      <c r="AH49" s="234"/>
      <c r="AI49" s="238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4"/>
      <c r="AU49" s="238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44"/>
    </row>
    <row r="50" spans="2:58" ht="13" customHeight="1" x14ac:dyDescent="0.25">
      <c r="B50" s="232"/>
      <c r="C50" s="233"/>
      <c r="D50" s="233"/>
      <c r="E50" s="233"/>
      <c r="F50" s="233"/>
      <c r="G50" s="233"/>
      <c r="H50" s="233"/>
      <c r="I50" s="233"/>
      <c r="J50" s="233"/>
      <c r="K50" s="233"/>
      <c r="L50" s="234"/>
      <c r="M50" s="238"/>
      <c r="N50" s="233"/>
      <c r="O50" s="233"/>
      <c r="P50" s="233"/>
      <c r="Q50" s="233"/>
      <c r="R50" s="233"/>
      <c r="S50" s="233"/>
      <c r="T50" s="233"/>
      <c r="U50" s="233"/>
      <c r="V50" s="233"/>
      <c r="W50" s="234"/>
      <c r="X50" s="238"/>
      <c r="Y50" s="233"/>
      <c r="Z50" s="233"/>
      <c r="AA50" s="233"/>
      <c r="AB50" s="233"/>
      <c r="AC50" s="233"/>
      <c r="AD50" s="233"/>
      <c r="AE50" s="233"/>
      <c r="AF50" s="233"/>
      <c r="AG50" s="233"/>
      <c r="AH50" s="234"/>
      <c r="AI50" s="238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4"/>
      <c r="AU50" s="238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44"/>
    </row>
    <row r="51" spans="2:58" ht="13" customHeight="1" x14ac:dyDescent="0.25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4"/>
      <c r="M51" s="238"/>
      <c r="N51" s="233"/>
      <c r="O51" s="233"/>
      <c r="P51" s="233"/>
      <c r="Q51" s="233"/>
      <c r="R51" s="233"/>
      <c r="S51" s="233"/>
      <c r="T51" s="233"/>
      <c r="U51" s="233"/>
      <c r="V51" s="233"/>
      <c r="W51" s="234"/>
      <c r="X51" s="238"/>
      <c r="Y51" s="233"/>
      <c r="Z51" s="233"/>
      <c r="AA51" s="233"/>
      <c r="AB51" s="233"/>
      <c r="AC51" s="233"/>
      <c r="AD51" s="233"/>
      <c r="AE51" s="233"/>
      <c r="AF51" s="233"/>
      <c r="AG51" s="233"/>
      <c r="AH51" s="234"/>
      <c r="AI51" s="238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4"/>
      <c r="AU51" s="238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44"/>
    </row>
    <row r="52" spans="2:58" ht="13" customHeight="1" x14ac:dyDescent="0.25"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22"/>
      <c r="M52" s="239"/>
      <c r="N52" s="236"/>
      <c r="O52" s="236"/>
      <c r="P52" s="236"/>
      <c r="Q52" s="236"/>
      <c r="R52" s="236"/>
      <c r="S52" s="236"/>
      <c r="T52" s="236"/>
      <c r="U52" s="236"/>
      <c r="V52" s="236"/>
      <c r="W52" s="222"/>
      <c r="X52" s="239"/>
      <c r="Y52" s="236"/>
      <c r="Z52" s="236"/>
      <c r="AA52" s="236"/>
      <c r="AB52" s="236"/>
      <c r="AC52" s="236"/>
      <c r="AD52" s="236"/>
      <c r="AE52" s="236"/>
      <c r="AF52" s="236"/>
      <c r="AG52" s="236"/>
      <c r="AH52" s="222"/>
      <c r="AI52" s="239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22"/>
      <c r="AU52" s="239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45"/>
    </row>
    <row r="53" spans="2:58" ht="13" customHeight="1" x14ac:dyDescent="0.25">
      <c r="B53" s="249" t="s">
        <v>266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6"/>
      <c r="M53" s="252" t="s">
        <v>267</v>
      </c>
      <c r="N53" s="175"/>
      <c r="O53" s="175"/>
      <c r="P53" s="175"/>
      <c r="Q53" s="175"/>
      <c r="R53" s="175"/>
      <c r="S53" s="175"/>
      <c r="T53" s="175"/>
      <c r="U53" s="175"/>
      <c r="V53" s="175"/>
      <c r="W53" s="176"/>
      <c r="X53" s="253" t="s">
        <v>268</v>
      </c>
      <c r="Y53" s="175"/>
      <c r="Z53" s="175"/>
      <c r="AA53" s="175"/>
      <c r="AB53" s="175"/>
      <c r="AC53" s="175"/>
      <c r="AD53" s="175"/>
      <c r="AE53" s="175"/>
      <c r="AF53" s="175"/>
      <c r="AG53" s="175"/>
      <c r="AH53" s="176"/>
      <c r="AI53" s="172" t="s">
        <v>269</v>
      </c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6"/>
      <c r="AU53" s="172" t="s">
        <v>270</v>
      </c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254"/>
    </row>
    <row r="54" spans="2:58" ht="13" customHeight="1" x14ac:dyDescent="0.25">
      <c r="B54" s="229"/>
      <c r="C54" s="230"/>
      <c r="D54" s="230"/>
      <c r="E54" s="230"/>
      <c r="F54" s="230"/>
      <c r="G54" s="230"/>
      <c r="H54" s="230"/>
      <c r="I54" s="230"/>
      <c r="J54" s="230"/>
      <c r="K54" s="230"/>
      <c r="L54" s="231"/>
      <c r="M54" s="251"/>
      <c r="N54" s="230"/>
      <c r="O54" s="230"/>
      <c r="P54" s="230"/>
      <c r="Q54" s="230"/>
      <c r="R54" s="230"/>
      <c r="S54" s="230"/>
      <c r="T54" s="230"/>
      <c r="U54" s="230"/>
      <c r="V54" s="230"/>
      <c r="W54" s="231"/>
      <c r="X54" s="240"/>
      <c r="Y54" s="230"/>
      <c r="Z54" s="230"/>
      <c r="AA54" s="230"/>
      <c r="AB54" s="230"/>
      <c r="AC54" s="230"/>
      <c r="AD54" s="230"/>
      <c r="AE54" s="230"/>
      <c r="AF54" s="230"/>
      <c r="AG54" s="230"/>
      <c r="AH54" s="231"/>
      <c r="AI54" s="246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1"/>
      <c r="AU54" s="246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43"/>
    </row>
    <row r="55" spans="2:58" ht="13" customHeight="1" x14ac:dyDescent="0.25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4"/>
      <c r="M55" s="238"/>
      <c r="N55" s="233"/>
      <c r="O55" s="233"/>
      <c r="P55" s="233"/>
      <c r="Q55" s="233"/>
      <c r="R55" s="233"/>
      <c r="S55" s="233"/>
      <c r="T55" s="233"/>
      <c r="U55" s="233"/>
      <c r="V55" s="233"/>
      <c r="W55" s="234"/>
      <c r="X55" s="238"/>
      <c r="Y55" s="233"/>
      <c r="Z55" s="233"/>
      <c r="AA55" s="233"/>
      <c r="AB55" s="233"/>
      <c r="AC55" s="233"/>
      <c r="AD55" s="233"/>
      <c r="AE55" s="233"/>
      <c r="AF55" s="233"/>
      <c r="AG55" s="233"/>
      <c r="AH55" s="234"/>
      <c r="AI55" s="238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4"/>
      <c r="AU55" s="238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44"/>
    </row>
    <row r="56" spans="2:58" ht="13" customHeight="1" x14ac:dyDescent="0.25">
      <c r="B56" s="232"/>
      <c r="C56" s="233"/>
      <c r="D56" s="233"/>
      <c r="E56" s="233"/>
      <c r="F56" s="233"/>
      <c r="G56" s="233"/>
      <c r="H56" s="233"/>
      <c r="I56" s="233"/>
      <c r="J56" s="233"/>
      <c r="K56" s="233"/>
      <c r="L56" s="234"/>
      <c r="M56" s="238"/>
      <c r="N56" s="233"/>
      <c r="O56" s="233"/>
      <c r="P56" s="233"/>
      <c r="Q56" s="233"/>
      <c r="R56" s="233"/>
      <c r="S56" s="233"/>
      <c r="T56" s="233"/>
      <c r="U56" s="233"/>
      <c r="V56" s="233"/>
      <c r="W56" s="234"/>
      <c r="X56" s="238"/>
      <c r="Y56" s="233"/>
      <c r="Z56" s="233"/>
      <c r="AA56" s="233"/>
      <c r="AB56" s="233"/>
      <c r="AC56" s="233"/>
      <c r="AD56" s="233"/>
      <c r="AE56" s="233"/>
      <c r="AF56" s="233"/>
      <c r="AG56" s="233"/>
      <c r="AH56" s="234"/>
      <c r="AI56" s="238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4"/>
      <c r="AU56" s="238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44"/>
    </row>
    <row r="57" spans="2:58" ht="13" customHeight="1" x14ac:dyDescent="0.25">
      <c r="B57" s="232"/>
      <c r="C57" s="233"/>
      <c r="D57" s="233"/>
      <c r="E57" s="233"/>
      <c r="F57" s="233"/>
      <c r="G57" s="233"/>
      <c r="H57" s="233"/>
      <c r="I57" s="233"/>
      <c r="J57" s="233"/>
      <c r="K57" s="233"/>
      <c r="L57" s="234"/>
      <c r="M57" s="238"/>
      <c r="N57" s="233"/>
      <c r="O57" s="233"/>
      <c r="P57" s="233"/>
      <c r="Q57" s="233"/>
      <c r="R57" s="233"/>
      <c r="S57" s="233"/>
      <c r="T57" s="233"/>
      <c r="U57" s="233"/>
      <c r="V57" s="233"/>
      <c r="W57" s="234"/>
      <c r="X57" s="238"/>
      <c r="Y57" s="233"/>
      <c r="Z57" s="233"/>
      <c r="AA57" s="233"/>
      <c r="AB57" s="233"/>
      <c r="AC57" s="233"/>
      <c r="AD57" s="233"/>
      <c r="AE57" s="233"/>
      <c r="AF57" s="233"/>
      <c r="AG57" s="233"/>
      <c r="AH57" s="234"/>
      <c r="AI57" s="238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4"/>
      <c r="AU57" s="238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44"/>
    </row>
    <row r="58" spans="2:58" ht="13" customHeight="1" x14ac:dyDescent="0.25">
      <c r="B58" s="232"/>
      <c r="C58" s="233"/>
      <c r="D58" s="233"/>
      <c r="E58" s="233"/>
      <c r="F58" s="233"/>
      <c r="G58" s="233"/>
      <c r="H58" s="233"/>
      <c r="I58" s="233"/>
      <c r="J58" s="233"/>
      <c r="K58" s="233"/>
      <c r="L58" s="234"/>
      <c r="M58" s="238"/>
      <c r="N58" s="233"/>
      <c r="O58" s="233"/>
      <c r="P58" s="233"/>
      <c r="Q58" s="233"/>
      <c r="R58" s="233"/>
      <c r="S58" s="233"/>
      <c r="T58" s="233"/>
      <c r="U58" s="233"/>
      <c r="V58" s="233"/>
      <c r="W58" s="234"/>
      <c r="X58" s="238"/>
      <c r="Y58" s="233"/>
      <c r="Z58" s="233"/>
      <c r="AA58" s="233"/>
      <c r="AB58" s="233"/>
      <c r="AC58" s="233"/>
      <c r="AD58" s="233"/>
      <c r="AE58" s="233"/>
      <c r="AF58" s="233"/>
      <c r="AG58" s="233"/>
      <c r="AH58" s="234"/>
      <c r="AI58" s="238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4"/>
      <c r="AU58" s="238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44"/>
    </row>
    <row r="59" spans="2:58" ht="13" customHeight="1" x14ac:dyDescent="0.25">
      <c r="B59" s="255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58"/>
      <c r="N59" s="256"/>
      <c r="O59" s="256"/>
      <c r="P59" s="256"/>
      <c r="Q59" s="256"/>
      <c r="R59" s="256"/>
      <c r="S59" s="256"/>
      <c r="T59" s="256"/>
      <c r="U59" s="256"/>
      <c r="V59" s="256"/>
      <c r="W59" s="257"/>
      <c r="X59" s="258"/>
      <c r="Y59" s="256"/>
      <c r="Z59" s="256"/>
      <c r="AA59" s="256"/>
      <c r="AB59" s="256"/>
      <c r="AC59" s="256"/>
      <c r="AD59" s="256"/>
      <c r="AE59" s="256"/>
      <c r="AF59" s="256"/>
      <c r="AG59" s="256"/>
      <c r="AH59" s="257"/>
      <c r="AI59" s="258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7"/>
      <c r="AU59" s="258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9"/>
    </row>
    <row r="60" spans="2:58" ht="13" customHeight="1" x14ac:dyDescent="0.25">
      <c r="B60" s="221" t="s">
        <v>49</v>
      </c>
      <c r="C60" s="222"/>
      <c r="D60" s="9" t="s">
        <v>274</v>
      </c>
      <c r="E60" s="202" t="s">
        <v>20</v>
      </c>
      <c r="F60" s="205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8"/>
    </row>
    <row r="61" spans="2:58" ht="13" customHeight="1" x14ac:dyDescent="0.25">
      <c r="B61" s="201" t="s">
        <v>275</v>
      </c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209"/>
    </row>
    <row r="62" spans="2:58" ht="13" customHeight="1" thickBot="1" x14ac:dyDescent="0.3">
      <c r="B62" s="212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  <c r="BD62" s="210"/>
      <c r="BE62" s="210"/>
      <c r="BF62" s="21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2269-FA86-40F0-A08D-26CC67AB685A}">
  <sheetPr>
    <pageSetUpPr fitToPage="1"/>
  </sheetPr>
  <dimension ref="B1:AJ479"/>
  <sheetViews>
    <sheetView tabSelected="1"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  <col min="16161" max="16384" width="8.81640625" style="45"/>
  </cols>
  <sheetData>
    <row r="1" spans="2:36" ht="10" customHeight="1" x14ac:dyDescent="0.25"/>
    <row r="2" spans="2:36" ht="35.4" customHeight="1" thickBot="1" x14ac:dyDescent="0.3">
      <c r="B2" s="306" t="s">
        <v>451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8"/>
    </row>
    <row r="3" spans="2:36" s="46" customFormat="1" ht="17.5" customHeight="1" x14ac:dyDescent="0.25">
      <c r="B3" s="309" t="s">
        <v>406</v>
      </c>
      <c r="C3" s="310" t="s">
        <v>405</v>
      </c>
      <c r="D3" s="311" t="s">
        <v>404</v>
      </c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2" t="s">
        <v>403</v>
      </c>
      <c r="AB3" s="313"/>
      <c r="AC3" s="313"/>
      <c r="AD3" s="313"/>
      <c r="AE3" s="313"/>
      <c r="AF3" s="313"/>
      <c r="AG3" s="313"/>
      <c r="AH3" s="313"/>
      <c r="AI3" s="313"/>
      <c r="AJ3" s="314"/>
    </row>
    <row r="4" spans="2:36" s="46" customFormat="1" ht="17.5" customHeight="1" x14ac:dyDescent="0.25">
      <c r="B4" s="280"/>
      <c r="C4" s="283"/>
      <c r="D4" s="296" t="s">
        <v>402</v>
      </c>
      <c r="E4" s="297"/>
      <c r="F4" s="297"/>
      <c r="G4" s="297"/>
      <c r="H4" s="297"/>
      <c r="I4" s="297"/>
      <c r="J4" s="298" t="s">
        <v>401</v>
      </c>
      <c r="K4" s="299"/>
      <c r="L4" s="299"/>
      <c r="M4" s="299"/>
      <c r="N4" s="299"/>
      <c r="O4" s="299"/>
      <c r="P4" s="299"/>
      <c r="Q4" s="299"/>
      <c r="R4" s="299"/>
      <c r="S4" s="299"/>
      <c r="T4" s="300"/>
      <c r="U4" s="272" t="s">
        <v>400</v>
      </c>
      <c r="V4" s="274"/>
      <c r="W4" s="274"/>
      <c r="X4" s="274"/>
      <c r="Y4" s="274"/>
      <c r="Z4" s="273"/>
      <c r="AA4" s="272" t="s">
        <v>399</v>
      </c>
      <c r="AB4" s="301" t="s">
        <v>398</v>
      </c>
      <c r="AC4" s="303" t="s">
        <v>397</v>
      </c>
      <c r="AD4" s="303" t="s">
        <v>306</v>
      </c>
      <c r="AE4" s="303" t="s">
        <v>396</v>
      </c>
      <c r="AF4" s="304" t="s">
        <v>395</v>
      </c>
      <c r="AG4" s="303" t="s">
        <v>394</v>
      </c>
      <c r="AH4" s="304" t="s">
        <v>393</v>
      </c>
      <c r="AI4" s="303" t="s">
        <v>392</v>
      </c>
      <c r="AJ4" s="305" t="s">
        <v>391</v>
      </c>
    </row>
    <row r="5" spans="2:36" s="46" customFormat="1" ht="37.5" customHeight="1" x14ac:dyDescent="0.25">
      <c r="B5" s="287"/>
      <c r="C5" s="289"/>
      <c r="D5" s="85" t="s">
        <v>390</v>
      </c>
      <c r="E5" s="82" t="s">
        <v>389</v>
      </c>
      <c r="F5" s="82" t="s">
        <v>388</v>
      </c>
      <c r="G5" s="82" t="s">
        <v>387</v>
      </c>
      <c r="H5" s="82" t="s">
        <v>378</v>
      </c>
      <c r="I5" s="66" t="s">
        <v>377</v>
      </c>
      <c r="J5" s="85" t="s">
        <v>381</v>
      </c>
      <c r="K5" s="82" t="s">
        <v>380</v>
      </c>
      <c r="L5" s="82" t="s">
        <v>379</v>
      </c>
      <c r="M5" s="82" t="s">
        <v>386</v>
      </c>
      <c r="N5" s="82" t="s">
        <v>386</v>
      </c>
      <c r="O5" s="82" t="s">
        <v>378</v>
      </c>
      <c r="P5" s="82" t="s">
        <v>385</v>
      </c>
      <c r="Q5" s="82" t="s">
        <v>384</v>
      </c>
      <c r="R5" s="82" t="s">
        <v>377</v>
      </c>
      <c r="S5" s="82" t="s">
        <v>383</v>
      </c>
      <c r="T5" s="84" t="s">
        <v>382</v>
      </c>
      <c r="U5" s="85" t="s">
        <v>381</v>
      </c>
      <c r="V5" s="65" t="s">
        <v>380</v>
      </c>
      <c r="W5" s="82" t="s">
        <v>379</v>
      </c>
      <c r="X5" s="82" t="s">
        <v>378</v>
      </c>
      <c r="Y5" s="82" t="s">
        <v>377</v>
      </c>
      <c r="Z5" s="84" t="s">
        <v>376</v>
      </c>
      <c r="AA5" s="285"/>
      <c r="AB5" s="302"/>
      <c r="AC5" s="266"/>
      <c r="AD5" s="266"/>
      <c r="AE5" s="266"/>
      <c r="AF5" s="266"/>
      <c r="AG5" s="266"/>
      <c r="AH5" s="266"/>
      <c r="AI5" s="266"/>
      <c r="AJ5" s="270"/>
    </row>
    <row r="6" spans="2:36" s="46" customFormat="1" ht="17.5" customHeight="1" x14ac:dyDescent="0.25">
      <c r="B6" s="279"/>
      <c r="C6" s="282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43" customFormat="1" ht="24" customHeight="1" x14ac:dyDescent="0.25">
      <c r="B7" s="280"/>
      <c r="C7" s="283"/>
      <c r="D7" s="132"/>
      <c r="E7" s="133">
        <f>K7+V7</f>
        <v>0</v>
      </c>
      <c r="F7" s="150" t="str">
        <f>IF(D7="","",IF(D28="","",IF(D7=(D7+D28)/2,"--",IF(D7&gt;=(D7+D28)/2,"↑","↓"))))</f>
        <v/>
      </c>
      <c r="G7" s="133"/>
      <c r="H7" s="133"/>
      <c r="I7" s="134"/>
      <c r="J7" s="135"/>
      <c r="K7" s="136"/>
      <c r="L7" s="136"/>
      <c r="M7" s="136"/>
      <c r="N7" s="136"/>
      <c r="O7" s="136"/>
      <c r="P7" s="136"/>
      <c r="Q7" s="136"/>
      <c r="R7" s="136"/>
      <c r="S7" s="136"/>
      <c r="T7" s="137"/>
      <c r="U7" s="135"/>
      <c r="V7" s="138"/>
      <c r="W7" s="133"/>
      <c r="X7" s="133"/>
      <c r="Y7" s="133"/>
      <c r="Z7" s="139" t="e">
        <f>U7/D7</f>
        <v>#DIV/0!</v>
      </c>
      <c r="AA7" s="140"/>
      <c r="AB7" s="133"/>
      <c r="AC7" s="133"/>
      <c r="AD7" s="133"/>
      <c r="AE7" s="141"/>
      <c r="AF7" s="141"/>
      <c r="AG7" s="141"/>
      <c r="AH7" s="141"/>
      <c r="AI7" s="141"/>
      <c r="AJ7" s="142"/>
    </row>
    <row r="8" spans="2:36" s="46" customFormat="1" ht="17.5" customHeight="1" x14ac:dyDescent="0.25">
      <c r="B8" s="280"/>
      <c r="C8" s="283"/>
      <c r="D8" s="272" t="s">
        <v>371</v>
      </c>
      <c r="E8" s="274"/>
      <c r="F8" s="273"/>
      <c r="G8" s="272" t="s">
        <v>370</v>
      </c>
      <c r="H8" s="274"/>
      <c r="I8" s="274"/>
      <c r="J8" s="274"/>
      <c r="K8" s="274"/>
      <c r="L8" s="274"/>
      <c r="M8" s="274"/>
      <c r="N8" s="274"/>
      <c r="O8" s="273"/>
      <c r="P8" s="272" t="s">
        <v>369</v>
      </c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273"/>
      <c r="AE8" s="275" t="s">
        <v>336</v>
      </c>
      <c r="AF8" s="274"/>
      <c r="AG8" s="274"/>
      <c r="AH8" s="274"/>
      <c r="AI8" s="274"/>
      <c r="AJ8" s="273"/>
    </row>
    <row r="9" spans="2:36" s="46" customFormat="1" ht="15" customHeight="1" x14ac:dyDescent="0.25">
      <c r="B9" s="280"/>
      <c r="C9" s="283"/>
      <c r="D9" s="276" t="s">
        <v>368</v>
      </c>
      <c r="E9" s="267" t="s">
        <v>367</v>
      </c>
      <c r="F9" s="269" t="s">
        <v>366</v>
      </c>
      <c r="G9" s="276" t="s">
        <v>365</v>
      </c>
      <c r="H9" s="266"/>
      <c r="I9" s="271" t="s">
        <v>364</v>
      </c>
      <c r="J9" s="271" t="s">
        <v>363</v>
      </c>
      <c r="K9" s="271" t="s">
        <v>362</v>
      </c>
      <c r="L9" s="271" t="s">
        <v>361</v>
      </c>
      <c r="M9" s="271" t="s">
        <v>360</v>
      </c>
      <c r="N9" s="271" t="s">
        <v>359</v>
      </c>
      <c r="O9" s="277" t="s">
        <v>358</v>
      </c>
      <c r="P9" s="276" t="s">
        <v>357</v>
      </c>
      <c r="Q9" s="266"/>
      <c r="R9" s="267" t="s">
        <v>356</v>
      </c>
      <c r="S9" s="266"/>
      <c r="T9" s="266"/>
      <c r="U9" s="267" t="s">
        <v>355</v>
      </c>
      <c r="V9" s="265" t="s">
        <v>354</v>
      </c>
      <c r="W9" s="266"/>
      <c r="X9" s="265" t="s">
        <v>353</v>
      </c>
      <c r="Y9" s="266"/>
      <c r="Z9" s="266"/>
      <c r="AA9" s="265" t="s">
        <v>352</v>
      </c>
      <c r="AB9" s="267" t="s">
        <v>351</v>
      </c>
      <c r="AC9" s="268" t="s">
        <v>350</v>
      </c>
      <c r="AD9" s="269" t="s">
        <v>349</v>
      </c>
      <c r="AE9" s="278" t="s">
        <v>348</v>
      </c>
      <c r="AF9" s="266"/>
      <c r="AG9" s="266"/>
      <c r="AH9" s="271" t="s">
        <v>332</v>
      </c>
      <c r="AI9" s="266"/>
      <c r="AJ9" s="270"/>
    </row>
    <row r="10" spans="2:36" s="46" customFormat="1" ht="15" customHeight="1" x14ac:dyDescent="0.25">
      <c r="B10" s="280"/>
      <c r="C10" s="283"/>
      <c r="D10" s="285"/>
      <c r="E10" s="266"/>
      <c r="F10" s="270"/>
      <c r="G10" s="83" t="s">
        <v>347</v>
      </c>
      <c r="H10" s="80" t="s">
        <v>346</v>
      </c>
      <c r="I10" s="266"/>
      <c r="J10" s="266"/>
      <c r="K10" s="266"/>
      <c r="L10" s="266"/>
      <c r="M10" s="266"/>
      <c r="N10" s="266"/>
      <c r="O10" s="270"/>
      <c r="P10" s="83" t="s">
        <v>345</v>
      </c>
      <c r="Q10" s="80" t="s">
        <v>344</v>
      </c>
      <c r="R10" s="80" t="s">
        <v>344</v>
      </c>
      <c r="S10" s="80" t="s">
        <v>343</v>
      </c>
      <c r="T10" s="79" t="s">
        <v>342</v>
      </c>
      <c r="U10" s="266"/>
      <c r="V10" s="79" t="s">
        <v>345</v>
      </c>
      <c r="W10" s="80" t="s">
        <v>344</v>
      </c>
      <c r="X10" s="79" t="s">
        <v>344</v>
      </c>
      <c r="Y10" s="80" t="s">
        <v>343</v>
      </c>
      <c r="Z10" s="79" t="s">
        <v>342</v>
      </c>
      <c r="AA10" s="266"/>
      <c r="AB10" s="266"/>
      <c r="AC10" s="266"/>
      <c r="AD10" s="270"/>
      <c r="AE10" s="85" t="s">
        <v>1</v>
      </c>
      <c r="AF10" s="82" t="s">
        <v>12</v>
      </c>
      <c r="AG10" s="82" t="s">
        <v>15</v>
      </c>
      <c r="AH10" s="52" t="s">
        <v>103</v>
      </c>
      <c r="AI10" s="82" t="s">
        <v>341</v>
      </c>
      <c r="AJ10" s="81" t="s">
        <v>340</v>
      </c>
    </row>
    <row r="11" spans="2:36" s="46" customFormat="1" ht="17.5" customHeight="1" x14ac:dyDescent="0.25">
      <c r="B11" s="280"/>
      <c r="C11" s="283"/>
      <c r="D11" s="83" t="s">
        <v>4</v>
      </c>
      <c r="E11" s="80" t="s">
        <v>4</v>
      </c>
      <c r="F11" s="81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43" customFormat="1" ht="24" customHeight="1" x14ac:dyDescent="0.25">
      <c r="B12" s="280"/>
      <c r="C12" s="283"/>
      <c r="D12" s="151">
        <v>0.53</v>
      </c>
      <c r="E12" s="144"/>
      <c r="F12" s="156" t="str">
        <f>IF(E12="","",IF(AND(E12&gt;=0.525,E12&lt;=0.53),"合格","不合格"))</f>
        <v/>
      </c>
      <c r="G12" s="132"/>
      <c r="H12" s="133"/>
      <c r="I12" s="133"/>
      <c r="J12" s="133"/>
      <c r="K12" s="133"/>
      <c r="L12" s="133"/>
      <c r="M12" s="133"/>
      <c r="N12" s="133"/>
      <c r="O12" s="139"/>
      <c r="P12" s="152">
        <v>29.1</v>
      </c>
      <c r="Q12" s="153" t="s">
        <v>337</v>
      </c>
      <c r="R12" s="133"/>
      <c r="S12" s="133">
        <f>R12-Q12</f>
        <v>-33.1</v>
      </c>
      <c r="T12" s="150" t="str">
        <f>IF(S12&gt;=0,"↑","↓")</f>
        <v>↓</v>
      </c>
      <c r="U12" s="141" t="s">
        <v>82</v>
      </c>
      <c r="V12" s="153">
        <v>1.6</v>
      </c>
      <c r="W12" s="153">
        <v>17.600000000000001</v>
      </c>
      <c r="X12" s="133"/>
      <c r="Y12" s="133">
        <f>X12-W12</f>
        <v>-17.600000000000001</v>
      </c>
      <c r="Z12" s="150" t="str">
        <f>IF(Y12&gt;=0,"↑","↓")</f>
        <v>↓</v>
      </c>
      <c r="AA12" s="153">
        <v>6.28</v>
      </c>
      <c r="AB12" s="133"/>
      <c r="AC12" s="133">
        <f>AB12-AA12</f>
        <v>-6.28</v>
      </c>
      <c r="AD12" s="150" t="str">
        <f>IF(AC12&gt;=0,"↑","↓")</f>
        <v>↓</v>
      </c>
      <c r="AE12" s="145"/>
      <c r="AF12" s="133"/>
      <c r="AG12" s="141"/>
      <c r="AH12" s="141"/>
      <c r="AI12" s="141"/>
      <c r="AJ12" s="142"/>
    </row>
    <row r="13" spans="2:36" s="46" customFormat="1" ht="15" customHeight="1" x14ac:dyDescent="0.25">
      <c r="B13" s="280"/>
      <c r="C13" s="283"/>
      <c r="D13" s="272" t="s">
        <v>336</v>
      </c>
      <c r="E13" s="273"/>
      <c r="F13" s="272" t="s">
        <v>335</v>
      </c>
      <c r="G13" s="274"/>
      <c r="H13" s="274"/>
      <c r="I13" s="274"/>
      <c r="J13" s="274"/>
      <c r="K13" s="274"/>
      <c r="L13" s="274"/>
      <c r="M13" s="273"/>
      <c r="N13" s="272" t="s">
        <v>334</v>
      </c>
      <c r="O13" s="274"/>
      <c r="P13" s="274"/>
      <c r="Q13" s="274"/>
      <c r="R13" s="274"/>
      <c r="S13" s="274"/>
      <c r="T13" s="274"/>
      <c r="U13" s="273"/>
      <c r="V13" s="275" t="s">
        <v>333</v>
      </c>
      <c r="W13" s="274"/>
      <c r="X13" s="274"/>
      <c r="Y13" s="274"/>
      <c r="Z13" s="274"/>
      <c r="AA13" s="274"/>
      <c r="AB13" s="274"/>
      <c r="AC13" s="274"/>
      <c r="AD13" s="274"/>
      <c r="AE13" s="274"/>
      <c r="AF13" s="274"/>
      <c r="AG13" s="274"/>
      <c r="AH13" s="274"/>
      <c r="AI13" s="274"/>
      <c r="AJ13" s="273"/>
    </row>
    <row r="14" spans="2:36" s="46" customFormat="1" ht="15" customHeight="1" x14ac:dyDescent="0.25">
      <c r="B14" s="280"/>
      <c r="C14" s="283"/>
      <c r="D14" s="276" t="s">
        <v>332</v>
      </c>
      <c r="E14" s="270"/>
      <c r="F14" s="276" t="s">
        <v>331</v>
      </c>
      <c r="G14" s="266"/>
      <c r="H14" s="266"/>
      <c r="I14" s="266"/>
      <c r="J14" s="266"/>
      <c r="K14" s="271" t="s">
        <v>330</v>
      </c>
      <c r="L14" s="266"/>
      <c r="M14" s="270"/>
      <c r="N14" s="276" t="s">
        <v>329</v>
      </c>
      <c r="O14" s="266"/>
      <c r="P14" s="266"/>
      <c r="Q14" s="266"/>
      <c r="R14" s="266"/>
      <c r="S14" s="267" t="s">
        <v>328</v>
      </c>
      <c r="T14" s="266"/>
      <c r="U14" s="270"/>
      <c r="V14" s="278" t="s">
        <v>327</v>
      </c>
      <c r="W14" s="266"/>
      <c r="X14" s="266"/>
      <c r="Y14" s="266"/>
      <c r="Z14" s="271" t="s">
        <v>326</v>
      </c>
      <c r="AA14" s="266"/>
      <c r="AB14" s="266"/>
      <c r="AC14" s="266"/>
      <c r="AD14" s="266"/>
      <c r="AE14" s="266"/>
      <c r="AF14" s="266"/>
      <c r="AG14" s="266"/>
      <c r="AH14" s="266"/>
      <c r="AI14" s="266"/>
      <c r="AJ14" s="270"/>
    </row>
    <row r="15" spans="2:36" s="46" customFormat="1" ht="25" customHeight="1" x14ac:dyDescent="0.25">
      <c r="B15" s="280"/>
      <c r="C15" s="283"/>
      <c r="D15" s="83" t="s">
        <v>325</v>
      </c>
      <c r="E15" s="81" t="s">
        <v>322</v>
      </c>
      <c r="F15" s="83" t="s">
        <v>324</v>
      </c>
      <c r="G15" s="80" t="s">
        <v>317</v>
      </c>
      <c r="H15" s="80" t="s">
        <v>323</v>
      </c>
      <c r="I15" s="82" t="s">
        <v>15</v>
      </c>
      <c r="J15" s="52" t="s">
        <v>322</v>
      </c>
      <c r="K15" s="82" t="s">
        <v>321</v>
      </c>
      <c r="L15" s="82" t="s">
        <v>320</v>
      </c>
      <c r="M15" s="81" t="s">
        <v>319</v>
      </c>
      <c r="N15" s="83" t="s">
        <v>324</v>
      </c>
      <c r="O15" s="80" t="s">
        <v>317</v>
      </c>
      <c r="P15" s="80" t="s">
        <v>323</v>
      </c>
      <c r="Q15" s="80" t="s">
        <v>15</v>
      </c>
      <c r="R15" s="79" t="s">
        <v>322</v>
      </c>
      <c r="S15" s="82" t="s">
        <v>321</v>
      </c>
      <c r="T15" s="82" t="s">
        <v>320</v>
      </c>
      <c r="U15" s="81" t="s">
        <v>319</v>
      </c>
      <c r="V15" s="85" t="s">
        <v>318</v>
      </c>
      <c r="W15" s="82" t="s">
        <v>317</v>
      </c>
      <c r="X15" s="82" t="s">
        <v>316</v>
      </c>
      <c r="Y15" s="82" t="s">
        <v>315</v>
      </c>
      <c r="Z15" s="82" t="s">
        <v>314</v>
      </c>
      <c r="AA15" s="82" t="s">
        <v>313</v>
      </c>
      <c r="AB15" s="82" t="s">
        <v>312</v>
      </c>
      <c r="AC15" s="82" t="s">
        <v>311</v>
      </c>
      <c r="AD15" s="82" t="s">
        <v>310</v>
      </c>
      <c r="AE15" s="82" t="s">
        <v>309</v>
      </c>
      <c r="AF15" s="82" t="s">
        <v>308</v>
      </c>
      <c r="AG15" s="82" t="s">
        <v>307</v>
      </c>
      <c r="AH15" s="82" t="s">
        <v>306</v>
      </c>
      <c r="AI15" s="82" t="s">
        <v>305</v>
      </c>
      <c r="AJ15" s="84" t="s">
        <v>304</v>
      </c>
    </row>
    <row r="16" spans="2:36" s="46" customFormat="1" ht="15" customHeight="1" x14ac:dyDescent="0.25">
      <c r="B16" s="280"/>
      <c r="C16" s="283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80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43" customFormat="1" ht="24" customHeight="1" x14ac:dyDescent="0.25">
      <c r="B17" s="280"/>
      <c r="C17" s="283"/>
      <c r="D17" s="145"/>
      <c r="E17" s="139"/>
      <c r="F17" s="145"/>
      <c r="G17" s="141"/>
      <c r="H17" s="141"/>
      <c r="I17" s="133"/>
      <c r="J17" s="133"/>
      <c r="K17" s="133"/>
      <c r="L17" s="133"/>
      <c r="M17" s="139"/>
      <c r="N17" s="132"/>
      <c r="O17" s="133"/>
      <c r="P17" s="133"/>
      <c r="Q17" s="133"/>
      <c r="R17" s="133"/>
      <c r="S17" s="133"/>
      <c r="T17" s="133"/>
      <c r="U17" s="139"/>
      <c r="V17" s="132"/>
      <c r="W17" s="133"/>
      <c r="X17" s="133"/>
      <c r="Y17" s="133"/>
      <c r="Z17" s="133"/>
      <c r="AA17" s="133"/>
      <c r="AB17" s="133"/>
      <c r="AC17" s="133"/>
      <c r="AD17" s="133"/>
      <c r="AE17" s="133" t="e">
        <f>Z17/AB17</f>
        <v>#DIV/0!</v>
      </c>
      <c r="AF17" s="133"/>
      <c r="AG17" s="133"/>
      <c r="AH17" s="133" t="e">
        <f>AF17/(Z17-AB17)</f>
        <v>#DIV/0!</v>
      </c>
      <c r="AI17" s="153" t="s">
        <v>296</v>
      </c>
      <c r="AJ17" s="150" t="e">
        <f>IF((AH17-AI17)&gt;=0,"↑","↓")</f>
        <v>#DIV/0!</v>
      </c>
    </row>
    <row r="18" spans="2:36" s="46" customFormat="1" ht="15" customHeight="1" x14ac:dyDescent="0.25">
      <c r="B18" s="280"/>
      <c r="C18" s="283"/>
      <c r="D18" s="275" t="s">
        <v>295</v>
      </c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3"/>
      <c r="R18" s="86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92" t="s">
        <v>82</v>
      </c>
    </row>
    <row r="19" spans="2:36" s="46" customFormat="1" ht="15" customHeight="1" x14ac:dyDescent="0.25">
      <c r="B19" s="280"/>
      <c r="C19" s="283"/>
      <c r="D19" s="278" t="s">
        <v>294</v>
      </c>
      <c r="E19" s="266"/>
      <c r="F19" s="266"/>
      <c r="G19" s="271" t="s">
        <v>293</v>
      </c>
      <c r="H19" s="266"/>
      <c r="I19" s="266"/>
      <c r="J19" s="271" t="s">
        <v>292</v>
      </c>
      <c r="K19" s="266"/>
      <c r="L19" s="266"/>
      <c r="M19" s="271" t="s">
        <v>291</v>
      </c>
      <c r="N19" s="271" t="s">
        <v>290</v>
      </c>
      <c r="O19" s="271" t="s">
        <v>289</v>
      </c>
      <c r="P19" s="271" t="s">
        <v>225</v>
      </c>
      <c r="Q19" s="277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452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80"/>
      <c r="C20" s="283"/>
      <c r="D20" s="85" t="s">
        <v>287</v>
      </c>
      <c r="E20" s="82" t="s">
        <v>286</v>
      </c>
      <c r="F20" s="82" t="s">
        <v>285</v>
      </c>
      <c r="G20" s="82" t="s">
        <v>287</v>
      </c>
      <c r="H20" s="82" t="s">
        <v>286</v>
      </c>
      <c r="I20" s="82" t="s">
        <v>285</v>
      </c>
      <c r="J20" s="82" t="s">
        <v>287</v>
      </c>
      <c r="K20" s="82" t="s">
        <v>286</v>
      </c>
      <c r="L20" s="82" t="s">
        <v>285</v>
      </c>
      <c r="M20" s="266"/>
      <c r="N20" s="266"/>
      <c r="O20" s="266"/>
      <c r="P20" s="266"/>
      <c r="Q20" s="270"/>
      <c r="R20" s="83" t="s">
        <v>4</v>
      </c>
      <c r="S20" s="80" t="s">
        <v>4</v>
      </c>
      <c r="T20" s="80" t="s">
        <v>4</v>
      </c>
      <c r="U20" s="80" t="s">
        <v>82</v>
      </c>
      <c r="V20" s="80" t="s">
        <v>82</v>
      </c>
      <c r="W20" s="82" t="s">
        <v>82</v>
      </c>
      <c r="X20" s="80" t="s">
        <v>82</v>
      </c>
      <c r="Y20" s="80" t="s">
        <v>82</v>
      </c>
      <c r="Z20" s="82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80"/>
      <c r="C21" s="283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43" customFormat="1" ht="24" customHeight="1" x14ac:dyDescent="0.25">
      <c r="B22" s="280"/>
      <c r="C22" s="283"/>
      <c r="D22" s="146"/>
      <c r="E22" s="147"/>
      <c r="F22" s="147">
        <f>D22-E22</f>
        <v>0</v>
      </c>
      <c r="G22" s="147"/>
      <c r="H22" s="147"/>
      <c r="I22" s="147">
        <f>G22-H22</f>
        <v>0</v>
      </c>
      <c r="J22" s="147"/>
      <c r="K22" s="147"/>
      <c r="L22" s="147">
        <f>J22-K22</f>
        <v>0</v>
      </c>
      <c r="M22" s="147"/>
      <c r="N22" s="147"/>
      <c r="O22" s="147" t="e">
        <f>N22/M22</f>
        <v>#DIV/0!</v>
      </c>
      <c r="P22" s="147"/>
      <c r="Q22" s="154">
        <v>301</v>
      </c>
      <c r="R22" s="146" t="s">
        <v>4</v>
      </c>
      <c r="S22" s="147" t="s">
        <v>4</v>
      </c>
      <c r="T22" s="147" t="s">
        <v>4</v>
      </c>
      <c r="U22" s="147" t="s">
        <v>82</v>
      </c>
      <c r="V22" s="147" t="s">
        <v>82</v>
      </c>
      <c r="W22" s="147" t="s">
        <v>82</v>
      </c>
      <c r="X22" s="147" t="s">
        <v>82</v>
      </c>
      <c r="Y22" s="147" t="s">
        <v>82</v>
      </c>
      <c r="Z22" s="147" t="s">
        <v>82</v>
      </c>
      <c r="AA22" s="147" t="s">
        <v>82</v>
      </c>
      <c r="AB22" s="147" t="s">
        <v>82</v>
      </c>
      <c r="AC22" s="147" t="s">
        <v>82</v>
      </c>
      <c r="AD22" s="147" t="s">
        <v>82</v>
      </c>
      <c r="AE22" s="148" t="s">
        <v>82</v>
      </c>
      <c r="AF22" s="148" t="s">
        <v>82</v>
      </c>
      <c r="AG22" s="148" t="s">
        <v>82</v>
      </c>
      <c r="AH22" s="148" t="s">
        <v>82</v>
      </c>
      <c r="AI22" s="148" t="s">
        <v>82</v>
      </c>
      <c r="AJ22" s="149" t="s">
        <v>82</v>
      </c>
    </row>
    <row r="23" spans="2:36" s="46" customFormat="1" ht="7.5" customHeight="1" x14ac:dyDescent="0.25">
      <c r="B23" s="93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94"/>
    </row>
    <row r="24" spans="2:36" s="46" customFormat="1" ht="17.5" customHeight="1" x14ac:dyDescent="0.25">
      <c r="B24" s="286" t="s">
        <v>406</v>
      </c>
      <c r="C24" s="288" t="s">
        <v>405</v>
      </c>
      <c r="D24" s="290" t="s">
        <v>404</v>
      </c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2"/>
      <c r="AA24" s="293" t="s">
        <v>403</v>
      </c>
      <c r="AB24" s="294"/>
      <c r="AC24" s="294"/>
      <c r="AD24" s="294"/>
      <c r="AE24" s="294"/>
      <c r="AF24" s="294"/>
      <c r="AG24" s="294"/>
      <c r="AH24" s="294"/>
      <c r="AI24" s="294"/>
      <c r="AJ24" s="295"/>
    </row>
    <row r="25" spans="2:36" s="46" customFormat="1" ht="17.5" customHeight="1" x14ac:dyDescent="0.25">
      <c r="B25" s="280"/>
      <c r="C25" s="283"/>
      <c r="D25" s="296" t="s">
        <v>402</v>
      </c>
      <c r="E25" s="297"/>
      <c r="F25" s="297"/>
      <c r="G25" s="297"/>
      <c r="H25" s="297"/>
      <c r="I25" s="297"/>
      <c r="J25" s="298" t="s">
        <v>401</v>
      </c>
      <c r="K25" s="299"/>
      <c r="L25" s="299"/>
      <c r="M25" s="299"/>
      <c r="N25" s="299"/>
      <c r="O25" s="299"/>
      <c r="P25" s="299"/>
      <c r="Q25" s="299"/>
      <c r="R25" s="299"/>
      <c r="S25" s="299"/>
      <c r="T25" s="300"/>
      <c r="U25" s="272" t="s">
        <v>400</v>
      </c>
      <c r="V25" s="274"/>
      <c r="W25" s="274"/>
      <c r="X25" s="274"/>
      <c r="Y25" s="274"/>
      <c r="Z25" s="273"/>
      <c r="AA25" s="272" t="s">
        <v>399</v>
      </c>
      <c r="AB25" s="301" t="s">
        <v>398</v>
      </c>
      <c r="AC25" s="303" t="s">
        <v>397</v>
      </c>
      <c r="AD25" s="303" t="s">
        <v>306</v>
      </c>
      <c r="AE25" s="303" t="s">
        <v>396</v>
      </c>
      <c r="AF25" s="304" t="s">
        <v>395</v>
      </c>
      <c r="AG25" s="303" t="s">
        <v>394</v>
      </c>
      <c r="AH25" s="304" t="s">
        <v>393</v>
      </c>
      <c r="AI25" s="303" t="s">
        <v>392</v>
      </c>
      <c r="AJ25" s="305" t="s">
        <v>391</v>
      </c>
    </row>
    <row r="26" spans="2:36" s="46" customFormat="1" ht="37.5" customHeight="1" x14ac:dyDescent="0.25">
      <c r="B26" s="287"/>
      <c r="C26" s="289"/>
      <c r="D26" s="85" t="s">
        <v>390</v>
      </c>
      <c r="E26" s="82" t="s">
        <v>389</v>
      </c>
      <c r="F26" s="82" t="s">
        <v>388</v>
      </c>
      <c r="G26" s="82" t="s">
        <v>387</v>
      </c>
      <c r="H26" s="82" t="s">
        <v>378</v>
      </c>
      <c r="I26" s="66" t="s">
        <v>377</v>
      </c>
      <c r="J26" s="85" t="s">
        <v>381</v>
      </c>
      <c r="K26" s="82" t="s">
        <v>380</v>
      </c>
      <c r="L26" s="82" t="s">
        <v>379</v>
      </c>
      <c r="M26" s="82" t="s">
        <v>386</v>
      </c>
      <c r="N26" s="82" t="s">
        <v>386</v>
      </c>
      <c r="O26" s="82" t="s">
        <v>378</v>
      </c>
      <c r="P26" s="82" t="s">
        <v>385</v>
      </c>
      <c r="Q26" s="82" t="s">
        <v>384</v>
      </c>
      <c r="R26" s="82" t="s">
        <v>377</v>
      </c>
      <c r="S26" s="82" t="s">
        <v>383</v>
      </c>
      <c r="T26" s="84" t="s">
        <v>382</v>
      </c>
      <c r="U26" s="85" t="s">
        <v>381</v>
      </c>
      <c r="V26" s="65" t="s">
        <v>380</v>
      </c>
      <c r="W26" s="82" t="s">
        <v>379</v>
      </c>
      <c r="X26" s="82" t="s">
        <v>378</v>
      </c>
      <c r="Y26" s="82" t="s">
        <v>377</v>
      </c>
      <c r="Z26" s="84" t="s">
        <v>376</v>
      </c>
      <c r="AA26" s="285"/>
      <c r="AB26" s="302"/>
      <c r="AC26" s="266"/>
      <c r="AD26" s="266"/>
      <c r="AE26" s="266"/>
      <c r="AF26" s="266"/>
      <c r="AG26" s="266"/>
      <c r="AH26" s="266"/>
      <c r="AI26" s="266"/>
      <c r="AJ26" s="270"/>
    </row>
    <row r="27" spans="2:36" s="46" customFormat="1" ht="17.5" customHeight="1" x14ac:dyDescent="0.25">
      <c r="B27" s="279"/>
      <c r="C27" s="282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43" customFormat="1" ht="24" customHeight="1" x14ac:dyDescent="0.25">
      <c r="B28" s="280"/>
      <c r="C28" s="283"/>
      <c r="D28" s="132"/>
      <c r="E28" s="133">
        <f>K28+V28</f>
        <v>0</v>
      </c>
      <c r="F28" s="150" t="str">
        <f>IF(D28="","",IF(D7="","",IF(D28=(D7+D28)/2,"--",IF(D28&gt;=(D7+D28)/2,"↑","↓"))))</f>
        <v/>
      </c>
      <c r="G28" s="133"/>
      <c r="H28" s="133"/>
      <c r="I28" s="134"/>
      <c r="J28" s="135"/>
      <c r="K28" s="136"/>
      <c r="L28" s="136"/>
      <c r="M28" s="136"/>
      <c r="N28" s="136"/>
      <c r="O28" s="136"/>
      <c r="P28" s="136"/>
      <c r="Q28" s="136"/>
      <c r="R28" s="136"/>
      <c r="S28" s="136"/>
      <c r="T28" s="137"/>
      <c r="U28" s="135"/>
      <c r="V28" s="138"/>
      <c r="W28" s="133"/>
      <c r="X28" s="133"/>
      <c r="Y28" s="133"/>
      <c r="Z28" s="139" t="e">
        <f>U28/D28</f>
        <v>#DIV/0!</v>
      </c>
      <c r="AA28" s="140"/>
      <c r="AB28" s="133"/>
      <c r="AC28" s="133"/>
      <c r="AD28" s="133"/>
      <c r="AE28" s="141"/>
      <c r="AF28" s="141"/>
      <c r="AG28" s="141"/>
      <c r="AH28" s="141"/>
      <c r="AI28" s="141"/>
      <c r="AJ28" s="142"/>
    </row>
    <row r="29" spans="2:36" s="46" customFormat="1" ht="17.5" customHeight="1" x14ac:dyDescent="0.25">
      <c r="B29" s="280"/>
      <c r="C29" s="283"/>
      <c r="D29" s="272" t="s">
        <v>371</v>
      </c>
      <c r="E29" s="274"/>
      <c r="F29" s="273"/>
      <c r="G29" s="272" t="s">
        <v>370</v>
      </c>
      <c r="H29" s="274"/>
      <c r="I29" s="274"/>
      <c r="J29" s="274"/>
      <c r="K29" s="274"/>
      <c r="L29" s="274"/>
      <c r="M29" s="274"/>
      <c r="N29" s="274"/>
      <c r="O29" s="273"/>
      <c r="P29" s="272" t="s">
        <v>369</v>
      </c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3"/>
      <c r="AE29" s="275" t="s">
        <v>336</v>
      </c>
      <c r="AF29" s="274"/>
      <c r="AG29" s="274"/>
      <c r="AH29" s="274"/>
      <c r="AI29" s="274"/>
      <c r="AJ29" s="273"/>
    </row>
    <row r="30" spans="2:36" s="46" customFormat="1" ht="15" customHeight="1" x14ac:dyDescent="0.25">
      <c r="B30" s="280"/>
      <c r="C30" s="283"/>
      <c r="D30" s="276" t="s">
        <v>368</v>
      </c>
      <c r="E30" s="267" t="s">
        <v>367</v>
      </c>
      <c r="F30" s="269" t="s">
        <v>366</v>
      </c>
      <c r="G30" s="276" t="s">
        <v>365</v>
      </c>
      <c r="H30" s="266"/>
      <c r="I30" s="271" t="s">
        <v>364</v>
      </c>
      <c r="J30" s="271" t="s">
        <v>363</v>
      </c>
      <c r="K30" s="271" t="s">
        <v>362</v>
      </c>
      <c r="L30" s="271" t="s">
        <v>361</v>
      </c>
      <c r="M30" s="271" t="s">
        <v>360</v>
      </c>
      <c r="N30" s="271" t="s">
        <v>359</v>
      </c>
      <c r="O30" s="277" t="s">
        <v>358</v>
      </c>
      <c r="P30" s="276" t="s">
        <v>357</v>
      </c>
      <c r="Q30" s="266"/>
      <c r="R30" s="267" t="s">
        <v>356</v>
      </c>
      <c r="S30" s="266"/>
      <c r="T30" s="266"/>
      <c r="U30" s="267" t="s">
        <v>355</v>
      </c>
      <c r="V30" s="265" t="s">
        <v>354</v>
      </c>
      <c r="W30" s="266"/>
      <c r="X30" s="265" t="s">
        <v>353</v>
      </c>
      <c r="Y30" s="266"/>
      <c r="Z30" s="266"/>
      <c r="AA30" s="265" t="s">
        <v>352</v>
      </c>
      <c r="AB30" s="267" t="s">
        <v>351</v>
      </c>
      <c r="AC30" s="268" t="s">
        <v>350</v>
      </c>
      <c r="AD30" s="269" t="s">
        <v>349</v>
      </c>
      <c r="AE30" s="278" t="s">
        <v>348</v>
      </c>
      <c r="AF30" s="266"/>
      <c r="AG30" s="266"/>
      <c r="AH30" s="271" t="s">
        <v>332</v>
      </c>
      <c r="AI30" s="266"/>
      <c r="AJ30" s="270"/>
    </row>
    <row r="31" spans="2:36" s="46" customFormat="1" ht="15" customHeight="1" x14ac:dyDescent="0.25">
      <c r="B31" s="280"/>
      <c r="C31" s="283"/>
      <c r="D31" s="285"/>
      <c r="E31" s="266"/>
      <c r="F31" s="270"/>
      <c r="G31" s="83" t="s">
        <v>347</v>
      </c>
      <c r="H31" s="80" t="s">
        <v>346</v>
      </c>
      <c r="I31" s="266"/>
      <c r="J31" s="266"/>
      <c r="K31" s="266"/>
      <c r="L31" s="266"/>
      <c r="M31" s="266"/>
      <c r="N31" s="266"/>
      <c r="O31" s="270"/>
      <c r="P31" s="83" t="s">
        <v>345</v>
      </c>
      <c r="Q31" s="80" t="s">
        <v>344</v>
      </c>
      <c r="R31" s="80" t="s">
        <v>344</v>
      </c>
      <c r="S31" s="80" t="s">
        <v>343</v>
      </c>
      <c r="T31" s="79" t="s">
        <v>342</v>
      </c>
      <c r="U31" s="266"/>
      <c r="V31" s="79" t="s">
        <v>345</v>
      </c>
      <c r="W31" s="80" t="s">
        <v>344</v>
      </c>
      <c r="X31" s="79" t="s">
        <v>344</v>
      </c>
      <c r="Y31" s="80" t="s">
        <v>343</v>
      </c>
      <c r="Z31" s="79" t="s">
        <v>342</v>
      </c>
      <c r="AA31" s="266"/>
      <c r="AB31" s="266"/>
      <c r="AC31" s="266"/>
      <c r="AD31" s="270"/>
      <c r="AE31" s="85" t="s">
        <v>1</v>
      </c>
      <c r="AF31" s="82" t="s">
        <v>12</v>
      </c>
      <c r="AG31" s="82" t="s">
        <v>15</v>
      </c>
      <c r="AH31" s="52" t="s">
        <v>103</v>
      </c>
      <c r="AI31" s="82" t="s">
        <v>341</v>
      </c>
      <c r="AJ31" s="81" t="s">
        <v>340</v>
      </c>
    </row>
    <row r="32" spans="2:36" s="46" customFormat="1" ht="17.5" customHeight="1" x14ac:dyDescent="0.25">
      <c r="B32" s="280"/>
      <c r="C32" s="283"/>
      <c r="D32" s="83" t="s">
        <v>4</v>
      </c>
      <c r="E32" s="80" t="s">
        <v>4</v>
      </c>
      <c r="F32" s="81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43" customFormat="1" ht="24" customHeight="1" x14ac:dyDescent="0.25">
      <c r="B33" s="280"/>
      <c r="C33" s="283"/>
      <c r="D33" s="151">
        <v>0.53</v>
      </c>
      <c r="E33" s="144"/>
      <c r="F33" s="156" t="str">
        <f>IF(E33="","",IF(AND(E33&gt;=0.525,E33&lt;=0.53),"合格","不合格"))</f>
        <v/>
      </c>
      <c r="G33" s="132"/>
      <c r="H33" s="133"/>
      <c r="I33" s="133"/>
      <c r="J33" s="133"/>
      <c r="K33" s="133"/>
      <c r="L33" s="133"/>
      <c r="M33" s="133"/>
      <c r="N33" s="133"/>
      <c r="O33" s="139"/>
      <c r="P33" s="152">
        <v>29.1</v>
      </c>
      <c r="Q33" s="153" t="s">
        <v>337</v>
      </c>
      <c r="R33" s="133"/>
      <c r="S33" s="133">
        <f>R33-33.1</f>
        <v>-33.1</v>
      </c>
      <c r="T33" s="150" t="str">
        <f>IF(S33&gt;=0,"↑","↓")</f>
        <v>↓</v>
      </c>
      <c r="U33" s="141" t="s">
        <v>82</v>
      </c>
      <c r="V33" s="153">
        <v>1.6</v>
      </c>
      <c r="W33" s="153">
        <v>17.600000000000001</v>
      </c>
      <c r="X33" s="133"/>
      <c r="Y33" s="133">
        <f>X33-W33</f>
        <v>-17.600000000000001</v>
      </c>
      <c r="Z33" s="150" t="str">
        <f>IF(Y33&gt;=0,"↑","↓")</f>
        <v>↓</v>
      </c>
      <c r="AA33" s="153">
        <v>6.28</v>
      </c>
      <c r="AB33" s="133"/>
      <c r="AC33" s="133">
        <f>AB33-AA33</f>
        <v>-6.28</v>
      </c>
      <c r="AD33" s="150" t="str">
        <f>IF(AC33&gt;=0,"↑","↓")</f>
        <v>↓</v>
      </c>
      <c r="AE33" s="145"/>
      <c r="AF33" s="133"/>
      <c r="AG33" s="141"/>
      <c r="AH33" s="141"/>
      <c r="AI33" s="141"/>
      <c r="AJ33" s="142"/>
    </row>
    <row r="34" spans="2:36" s="46" customFormat="1" ht="15" customHeight="1" x14ac:dyDescent="0.25">
      <c r="B34" s="280"/>
      <c r="C34" s="283"/>
      <c r="D34" s="272" t="s">
        <v>336</v>
      </c>
      <c r="E34" s="273"/>
      <c r="F34" s="272" t="s">
        <v>335</v>
      </c>
      <c r="G34" s="274"/>
      <c r="H34" s="274"/>
      <c r="I34" s="274"/>
      <c r="J34" s="274"/>
      <c r="K34" s="274"/>
      <c r="L34" s="274"/>
      <c r="M34" s="273"/>
      <c r="N34" s="272" t="s">
        <v>334</v>
      </c>
      <c r="O34" s="274"/>
      <c r="P34" s="274"/>
      <c r="Q34" s="274"/>
      <c r="R34" s="274"/>
      <c r="S34" s="274"/>
      <c r="T34" s="274"/>
      <c r="U34" s="273"/>
      <c r="V34" s="275" t="s">
        <v>333</v>
      </c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3"/>
    </row>
    <row r="35" spans="2:36" s="46" customFormat="1" ht="15" customHeight="1" x14ac:dyDescent="0.25">
      <c r="B35" s="280"/>
      <c r="C35" s="283"/>
      <c r="D35" s="276" t="s">
        <v>332</v>
      </c>
      <c r="E35" s="270"/>
      <c r="F35" s="276" t="s">
        <v>331</v>
      </c>
      <c r="G35" s="266"/>
      <c r="H35" s="266"/>
      <c r="I35" s="266"/>
      <c r="J35" s="266"/>
      <c r="K35" s="271" t="s">
        <v>330</v>
      </c>
      <c r="L35" s="266"/>
      <c r="M35" s="270"/>
      <c r="N35" s="276" t="s">
        <v>329</v>
      </c>
      <c r="O35" s="266"/>
      <c r="P35" s="266"/>
      <c r="Q35" s="266"/>
      <c r="R35" s="266"/>
      <c r="S35" s="267" t="s">
        <v>328</v>
      </c>
      <c r="T35" s="266"/>
      <c r="U35" s="270"/>
      <c r="V35" s="278" t="s">
        <v>327</v>
      </c>
      <c r="W35" s="266"/>
      <c r="X35" s="266"/>
      <c r="Y35" s="266"/>
      <c r="Z35" s="271" t="s">
        <v>326</v>
      </c>
      <c r="AA35" s="266"/>
      <c r="AB35" s="266"/>
      <c r="AC35" s="266"/>
      <c r="AD35" s="266"/>
      <c r="AE35" s="266"/>
      <c r="AF35" s="266"/>
      <c r="AG35" s="266"/>
      <c r="AH35" s="266"/>
      <c r="AI35" s="266"/>
      <c r="AJ35" s="270"/>
    </row>
    <row r="36" spans="2:36" s="46" customFormat="1" ht="25" customHeight="1" x14ac:dyDescent="0.25">
      <c r="B36" s="280"/>
      <c r="C36" s="283"/>
      <c r="D36" s="83" t="s">
        <v>325</v>
      </c>
      <c r="E36" s="81" t="s">
        <v>322</v>
      </c>
      <c r="F36" s="83" t="s">
        <v>324</v>
      </c>
      <c r="G36" s="80" t="s">
        <v>317</v>
      </c>
      <c r="H36" s="80" t="s">
        <v>323</v>
      </c>
      <c r="I36" s="82" t="s">
        <v>15</v>
      </c>
      <c r="J36" s="52" t="s">
        <v>322</v>
      </c>
      <c r="K36" s="82" t="s">
        <v>321</v>
      </c>
      <c r="L36" s="82" t="s">
        <v>320</v>
      </c>
      <c r="M36" s="81" t="s">
        <v>319</v>
      </c>
      <c r="N36" s="83" t="s">
        <v>324</v>
      </c>
      <c r="O36" s="80" t="s">
        <v>317</v>
      </c>
      <c r="P36" s="80" t="s">
        <v>323</v>
      </c>
      <c r="Q36" s="80" t="s">
        <v>15</v>
      </c>
      <c r="R36" s="79" t="s">
        <v>322</v>
      </c>
      <c r="S36" s="82" t="s">
        <v>321</v>
      </c>
      <c r="T36" s="82" t="s">
        <v>320</v>
      </c>
      <c r="U36" s="81" t="s">
        <v>319</v>
      </c>
      <c r="V36" s="85" t="s">
        <v>318</v>
      </c>
      <c r="W36" s="82" t="s">
        <v>317</v>
      </c>
      <c r="X36" s="82" t="s">
        <v>316</v>
      </c>
      <c r="Y36" s="82" t="s">
        <v>315</v>
      </c>
      <c r="Z36" s="82" t="s">
        <v>314</v>
      </c>
      <c r="AA36" s="82" t="s">
        <v>313</v>
      </c>
      <c r="AB36" s="82" t="s">
        <v>312</v>
      </c>
      <c r="AC36" s="82" t="s">
        <v>311</v>
      </c>
      <c r="AD36" s="82" t="s">
        <v>310</v>
      </c>
      <c r="AE36" s="82" t="s">
        <v>309</v>
      </c>
      <c r="AF36" s="82" t="s">
        <v>308</v>
      </c>
      <c r="AG36" s="82" t="s">
        <v>307</v>
      </c>
      <c r="AH36" s="82" t="s">
        <v>306</v>
      </c>
      <c r="AI36" s="82" t="s">
        <v>305</v>
      </c>
      <c r="AJ36" s="84" t="s">
        <v>304</v>
      </c>
    </row>
    <row r="37" spans="2:36" s="46" customFormat="1" ht="15" customHeight="1" x14ac:dyDescent="0.25">
      <c r="B37" s="280"/>
      <c r="C37" s="283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80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43" customFormat="1" ht="24" customHeight="1" x14ac:dyDescent="0.25">
      <c r="B38" s="280"/>
      <c r="C38" s="283"/>
      <c r="D38" s="145"/>
      <c r="E38" s="139"/>
      <c r="F38" s="145"/>
      <c r="G38" s="141"/>
      <c r="H38" s="141"/>
      <c r="I38" s="133"/>
      <c r="J38" s="133"/>
      <c r="K38" s="133"/>
      <c r="L38" s="133"/>
      <c r="M38" s="139"/>
      <c r="N38" s="132"/>
      <c r="O38" s="133"/>
      <c r="P38" s="133"/>
      <c r="Q38" s="133"/>
      <c r="R38" s="133"/>
      <c r="S38" s="133"/>
      <c r="T38" s="133"/>
      <c r="U38" s="139"/>
      <c r="V38" s="132"/>
      <c r="W38" s="133"/>
      <c r="X38" s="133"/>
      <c r="Y38" s="133"/>
      <c r="Z38" s="133"/>
      <c r="AA38" s="133"/>
      <c r="AB38" s="133"/>
      <c r="AC38" s="133"/>
      <c r="AD38" s="133"/>
      <c r="AE38" s="133" t="e">
        <f>Z38/AB38</f>
        <v>#DIV/0!</v>
      </c>
      <c r="AF38" s="133"/>
      <c r="AG38" s="133"/>
      <c r="AH38" s="133" t="e">
        <f>AF38/(Z38-AB38)</f>
        <v>#DIV/0!</v>
      </c>
      <c r="AI38" s="153" t="s">
        <v>296</v>
      </c>
      <c r="AJ38" s="150" t="e">
        <f>IF((AH38-AI38)&gt;=0,"↑","↓")</f>
        <v>#DIV/0!</v>
      </c>
    </row>
    <row r="39" spans="2:36" s="46" customFormat="1" ht="15" customHeight="1" x14ac:dyDescent="0.25">
      <c r="B39" s="280"/>
      <c r="C39" s="283"/>
      <c r="D39" s="275" t="s">
        <v>295</v>
      </c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3"/>
      <c r="R39" s="86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92" t="s">
        <v>82</v>
      </c>
    </row>
    <row r="40" spans="2:36" s="46" customFormat="1" ht="15" customHeight="1" x14ac:dyDescent="0.25">
      <c r="B40" s="280"/>
      <c r="C40" s="283"/>
      <c r="D40" s="278" t="s">
        <v>294</v>
      </c>
      <c r="E40" s="266"/>
      <c r="F40" s="266"/>
      <c r="G40" s="271" t="s">
        <v>293</v>
      </c>
      <c r="H40" s="266"/>
      <c r="I40" s="266"/>
      <c r="J40" s="271" t="s">
        <v>292</v>
      </c>
      <c r="K40" s="266"/>
      <c r="L40" s="266"/>
      <c r="M40" s="271" t="s">
        <v>291</v>
      </c>
      <c r="N40" s="271" t="s">
        <v>290</v>
      </c>
      <c r="O40" s="271" t="s">
        <v>289</v>
      </c>
      <c r="P40" s="271" t="s">
        <v>225</v>
      </c>
      <c r="Q40" s="277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80"/>
      <c r="C41" s="283"/>
      <c r="D41" s="85" t="s">
        <v>287</v>
      </c>
      <c r="E41" s="82" t="s">
        <v>286</v>
      </c>
      <c r="F41" s="82" t="s">
        <v>285</v>
      </c>
      <c r="G41" s="82" t="s">
        <v>287</v>
      </c>
      <c r="H41" s="82" t="s">
        <v>286</v>
      </c>
      <c r="I41" s="82" t="s">
        <v>285</v>
      </c>
      <c r="J41" s="82" t="s">
        <v>287</v>
      </c>
      <c r="K41" s="82" t="s">
        <v>286</v>
      </c>
      <c r="L41" s="82" t="s">
        <v>285</v>
      </c>
      <c r="M41" s="266"/>
      <c r="N41" s="266"/>
      <c r="O41" s="266"/>
      <c r="P41" s="266"/>
      <c r="Q41" s="270"/>
      <c r="R41" s="83" t="s">
        <v>4</v>
      </c>
      <c r="S41" s="80" t="s">
        <v>4</v>
      </c>
      <c r="T41" s="80" t="s">
        <v>4</v>
      </c>
      <c r="U41" s="80" t="s">
        <v>82</v>
      </c>
      <c r="V41" s="80" t="s">
        <v>82</v>
      </c>
      <c r="W41" s="82" t="s">
        <v>82</v>
      </c>
      <c r="X41" s="80" t="s">
        <v>82</v>
      </c>
      <c r="Y41" s="80" t="s">
        <v>82</v>
      </c>
      <c r="Z41" s="82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80"/>
      <c r="C42" s="283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43" customFormat="1" ht="24" customHeight="1" x14ac:dyDescent="0.25">
      <c r="B43" s="281"/>
      <c r="C43" s="284"/>
      <c r="D43" s="132"/>
      <c r="E43" s="133"/>
      <c r="F43" s="133">
        <f>D43-E43</f>
        <v>0</v>
      </c>
      <c r="G43" s="133"/>
      <c r="H43" s="133"/>
      <c r="I43" s="133">
        <f>G43-H43</f>
        <v>0</v>
      </c>
      <c r="J43" s="133"/>
      <c r="K43" s="133"/>
      <c r="L43" s="133">
        <f>J43-K43</f>
        <v>0</v>
      </c>
      <c r="M43" s="133"/>
      <c r="N43" s="133"/>
      <c r="O43" s="133" t="e">
        <f>N43/M43</f>
        <v>#DIV/0!</v>
      </c>
      <c r="P43" s="133"/>
      <c r="Q43" s="155">
        <v>301</v>
      </c>
      <c r="R43" s="132" t="s">
        <v>4</v>
      </c>
      <c r="S43" s="133" t="s">
        <v>4</v>
      </c>
      <c r="T43" s="133" t="s">
        <v>4</v>
      </c>
      <c r="U43" s="133" t="s">
        <v>82</v>
      </c>
      <c r="V43" s="133" t="s">
        <v>82</v>
      </c>
      <c r="W43" s="133" t="s">
        <v>82</v>
      </c>
      <c r="X43" s="133" t="s">
        <v>82</v>
      </c>
      <c r="Y43" s="133" t="s">
        <v>82</v>
      </c>
      <c r="Z43" s="133" t="s">
        <v>82</v>
      </c>
      <c r="AA43" s="133" t="s">
        <v>82</v>
      </c>
      <c r="AB43" s="133" t="s">
        <v>82</v>
      </c>
      <c r="AC43" s="133" t="s">
        <v>82</v>
      </c>
      <c r="AD43" s="133" t="s">
        <v>82</v>
      </c>
      <c r="AE43" s="141" t="s">
        <v>82</v>
      </c>
      <c r="AF43" s="141" t="s">
        <v>82</v>
      </c>
      <c r="AG43" s="141" t="s">
        <v>82</v>
      </c>
      <c r="AH43" s="141" t="s">
        <v>82</v>
      </c>
      <c r="AI43" s="141" t="s">
        <v>82</v>
      </c>
      <c r="AJ43" s="14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</mergeCells>
  <phoneticPr fontId="1" type="noConversion"/>
  <conditionalFormatting sqref="F7">
    <cfRule type="cellIs" dxfId="32" priority="25" operator="equal">
      <formula>"↓"</formula>
    </cfRule>
    <cfRule type="cellIs" dxfId="31" priority="26" operator="equal">
      <formula>"↑"</formula>
    </cfRule>
  </conditionalFormatting>
  <conditionalFormatting sqref="F12">
    <cfRule type="cellIs" dxfId="30" priority="5" operator="equal">
      <formula>"↓"</formula>
    </cfRule>
    <cfRule type="cellIs" dxfId="29" priority="6" operator="equal">
      <formula>"↑"</formula>
    </cfRule>
  </conditionalFormatting>
  <conditionalFormatting sqref="F28">
    <cfRule type="cellIs" dxfId="28" priority="23" operator="equal">
      <formula>"↓"</formula>
    </cfRule>
    <cfRule type="cellIs" dxfId="27" priority="24" operator="equal">
      <formula>"↑"</formula>
    </cfRule>
  </conditionalFormatting>
  <conditionalFormatting sqref="F33">
    <cfRule type="cellIs" dxfId="26" priority="1" operator="equal">
      <formula>"↓"</formula>
    </cfRule>
    <cfRule type="cellIs" dxfId="25" priority="2" operator="equal">
      <formula>"↑"</formula>
    </cfRule>
  </conditionalFormatting>
  <conditionalFormatting sqref="T12">
    <cfRule type="cellIs" dxfId="24" priority="21" operator="equal">
      <formula>"↓"</formula>
    </cfRule>
    <cfRule type="cellIs" dxfId="23" priority="22" operator="equal">
      <formula>"↑"</formula>
    </cfRule>
  </conditionalFormatting>
  <conditionalFormatting sqref="T33">
    <cfRule type="cellIs" dxfId="22" priority="19" operator="equal">
      <formula>"↓"</formula>
    </cfRule>
    <cfRule type="cellIs" dxfId="21" priority="20" operator="equal">
      <formula>"↑"</formula>
    </cfRule>
  </conditionalFormatting>
  <conditionalFormatting sqref="Z12">
    <cfRule type="cellIs" dxfId="20" priority="17" operator="equal">
      <formula>"↓"</formula>
    </cfRule>
    <cfRule type="cellIs" dxfId="19" priority="18" operator="equal">
      <formula>"↑"</formula>
    </cfRule>
  </conditionalFormatting>
  <conditionalFormatting sqref="Z33">
    <cfRule type="cellIs" dxfId="18" priority="15" operator="equal">
      <formula>"↓"</formula>
    </cfRule>
    <cfRule type="cellIs" dxfId="17" priority="16" operator="equal">
      <formula>"↑"</formula>
    </cfRule>
  </conditionalFormatting>
  <conditionalFormatting sqref="AD12">
    <cfRule type="cellIs" dxfId="16" priority="13" operator="equal">
      <formula>"↓"</formula>
    </cfRule>
    <cfRule type="cellIs" dxfId="15" priority="14" operator="equal">
      <formula>"↑"</formula>
    </cfRule>
  </conditionalFormatting>
  <conditionalFormatting sqref="AD33">
    <cfRule type="cellIs" dxfId="14" priority="11" operator="equal">
      <formula>"↓"</formula>
    </cfRule>
    <cfRule type="cellIs" dxfId="13" priority="12" operator="equal">
      <formula>"↑"</formula>
    </cfRule>
  </conditionalFormatting>
  <conditionalFormatting sqref="AJ17">
    <cfRule type="cellIs" dxfId="12" priority="9" operator="equal">
      <formula>"↓"</formula>
    </cfRule>
    <cfRule type="cellIs" dxfId="11" priority="10" operator="equal">
      <formula>"↑"</formula>
    </cfRule>
  </conditionalFormatting>
  <conditionalFormatting sqref="AJ38">
    <cfRule type="cellIs" dxfId="10" priority="7" operator="equal">
      <formula>"↓"</formula>
    </cfRule>
    <cfRule type="cellIs" dxfId="9" priority="8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EA73-FCDC-4A96-868F-26A72DE36800}">
  <dimension ref="B1:U24"/>
  <sheetViews>
    <sheetView topLeftCell="A4" zoomScale="85" zoomScaleNormal="85" workbookViewId="0">
      <selection activeCell="J12" sqref="J12:R12"/>
    </sheetView>
  </sheetViews>
  <sheetFormatPr defaultColWidth="9" defaultRowHeight="45" customHeight="1" x14ac:dyDescent="0.3"/>
  <cols>
    <col min="1" max="1" width="2.08984375" style="72" customWidth="1"/>
    <col min="2" max="3" width="6.90625" style="72" customWidth="1"/>
    <col min="4" max="5" width="7.08984375" style="72" customWidth="1"/>
    <col min="6" max="7" width="6.08984375" style="72" customWidth="1"/>
    <col min="8" max="9" width="5.08984375" style="100" customWidth="1"/>
    <col min="10" max="11" width="6.08984375" style="72" customWidth="1"/>
    <col min="12" max="13" width="7.54296875" style="72" customWidth="1"/>
    <col min="14" max="18" width="6.08984375" style="72" customWidth="1"/>
    <col min="19" max="19" width="5.08984375" style="72" hidden="1" customWidth="1"/>
    <col min="20" max="20" width="25.26953125" style="72" customWidth="1"/>
    <col min="21" max="21" width="16.7265625" style="72" customWidth="1"/>
    <col min="22" max="16384" width="9" style="72"/>
  </cols>
  <sheetData>
    <row r="1" spans="2:21" ht="13.5" thickBot="1" x14ac:dyDescent="0.35">
      <c r="B1" s="71"/>
      <c r="C1" s="71"/>
      <c r="D1" s="71"/>
      <c r="E1" s="71"/>
      <c r="F1" s="71"/>
      <c r="G1" s="71"/>
      <c r="H1" s="99"/>
      <c r="I1" s="99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2:21" ht="45" customHeight="1" x14ac:dyDescent="0.3">
      <c r="B2" s="413" t="s">
        <v>454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5"/>
    </row>
    <row r="3" spans="2:21" ht="45" customHeight="1" thickBot="1" x14ac:dyDescent="0.35">
      <c r="B3" s="416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8"/>
    </row>
    <row r="4" spans="2:21" s="73" customFormat="1" ht="45" customHeight="1" thickBot="1" x14ac:dyDescent="0.4">
      <c r="B4" s="424" t="s">
        <v>453</v>
      </c>
      <c r="C4" s="425"/>
      <c r="D4" s="426"/>
      <c r="E4" s="427"/>
      <c r="F4" s="427"/>
      <c r="G4" s="428"/>
      <c r="H4" s="426"/>
      <c r="I4" s="427"/>
      <c r="J4" s="427"/>
      <c r="K4" s="427"/>
      <c r="L4" s="427"/>
      <c r="M4" s="427"/>
      <c r="N4" s="427"/>
      <c r="O4" s="427"/>
      <c r="P4" s="427"/>
      <c r="Q4" s="427"/>
      <c r="R4" s="428"/>
      <c r="S4" s="157"/>
      <c r="T4" s="158" t="s">
        <v>447</v>
      </c>
      <c r="U4" s="78"/>
    </row>
    <row r="5" spans="2:21" s="75" customFormat="1" ht="45" customHeight="1" x14ac:dyDescent="0.25">
      <c r="B5" s="359" t="s">
        <v>408</v>
      </c>
      <c r="C5" s="360"/>
      <c r="D5" s="361"/>
      <c r="E5" s="74" t="s">
        <v>453</v>
      </c>
      <c r="F5" s="365" t="s">
        <v>409</v>
      </c>
      <c r="G5" s="364"/>
      <c r="H5" s="419" t="s">
        <v>410</v>
      </c>
      <c r="I5" s="420"/>
      <c r="J5" s="421" t="s">
        <v>411</v>
      </c>
      <c r="K5" s="422"/>
      <c r="L5" s="422"/>
      <c r="M5" s="422"/>
      <c r="N5" s="422"/>
      <c r="O5" s="422"/>
      <c r="P5" s="422"/>
      <c r="Q5" s="422"/>
      <c r="R5" s="420"/>
      <c r="S5" s="419" t="s">
        <v>412</v>
      </c>
      <c r="T5" s="423"/>
    </row>
    <row r="6" spans="2:21" s="73" customFormat="1" ht="45" customHeight="1" x14ac:dyDescent="0.35">
      <c r="B6" s="407" t="s">
        <v>413</v>
      </c>
      <c r="C6" s="408"/>
      <c r="D6" s="408"/>
      <c r="E6" s="76" t="s">
        <v>457</v>
      </c>
      <c r="F6" s="409" t="s">
        <v>455</v>
      </c>
      <c r="G6" s="409"/>
      <c r="H6" s="387"/>
      <c r="I6" s="388"/>
      <c r="J6" s="410"/>
      <c r="K6" s="411"/>
      <c r="L6" s="411"/>
      <c r="M6" s="411"/>
      <c r="N6" s="411"/>
      <c r="O6" s="411"/>
      <c r="P6" s="411"/>
      <c r="Q6" s="411"/>
      <c r="R6" s="411"/>
      <c r="S6" s="410"/>
      <c r="T6" s="412"/>
    </row>
    <row r="7" spans="2:21" s="73" customFormat="1" ht="45" customHeight="1" x14ac:dyDescent="0.35">
      <c r="B7" s="407" t="s">
        <v>415</v>
      </c>
      <c r="C7" s="408"/>
      <c r="D7" s="408"/>
      <c r="E7" s="76" t="s">
        <v>457</v>
      </c>
      <c r="F7" s="409" t="s">
        <v>455</v>
      </c>
      <c r="G7" s="409"/>
      <c r="H7" s="387"/>
      <c r="I7" s="388"/>
      <c r="J7" s="410"/>
      <c r="K7" s="411"/>
      <c r="L7" s="411"/>
      <c r="M7" s="411"/>
      <c r="N7" s="411"/>
      <c r="O7" s="411"/>
      <c r="P7" s="411"/>
      <c r="Q7" s="411"/>
      <c r="R7" s="411"/>
      <c r="S7" s="410"/>
      <c r="T7" s="412"/>
    </row>
    <row r="8" spans="2:21" s="73" customFormat="1" ht="45" customHeight="1" x14ac:dyDescent="0.35">
      <c r="B8" s="402" t="s">
        <v>416</v>
      </c>
      <c r="C8" s="403"/>
      <c r="D8" s="403"/>
      <c r="E8" s="77" t="s">
        <v>457</v>
      </c>
      <c r="F8" s="396" t="s">
        <v>414</v>
      </c>
      <c r="G8" s="397"/>
      <c r="H8" s="387"/>
      <c r="I8" s="388"/>
      <c r="J8" s="404"/>
      <c r="K8" s="405"/>
      <c r="L8" s="405"/>
      <c r="M8" s="405"/>
      <c r="N8" s="405"/>
      <c r="O8" s="405"/>
      <c r="P8" s="405"/>
      <c r="Q8" s="405"/>
      <c r="R8" s="405"/>
      <c r="S8" s="404"/>
      <c r="T8" s="406"/>
    </row>
    <row r="9" spans="2:21" s="75" customFormat="1" ht="45" customHeight="1" x14ac:dyDescent="0.25">
      <c r="B9" s="359" t="s">
        <v>417</v>
      </c>
      <c r="C9" s="360"/>
      <c r="D9" s="361"/>
      <c r="E9" s="74" t="s">
        <v>453</v>
      </c>
      <c r="F9" s="365" t="s">
        <v>409</v>
      </c>
      <c r="G9" s="364"/>
      <c r="H9" s="365" t="s">
        <v>410</v>
      </c>
      <c r="I9" s="364"/>
      <c r="J9" s="362" t="s">
        <v>411</v>
      </c>
      <c r="K9" s="363"/>
      <c r="L9" s="363"/>
      <c r="M9" s="363"/>
      <c r="N9" s="363"/>
      <c r="O9" s="363"/>
      <c r="P9" s="363"/>
      <c r="Q9" s="363"/>
      <c r="R9" s="364"/>
      <c r="S9" s="365" t="s">
        <v>412</v>
      </c>
      <c r="T9" s="366"/>
    </row>
    <row r="10" spans="2:21" s="73" customFormat="1" ht="45" customHeight="1" x14ac:dyDescent="0.35">
      <c r="B10" s="393" t="s">
        <v>418</v>
      </c>
      <c r="C10" s="394"/>
      <c r="D10" s="395"/>
      <c r="E10" s="76" t="s">
        <v>457</v>
      </c>
      <c r="F10" s="396">
        <v>1</v>
      </c>
      <c r="G10" s="397"/>
      <c r="H10" s="387"/>
      <c r="I10" s="388"/>
      <c r="J10" s="398"/>
      <c r="K10" s="342"/>
      <c r="L10" s="342"/>
      <c r="M10" s="342"/>
      <c r="N10" s="342"/>
      <c r="O10" s="342"/>
      <c r="P10" s="342"/>
      <c r="Q10" s="342"/>
      <c r="R10" s="399"/>
      <c r="S10" s="398"/>
      <c r="T10" s="343"/>
    </row>
    <row r="11" spans="2:21" s="73" customFormat="1" ht="45" customHeight="1" x14ac:dyDescent="0.35">
      <c r="B11" s="381" t="s">
        <v>419</v>
      </c>
      <c r="C11" s="382"/>
      <c r="D11" s="383"/>
      <c r="E11" s="77" t="s">
        <v>457</v>
      </c>
      <c r="F11" s="400">
        <v>1</v>
      </c>
      <c r="G11" s="401"/>
      <c r="H11" s="387"/>
      <c r="I11" s="388"/>
      <c r="J11" s="389"/>
      <c r="K11" s="390"/>
      <c r="L11" s="390"/>
      <c r="M11" s="390"/>
      <c r="N11" s="390"/>
      <c r="O11" s="390"/>
      <c r="P11" s="390"/>
      <c r="Q11" s="390"/>
      <c r="R11" s="391"/>
      <c r="S11" s="389"/>
      <c r="T11" s="392"/>
    </row>
    <row r="12" spans="2:21" s="75" customFormat="1" ht="45" customHeight="1" x14ac:dyDescent="0.25">
      <c r="B12" s="359" t="s">
        <v>420</v>
      </c>
      <c r="C12" s="360"/>
      <c r="D12" s="361"/>
      <c r="E12" s="362" t="s">
        <v>421</v>
      </c>
      <c r="F12" s="326"/>
      <c r="G12" s="324"/>
      <c r="H12" s="365" t="s">
        <v>458</v>
      </c>
      <c r="I12" s="364"/>
      <c r="J12" s="362" t="s">
        <v>411</v>
      </c>
      <c r="K12" s="363"/>
      <c r="L12" s="363"/>
      <c r="M12" s="363"/>
      <c r="N12" s="363"/>
      <c r="O12" s="363"/>
      <c r="P12" s="363"/>
      <c r="Q12" s="363"/>
      <c r="R12" s="364"/>
      <c r="S12" s="365" t="s">
        <v>412</v>
      </c>
      <c r="T12" s="366"/>
    </row>
    <row r="13" spans="2:21" s="73" customFormat="1" ht="45" customHeight="1" x14ac:dyDescent="0.35">
      <c r="B13" s="381" t="s">
        <v>422</v>
      </c>
      <c r="C13" s="382"/>
      <c r="D13" s="383"/>
      <c r="E13" s="384" t="s">
        <v>456</v>
      </c>
      <c r="F13" s="385"/>
      <c r="G13" s="386"/>
      <c r="H13" s="387"/>
      <c r="I13" s="388"/>
      <c r="J13" s="389"/>
      <c r="K13" s="390"/>
      <c r="L13" s="390"/>
      <c r="M13" s="390"/>
      <c r="N13" s="390"/>
      <c r="O13" s="390"/>
      <c r="P13" s="390"/>
      <c r="Q13" s="390"/>
      <c r="R13" s="391"/>
      <c r="S13" s="389"/>
      <c r="T13" s="392"/>
    </row>
    <row r="14" spans="2:21" s="75" customFormat="1" ht="45" customHeight="1" x14ac:dyDescent="0.25">
      <c r="B14" s="359" t="s">
        <v>423</v>
      </c>
      <c r="C14" s="360"/>
      <c r="D14" s="361"/>
      <c r="E14" s="362" t="s">
        <v>424</v>
      </c>
      <c r="F14" s="326"/>
      <c r="G14" s="326"/>
      <c r="H14" s="326"/>
      <c r="I14" s="324"/>
      <c r="J14" s="362" t="s">
        <v>411</v>
      </c>
      <c r="K14" s="363"/>
      <c r="L14" s="363"/>
      <c r="M14" s="363"/>
      <c r="N14" s="363"/>
      <c r="O14" s="363"/>
      <c r="P14" s="363"/>
      <c r="Q14" s="363"/>
      <c r="R14" s="364"/>
      <c r="S14" s="365" t="s">
        <v>412</v>
      </c>
      <c r="T14" s="366"/>
    </row>
    <row r="15" spans="2:21" s="73" customFormat="1" ht="45" customHeight="1" x14ac:dyDescent="0.35">
      <c r="B15" s="367" t="s">
        <v>425</v>
      </c>
      <c r="C15" s="368"/>
      <c r="D15" s="369"/>
      <c r="E15" s="373"/>
      <c r="F15" s="374"/>
      <c r="G15" s="374"/>
      <c r="H15" s="374"/>
      <c r="I15" s="375"/>
      <c r="J15" s="373"/>
      <c r="K15" s="374"/>
      <c r="L15" s="374"/>
      <c r="M15" s="374"/>
      <c r="N15" s="374"/>
      <c r="O15" s="374"/>
      <c r="P15" s="374"/>
      <c r="Q15" s="374"/>
      <c r="R15" s="375"/>
      <c r="S15" s="373"/>
      <c r="T15" s="379"/>
    </row>
    <row r="16" spans="2:21" s="73" customFormat="1" ht="45" customHeight="1" x14ac:dyDescent="0.35">
      <c r="B16" s="370"/>
      <c r="C16" s="371"/>
      <c r="D16" s="372"/>
      <c r="E16" s="376"/>
      <c r="F16" s="377"/>
      <c r="G16" s="377"/>
      <c r="H16" s="377"/>
      <c r="I16" s="378"/>
      <c r="J16" s="376"/>
      <c r="K16" s="377"/>
      <c r="L16" s="377"/>
      <c r="M16" s="377"/>
      <c r="N16" s="377"/>
      <c r="O16" s="377"/>
      <c r="P16" s="377"/>
      <c r="Q16" s="377"/>
      <c r="R16" s="378"/>
      <c r="S16" s="376"/>
      <c r="T16" s="380"/>
    </row>
    <row r="17" spans="2:20" s="73" customFormat="1" ht="45" customHeight="1" x14ac:dyDescent="0.35">
      <c r="B17" s="347" t="s">
        <v>426</v>
      </c>
      <c r="C17" s="348"/>
      <c r="D17" s="349"/>
      <c r="E17" s="353" t="s">
        <v>427</v>
      </c>
      <c r="F17" s="354"/>
      <c r="G17" s="354"/>
      <c r="H17" s="354"/>
      <c r="I17" s="355"/>
      <c r="J17" s="353" t="s">
        <v>411</v>
      </c>
      <c r="K17" s="354"/>
      <c r="L17" s="354"/>
      <c r="M17" s="354"/>
      <c r="N17" s="354"/>
      <c r="O17" s="354"/>
      <c r="P17" s="354"/>
      <c r="Q17" s="354"/>
      <c r="R17" s="355"/>
      <c r="S17" s="356" t="s">
        <v>428</v>
      </c>
      <c r="T17" s="357"/>
    </row>
    <row r="18" spans="2:20" s="73" customFormat="1" ht="45" customHeight="1" thickBot="1" x14ac:dyDescent="0.4">
      <c r="B18" s="350"/>
      <c r="C18" s="351"/>
      <c r="D18" s="352"/>
      <c r="E18" s="319" t="s">
        <v>429</v>
      </c>
      <c r="F18" s="316"/>
      <c r="G18" s="316"/>
      <c r="H18" s="316"/>
      <c r="I18" s="317"/>
      <c r="J18" s="318" t="s">
        <v>4</v>
      </c>
      <c r="K18" s="316"/>
      <c r="L18" s="316"/>
      <c r="M18" s="316"/>
      <c r="N18" s="316"/>
      <c r="O18" s="316"/>
      <c r="P18" s="316"/>
      <c r="Q18" s="316"/>
      <c r="R18" s="317"/>
      <c r="S18" s="358"/>
      <c r="T18" s="346"/>
    </row>
    <row r="19" spans="2:20" s="73" customFormat="1" ht="45" customHeight="1" x14ac:dyDescent="0.35">
      <c r="B19" s="332" t="s">
        <v>430</v>
      </c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4"/>
    </row>
    <row r="20" spans="2:20" s="73" customFormat="1" ht="45" customHeight="1" x14ac:dyDescent="0.35">
      <c r="B20" s="327" t="s">
        <v>431</v>
      </c>
      <c r="C20" s="324"/>
      <c r="D20" s="325" t="s">
        <v>432</v>
      </c>
      <c r="E20" s="324"/>
      <c r="F20" s="325" t="s">
        <v>433</v>
      </c>
      <c r="G20" s="324"/>
      <c r="H20" s="325" t="s">
        <v>434</v>
      </c>
      <c r="I20" s="324"/>
      <c r="J20" s="325" t="s">
        <v>435</v>
      </c>
      <c r="K20" s="324"/>
      <c r="L20" s="325" t="s">
        <v>436</v>
      </c>
      <c r="M20" s="324"/>
      <c r="N20" s="325" t="s">
        <v>437</v>
      </c>
      <c r="O20" s="335"/>
      <c r="P20" s="336" t="s">
        <v>438</v>
      </c>
      <c r="Q20" s="326"/>
      <c r="R20" s="326"/>
      <c r="S20" s="326"/>
      <c r="T20" s="337"/>
    </row>
    <row r="21" spans="2:20" s="73" customFormat="1" ht="45" customHeight="1" x14ac:dyDescent="0.35">
      <c r="B21" s="328" t="s">
        <v>439</v>
      </c>
      <c r="C21" s="329"/>
      <c r="D21" s="330" t="s">
        <v>439</v>
      </c>
      <c r="E21" s="329"/>
      <c r="F21" s="330" t="s">
        <v>439</v>
      </c>
      <c r="G21" s="329"/>
      <c r="H21" s="330" t="s">
        <v>440</v>
      </c>
      <c r="I21" s="329"/>
      <c r="J21" s="330" t="s">
        <v>284</v>
      </c>
      <c r="K21" s="329"/>
      <c r="L21" s="330" t="s">
        <v>284</v>
      </c>
      <c r="M21" s="329"/>
      <c r="N21" s="330" t="s">
        <v>284</v>
      </c>
      <c r="O21" s="338"/>
      <c r="P21" s="339"/>
      <c r="Q21" s="338"/>
      <c r="R21" s="338"/>
      <c r="S21" s="338"/>
      <c r="T21" s="340"/>
    </row>
    <row r="22" spans="2:20" s="73" customFormat="1" ht="45" customHeight="1" x14ac:dyDescent="0.35">
      <c r="B22" s="331"/>
      <c r="C22" s="321"/>
      <c r="D22" s="320"/>
      <c r="E22" s="321"/>
      <c r="F22" s="320"/>
      <c r="G22" s="321"/>
      <c r="H22" s="320"/>
      <c r="I22" s="321"/>
      <c r="J22" s="320"/>
      <c r="K22" s="321"/>
      <c r="L22" s="320"/>
      <c r="M22" s="321"/>
      <c r="N22" s="320"/>
      <c r="O22" s="322"/>
      <c r="P22" s="341"/>
      <c r="Q22" s="342"/>
      <c r="R22" s="342"/>
      <c r="S22" s="342"/>
      <c r="T22" s="343"/>
    </row>
    <row r="23" spans="2:20" s="73" customFormat="1" ht="45" customHeight="1" x14ac:dyDescent="0.35">
      <c r="B23" s="327" t="s">
        <v>441</v>
      </c>
      <c r="C23" s="326"/>
      <c r="D23" s="324"/>
      <c r="E23" s="323"/>
      <c r="F23" s="324"/>
      <c r="G23" s="325" t="s">
        <v>442</v>
      </c>
      <c r="H23" s="326"/>
      <c r="I23" s="324"/>
      <c r="J23" s="323"/>
      <c r="K23" s="324"/>
      <c r="L23" s="325" t="s">
        <v>443</v>
      </c>
      <c r="M23" s="324"/>
      <c r="N23" s="323"/>
      <c r="O23" s="326"/>
      <c r="P23" s="341"/>
      <c r="Q23" s="342"/>
      <c r="R23" s="342"/>
      <c r="S23" s="342"/>
      <c r="T23" s="343"/>
    </row>
    <row r="24" spans="2:20" s="73" customFormat="1" ht="45" customHeight="1" thickBot="1" x14ac:dyDescent="0.4">
      <c r="B24" s="315" t="s">
        <v>444</v>
      </c>
      <c r="C24" s="316"/>
      <c r="D24" s="317"/>
      <c r="E24" s="318"/>
      <c r="F24" s="317"/>
      <c r="G24" s="319" t="s">
        <v>445</v>
      </c>
      <c r="H24" s="316"/>
      <c r="I24" s="317"/>
      <c r="J24" s="318"/>
      <c r="K24" s="317"/>
      <c r="L24" s="319" t="s">
        <v>446</v>
      </c>
      <c r="M24" s="317"/>
      <c r="N24" s="318"/>
      <c r="O24" s="316"/>
      <c r="P24" s="344"/>
      <c r="Q24" s="345"/>
      <c r="R24" s="345"/>
      <c r="S24" s="345"/>
      <c r="T24" s="346"/>
    </row>
  </sheetData>
  <mergeCells count="100">
    <mergeCell ref="B2:T3"/>
    <mergeCell ref="B5:D5"/>
    <mergeCell ref="F5:G5"/>
    <mergeCell ref="H5:I5"/>
    <mergeCell ref="J5:R5"/>
    <mergeCell ref="S5:T5"/>
    <mergeCell ref="B4:C4"/>
    <mergeCell ref="D4:G4"/>
    <mergeCell ref="H4:R4"/>
    <mergeCell ref="B7:D7"/>
    <mergeCell ref="F7:G7"/>
    <mergeCell ref="H7:I7"/>
    <mergeCell ref="J7:R7"/>
    <mergeCell ref="S7:T7"/>
    <mergeCell ref="B6:D6"/>
    <mergeCell ref="F6:G6"/>
    <mergeCell ref="H6:I6"/>
    <mergeCell ref="J6:R6"/>
    <mergeCell ref="S6:T6"/>
    <mergeCell ref="B9:D9"/>
    <mergeCell ref="F9:G9"/>
    <mergeCell ref="H9:I9"/>
    <mergeCell ref="J9:R9"/>
    <mergeCell ref="S9:T9"/>
    <mergeCell ref="B8:D8"/>
    <mergeCell ref="F8:G8"/>
    <mergeCell ref="H8:I8"/>
    <mergeCell ref="J8:R8"/>
    <mergeCell ref="S8:T8"/>
    <mergeCell ref="B11:D11"/>
    <mergeCell ref="F11:G11"/>
    <mergeCell ref="H11:I11"/>
    <mergeCell ref="J11:R11"/>
    <mergeCell ref="S11:T11"/>
    <mergeCell ref="B10:D10"/>
    <mergeCell ref="F10:G10"/>
    <mergeCell ref="H10:I10"/>
    <mergeCell ref="J10:R10"/>
    <mergeCell ref="S10:T10"/>
    <mergeCell ref="B13:D13"/>
    <mergeCell ref="E13:G13"/>
    <mergeCell ref="H13:I13"/>
    <mergeCell ref="J13:R13"/>
    <mergeCell ref="S13:T13"/>
    <mergeCell ref="B12:D12"/>
    <mergeCell ref="E12:G12"/>
    <mergeCell ref="H12:I12"/>
    <mergeCell ref="J12:R12"/>
    <mergeCell ref="S12:T12"/>
    <mergeCell ref="B14:D14"/>
    <mergeCell ref="E14:I14"/>
    <mergeCell ref="J14:R14"/>
    <mergeCell ref="S14:T14"/>
    <mergeCell ref="B15:D16"/>
    <mergeCell ref="E15:I16"/>
    <mergeCell ref="J15:R16"/>
    <mergeCell ref="S15:T16"/>
    <mergeCell ref="B17:D18"/>
    <mergeCell ref="E17:I17"/>
    <mergeCell ref="J17:R17"/>
    <mergeCell ref="S17:T17"/>
    <mergeCell ref="E18:I18"/>
    <mergeCell ref="J18:R18"/>
    <mergeCell ref="S18:T18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N21:O21"/>
    <mergeCell ref="P21:T24"/>
    <mergeCell ref="B21:C21"/>
    <mergeCell ref="D21:E21"/>
    <mergeCell ref="F21:G21"/>
    <mergeCell ref="H21:I21"/>
    <mergeCell ref="F22:G22"/>
    <mergeCell ref="H22:I22"/>
    <mergeCell ref="B22:C22"/>
    <mergeCell ref="J22:K22"/>
    <mergeCell ref="L22:M22"/>
    <mergeCell ref="N22:O22"/>
    <mergeCell ref="N24:O24"/>
    <mergeCell ref="E23:F23"/>
    <mergeCell ref="G23:I23"/>
    <mergeCell ref="J23:K23"/>
    <mergeCell ref="L23:M23"/>
    <mergeCell ref="N23:O23"/>
    <mergeCell ref="D22:E22"/>
    <mergeCell ref="B23:D23"/>
    <mergeCell ref="B24:D24"/>
    <mergeCell ref="E24:F24"/>
    <mergeCell ref="G24:I24"/>
    <mergeCell ref="J24:K24"/>
    <mergeCell ref="L24:M24"/>
  </mergeCells>
  <phoneticPr fontId="1" type="noConversion"/>
  <conditionalFormatting sqref="H6:I8">
    <cfRule type="cellIs" dxfId="8" priority="10" operator="lessThan">
      <formula>0.98</formula>
    </cfRule>
    <cfRule type="cellIs" dxfId="7" priority="11" operator="greaterThanOrEqual">
      <formula>0.98</formula>
    </cfRule>
  </conditionalFormatting>
  <conditionalFormatting sqref="H10:I11">
    <cfRule type="cellIs" dxfId="6" priority="4" operator="lessThan">
      <formula>1</formula>
    </cfRule>
    <cfRule type="cellIs" dxfId="5" priority="5" operator="equal">
      <formula>1</formula>
    </cfRule>
    <cfRule type="cellIs" dxfId="4" priority="7" operator="greaterThanOrEqual">
      <formula>0.98</formula>
    </cfRule>
  </conditionalFormatting>
  <conditionalFormatting sqref="H11:I11">
    <cfRule type="cellIs" dxfId="3" priority="6" operator="lessThan">
      <formula>0.98</formula>
    </cfRule>
  </conditionalFormatting>
  <conditionalFormatting sqref="H13:I13">
    <cfRule type="cellIs" dxfId="2" priority="1" operator="equal">
      <formula>0.9</formula>
    </cfRule>
    <cfRule type="cellIs" dxfId="1" priority="2" operator="greaterThan">
      <formula>0.9</formula>
    </cfRule>
    <cfRule type="cellIs" dxfId="0" priority="3" operator="lessThan">
      <formula>0.9</formula>
    </cfRule>
  </conditionalFormatting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2026-05-15T05:50:02Z</dcterms:modified>
</cp:coreProperties>
</file>