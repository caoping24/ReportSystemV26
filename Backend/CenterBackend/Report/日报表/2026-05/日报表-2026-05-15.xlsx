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externalReferences>
    <externalReference r:id="rId7"/>
  </externalReferences>
  <definedNames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11" i="11" l="1"/>
  <c r="H10" i="11"/>
  <c r="M9" i="11"/>
  <c r="H9" i="11"/>
  <c r="I9" i="11" s="1"/>
  <c r="G9" i="11"/>
  <c r="H8" i="11"/>
  <c r="H7" i="11"/>
  <c r="M6" i="11"/>
  <c r="N6" i="11" s="1"/>
  <c r="H6" i="11"/>
  <c r="G6" i="11"/>
  <c r="N9" i="11" l="1"/>
  <c r="I6" i="11"/>
  <c r="O9" i="11"/>
  <c r="J6" i="11"/>
  <c r="J9" i="11" s="1"/>
  <c r="Q6" i="1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<sst xmlns="http://schemas.openxmlformats.org/spreadsheetml/2006/main" count="880" uniqueCount="371">
  <si>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</si>
  <si>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</si>
  <si>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</si>
  <si>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</si>
  <si>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</si>
  <si>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</si>
  <si>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</si>
  <si>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</si>
  <si>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</si>
  <si>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</si>
  <si>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</si>
  <si>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</si>
  <si>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</si>
  <si>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</si>
  <si>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</si>
  <si>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</si>
  <si>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</si>
  <si>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</si>
  <si>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</si>
  <si>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</si>
  <si>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</si>
  <si>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</si>
  <si>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</si>
  <si>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</si>
  <si>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</si>
  <si>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</si>
  <si>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</si>
  <si>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</si>
  <si>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</si>
  <si>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</si>
  <si>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</si>
  <si>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</si>
  <si>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</si>
  <si>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</si>
  <si>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</si>
  <si>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</si>
  <si>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</si>
  <si>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</si>
  <si>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</si>
  <si>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</si>
  <si>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</si>
  <si>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</si>
  <si>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</si>
  <si>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</si>
  <si>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</si>
  <si>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</si>
  <si>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</si>
  <si>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</si>
  <si>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</si>
  <si>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</si>
  <si>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</si>
  <si>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</si>
  <si>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</si>
  <si>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</si>
  <si>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</si>
  <si>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</si>
  <si>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</si>
  <si>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</si>
  <si>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</si>
  <si>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</si>
  <si>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</si>
  <si>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</si>
  <si>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</si>
  <si>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</si>
  <si>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</si>
  <si>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</si>
  <si>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</si>
  <si>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</si>
  <si>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</si>
  <si>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</si>
  <si>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</si>
  <si>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</si>
  <si>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</si>
  <si>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</si>
  <si>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</si>
  <si>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</si>
  <si>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</si>
  <si>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</si>
  <si>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</si>
  <si>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</si>
  <si>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</si>
  <si>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</si>
  <si>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</si>
  <si>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</si>
  <si>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</si>
  <si>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</si>
  <si>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</si>
  <si>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</si>
  <si>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</si>
  <si>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</si>
  <si>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</si>
  <si>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</si>
  <si>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</si>
  <si>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</si>
  <si>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</si>
  <si>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</si>
  <si>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</si>
  <si>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</si>
  <si>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</si>
  <si>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</si>
  <si>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</si>
  <si>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</si>
  <si>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</si>
  <si>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</si>
  <si>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</si>
  <si>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</si>
  <si>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</si>
  <si>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</si>
  <si>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</si>
  <si>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</si>
  <si>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</si>
  <si>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</si>
  <si>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</si>
  <si>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</si>
  <si>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</si>
  <si>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</si>
  <si>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</si>
  <si>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</si>
  <si>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</si>
  <si>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</si>
  <si>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</si>
  <si>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</si>
  <si>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</si>
  <si>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</si>
  <si>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</si>
  <si>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</si>
  <si>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</si>
  <si>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</si>
  <si>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</si>
  <si>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</si>
  <si>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</si>
  <si>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</si>
  <si>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</si>
  <si>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</si>
  <si>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</si>
  <si>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</si>
  <si>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</si>
  <si>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</si>
  <si>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</si>
  <si>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</si>
  <si>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</si>
  <si>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</si>
  <si>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</si>
  <si>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</si>
  <si>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</si>
  <si>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</si>
  <si>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</si>
  <si>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</si>
  <si>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</si>
  <si>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</si>
  <si>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</si>
  <si>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</si>
  <si>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</si>
  <si>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</si>
  <si>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</si>
  <si>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</si>
  <si>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</si>
  <si>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</si>
  <si>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</si>
  <si>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</si>
  <si>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</si>
  <si>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</si>
  <si>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</si>
  <si>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</si>
  <si>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</si>
  <si>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</si>
  <si>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</si>
  <si>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</si>
  <si>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</si>
  <si>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</si>
  <si>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</si>
  <si>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</si>
  <si>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</si>
  <si>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</si>
  <si>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</si>
  <si>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</si>
  <si>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</si>
  <si>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</si>
  <si>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</si>
  <si>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</si>
  <si>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</si>
  <si>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</si>
  <si>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</si>
  <si>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</si>
  <si>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</si>
  <si>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</si>
  <si>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</si>
  <si>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</si>
  <si>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</si>
  <si>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</si>
  <si>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</si>
  <si>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</si>
  <si>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</si>
  <si>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</si>
  <si>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</si>
  <si>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</si>
  <si>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</si>
  <si>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</si>
  <si>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</si>
  <si>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</si>
  <si>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</si>
  <si>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</si>
  <si>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</si>
  <si>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</si>
  <si>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</si>
  <si>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</si>
  <si>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</si>
  <si>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</si>
  <si>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</si>
  <si>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</si>
  <si>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</si>
  <si>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</si>
  <si>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</si>
  <si>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</si>
  <si>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</si>
  <si>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</si>
  <si>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</si>
  <si>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</si>
  <si>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</si>
  <si>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</si>
  <si>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</si>
  <si>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</si>
  <si>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</si>
  <si>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</si>
  <si>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</si>
  <si>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</si>
  <si>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</si>
  <si>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</si>
  <si>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</si>
  <si>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</si>
  <si>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</si>
  <si>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</si>
  <si>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</si>
  <si>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</si>
  <si>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</si>
  <si>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</si>
  <si>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</si>
  <si>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</si>
  <si>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</si>
  <si>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</si>
  <si>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</si>
  <si>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</si>
  <si>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</si>
  <si>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</si>
  <si>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</si>
  <si>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</si>
  <si>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</si>
  <si>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</si>
  <si>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</si>
  <si>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</si>
  <si>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</si>
  <si>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</si>
  <si>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</si>
  <si>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</si>
  <si>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</si>
  <si>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</si>
  <si>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</si>
  <si>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</si>
  <si>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</si>
  <si>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</si>
  <si>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</si>
  <si>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</si>
  <si>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</si>
  <si>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</si>
  <si>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</si>
  <si>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</si>
  <si>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</si>
  <si>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</si>
  <si>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</si>
  <si>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</si>
  <si>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</si>
  <si>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</si>
  <si>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</si>
  <si>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</si>
  <si>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</si>
  <si>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</si>
  <si>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</si>
  <si>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</si>
  <si>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</si>
  <si>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</si>
  <si>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</si>
  <si>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</si>
  <si>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</si>
  <si>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</si>
  <si>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</si>
  <si>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</si>
  <si>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</si>
  <si>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</si>
  <si>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</si>
  <si>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</si>
  <si>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</si>
  <si>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</si>
  <si>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</si>
  <si>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</si>
  <si>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</si>
  <si>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</si>
  <si>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</si>
  <si>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</si>
  <si>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</si>
  <si>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</si>
  <si>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</si>
  <si>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</si>
  <si>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</si>
  <si>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</si>
  <si>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</si>
  <si>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</si>
  <si>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</si>
  <si>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</si>
  <si>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</si>
  <si>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</si>
  <si>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</si>
  <si>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</si>
  <si>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</si>
  <si>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</si>
  <si>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</si>
  <si>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</si>
  <si>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</si>
  <si>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</si>
  <si>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</si>
  <si>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</si>
  <si>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</si>
  <si>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</si>
  <si>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</si>
  <si>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</si>
  <si>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</si>
  <si>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</si>
  <si>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</si>
  <si>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</si>
  <si>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</si>
  <si>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</si>
  <si>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</si>
  <si>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</si>
  <si>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</si>
  <si>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</si>
  <si>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</si>
  <si>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</si>
  <si>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</si>
  <si>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</si>
  <si>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</si>
  <si>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</si>
  <si>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</si>
  <si>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</si>
  <si>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</si>
  <si>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</si>
  <si>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</si>
  <si>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</si>
  <si>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</si>
  <si>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</si>
  <si>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</si>
  <si>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</si>
  <si>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</si>
  <si>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</si>
  <si>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</si>
  <si>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</si>
  <si>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</si>
  <si>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</si>
  <si>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</si>
  <si>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</si>
  <si>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</si>
  <si>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</si>
  <si>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</si>
  <si>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</si>
  <si>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</si>
  <si>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</si>
  <si>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</si>
  <si>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</si>
  <si>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</si>
  <si>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星期一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</si>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</sst>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 wrapText="1"/>
    </xf>
    <xf numFmtId="176" fontId="18" fillId="0" borderId="51" xfId="0" applyNumberFormat="1" applyFont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 wrapText="1"/>
    </xf>
    <xf numFmtId="177" fontId="17" fillId="0" borderId="47" xfId="0" applyNumberFormat="1" applyFont="1" applyBorder="1" applyAlignment="1">
      <alignment horizontal="center" vertical="center" wrapText="1"/>
    </xf>
    <xf numFmtId="177" fontId="17" fillId="0" borderId="51" xfId="0" applyNumberFormat="1" applyFont="1" applyBorder="1" applyAlignment="1">
      <alignment horizontal="center" vertical="center" wrapText="1"/>
    </xf>
    <xf numFmtId="177" fontId="17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17" fillId="0" borderId="30" xfId="0" applyNumberFormat="1" applyFont="1" applyBorder="1" applyAlignment="1">
      <alignment horizontal="center" vertical="center" wrapText="1"/>
    </xf>
    <xf numFmtId="177" fontId="17" fillId="0" borderId="48" xfId="0" applyNumberFormat="1" applyFont="1" applyBorder="1" applyAlignment="1">
      <alignment horizontal="center" vertical="center" wrapText="1"/>
    </xf>
    <xf numFmtId="177" fontId="17" fillId="0" borderId="52" xfId="0" applyNumberFormat="1" applyFont="1" applyBorder="1" applyAlignment="1">
      <alignment horizontal="center" vertical="center" wrapText="1"/>
    </xf>
    <xf numFmtId="177" fontId="17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17" fillId="0" borderId="12" xfId="0" applyNumberFormat="1" applyFont="1" applyBorder="1" applyAlignment="1">
      <alignment horizontal="center" vertical="center" wrapText="1"/>
    </xf>
    <xf numFmtId="177" fontId="18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17" fillId="0" borderId="45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18" fillId="0" borderId="47" xfId="0" applyNumberFormat="1" applyFont="1" applyBorder="1" applyAlignment="1">
      <alignment horizontal="center" vertical="center" wrapText="1"/>
    </xf>
    <xf numFmtId="177" fontId="18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vertical="center"/>
    </xf>
    <xf numFmtId="0" fontId="20" fillId="3" borderId="62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left" vertical="center"/>
    </xf>
    <xf numFmtId="0" fontId="21" fillId="0" borderId="75" xfId="0" applyFont="1" applyBorder="1" applyAlignment="1">
      <alignment horizontal="center" vertical="center"/>
    </xf>
    <xf numFmtId="177" fontId="22" fillId="0" borderId="75" xfId="0" applyNumberFormat="1" applyFont="1" applyBorder="1" applyAlignment="1">
      <alignment horizontal="center" vertical="center"/>
    </xf>
    <xf numFmtId="177" fontId="16" fillId="0" borderId="75" xfId="0" applyNumberFormat="1" applyFont="1" applyBorder="1" applyAlignment="1">
      <alignment horizontal="center" vertical="center"/>
    </xf>
    <xf numFmtId="178" fontId="22" fillId="0" borderId="75" xfId="0" applyNumberFormat="1" applyFont="1" applyBorder="1" applyAlignment="1">
      <alignment horizontal="center" vertical="center"/>
    </xf>
    <xf numFmtId="178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1" fillId="0" borderId="75" xfId="0" quotePrefix="1" applyFont="1" applyBorder="1" applyAlignment="1">
      <alignment horizontal="center" vertical="center"/>
    </xf>
    <xf numFmtId="177" fontId="21" fillId="0" borderId="75" xfId="0" quotePrefix="1" applyNumberFormat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177" fontId="22" fillId="0" borderId="81" xfId="0" applyNumberFormat="1" applyFont="1" applyBorder="1" applyAlignment="1">
      <alignment horizontal="center" vertical="center"/>
    </xf>
    <xf numFmtId="177" fontId="16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7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179" fontId="21" fillId="5" borderId="75" xfId="0" applyNumberFormat="1" applyFont="1" applyFill="1" applyBorder="1" applyAlignment="1">
      <alignment vertical="center"/>
    </xf>
    <xf numFmtId="178" fontId="21" fillId="5" borderId="75" xfId="0" applyNumberFormat="1" applyFont="1" applyFill="1" applyBorder="1" applyAlignment="1">
      <alignment horizontal="center" vertical="center"/>
    </xf>
    <xf numFmtId="0" fontId="21" fillId="5" borderId="73" xfId="0" applyFont="1" applyFill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8" fontId="21" fillId="5" borderId="81" xfId="0" applyNumberFormat="1" applyFont="1" applyFill="1" applyBorder="1" applyAlignment="1">
      <alignment horizontal="center" vertical="center"/>
    </xf>
    <xf numFmtId="178" fontId="21" fillId="5" borderId="94" xfId="0" applyNumberFormat="1" applyFont="1" applyFill="1" applyBorder="1" applyAlignment="1">
      <alignment horizontal="center" vertical="center"/>
    </xf>
    <xf numFmtId="178" fontId="21" fillId="5" borderId="95" xfId="0" applyNumberFormat="1" applyFont="1" applyFill="1" applyBorder="1" applyAlignment="1">
      <alignment horizontal="center" vertical="center"/>
    </xf>
    <xf numFmtId="180" fontId="21" fillId="5" borderId="81" xfId="0" applyNumberFormat="1" applyFont="1" applyFill="1" applyBorder="1" applyAlignment="1">
      <alignment horizontal="center" vertical="center"/>
    </xf>
    <xf numFmtId="180" fontId="21" fillId="5" borderId="94" xfId="0" applyNumberFormat="1" applyFont="1" applyFill="1" applyBorder="1" applyAlignment="1">
      <alignment horizontal="center" vertical="center"/>
    </xf>
    <xf numFmtId="180" fontId="21" fillId="5" borderId="95" xfId="0" applyNumberFormat="1" applyFont="1" applyFill="1" applyBorder="1" applyAlignment="1">
      <alignment horizontal="center" vertical="center"/>
    </xf>
    <xf numFmtId="0" fontId="21" fillId="5" borderId="81" xfId="0" applyFont="1" applyFill="1" applyBorder="1" applyAlignment="1">
      <alignment horizontal="center" vertical="center"/>
    </xf>
    <xf numFmtId="0" fontId="21" fillId="5" borderId="94" xfId="0" applyFont="1" applyFill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19" fillId="3" borderId="71" xfId="0" applyFont="1" applyFill="1" applyBorder="1" applyAlignment="1">
      <alignment horizontal="center" vertical="center"/>
    </xf>
    <xf numFmtId="0" fontId="19" fillId="3" borderId="70" xfId="0" applyFont="1" applyFill="1" applyBorder="1" applyAlignment="1">
      <alignment horizontal="center" vertical="center"/>
    </xf>
    <xf numFmtId="0" fontId="19" fillId="3" borderId="69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51" t="s">
        <v>227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</row>
    <row r="3" spans="2:47" ht="20.15" customHeight="1" x14ac:dyDescent="0.25">
      <c r="B3" s="153" t="s">
        <v>181</v>
      </c>
      <c r="C3" s="111" t="s">
        <v>163</v>
      </c>
      <c r="D3" s="161"/>
      <c r="E3" s="161"/>
      <c r="F3" s="161"/>
      <c r="G3" s="161"/>
      <c r="H3" s="162"/>
      <c r="I3" s="165" t="s">
        <v>8</v>
      </c>
      <c r="J3" s="161"/>
      <c r="K3" s="161"/>
      <c r="L3" s="161"/>
      <c r="M3" s="161"/>
      <c r="N3" s="161"/>
      <c r="O3" s="161"/>
      <c r="P3" s="166"/>
      <c r="Q3" s="111" t="s">
        <v>77</v>
      </c>
      <c r="R3" s="161"/>
      <c r="S3" s="166"/>
      <c r="T3" s="111" t="s">
        <v>10</v>
      </c>
      <c r="U3" s="161"/>
      <c r="V3" s="161"/>
      <c r="W3" s="166"/>
      <c r="X3" s="111" t="s">
        <v>80</v>
      </c>
      <c r="Y3" s="112"/>
      <c r="Z3" s="111" t="s">
        <v>11</v>
      </c>
      <c r="AA3" s="112"/>
      <c r="AB3" s="13" t="s">
        <v>13</v>
      </c>
      <c r="AC3" s="111" t="s">
        <v>14</v>
      </c>
      <c r="AD3" s="112"/>
      <c r="AE3" s="115" t="s">
        <v>88</v>
      </c>
      <c r="AF3" s="116"/>
      <c r="AG3" s="116"/>
      <c r="AH3" s="116"/>
      <c r="AI3" s="116"/>
      <c r="AJ3" s="116"/>
      <c r="AK3" s="117"/>
      <c r="AL3" s="111" t="s">
        <v>18</v>
      </c>
      <c r="AM3" s="157"/>
      <c r="AN3" s="158"/>
      <c r="AO3" s="157" t="s">
        <v>16</v>
      </c>
      <c r="AP3" s="157"/>
      <c r="AQ3" s="157"/>
      <c r="AR3" s="160"/>
    </row>
    <row r="4" spans="2:47" ht="30" customHeight="1" x14ac:dyDescent="0.25">
      <c r="B4" s="154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63" t="s">
        <v>62</v>
      </c>
      <c r="J4" s="164"/>
      <c r="K4" s="3" t="s">
        <v>6</v>
      </c>
      <c r="L4" s="3" t="s">
        <v>66</v>
      </c>
      <c r="M4" s="3" t="s">
        <v>164</v>
      </c>
      <c r="N4" s="3" t="s">
        <v>165</v>
      </c>
      <c r="O4" s="118" t="s">
        <v>7</v>
      </c>
      <c r="P4" s="119"/>
      <c r="Q4" s="156" t="s">
        <v>71</v>
      </c>
      <c r="R4" s="119"/>
      <c r="S4" s="3" t="s">
        <v>51</v>
      </c>
      <c r="T4" s="3" t="s">
        <v>75</v>
      </c>
      <c r="U4" s="156" t="s">
        <v>78</v>
      </c>
      <c r="V4" s="119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13" t="s">
        <v>89</v>
      </c>
      <c r="AF4" s="114"/>
      <c r="AG4" s="113" t="s">
        <v>92</v>
      </c>
      <c r="AH4" s="114"/>
      <c r="AI4" s="10" t="s">
        <v>166</v>
      </c>
      <c r="AJ4" s="10" t="s">
        <v>167</v>
      </c>
      <c r="AK4" s="11" t="s">
        <v>115</v>
      </c>
      <c r="AL4" s="156" t="s">
        <v>110</v>
      </c>
      <c r="AM4" s="119"/>
      <c r="AN4" s="29" t="s">
        <v>111</v>
      </c>
      <c r="AO4" s="26" t="s">
        <v>12</v>
      </c>
      <c r="AP4" s="3" t="s">
        <v>1</v>
      </c>
      <c r="AQ4" s="132" t="s">
        <v>161</v>
      </c>
      <c r="AR4" s="159"/>
      <c r="AU4" s="20"/>
    </row>
    <row r="5" spans="2:47" ht="20.15" customHeight="1" x14ac:dyDescent="0.25">
      <c r="B5" s="155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54">
        <v>6.391058921813965</v>
      </c>
      <c r="D6" s="54">
        <v>18.777128219604492</v>
      </c>
      <c r="E6" s="54">
        <v>414.5265197753906</v>
      </c>
      <c r="F6" s="54"/>
      <c r="G6" s="54"/>
      <c r="H6" s="55">
        <v>414.7721862792969</v>
      </c>
      <c r="I6" s="56">
        <v>13.418692588806152</v>
      </c>
      <c r="J6" s="54"/>
      <c r="K6" s="54">
        <v>41.963253021240234</v>
      </c>
      <c r="L6" s="54">
        <v>1.320439100265503</v>
      </c>
      <c r="M6" s="54">
        <v>110.25933837890625</v>
      </c>
      <c r="N6" s="54">
        <v>111.09664154052734</v>
      </c>
      <c r="O6" s="54">
        <v>20.245996475219727</v>
      </c>
      <c r="P6" s="54"/>
      <c r="Q6" s="54"/>
      <c r="R6" s="54"/>
      <c r="S6" s="54">
        <v>139.73524475097656</v>
      </c>
      <c r="T6" s="54">
        <v>1.6100000143051147</v>
      </c>
      <c r="U6" s="54">
        <v>0.29961299896240234</v>
      </c>
      <c r="V6" s="54"/>
      <c r="W6" s="54">
        <v>90.69733428955078</v>
      </c>
      <c r="X6" s="54">
        <v>0.5298686027526855</v>
      </c>
      <c r="Y6" s="54"/>
      <c r="Z6" s="54">
        <v>0.7336227297782898</v>
      </c>
      <c r="AA6" s="54">
        <v>149.5659637451172</v>
      </c>
      <c r="AB6" s="54">
        <v>162.8544464111328</v>
      </c>
      <c r="AC6" s="54">
        <v>0.38841870427131653</v>
      </c>
      <c r="AD6" s="54">
        <v>155.36024475097656</v>
      </c>
      <c r="AE6" s="57">
        <v>33.099998474121094</v>
      </c>
      <c r="AF6" s="57"/>
      <c r="AG6" s="57"/>
      <c r="AH6" s="57">
        <v>13.710000038146973</v>
      </c>
      <c r="AI6" s="57">
        <v>23.979999542236328</v>
      </c>
      <c r="AJ6" s="57">
        <v>6.449999809265137</v>
      </c>
      <c r="AK6" s="57">
        <v>7.03000020980835</v>
      </c>
      <c r="AL6" s="54">
        <v>0</v>
      </c>
      <c r="AM6" s="58"/>
      <c r="AN6" s="59">
        <v>65.14756774902344</v>
      </c>
      <c r="AO6" s="60"/>
      <c r="AP6" s="61">
        <v>-79.96961975097656</v>
      </c>
      <c r="AQ6" s="61">
        <v>0.29347512125968933</v>
      </c>
      <c r="AR6" s="62"/>
    </row>
    <row r="7" spans="2:47" ht="13.5" customHeight="1" x14ac:dyDescent="0.25">
      <c r="B7" s="14">
        <v>0.375</v>
      </c>
      <c r="C7" s="54">
        <v>5.179398059844971</v>
      </c>
      <c r="D7" s="54">
        <v>18.75</v>
      </c>
      <c r="E7" s="54">
        <v>414.35479736328125</v>
      </c>
      <c r="F7" s="54">
        <v>0.2620624899864197</v>
      </c>
      <c r="G7" s="54">
        <v>0</v>
      </c>
      <c r="H7" s="55">
        <v>414.7618103027344</v>
      </c>
      <c r="I7" s="56">
        <v>19.82421875</v>
      </c>
      <c r="J7" s="54">
        <v>0.020479492843151093</v>
      </c>
      <c r="K7" s="54">
        <v>43.12065887451172</v>
      </c>
      <c r="L7" s="54">
        <v>1.391330361366272</v>
      </c>
      <c r="M7" s="54">
        <v>108.08377075195312</v>
      </c>
      <c r="N7" s="54">
        <v>109.41840362548828</v>
      </c>
      <c r="O7" s="54">
        <v>20.266775131225586</v>
      </c>
      <c r="P7" s="54">
        <v>20.2705078125</v>
      </c>
      <c r="Q7" s="54"/>
      <c r="R7" s="54">
        <v>2.6136474609375</v>
      </c>
      <c r="S7" s="54">
        <v>139.88714599609375</v>
      </c>
      <c r="T7" s="54">
        <v>1.6100000143051147</v>
      </c>
      <c r="U7" s="54">
        <v>0.3010801076889038</v>
      </c>
      <c r="V7" s="54">
        <v>0.3000156283378601</v>
      </c>
      <c r="W7" s="54">
        <v>90.29947662353516</v>
      </c>
      <c r="X7" s="54">
        <v>0.5320318341255188</v>
      </c>
      <c r="Y7" s="54" t="s">
        <v>82</v>
      </c>
      <c r="Z7" s="54">
        <v>0.7325810790061951</v>
      </c>
      <c r="AA7" s="54">
        <v>149.71788024902344</v>
      </c>
      <c r="AB7" s="54">
        <v>162.73147583007812</v>
      </c>
      <c r="AC7" s="54">
        <v>0.39304831624031067</v>
      </c>
      <c r="AD7" s="54">
        <v>155.31683349609375</v>
      </c>
      <c r="AE7" s="57"/>
      <c r="AF7" s="57"/>
      <c r="AG7" s="57"/>
      <c r="AH7" s="57"/>
      <c r="AI7" s="57"/>
      <c r="AJ7" s="57"/>
      <c r="AK7" s="57"/>
      <c r="AL7" s="54">
        <v>0</v>
      </c>
      <c r="AM7" s="58">
        <v>0.014867187477648258</v>
      </c>
      <c r="AN7" s="59">
        <v>64.0407943725586</v>
      </c>
      <c r="AO7" s="60"/>
      <c r="AP7" s="61">
        <v>-80.74363708496094</v>
      </c>
      <c r="AQ7" s="61">
        <v>0.31908276677131653</v>
      </c>
      <c r="AR7" s="62">
        <v>0.00029286195058375597</v>
      </c>
    </row>
    <row r="8" spans="2:47" ht="13.5" customHeight="1" x14ac:dyDescent="0.25">
      <c r="B8" s="14">
        <v>0.41666666666666669</v>
      </c>
      <c r="C8" s="54">
        <v>6.246383190155029</v>
      </c>
      <c r="D8" s="54">
        <v>18.76085090637207</v>
      </c>
      <c r="E8" s="54">
        <v>414.465576171875</v>
      </c>
      <c r="F8" s="54">
        <v>0.3365468680858612</v>
      </c>
      <c r="G8" s="54">
        <v>0</v>
      </c>
      <c r="H8" s="55">
        <v>414.4314880371094</v>
      </c>
      <c r="I8" s="56">
        <v>25.21701431274414</v>
      </c>
      <c r="J8" s="54">
        <v>0.019520508125424385</v>
      </c>
      <c r="K8" s="54">
        <v>43.974246978759766</v>
      </c>
      <c r="L8" s="54">
        <v>1.388798475265503</v>
      </c>
      <c r="M8" s="54">
        <v>110.35157012939453</v>
      </c>
      <c r="N8" s="54">
        <v>110.71324920654297</v>
      </c>
      <c r="O8" s="54">
        <v>19.62811851501465</v>
      </c>
      <c r="P8" s="54">
        <v>19.71484375</v>
      </c>
      <c r="Q8" s="54"/>
      <c r="R8" s="54">
        <v>2.28076171875</v>
      </c>
      <c r="S8" s="54">
        <v>139.29397583007812</v>
      </c>
      <c r="T8" s="54">
        <v>1.6100000143051147</v>
      </c>
      <c r="U8" s="54">
        <v>0.3014828562736511</v>
      </c>
      <c r="V8" s="54">
        <v>0.3000468611717224</v>
      </c>
      <c r="W8" s="54">
        <v>90.45138549804688</v>
      </c>
      <c r="X8" s="54">
        <v>0.5285108089447021</v>
      </c>
      <c r="Y8" s="54" t="s">
        <v>82</v>
      </c>
      <c r="Z8" s="54">
        <v>0.7370949387550354</v>
      </c>
      <c r="AA8" s="54">
        <v>148.67620849609375</v>
      </c>
      <c r="AB8" s="54">
        <v>162.7893524169922</v>
      </c>
      <c r="AC8" s="54">
        <v>0.48390480875968933</v>
      </c>
      <c r="AD8" s="54">
        <v>155.92446899414062</v>
      </c>
      <c r="AE8" s="57"/>
      <c r="AF8" s="57"/>
      <c r="AG8" s="57"/>
      <c r="AH8" s="57"/>
      <c r="AI8" s="57"/>
      <c r="AJ8" s="57"/>
      <c r="AK8" s="57"/>
      <c r="AL8" s="54">
        <v>3.3022279739379883</v>
      </c>
      <c r="AM8" s="58">
        <v>0.018385741859674454</v>
      </c>
      <c r="AN8" s="59">
        <v>61.08940887451172</v>
      </c>
      <c r="AO8" s="60"/>
      <c r="AP8" s="61">
        <v>-80.72193145751953</v>
      </c>
      <c r="AQ8" s="61">
        <v>0.30237269401550293</v>
      </c>
      <c r="AR8" s="62">
        <v>0.00029360962798818946</v>
      </c>
    </row>
    <row r="9" spans="2:47" ht="13.5" customHeight="1" x14ac:dyDescent="0.25">
      <c r="B9" s="14">
        <v>0.45833333333333298</v>
      </c>
      <c r="C9" s="54">
        <v>5.17578125</v>
      </c>
      <c r="D9" s="54">
        <v>18.84765625</v>
      </c>
      <c r="E9" s="54">
        <v>413.0621643066406</v>
      </c>
      <c r="F9" s="54">
        <v>0.26173436641693115</v>
      </c>
      <c r="G9" s="54">
        <v>0</v>
      </c>
      <c r="H9" s="55">
        <v>413.84014892578125</v>
      </c>
      <c r="I9" s="56">
        <v>28.508392333984375</v>
      </c>
      <c r="J9" s="54">
        <v>0.019039062783122063</v>
      </c>
      <c r="K9" s="54">
        <v>42.25983810424805</v>
      </c>
      <c r="L9" s="54">
        <v>1.3370769023895264</v>
      </c>
      <c r="M9" s="54">
        <v>108.73481750488281</v>
      </c>
      <c r="N9" s="54">
        <v>112.51446533203125</v>
      </c>
      <c r="O9" s="54">
        <v>19.659679412841797</v>
      </c>
      <c r="P9" s="54">
        <v>19.654296875</v>
      </c>
      <c r="Q9" s="54"/>
      <c r="R9" s="54">
        <v>2.3248291015625</v>
      </c>
      <c r="S9" s="54">
        <v>141.00115966796875</v>
      </c>
      <c r="T9" s="54">
        <v>1.6100000143051147</v>
      </c>
      <c r="U9" s="54">
        <v>0.29990020394325256</v>
      </c>
      <c r="V9" s="54">
        <v>0.29996874928474426</v>
      </c>
      <c r="W9" s="54">
        <v>90.47309112548828</v>
      </c>
      <c r="X9" s="54">
        <v>0.5309114456176758</v>
      </c>
      <c r="Y9" s="54" t="s">
        <v>82</v>
      </c>
      <c r="Z9" s="54">
        <v>0.7377893924713135</v>
      </c>
      <c r="AA9" s="54">
        <v>150.5570068359375</v>
      </c>
      <c r="AB9" s="54">
        <v>162.58680725097656</v>
      </c>
      <c r="AC9" s="54">
        <v>0.44071903824806213</v>
      </c>
      <c r="AD9" s="54">
        <v>154.60069274902344</v>
      </c>
      <c r="AE9" s="57"/>
      <c r="AF9" s="57"/>
      <c r="AG9" s="57"/>
      <c r="AH9" s="57"/>
      <c r="AI9" s="57"/>
      <c r="AJ9" s="57"/>
      <c r="AK9" s="57"/>
      <c r="AL9" s="54">
        <v>3.9134836196899414</v>
      </c>
      <c r="AM9" s="58">
        <v>0.01566503942012787</v>
      </c>
      <c r="AN9" s="59">
        <v>66.41709899902344</v>
      </c>
      <c r="AO9" s="60"/>
      <c r="AP9" s="61">
        <v>-80.75086975097656</v>
      </c>
      <c r="AQ9" s="61">
        <v>0.29311344027519226</v>
      </c>
      <c r="AR9" s="62">
        <v>0.00029261779855005443</v>
      </c>
    </row>
    <row r="10" spans="2:47" ht="13.5" customHeight="1" x14ac:dyDescent="0.25">
      <c r="B10" s="14">
        <v>0.5</v>
      </c>
      <c r="C10" s="54">
        <v>6.387442111968994</v>
      </c>
      <c r="D10" s="54">
        <v>19.352214813232422</v>
      </c>
      <c r="E10" s="54">
        <v>413.0325012207031</v>
      </c>
      <c r="F10" s="54">
        <v>0.3372499942779541</v>
      </c>
      <c r="G10" s="54">
        <v>0</v>
      </c>
      <c r="H10" s="55">
        <v>412.4378967285156</v>
      </c>
      <c r="I10" s="56">
        <v>23.419416427612305</v>
      </c>
      <c r="J10" s="54">
        <v>0.020021485164761543</v>
      </c>
      <c r="K10" s="54">
        <v>45.768226623535156</v>
      </c>
      <c r="L10" s="54">
        <v>1.4662905931472778</v>
      </c>
      <c r="M10" s="54">
        <v>109.87956237792969</v>
      </c>
      <c r="N10" s="54">
        <v>112.85445404052734</v>
      </c>
      <c r="O10" s="54">
        <v>19.669404983520508</v>
      </c>
      <c r="P10" s="54">
        <v>19.599609375</v>
      </c>
      <c r="Q10" s="54"/>
      <c r="R10" s="54">
        <v>2.80517578125</v>
      </c>
      <c r="S10" s="54">
        <v>141.00115966796875</v>
      </c>
      <c r="T10" s="54">
        <v>1.6100000143051147</v>
      </c>
      <c r="U10" s="54">
        <v>0.3006129860877991</v>
      </c>
      <c r="V10" s="54">
        <v>0.29984375834465027</v>
      </c>
      <c r="W10" s="54">
        <v>90.4803237915039</v>
      </c>
      <c r="X10" s="54">
        <v>0.5268345475196838</v>
      </c>
      <c r="Y10" s="54" t="s">
        <v>82</v>
      </c>
      <c r="Z10" s="54">
        <v>0.734259307384491</v>
      </c>
      <c r="AA10" s="54">
        <v>149.9276580810547</v>
      </c>
      <c r="AB10" s="54">
        <v>163.12210083007812</v>
      </c>
      <c r="AC10" s="54">
        <v>0.4065755307674408</v>
      </c>
      <c r="AD10" s="54">
        <v>155.57725524902344</v>
      </c>
      <c r="AE10" s="57"/>
      <c r="AF10" s="57"/>
      <c r="AG10" s="57"/>
      <c r="AH10" s="57"/>
      <c r="AI10" s="57"/>
      <c r="AJ10" s="57"/>
      <c r="AK10" s="57"/>
      <c r="AL10" s="54">
        <v>0</v>
      </c>
      <c r="AM10" s="58">
        <v>0.015596679411828518</v>
      </c>
      <c r="AN10" s="59">
        <v>65.3609619140625</v>
      </c>
      <c r="AO10" s="60"/>
      <c r="AP10" s="61">
        <v>-79.99855041503906</v>
      </c>
      <c r="AQ10" s="61">
        <v>0.2834201455116272</v>
      </c>
      <c r="AR10" s="62">
        <v>0.00028987121186219156</v>
      </c>
    </row>
    <row r="11" spans="2:47" ht="13.5" customHeight="1" x14ac:dyDescent="0.25">
      <c r="B11" s="14">
        <v>0.54166666666666696</v>
      </c>
      <c r="C11" s="54">
        <v>5.46875</v>
      </c>
      <c r="D11" s="54">
        <v>19.813369750976562</v>
      </c>
      <c r="E11" s="54">
        <v>412.9549255371094</v>
      </c>
      <c r="F11" s="54">
        <v>0.26551562547683716</v>
      </c>
      <c r="G11" s="54">
        <v>0</v>
      </c>
      <c r="H11" s="55">
        <v>411.7135009765625</v>
      </c>
      <c r="I11" s="56">
        <v>21.672454833984375</v>
      </c>
      <c r="J11" s="54">
        <v>0.020317383110523224</v>
      </c>
      <c r="K11" s="54">
        <v>44.54571533203125</v>
      </c>
      <c r="L11" s="54">
        <v>1.4270472526550293</v>
      </c>
      <c r="M11" s="54">
        <v>102.22982025146484</v>
      </c>
      <c r="N11" s="54">
        <v>109.46180725097656</v>
      </c>
      <c r="O11" s="54">
        <v>19.773300170898438</v>
      </c>
      <c r="P11" s="54">
        <v>19.5576171875</v>
      </c>
      <c r="Q11" s="54"/>
      <c r="R11" s="54">
        <v>2.7249755859375</v>
      </c>
      <c r="S11" s="54">
        <v>140.8203125</v>
      </c>
      <c r="T11" s="54">
        <v>1.6100000143051147</v>
      </c>
      <c r="U11" s="54">
        <v>0.29858851432800293</v>
      </c>
      <c r="V11" s="54">
        <v>0.3000468611717224</v>
      </c>
      <c r="W11" s="54">
        <v>90.87818145751953</v>
      </c>
      <c r="X11" s="54">
        <v>0.5299649238586426</v>
      </c>
      <c r="Y11" s="54" t="s">
        <v>82</v>
      </c>
      <c r="Z11" s="54">
        <v>0.739699125289917</v>
      </c>
      <c r="AA11" s="54">
        <v>149.19705200195312</v>
      </c>
      <c r="AB11" s="54">
        <v>162.8182830810547</v>
      </c>
      <c r="AC11" s="54">
        <v>0.3406756520271301</v>
      </c>
      <c r="AD11" s="54">
        <v>155.32406616210938</v>
      </c>
      <c r="AE11" s="57">
        <v>33.470001220703125</v>
      </c>
      <c r="AF11" s="57"/>
      <c r="AG11" s="57"/>
      <c r="AH11" s="57">
        <v>17.3700008392334</v>
      </c>
      <c r="AI11" s="57">
        <v>16.010000228881836</v>
      </c>
      <c r="AJ11" s="57">
        <v>8.600000381469727</v>
      </c>
      <c r="AK11" s="57">
        <v>6.78000020980835</v>
      </c>
      <c r="AL11" s="54">
        <v>13.082320213317871</v>
      </c>
      <c r="AM11" s="58">
        <v>0.015781249850988388</v>
      </c>
      <c r="AN11" s="59">
        <v>64.22164154052734</v>
      </c>
      <c r="AO11" s="60"/>
      <c r="AP11" s="61">
        <v>-80.98234558105469</v>
      </c>
      <c r="AQ11" s="61">
        <v>0.291015625</v>
      </c>
      <c r="AR11" s="62">
        <v>0.00028965758974663913</v>
      </c>
    </row>
    <row r="12" spans="2:47" ht="13.5" customHeight="1" x14ac:dyDescent="0.25">
      <c r="B12" s="14">
        <v>0.58333333333333304</v>
      </c>
      <c r="C12" s="54">
        <v>6.467013835906982</v>
      </c>
      <c r="D12" s="54">
        <v>19.970703125</v>
      </c>
      <c r="E12" s="54">
        <v>415.33843994140625</v>
      </c>
      <c r="F12" s="54">
        <v>0.3376406133174896</v>
      </c>
      <c r="G12" s="54">
        <v>0</v>
      </c>
      <c r="H12" s="55">
        <v>411.87896728515625</v>
      </c>
      <c r="I12" s="56">
        <v>6.608072757720947</v>
      </c>
      <c r="J12" s="54">
        <v>0.018924804404377937</v>
      </c>
      <c r="K12" s="54">
        <v>44.26359939575195</v>
      </c>
      <c r="L12" s="54">
        <v>1.3955801725387573</v>
      </c>
      <c r="M12" s="54">
        <v>108.6642837524414</v>
      </c>
      <c r="N12" s="54">
        <v>111.09664154052734</v>
      </c>
      <c r="O12" s="54">
        <v>19.483064651489258</v>
      </c>
      <c r="P12" s="54">
        <v>19.5361328125</v>
      </c>
      <c r="Q12" s="54"/>
      <c r="R12" s="54">
        <v>2.760498046875</v>
      </c>
      <c r="S12" s="54">
        <v>140.85647583007812</v>
      </c>
      <c r="T12" s="54">
        <v>1.6100000143051147</v>
      </c>
      <c r="U12" s="54">
        <v>0.29926908016204834</v>
      </c>
      <c r="V12" s="54">
        <v>0.2999531328678131</v>
      </c>
      <c r="W12" s="54">
        <v>90.4296875</v>
      </c>
      <c r="X12" s="54">
        <v>0.5292322635650635</v>
      </c>
      <c r="Y12" s="54" t="s">
        <v>82</v>
      </c>
      <c r="Z12" s="54">
        <v>0.7418981790542603</v>
      </c>
      <c r="AA12" s="54">
        <v>149.32725524902344</v>
      </c>
      <c r="AB12" s="54">
        <v>162.8182830810547</v>
      </c>
      <c r="AC12" s="54">
        <v>0.41543692350387573</v>
      </c>
      <c r="AD12" s="54">
        <v>155.331298828125</v>
      </c>
      <c r="AE12" s="57"/>
      <c r="AF12" s="57"/>
      <c r="AG12" s="57"/>
      <c r="AH12" s="57"/>
      <c r="AI12" s="57"/>
      <c r="AJ12" s="57"/>
      <c r="AK12" s="57"/>
      <c r="AL12" s="54">
        <v>35.43113327026367</v>
      </c>
      <c r="AM12" s="58">
        <v>0.0156406257301569</v>
      </c>
      <c r="AN12" s="59">
        <v>64.3373794555664</v>
      </c>
      <c r="AO12" s="60"/>
      <c r="AP12" s="61">
        <v>-80.98234558105469</v>
      </c>
      <c r="AQ12" s="61">
        <v>0.28378182649612427</v>
      </c>
      <c r="AR12" s="62">
        <v>0.0002904968278016895</v>
      </c>
    </row>
    <row r="13" spans="2:47" ht="13.5" customHeight="1" x14ac:dyDescent="0.25">
      <c r="B13" s="14">
        <v>0.625</v>
      </c>
      <c r="C13" s="54">
        <v>5.530237197875977</v>
      </c>
      <c r="D13" s="54">
        <v>19.99240493774414</v>
      </c>
      <c r="E13" s="54">
        <v>415.1111145019531</v>
      </c>
      <c r="F13" s="54">
        <v>0.2695625126361847</v>
      </c>
      <c r="G13" s="54">
        <v>0</v>
      </c>
      <c r="H13" s="55">
        <v>412.15936279296875</v>
      </c>
      <c r="I13" s="56">
        <v>26.43229103088379</v>
      </c>
      <c r="J13" s="54">
        <v>0.018703125417232513</v>
      </c>
      <c r="K13" s="54">
        <v>42.802371978759766</v>
      </c>
      <c r="L13" s="54">
        <v>1.3440394401550293</v>
      </c>
      <c r="M13" s="54">
        <v>107.53581237792969</v>
      </c>
      <c r="N13" s="54">
        <v>109.98263549804688</v>
      </c>
      <c r="O13" s="54">
        <v>19.393117904663086</v>
      </c>
      <c r="P13" s="54">
        <v>19.55859375</v>
      </c>
      <c r="Q13" s="54"/>
      <c r="R13" s="54">
        <v>2.7637939453125</v>
      </c>
      <c r="S13" s="54">
        <v>141.00115966796875</v>
      </c>
      <c r="T13" s="54">
        <v>1.6100000143051147</v>
      </c>
      <c r="U13" s="54">
        <v>0.29722538590431213</v>
      </c>
      <c r="V13" s="54">
        <v>0.3000156283378601</v>
      </c>
      <c r="W13" s="54">
        <v>90.5092544555664</v>
      </c>
      <c r="X13" s="54">
        <v>0.5318483710289001</v>
      </c>
      <c r="Y13" s="54" t="s">
        <v>82</v>
      </c>
      <c r="Z13" s="54">
        <v>0.7423611283302307</v>
      </c>
      <c r="AA13" s="54">
        <v>149.84808349609375</v>
      </c>
      <c r="AB13" s="54">
        <v>162.91232299804688</v>
      </c>
      <c r="AC13" s="54">
        <v>0.40715423226356506</v>
      </c>
      <c r="AD13" s="54">
        <v>155.19386291503906</v>
      </c>
      <c r="AE13" s="57"/>
      <c r="AF13" s="57"/>
      <c r="AG13" s="57"/>
      <c r="AH13" s="57"/>
      <c r="AI13" s="57"/>
      <c r="AJ13" s="57"/>
      <c r="AK13" s="57"/>
      <c r="AL13" s="54">
        <v>3.305844783782959</v>
      </c>
      <c r="AM13" s="58">
        <v>0.013428711332380772</v>
      </c>
      <c r="AN13" s="59">
        <v>63.25954818725586</v>
      </c>
      <c r="AO13" s="60"/>
      <c r="AP13" s="61">
        <v>-81.12702941894531</v>
      </c>
      <c r="AQ13" s="61">
        <v>0.28870081901550293</v>
      </c>
      <c r="AR13" s="62">
        <v>0.0002902221749536693</v>
      </c>
    </row>
    <row r="14" spans="2:47" ht="13.5" customHeight="1" x14ac:dyDescent="0.25">
      <c r="B14" s="14">
        <v>0.66666666666666696</v>
      </c>
      <c r="C14" s="54">
        <v>6.5357346534729</v>
      </c>
      <c r="D14" s="54">
        <v>19.970703125</v>
      </c>
      <c r="E14" s="54">
        <v>415.0099182128906</v>
      </c>
      <c r="F14" s="54">
        <v>0.33759376406669617</v>
      </c>
      <c r="G14" s="54">
        <v>0</v>
      </c>
      <c r="H14" s="55">
        <v>412.48565673828125</v>
      </c>
      <c r="I14" s="56">
        <v>23.216869354248047</v>
      </c>
      <c r="J14" s="54">
        <v>0.01908300817012787</v>
      </c>
      <c r="K14" s="54">
        <v>44.19849395751953</v>
      </c>
      <c r="L14" s="54">
        <v>1.3870805501937866</v>
      </c>
      <c r="M14" s="54">
        <v>111.19249725341797</v>
      </c>
      <c r="N14" s="54">
        <v>110.85069274902344</v>
      </c>
      <c r="O14" s="54">
        <v>19.560197830200195</v>
      </c>
      <c r="P14" s="54">
        <v>19.576171875</v>
      </c>
      <c r="Q14" s="54"/>
      <c r="R14" s="54">
        <v>2.788818359375</v>
      </c>
      <c r="S14" s="54">
        <v>141.05902099609375</v>
      </c>
      <c r="T14" s="54">
        <v>1.6100000143051147</v>
      </c>
      <c r="U14" s="54">
        <v>0.29914504289627075</v>
      </c>
      <c r="V14" s="54">
        <v>0.3000156283378601</v>
      </c>
      <c r="W14" s="54">
        <v>90.9939193725586</v>
      </c>
      <c r="X14" s="54">
        <v>0.5309599041938782</v>
      </c>
      <c r="Y14" s="54" t="s">
        <v>82</v>
      </c>
      <c r="Z14" s="54">
        <v>0.7390046715736389</v>
      </c>
      <c r="AA14" s="54">
        <v>149.50086975097656</v>
      </c>
      <c r="AB14" s="54">
        <v>162.73870849609375</v>
      </c>
      <c r="AC14" s="54">
        <v>0.5032913684844971</v>
      </c>
      <c r="AD14" s="54">
        <v>154.9551544189453</v>
      </c>
      <c r="AE14" s="57"/>
      <c r="AF14" s="57"/>
      <c r="AG14" s="57"/>
      <c r="AH14" s="57"/>
      <c r="AI14" s="57"/>
      <c r="AJ14" s="57"/>
      <c r="AK14" s="57"/>
      <c r="AL14" s="54">
        <v>0</v>
      </c>
      <c r="AM14" s="58">
        <v>0.011001952923834324</v>
      </c>
      <c r="AN14" s="59">
        <v>62.38064193725586</v>
      </c>
      <c r="AO14" s="60"/>
      <c r="AP14" s="61">
        <v>-81.11255645751953</v>
      </c>
      <c r="AQ14" s="61">
        <v>0.27155670523643494</v>
      </c>
      <c r="AR14" s="62">
        <v>0.0002904968278016895</v>
      </c>
    </row>
    <row r="15" spans="2:47" ht="13.5" customHeight="1" x14ac:dyDescent="0.25">
      <c r="B15" s="14">
        <v>0.70833333333333304</v>
      </c>
      <c r="C15" s="54">
        <v>5.494068145751953</v>
      </c>
      <c r="D15" s="54">
        <v>20.203994750976562</v>
      </c>
      <c r="E15" s="54">
        <v>415.31884765625</v>
      </c>
      <c r="F15" s="54">
        <v>0.26875001192092896</v>
      </c>
      <c r="G15" s="54">
        <v>0</v>
      </c>
      <c r="H15" s="55">
        <v>412.6881103515625</v>
      </c>
      <c r="I15" s="56">
        <v>24.584056854248047</v>
      </c>
      <c r="J15" s="54">
        <v>0.019306641072034836</v>
      </c>
      <c r="K15" s="54">
        <v>42.49131774902344</v>
      </c>
      <c r="L15" s="54">
        <v>1.3262262344360352</v>
      </c>
      <c r="M15" s="54">
        <v>108.56120300292969</v>
      </c>
      <c r="N15" s="54">
        <v>110.29369354248047</v>
      </c>
      <c r="O15" s="54">
        <v>19.354040145874023</v>
      </c>
      <c r="P15" s="54">
        <v>19.5859375</v>
      </c>
      <c r="Q15" s="54"/>
      <c r="R15" s="54">
        <v>2.793212890625</v>
      </c>
      <c r="S15" s="54">
        <v>141.13136291503906</v>
      </c>
      <c r="T15" s="54">
        <v>1.6100000143051147</v>
      </c>
      <c r="U15" s="54">
        <v>0.29884853959083557</v>
      </c>
      <c r="V15" s="54">
        <v>0.30012500286102295</v>
      </c>
      <c r="W15" s="54">
        <v>90.625</v>
      </c>
      <c r="X15" s="54">
        <v>0.5297860503196716</v>
      </c>
      <c r="Y15" s="54" t="s">
        <v>82</v>
      </c>
      <c r="Z15" s="54">
        <v>0.7380208373069763</v>
      </c>
      <c r="AA15" s="54">
        <v>149.7323455810547</v>
      </c>
      <c r="AB15" s="54">
        <v>162.7676544189453</v>
      </c>
      <c r="AC15" s="54">
        <v>0.4688585102558136</v>
      </c>
      <c r="AD15" s="54">
        <v>155.0491943359375</v>
      </c>
      <c r="AE15" s="57"/>
      <c r="AF15" s="57"/>
      <c r="AG15" s="57"/>
      <c r="AH15" s="57"/>
      <c r="AI15" s="57"/>
      <c r="AJ15" s="57"/>
      <c r="AK15" s="57"/>
      <c r="AL15" s="54">
        <v>8.19227409362793</v>
      </c>
      <c r="AM15" s="58">
        <v>0.010280273854732513</v>
      </c>
      <c r="AN15" s="59">
        <v>60.691551208496094</v>
      </c>
      <c r="AO15" s="60"/>
      <c r="AP15" s="61">
        <v>-81.32234191894531</v>
      </c>
      <c r="AQ15" s="61">
        <v>0.2942708432674408</v>
      </c>
      <c r="AR15" s="62">
        <v>0.00029089354211464524</v>
      </c>
    </row>
    <row r="16" spans="2:47" ht="13.5" customHeight="1" x14ac:dyDescent="0.25">
      <c r="B16" s="14">
        <v>0.75</v>
      </c>
      <c r="C16" s="54">
        <v>6.495948791503906</v>
      </c>
      <c r="D16" s="54">
        <v>20.019533157348633</v>
      </c>
      <c r="E16" s="54">
        <v>415.4732666015625</v>
      </c>
      <c r="F16" s="54">
        <v>0.33717188239097595</v>
      </c>
      <c r="G16" s="54">
        <v>0</v>
      </c>
      <c r="H16" s="55">
        <v>413.1260070800781</v>
      </c>
      <c r="I16" s="56">
        <v>13.925058364868164</v>
      </c>
      <c r="J16" s="54">
        <v>0.01957128942012787</v>
      </c>
      <c r="K16" s="54">
        <v>43.800636291503906</v>
      </c>
      <c r="L16" s="54">
        <v>1.3818360567092896</v>
      </c>
      <c r="M16" s="54">
        <v>106.55382537841797</v>
      </c>
      <c r="N16" s="54">
        <v>109.83072662353516</v>
      </c>
      <c r="O16" s="54">
        <v>19.60855484008789</v>
      </c>
      <c r="P16" s="54">
        <v>19.6015625</v>
      </c>
      <c r="Q16" s="54"/>
      <c r="R16" s="54">
        <v>2.810302734375</v>
      </c>
      <c r="S16" s="54">
        <v>140.8854217529297</v>
      </c>
      <c r="T16" s="54">
        <v>1.6100000143051147</v>
      </c>
      <c r="U16" s="54">
        <v>0.3010198771953583</v>
      </c>
      <c r="V16" s="54">
        <v>0.30000001192092896</v>
      </c>
      <c r="W16" s="54">
        <v>90.56713104248047</v>
      </c>
      <c r="X16" s="54">
        <v>0.5309306383132935</v>
      </c>
      <c r="Y16" s="54" t="s">
        <v>82</v>
      </c>
      <c r="Z16" s="54">
        <v>0.7325232028961182</v>
      </c>
      <c r="AA16" s="54">
        <v>148.94386291503906</v>
      </c>
      <c r="AB16" s="54">
        <v>162.53616333007812</v>
      </c>
      <c r="AC16" s="54">
        <v>0.37561488151550293</v>
      </c>
      <c r="AD16" s="54">
        <v>154.86111450195312</v>
      </c>
      <c r="AE16" s="57"/>
      <c r="AF16" s="57"/>
      <c r="AG16" s="57"/>
      <c r="AH16" s="57"/>
      <c r="AI16" s="57"/>
      <c r="AJ16" s="57"/>
      <c r="AK16" s="57"/>
      <c r="AL16" s="54">
        <v>15.154803276062012</v>
      </c>
      <c r="AM16" s="58">
        <v>0.011789062060415745</v>
      </c>
      <c r="AN16" s="59">
        <v>64.76055908203125</v>
      </c>
      <c r="AO16" s="60"/>
      <c r="AP16" s="61">
        <v>-81.36573791503906</v>
      </c>
      <c r="AQ16" s="61">
        <v>0.28247973322868347</v>
      </c>
      <c r="AR16" s="62">
        <v>0.00029054260812699795</v>
      </c>
    </row>
    <row r="17" spans="2:44" ht="13.5" customHeight="1" x14ac:dyDescent="0.25">
      <c r="B17" s="14">
        <v>0.79166666666666696</v>
      </c>
      <c r="C17" s="54">
        <v>5.3059892654418945</v>
      </c>
      <c r="D17" s="54">
        <v>19.68858528137207</v>
      </c>
      <c r="E17" s="54">
        <v>414.78118896484375</v>
      </c>
      <c r="F17" s="54">
        <v>0.26707813143730164</v>
      </c>
      <c r="G17" s="54">
        <v>0</v>
      </c>
      <c r="H17" s="55">
        <v>413.2314147949219</v>
      </c>
      <c r="I17" s="56">
        <v>24.786603927612305</v>
      </c>
      <c r="J17" s="54">
        <v>0.019258789718151093</v>
      </c>
      <c r="K17" s="54">
        <v>43.20022964477539</v>
      </c>
      <c r="L17" s="54">
        <v>1.3420500755310059</v>
      </c>
      <c r="M17" s="54">
        <v>110.1779556274414</v>
      </c>
      <c r="N17" s="54">
        <v>110.72771453857422</v>
      </c>
      <c r="O17" s="54">
        <v>19.774892807006836</v>
      </c>
      <c r="P17" s="54">
        <v>19.6123046875</v>
      </c>
      <c r="Q17" s="54"/>
      <c r="R17" s="54">
        <v>2.8172607421875</v>
      </c>
      <c r="S17" s="54">
        <v>140.8492431640625</v>
      </c>
      <c r="T17" s="54">
        <v>1.6100000143051147</v>
      </c>
      <c r="U17" s="54">
        <v>0.3006223440170288</v>
      </c>
      <c r="V17" s="54">
        <v>0.2999843657016754</v>
      </c>
      <c r="W17" s="54">
        <v>90.5743637084961</v>
      </c>
      <c r="X17" s="54">
        <v>0.5275275111198425</v>
      </c>
      <c r="Y17" s="54" t="s">
        <v>82</v>
      </c>
      <c r="Z17" s="54">
        <v>0.7345486283302307</v>
      </c>
      <c r="AA17" s="54">
        <v>149.4140625</v>
      </c>
      <c r="AB17" s="54">
        <v>162.83274841308594</v>
      </c>
      <c r="AC17" s="54">
        <v>0.4442274272441864</v>
      </c>
      <c r="AD17" s="54">
        <v>155.28790283203125</v>
      </c>
      <c r="AE17" s="57"/>
      <c r="AF17" s="57"/>
      <c r="AG17" s="57"/>
      <c r="AH17" s="57"/>
      <c r="AI17" s="57"/>
      <c r="AJ17" s="57"/>
      <c r="AK17" s="57"/>
      <c r="AL17" s="54">
        <v>20.786314010620117</v>
      </c>
      <c r="AM17" s="58">
        <v>0.013660156168043613</v>
      </c>
      <c r="AN17" s="59">
        <v>66.22901916503906</v>
      </c>
      <c r="AO17" s="60"/>
      <c r="AP17" s="61">
        <v>-81.26446533203125</v>
      </c>
      <c r="AQ17" s="61">
        <v>0.29571759700775146</v>
      </c>
      <c r="AR17" s="62">
        <v>0.0002917938109021634</v>
      </c>
    </row>
    <row r="18" spans="2:44" ht="13.5" customHeight="1" x14ac:dyDescent="0.25">
      <c r="B18" s="42">
        <v>0.83333333333333404</v>
      </c>
      <c r="C18" s="63">
        <v>6.217447757720947</v>
      </c>
      <c r="D18" s="63">
        <v>19.34678840637207</v>
      </c>
      <c r="E18" s="63">
        <v>414.9667053222656</v>
      </c>
      <c r="F18" s="63">
        <v>0.33695313334465027</v>
      </c>
      <c r="G18" s="63">
        <v>0</v>
      </c>
      <c r="H18" s="64">
        <v>413.06671142578125</v>
      </c>
      <c r="I18" s="65">
        <v>1.9495080709457397</v>
      </c>
      <c r="J18" s="63">
        <v>0.019275391474366188</v>
      </c>
      <c r="K18" s="63">
        <v>43.2508659362793</v>
      </c>
      <c r="L18" s="63">
        <v>1.3563368320465088</v>
      </c>
      <c r="M18" s="63">
        <v>110.00977325439453</v>
      </c>
      <c r="N18" s="63">
        <v>110.73495483398438</v>
      </c>
      <c r="O18" s="63">
        <v>19.595983505249023</v>
      </c>
      <c r="P18" s="63">
        <v>19.6142578125</v>
      </c>
      <c r="Q18" s="63"/>
      <c r="R18" s="63">
        <v>2.8084716796875</v>
      </c>
      <c r="S18" s="63">
        <v>141.12413024902344</v>
      </c>
      <c r="T18" s="63">
        <v>1.6100000143051147</v>
      </c>
      <c r="U18" s="63">
        <v>0.3015056550502777</v>
      </c>
      <c r="V18" s="63">
        <v>0.3000156283378601</v>
      </c>
      <c r="W18" s="63">
        <v>90.92158508300781</v>
      </c>
      <c r="X18" s="63">
        <v>0.5285807251930237</v>
      </c>
      <c r="Y18" s="63">
        <v>0.5454586744308472</v>
      </c>
      <c r="Z18" s="63">
        <v>0.7304398417472839</v>
      </c>
      <c r="AA18" s="63">
        <v>150.30381774902344</v>
      </c>
      <c r="AB18" s="63">
        <v>162.97743225097656</v>
      </c>
      <c r="AC18" s="63">
        <v>0.4207537770271301</v>
      </c>
      <c r="AD18" s="63">
        <v>155.51214599609375</v>
      </c>
      <c r="AE18" s="66">
        <v>33.77000045776367</v>
      </c>
      <c r="AF18" s="66"/>
      <c r="AG18" s="66"/>
      <c r="AH18" s="66">
        <v>12.800000190734863</v>
      </c>
      <c r="AI18" s="66"/>
      <c r="AJ18" s="66"/>
      <c r="AK18" s="66">
        <v>6.800000190734863</v>
      </c>
      <c r="AL18" s="63">
        <v>2.998408555984497</v>
      </c>
      <c r="AM18" s="67">
        <v>0.013590820133686066</v>
      </c>
      <c r="AN18" s="68">
        <v>63.98292541503906</v>
      </c>
      <c r="AO18" s="60"/>
      <c r="AP18" s="61">
        <v>-81.3946762084961</v>
      </c>
      <c r="AQ18" s="61">
        <v>0.28942418098449707</v>
      </c>
      <c r="AR18" s="69">
        <v>0.0002907714806497097</v>
      </c>
    </row>
    <row r="19" spans="2:44" ht="18" customHeight="1" x14ac:dyDescent="0.25">
      <c r="B19" s="123" t="s">
        <v>181</v>
      </c>
      <c r="C19" s="36" t="s">
        <v>168</v>
      </c>
      <c r="D19" s="36" t="s">
        <v>171</v>
      </c>
      <c r="E19" s="138" t="s">
        <v>17</v>
      </c>
      <c r="F19" s="139"/>
      <c r="G19" s="140"/>
      <c r="H19" s="141" t="s">
        <v>108</v>
      </c>
      <c r="I19" s="139"/>
      <c r="J19" s="139"/>
      <c r="K19" s="139"/>
      <c r="L19" s="142"/>
      <c r="M19" s="143" t="s">
        <v>123</v>
      </c>
      <c r="N19" s="139"/>
      <c r="O19" s="139"/>
      <c r="P19" s="139"/>
      <c r="Q19" s="140"/>
      <c r="R19" s="141" t="s">
        <v>147</v>
      </c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40"/>
      <c r="AG19" s="144" t="s">
        <v>24</v>
      </c>
      <c r="AH19" s="140"/>
      <c r="AI19" s="120" t="s">
        <v>173</v>
      </c>
      <c r="AJ19" s="121"/>
      <c r="AK19" s="121"/>
      <c r="AL19" s="121"/>
      <c r="AM19" s="122"/>
      <c r="AN19" s="144" t="s">
        <v>47</v>
      </c>
      <c r="AO19" s="145"/>
      <c r="AP19" s="139" t="s">
        <v>180</v>
      </c>
      <c r="AQ19" s="146"/>
      <c r="AR19" s="147"/>
    </row>
    <row r="20" spans="2:44" ht="20.15" customHeight="1" x14ac:dyDescent="0.25">
      <c r="B20" s="124"/>
      <c r="C20" s="3" t="s">
        <v>169</v>
      </c>
      <c r="D20" s="3" t="s">
        <v>113</v>
      </c>
      <c r="E20" s="3" t="s">
        <v>15</v>
      </c>
      <c r="F20" s="118" t="s">
        <v>100</v>
      </c>
      <c r="G20" s="119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32" t="s">
        <v>148</v>
      </c>
      <c r="AE20" s="119"/>
      <c r="AF20" s="17" t="s">
        <v>151</v>
      </c>
      <c r="AG20" s="17" t="s">
        <v>153</v>
      </c>
      <c r="AH20" s="17" t="s">
        <v>155</v>
      </c>
      <c r="AI20" s="113" t="s">
        <v>89</v>
      </c>
      <c r="AJ20" s="114"/>
      <c r="AK20" s="113" t="s">
        <v>92</v>
      </c>
      <c r="AL20" s="114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24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54">
        <v>-79.96961975097656</v>
      </c>
      <c r="D22" s="54">
        <v>-80.06365966796875</v>
      </c>
      <c r="E22" s="54">
        <v>103.13223266601562</v>
      </c>
      <c r="F22" s="54">
        <v>0.07024016231298447</v>
      </c>
      <c r="G22" s="54"/>
      <c r="H22" s="54"/>
      <c r="I22" s="54"/>
      <c r="J22" s="54"/>
      <c r="K22" s="54"/>
      <c r="L22" s="55"/>
      <c r="M22" s="70">
        <v>26.265913009643555</v>
      </c>
      <c r="N22" s="54">
        <v>46.220340728759766</v>
      </c>
      <c r="O22" s="54">
        <v>39.5</v>
      </c>
      <c r="P22" s="54">
        <v>22</v>
      </c>
      <c r="Q22" s="54">
        <v>3.391059160232544</v>
      </c>
      <c r="R22" s="54">
        <v>19.41189193725586</v>
      </c>
      <c r="S22" s="71">
        <v>94.53486633300781</v>
      </c>
      <c r="T22" s="71">
        <v>0</v>
      </c>
      <c r="U22" s="71">
        <v>0</v>
      </c>
      <c r="V22" s="71">
        <v>28.748916625976562</v>
      </c>
      <c r="W22" s="71">
        <v>90.60872650146484</v>
      </c>
      <c r="X22" s="71">
        <v>26</v>
      </c>
      <c r="Y22" s="71">
        <v>68.35069274902344</v>
      </c>
      <c r="Z22" s="71">
        <v>14.6827974319458</v>
      </c>
      <c r="AA22" s="71">
        <v>18.912761688232422</v>
      </c>
      <c r="AB22" s="71"/>
      <c r="AC22" s="58"/>
      <c r="AD22" s="58">
        <v>0</v>
      </c>
      <c r="AE22" s="58"/>
      <c r="AF22" s="58">
        <v>20.685039520263672</v>
      </c>
      <c r="AG22" s="58">
        <v>18.308738708496094</v>
      </c>
      <c r="AH22" s="58"/>
      <c r="AI22" s="72"/>
      <c r="AJ22" s="72"/>
      <c r="AK22" s="72"/>
      <c r="AL22" s="72"/>
      <c r="AM22" s="72"/>
      <c r="AN22" s="58">
        <v>40.219905853271484</v>
      </c>
      <c r="AO22" s="59">
        <v>50</v>
      </c>
      <c r="AP22" s="60">
        <v>23.292823791503906</v>
      </c>
      <c r="AQ22" s="61">
        <v>39.33376693725586</v>
      </c>
      <c r="AR22" s="62">
        <v>0.0868072509765625</v>
      </c>
    </row>
    <row r="23" spans="2:44" ht="13.5" customHeight="1" x14ac:dyDescent="0.25">
      <c r="B23" s="14">
        <v>0.375</v>
      </c>
      <c r="C23" s="54">
        <v>-80.74363708496094</v>
      </c>
      <c r="D23" s="54">
        <v>-80.77980041503906</v>
      </c>
      <c r="E23" s="54">
        <v>103.13223266601562</v>
      </c>
      <c r="F23" s="54">
        <v>0.08101852238178253</v>
      </c>
      <c r="G23" s="54">
        <v>8.151245128829032E-05</v>
      </c>
      <c r="H23" s="54"/>
      <c r="I23" s="54"/>
      <c r="J23" s="54"/>
      <c r="K23" s="54"/>
      <c r="L23" s="55"/>
      <c r="M23" s="70">
        <v>25.93315887451172</v>
      </c>
      <c r="N23" s="54">
        <v>44.6686897277832</v>
      </c>
      <c r="O23" s="54">
        <v>39.5</v>
      </c>
      <c r="P23" s="54">
        <v>22</v>
      </c>
      <c r="Q23" s="54">
        <v>3.411024332046509</v>
      </c>
      <c r="R23" s="54">
        <v>19.571035385131836</v>
      </c>
      <c r="S23" s="71">
        <v>92.1368637084961</v>
      </c>
      <c r="T23" s="71">
        <v>35</v>
      </c>
      <c r="U23" s="71">
        <v>68.90010070800781</v>
      </c>
      <c r="V23" s="71">
        <v>19.569229125976562</v>
      </c>
      <c r="W23" s="71">
        <v>20.46441078186035</v>
      </c>
      <c r="X23" s="71">
        <v>0</v>
      </c>
      <c r="Y23" s="71">
        <v>0</v>
      </c>
      <c r="Z23" s="71">
        <v>19.820602416992188</v>
      </c>
      <c r="AA23" s="71">
        <v>89.45313262939453</v>
      </c>
      <c r="AB23" s="71"/>
      <c r="AC23" s="58"/>
      <c r="AD23" s="58">
        <v>1.5482856035232544</v>
      </c>
      <c r="AE23" s="58">
        <v>0.0011685180943459272</v>
      </c>
      <c r="AF23" s="58">
        <v>20.703125</v>
      </c>
      <c r="AG23" s="58">
        <v>19.49869728088379</v>
      </c>
      <c r="AH23" s="58"/>
      <c r="AI23" s="72"/>
      <c r="AJ23" s="72"/>
      <c r="AK23" s="72"/>
      <c r="AL23" s="72"/>
      <c r="AM23" s="72"/>
      <c r="AN23" s="58">
        <v>44.719329833984375</v>
      </c>
      <c r="AO23" s="59">
        <v>50</v>
      </c>
      <c r="AP23" s="60">
        <v>23.229528427124023</v>
      </c>
      <c r="AQ23" s="61">
        <v>39.76417922973633</v>
      </c>
      <c r="AR23" s="62">
        <v>0.0868072509765625</v>
      </c>
    </row>
    <row r="24" spans="2:44" ht="13.5" customHeight="1" x14ac:dyDescent="0.25">
      <c r="B24" s="14">
        <v>0.41666666666666702</v>
      </c>
      <c r="C24" s="54">
        <v>-80.72193145751953</v>
      </c>
      <c r="D24" s="54">
        <v>-80.94618225097656</v>
      </c>
      <c r="E24" s="54">
        <v>103.13223266601562</v>
      </c>
      <c r="F24" s="54">
        <v>0.07515914738178253</v>
      </c>
      <c r="G24" s="54">
        <v>7.90863050497137E-05</v>
      </c>
      <c r="H24" s="54"/>
      <c r="I24" s="54"/>
      <c r="J24" s="54"/>
      <c r="K24" s="54"/>
      <c r="L24" s="55"/>
      <c r="M24" s="70">
        <v>25.57508659362793</v>
      </c>
      <c r="N24" s="54">
        <v>43.583621978759766</v>
      </c>
      <c r="O24" s="54">
        <v>39.5</v>
      </c>
      <c r="P24" s="54">
        <v>22</v>
      </c>
      <c r="Q24" s="54">
        <v>3.5442707538604736</v>
      </c>
      <c r="R24" s="54">
        <v>19.871238708496094</v>
      </c>
      <c r="S24" s="71">
        <v>96.26374053955078</v>
      </c>
      <c r="T24" s="71">
        <v>36</v>
      </c>
      <c r="U24" s="71">
        <v>70.3857421875</v>
      </c>
      <c r="V24" s="71">
        <v>19.44444465637207</v>
      </c>
      <c r="W24" s="71">
        <v>20.45355987548828</v>
      </c>
      <c r="X24" s="71">
        <v>0</v>
      </c>
      <c r="Y24" s="71">
        <v>0</v>
      </c>
      <c r="Z24" s="71">
        <v>21.737558364868164</v>
      </c>
      <c r="AA24" s="71">
        <v>80.56098175048828</v>
      </c>
      <c r="AB24" s="71"/>
      <c r="AC24" s="58"/>
      <c r="AD24" s="58">
        <v>1.54833984375</v>
      </c>
      <c r="AE24" s="58">
        <v>0.0014620971633121371</v>
      </c>
      <c r="AF24" s="58">
        <v>20.735675811767578</v>
      </c>
      <c r="AG24" s="58">
        <v>19.245513916015625</v>
      </c>
      <c r="AH24" s="58"/>
      <c r="AI24" s="72"/>
      <c r="AJ24" s="72"/>
      <c r="AK24" s="72"/>
      <c r="AL24" s="72"/>
      <c r="AM24" s="72"/>
      <c r="AN24" s="58">
        <v>64.2578125</v>
      </c>
      <c r="AO24" s="59">
        <v>50</v>
      </c>
      <c r="AP24" s="60">
        <v>23.048683166503906</v>
      </c>
      <c r="AQ24" s="61">
        <v>42.545570373535156</v>
      </c>
      <c r="AR24" s="62">
        <v>0.0868072509765625</v>
      </c>
    </row>
    <row r="25" spans="2:44" ht="13.5" customHeight="1" x14ac:dyDescent="0.25">
      <c r="B25" s="14">
        <v>0.45833333333333298</v>
      </c>
      <c r="C25" s="54">
        <v>-80.75086975097656</v>
      </c>
      <c r="D25" s="54">
        <v>-81.0040512084961</v>
      </c>
      <c r="E25" s="54">
        <v>103.12861633300781</v>
      </c>
      <c r="F25" s="54">
        <v>0.0787760391831398</v>
      </c>
      <c r="G25" s="54">
        <v>7.750702206976712E-05</v>
      </c>
      <c r="H25" s="54"/>
      <c r="I25" s="54"/>
      <c r="J25" s="54"/>
      <c r="K25" s="54"/>
      <c r="L25" s="55"/>
      <c r="M25" s="70">
        <v>25.513599395751953</v>
      </c>
      <c r="N25" s="54">
        <v>44.986976623535156</v>
      </c>
      <c r="O25" s="54">
        <v>39.5</v>
      </c>
      <c r="P25" s="54">
        <v>22</v>
      </c>
      <c r="Q25" s="54">
        <v>3.305555582046509</v>
      </c>
      <c r="R25" s="54">
        <v>20.21484375</v>
      </c>
      <c r="S25" s="71">
        <v>95.10633850097656</v>
      </c>
      <c r="T25" s="71">
        <v>39</v>
      </c>
      <c r="U25" s="71">
        <v>77.00105285644531</v>
      </c>
      <c r="V25" s="71">
        <v>19.62890625</v>
      </c>
      <c r="W25" s="71">
        <v>20.76280403137207</v>
      </c>
      <c r="X25" s="71">
        <v>0</v>
      </c>
      <c r="Y25" s="71">
        <v>0</v>
      </c>
      <c r="Z25" s="71">
        <v>22.777416229248047</v>
      </c>
      <c r="AA25" s="71">
        <v>72.68338012695312</v>
      </c>
      <c r="AB25" s="71"/>
      <c r="AC25" s="58"/>
      <c r="AD25" s="58">
        <v>1.5483940839767456</v>
      </c>
      <c r="AE25" s="58">
        <v>0.001456054742448032</v>
      </c>
      <c r="AF25" s="58">
        <v>20.797164916992188</v>
      </c>
      <c r="AG25" s="58">
        <v>17.896411895751953</v>
      </c>
      <c r="AH25" s="58"/>
      <c r="AI25" s="72"/>
      <c r="AJ25" s="72"/>
      <c r="AK25" s="72"/>
      <c r="AL25" s="72"/>
      <c r="AM25" s="72"/>
      <c r="AN25" s="58">
        <v>60.7421875</v>
      </c>
      <c r="AO25" s="59">
        <v>50</v>
      </c>
      <c r="AP25" s="60">
        <v>23.4375</v>
      </c>
      <c r="AQ25" s="61">
        <v>40.13671875</v>
      </c>
      <c r="AR25" s="62">
        <v>0.075958251953125</v>
      </c>
    </row>
    <row r="26" spans="2:44" ht="13.5" customHeight="1" x14ac:dyDescent="0.25">
      <c r="B26" s="14">
        <v>0.5</v>
      </c>
      <c r="C26" s="54">
        <v>-79.99855041503906</v>
      </c>
      <c r="D26" s="54">
        <v>-80.25173950195312</v>
      </c>
      <c r="E26" s="54">
        <v>103.13223266601562</v>
      </c>
      <c r="F26" s="54">
        <v>0.052734375</v>
      </c>
      <c r="G26" s="54">
        <v>7.405853102682158E-05</v>
      </c>
      <c r="H26" s="54"/>
      <c r="I26" s="54"/>
      <c r="J26" s="54"/>
      <c r="K26" s="54"/>
      <c r="L26" s="55"/>
      <c r="M26" s="70">
        <v>25.256799697875977</v>
      </c>
      <c r="N26" s="54">
        <v>44.66507339477539</v>
      </c>
      <c r="O26" s="54">
        <v>39.5</v>
      </c>
      <c r="P26" s="54">
        <v>22</v>
      </c>
      <c r="Q26" s="54">
        <v>3.297743082046509</v>
      </c>
      <c r="R26" s="54">
        <v>20.482494354248047</v>
      </c>
      <c r="S26" s="71">
        <v>93.12065887451172</v>
      </c>
      <c r="T26" s="71">
        <v>39</v>
      </c>
      <c r="U26" s="71">
        <v>76.64225006103516</v>
      </c>
      <c r="V26" s="71">
        <v>19.287109375</v>
      </c>
      <c r="W26" s="71">
        <v>20.974393844604492</v>
      </c>
      <c r="X26" s="71">
        <v>0</v>
      </c>
      <c r="Y26" s="71">
        <v>7.972005367279053</v>
      </c>
      <c r="Z26" s="71">
        <v>23.195167541503906</v>
      </c>
      <c r="AA26" s="71">
        <v>69.54210662841797</v>
      </c>
      <c r="AB26" s="71"/>
      <c r="AC26" s="58"/>
      <c r="AD26" s="58">
        <v>1.5482856035232544</v>
      </c>
      <c r="AE26" s="58">
        <v>0.0015472412342205644</v>
      </c>
      <c r="AF26" s="58">
        <v>20.833332061767578</v>
      </c>
      <c r="AG26" s="58">
        <v>15.129485130310059</v>
      </c>
      <c r="AH26" s="58"/>
      <c r="AI26" s="72"/>
      <c r="AJ26" s="72"/>
      <c r="AK26" s="72"/>
      <c r="AL26" s="72"/>
      <c r="AM26" s="72"/>
      <c r="AN26" s="58">
        <v>59.4618034362793</v>
      </c>
      <c r="AO26" s="59">
        <v>50</v>
      </c>
      <c r="AP26" s="60">
        <v>23.79014778137207</v>
      </c>
      <c r="AQ26" s="61">
        <v>41.239871978759766</v>
      </c>
      <c r="AR26" s="62">
        <v>0.0651092529296875</v>
      </c>
    </row>
    <row r="27" spans="2:44" ht="13.5" customHeight="1" x14ac:dyDescent="0.25">
      <c r="B27" s="14">
        <v>0.54166666666666596</v>
      </c>
      <c r="C27" s="54">
        <v>-80.98234558105469</v>
      </c>
      <c r="D27" s="54">
        <v>-80.97511291503906</v>
      </c>
      <c r="E27" s="54">
        <v>103.12861633300781</v>
      </c>
      <c r="F27" s="54">
        <v>0.07971643656492233</v>
      </c>
      <c r="G27" s="54">
        <v>7.294845272554085E-05</v>
      </c>
      <c r="H27" s="54"/>
      <c r="I27" s="54"/>
      <c r="J27" s="54"/>
      <c r="K27" s="54"/>
      <c r="L27" s="55"/>
      <c r="M27" s="70">
        <v>24.754051208496094</v>
      </c>
      <c r="N27" s="54">
        <v>44.299766540527344</v>
      </c>
      <c r="O27" s="54">
        <v>39.5</v>
      </c>
      <c r="P27" s="54">
        <v>22</v>
      </c>
      <c r="Q27" s="54">
        <v>3.366753578186035</v>
      </c>
      <c r="R27" s="54">
        <v>20.847801208496094</v>
      </c>
      <c r="S27" s="71">
        <v>92.578125</v>
      </c>
      <c r="T27" s="71">
        <v>0</v>
      </c>
      <c r="U27" s="71">
        <v>0</v>
      </c>
      <c r="V27" s="71">
        <v>17.214628219604492</v>
      </c>
      <c r="W27" s="71">
        <v>85.21051025390625</v>
      </c>
      <c r="X27" s="71">
        <v>30</v>
      </c>
      <c r="Y27" s="71">
        <v>78.11107635498047</v>
      </c>
      <c r="Z27" s="71">
        <v>17.68120574951172</v>
      </c>
      <c r="AA27" s="71">
        <v>21.05034828186035</v>
      </c>
      <c r="AB27" s="71"/>
      <c r="AC27" s="58"/>
      <c r="AD27" s="58">
        <v>1.5483940839767456</v>
      </c>
      <c r="AE27" s="58">
        <v>0.0014274291461333632</v>
      </c>
      <c r="AF27" s="58">
        <v>20.85503387451172</v>
      </c>
      <c r="AG27" s="58">
        <v>16.984952926635742</v>
      </c>
      <c r="AH27" s="58"/>
      <c r="AI27" s="72">
        <v>6.590000152587891</v>
      </c>
      <c r="AJ27" s="72"/>
      <c r="AK27" s="72"/>
      <c r="AL27" s="72"/>
      <c r="AM27" s="72"/>
      <c r="AN27" s="58">
        <v>59.403934478759766</v>
      </c>
      <c r="AO27" s="59">
        <v>50</v>
      </c>
      <c r="AP27" s="60">
        <v>23.943864822387695</v>
      </c>
      <c r="AQ27" s="61">
        <v>42.60344314575195</v>
      </c>
      <c r="AR27" s="62">
        <v>0.10851287841796875</v>
      </c>
    </row>
    <row r="28" spans="2:44" ht="13.5" customHeight="1" x14ac:dyDescent="0.25">
      <c r="B28" s="14">
        <v>0.58333333333333304</v>
      </c>
      <c r="C28" s="54">
        <v>-80.98234558105469</v>
      </c>
      <c r="D28" s="54">
        <v>-81.08362579345703</v>
      </c>
      <c r="E28" s="54">
        <v>103.13223266601562</v>
      </c>
      <c r="F28" s="54">
        <v>0.05367476865649223</v>
      </c>
      <c r="G28" s="54">
        <v>7.255554373841733E-05</v>
      </c>
      <c r="H28" s="54"/>
      <c r="I28" s="54"/>
      <c r="J28" s="54"/>
      <c r="K28" s="54"/>
      <c r="L28" s="55"/>
      <c r="M28" s="70">
        <v>24.43576431274414</v>
      </c>
      <c r="N28" s="54">
        <v>45.02314758300781</v>
      </c>
      <c r="O28" s="54">
        <v>39.5</v>
      </c>
      <c r="P28" s="54">
        <v>22</v>
      </c>
      <c r="Q28" s="54">
        <v>3.463975667953491</v>
      </c>
      <c r="R28" s="54">
        <v>20.981626510620117</v>
      </c>
      <c r="S28" s="71">
        <v>94.71932983398438</v>
      </c>
      <c r="T28" s="71">
        <v>0</v>
      </c>
      <c r="U28" s="71">
        <v>0</v>
      </c>
      <c r="V28" s="71">
        <v>18.495010375976562</v>
      </c>
      <c r="W28" s="71">
        <v>66.41168212890625</v>
      </c>
      <c r="X28" s="71">
        <v>30</v>
      </c>
      <c r="Y28" s="71">
        <v>78.15592193603516</v>
      </c>
      <c r="Z28" s="71">
        <v>16.453269958496094</v>
      </c>
      <c r="AA28" s="71">
        <v>19.51497459411621</v>
      </c>
      <c r="AB28" s="71"/>
      <c r="AC28" s="58"/>
      <c r="AD28" s="58">
        <v>1.54833984375</v>
      </c>
      <c r="AE28" s="58">
        <v>0.0010860596084967256</v>
      </c>
      <c r="AF28" s="58">
        <v>20.916521072387695</v>
      </c>
      <c r="AG28" s="58">
        <v>19.361255645751953</v>
      </c>
      <c r="AH28" s="58"/>
      <c r="AI28" s="72"/>
      <c r="AJ28" s="72"/>
      <c r="AK28" s="72"/>
      <c r="AL28" s="72"/>
      <c r="AM28" s="72"/>
      <c r="AN28" s="58">
        <v>53.739871978759766</v>
      </c>
      <c r="AO28" s="59">
        <v>50</v>
      </c>
      <c r="AP28" s="60">
        <v>24.233217239379883</v>
      </c>
      <c r="AQ28" s="61">
        <v>40.20905685424805</v>
      </c>
      <c r="AR28" s="62">
        <v>0.10851287841796875</v>
      </c>
    </row>
    <row r="29" spans="2:44" ht="13.5" customHeight="1" x14ac:dyDescent="0.25">
      <c r="B29" s="14">
        <v>0.625</v>
      </c>
      <c r="C29" s="54">
        <v>-81.12702941894531</v>
      </c>
      <c r="D29" s="54">
        <v>-80.98234558105469</v>
      </c>
      <c r="E29" s="54">
        <v>103.12861633300781</v>
      </c>
      <c r="F29" s="54">
        <v>0.0464409738779068</v>
      </c>
      <c r="G29" s="54">
        <v>7.526397530455142E-05</v>
      </c>
      <c r="H29" s="54"/>
      <c r="I29" s="54"/>
      <c r="J29" s="54"/>
      <c r="K29" s="54"/>
      <c r="L29" s="55"/>
      <c r="M29" s="70">
        <v>24.146411895751953</v>
      </c>
      <c r="N29" s="54">
        <v>45.67780685424805</v>
      </c>
      <c r="O29" s="54">
        <v>39.5</v>
      </c>
      <c r="P29" s="54">
        <v>22</v>
      </c>
      <c r="Q29" s="54">
        <v>3.3459200859069824</v>
      </c>
      <c r="R29" s="54">
        <v>20.78993034362793</v>
      </c>
      <c r="S29" s="71">
        <v>93.68489074707031</v>
      </c>
      <c r="T29" s="71">
        <v>0</v>
      </c>
      <c r="U29" s="71">
        <v>0</v>
      </c>
      <c r="V29" s="71">
        <v>19.303386688232422</v>
      </c>
      <c r="W29" s="71">
        <v>56.277130126953125</v>
      </c>
      <c r="X29" s="71">
        <v>29</v>
      </c>
      <c r="Y29" s="71">
        <v>75.32479858398438</v>
      </c>
      <c r="Z29" s="71">
        <v>15.668402671813965</v>
      </c>
      <c r="AA29" s="71">
        <v>18.67404556274414</v>
      </c>
      <c r="AB29" s="71"/>
      <c r="AC29" s="58"/>
      <c r="AD29" s="58">
        <v>1.5483940839767456</v>
      </c>
      <c r="AE29" s="58">
        <v>0.0007718505803495646</v>
      </c>
      <c r="AF29" s="58">
        <v>20.949073791503906</v>
      </c>
      <c r="AG29" s="58">
        <v>17.50217056274414</v>
      </c>
      <c r="AH29" s="58"/>
      <c r="AI29" s="72"/>
      <c r="AJ29" s="72"/>
      <c r="AK29" s="72"/>
      <c r="AL29" s="72"/>
      <c r="AM29" s="72"/>
      <c r="AN29" s="58">
        <v>50.962093353271484</v>
      </c>
      <c r="AO29" s="59">
        <v>50</v>
      </c>
      <c r="AP29" s="60">
        <v>24.57682228088379</v>
      </c>
      <c r="AQ29" s="61">
        <v>41.81134033203125</v>
      </c>
      <c r="AR29" s="62">
        <v>0.075958251953125</v>
      </c>
    </row>
    <row r="30" spans="2:44" ht="13.5" customHeight="1" x14ac:dyDescent="0.25">
      <c r="B30" s="14">
        <v>0.66666666666666596</v>
      </c>
      <c r="C30" s="54">
        <v>-81.11255645751953</v>
      </c>
      <c r="D30" s="54">
        <v>-80.90277862548828</v>
      </c>
      <c r="E30" s="54">
        <v>103.13223266601562</v>
      </c>
      <c r="F30" s="54">
        <v>0.057219330221414566</v>
      </c>
      <c r="G30" s="54">
        <v>7.188415474956855E-05</v>
      </c>
      <c r="H30" s="54"/>
      <c r="I30" s="54"/>
      <c r="J30" s="54"/>
      <c r="K30" s="54"/>
      <c r="L30" s="55"/>
      <c r="M30" s="70">
        <v>24.200664520263672</v>
      </c>
      <c r="N30" s="54">
        <v>45.03038024902344</v>
      </c>
      <c r="O30" s="54">
        <v>39.5</v>
      </c>
      <c r="P30" s="54">
        <v>22</v>
      </c>
      <c r="Q30" s="54">
        <v>3.430555582046509</v>
      </c>
      <c r="R30" s="54">
        <v>20.493345260620117</v>
      </c>
      <c r="S30" s="71">
        <v>93.24724578857422</v>
      </c>
      <c r="T30" s="71">
        <v>0</v>
      </c>
      <c r="U30" s="71">
        <v>0</v>
      </c>
      <c r="V30" s="71">
        <v>19.618057250976562</v>
      </c>
      <c r="W30" s="71">
        <v>51.980255126953125</v>
      </c>
      <c r="X30" s="71">
        <v>28</v>
      </c>
      <c r="Y30" s="71">
        <v>72.91973876953125</v>
      </c>
      <c r="Z30" s="71">
        <v>15.373625755310059</v>
      </c>
      <c r="AA30" s="71">
        <v>18.250869750976562</v>
      </c>
      <c r="AB30" s="71"/>
      <c r="AC30" s="58"/>
      <c r="AD30" s="58">
        <v>1.5483940839767456</v>
      </c>
      <c r="AE30" s="58">
        <v>0.0013847656082361937</v>
      </c>
      <c r="AF30" s="58">
        <v>20.96354103088379</v>
      </c>
      <c r="AG30" s="58">
        <v>15.093316078186035</v>
      </c>
      <c r="AH30" s="58"/>
      <c r="AI30" s="72"/>
      <c r="AJ30" s="72"/>
      <c r="AK30" s="72"/>
      <c r="AL30" s="72"/>
      <c r="AM30" s="72"/>
      <c r="AN30" s="58">
        <v>49.573204040527344</v>
      </c>
      <c r="AO30" s="59">
        <v>50</v>
      </c>
      <c r="AP30" s="60">
        <v>24.63107681274414</v>
      </c>
      <c r="AQ30" s="61">
        <v>42.585357666015625</v>
      </c>
      <c r="AR30" s="62">
        <v>0.09766387939453125</v>
      </c>
    </row>
    <row r="31" spans="2:44" ht="13.5" customHeight="1" x14ac:dyDescent="0.25">
      <c r="B31" s="14">
        <v>0.70833333333333304</v>
      </c>
      <c r="C31" s="54">
        <v>-81.32234191894531</v>
      </c>
      <c r="D31" s="54">
        <v>-80.99681854248047</v>
      </c>
      <c r="E31" s="54">
        <v>103.13584899902344</v>
      </c>
      <c r="F31" s="54">
        <v>0.07906539738178253</v>
      </c>
      <c r="G31" s="54">
        <v>7.524109241785482E-05</v>
      </c>
      <c r="H31" s="54"/>
      <c r="I31" s="54"/>
      <c r="J31" s="54"/>
      <c r="K31" s="54"/>
      <c r="L31" s="55"/>
      <c r="M31" s="70">
        <v>24.16449546813965</v>
      </c>
      <c r="N31" s="54">
        <v>44.73017883300781</v>
      </c>
      <c r="O31" s="54">
        <v>39.5</v>
      </c>
      <c r="P31" s="54">
        <v>22</v>
      </c>
      <c r="Q31" s="54">
        <v>3.551215410232544</v>
      </c>
      <c r="R31" s="54">
        <v>20.384838104248047</v>
      </c>
      <c r="S31" s="71">
        <v>92.5274887084961</v>
      </c>
      <c r="T31" s="71">
        <v>0</v>
      </c>
      <c r="U31" s="71">
        <v>0</v>
      </c>
      <c r="V31" s="71">
        <v>20.182292938232422</v>
      </c>
      <c r="W31" s="71">
        <v>49.414066314697266</v>
      </c>
      <c r="X31" s="71">
        <v>28</v>
      </c>
      <c r="Y31" s="71">
        <v>72.94776916503906</v>
      </c>
      <c r="Z31" s="71">
        <v>15.277777671813965</v>
      </c>
      <c r="AA31" s="71">
        <v>18.07183265686035</v>
      </c>
      <c r="AB31" s="71"/>
      <c r="AC31" s="58"/>
      <c r="AD31" s="58">
        <v>0</v>
      </c>
      <c r="AE31" s="58">
        <v>0.0015239258063957095</v>
      </c>
      <c r="AF31" s="58">
        <v>20.9671573638916</v>
      </c>
      <c r="AG31" s="58">
        <v>16.04817771911621</v>
      </c>
      <c r="AH31" s="58"/>
      <c r="AI31" s="72"/>
      <c r="AJ31" s="72"/>
      <c r="AK31" s="72"/>
      <c r="AL31" s="72"/>
      <c r="AM31" s="72"/>
      <c r="AN31" s="58">
        <v>48.62557601928711</v>
      </c>
      <c r="AO31" s="59">
        <v>50</v>
      </c>
      <c r="AP31" s="60">
        <v>25.074146270751953</v>
      </c>
      <c r="AQ31" s="61">
        <v>40.99753952026367</v>
      </c>
      <c r="AR31" s="62">
        <v>0.0868072509765625</v>
      </c>
    </row>
    <row r="32" spans="2:44" ht="13.5" customHeight="1" x14ac:dyDescent="0.25">
      <c r="B32" s="14">
        <v>0.75</v>
      </c>
      <c r="C32" s="54">
        <v>-81.36573791503906</v>
      </c>
      <c r="D32" s="54">
        <v>-81.0040512084961</v>
      </c>
      <c r="E32" s="54">
        <v>103.13584899902344</v>
      </c>
      <c r="F32" s="54">
        <v>0.07740162312984467</v>
      </c>
      <c r="G32" s="54">
        <v>7.507324335165322E-05</v>
      </c>
      <c r="H32" s="54"/>
      <c r="I32" s="54"/>
      <c r="J32" s="54"/>
      <c r="K32" s="54"/>
      <c r="L32" s="55"/>
      <c r="M32" s="70">
        <v>24.204282760620117</v>
      </c>
      <c r="N32" s="54">
        <v>45.905670166015625</v>
      </c>
      <c r="O32" s="54">
        <v>39.5</v>
      </c>
      <c r="P32" s="54">
        <v>22</v>
      </c>
      <c r="Q32" s="54">
        <v>3.4592013359069824</v>
      </c>
      <c r="R32" s="54">
        <v>20.232927322387695</v>
      </c>
      <c r="S32" s="71">
        <v>92.06452178955078</v>
      </c>
      <c r="T32" s="71">
        <v>0</v>
      </c>
      <c r="U32" s="71">
        <v>0</v>
      </c>
      <c r="V32" s="71">
        <v>20.182292938232422</v>
      </c>
      <c r="W32" s="71">
        <v>47.949222564697266</v>
      </c>
      <c r="X32" s="71">
        <v>28</v>
      </c>
      <c r="Y32" s="71">
        <v>72.91413879394531</v>
      </c>
      <c r="Z32" s="71">
        <v>15.17469596862793</v>
      </c>
      <c r="AA32" s="71">
        <v>18.07183265686035</v>
      </c>
      <c r="AB32" s="71"/>
      <c r="AC32" s="58"/>
      <c r="AD32" s="58">
        <v>1.5483940839767456</v>
      </c>
      <c r="AE32" s="58">
        <v>0.001448181108571589</v>
      </c>
      <c r="AF32" s="58">
        <v>20.98524284362793</v>
      </c>
      <c r="AG32" s="58">
        <v>26.349102020263672</v>
      </c>
      <c r="AH32" s="58"/>
      <c r="AI32" s="72"/>
      <c r="AJ32" s="72"/>
      <c r="AK32" s="72"/>
      <c r="AL32" s="72"/>
      <c r="AM32" s="72"/>
      <c r="AN32" s="58">
        <v>47.87326431274414</v>
      </c>
      <c r="AO32" s="59">
        <v>50</v>
      </c>
      <c r="AP32" s="60">
        <v>25.245948791503906</v>
      </c>
      <c r="AQ32" s="61">
        <v>40.48394012451172</v>
      </c>
      <c r="AR32" s="62">
        <v>0.0868072509765625</v>
      </c>
    </row>
    <row r="33" spans="2:44" ht="13.5" customHeight="1" x14ac:dyDescent="0.25">
      <c r="B33" s="14">
        <v>0.79166666666666696</v>
      </c>
      <c r="C33" s="54">
        <v>-81.26446533203125</v>
      </c>
      <c r="D33" s="54">
        <v>-80.95341491699219</v>
      </c>
      <c r="E33" s="54">
        <v>103.13223266601562</v>
      </c>
      <c r="F33" s="54">
        <v>0.07928241044282913</v>
      </c>
      <c r="G33" s="54">
        <v>7.527542038587853E-05</v>
      </c>
      <c r="H33" s="54"/>
      <c r="I33" s="54"/>
      <c r="J33" s="54"/>
      <c r="K33" s="54"/>
      <c r="L33" s="55"/>
      <c r="M33" s="70">
        <v>23.9945011138916</v>
      </c>
      <c r="N33" s="54">
        <v>45.04484939575195</v>
      </c>
      <c r="O33" s="54">
        <v>39.5</v>
      </c>
      <c r="P33" s="54">
        <v>22</v>
      </c>
      <c r="Q33" s="54">
        <v>3.479600667953491</v>
      </c>
      <c r="R33" s="54">
        <v>20.0882511138916</v>
      </c>
      <c r="S33" s="71">
        <v>93.44618225097656</v>
      </c>
      <c r="T33" s="71">
        <v>0</v>
      </c>
      <c r="U33" s="71">
        <v>0</v>
      </c>
      <c r="V33" s="71">
        <v>20.301651000976562</v>
      </c>
      <c r="W33" s="71">
        <v>46.94552993774414</v>
      </c>
      <c r="X33" s="71">
        <v>28</v>
      </c>
      <c r="Y33" s="71">
        <v>72.77397918701172</v>
      </c>
      <c r="Z33" s="71">
        <v>14.928747177124023</v>
      </c>
      <c r="AA33" s="71">
        <v>17.93077278137207</v>
      </c>
      <c r="AB33" s="71"/>
      <c r="AC33" s="58"/>
      <c r="AD33" s="58">
        <v>1.5483940839767456</v>
      </c>
      <c r="AE33" s="58">
        <v>0.0015109252417460084</v>
      </c>
      <c r="AF33" s="58">
        <v>20.98524284362793</v>
      </c>
      <c r="AG33" s="58">
        <v>22.305410385131836</v>
      </c>
      <c r="AH33" s="58"/>
      <c r="AI33" s="72"/>
      <c r="AJ33" s="72"/>
      <c r="AK33" s="72"/>
      <c r="AL33" s="72"/>
      <c r="AM33" s="72"/>
      <c r="AN33" s="58">
        <v>47.214988708496094</v>
      </c>
      <c r="AO33" s="59">
        <v>50</v>
      </c>
      <c r="AP33" s="60">
        <v>25.679977416992188</v>
      </c>
      <c r="AQ33" s="61">
        <v>40.13310241699219</v>
      </c>
      <c r="AR33" s="62">
        <v>0.10851287841796875</v>
      </c>
    </row>
    <row r="34" spans="2:44" ht="13.5" customHeight="1" x14ac:dyDescent="0.25">
      <c r="B34" s="15">
        <v>0.83333333333333304</v>
      </c>
      <c r="C34" s="63">
        <v>-81.3946762084961</v>
      </c>
      <c r="D34" s="63">
        <v>-81.1053237915039</v>
      </c>
      <c r="E34" s="63">
        <v>103.13584899902344</v>
      </c>
      <c r="F34" s="63">
        <v>0.07884837687015533</v>
      </c>
      <c r="G34" s="63">
        <v>7.326507329707965E-05</v>
      </c>
      <c r="H34" s="63"/>
      <c r="I34" s="63"/>
      <c r="J34" s="63"/>
      <c r="K34" s="63"/>
      <c r="L34" s="64"/>
      <c r="M34" s="73">
        <v>25.83550262451172</v>
      </c>
      <c r="N34" s="63">
        <v>45.471641540527344</v>
      </c>
      <c r="O34" s="63">
        <v>39.5</v>
      </c>
      <c r="P34" s="63">
        <v>22</v>
      </c>
      <c r="Q34" s="63">
        <v>3.504774332046509</v>
      </c>
      <c r="R34" s="63">
        <v>19.74826431274414</v>
      </c>
      <c r="S34" s="74">
        <v>91.90899658203125</v>
      </c>
      <c r="T34" s="74">
        <v>0</v>
      </c>
      <c r="U34" s="74">
        <v>0</v>
      </c>
      <c r="V34" s="74">
        <v>20.41558265686035</v>
      </c>
      <c r="W34" s="74">
        <v>46.1046028137207</v>
      </c>
      <c r="X34" s="74">
        <v>28</v>
      </c>
      <c r="Y34" s="74">
        <v>72.87489318847656</v>
      </c>
      <c r="Z34" s="74">
        <v>14.086009979248047</v>
      </c>
      <c r="AA34" s="74">
        <v>17.030166625976562</v>
      </c>
      <c r="AB34" s="74"/>
      <c r="AC34" s="67"/>
      <c r="AD34" s="67">
        <v>1.5483940839767456</v>
      </c>
      <c r="AE34" s="67">
        <v>0.0008245849749073386</v>
      </c>
      <c r="AF34" s="67">
        <v>20.992477416992188</v>
      </c>
      <c r="AG34" s="67">
        <v>15.2199068069458</v>
      </c>
      <c r="AH34" s="67"/>
      <c r="AI34" s="75"/>
      <c r="AJ34" s="75"/>
      <c r="AK34" s="75"/>
      <c r="AL34" s="75"/>
      <c r="AM34" s="75"/>
      <c r="AN34" s="67">
        <v>46.49884033203125</v>
      </c>
      <c r="AO34" s="68">
        <v>50</v>
      </c>
      <c r="AP34" s="76">
        <v>25.191696166992188</v>
      </c>
      <c r="AQ34" s="77">
        <v>39.948638916015625</v>
      </c>
      <c r="AR34" s="78">
        <v>0.11936187744140625</v>
      </c>
    </row>
    <row r="35" spans="2:44" ht="15" customHeight="1" x14ac:dyDescent="0.25">
      <c r="B35" s="137" t="s">
        <v>181</v>
      </c>
      <c r="C35" s="138" t="s">
        <v>38</v>
      </c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8" t="s">
        <v>216</v>
      </c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70"/>
      <c r="AK35" s="144" t="s">
        <v>48</v>
      </c>
      <c r="AL35" s="142"/>
      <c r="AM35" s="171" t="s">
        <v>223</v>
      </c>
      <c r="AN35" s="172"/>
      <c r="AO35" s="43"/>
      <c r="AP35" s="43"/>
      <c r="AQ35" s="43"/>
      <c r="AR35" s="44"/>
    </row>
    <row r="36" spans="2:44" ht="20.15" customHeight="1" x14ac:dyDescent="0.25">
      <c r="B36" s="124"/>
      <c r="C36" s="118" t="s">
        <v>32</v>
      </c>
      <c r="D36" s="150"/>
      <c r="E36" s="118" t="s">
        <v>33</v>
      </c>
      <c r="F36" s="179"/>
      <c r="G36" s="150"/>
      <c r="H36" s="173" t="s">
        <v>276</v>
      </c>
      <c r="I36" s="174"/>
      <c r="J36" s="4" t="s">
        <v>27</v>
      </c>
      <c r="K36" s="4" t="s">
        <v>30</v>
      </c>
      <c r="L36" s="4" t="s">
        <v>191</v>
      </c>
      <c r="M36" s="175" t="s">
        <v>192</v>
      </c>
      <c r="N36" s="176"/>
      <c r="O36" s="4" t="s">
        <v>26</v>
      </c>
      <c r="P36" s="4" t="s">
        <v>197</v>
      </c>
      <c r="Q36" s="118" t="s">
        <v>199</v>
      </c>
      <c r="R36" s="180"/>
      <c r="S36" s="118" t="s">
        <v>202</v>
      </c>
      <c r="T36" s="180"/>
      <c r="U36" s="118" t="s">
        <v>201</v>
      </c>
      <c r="V36" s="177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32" t="s">
        <v>46</v>
      </c>
      <c r="AI36" s="178"/>
      <c r="AJ36" s="119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24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24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54">
        <v>0.07978877425193787</v>
      </c>
      <c r="D39" s="54"/>
      <c r="E39" s="54">
        <v>38.53443145751953</v>
      </c>
      <c r="F39" s="54"/>
      <c r="G39" s="54"/>
      <c r="H39" s="54">
        <v>0</v>
      </c>
      <c r="I39" s="54"/>
      <c r="J39" s="54">
        <v>23.157190322875977</v>
      </c>
      <c r="K39" s="54">
        <v>40</v>
      </c>
      <c r="L39" s="54">
        <v>48.28559112548828</v>
      </c>
      <c r="M39" s="54">
        <v>0</v>
      </c>
      <c r="N39" s="54"/>
      <c r="O39" s="54">
        <v>25.209779739379883</v>
      </c>
      <c r="P39" s="54">
        <v>0.05000000074505806</v>
      </c>
      <c r="Q39" s="54">
        <v>0.12839987874031067</v>
      </c>
      <c r="R39" s="54"/>
      <c r="S39" s="54">
        <v>0</v>
      </c>
      <c r="T39" s="54"/>
      <c r="U39" s="71">
        <v>0</v>
      </c>
      <c r="V39" s="79"/>
      <c r="W39" s="80">
        <v>94.92910766601562</v>
      </c>
      <c r="X39" s="71">
        <v>16.35199546813965</v>
      </c>
      <c r="Y39" s="71">
        <v>38</v>
      </c>
      <c r="Z39" s="71">
        <v>99.40972900390625</v>
      </c>
      <c r="AA39" s="71">
        <v>28.748916625976562</v>
      </c>
      <c r="AB39" s="71">
        <v>90.60872650146484</v>
      </c>
      <c r="AC39" s="71">
        <v>0</v>
      </c>
      <c r="AD39" s="71">
        <v>4.691840648651123</v>
      </c>
      <c r="AE39" s="58">
        <v>14.6827974319458</v>
      </c>
      <c r="AF39" s="58">
        <v>18.912761688232422</v>
      </c>
      <c r="AG39" s="58"/>
      <c r="AH39" s="58">
        <v>13.07508659362793</v>
      </c>
      <c r="AI39" s="58">
        <v>0</v>
      </c>
      <c r="AJ39" s="58"/>
      <c r="AK39" s="58">
        <v>92.24536895751953</v>
      </c>
      <c r="AL39" s="59">
        <v>51.281829833984375</v>
      </c>
      <c r="AM39" s="81"/>
      <c r="AN39" s="72"/>
      <c r="AO39" s="58"/>
      <c r="AP39" s="58"/>
      <c r="AQ39" s="58"/>
      <c r="AR39" s="62"/>
    </row>
    <row r="40" spans="2:44" ht="13.5" customHeight="1" x14ac:dyDescent="0.25">
      <c r="B40" s="14">
        <v>0.375</v>
      </c>
      <c r="C40" s="54">
        <v>0</v>
      </c>
      <c r="D40" s="54">
        <v>1.73623557202518E-05</v>
      </c>
      <c r="E40" s="54">
        <v>37.6374397277832</v>
      </c>
      <c r="F40" s="54"/>
      <c r="G40" s="54"/>
      <c r="H40" s="54">
        <v>0</v>
      </c>
      <c r="I40" s="54">
        <v>0</v>
      </c>
      <c r="J40" s="54">
        <v>23.102937698364258</v>
      </c>
      <c r="K40" s="54">
        <v>40</v>
      </c>
      <c r="L40" s="54">
        <v>48.11378860473633</v>
      </c>
      <c r="M40" s="54">
        <v>0</v>
      </c>
      <c r="N40" s="54">
        <v>0</v>
      </c>
      <c r="O40" s="54">
        <v>25.146484375</v>
      </c>
      <c r="P40" s="54">
        <v>0.05000000074505806</v>
      </c>
      <c r="Q40" s="54">
        <v>0.20970775187015533</v>
      </c>
      <c r="R40" s="54">
        <v>0.00013105773541610688</v>
      </c>
      <c r="S40" s="54">
        <v>0</v>
      </c>
      <c r="T40" s="54">
        <v>0</v>
      </c>
      <c r="U40" s="71">
        <v>0</v>
      </c>
      <c r="V40" s="79">
        <v>0</v>
      </c>
      <c r="W40" s="80">
        <v>88.8454818725586</v>
      </c>
      <c r="X40" s="71">
        <v>18.601707458496094</v>
      </c>
      <c r="Y40" s="71">
        <v>38</v>
      </c>
      <c r="Z40" s="71">
        <v>98.4592056274414</v>
      </c>
      <c r="AA40" s="71">
        <v>19.569229125976562</v>
      </c>
      <c r="AB40" s="71">
        <v>20.46441078186035</v>
      </c>
      <c r="AC40" s="71">
        <v>31.5</v>
      </c>
      <c r="AD40" s="71">
        <v>83.65017700195312</v>
      </c>
      <c r="AE40" s="58">
        <v>19.820602416992188</v>
      </c>
      <c r="AF40" s="58">
        <v>89.45313262939453</v>
      </c>
      <c r="AG40" s="58"/>
      <c r="AH40" s="58">
        <v>0</v>
      </c>
      <c r="AI40" s="58">
        <v>0</v>
      </c>
      <c r="AJ40" s="58">
        <v>0</v>
      </c>
      <c r="AK40" s="58">
        <v>92.19473266601562</v>
      </c>
      <c r="AL40" s="59">
        <v>50.891204833984375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14">
        <v>0.41666666666666702</v>
      </c>
      <c r="C41" s="54">
        <v>0</v>
      </c>
      <c r="D41" s="54">
        <v>0.0003250660956837237</v>
      </c>
      <c r="E41" s="54">
        <v>46.83159637451172</v>
      </c>
      <c r="F41" s="54"/>
      <c r="G41" s="54"/>
      <c r="H41" s="54">
        <v>0</v>
      </c>
      <c r="I41" s="54">
        <v>0</v>
      </c>
      <c r="J41" s="54">
        <v>22.985387802124023</v>
      </c>
      <c r="K41" s="54">
        <v>40</v>
      </c>
      <c r="L41" s="54">
        <v>47.788265228271484</v>
      </c>
      <c r="M41" s="54">
        <v>0</v>
      </c>
      <c r="N41" s="54">
        <v>0</v>
      </c>
      <c r="O41" s="54">
        <v>25.25499153137207</v>
      </c>
      <c r="P41" s="54">
        <v>0.05000000074505806</v>
      </c>
      <c r="Q41" s="54">
        <v>0.20818865299224854</v>
      </c>
      <c r="R41" s="54">
        <v>0.0002089996269205585</v>
      </c>
      <c r="S41" s="54">
        <v>0</v>
      </c>
      <c r="T41" s="54">
        <v>0</v>
      </c>
      <c r="U41" s="71">
        <v>0</v>
      </c>
      <c r="V41" s="79">
        <v>0</v>
      </c>
      <c r="W41" s="80">
        <v>88.7478256225586</v>
      </c>
      <c r="X41" s="71">
        <v>18.540220260620117</v>
      </c>
      <c r="Y41" s="71">
        <v>15</v>
      </c>
      <c r="Z41" s="71">
        <v>37.708335876464844</v>
      </c>
      <c r="AA41" s="71">
        <v>19.44444465637207</v>
      </c>
      <c r="AB41" s="71">
        <v>20.45355987548828</v>
      </c>
      <c r="AC41" s="71">
        <v>14.5</v>
      </c>
      <c r="AD41" s="71">
        <v>37.864585876464844</v>
      </c>
      <c r="AE41" s="58">
        <v>21.737558364868164</v>
      </c>
      <c r="AF41" s="58">
        <v>80.56098175048828</v>
      </c>
      <c r="AG41" s="58"/>
      <c r="AH41" s="58">
        <v>0</v>
      </c>
      <c r="AI41" s="58">
        <v>0</v>
      </c>
      <c r="AJ41" s="58">
        <v>0</v>
      </c>
      <c r="AK41" s="58">
        <v>92.25983428955078</v>
      </c>
      <c r="AL41" s="59">
        <v>50.44560241699219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0.45833333333333298</v>
      </c>
      <c r="C42" s="54">
        <v>0</v>
      </c>
      <c r="D42" s="54">
        <v>1.385807991027832E-05</v>
      </c>
      <c r="E42" s="54">
        <v>56.13425827026367</v>
      </c>
      <c r="F42" s="54"/>
      <c r="G42" s="54"/>
      <c r="H42" s="54">
        <v>0</v>
      </c>
      <c r="I42" s="54">
        <v>0</v>
      </c>
      <c r="J42" s="54">
        <v>23.039640426635742</v>
      </c>
      <c r="K42" s="54">
        <v>40</v>
      </c>
      <c r="L42" s="54">
        <v>47.607421875</v>
      </c>
      <c r="M42" s="54">
        <v>0</v>
      </c>
      <c r="N42" s="54">
        <v>0</v>
      </c>
      <c r="O42" s="54">
        <v>25.535301208496094</v>
      </c>
      <c r="P42" s="54">
        <v>0.05000000074505806</v>
      </c>
      <c r="Q42" s="54">
        <v>0.20732060074806213</v>
      </c>
      <c r="R42" s="54">
        <v>0.00021003723668400198</v>
      </c>
      <c r="S42" s="54">
        <v>0</v>
      </c>
      <c r="T42" s="54">
        <v>0</v>
      </c>
      <c r="U42" s="71">
        <v>0</v>
      </c>
      <c r="V42" s="79">
        <v>0</v>
      </c>
      <c r="W42" s="80">
        <v>89.44950866699219</v>
      </c>
      <c r="X42" s="71">
        <v>18.417245864868164</v>
      </c>
      <c r="Y42" s="71">
        <v>15</v>
      </c>
      <c r="Z42" s="71">
        <v>37.708335876464844</v>
      </c>
      <c r="AA42" s="71">
        <v>19.62890625</v>
      </c>
      <c r="AB42" s="71">
        <v>20.76280403137207</v>
      </c>
      <c r="AC42" s="71">
        <v>14.5</v>
      </c>
      <c r="AD42" s="71">
        <v>37.829864501953125</v>
      </c>
      <c r="AE42" s="58">
        <v>22.777416229248047</v>
      </c>
      <c r="AF42" s="58">
        <v>72.68338012695312</v>
      </c>
      <c r="AG42" s="58"/>
      <c r="AH42" s="58">
        <v>0</v>
      </c>
      <c r="AI42" s="58">
        <v>0</v>
      </c>
      <c r="AJ42" s="58">
        <v>0</v>
      </c>
      <c r="AK42" s="58">
        <v>92.28153991699219</v>
      </c>
      <c r="AL42" s="59">
        <v>50.04051208496094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14">
        <v>0.5</v>
      </c>
      <c r="C43" s="54">
        <v>0</v>
      </c>
      <c r="D43" s="54">
        <v>9.057283023139462E-06</v>
      </c>
      <c r="E43" s="54">
        <v>52.936920166015625</v>
      </c>
      <c r="F43" s="54"/>
      <c r="G43" s="54"/>
      <c r="H43" s="54">
        <v>0</v>
      </c>
      <c r="I43" s="54">
        <v>0</v>
      </c>
      <c r="J43" s="54">
        <v>23.27474021911621</v>
      </c>
      <c r="K43" s="54">
        <v>40</v>
      </c>
      <c r="L43" s="54">
        <v>47.88772964477539</v>
      </c>
      <c r="M43" s="54">
        <v>0</v>
      </c>
      <c r="N43" s="54">
        <v>0</v>
      </c>
      <c r="O43" s="54">
        <v>26.086877822875977</v>
      </c>
      <c r="P43" s="54">
        <v>0.05000000074505806</v>
      </c>
      <c r="Q43" s="54">
        <v>0.21043112874031067</v>
      </c>
      <c r="R43" s="54">
        <v>0.00020848846179433167</v>
      </c>
      <c r="S43" s="54">
        <v>0</v>
      </c>
      <c r="T43" s="54">
        <v>0</v>
      </c>
      <c r="U43" s="71">
        <v>0</v>
      </c>
      <c r="V43" s="79">
        <v>0</v>
      </c>
      <c r="W43" s="80">
        <v>95.77545928955078</v>
      </c>
      <c r="X43" s="71">
        <v>17.118778228759766</v>
      </c>
      <c r="Y43" s="71">
        <v>30.5</v>
      </c>
      <c r="Z43" s="71">
        <v>77.71267700195312</v>
      </c>
      <c r="AA43" s="71">
        <v>19.287109375</v>
      </c>
      <c r="AB43" s="71">
        <v>20.974393844604492</v>
      </c>
      <c r="AC43" s="71">
        <v>25.5</v>
      </c>
      <c r="AD43" s="71">
        <v>66.91840362548828</v>
      </c>
      <c r="AE43" s="58">
        <v>23.195167541503906</v>
      </c>
      <c r="AF43" s="58">
        <v>69.54210662841797</v>
      </c>
      <c r="AG43" s="58"/>
      <c r="AH43" s="58">
        <v>0</v>
      </c>
      <c r="AI43" s="58">
        <v>0</v>
      </c>
      <c r="AJ43" s="58">
        <v>0</v>
      </c>
      <c r="AK43" s="58">
        <v>92.32132720947266</v>
      </c>
      <c r="AL43" s="59">
        <v>49.69618225097656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0.54166666666666596</v>
      </c>
      <c r="C44" s="54">
        <v>0</v>
      </c>
      <c r="D44" s="54">
        <v>1.099705696105957E-05</v>
      </c>
      <c r="E44" s="54">
        <v>49.768516540527344</v>
      </c>
      <c r="F44" s="54"/>
      <c r="G44" s="54"/>
      <c r="H44" s="54">
        <v>0</v>
      </c>
      <c r="I44" s="54">
        <v>0</v>
      </c>
      <c r="J44" s="54">
        <v>23.555049896240234</v>
      </c>
      <c r="K44" s="54">
        <v>40</v>
      </c>
      <c r="L44" s="54">
        <v>47.734012603759766</v>
      </c>
      <c r="M44" s="54">
        <v>0</v>
      </c>
      <c r="N44" s="54">
        <v>0</v>
      </c>
      <c r="O44" s="54">
        <v>26.602285385131836</v>
      </c>
      <c r="P44" s="54">
        <v>0.05000000074505806</v>
      </c>
      <c r="Q44" s="54">
        <v>0.22403067350387573</v>
      </c>
      <c r="R44" s="54">
        <v>0.00021051788644399494</v>
      </c>
      <c r="S44" s="54">
        <v>0</v>
      </c>
      <c r="T44" s="54">
        <v>0</v>
      </c>
      <c r="U44" s="71">
        <v>0</v>
      </c>
      <c r="V44" s="79">
        <v>0</v>
      </c>
      <c r="W44" s="80">
        <v>89.61949920654297</v>
      </c>
      <c r="X44" s="71">
        <v>17.288772583007812</v>
      </c>
      <c r="Y44" s="71">
        <v>20</v>
      </c>
      <c r="Z44" s="71">
        <v>50.481773376464844</v>
      </c>
      <c r="AA44" s="71">
        <v>17.214628219604492</v>
      </c>
      <c r="AB44" s="71">
        <v>85.21051025390625</v>
      </c>
      <c r="AC44" s="71">
        <v>20</v>
      </c>
      <c r="AD44" s="71">
        <v>52.74305725097656</v>
      </c>
      <c r="AE44" s="58">
        <v>17.68120574951172</v>
      </c>
      <c r="AF44" s="58">
        <v>21.05034828186035</v>
      </c>
      <c r="AG44" s="58"/>
      <c r="AH44" s="58">
        <v>0</v>
      </c>
      <c r="AI44" s="58">
        <v>0</v>
      </c>
      <c r="AJ44" s="58">
        <v>0</v>
      </c>
      <c r="AK44" s="58">
        <v>92.3321762084961</v>
      </c>
      <c r="AL44" s="59">
        <v>49.33449172973633</v>
      </c>
      <c r="AM44" s="81">
        <v>0.07000000029802322</v>
      </c>
      <c r="AN44" s="72">
        <v>0.07000000029802322</v>
      </c>
      <c r="AO44" s="58"/>
      <c r="AP44" s="58"/>
      <c r="AQ44" s="58"/>
      <c r="AR44" s="62"/>
    </row>
    <row r="45" spans="2:44" ht="13.5" customHeight="1" x14ac:dyDescent="0.25">
      <c r="B45" s="14">
        <v>0.58333333333333304</v>
      </c>
      <c r="C45" s="54">
        <v>0</v>
      </c>
      <c r="D45" s="54">
        <v>1.681089429439453E-06</v>
      </c>
      <c r="E45" s="54">
        <v>57.8125</v>
      </c>
      <c r="F45" s="54"/>
      <c r="G45" s="54"/>
      <c r="H45" s="54">
        <v>0</v>
      </c>
      <c r="I45" s="54">
        <v>0</v>
      </c>
      <c r="J45" s="54">
        <v>23.717809677124023</v>
      </c>
      <c r="K45" s="54">
        <v>40</v>
      </c>
      <c r="L45" s="54">
        <v>47.62550735473633</v>
      </c>
      <c r="M45" s="54">
        <v>0</v>
      </c>
      <c r="N45" s="54">
        <v>0</v>
      </c>
      <c r="O45" s="54">
        <v>27.117692947387695</v>
      </c>
      <c r="P45" s="54">
        <v>0.05000000074505806</v>
      </c>
      <c r="Q45" s="54">
        <v>0.21035879850387573</v>
      </c>
      <c r="R45" s="54">
        <v>0.00021155548165552318</v>
      </c>
      <c r="S45" s="54">
        <v>0</v>
      </c>
      <c r="T45" s="54">
        <v>0</v>
      </c>
      <c r="U45" s="71">
        <v>0</v>
      </c>
      <c r="V45" s="79">
        <v>0</v>
      </c>
      <c r="W45" s="80">
        <v>93.08810424804688</v>
      </c>
      <c r="X45" s="71">
        <v>18.297887802124023</v>
      </c>
      <c r="Y45" s="71">
        <v>20</v>
      </c>
      <c r="Z45" s="71">
        <v>50.598960876464844</v>
      </c>
      <c r="AA45" s="71">
        <v>18.495010375976562</v>
      </c>
      <c r="AB45" s="71">
        <v>66.41168212890625</v>
      </c>
      <c r="AC45" s="71">
        <v>20</v>
      </c>
      <c r="AD45" s="71">
        <v>52.6475715637207</v>
      </c>
      <c r="AE45" s="58">
        <v>16.453269958496094</v>
      </c>
      <c r="AF45" s="58">
        <v>19.51497459411621</v>
      </c>
      <c r="AG45" s="58"/>
      <c r="AH45" s="58">
        <v>0</v>
      </c>
      <c r="AI45" s="58">
        <v>0</v>
      </c>
      <c r="AJ45" s="58">
        <v>0</v>
      </c>
      <c r="AK45" s="58">
        <v>92.34664154052734</v>
      </c>
      <c r="AL45" s="59">
        <v>48.94676208496094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0.625</v>
      </c>
      <c r="C46" s="54">
        <v>0</v>
      </c>
      <c r="D46" s="54">
        <v>0</v>
      </c>
      <c r="E46" s="54">
        <v>49.92766189575195</v>
      </c>
      <c r="F46" s="54"/>
      <c r="G46" s="54"/>
      <c r="H46" s="54">
        <v>0</v>
      </c>
      <c r="I46" s="54">
        <v>0</v>
      </c>
      <c r="J46" s="54">
        <v>23.998119354248047</v>
      </c>
      <c r="K46" s="54">
        <v>40</v>
      </c>
      <c r="L46" s="54">
        <v>47.788265228271484</v>
      </c>
      <c r="M46" s="54">
        <v>0</v>
      </c>
      <c r="N46" s="54">
        <v>0</v>
      </c>
      <c r="O46" s="54">
        <v>27.443214416503906</v>
      </c>
      <c r="P46" s="54">
        <v>0.05000000074505806</v>
      </c>
      <c r="Q46" s="54">
        <v>0.20428240299224854</v>
      </c>
      <c r="R46" s="54">
        <v>0.00020937348017469049</v>
      </c>
      <c r="S46" s="54">
        <v>0</v>
      </c>
      <c r="T46" s="54">
        <v>0</v>
      </c>
      <c r="U46" s="71">
        <v>0</v>
      </c>
      <c r="V46" s="79">
        <v>0</v>
      </c>
      <c r="W46" s="80">
        <v>95.10271453857422</v>
      </c>
      <c r="X46" s="71">
        <v>17.726417541503906</v>
      </c>
      <c r="Y46" s="71">
        <v>30</v>
      </c>
      <c r="Z46" s="71">
        <v>76.08507537841797</v>
      </c>
      <c r="AA46" s="71">
        <v>19.303386688232422</v>
      </c>
      <c r="AB46" s="71">
        <v>56.277130126953125</v>
      </c>
      <c r="AC46" s="71">
        <v>30</v>
      </c>
      <c r="AD46" s="71">
        <v>78.6154556274414</v>
      </c>
      <c r="AE46" s="58">
        <v>15.668402671813965</v>
      </c>
      <c r="AF46" s="58">
        <v>18.67404556274414</v>
      </c>
      <c r="AG46" s="58"/>
      <c r="AH46" s="58">
        <v>0</v>
      </c>
      <c r="AI46" s="58">
        <v>0</v>
      </c>
      <c r="AJ46" s="58">
        <v>0</v>
      </c>
      <c r="AK46" s="58">
        <v>92.35387420654297</v>
      </c>
      <c r="AL46" s="59">
        <v>48.50405502319336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0.66666666666666596</v>
      </c>
      <c r="C47" s="54">
        <v>0</v>
      </c>
      <c r="D47" s="54">
        <v>6.585121354873991E-07</v>
      </c>
      <c r="E47" s="54">
        <v>53.94241714477539</v>
      </c>
      <c r="F47" s="54"/>
      <c r="G47" s="54"/>
      <c r="H47" s="54">
        <v>0</v>
      </c>
      <c r="I47" s="54">
        <v>0</v>
      </c>
      <c r="J47" s="54">
        <v>24.287471771240234</v>
      </c>
      <c r="K47" s="54">
        <v>40</v>
      </c>
      <c r="L47" s="54">
        <v>47.788265228271484</v>
      </c>
      <c r="M47" s="54">
        <v>0</v>
      </c>
      <c r="N47" s="54">
        <v>0</v>
      </c>
      <c r="O47" s="54">
        <v>27.732566833496094</v>
      </c>
      <c r="P47" s="54">
        <v>0.05000000074505806</v>
      </c>
      <c r="Q47" s="54">
        <v>0.1875</v>
      </c>
      <c r="R47" s="54">
        <v>0.00019534301827661693</v>
      </c>
      <c r="S47" s="54">
        <v>0</v>
      </c>
      <c r="T47" s="54">
        <v>0</v>
      </c>
      <c r="U47" s="71">
        <v>0</v>
      </c>
      <c r="V47" s="79">
        <v>0</v>
      </c>
      <c r="W47" s="80">
        <v>92.50216674804688</v>
      </c>
      <c r="X47" s="71">
        <v>17.259838104248047</v>
      </c>
      <c r="Y47" s="71">
        <v>30</v>
      </c>
      <c r="Z47" s="71">
        <v>75.65972900390625</v>
      </c>
      <c r="AA47" s="71">
        <v>19.618057250976562</v>
      </c>
      <c r="AB47" s="71">
        <v>51.980255126953125</v>
      </c>
      <c r="AC47" s="71">
        <v>30</v>
      </c>
      <c r="AD47" s="71">
        <v>78.7109375</v>
      </c>
      <c r="AE47" s="58">
        <v>15.373625755310059</v>
      </c>
      <c r="AF47" s="58">
        <v>18.250869750976562</v>
      </c>
      <c r="AG47" s="58"/>
      <c r="AH47" s="58">
        <v>0</v>
      </c>
      <c r="AI47" s="58">
        <v>0</v>
      </c>
      <c r="AJ47" s="58">
        <v>0</v>
      </c>
      <c r="AK47" s="58">
        <v>92.37557983398438</v>
      </c>
      <c r="AL47" s="59">
        <v>48.1944465637207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0.70833333333333304</v>
      </c>
      <c r="C48" s="54">
        <v>0</v>
      </c>
      <c r="D48" s="54">
        <v>1.0198593372479081E-05</v>
      </c>
      <c r="E48" s="54">
        <v>49.088539123535156</v>
      </c>
      <c r="F48" s="54"/>
      <c r="G48" s="54"/>
      <c r="H48" s="54">
        <v>0</v>
      </c>
      <c r="I48" s="54">
        <v>0</v>
      </c>
      <c r="J48" s="54">
        <v>24.63107681274414</v>
      </c>
      <c r="K48" s="54">
        <v>40</v>
      </c>
      <c r="L48" s="54">
        <v>48.11378860473633</v>
      </c>
      <c r="M48" s="54">
        <v>0</v>
      </c>
      <c r="N48" s="54">
        <v>0</v>
      </c>
      <c r="O48" s="54">
        <v>27.949581146240234</v>
      </c>
      <c r="P48" s="54">
        <v>0.05000000074505806</v>
      </c>
      <c r="Q48" s="54">
        <v>0.20703125</v>
      </c>
      <c r="R48" s="54">
        <v>0.00020819091878365725</v>
      </c>
      <c r="S48" s="54">
        <v>0</v>
      </c>
      <c r="T48" s="54">
        <v>0</v>
      </c>
      <c r="U48" s="71">
        <v>0</v>
      </c>
      <c r="V48" s="79">
        <v>0</v>
      </c>
      <c r="W48" s="80">
        <v>90.5779800415039</v>
      </c>
      <c r="X48" s="71">
        <v>19.343170166015625</v>
      </c>
      <c r="Y48" s="71">
        <v>25</v>
      </c>
      <c r="Z48" s="71">
        <v>63.51996994018555</v>
      </c>
      <c r="AA48" s="71">
        <v>20.182292938232422</v>
      </c>
      <c r="AB48" s="71">
        <v>49.414066314697266</v>
      </c>
      <c r="AC48" s="71">
        <v>25</v>
      </c>
      <c r="AD48" s="71">
        <v>65.92448425292969</v>
      </c>
      <c r="AE48" s="58">
        <v>15.277777671813965</v>
      </c>
      <c r="AF48" s="58">
        <v>18.07183265686035</v>
      </c>
      <c r="AG48" s="58"/>
      <c r="AH48" s="58">
        <v>0</v>
      </c>
      <c r="AI48" s="58">
        <v>0</v>
      </c>
      <c r="AJ48" s="58">
        <v>0</v>
      </c>
      <c r="AK48" s="58">
        <v>92.37557983398438</v>
      </c>
      <c r="AL48" s="59">
        <v>47.708335876464844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0.75</v>
      </c>
      <c r="C49" s="54">
        <v>0</v>
      </c>
      <c r="D49" s="54">
        <v>4.296064162190305E-06</v>
      </c>
      <c r="E49" s="54">
        <v>60.75665283203125</v>
      </c>
      <c r="F49" s="54"/>
      <c r="G49" s="54"/>
      <c r="H49" s="54">
        <v>0</v>
      </c>
      <c r="I49" s="54">
        <v>0</v>
      </c>
      <c r="J49" s="54">
        <v>24.90234375</v>
      </c>
      <c r="K49" s="54">
        <v>40</v>
      </c>
      <c r="L49" s="54">
        <v>48.39409637451172</v>
      </c>
      <c r="M49" s="54">
        <v>0</v>
      </c>
      <c r="N49" s="54">
        <v>0</v>
      </c>
      <c r="O49" s="54">
        <v>28.112340927124023</v>
      </c>
      <c r="P49" s="54">
        <v>0.05000000074505806</v>
      </c>
      <c r="Q49" s="54">
        <v>0.13245080411434174</v>
      </c>
      <c r="R49" s="54">
        <v>0.00020372771541588008</v>
      </c>
      <c r="S49" s="54">
        <v>0</v>
      </c>
      <c r="T49" s="54">
        <v>0</v>
      </c>
      <c r="U49" s="71">
        <v>0</v>
      </c>
      <c r="V49" s="79">
        <v>0</v>
      </c>
      <c r="W49" s="80">
        <v>89.51099395751953</v>
      </c>
      <c r="X49" s="71">
        <v>20.2835636138916</v>
      </c>
      <c r="Y49" s="71">
        <v>20</v>
      </c>
      <c r="Z49" s="71">
        <v>50.10416793823242</v>
      </c>
      <c r="AA49" s="71">
        <v>20.182292938232422</v>
      </c>
      <c r="AB49" s="71">
        <v>47.949222564697266</v>
      </c>
      <c r="AC49" s="71">
        <v>20</v>
      </c>
      <c r="AD49" s="71">
        <v>52.517364501953125</v>
      </c>
      <c r="AE49" s="58">
        <v>15.17469596862793</v>
      </c>
      <c r="AF49" s="58">
        <v>18.07183265686035</v>
      </c>
      <c r="AG49" s="58"/>
      <c r="AH49" s="58">
        <v>0</v>
      </c>
      <c r="AI49" s="58">
        <v>0</v>
      </c>
      <c r="AJ49" s="58">
        <v>0</v>
      </c>
      <c r="AK49" s="58">
        <v>92.37557983398438</v>
      </c>
      <c r="AL49" s="59">
        <v>47.44791793823242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0.79166666666666696</v>
      </c>
      <c r="C50" s="54">
        <v>0</v>
      </c>
      <c r="D50" s="54">
        <v>1.2342929949227255E-05</v>
      </c>
      <c r="E50" s="54">
        <v>53.53009033203125</v>
      </c>
      <c r="F50" s="54"/>
      <c r="G50" s="54"/>
      <c r="H50" s="54">
        <v>0</v>
      </c>
      <c r="I50" s="54">
        <v>0</v>
      </c>
      <c r="J50" s="54">
        <v>25.182653427124023</v>
      </c>
      <c r="K50" s="54">
        <v>40</v>
      </c>
      <c r="L50" s="54">
        <v>49.47916793823242</v>
      </c>
      <c r="M50" s="54">
        <v>0</v>
      </c>
      <c r="N50" s="54">
        <v>0</v>
      </c>
      <c r="O50" s="54">
        <v>27.949581146240234</v>
      </c>
      <c r="P50" s="54">
        <v>0.05000000074505806</v>
      </c>
      <c r="Q50" s="54">
        <v>0.104383684694767</v>
      </c>
      <c r="R50" s="54">
        <v>0.00010780334559967741</v>
      </c>
      <c r="S50" s="54">
        <v>0</v>
      </c>
      <c r="T50" s="54">
        <v>0</v>
      </c>
      <c r="U50" s="71">
        <v>0</v>
      </c>
      <c r="V50" s="79">
        <v>0</v>
      </c>
      <c r="W50" s="80">
        <v>92.66493225097656</v>
      </c>
      <c r="X50" s="71">
        <v>18.352140426635742</v>
      </c>
      <c r="Y50" s="71">
        <v>40</v>
      </c>
      <c r="Z50" s="71">
        <v>101.76649475097656</v>
      </c>
      <c r="AA50" s="71">
        <v>20.301651000976562</v>
      </c>
      <c r="AB50" s="71">
        <v>46.94552993774414</v>
      </c>
      <c r="AC50" s="71">
        <v>40</v>
      </c>
      <c r="AD50" s="71">
        <v>106.09375762939453</v>
      </c>
      <c r="AE50" s="58">
        <v>14.928747177124023</v>
      </c>
      <c r="AF50" s="58">
        <v>17.93077278137207</v>
      </c>
      <c r="AG50" s="58"/>
      <c r="AH50" s="58">
        <v>0</v>
      </c>
      <c r="AI50" s="58">
        <v>0</v>
      </c>
      <c r="AJ50" s="58">
        <v>0</v>
      </c>
      <c r="AK50" s="58">
        <v>92.39366149902344</v>
      </c>
      <c r="AL50" s="59">
        <v>47.19618225097656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14">
        <v>0.83333333333333304</v>
      </c>
      <c r="C51" s="63">
        <v>0</v>
      </c>
      <c r="D51" s="63">
        <v>2.0030260202474892E-05</v>
      </c>
      <c r="E51" s="63">
        <v>37.93402862548828</v>
      </c>
      <c r="F51" s="63"/>
      <c r="G51" s="63"/>
      <c r="H51" s="63">
        <v>0</v>
      </c>
      <c r="I51" s="63">
        <v>0</v>
      </c>
      <c r="J51" s="63">
        <v>25.300203323364258</v>
      </c>
      <c r="K51" s="63">
        <v>40</v>
      </c>
      <c r="L51" s="63">
        <v>49.82277297973633</v>
      </c>
      <c r="M51" s="63">
        <v>0</v>
      </c>
      <c r="N51" s="63">
        <v>0</v>
      </c>
      <c r="O51" s="63">
        <v>27.624059677124023</v>
      </c>
      <c r="P51" s="63">
        <v>0.05000000074505806</v>
      </c>
      <c r="Q51" s="63">
        <v>0.20710359513759613</v>
      </c>
      <c r="R51" s="63">
        <v>0.00014145660679787397</v>
      </c>
      <c r="S51" s="63">
        <v>0</v>
      </c>
      <c r="T51" s="63">
        <v>0</v>
      </c>
      <c r="U51" s="74">
        <v>0</v>
      </c>
      <c r="V51" s="82">
        <v>0</v>
      </c>
      <c r="W51" s="83">
        <v>95.10633850097656</v>
      </c>
      <c r="X51" s="74">
        <v>19.773582458496094</v>
      </c>
      <c r="Y51" s="74">
        <v>50</v>
      </c>
      <c r="Z51" s="74">
        <v>0</v>
      </c>
      <c r="AA51" s="74">
        <v>20.41558265686035</v>
      </c>
      <c r="AB51" s="74">
        <v>46.1046028137207</v>
      </c>
      <c r="AC51" s="74">
        <v>50</v>
      </c>
      <c r="AD51" s="74">
        <v>123.79341125488281</v>
      </c>
      <c r="AE51" s="67">
        <v>14.086009979248047</v>
      </c>
      <c r="AF51" s="67">
        <v>17.030166625976562</v>
      </c>
      <c r="AG51" s="67"/>
      <c r="AH51" s="67">
        <v>0</v>
      </c>
      <c r="AI51" s="67">
        <v>0</v>
      </c>
      <c r="AJ51" s="67">
        <v>0</v>
      </c>
      <c r="AK51" s="67">
        <v>92.36834716796875</v>
      </c>
      <c r="AL51" s="68">
        <v>46.93865966796875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48" t="s">
        <v>370</v>
      </c>
      <c r="C52" s="149"/>
      <c r="D52" s="9" t="s">
        <v>19</v>
      </c>
      <c r="E52" s="125" t="s">
        <v>20</v>
      </c>
      <c r="F52" s="128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30"/>
      <c r="AP52" s="130"/>
      <c r="AQ52" s="130"/>
      <c r="AR52" s="131"/>
    </row>
    <row r="53" spans="2:44" ht="13.5" customHeight="1" x14ac:dyDescent="0.25">
      <c r="B53" s="124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32"/>
      <c r="AP53" s="132"/>
      <c r="AQ53" s="132"/>
      <c r="AR53" s="133"/>
    </row>
    <row r="54" spans="2:44" ht="13.5" customHeight="1" thickBot="1" x14ac:dyDescent="0.3">
      <c r="B54" s="136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34"/>
      <c r="AP54" s="134"/>
      <c r="AQ54" s="134"/>
      <c r="AR54" s="13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51" t="s">
        <v>230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</row>
    <row r="2" spans="2:58" ht="13" customHeight="1" x14ac:dyDescent="0.25">
      <c r="B2" s="198" t="s">
        <v>232</v>
      </c>
      <c r="C2" s="161"/>
      <c r="D2" s="161"/>
      <c r="E2" s="161"/>
      <c r="F2" s="161"/>
      <c r="G2" s="161"/>
      <c r="H2" s="161"/>
      <c r="I2" s="161"/>
      <c r="J2" s="161"/>
      <c r="K2" s="161"/>
      <c r="L2" s="166"/>
      <c r="M2" s="199" t="s">
        <v>231</v>
      </c>
      <c r="N2" s="161"/>
      <c r="O2" s="161"/>
      <c r="P2" s="161"/>
      <c r="Q2" s="161"/>
      <c r="R2" s="161"/>
      <c r="S2" s="161"/>
      <c r="T2" s="161"/>
      <c r="U2" s="161"/>
      <c r="V2" s="161"/>
      <c r="W2" s="166"/>
      <c r="X2" s="111" t="s">
        <v>233</v>
      </c>
      <c r="Y2" s="161"/>
      <c r="Z2" s="161"/>
      <c r="AA2" s="161"/>
      <c r="AB2" s="161"/>
      <c r="AC2" s="161"/>
      <c r="AD2" s="161"/>
      <c r="AE2" s="161"/>
      <c r="AF2" s="161"/>
      <c r="AG2" s="161"/>
      <c r="AH2" s="166"/>
      <c r="AI2" s="199" t="s">
        <v>234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6"/>
      <c r="AU2" s="111" t="s">
        <v>235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200"/>
    </row>
    <row r="3" spans="2:58" ht="13" customHeight="1" x14ac:dyDescent="0.25">
      <c r="B3" s="202"/>
      <c r="C3" s="186"/>
      <c r="D3" s="186"/>
      <c r="E3" s="186"/>
      <c r="F3" s="186"/>
      <c r="G3" s="186"/>
      <c r="H3" s="186"/>
      <c r="I3" s="186"/>
      <c r="J3" s="186"/>
      <c r="K3" s="186"/>
      <c r="L3" s="187"/>
      <c r="M3" s="205"/>
      <c r="N3" s="186"/>
      <c r="O3" s="186"/>
      <c r="P3" s="186"/>
      <c r="Q3" s="186"/>
      <c r="R3" s="186"/>
      <c r="S3" s="186"/>
      <c r="T3" s="186"/>
      <c r="U3" s="186"/>
      <c r="V3" s="186"/>
      <c r="W3" s="187"/>
      <c r="X3" s="193"/>
      <c r="Y3" s="186"/>
      <c r="Z3" s="186"/>
      <c r="AA3" s="186"/>
      <c r="AB3" s="186"/>
      <c r="AC3" s="186"/>
      <c r="AD3" s="186"/>
      <c r="AE3" s="186"/>
      <c r="AF3" s="186"/>
      <c r="AG3" s="186"/>
      <c r="AH3" s="187"/>
      <c r="AI3" s="215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7"/>
      <c r="AU3" s="193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95"/>
    </row>
    <row r="4" spans="2:58" ht="13" customHeight="1" x14ac:dyDescent="0.25">
      <c r="B4" s="203"/>
      <c r="C4" s="189"/>
      <c r="D4" s="189"/>
      <c r="E4" s="189"/>
      <c r="F4" s="189"/>
      <c r="G4" s="189"/>
      <c r="H4" s="189"/>
      <c r="I4" s="189"/>
      <c r="J4" s="189"/>
      <c r="K4" s="189"/>
      <c r="L4" s="190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90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90"/>
      <c r="AI4" s="188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90"/>
      <c r="AU4" s="188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96"/>
    </row>
    <row r="5" spans="2:58" ht="13" customHeight="1" x14ac:dyDescent="0.25">
      <c r="B5" s="203"/>
      <c r="C5" s="189"/>
      <c r="D5" s="189"/>
      <c r="E5" s="189"/>
      <c r="F5" s="189"/>
      <c r="G5" s="189"/>
      <c r="H5" s="189"/>
      <c r="I5" s="189"/>
      <c r="J5" s="189"/>
      <c r="K5" s="189"/>
      <c r="L5" s="190"/>
      <c r="M5" s="188"/>
      <c r="N5" s="189"/>
      <c r="O5" s="189"/>
      <c r="P5" s="189"/>
      <c r="Q5" s="189"/>
      <c r="R5" s="189"/>
      <c r="S5" s="189"/>
      <c r="T5" s="189"/>
      <c r="U5" s="189"/>
      <c r="V5" s="189"/>
      <c r="W5" s="190"/>
      <c r="X5" s="188"/>
      <c r="Y5" s="189"/>
      <c r="Z5" s="189"/>
      <c r="AA5" s="189"/>
      <c r="AB5" s="189"/>
      <c r="AC5" s="189"/>
      <c r="AD5" s="189"/>
      <c r="AE5" s="189"/>
      <c r="AF5" s="189"/>
      <c r="AG5" s="189"/>
      <c r="AH5" s="190"/>
      <c r="AI5" s="188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90"/>
      <c r="AU5" s="188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96"/>
    </row>
    <row r="6" spans="2:58" ht="13" customHeight="1" x14ac:dyDescent="0.25">
      <c r="B6" s="203"/>
      <c r="C6" s="189"/>
      <c r="D6" s="189"/>
      <c r="E6" s="189"/>
      <c r="F6" s="189"/>
      <c r="G6" s="189"/>
      <c r="H6" s="189"/>
      <c r="I6" s="189"/>
      <c r="J6" s="189"/>
      <c r="K6" s="189"/>
      <c r="L6" s="190"/>
      <c r="M6" s="188"/>
      <c r="N6" s="189"/>
      <c r="O6" s="189"/>
      <c r="P6" s="189"/>
      <c r="Q6" s="189"/>
      <c r="R6" s="189"/>
      <c r="S6" s="189"/>
      <c r="T6" s="189"/>
      <c r="U6" s="189"/>
      <c r="V6" s="189"/>
      <c r="W6" s="190"/>
      <c r="X6" s="188"/>
      <c r="Y6" s="189"/>
      <c r="Z6" s="189"/>
      <c r="AA6" s="189"/>
      <c r="AB6" s="189"/>
      <c r="AC6" s="189"/>
      <c r="AD6" s="189"/>
      <c r="AE6" s="189"/>
      <c r="AF6" s="189"/>
      <c r="AG6" s="189"/>
      <c r="AH6" s="190"/>
      <c r="AI6" s="188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90"/>
      <c r="AU6" s="188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96"/>
    </row>
    <row r="7" spans="2:58" ht="13" customHeight="1" x14ac:dyDescent="0.25">
      <c r="B7" s="203"/>
      <c r="C7" s="189"/>
      <c r="D7" s="189"/>
      <c r="E7" s="189"/>
      <c r="F7" s="189"/>
      <c r="G7" s="189"/>
      <c r="H7" s="189"/>
      <c r="I7" s="189"/>
      <c r="J7" s="189"/>
      <c r="K7" s="189"/>
      <c r="L7" s="190"/>
      <c r="M7" s="188"/>
      <c r="N7" s="189"/>
      <c r="O7" s="189"/>
      <c r="P7" s="189"/>
      <c r="Q7" s="189"/>
      <c r="R7" s="189"/>
      <c r="S7" s="189"/>
      <c r="T7" s="189"/>
      <c r="U7" s="189"/>
      <c r="V7" s="189"/>
      <c r="W7" s="190"/>
      <c r="X7" s="188"/>
      <c r="Y7" s="189"/>
      <c r="Z7" s="189"/>
      <c r="AA7" s="189"/>
      <c r="AB7" s="189"/>
      <c r="AC7" s="189"/>
      <c r="AD7" s="189"/>
      <c r="AE7" s="189"/>
      <c r="AF7" s="189"/>
      <c r="AG7" s="189"/>
      <c r="AH7" s="190"/>
      <c r="AI7" s="188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90"/>
      <c r="AU7" s="188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96"/>
    </row>
    <row r="8" spans="2:58" ht="13" customHeight="1" x14ac:dyDescent="0.25">
      <c r="B8" s="203"/>
      <c r="C8" s="189"/>
      <c r="D8" s="189"/>
      <c r="E8" s="189"/>
      <c r="F8" s="189"/>
      <c r="G8" s="189"/>
      <c r="H8" s="189"/>
      <c r="I8" s="189"/>
      <c r="J8" s="189"/>
      <c r="K8" s="189"/>
      <c r="L8" s="190"/>
      <c r="M8" s="188"/>
      <c r="N8" s="189"/>
      <c r="O8" s="189"/>
      <c r="P8" s="189"/>
      <c r="Q8" s="189"/>
      <c r="R8" s="189"/>
      <c r="S8" s="189"/>
      <c r="T8" s="189"/>
      <c r="U8" s="189"/>
      <c r="V8" s="189"/>
      <c r="W8" s="190"/>
      <c r="X8" s="188"/>
      <c r="Y8" s="189"/>
      <c r="Z8" s="189"/>
      <c r="AA8" s="189"/>
      <c r="AB8" s="189"/>
      <c r="AC8" s="189"/>
      <c r="AD8" s="189"/>
      <c r="AE8" s="189"/>
      <c r="AF8" s="189"/>
      <c r="AG8" s="189"/>
      <c r="AH8" s="190"/>
      <c r="AI8" s="188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90"/>
      <c r="AU8" s="188"/>
      <c r="AV8" s="189"/>
      <c r="AW8" s="189"/>
      <c r="AX8" s="189"/>
      <c r="AY8" s="189"/>
      <c r="AZ8" s="189"/>
      <c r="BA8" s="189"/>
      <c r="BB8" s="189"/>
      <c r="BC8" s="189"/>
      <c r="BD8" s="189"/>
      <c r="BE8" s="189"/>
      <c r="BF8" s="196"/>
    </row>
    <row r="9" spans="2:58" ht="13" customHeight="1" x14ac:dyDescent="0.25">
      <c r="B9" s="204"/>
      <c r="C9" s="192"/>
      <c r="D9" s="192"/>
      <c r="E9" s="192"/>
      <c r="F9" s="192"/>
      <c r="G9" s="192"/>
      <c r="H9" s="192"/>
      <c r="I9" s="192"/>
      <c r="J9" s="192"/>
      <c r="K9" s="192"/>
      <c r="L9" s="149"/>
      <c r="M9" s="191"/>
      <c r="N9" s="192"/>
      <c r="O9" s="192"/>
      <c r="P9" s="192"/>
      <c r="Q9" s="192"/>
      <c r="R9" s="192"/>
      <c r="S9" s="192"/>
      <c r="T9" s="192"/>
      <c r="U9" s="192"/>
      <c r="V9" s="192"/>
      <c r="W9" s="149"/>
      <c r="X9" s="191"/>
      <c r="Y9" s="192"/>
      <c r="Z9" s="192"/>
      <c r="AA9" s="192"/>
      <c r="AB9" s="192"/>
      <c r="AC9" s="192"/>
      <c r="AD9" s="192"/>
      <c r="AE9" s="192"/>
      <c r="AF9" s="192"/>
      <c r="AG9" s="192"/>
      <c r="AH9" s="149"/>
      <c r="AI9" s="191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49"/>
      <c r="AU9" s="191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7"/>
    </row>
    <row r="10" spans="2:58" ht="13" customHeight="1" x14ac:dyDescent="0.25">
      <c r="B10" s="181" t="s">
        <v>236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50"/>
      <c r="M10" s="201" t="s">
        <v>237</v>
      </c>
      <c r="N10" s="179"/>
      <c r="O10" s="179"/>
      <c r="P10" s="179"/>
      <c r="Q10" s="179"/>
      <c r="R10" s="179"/>
      <c r="S10" s="179"/>
      <c r="T10" s="179"/>
      <c r="U10" s="179"/>
      <c r="V10" s="179"/>
      <c r="W10" s="150"/>
      <c r="X10" s="156" t="s">
        <v>238</v>
      </c>
      <c r="Y10" s="179"/>
      <c r="Z10" s="179"/>
      <c r="AA10" s="179"/>
      <c r="AB10" s="179"/>
      <c r="AC10" s="179"/>
      <c r="AD10" s="179"/>
      <c r="AE10" s="179"/>
      <c r="AF10" s="179"/>
      <c r="AG10" s="179"/>
      <c r="AH10" s="150"/>
      <c r="AI10" s="156" t="s">
        <v>239</v>
      </c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50"/>
      <c r="AU10" s="132" t="s">
        <v>240</v>
      </c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183"/>
    </row>
    <row r="11" spans="2:58" ht="13" customHeight="1" x14ac:dyDescent="0.25">
      <c r="B11" s="202"/>
      <c r="C11" s="186"/>
      <c r="D11" s="186"/>
      <c r="E11" s="186"/>
      <c r="F11" s="186"/>
      <c r="G11" s="186"/>
      <c r="H11" s="186"/>
      <c r="I11" s="186"/>
      <c r="J11" s="186"/>
      <c r="K11" s="186"/>
      <c r="L11" s="187"/>
      <c r="M11" s="205"/>
      <c r="N11" s="186"/>
      <c r="O11" s="186"/>
      <c r="P11" s="186"/>
      <c r="Q11" s="186"/>
      <c r="R11" s="186"/>
      <c r="S11" s="186"/>
      <c r="T11" s="186"/>
      <c r="U11" s="186"/>
      <c r="V11" s="186"/>
      <c r="W11" s="187"/>
      <c r="X11" s="205"/>
      <c r="Y11" s="186"/>
      <c r="Z11" s="186"/>
      <c r="AA11" s="186"/>
      <c r="AB11" s="186"/>
      <c r="AC11" s="186"/>
      <c r="AD11" s="186"/>
      <c r="AE11" s="186"/>
      <c r="AF11" s="186"/>
      <c r="AG11" s="186"/>
      <c r="AH11" s="187"/>
      <c r="AI11" s="205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7"/>
      <c r="AU11" s="194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95"/>
    </row>
    <row r="12" spans="2:58" ht="13" customHeight="1" x14ac:dyDescent="0.25">
      <c r="B12" s="203"/>
      <c r="C12" s="189"/>
      <c r="D12" s="189"/>
      <c r="E12" s="189"/>
      <c r="F12" s="189"/>
      <c r="G12" s="189"/>
      <c r="H12" s="189"/>
      <c r="I12" s="189"/>
      <c r="J12" s="189"/>
      <c r="K12" s="189"/>
      <c r="L12" s="190"/>
      <c r="M12" s="188"/>
      <c r="N12" s="189"/>
      <c r="O12" s="189"/>
      <c r="P12" s="189"/>
      <c r="Q12" s="189"/>
      <c r="R12" s="189"/>
      <c r="S12" s="189"/>
      <c r="T12" s="189"/>
      <c r="U12" s="189"/>
      <c r="V12" s="189"/>
      <c r="W12" s="190"/>
      <c r="X12" s="188"/>
      <c r="Y12" s="189"/>
      <c r="Z12" s="189"/>
      <c r="AA12" s="189"/>
      <c r="AB12" s="189"/>
      <c r="AC12" s="189"/>
      <c r="AD12" s="189"/>
      <c r="AE12" s="189"/>
      <c r="AF12" s="189"/>
      <c r="AG12" s="189"/>
      <c r="AH12" s="190"/>
      <c r="AI12" s="188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90"/>
      <c r="AU12" s="188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96"/>
    </row>
    <row r="13" spans="2:58" ht="13" customHeight="1" x14ac:dyDescent="0.25">
      <c r="B13" s="203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90"/>
      <c r="X13" s="188"/>
      <c r="Y13" s="189"/>
      <c r="Z13" s="189"/>
      <c r="AA13" s="189"/>
      <c r="AB13" s="189"/>
      <c r="AC13" s="189"/>
      <c r="AD13" s="189"/>
      <c r="AE13" s="189"/>
      <c r="AF13" s="189"/>
      <c r="AG13" s="189"/>
      <c r="AH13" s="190"/>
      <c r="AI13" s="188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96"/>
    </row>
    <row r="14" spans="2:58" ht="13" customHeight="1" x14ac:dyDescent="0.25">
      <c r="B14" s="203"/>
      <c r="C14" s="189"/>
      <c r="D14" s="189"/>
      <c r="E14" s="189"/>
      <c r="F14" s="189"/>
      <c r="G14" s="189"/>
      <c r="H14" s="189"/>
      <c r="I14" s="189"/>
      <c r="J14" s="189"/>
      <c r="K14" s="189"/>
      <c r="L14" s="190"/>
      <c r="M14" s="188"/>
      <c r="N14" s="189"/>
      <c r="O14" s="189"/>
      <c r="P14" s="189"/>
      <c r="Q14" s="189"/>
      <c r="R14" s="189"/>
      <c r="S14" s="189"/>
      <c r="T14" s="189"/>
      <c r="U14" s="189"/>
      <c r="V14" s="189"/>
      <c r="W14" s="190"/>
      <c r="X14" s="188"/>
      <c r="Y14" s="189"/>
      <c r="Z14" s="189"/>
      <c r="AA14" s="189"/>
      <c r="AB14" s="189"/>
      <c r="AC14" s="189"/>
      <c r="AD14" s="189"/>
      <c r="AE14" s="189"/>
      <c r="AF14" s="189"/>
      <c r="AG14" s="189"/>
      <c r="AH14" s="190"/>
      <c r="AI14" s="188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90"/>
      <c r="AU14" s="188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96"/>
    </row>
    <row r="15" spans="2:58" ht="13" customHeight="1" x14ac:dyDescent="0.25">
      <c r="B15" s="203"/>
      <c r="C15" s="189"/>
      <c r="D15" s="189"/>
      <c r="E15" s="189"/>
      <c r="F15" s="189"/>
      <c r="G15" s="189"/>
      <c r="H15" s="189"/>
      <c r="I15" s="189"/>
      <c r="J15" s="189"/>
      <c r="K15" s="189"/>
      <c r="L15" s="190"/>
      <c r="M15" s="188"/>
      <c r="N15" s="189"/>
      <c r="O15" s="189"/>
      <c r="P15" s="189"/>
      <c r="Q15" s="189"/>
      <c r="R15" s="189"/>
      <c r="S15" s="189"/>
      <c r="T15" s="189"/>
      <c r="U15" s="189"/>
      <c r="V15" s="189"/>
      <c r="W15" s="190"/>
      <c r="X15" s="188"/>
      <c r="Y15" s="189"/>
      <c r="Z15" s="189"/>
      <c r="AA15" s="189"/>
      <c r="AB15" s="189"/>
      <c r="AC15" s="189"/>
      <c r="AD15" s="189"/>
      <c r="AE15" s="189"/>
      <c r="AF15" s="189"/>
      <c r="AG15" s="189"/>
      <c r="AH15" s="190"/>
      <c r="AI15" s="188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90"/>
      <c r="AU15" s="188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96"/>
    </row>
    <row r="16" spans="2:58" ht="13" customHeight="1" x14ac:dyDescent="0.25">
      <c r="B16" s="203"/>
      <c r="C16" s="189"/>
      <c r="D16" s="189"/>
      <c r="E16" s="189"/>
      <c r="F16" s="189"/>
      <c r="G16" s="189"/>
      <c r="H16" s="189"/>
      <c r="I16" s="189"/>
      <c r="J16" s="189"/>
      <c r="K16" s="189"/>
      <c r="L16" s="190"/>
      <c r="M16" s="188"/>
      <c r="N16" s="189"/>
      <c r="O16" s="189"/>
      <c r="P16" s="189"/>
      <c r="Q16" s="189"/>
      <c r="R16" s="189"/>
      <c r="S16" s="189"/>
      <c r="T16" s="189"/>
      <c r="U16" s="189"/>
      <c r="V16" s="189"/>
      <c r="W16" s="190"/>
      <c r="X16" s="188"/>
      <c r="Y16" s="189"/>
      <c r="Z16" s="189"/>
      <c r="AA16" s="189"/>
      <c r="AB16" s="189"/>
      <c r="AC16" s="189"/>
      <c r="AD16" s="189"/>
      <c r="AE16" s="189"/>
      <c r="AF16" s="189"/>
      <c r="AG16" s="189"/>
      <c r="AH16" s="190"/>
      <c r="AI16" s="188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90"/>
      <c r="AU16" s="188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96"/>
    </row>
    <row r="17" spans="2:58" ht="13" customHeight="1" x14ac:dyDescent="0.25">
      <c r="B17" s="204"/>
      <c r="C17" s="192"/>
      <c r="D17" s="192"/>
      <c r="E17" s="192"/>
      <c r="F17" s="192"/>
      <c r="G17" s="192"/>
      <c r="H17" s="192"/>
      <c r="I17" s="192"/>
      <c r="J17" s="192"/>
      <c r="K17" s="192"/>
      <c r="L17" s="149"/>
      <c r="M17" s="191"/>
      <c r="N17" s="192"/>
      <c r="O17" s="192"/>
      <c r="P17" s="192"/>
      <c r="Q17" s="192"/>
      <c r="R17" s="192"/>
      <c r="S17" s="192"/>
      <c r="T17" s="192"/>
      <c r="U17" s="192"/>
      <c r="V17" s="192"/>
      <c r="W17" s="149"/>
      <c r="X17" s="191"/>
      <c r="Y17" s="192"/>
      <c r="Z17" s="192"/>
      <c r="AA17" s="192"/>
      <c r="AB17" s="192"/>
      <c r="AC17" s="192"/>
      <c r="AD17" s="192"/>
      <c r="AE17" s="192"/>
      <c r="AF17" s="192"/>
      <c r="AG17" s="192"/>
      <c r="AH17" s="149"/>
      <c r="AI17" s="191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49"/>
      <c r="AU17" s="191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7"/>
    </row>
    <row r="18" spans="2:58" ht="13" customHeight="1" x14ac:dyDescent="0.25">
      <c r="B18" s="181" t="s">
        <v>241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214" t="s">
        <v>242</v>
      </c>
      <c r="N18" s="179"/>
      <c r="O18" s="179"/>
      <c r="P18" s="179"/>
      <c r="Q18" s="179"/>
      <c r="R18" s="179"/>
      <c r="S18" s="179"/>
      <c r="T18" s="179"/>
      <c r="U18" s="179"/>
      <c r="V18" s="179"/>
      <c r="W18" s="150"/>
      <c r="X18" s="213" t="s">
        <v>243</v>
      </c>
      <c r="Y18" s="179"/>
      <c r="Z18" s="179"/>
      <c r="AA18" s="179"/>
      <c r="AB18" s="179"/>
      <c r="AC18" s="179"/>
      <c r="AD18" s="179"/>
      <c r="AE18" s="179"/>
      <c r="AF18" s="179"/>
      <c r="AG18" s="179"/>
      <c r="AH18" s="150"/>
      <c r="AI18" s="118" t="s">
        <v>244</v>
      </c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50"/>
      <c r="AU18" s="132" t="s">
        <v>245</v>
      </c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83"/>
    </row>
    <row r="19" spans="2:58" ht="13" customHeight="1" x14ac:dyDescent="0.25">
      <c r="B19" s="202"/>
      <c r="C19" s="186"/>
      <c r="D19" s="186"/>
      <c r="E19" s="186"/>
      <c r="F19" s="186"/>
      <c r="G19" s="186"/>
      <c r="H19" s="186"/>
      <c r="I19" s="186"/>
      <c r="J19" s="186"/>
      <c r="K19" s="186"/>
      <c r="L19" s="187"/>
      <c r="M19" s="216"/>
      <c r="N19" s="186"/>
      <c r="O19" s="186"/>
      <c r="P19" s="186"/>
      <c r="Q19" s="186"/>
      <c r="R19" s="186"/>
      <c r="S19" s="186"/>
      <c r="T19" s="186"/>
      <c r="U19" s="186"/>
      <c r="V19" s="186"/>
      <c r="W19" s="187"/>
      <c r="X19" s="185"/>
      <c r="Y19" s="186"/>
      <c r="Z19" s="186"/>
      <c r="AA19" s="186"/>
      <c r="AB19" s="186"/>
      <c r="AC19" s="186"/>
      <c r="AD19" s="186"/>
      <c r="AE19" s="186"/>
      <c r="AF19" s="186"/>
      <c r="AG19" s="186"/>
      <c r="AH19" s="187"/>
      <c r="AI19" s="193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7"/>
      <c r="AU19" s="194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95"/>
    </row>
    <row r="20" spans="2:58" ht="13" customHeight="1" x14ac:dyDescent="0.25">
      <c r="B20" s="203"/>
      <c r="C20" s="189"/>
      <c r="D20" s="189"/>
      <c r="E20" s="189"/>
      <c r="F20" s="189"/>
      <c r="G20" s="189"/>
      <c r="H20" s="189"/>
      <c r="I20" s="189"/>
      <c r="J20" s="189"/>
      <c r="K20" s="189"/>
      <c r="L20" s="190"/>
      <c r="M20" s="188"/>
      <c r="N20" s="189"/>
      <c r="O20" s="189"/>
      <c r="P20" s="189"/>
      <c r="Q20" s="189"/>
      <c r="R20" s="189"/>
      <c r="S20" s="189"/>
      <c r="T20" s="189"/>
      <c r="U20" s="189"/>
      <c r="V20" s="189"/>
      <c r="W20" s="190"/>
      <c r="X20" s="188"/>
      <c r="Y20" s="189"/>
      <c r="Z20" s="189"/>
      <c r="AA20" s="189"/>
      <c r="AB20" s="189"/>
      <c r="AC20" s="189"/>
      <c r="AD20" s="189"/>
      <c r="AE20" s="189"/>
      <c r="AF20" s="189"/>
      <c r="AG20" s="189"/>
      <c r="AH20" s="190"/>
      <c r="AI20" s="188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90"/>
      <c r="AU20" s="188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  <c r="BF20" s="196"/>
    </row>
    <row r="21" spans="2:58" ht="13" customHeight="1" x14ac:dyDescent="0.25">
      <c r="B21" s="203"/>
      <c r="C21" s="189"/>
      <c r="D21" s="189"/>
      <c r="E21" s="189"/>
      <c r="F21" s="189"/>
      <c r="G21" s="189"/>
      <c r="H21" s="189"/>
      <c r="I21" s="189"/>
      <c r="J21" s="189"/>
      <c r="K21" s="189"/>
      <c r="L21" s="190"/>
      <c r="M21" s="188"/>
      <c r="N21" s="189"/>
      <c r="O21" s="189"/>
      <c r="P21" s="189"/>
      <c r="Q21" s="189"/>
      <c r="R21" s="189"/>
      <c r="S21" s="189"/>
      <c r="T21" s="189"/>
      <c r="U21" s="189"/>
      <c r="V21" s="189"/>
      <c r="W21" s="190"/>
      <c r="X21" s="188"/>
      <c r="Y21" s="189"/>
      <c r="Z21" s="189"/>
      <c r="AA21" s="189"/>
      <c r="AB21" s="189"/>
      <c r="AC21" s="189"/>
      <c r="AD21" s="189"/>
      <c r="AE21" s="189"/>
      <c r="AF21" s="189"/>
      <c r="AG21" s="189"/>
      <c r="AH21" s="190"/>
      <c r="AI21" s="188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90"/>
      <c r="AU21" s="188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96"/>
    </row>
    <row r="22" spans="2:58" ht="13" customHeight="1" x14ac:dyDescent="0.25">
      <c r="B22" s="203"/>
      <c r="C22" s="189"/>
      <c r="D22" s="189"/>
      <c r="E22" s="189"/>
      <c r="F22" s="189"/>
      <c r="G22" s="189"/>
      <c r="H22" s="189"/>
      <c r="I22" s="189"/>
      <c r="J22" s="189"/>
      <c r="K22" s="189"/>
      <c r="L22" s="190"/>
      <c r="M22" s="188"/>
      <c r="N22" s="189"/>
      <c r="O22" s="189"/>
      <c r="P22" s="189"/>
      <c r="Q22" s="189"/>
      <c r="R22" s="189"/>
      <c r="S22" s="189"/>
      <c r="T22" s="189"/>
      <c r="U22" s="189"/>
      <c r="V22" s="189"/>
      <c r="W22" s="190"/>
      <c r="X22" s="188"/>
      <c r="Y22" s="189"/>
      <c r="Z22" s="189"/>
      <c r="AA22" s="189"/>
      <c r="AB22" s="189"/>
      <c r="AC22" s="189"/>
      <c r="AD22" s="189"/>
      <c r="AE22" s="189"/>
      <c r="AF22" s="189"/>
      <c r="AG22" s="189"/>
      <c r="AH22" s="190"/>
      <c r="AI22" s="188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90"/>
      <c r="AU22" s="188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96"/>
    </row>
    <row r="23" spans="2:58" ht="13" customHeight="1" x14ac:dyDescent="0.25">
      <c r="B23" s="203"/>
      <c r="C23" s="189"/>
      <c r="D23" s="189"/>
      <c r="E23" s="189"/>
      <c r="F23" s="189"/>
      <c r="G23" s="189"/>
      <c r="H23" s="189"/>
      <c r="I23" s="189"/>
      <c r="J23" s="189"/>
      <c r="K23" s="189"/>
      <c r="L23" s="190"/>
      <c r="M23" s="188"/>
      <c r="N23" s="189"/>
      <c r="O23" s="189"/>
      <c r="P23" s="189"/>
      <c r="Q23" s="189"/>
      <c r="R23" s="189"/>
      <c r="S23" s="189"/>
      <c r="T23" s="189"/>
      <c r="U23" s="189"/>
      <c r="V23" s="189"/>
      <c r="W23" s="190"/>
      <c r="X23" s="188"/>
      <c r="Y23" s="189"/>
      <c r="Z23" s="189"/>
      <c r="AA23" s="189"/>
      <c r="AB23" s="189"/>
      <c r="AC23" s="189"/>
      <c r="AD23" s="189"/>
      <c r="AE23" s="189"/>
      <c r="AF23" s="189"/>
      <c r="AG23" s="189"/>
      <c r="AH23" s="190"/>
      <c r="AI23" s="188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90"/>
      <c r="AU23" s="188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96"/>
    </row>
    <row r="24" spans="2:58" ht="13" customHeight="1" x14ac:dyDescent="0.25">
      <c r="B24" s="204"/>
      <c r="C24" s="192"/>
      <c r="D24" s="192"/>
      <c r="E24" s="192"/>
      <c r="F24" s="192"/>
      <c r="G24" s="192"/>
      <c r="H24" s="192"/>
      <c r="I24" s="192"/>
      <c r="J24" s="192"/>
      <c r="K24" s="192"/>
      <c r="L24" s="149"/>
      <c r="M24" s="191"/>
      <c r="N24" s="192"/>
      <c r="O24" s="192"/>
      <c r="P24" s="192"/>
      <c r="Q24" s="192"/>
      <c r="R24" s="192"/>
      <c r="S24" s="192"/>
      <c r="T24" s="192"/>
      <c r="U24" s="192"/>
      <c r="V24" s="192"/>
      <c r="W24" s="149"/>
      <c r="X24" s="191"/>
      <c r="Y24" s="192"/>
      <c r="Z24" s="192"/>
      <c r="AA24" s="192"/>
      <c r="AB24" s="192"/>
      <c r="AC24" s="192"/>
      <c r="AD24" s="192"/>
      <c r="AE24" s="192"/>
      <c r="AF24" s="192"/>
      <c r="AG24" s="192"/>
      <c r="AH24" s="149"/>
      <c r="AI24" s="191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49"/>
      <c r="AU24" s="191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7"/>
    </row>
    <row r="25" spans="2:58" ht="13" customHeight="1" x14ac:dyDescent="0.25">
      <c r="B25" s="181" t="s">
        <v>246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50"/>
      <c r="M25" s="156" t="s">
        <v>247</v>
      </c>
      <c r="N25" s="179"/>
      <c r="O25" s="179"/>
      <c r="P25" s="179"/>
      <c r="Q25" s="179"/>
      <c r="R25" s="179"/>
      <c r="S25" s="179"/>
      <c r="T25" s="179"/>
      <c r="U25" s="179"/>
      <c r="V25" s="179"/>
      <c r="W25" s="150"/>
      <c r="X25" s="182" t="s">
        <v>248</v>
      </c>
      <c r="Y25" s="179"/>
      <c r="Z25" s="179"/>
      <c r="AA25" s="179"/>
      <c r="AB25" s="179"/>
      <c r="AC25" s="179"/>
      <c r="AD25" s="179"/>
      <c r="AE25" s="179"/>
      <c r="AF25" s="179"/>
      <c r="AG25" s="179"/>
      <c r="AH25" s="150"/>
      <c r="AI25" s="132" t="s">
        <v>249</v>
      </c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50"/>
      <c r="AU25" s="132" t="s">
        <v>250</v>
      </c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83"/>
    </row>
    <row r="26" spans="2:58" ht="13" customHeight="1" x14ac:dyDescent="0.25">
      <c r="B26" s="202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210"/>
      <c r="N26" s="186"/>
      <c r="O26" s="186"/>
      <c r="P26" s="186"/>
      <c r="Q26" s="186"/>
      <c r="R26" s="186"/>
      <c r="S26" s="186"/>
      <c r="T26" s="186"/>
      <c r="U26" s="186"/>
      <c r="V26" s="186"/>
      <c r="W26" s="187"/>
      <c r="X26" s="206"/>
      <c r="Y26" s="186"/>
      <c r="Z26" s="186"/>
      <c r="AA26" s="186"/>
      <c r="AB26" s="186"/>
      <c r="AC26" s="186"/>
      <c r="AD26" s="186"/>
      <c r="AE26" s="186"/>
      <c r="AF26" s="186"/>
      <c r="AG26" s="186"/>
      <c r="AH26" s="187"/>
      <c r="AI26" s="194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94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95"/>
    </row>
    <row r="27" spans="2:58" ht="13" customHeight="1" x14ac:dyDescent="0.25">
      <c r="B27" s="203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90"/>
      <c r="X27" s="188"/>
      <c r="Y27" s="189"/>
      <c r="Z27" s="189"/>
      <c r="AA27" s="189"/>
      <c r="AB27" s="189"/>
      <c r="AC27" s="189"/>
      <c r="AD27" s="189"/>
      <c r="AE27" s="189"/>
      <c r="AF27" s="189"/>
      <c r="AG27" s="189"/>
      <c r="AH27" s="190"/>
      <c r="AI27" s="188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96"/>
    </row>
    <row r="28" spans="2:58" ht="13" customHeight="1" x14ac:dyDescent="0.25">
      <c r="B28" s="203"/>
      <c r="C28" s="189"/>
      <c r="D28" s="189"/>
      <c r="E28" s="189"/>
      <c r="F28" s="189"/>
      <c r="G28" s="189"/>
      <c r="H28" s="189"/>
      <c r="I28" s="189"/>
      <c r="J28" s="189"/>
      <c r="K28" s="189"/>
      <c r="L28" s="190"/>
      <c r="M28" s="188"/>
      <c r="N28" s="189"/>
      <c r="O28" s="189"/>
      <c r="P28" s="189"/>
      <c r="Q28" s="189"/>
      <c r="R28" s="189"/>
      <c r="S28" s="189"/>
      <c r="T28" s="189"/>
      <c r="U28" s="189"/>
      <c r="V28" s="189"/>
      <c r="W28" s="190"/>
      <c r="X28" s="188"/>
      <c r="Y28" s="189"/>
      <c r="Z28" s="189"/>
      <c r="AA28" s="189"/>
      <c r="AB28" s="189"/>
      <c r="AC28" s="189"/>
      <c r="AD28" s="189"/>
      <c r="AE28" s="189"/>
      <c r="AF28" s="189"/>
      <c r="AG28" s="189"/>
      <c r="AH28" s="190"/>
      <c r="AI28" s="188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90"/>
      <c r="AU28" s="188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96"/>
    </row>
    <row r="29" spans="2:58" ht="13" customHeight="1" x14ac:dyDescent="0.25">
      <c r="B29" s="203"/>
      <c r="C29" s="189"/>
      <c r="D29" s="189"/>
      <c r="E29" s="189"/>
      <c r="F29" s="189"/>
      <c r="G29" s="189"/>
      <c r="H29" s="189"/>
      <c r="I29" s="189"/>
      <c r="J29" s="189"/>
      <c r="K29" s="189"/>
      <c r="L29" s="190"/>
      <c r="M29" s="188"/>
      <c r="N29" s="189"/>
      <c r="O29" s="189"/>
      <c r="P29" s="189"/>
      <c r="Q29" s="189"/>
      <c r="R29" s="189"/>
      <c r="S29" s="189"/>
      <c r="T29" s="189"/>
      <c r="U29" s="189"/>
      <c r="V29" s="189"/>
      <c r="W29" s="190"/>
      <c r="X29" s="188"/>
      <c r="Y29" s="189"/>
      <c r="Z29" s="189"/>
      <c r="AA29" s="189"/>
      <c r="AB29" s="189"/>
      <c r="AC29" s="189"/>
      <c r="AD29" s="189"/>
      <c r="AE29" s="189"/>
      <c r="AF29" s="189"/>
      <c r="AG29" s="189"/>
      <c r="AH29" s="190"/>
      <c r="AI29" s="188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90"/>
      <c r="AU29" s="188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96"/>
    </row>
    <row r="30" spans="2:58" ht="13" customHeight="1" x14ac:dyDescent="0.25">
      <c r="B30" s="203"/>
      <c r="C30" s="189"/>
      <c r="D30" s="189"/>
      <c r="E30" s="189"/>
      <c r="F30" s="189"/>
      <c r="G30" s="189"/>
      <c r="H30" s="189"/>
      <c r="I30" s="189"/>
      <c r="J30" s="189"/>
      <c r="K30" s="189"/>
      <c r="L30" s="190"/>
      <c r="M30" s="188"/>
      <c r="N30" s="189"/>
      <c r="O30" s="189"/>
      <c r="P30" s="189"/>
      <c r="Q30" s="189"/>
      <c r="R30" s="189"/>
      <c r="S30" s="189"/>
      <c r="T30" s="189"/>
      <c r="U30" s="189"/>
      <c r="V30" s="189"/>
      <c r="W30" s="190"/>
      <c r="X30" s="188"/>
      <c r="Y30" s="189"/>
      <c r="Z30" s="189"/>
      <c r="AA30" s="189"/>
      <c r="AB30" s="189"/>
      <c r="AC30" s="189"/>
      <c r="AD30" s="189"/>
      <c r="AE30" s="189"/>
      <c r="AF30" s="189"/>
      <c r="AG30" s="189"/>
      <c r="AH30" s="190"/>
      <c r="AI30" s="188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90"/>
      <c r="AU30" s="188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96"/>
    </row>
    <row r="31" spans="2:58" ht="13" customHeight="1" x14ac:dyDescent="0.25">
      <c r="B31" s="204"/>
      <c r="C31" s="192"/>
      <c r="D31" s="192"/>
      <c r="E31" s="192"/>
      <c r="F31" s="192"/>
      <c r="G31" s="192"/>
      <c r="H31" s="192"/>
      <c r="I31" s="192"/>
      <c r="J31" s="192"/>
      <c r="K31" s="192"/>
      <c r="L31" s="149"/>
      <c r="M31" s="191"/>
      <c r="N31" s="192"/>
      <c r="O31" s="192"/>
      <c r="P31" s="192"/>
      <c r="Q31" s="192"/>
      <c r="R31" s="192"/>
      <c r="S31" s="192"/>
      <c r="T31" s="192"/>
      <c r="U31" s="192"/>
      <c r="V31" s="192"/>
      <c r="W31" s="149"/>
      <c r="X31" s="191"/>
      <c r="Y31" s="192"/>
      <c r="Z31" s="192"/>
      <c r="AA31" s="192"/>
      <c r="AB31" s="192"/>
      <c r="AC31" s="192"/>
      <c r="AD31" s="192"/>
      <c r="AE31" s="192"/>
      <c r="AF31" s="192"/>
      <c r="AG31" s="192"/>
      <c r="AH31" s="149"/>
      <c r="AI31" s="191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49"/>
      <c r="AU31" s="191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7"/>
    </row>
    <row r="32" spans="2:58" ht="13" customHeight="1" x14ac:dyDescent="0.25">
      <c r="B32" s="181" t="s">
        <v>251</v>
      </c>
      <c r="C32" s="179"/>
      <c r="D32" s="179"/>
      <c r="E32" s="179"/>
      <c r="F32" s="179"/>
      <c r="G32" s="179"/>
      <c r="H32" s="179"/>
      <c r="I32" s="179"/>
      <c r="J32" s="179"/>
      <c r="K32" s="179"/>
      <c r="L32" s="150"/>
      <c r="M32" s="184" t="s">
        <v>252</v>
      </c>
      <c r="N32" s="179"/>
      <c r="O32" s="179"/>
      <c r="P32" s="179"/>
      <c r="Q32" s="179"/>
      <c r="R32" s="179"/>
      <c r="S32" s="179"/>
      <c r="T32" s="179"/>
      <c r="U32" s="179"/>
      <c r="V32" s="179"/>
      <c r="W32" s="150"/>
      <c r="X32" s="182" t="s">
        <v>253</v>
      </c>
      <c r="Y32" s="179"/>
      <c r="Z32" s="179"/>
      <c r="AA32" s="179"/>
      <c r="AB32" s="179"/>
      <c r="AC32" s="179"/>
      <c r="AD32" s="179"/>
      <c r="AE32" s="179"/>
      <c r="AF32" s="179"/>
      <c r="AG32" s="179"/>
      <c r="AH32" s="150"/>
      <c r="AI32" s="132" t="s">
        <v>254</v>
      </c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50"/>
      <c r="AU32" s="132" t="s">
        <v>255</v>
      </c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83"/>
    </row>
    <row r="33" spans="2:58" ht="13" customHeight="1" x14ac:dyDescent="0.25">
      <c r="B33" s="202"/>
      <c r="C33" s="186"/>
      <c r="D33" s="186"/>
      <c r="E33" s="186"/>
      <c r="F33" s="186"/>
      <c r="G33" s="186"/>
      <c r="H33" s="186"/>
      <c r="I33" s="186"/>
      <c r="J33" s="186"/>
      <c r="K33" s="186"/>
      <c r="L33" s="187"/>
      <c r="M33" s="205"/>
      <c r="N33" s="186"/>
      <c r="O33" s="186"/>
      <c r="P33" s="186"/>
      <c r="Q33" s="186"/>
      <c r="R33" s="186"/>
      <c r="S33" s="186"/>
      <c r="T33" s="186"/>
      <c r="U33" s="186"/>
      <c r="V33" s="186"/>
      <c r="W33" s="187"/>
      <c r="X33" s="206"/>
      <c r="Y33" s="186"/>
      <c r="Z33" s="186"/>
      <c r="AA33" s="186"/>
      <c r="AB33" s="186"/>
      <c r="AC33" s="186"/>
      <c r="AD33" s="186"/>
      <c r="AE33" s="186"/>
      <c r="AF33" s="186"/>
      <c r="AG33" s="186"/>
      <c r="AH33" s="187"/>
      <c r="AI33" s="194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7"/>
      <c r="AU33" s="194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95"/>
    </row>
    <row r="34" spans="2:58" ht="13" customHeight="1" x14ac:dyDescent="0.25">
      <c r="B34" s="203"/>
      <c r="C34" s="189"/>
      <c r="D34" s="189"/>
      <c r="E34" s="189"/>
      <c r="F34" s="189"/>
      <c r="G34" s="189"/>
      <c r="H34" s="189"/>
      <c r="I34" s="189"/>
      <c r="J34" s="189"/>
      <c r="K34" s="189"/>
      <c r="L34" s="190"/>
      <c r="M34" s="188"/>
      <c r="N34" s="189"/>
      <c r="O34" s="189"/>
      <c r="P34" s="189"/>
      <c r="Q34" s="189"/>
      <c r="R34" s="189"/>
      <c r="S34" s="189"/>
      <c r="T34" s="189"/>
      <c r="U34" s="189"/>
      <c r="V34" s="189"/>
      <c r="W34" s="190"/>
      <c r="X34" s="188"/>
      <c r="Y34" s="189"/>
      <c r="Z34" s="189"/>
      <c r="AA34" s="189"/>
      <c r="AB34" s="189"/>
      <c r="AC34" s="189"/>
      <c r="AD34" s="189"/>
      <c r="AE34" s="189"/>
      <c r="AF34" s="189"/>
      <c r="AG34" s="189"/>
      <c r="AH34" s="190"/>
      <c r="AI34" s="188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90"/>
      <c r="AU34" s="188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96"/>
    </row>
    <row r="35" spans="2:58" ht="13" customHeight="1" x14ac:dyDescent="0.25">
      <c r="B35" s="203"/>
      <c r="C35" s="189"/>
      <c r="D35" s="189"/>
      <c r="E35" s="189"/>
      <c r="F35" s="189"/>
      <c r="G35" s="189"/>
      <c r="H35" s="189"/>
      <c r="I35" s="189"/>
      <c r="J35" s="189"/>
      <c r="K35" s="189"/>
      <c r="L35" s="190"/>
      <c r="M35" s="188"/>
      <c r="N35" s="189"/>
      <c r="O35" s="189"/>
      <c r="P35" s="189"/>
      <c r="Q35" s="189"/>
      <c r="R35" s="189"/>
      <c r="S35" s="189"/>
      <c r="T35" s="189"/>
      <c r="U35" s="189"/>
      <c r="V35" s="189"/>
      <c r="W35" s="190"/>
      <c r="X35" s="188"/>
      <c r="Y35" s="189"/>
      <c r="Z35" s="189"/>
      <c r="AA35" s="189"/>
      <c r="AB35" s="189"/>
      <c r="AC35" s="189"/>
      <c r="AD35" s="189"/>
      <c r="AE35" s="189"/>
      <c r="AF35" s="189"/>
      <c r="AG35" s="189"/>
      <c r="AH35" s="190"/>
      <c r="AI35" s="188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90"/>
      <c r="AU35" s="188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96"/>
    </row>
    <row r="36" spans="2:58" ht="13" customHeight="1" x14ac:dyDescent="0.25">
      <c r="B36" s="203"/>
      <c r="C36" s="189"/>
      <c r="D36" s="189"/>
      <c r="E36" s="189"/>
      <c r="F36" s="189"/>
      <c r="G36" s="189"/>
      <c r="H36" s="189"/>
      <c r="I36" s="189"/>
      <c r="J36" s="189"/>
      <c r="K36" s="189"/>
      <c r="L36" s="190"/>
      <c r="M36" s="188"/>
      <c r="N36" s="189"/>
      <c r="O36" s="189"/>
      <c r="P36" s="189"/>
      <c r="Q36" s="189"/>
      <c r="R36" s="189"/>
      <c r="S36" s="189"/>
      <c r="T36" s="189"/>
      <c r="U36" s="189"/>
      <c r="V36" s="189"/>
      <c r="W36" s="190"/>
      <c r="X36" s="188"/>
      <c r="Y36" s="189"/>
      <c r="Z36" s="189"/>
      <c r="AA36" s="189"/>
      <c r="AB36" s="189"/>
      <c r="AC36" s="189"/>
      <c r="AD36" s="189"/>
      <c r="AE36" s="189"/>
      <c r="AF36" s="189"/>
      <c r="AG36" s="189"/>
      <c r="AH36" s="190"/>
      <c r="AI36" s="188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90"/>
      <c r="AU36" s="188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  <c r="BF36" s="196"/>
    </row>
    <row r="37" spans="2:58" ht="13" customHeight="1" x14ac:dyDescent="0.25">
      <c r="B37" s="203"/>
      <c r="C37" s="189"/>
      <c r="D37" s="189"/>
      <c r="E37" s="189"/>
      <c r="F37" s="189"/>
      <c r="G37" s="189"/>
      <c r="H37" s="189"/>
      <c r="I37" s="189"/>
      <c r="J37" s="189"/>
      <c r="K37" s="189"/>
      <c r="L37" s="190"/>
      <c r="M37" s="188"/>
      <c r="N37" s="189"/>
      <c r="O37" s="189"/>
      <c r="P37" s="189"/>
      <c r="Q37" s="189"/>
      <c r="R37" s="189"/>
      <c r="S37" s="189"/>
      <c r="T37" s="189"/>
      <c r="U37" s="189"/>
      <c r="V37" s="189"/>
      <c r="W37" s="190"/>
      <c r="X37" s="188"/>
      <c r="Y37" s="189"/>
      <c r="Z37" s="189"/>
      <c r="AA37" s="189"/>
      <c r="AB37" s="189"/>
      <c r="AC37" s="189"/>
      <c r="AD37" s="189"/>
      <c r="AE37" s="189"/>
      <c r="AF37" s="189"/>
      <c r="AG37" s="189"/>
      <c r="AH37" s="190"/>
      <c r="AI37" s="188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90"/>
      <c r="AU37" s="188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96"/>
    </row>
    <row r="38" spans="2:58" ht="13" customHeight="1" x14ac:dyDescent="0.25">
      <c r="B38" s="204"/>
      <c r="C38" s="192"/>
      <c r="D38" s="192"/>
      <c r="E38" s="192"/>
      <c r="F38" s="192"/>
      <c r="G38" s="192"/>
      <c r="H38" s="192"/>
      <c r="I38" s="192"/>
      <c r="J38" s="192"/>
      <c r="K38" s="192"/>
      <c r="L38" s="149"/>
      <c r="M38" s="191"/>
      <c r="N38" s="192"/>
      <c r="O38" s="192"/>
      <c r="P38" s="192"/>
      <c r="Q38" s="192"/>
      <c r="R38" s="192"/>
      <c r="S38" s="192"/>
      <c r="T38" s="192"/>
      <c r="U38" s="192"/>
      <c r="V38" s="192"/>
      <c r="W38" s="149"/>
      <c r="X38" s="191"/>
      <c r="Y38" s="192"/>
      <c r="Z38" s="192"/>
      <c r="AA38" s="192"/>
      <c r="AB38" s="192"/>
      <c r="AC38" s="192"/>
      <c r="AD38" s="192"/>
      <c r="AE38" s="192"/>
      <c r="AF38" s="192"/>
      <c r="AG38" s="192"/>
      <c r="AH38" s="149"/>
      <c r="AI38" s="191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49"/>
      <c r="AU38" s="191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7"/>
    </row>
    <row r="39" spans="2:58" ht="13" customHeight="1" x14ac:dyDescent="0.25">
      <c r="B39" s="181" t="s">
        <v>256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50"/>
      <c r="M39" s="184" t="s">
        <v>257</v>
      </c>
      <c r="N39" s="179"/>
      <c r="O39" s="179"/>
      <c r="P39" s="179"/>
      <c r="Q39" s="179"/>
      <c r="R39" s="179"/>
      <c r="S39" s="179"/>
      <c r="T39" s="179"/>
      <c r="U39" s="179"/>
      <c r="V39" s="179"/>
      <c r="W39" s="150"/>
      <c r="X39" s="182" t="s">
        <v>258</v>
      </c>
      <c r="Y39" s="179"/>
      <c r="Z39" s="179"/>
      <c r="AA39" s="179"/>
      <c r="AB39" s="179"/>
      <c r="AC39" s="179"/>
      <c r="AD39" s="179"/>
      <c r="AE39" s="179"/>
      <c r="AF39" s="179"/>
      <c r="AG39" s="179"/>
      <c r="AH39" s="150"/>
      <c r="AI39" s="132" t="s">
        <v>259</v>
      </c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50"/>
      <c r="AU39" s="132" t="s">
        <v>260</v>
      </c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83"/>
    </row>
    <row r="40" spans="2:58" ht="13" customHeight="1" x14ac:dyDescent="0.25">
      <c r="B40" s="202"/>
      <c r="C40" s="186"/>
      <c r="D40" s="186"/>
      <c r="E40" s="186"/>
      <c r="F40" s="186"/>
      <c r="G40" s="186"/>
      <c r="H40" s="186"/>
      <c r="I40" s="186"/>
      <c r="J40" s="186"/>
      <c r="K40" s="186"/>
      <c r="L40" s="187"/>
      <c r="M40" s="205"/>
      <c r="N40" s="186"/>
      <c r="O40" s="186"/>
      <c r="P40" s="186"/>
      <c r="Q40" s="186"/>
      <c r="R40" s="186"/>
      <c r="S40" s="186"/>
      <c r="T40" s="186"/>
      <c r="U40" s="186"/>
      <c r="V40" s="186"/>
      <c r="W40" s="187"/>
      <c r="X40" s="206"/>
      <c r="Y40" s="186"/>
      <c r="Z40" s="186"/>
      <c r="AA40" s="186"/>
      <c r="AB40" s="186"/>
      <c r="AC40" s="186"/>
      <c r="AD40" s="186"/>
      <c r="AE40" s="186"/>
      <c r="AF40" s="186"/>
      <c r="AG40" s="186"/>
      <c r="AH40" s="187"/>
      <c r="AI40" s="194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7"/>
      <c r="AU40" s="194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95"/>
    </row>
    <row r="41" spans="2:58" ht="13" customHeight="1" x14ac:dyDescent="0.25">
      <c r="B41" s="203"/>
      <c r="C41" s="189"/>
      <c r="D41" s="189"/>
      <c r="E41" s="189"/>
      <c r="F41" s="189"/>
      <c r="G41" s="189"/>
      <c r="H41" s="189"/>
      <c r="I41" s="189"/>
      <c r="J41" s="189"/>
      <c r="K41" s="189"/>
      <c r="L41" s="190"/>
      <c r="M41" s="188"/>
      <c r="N41" s="189"/>
      <c r="O41" s="189"/>
      <c r="P41" s="189"/>
      <c r="Q41" s="189"/>
      <c r="R41" s="189"/>
      <c r="S41" s="189"/>
      <c r="T41" s="189"/>
      <c r="U41" s="189"/>
      <c r="V41" s="189"/>
      <c r="W41" s="190"/>
      <c r="X41" s="188"/>
      <c r="Y41" s="189"/>
      <c r="Z41" s="189"/>
      <c r="AA41" s="189"/>
      <c r="AB41" s="189"/>
      <c r="AC41" s="189"/>
      <c r="AD41" s="189"/>
      <c r="AE41" s="189"/>
      <c r="AF41" s="189"/>
      <c r="AG41" s="189"/>
      <c r="AH41" s="190"/>
      <c r="AI41" s="188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90"/>
      <c r="AU41" s="188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96"/>
    </row>
    <row r="42" spans="2:58" ht="13" customHeight="1" x14ac:dyDescent="0.25">
      <c r="B42" s="203"/>
      <c r="C42" s="189"/>
      <c r="D42" s="189"/>
      <c r="E42" s="189"/>
      <c r="F42" s="189"/>
      <c r="G42" s="189"/>
      <c r="H42" s="189"/>
      <c r="I42" s="189"/>
      <c r="J42" s="189"/>
      <c r="K42" s="189"/>
      <c r="L42" s="190"/>
      <c r="M42" s="188"/>
      <c r="N42" s="189"/>
      <c r="O42" s="189"/>
      <c r="P42" s="189"/>
      <c r="Q42" s="189"/>
      <c r="R42" s="189"/>
      <c r="S42" s="189"/>
      <c r="T42" s="189"/>
      <c r="U42" s="189"/>
      <c r="V42" s="189"/>
      <c r="W42" s="190"/>
      <c r="X42" s="188"/>
      <c r="Y42" s="189"/>
      <c r="Z42" s="189"/>
      <c r="AA42" s="189"/>
      <c r="AB42" s="189"/>
      <c r="AC42" s="189"/>
      <c r="AD42" s="189"/>
      <c r="AE42" s="189"/>
      <c r="AF42" s="189"/>
      <c r="AG42" s="189"/>
      <c r="AH42" s="190"/>
      <c r="AI42" s="188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90"/>
      <c r="AU42" s="188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96"/>
    </row>
    <row r="43" spans="2:58" ht="13" customHeight="1" x14ac:dyDescent="0.25">
      <c r="B43" s="203"/>
      <c r="C43" s="189"/>
      <c r="D43" s="189"/>
      <c r="E43" s="189"/>
      <c r="F43" s="189"/>
      <c r="G43" s="189"/>
      <c r="H43" s="189"/>
      <c r="I43" s="189"/>
      <c r="J43" s="189"/>
      <c r="K43" s="189"/>
      <c r="L43" s="190"/>
      <c r="M43" s="188"/>
      <c r="N43" s="189"/>
      <c r="O43" s="189"/>
      <c r="P43" s="189"/>
      <c r="Q43" s="189"/>
      <c r="R43" s="189"/>
      <c r="S43" s="189"/>
      <c r="T43" s="189"/>
      <c r="U43" s="189"/>
      <c r="V43" s="189"/>
      <c r="W43" s="190"/>
      <c r="X43" s="188"/>
      <c r="Y43" s="189"/>
      <c r="Z43" s="189"/>
      <c r="AA43" s="189"/>
      <c r="AB43" s="189"/>
      <c r="AC43" s="189"/>
      <c r="AD43" s="189"/>
      <c r="AE43" s="189"/>
      <c r="AF43" s="189"/>
      <c r="AG43" s="189"/>
      <c r="AH43" s="190"/>
      <c r="AI43" s="188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90"/>
      <c r="AU43" s="188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96"/>
    </row>
    <row r="44" spans="2:58" ht="13" customHeight="1" x14ac:dyDescent="0.25">
      <c r="B44" s="203"/>
      <c r="C44" s="189"/>
      <c r="D44" s="189"/>
      <c r="E44" s="189"/>
      <c r="F44" s="189"/>
      <c r="G44" s="189"/>
      <c r="H44" s="189"/>
      <c r="I44" s="189"/>
      <c r="J44" s="189"/>
      <c r="K44" s="189"/>
      <c r="L44" s="190"/>
      <c r="M44" s="188"/>
      <c r="N44" s="189"/>
      <c r="O44" s="189"/>
      <c r="P44" s="189"/>
      <c r="Q44" s="189"/>
      <c r="R44" s="189"/>
      <c r="S44" s="189"/>
      <c r="T44" s="189"/>
      <c r="U44" s="189"/>
      <c r="V44" s="189"/>
      <c r="W44" s="190"/>
      <c r="X44" s="188"/>
      <c r="Y44" s="189"/>
      <c r="Z44" s="189"/>
      <c r="AA44" s="189"/>
      <c r="AB44" s="189"/>
      <c r="AC44" s="189"/>
      <c r="AD44" s="189"/>
      <c r="AE44" s="189"/>
      <c r="AF44" s="189"/>
      <c r="AG44" s="189"/>
      <c r="AH44" s="190"/>
      <c r="AI44" s="188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90"/>
      <c r="AU44" s="188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96"/>
    </row>
    <row r="45" spans="2:58" ht="13" customHeight="1" x14ac:dyDescent="0.25">
      <c r="B45" s="204"/>
      <c r="C45" s="192"/>
      <c r="D45" s="192"/>
      <c r="E45" s="192"/>
      <c r="F45" s="192"/>
      <c r="G45" s="192"/>
      <c r="H45" s="192"/>
      <c r="I45" s="192"/>
      <c r="J45" s="192"/>
      <c r="K45" s="192"/>
      <c r="L45" s="149"/>
      <c r="M45" s="191"/>
      <c r="N45" s="192"/>
      <c r="O45" s="192"/>
      <c r="P45" s="192"/>
      <c r="Q45" s="192"/>
      <c r="R45" s="192"/>
      <c r="S45" s="192"/>
      <c r="T45" s="192"/>
      <c r="U45" s="192"/>
      <c r="V45" s="192"/>
      <c r="W45" s="149"/>
      <c r="X45" s="191"/>
      <c r="Y45" s="192"/>
      <c r="Z45" s="192"/>
      <c r="AA45" s="192"/>
      <c r="AB45" s="192"/>
      <c r="AC45" s="192"/>
      <c r="AD45" s="192"/>
      <c r="AE45" s="192"/>
      <c r="AF45" s="192"/>
      <c r="AG45" s="192"/>
      <c r="AH45" s="149"/>
      <c r="AI45" s="191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49"/>
      <c r="AU45" s="191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7"/>
    </row>
    <row r="46" spans="2:58" ht="13" customHeight="1" x14ac:dyDescent="0.25">
      <c r="B46" s="181" t="s">
        <v>261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50"/>
      <c r="M46" s="156" t="s">
        <v>262</v>
      </c>
      <c r="N46" s="179"/>
      <c r="O46" s="179"/>
      <c r="P46" s="179"/>
      <c r="Q46" s="179"/>
      <c r="R46" s="179"/>
      <c r="S46" s="179"/>
      <c r="T46" s="179"/>
      <c r="U46" s="179"/>
      <c r="V46" s="179"/>
      <c r="W46" s="150"/>
      <c r="X46" s="182" t="s">
        <v>263</v>
      </c>
      <c r="Y46" s="179"/>
      <c r="Z46" s="179"/>
      <c r="AA46" s="179"/>
      <c r="AB46" s="179"/>
      <c r="AC46" s="179"/>
      <c r="AD46" s="179"/>
      <c r="AE46" s="179"/>
      <c r="AF46" s="179"/>
      <c r="AG46" s="179"/>
      <c r="AH46" s="150"/>
      <c r="AI46" s="132" t="s">
        <v>264</v>
      </c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50"/>
      <c r="AU46" s="132" t="s">
        <v>265</v>
      </c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83"/>
    </row>
    <row r="47" spans="2:58" ht="13" customHeight="1" x14ac:dyDescent="0.25">
      <c r="B47" s="202"/>
      <c r="C47" s="186"/>
      <c r="D47" s="186"/>
      <c r="E47" s="186"/>
      <c r="F47" s="186"/>
      <c r="G47" s="186"/>
      <c r="H47" s="186"/>
      <c r="I47" s="186"/>
      <c r="J47" s="186"/>
      <c r="K47" s="186"/>
      <c r="L47" s="187"/>
      <c r="M47" s="205"/>
      <c r="N47" s="186"/>
      <c r="O47" s="186"/>
      <c r="P47" s="186"/>
      <c r="Q47" s="186"/>
      <c r="R47" s="186"/>
      <c r="S47" s="186"/>
      <c r="T47" s="186"/>
      <c r="U47" s="186"/>
      <c r="V47" s="186"/>
      <c r="W47" s="187"/>
      <c r="X47" s="206"/>
      <c r="Y47" s="186"/>
      <c r="Z47" s="186"/>
      <c r="AA47" s="186"/>
      <c r="AB47" s="186"/>
      <c r="AC47" s="186"/>
      <c r="AD47" s="186"/>
      <c r="AE47" s="186"/>
      <c r="AF47" s="186"/>
      <c r="AG47" s="186"/>
      <c r="AH47" s="187"/>
      <c r="AI47" s="194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7"/>
      <c r="AU47" s="194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95"/>
    </row>
    <row r="48" spans="2:58" ht="13" customHeight="1" x14ac:dyDescent="0.25">
      <c r="B48" s="203"/>
      <c r="C48" s="189"/>
      <c r="D48" s="189"/>
      <c r="E48" s="189"/>
      <c r="F48" s="189"/>
      <c r="G48" s="189"/>
      <c r="H48" s="189"/>
      <c r="I48" s="189"/>
      <c r="J48" s="189"/>
      <c r="K48" s="189"/>
      <c r="L48" s="190"/>
      <c r="M48" s="188"/>
      <c r="N48" s="189"/>
      <c r="O48" s="189"/>
      <c r="P48" s="189"/>
      <c r="Q48" s="189"/>
      <c r="R48" s="189"/>
      <c r="S48" s="189"/>
      <c r="T48" s="189"/>
      <c r="U48" s="189"/>
      <c r="V48" s="189"/>
      <c r="W48" s="190"/>
      <c r="X48" s="188"/>
      <c r="Y48" s="189"/>
      <c r="Z48" s="189"/>
      <c r="AA48" s="189"/>
      <c r="AB48" s="189"/>
      <c r="AC48" s="189"/>
      <c r="AD48" s="189"/>
      <c r="AE48" s="189"/>
      <c r="AF48" s="189"/>
      <c r="AG48" s="189"/>
      <c r="AH48" s="190"/>
      <c r="AI48" s="188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90"/>
      <c r="AU48" s="188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96"/>
    </row>
    <row r="49" spans="2:58" ht="13" customHeight="1" x14ac:dyDescent="0.25">
      <c r="B49" s="203"/>
      <c r="C49" s="189"/>
      <c r="D49" s="189"/>
      <c r="E49" s="189"/>
      <c r="F49" s="189"/>
      <c r="G49" s="189"/>
      <c r="H49" s="189"/>
      <c r="I49" s="189"/>
      <c r="J49" s="189"/>
      <c r="K49" s="189"/>
      <c r="L49" s="190"/>
      <c r="M49" s="188"/>
      <c r="N49" s="189"/>
      <c r="O49" s="189"/>
      <c r="P49" s="189"/>
      <c r="Q49" s="189"/>
      <c r="R49" s="189"/>
      <c r="S49" s="189"/>
      <c r="T49" s="189"/>
      <c r="U49" s="189"/>
      <c r="V49" s="189"/>
      <c r="W49" s="190"/>
      <c r="X49" s="188"/>
      <c r="Y49" s="189"/>
      <c r="Z49" s="189"/>
      <c r="AA49" s="189"/>
      <c r="AB49" s="189"/>
      <c r="AC49" s="189"/>
      <c r="AD49" s="189"/>
      <c r="AE49" s="189"/>
      <c r="AF49" s="189"/>
      <c r="AG49" s="189"/>
      <c r="AH49" s="190"/>
      <c r="AI49" s="188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90"/>
      <c r="AU49" s="188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96"/>
    </row>
    <row r="50" spans="2:58" ht="13" customHeight="1" x14ac:dyDescent="0.25">
      <c r="B50" s="203"/>
      <c r="C50" s="189"/>
      <c r="D50" s="189"/>
      <c r="E50" s="189"/>
      <c r="F50" s="189"/>
      <c r="G50" s="189"/>
      <c r="H50" s="189"/>
      <c r="I50" s="189"/>
      <c r="J50" s="189"/>
      <c r="K50" s="189"/>
      <c r="L50" s="190"/>
      <c r="M50" s="188"/>
      <c r="N50" s="189"/>
      <c r="O50" s="189"/>
      <c r="P50" s="189"/>
      <c r="Q50" s="189"/>
      <c r="R50" s="189"/>
      <c r="S50" s="189"/>
      <c r="T50" s="189"/>
      <c r="U50" s="189"/>
      <c r="V50" s="189"/>
      <c r="W50" s="190"/>
      <c r="X50" s="188"/>
      <c r="Y50" s="189"/>
      <c r="Z50" s="189"/>
      <c r="AA50" s="189"/>
      <c r="AB50" s="189"/>
      <c r="AC50" s="189"/>
      <c r="AD50" s="189"/>
      <c r="AE50" s="189"/>
      <c r="AF50" s="189"/>
      <c r="AG50" s="189"/>
      <c r="AH50" s="190"/>
      <c r="AI50" s="188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90"/>
      <c r="AU50" s="188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96"/>
    </row>
    <row r="51" spans="2:58" ht="13" customHeight="1" x14ac:dyDescent="0.25">
      <c r="B51" s="203"/>
      <c r="C51" s="189"/>
      <c r="D51" s="189"/>
      <c r="E51" s="189"/>
      <c r="F51" s="189"/>
      <c r="G51" s="189"/>
      <c r="H51" s="189"/>
      <c r="I51" s="189"/>
      <c r="J51" s="189"/>
      <c r="K51" s="189"/>
      <c r="L51" s="190"/>
      <c r="M51" s="188"/>
      <c r="N51" s="189"/>
      <c r="O51" s="189"/>
      <c r="P51" s="189"/>
      <c r="Q51" s="189"/>
      <c r="R51" s="189"/>
      <c r="S51" s="189"/>
      <c r="T51" s="189"/>
      <c r="U51" s="189"/>
      <c r="V51" s="189"/>
      <c r="W51" s="190"/>
      <c r="X51" s="188"/>
      <c r="Y51" s="189"/>
      <c r="Z51" s="189"/>
      <c r="AA51" s="189"/>
      <c r="AB51" s="189"/>
      <c r="AC51" s="189"/>
      <c r="AD51" s="189"/>
      <c r="AE51" s="189"/>
      <c r="AF51" s="189"/>
      <c r="AG51" s="189"/>
      <c r="AH51" s="190"/>
      <c r="AI51" s="188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90"/>
      <c r="AU51" s="188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96"/>
    </row>
    <row r="52" spans="2:58" ht="13" customHeight="1" x14ac:dyDescent="0.25">
      <c r="B52" s="204"/>
      <c r="C52" s="192"/>
      <c r="D52" s="192"/>
      <c r="E52" s="192"/>
      <c r="F52" s="192"/>
      <c r="G52" s="192"/>
      <c r="H52" s="192"/>
      <c r="I52" s="192"/>
      <c r="J52" s="192"/>
      <c r="K52" s="192"/>
      <c r="L52" s="149"/>
      <c r="M52" s="191"/>
      <c r="N52" s="192"/>
      <c r="O52" s="192"/>
      <c r="P52" s="192"/>
      <c r="Q52" s="192"/>
      <c r="R52" s="192"/>
      <c r="S52" s="192"/>
      <c r="T52" s="192"/>
      <c r="U52" s="192"/>
      <c r="V52" s="192"/>
      <c r="W52" s="149"/>
      <c r="X52" s="191"/>
      <c r="Y52" s="192"/>
      <c r="Z52" s="192"/>
      <c r="AA52" s="192"/>
      <c r="AB52" s="192"/>
      <c r="AC52" s="192"/>
      <c r="AD52" s="192"/>
      <c r="AE52" s="192"/>
      <c r="AF52" s="192"/>
      <c r="AG52" s="192"/>
      <c r="AH52" s="149"/>
      <c r="AI52" s="191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49"/>
      <c r="AU52" s="191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7"/>
    </row>
    <row r="53" spans="2:58" ht="13" customHeight="1" x14ac:dyDescent="0.25">
      <c r="B53" s="181" t="s">
        <v>266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50"/>
      <c r="M53" s="184" t="s">
        <v>267</v>
      </c>
      <c r="N53" s="179"/>
      <c r="O53" s="179"/>
      <c r="P53" s="179"/>
      <c r="Q53" s="179"/>
      <c r="R53" s="179"/>
      <c r="S53" s="179"/>
      <c r="T53" s="179"/>
      <c r="U53" s="179"/>
      <c r="V53" s="179"/>
      <c r="W53" s="150"/>
      <c r="X53" s="182" t="s">
        <v>268</v>
      </c>
      <c r="Y53" s="179"/>
      <c r="Z53" s="179"/>
      <c r="AA53" s="179"/>
      <c r="AB53" s="179"/>
      <c r="AC53" s="179"/>
      <c r="AD53" s="179"/>
      <c r="AE53" s="179"/>
      <c r="AF53" s="179"/>
      <c r="AG53" s="179"/>
      <c r="AH53" s="150"/>
      <c r="AI53" s="132" t="s">
        <v>269</v>
      </c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50"/>
      <c r="AU53" s="132" t="s">
        <v>270</v>
      </c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83"/>
    </row>
    <row r="54" spans="2:58" ht="13" customHeight="1" x14ac:dyDescent="0.25">
      <c r="B54" s="202"/>
      <c r="C54" s="186"/>
      <c r="D54" s="186"/>
      <c r="E54" s="186"/>
      <c r="F54" s="186"/>
      <c r="G54" s="186"/>
      <c r="H54" s="186"/>
      <c r="I54" s="186"/>
      <c r="J54" s="186"/>
      <c r="K54" s="186"/>
      <c r="L54" s="187"/>
      <c r="M54" s="210"/>
      <c r="N54" s="186"/>
      <c r="O54" s="186"/>
      <c r="P54" s="186"/>
      <c r="Q54" s="186"/>
      <c r="R54" s="186"/>
      <c r="S54" s="186"/>
      <c r="T54" s="186"/>
      <c r="U54" s="186"/>
      <c r="V54" s="186"/>
      <c r="W54" s="187"/>
      <c r="X54" s="206"/>
      <c r="Y54" s="186"/>
      <c r="Z54" s="186"/>
      <c r="AA54" s="186"/>
      <c r="AB54" s="186"/>
      <c r="AC54" s="186"/>
      <c r="AD54" s="186"/>
      <c r="AE54" s="186"/>
      <c r="AF54" s="186"/>
      <c r="AG54" s="186"/>
      <c r="AH54" s="187"/>
      <c r="AI54" s="194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7"/>
      <c r="AU54" s="194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95"/>
    </row>
    <row r="55" spans="2:58" ht="13" customHeight="1" x14ac:dyDescent="0.25">
      <c r="B55" s="203"/>
      <c r="C55" s="189"/>
      <c r="D55" s="189"/>
      <c r="E55" s="189"/>
      <c r="F55" s="189"/>
      <c r="G55" s="189"/>
      <c r="H55" s="189"/>
      <c r="I55" s="189"/>
      <c r="J55" s="189"/>
      <c r="K55" s="189"/>
      <c r="L55" s="190"/>
      <c r="M55" s="188"/>
      <c r="N55" s="189"/>
      <c r="O55" s="189"/>
      <c r="P55" s="189"/>
      <c r="Q55" s="189"/>
      <c r="R55" s="189"/>
      <c r="S55" s="189"/>
      <c r="T55" s="189"/>
      <c r="U55" s="189"/>
      <c r="V55" s="189"/>
      <c r="W55" s="190"/>
      <c r="X55" s="188"/>
      <c r="Y55" s="189"/>
      <c r="Z55" s="189"/>
      <c r="AA55" s="189"/>
      <c r="AB55" s="189"/>
      <c r="AC55" s="189"/>
      <c r="AD55" s="189"/>
      <c r="AE55" s="189"/>
      <c r="AF55" s="189"/>
      <c r="AG55" s="189"/>
      <c r="AH55" s="190"/>
      <c r="AI55" s="188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90"/>
      <c r="AU55" s="188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96"/>
    </row>
    <row r="56" spans="2:58" ht="13" customHeight="1" x14ac:dyDescent="0.25">
      <c r="B56" s="203"/>
      <c r="C56" s="189"/>
      <c r="D56" s="189"/>
      <c r="E56" s="189"/>
      <c r="F56" s="189"/>
      <c r="G56" s="189"/>
      <c r="H56" s="189"/>
      <c r="I56" s="189"/>
      <c r="J56" s="189"/>
      <c r="K56" s="189"/>
      <c r="L56" s="190"/>
      <c r="M56" s="188"/>
      <c r="N56" s="189"/>
      <c r="O56" s="189"/>
      <c r="P56" s="189"/>
      <c r="Q56" s="189"/>
      <c r="R56" s="189"/>
      <c r="S56" s="189"/>
      <c r="T56" s="189"/>
      <c r="U56" s="189"/>
      <c r="V56" s="189"/>
      <c r="W56" s="190"/>
      <c r="X56" s="188"/>
      <c r="Y56" s="189"/>
      <c r="Z56" s="189"/>
      <c r="AA56" s="189"/>
      <c r="AB56" s="189"/>
      <c r="AC56" s="189"/>
      <c r="AD56" s="189"/>
      <c r="AE56" s="189"/>
      <c r="AF56" s="189"/>
      <c r="AG56" s="189"/>
      <c r="AH56" s="190"/>
      <c r="AI56" s="188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90"/>
      <c r="AU56" s="188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96"/>
    </row>
    <row r="57" spans="2:58" ht="13" customHeight="1" x14ac:dyDescent="0.25">
      <c r="B57" s="203"/>
      <c r="C57" s="189"/>
      <c r="D57" s="189"/>
      <c r="E57" s="189"/>
      <c r="F57" s="189"/>
      <c r="G57" s="189"/>
      <c r="H57" s="189"/>
      <c r="I57" s="189"/>
      <c r="J57" s="189"/>
      <c r="K57" s="189"/>
      <c r="L57" s="190"/>
      <c r="M57" s="188"/>
      <c r="N57" s="189"/>
      <c r="O57" s="189"/>
      <c r="P57" s="189"/>
      <c r="Q57" s="189"/>
      <c r="R57" s="189"/>
      <c r="S57" s="189"/>
      <c r="T57" s="189"/>
      <c r="U57" s="189"/>
      <c r="V57" s="189"/>
      <c r="W57" s="190"/>
      <c r="X57" s="188"/>
      <c r="Y57" s="189"/>
      <c r="Z57" s="189"/>
      <c r="AA57" s="189"/>
      <c r="AB57" s="189"/>
      <c r="AC57" s="189"/>
      <c r="AD57" s="189"/>
      <c r="AE57" s="189"/>
      <c r="AF57" s="189"/>
      <c r="AG57" s="189"/>
      <c r="AH57" s="190"/>
      <c r="AI57" s="188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90"/>
      <c r="AU57" s="188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96"/>
    </row>
    <row r="58" spans="2:58" ht="13" customHeight="1" x14ac:dyDescent="0.25">
      <c r="B58" s="203"/>
      <c r="C58" s="189"/>
      <c r="D58" s="189"/>
      <c r="E58" s="189"/>
      <c r="F58" s="189"/>
      <c r="G58" s="189"/>
      <c r="H58" s="189"/>
      <c r="I58" s="189"/>
      <c r="J58" s="189"/>
      <c r="K58" s="189"/>
      <c r="L58" s="190"/>
      <c r="M58" s="188"/>
      <c r="N58" s="189"/>
      <c r="O58" s="189"/>
      <c r="P58" s="189"/>
      <c r="Q58" s="189"/>
      <c r="R58" s="189"/>
      <c r="S58" s="189"/>
      <c r="T58" s="189"/>
      <c r="U58" s="189"/>
      <c r="V58" s="189"/>
      <c r="W58" s="190"/>
      <c r="X58" s="188"/>
      <c r="Y58" s="189"/>
      <c r="Z58" s="189"/>
      <c r="AA58" s="189"/>
      <c r="AB58" s="189"/>
      <c r="AC58" s="189"/>
      <c r="AD58" s="189"/>
      <c r="AE58" s="189"/>
      <c r="AF58" s="189"/>
      <c r="AG58" s="189"/>
      <c r="AH58" s="190"/>
      <c r="AI58" s="188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90"/>
      <c r="AU58" s="188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1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1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1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1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2"/>
    </row>
    <row r="60" spans="2:58" ht="13" customHeight="1" x14ac:dyDescent="0.25">
      <c r="B60" s="148" t="s">
        <v>370</v>
      </c>
      <c r="C60" s="149"/>
      <c r="D60" s="9" t="s">
        <v>19</v>
      </c>
      <c r="E60" s="125" t="s">
        <v>20</v>
      </c>
      <c r="F60" s="128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1"/>
    </row>
    <row r="61" spans="2:58" ht="13" customHeight="1" x14ac:dyDescent="0.25">
      <c r="B61" s="124" t="s">
        <v>226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3"/>
    </row>
    <row r="62" spans="2:58" ht="13" customHeight="1" thickBot="1" x14ac:dyDescent="0.3">
      <c r="B62" s="136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5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51" t="s">
        <v>227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</row>
    <row r="3" spans="2:47" ht="20.15" customHeight="1" x14ac:dyDescent="0.25">
      <c r="B3" s="153" t="s">
        <v>181</v>
      </c>
      <c r="C3" s="111" t="s">
        <v>163</v>
      </c>
      <c r="D3" s="161"/>
      <c r="E3" s="161"/>
      <c r="F3" s="161"/>
      <c r="G3" s="161"/>
      <c r="H3" s="162"/>
      <c r="I3" s="165" t="s">
        <v>8</v>
      </c>
      <c r="J3" s="161"/>
      <c r="K3" s="161"/>
      <c r="L3" s="161"/>
      <c r="M3" s="161"/>
      <c r="N3" s="161"/>
      <c r="O3" s="161"/>
      <c r="P3" s="166"/>
      <c r="Q3" s="111" t="s">
        <v>77</v>
      </c>
      <c r="R3" s="161"/>
      <c r="S3" s="166"/>
      <c r="T3" s="111" t="s">
        <v>10</v>
      </c>
      <c r="U3" s="161"/>
      <c r="V3" s="161"/>
      <c r="W3" s="166"/>
      <c r="X3" s="111" t="s">
        <v>80</v>
      </c>
      <c r="Y3" s="112"/>
      <c r="Z3" s="111" t="s">
        <v>11</v>
      </c>
      <c r="AA3" s="112"/>
      <c r="AB3" s="13" t="s">
        <v>13</v>
      </c>
      <c r="AC3" s="111" t="s">
        <v>14</v>
      </c>
      <c r="AD3" s="112"/>
      <c r="AE3" s="115" t="s">
        <v>88</v>
      </c>
      <c r="AF3" s="116"/>
      <c r="AG3" s="116"/>
      <c r="AH3" s="116"/>
      <c r="AI3" s="116"/>
      <c r="AJ3" s="116"/>
      <c r="AK3" s="117"/>
      <c r="AL3" s="111" t="s">
        <v>18</v>
      </c>
      <c r="AM3" s="157"/>
      <c r="AN3" s="158"/>
      <c r="AO3" s="157" t="s">
        <v>16</v>
      </c>
      <c r="AP3" s="157"/>
      <c r="AQ3" s="157"/>
      <c r="AR3" s="160"/>
    </row>
    <row r="4" spans="2:47" ht="30" customHeight="1" x14ac:dyDescent="0.25">
      <c r="B4" s="154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63" t="s">
        <v>62</v>
      </c>
      <c r="J4" s="164"/>
      <c r="K4" s="3" t="s">
        <v>6</v>
      </c>
      <c r="L4" s="3" t="s">
        <v>66</v>
      </c>
      <c r="M4" s="3" t="s">
        <v>164</v>
      </c>
      <c r="N4" s="3" t="s">
        <v>165</v>
      </c>
      <c r="O4" s="118" t="s">
        <v>7</v>
      </c>
      <c r="P4" s="119"/>
      <c r="Q4" s="156" t="s">
        <v>71</v>
      </c>
      <c r="R4" s="119"/>
      <c r="S4" s="3" t="s">
        <v>51</v>
      </c>
      <c r="T4" s="3" t="s">
        <v>75</v>
      </c>
      <c r="U4" s="156" t="s">
        <v>78</v>
      </c>
      <c r="V4" s="119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13" t="s">
        <v>89</v>
      </c>
      <c r="AF4" s="114"/>
      <c r="AG4" s="113" t="s">
        <v>92</v>
      </c>
      <c r="AH4" s="114"/>
      <c r="AI4" s="10" t="s">
        <v>166</v>
      </c>
      <c r="AJ4" s="10" t="s">
        <v>167</v>
      </c>
      <c r="AK4" s="11" t="s">
        <v>115</v>
      </c>
      <c r="AL4" s="156" t="s">
        <v>110</v>
      </c>
      <c r="AM4" s="119"/>
      <c r="AN4" s="29" t="s">
        <v>111</v>
      </c>
      <c r="AO4" s="26" t="s">
        <v>12</v>
      </c>
      <c r="AP4" s="3" t="s">
        <v>1</v>
      </c>
      <c r="AQ4" s="132" t="s">
        <v>161</v>
      </c>
      <c r="AR4" s="159"/>
      <c r="AU4" s="20"/>
    </row>
    <row r="5" spans="2:47" ht="20.15" customHeight="1" x14ac:dyDescent="0.25">
      <c r="B5" s="155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54">
        <v>6.217447757720947</v>
      </c>
      <c r="D6" s="54">
        <v>19.34678840637207</v>
      </c>
      <c r="E6" s="54">
        <v>414.9667053222656</v>
      </c>
      <c r="F6" s="54"/>
      <c r="G6" s="54"/>
      <c r="H6" s="55">
        <v>413.06671142578125</v>
      </c>
      <c r="I6" s="56">
        <v>1.9495080709457397</v>
      </c>
      <c r="J6" s="54"/>
      <c r="K6" s="54">
        <v>43.2508659362793</v>
      </c>
      <c r="L6" s="54">
        <v>1.3563368320465088</v>
      </c>
      <c r="M6" s="54">
        <v>110.00977325439453</v>
      </c>
      <c r="N6" s="54">
        <v>110.73495483398438</v>
      </c>
      <c r="O6" s="54">
        <v>19.595983505249023</v>
      </c>
      <c r="P6" s="54"/>
      <c r="Q6" s="54"/>
      <c r="R6" s="54"/>
      <c r="S6" s="54">
        <v>141.12413024902344</v>
      </c>
      <c r="T6" s="54">
        <v>1.6100000143051147</v>
      </c>
      <c r="U6" s="54">
        <v>0.3015056550502777</v>
      </c>
      <c r="V6" s="54"/>
      <c r="W6" s="54">
        <v>90.92158508300781</v>
      </c>
      <c r="X6" s="54">
        <v>0.5285807251930237</v>
      </c>
      <c r="Y6" s="54" t="s">
        <v>4</v>
      </c>
      <c r="Z6" s="54">
        <v>0.7304398417472839</v>
      </c>
      <c r="AA6" s="54">
        <v>150.30381774902344</v>
      </c>
      <c r="AB6" s="54">
        <v>162.97743225097656</v>
      </c>
      <c r="AC6" s="54">
        <v>0.4207537770271301</v>
      </c>
      <c r="AD6" s="54">
        <v>155.51214599609375</v>
      </c>
      <c r="AE6" s="57">
        <v>33.77000045776367</v>
      </c>
      <c r="AF6" s="57"/>
      <c r="AG6" s="57"/>
      <c r="AH6" s="57">
        <v>12.800000190734863</v>
      </c>
      <c r="AI6" s="57"/>
      <c r="AJ6" s="57"/>
      <c r="AK6" s="57">
        <v>6.800000190734863</v>
      </c>
      <c r="AL6" s="54">
        <v>2.998408555984497</v>
      </c>
      <c r="AM6" s="58"/>
      <c r="AN6" s="59">
        <v>63.98292541503906</v>
      </c>
      <c r="AO6" s="60"/>
      <c r="AP6" s="61">
        <v>-81.3946762084961</v>
      </c>
      <c r="AQ6" s="61">
        <v>0.28942418098449707</v>
      </c>
      <c r="AR6" s="62"/>
    </row>
    <row r="7" spans="2:47" ht="13.5" customHeight="1" x14ac:dyDescent="0.25">
      <c r="B7" s="14">
        <v>0.875</v>
      </c>
      <c r="C7" s="54">
        <v>5.1106767654418945</v>
      </c>
      <c r="D7" s="54">
        <v>19.17317771911621</v>
      </c>
      <c r="E7" s="54">
        <v>414.69903564453125</v>
      </c>
      <c r="F7" s="54">
        <v>0.26532813906669617</v>
      </c>
      <c r="G7" s="54">
        <v>0</v>
      </c>
      <c r="H7" s="55">
        <v>413.046142578125</v>
      </c>
      <c r="I7" s="56">
        <v>27.242477416992188</v>
      </c>
      <c r="J7" s="54">
        <v>0.0194707028567791</v>
      </c>
      <c r="K7" s="54">
        <v>41.218170166015625</v>
      </c>
      <c r="L7" s="54">
        <v>1.2840893268585205</v>
      </c>
      <c r="M7" s="54">
        <v>110.09657287597656</v>
      </c>
      <c r="N7" s="54">
        <v>111.80555725097656</v>
      </c>
      <c r="O7" s="54">
        <v>19.638166427612305</v>
      </c>
      <c r="P7" s="54">
        <v>19.595703125</v>
      </c>
      <c r="Q7" s="54"/>
      <c r="R7" s="54">
        <v>2.7890625</v>
      </c>
      <c r="S7" s="54">
        <v>141.03009033203125</v>
      </c>
      <c r="T7" s="54">
        <v>1.6100000143051147</v>
      </c>
      <c r="U7" s="54">
        <v>0.29998132586479187</v>
      </c>
      <c r="V7" s="54">
        <v>0.29990625381469727</v>
      </c>
      <c r="W7" s="54">
        <v>90.234375</v>
      </c>
      <c r="X7" s="54">
        <v>0.5303854942321777</v>
      </c>
      <c r="Y7" s="54" t="s">
        <v>82</v>
      </c>
      <c r="Z7" s="54">
        <v>0.7332754731178284</v>
      </c>
      <c r="AA7" s="54">
        <v>149.0234375</v>
      </c>
      <c r="AB7" s="54">
        <v>162.74594116210938</v>
      </c>
      <c r="AC7" s="54">
        <v>0.4241536557674408</v>
      </c>
      <c r="AD7" s="54">
        <v>155.2372589111328</v>
      </c>
      <c r="AE7" s="57"/>
      <c r="AF7" s="57"/>
      <c r="AG7" s="57"/>
      <c r="AH7" s="57"/>
      <c r="AI7" s="57"/>
      <c r="AJ7" s="57"/>
      <c r="AK7" s="57"/>
      <c r="AL7" s="54">
        <v>0</v>
      </c>
      <c r="AM7" s="58">
        <v>0.0113525390625</v>
      </c>
      <c r="AN7" s="59">
        <v>64.09505462646484</v>
      </c>
      <c r="AO7" s="60"/>
      <c r="AP7" s="61">
        <v>-81.07638549804688</v>
      </c>
      <c r="AQ7" s="61">
        <v>0.29658564925193787</v>
      </c>
      <c r="AR7" s="62">
        <v>0.0002906646695919335</v>
      </c>
    </row>
    <row r="8" spans="2:47" ht="13.5" customHeight="1" x14ac:dyDescent="0.25">
      <c r="B8" s="41" t="s">
        <v>271</v>
      </c>
      <c r="C8" s="54">
        <v>6.0040507316589355</v>
      </c>
      <c r="D8" s="54">
        <v>19.27083396911621</v>
      </c>
      <c r="E8" s="54">
        <v>416.16485595703125</v>
      </c>
      <c r="F8" s="54">
        <v>0.33695313334465027</v>
      </c>
      <c r="G8" s="54">
        <v>0</v>
      </c>
      <c r="H8" s="55">
        <v>413.0852355957031</v>
      </c>
      <c r="I8" s="56">
        <v>25.06510353088379</v>
      </c>
      <c r="J8" s="54">
        <v>0.01900683529675007</v>
      </c>
      <c r="K8" s="54">
        <v>42.48408508300781</v>
      </c>
      <c r="L8" s="54">
        <v>1.3317419290542603</v>
      </c>
      <c r="M8" s="54">
        <v>110.75846862792969</v>
      </c>
      <c r="N8" s="54">
        <v>110.29369354248047</v>
      </c>
      <c r="O8" s="54">
        <v>19.709970474243164</v>
      </c>
      <c r="P8" s="54">
        <v>19.6083984375</v>
      </c>
      <c r="Q8" s="54"/>
      <c r="R8" s="54">
        <v>2.8338623046875</v>
      </c>
      <c r="S8" s="54">
        <v>140.90711975097656</v>
      </c>
      <c r="T8" s="54">
        <v>1.6100000143051147</v>
      </c>
      <c r="U8" s="54">
        <v>0.30055540800094604</v>
      </c>
      <c r="V8" s="54">
        <v>0.30003124475479126</v>
      </c>
      <c r="W8" s="54">
        <v>90.85648345947266</v>
      </c>
      <c r="X8" s="54">
        <v>0.5319076180458069</v>
      </c>
      <c r="Y8" s="54" t="s">
        <v>82</v>
      </c>
      <c r="Z8" s="54">
        <v>0.7434028387069702</v>
      </c>
      <c r="AA8" s="54">
        <v>149.45745849609375</v>
      </c>
      <c r="AB8" s="54">
        <v>162.890625</v>
      </c>
      <c r="AC8" s="54">
        <v>0.4079861044883728</v>
      </c>
      <c r="AD8" s="54">
        <v>155.46151733398438</v>
      </c>
      <c r="AE8" s="57"/>
      <c r="AF8" s="57"/>
      <c r="AG8" s="57"/>
      <c r="AH8" s="57"/>
      <c r="AI8" s="57"/>
      <c r="AJ8" s="57"/>
      <c r="AK8" s="57"/>
      <c r="AL8" s="54">
        <v>55.29513931274414</v>
      </c>
      <c r="AM8" s="58">
        <v>0.014037108980119228</v>
      </c>
      <c r="AN8" s="59">
        <v>65.79137420654297</v>
      </c>
      <c r="AO8" s="60"/>
      <c r="AP8" s="61">
        <v>-81.03298950195312</v>
      </c>
      <c r="AQ8" s="61">
        <v>0.28464987874031067</v>
      </c>
      <c r="AR8" s="62">
        <v>0.0002926788292825222</v>
      </c>
    </row>
    <row r="9" spans="2:47" ht="13.5" customHeight="1" x14ac:dyDescent="0.25">
      <c r="B9" s="14">
        <v>0.95833333333333337</v>
      </c>
      <c r="C9" s="54">
        <v>5.75086784362793</v>
      </c>
      <c r="D9" s="54">
        <v>19.19487953186035</v>
      </c>
      <c r="E9" s="54">
        <v>416.4206848144531</v>
      </c>
      <c r="F9" s="54">
        <v>0.2905625104904175</v>
      </c>
      <c r="G9" s="54">
        <v>0</v>
      </c>
      <c r="H9" s="55">
        <v>413.6379699707031</v>
      </c>
      <c r="I9" s="56">
        <v>20.760995864868164</v>
      </c>
      <c r="J9" s="54">
        <v>0.01960156299173832</v>
      </c>
      <c r="K9" s="54">
        <v>43.64872741699219</v>
      </c>
      <c r="L9" s="54">
        <v>1.3776766061782837</v>
      </c>
      <c r="M9" s="54">
        <v>106.16320037841797</v>
      </c>
      <c r="N9" s="54">
        <v>107.32783508300781</v>
      </c>
      <c r="O9" s="54">
        <v>19.771503448486328</v>
      </c>
      <c r="P9" s="54">
        <v>19.6181640625</v>
      </c>
      <c r="Q9" s="54"/>
      <c r="R9" s="54">
        <v>2.846435546875</v>
      </c>
      <c r="S9" s="54">
        <v>141.1675262451172</v>
      </c>
      <c r="T9" s="54">
        <v>1.6100000143051147</v>
      </c>
      <c r="U9" s="54">
        <v>0.3012900650501251</v>
      </c>
      <c r="V9" s="54">
        <v>0.2999218702316284</v>
      </c>
      <c r="W9" s="54">
        <v>90.54542541503906</v>
      </c>
      <c r="X9" s="54">
        <v>0.528456449508667</v>
      </c>
      <c r="Y9" s="54" t="s">
        <v>82</v>
      </c>
      <c r="Z9" s="54">
        <v>0.7348958849906921</v>
      </c>
      <c r="AA9" s="54">
        <v>149.8987274169922</v>
      </c>
      <c r="AB9" s="54">
        <v>163.02806091308594</v>
      </c>
      <c r="AC9" s="54">
        <v>0.5474537014961243</v>
      </c>
      <c r="AD9" s="54">
        <v>155.33853149414062</v>
      </c>
      <c r="AE9" s="57"/>
      <c r="AF9" s="57"/>
      <c r="AG9" s="57"/>
      <c r="AH9" s="57"/>
      <c r="AI9" s="57"/>
      <c r="AJ9" s="57"/>
      <c r="AK9" s="57"/>
      <c r="AL9" s="54">
        <v>11.1328125</v>
      </c>
      <c r="AM9" s="58">
        <v>0.01455859374254942</v>
      </c>
      <c r="AN9" s="59">
        <v>63.657405853271484</v>
      </c>
      <c r="AO9" s="60"/>
      <c r="AP9" s="61">
        <v>-81.14872741699219</v>
      </c>
      <c r="AQ9" s="61">
        <v>0.2973090410232544</v>
      </c>
      <c r="AR9" s="62">
        <v>0.00029290770180523396</v>
      </c>
    </row>
    <row r="10" spans="2:47" ht="13.5" customHeight="1" x14ac:dyDescent="0.25">
      <c r="B10" s="41" t="s">
        <v>272</v>
      </c>
      <c r="C10" s="54">
        <v>5.9497971534729</v>
      </c>
      <c r="D10" s="54">
        <v>19.16232681274414</v>
      </c>
      <c r="E10" s="54">
        <v>416.5064697265625</v>
      </c>
      <c r="F10" s="54">
        <v>0.3093281388282776</v>
      </c>
      <c r="G10" s="54">
        <v>0</v>
      </c>
      <c r="H10" s="55">
        <v>414.1581115722656</v>
      </c>
      <c r="I10" s="56">
        <v>20.05208396911621</v>
      </c>
      <c r="J10" s="54">
        <v>0.019678710028529167</v>
      </c>
      <c r="K10" s="54">
        <v>45.2039909362793</v>
      </c>
      <c r="L10" s="54">
        <v>1.4473018646240234</v>
      </c>
      <c r="M10" s="54">
        <v>109.0549087524414</v>
      </c>
      <c r="N10" s="54">
        <v>111.2774887084961</v>
      </c>
      <c r="O10" s="54">
        <v>19.565685272216797</v>
      </c>
      <c r="P10" s="54">
        <v>19.65234375</v>
      </c>
      <c r="Q10" s="54"/>
      <c r="R10" s="54">
        <v>2.8465576171875</v>
      </c>
      <c r="S10" s="54">
        <v>141.12413024902344</v>
      </c>
      <c r="T10" s="54">
        <v>1.6100000143051147</v>
      </c>
      <c r="U10" s="54">
        <v>0.29996851086616516</v>
      </c>
      <c r="V10" s="54">
        <v>0.3000781238079071</v>
      </c>
      <c r="W10" s="54">
        <v>90.55265808105469</v>
      </c>
      <c r="X10" s="54">
        <v>0.5294615030288696</v>
      </c>
      <c r="Y10" s="54" t="s">
        <v>82</v>
      </c>
      <c r="Z10" s="54">
        <v>0.7340856790542603</v>
      </c>
      <c r="AA10" s="54">
        <v>149.89149475097656</v>
      </c>
      <c r="AB10" s="54">
        <v>162.92678833007812</v>
      </c>
      <c r="AC10" s="54">
        <v>0.40574362874031067</v>
      </c>
      <c r="AD10" s="54">
        <v>155.19386291503906</v>
      </c>
      <c r="AE10" s="57"/>
      <c r="AF10" s="57"/>
      <c r="AG10" s="57"/>
      <c r="AH10" s="57"/>
      <c r="AI10" s="57"/>
      <c r="AJ10" s="57"/>
      <c r="AK10" s="57"/>
      <c r="AL10" s="54">
        <v>0</v>
      </c>
      <c r="AM10" s="58">
        <v>0.011858398094773293</v>
      </c>
      <c r="AN10" s="59">
        <v>66.3881607055664</v>
      </c>
      <c r="AO10" s="60"/>
      <c r="AP10" s="61">
        <v>-80.97511291503906</v>
      </c>
      <c r="AQ10" s="61">
        <v>0.30041956901550293</v>
      </c>
      <c r="AR10" s="62">
        <v>0.0002913818461820483</v>
      </c>
    </row>
    <row r="11" spans="2:47" ht="13.5" customHeight="1" x14ac:dyDescent="0.25">
      <c r="B11" s="14">
        <v>4.1666666666666664E-2</v>
      </c>
      <c r="C11" s="54">
        <v>6.741898059844971</v>
      </c>
      <c r="D11" s="54">
        <v>19.276260375976562</v>
      </c>
      <c r="E11" s="54">
        <v>425.2947692871094</v>
      </c>
      <c r="F11" s="54">
        <v>0.33598437905311584</v>
      </c>
      <c r="G11" s="54">
        <v>0</v>
      </c>
      <c r="H11" s="55">
        <v>416.49884033203125</v>
      </c>
      <c r="I11" s="56">
        <v>1.3165509700775146</v>
      </c>
      <c r="J11" s="54">
        <v>0.019444335252046585</v>
      </c>
      <c r="K11" s="54">
        <v>42.75173568725586</v>
      </c>
      <c r="L11" s="54">
        <v>1.3655599355697632</v>
      </c>
      <c r="M11" s="54">
        <v>102.58789825439453</v>
      </c>
      <c r="N11" s="54">
        <v>106.70572662353516</v>
      </c>
      <c r="O11" s="54">
        <v>19.774856567382812</v>
      </c>
      <c r="P11" s="54">
        <v>19.701171875</v>
      </c>
      <c r="Q11" s="54"/>
      <c r="R11" s="54">
        <v>2.882080078125</v>
      </c>
      <c r="S11" s="54">
        <v>141.10243225097656</v>
      </c>
      <c r="T11" s="54">
        <v>1.6100000143051147</v>
      </c>
      <c r="U11" s="54">
        <v>0.3013404607772827</v>
      </c>
      <c r="V11" s="54">
        <v>0.30006250739097595</v>
      </c>
      <c r="W11" s="54">
        <v>91.37731170654297</v>
      </c>
      <c r="X11" s="54">
        <v>0.5309281349182129</v>
      </c>
      <c r="Y11" s="54" t="s">
        <v>82</v>
      </c>
      <c r="Z11" s="54">
        <v>0.7292824387550354</v>
      </c>
      <c r="AA11" s="54">
        <v>150.8463592529297</v>
      </c>
      <c r="AB11" s="54">
        <v>162.68807983398438</v>
      </c>
      <c r="AC11" s="54">
        <v>0.35120081901550293</v>
      </c>
      <c r="AD11" s="54">
        <v>154.5862274169922</v>
      </c>
      <c r="AE11" s="57"/>
      <c r="AF11" s="57"/>
      <c r="AG11" s="57"/>
      <c r="AH11" s="57"/>
      <c r="AI11" s="57"/>
      <c r="AJ11" s="57"/>
      <c r="AK11" s="57"/>
      <c r="AL11" s="54">
        <v>2.2786457538604736</v>
      </c>
      <c r="AM11" s="58">
        <v>0.011393554508686066</v>
      </c>
      <c r="AN11" s="59">
        <v>64.18547058105469</v>
      </c>
      <c r="AO11" s="60"/>
      <c r="AP11" s="61">
        <v>-81.01851654052734</v>
      </c>
      <c r="AQ11" s="61">
        <v>0.296440988779068</v>
      </c>
      <c r="AR11" s="62">
        <v>0.00029371643904596567</v>
      </c>
    </row>
    <row r="12" spans="2:47" ht="13.5" customHeight="1" x14ac:dyDescent="0.25">
      <c r="B12" s="41" t="s">
        <v>273</v>
      </c>
      <c r="C12" s="54">
        <v>5.602575302124023</v>
      </c>
      <c r="D12" s="54">
        <v>19.314237594604492</v>
      </c>
      <c r="E12" s="54">
        <v>409.2336120605469</v>
      </c>
      <c r="F12" s="54">
        <v>0.2607499957084656</v>
      </c>
      <c r="G12" s="54">
        <v>0</v>
      </c>
      <c r="H12" s="55">
        <v>417.1394958496094</v>
      </c>
      <c r="I12" s="56">
        <v>22.761140823364258</v>
      </c>
      <c r="J12" s="54">
        <v>0.019728515297174454</v>
      </c>
      <c r="K12" s="54">
        <v>45.43547439575195</v>
      </c>
      <c r="L12" s="54">
        <v>1.4755136966705322</v>
      </c>
      <c r="M12" s="54">
        <v>108.33876037597656</v>
      </c>
      <c r="N12" s="54">
        <v>112.14553833007812</v>
      </c>
      <c r="O12" s="54">
        <v>19.941129684448242</v>
      </c>
      <c r="P12" s="54">
        <v>19.7998046875</v>
      </c>
      <c r="Q12" s="54"/>
      <c r="R12" s="54">
        <v>2.9095458984375</v>
      </c>
      <c r="S12" s="54">
        <v>141.00839233398438</v>
      </c>
      <c r="T12" s="54">
        <v>1.6100000143051147</v>
      </c>
      <c r="U12" s="54">
        <v>0.3021879494190216</v>
      </c>
      <c r="V12" s="54">
        <v>0.2998906373977661</v>
      </c>
      <c r="W12" s="54">
        <v>90.4079818725586</v>
      </c>
      <c r="X12" s="54">
        <v>0.5270957946777344</v>
      </c>
      <c r="Y12" s="54" t="s">
        <v>82</v>
      </c>
      <c r="Z12" s="54">
        <v>0.7307870984077454</v>
      </c>
      <c r="AA12" s="54">
        <v>150.20977783203125</v>
      </c>
      <c r="AB12" s="54">
        <v>162.97019958496094</v>
      </c>
      <c r="AC12" s="54">
        <v>0.3684895932674408</v>
      </c>
      <c r="AD12" s="54">
        <v>154.8104705810547</v>
      </c>
      <c r="AE12" s="57"/>
      <c r="AF12" s="57"/>
      <c r="AG12" s="57"/>
      <c r="AH12" s="57"/>
      <c r="AI12" s="57"/>
      <c r="AJ12" s="57"/>
      <c r="AK12" s="57"/>
      <c r="AL12" s="54">
        <v>33.347801208496094</v>
      </c>
      <c r="AM12" s="58">
        <v>0.008618163876235485</v>
      </c>
      <c r="AN12" s="59">
        <v>65.30670928955078</v>
      </c>
      <c r="AO12" s="60"/>
      <c r="AP12" s="61">
        <v>-81.11978912353516</v>
      </c>
      <c r="AQ12" s="61">
        <v>0.2877604067325592</v>
      </c>
      <c r="AR12" s="62">
        <v>0.0002917175297625363</v>
      </c>
    </row>
    <row r="13" spans="2:47" ht="13.5" customHeight="1" x14ac:dyDescent="0.25">
      <c r="B13" s="14">
        <v>0.125</v>
      </c>
      <c r="C13" s="54">
        <v>6.662326335906982</v>
      </c>
      <c r="D13" s="54">
        <v>19.44444465637207</v>
      </c>
      <c r="E13" s="54">
        <v>415.6781311035156</v>
      </c>
      <c r="F13" s="54">
        <v>0.3369062542915344</v>
      </c>
      <c r="G13" s="54">
        <v>0</v>
      </c>
      <c r="H13" s="55">
        <v>413.5574645996094</v>
      </c>
      <c r="I13" s="56">
        <v>19.849536895751953</v>
      </c>
      <c r="J13" s="54">
        <v>0.019526368007063866</v>
      </c>
      <c r="K13" s="54">
        <v>44.089988708496094</v>
      </c>
      <c r="L13" s="54">
        <v>1.427951455116272</v>
      </c>
      <c r="M13" s="54">
        <v>103.86285400390625</v>
      </c>
      <c r="N13" s="54">
        <v>107.23379516601562</v>
      </c>
      <c r="O13" s="54">
        <v>19.853538513183594</v>
      </c>
      <c r="P13" s="54">
        <v>19.67578125</v>
      </c>
      <c r="Q13" s="54"/>
      <c r="R13" s="54">
        <v>2.8907470703125</v>
      </c>
      <c r="S13" s="54">
        <v>140.76966857910156</v>
      </c>
      <c r="T13" s="54">
        <v>1.6100000143051147</v>
      </c>
      <c r="U13" s="54">
        <v>0.3027617633342743</v>
      </c>
      <c r="V13" s="54">
        <v>0.29984375834465027</v>
      </c>
      <c r="W13" s="54">
        <v>91.31221008300781</v>
      </c>
      <c r="X13" s="54">
        <v>0.530404806137085</v>
      </c>
      <c r="Y13" s="54" t="s">
        <v>82</v>
      </c>
      <c r="Z13" s="54">
        <v>0.7396412491798401</v>
      </c>
      <c r="AA13" s="54">
        <v>149.8770294189453</v>
      </c>
      <c r="AB13" s="54">
        <v>162.67361450195312</v>
      </c>
      <c r="AC13" s="54">
        <v>0.32913774251937866</v>
      </c>
      <c r="AD13" s="54">
        <v>154.6875</v>
      </c>
      <c r="AE13" s="57"/>
      <c r="AF13" s="57"/>
      <c r="AG13" s="57"/>
      <c r="AH13" s="57"/>
      <c r="AI13" s="57"/>
      <c r="AJ13" s="57"/>
      <c r="AK13" s="57"/>
      <c r="AL13" s="54">
        <v>1.7614293098449707</v>
      </c>
      <c r="AM13" s="58">
        <v>0.011647460982203484</v>
      </c>
      <c r="AN13" s="59">
        <v>64.4820556640625</v>
      </c>
      <c r="AO13" s="60"/>
      <c r="AP13" s="61">
        <v>-81.27169799804688</v>
      </c>
      <c r="AQ13" s="61">
        <v>0.2975260317325592</v>
      </c>
      <c r="AR13" s="62">
        <v>0.000292572018224746</v>
      </c>
    </row>
    <row r="14" spans="2:47" ht="13.5" customHeight="1" x14ac:dyDescent="0.25">
      <c r="B14" s="14">
        <v>0.16666666666666666</v>
      </c>
      <c r="C14" s="54">
        <v>5.591724395751953</v>
      </c>
      <c r="D14" s="54">
        <v>19.36849021911621</v>
      </c>
      <c r="E14" s="54">
        <v>416.05133056640625</v>
      </c>
      <c r="F14" s="54">
        <v>0.2627499997615814</v>
      </c>
      <c r="G14" s="54">
        <v>0</v>
      </c>
      <c r="H14" s="55">
        <v>413.8614807128906</v>
      </c>
      <c r="I14" s="56">
        <v>15.849247932434082</v>
      </c>
      <c r="J14" s="54">
        <v>0.019211914390325546</v>
      </c>
      <c r="K14" s="54">
        <v>43.53298568725586</v>
      </c>
      <c r="L14" s="54">
        <v>1.3998301029205322</v>
      </c>
      <c r="M14" s="54">
        <v>107.92643737792969</v>
      </c>
      <c r="N14" s="54">
        <v>108.13078308105469</v>
      </c>
      <c r="O14" s="54">
        <v>19.463275909423828</v>
      </c>
      <c r="P14" s="54">
        <v>19.62890625</v>
      </c>
      <c r="Q14" s="54"/>
      <c r="R14" s="54">
        <v>2.8927001953125</v>
      </c>
      <c r="S14" s="54">
        <v>141.0445556640625</v>
      </c>
      <c r="T14" s="54">
        <v>1.6100000143051147</v>
      </c>
      <c r="U14" s="54">
        <v>0.2983521819114685</v>
      </c>
      <c r="V14" s="54">
        <v>0.2999843657016754</v>
      </c>
      <c r="W14" s="54">
        <v>90.02459716796875</v>
      </c>
      <c r="X14" s="54">
        <v>0.5326249003410339</v>
      </c>
      <c r="Y14" s="54" t="s">
        <v>82</v>
      </c>
      <c r="Z14" s="54">
        <v>0.7382523417472839</v>
      </c>
      <c r="AA14" s="54">
        <v>149.79022216796875</v>
      </c>
      <c r="AB14" s="54">
        <v>162.48553466796875</v>
      </c>
      <c r="AC14" s="54">
        <v>0.39424189925193787</v>
      </c>
      <c r="AD14" s="54">
        <v>154.8394012451172</v>
      </c>
      <c r="AE14" s="57"/>
      <c r="AF14" s="57"/>
      <c r="AG14" s="57"/>
      <c r="AH14" s="57"/>
      <c r="AI14" s="57"/>
      <c r="AJ14" s="57"/>
      <c r="AK14" s="57"/>
      <c r="AL14" s="54">
        <v>7.638888835906982</v>
      </c>
      <c r="AM14" s="58">
        <v>0.012374022975564003</v>
      </c>
      <c r="AN14" s="59">
        <v>65.9975357055664</v>
      </c>
      <c r="AO14" s="60"/>
      <c r="AP14" s="61">
        <v>-81.26446533203125</v>
      </c>
      <c r="AQ14" s="61">
        <v>0.27922454476356506</v>
      </c>
      <c r="AR14" s="62">
        <v>0.0002927703899331391</v>
      </c>
    </row>
    <row r="15" spans="2:47" ht="13.5" customHeight="1" x14ac:dyDescent="0.25">
      <c r="B15" s="14">
        <v>0.20833333333333334</v>
      </c>
      <c r="C15" s="54">
        <v>6.521267414093018</v>
      </c>
      <c r="D15" s="54">
        <v>19.363065719604492</v>
      </c>
      <c r="E15" s="54">
        <v>416.07525634765625</v>
      </c>
      <c r="F15" s="54">
        <v>0.3362812399864197</v>
      </c>
      <c r="G15" s="54">
        <v>0</v>
      </c>
      <c r="H15" s="55">
        <v>414.2920837402344</v>
      </c>
      <c r="I15" s="56">
        <v>20.96354103088379</v>
      </c>
      <c r="J15" s="54">
        <v>0.019600585103034973</v>
      </c>
      <c r="K15" s="54">
        <v>44.386573791503906</v>
      </c>
      <c r="L15" s="54">
        <v>1.4404298067092896</v>
      </c>
      <c r="M15" s="54">
        <v>111.66992950439453</v>
      </c>
      <c r="N15" s="54">
        <v>111.65364074707031</v>
      </c>
      <c r="O15" s="54">
        <v>19.599472045898438</v>
      </c>
      <c r="P15" s="54">
        <v>19.6728515625</v>
      </c>
      <c r="Q15" s="54"/>
      <c r="R15" s="54">
        <v>2.884033203125</v>
      </c>
      <c r="S15" s="54">
        <v>141.1675262451172</v>
      </c>
      <c r="T15" s="54">
        <v>1.6100000143051147</v>
      </c>
      <c r="U15" s="54">
        <v>0.2988700568675995</v>
      </c>
      <c r="V15" s="54">
        <v>0.30024999380111694</v>
      </c>
      <c r="W15" s="54">
        <v>90.83477783203125</v>
      </c>
      <c r="X15" s="54">
        <v>0.5309359431266785</v>
      </c>
      <c r="Y15" s="54" t="s">
        <v>82</v>
      </c>
      <c r="Z15" s="54">
        <v>0.7419560551643372</v>
      </c>
      <c r="AA15" s="54">
        <v>150.8101806640625</v>
      </c>
      <c r="AB15" s="54">
        <v>163.07870483398438</v>
      </c>
      <c r="AC15" s="54">
        <v>0.39037182927131653</v>
      </c>
      <c r="AD15" s="54">
        <v>155.41087341308594</v>
      </c>
      <c r="AE15" s="57"/>
      <c r="AF15" s="57"/>
      <c r="AG15" s="57"/>
      <c r="AH15" s="57"/>
      <c r="AI15" s="57"/>
      <c r="AJ15" s="57"/>
      <c r="AK15" s="57"/>
      <c r="AL15" s="54">
        <v>16.81857681274414</v>
      </c>
      <c r="AM15" s="58">
        <v>0.012181640602648258</v>
      </c>
      <c r="AN15" s="59">
        <v>63.914207458496094</v>
      </c>
      <c r="AO15" s="60"/>
      <c r="AP15" s="61">
        <v>-81.18489837646484</v>
      </c>
      <c r="AQ15" s="61">
        <v>0.2897135317325592</v>
      </c>
      <c r="AR15" s="62">
        <v>0.0002908630413003266</v>
      </c>
    </row>
    <row r="16" spans="2:47" ht="13.5" customHeight="1" x14ac:dyDescent="0.25">
      <c r="B16" s="14">
        <v>0.25</v>
      </c>
      <c r="C16" s="54">
        <v>5.378327369689941</v>
      </c>
      <c r="D16" s="54">
        <v>19.227432250976562</v>
      </c>
      <c r="E16" s="54">
        <v>412.6721496582031</v>
      </c>
      <c r="F16" s="54">
        <v>0.26195311546325684</v>
      </c>
      <c r="G16" s="54">
        <v>0</v>
      </c>
      <c r="H16" s="55">
        <v>414.3517761230469</v>
      </c>
      <c r="I16" s="56">
        <v>20.760995864868164</v>
      </c>
      <c r="J16" s="54">
        <v>0.020004883408546448</v>
      </c>
      <c r="K16" s="54">
        <v>43.938079833984375</v>
      </c>
      <c r="L16" s="54">
        <v>1.430845022201538</v>
      </c>
      <c r="M16" s="54">
        <v>108.61003112792969</v>
      </c>
      <c r="N16" s="54">
        <v>109.88859558105469</v>
      </c>
      <c r="O16" s="54">
        <v>19.613628387451172</v>
      </c>
      <c r="P16" s="54">
        <v>19.6533203125</v>
      </c>
      <c r="Q16" s="54"/>
      <c r="R16" s="54">
        <v>2.82861328125</v>
      </c>
      <c r="S16" s="54">
        <v>140.70457458496094</v>
      </c>
      <c r="T16" s="54">
        <v>1.6100000143051147</v>
      </c>
      <c r="U16" s="54">
        <v>0.29915904998779297</v>
      </c>
      <c r="V16" s="54">
        <v>0.2996875047683716</v>
      </c>
      <c r="W16" s="54">
        <v>90.8998794555664</v>
      </c>
      <c r="X16" s="54">
        <v>0.529983401298523</v>
      </c>
      <c r="Y16" s="54" t="s">
        <v>82</v>
      </c>
      <c r="Z16" s="54">
        <v>0.7410879731178284</v>
      </c>
      <c r="AA16" s="54">
        <v>149.61660766601562</v>
      </c>
      <c r="AB16" s="54">
        <v>162.70254516601562</v>
      </c>
      <c r="AC16" s="54">
        <v>0.34534144401550293</v>
      </c>
      <c r="AD16" s="54">
        <v>155.09259033203125</v>
      </c>
      <c r="AE16" s="57"/>
      <c r="AF16" s="57"/>
      <c r="AG16" s="57"/>
      <c r="AH16" s="57"/>
      <c r="AI16" s="57"/>
      <c r="AJ16" s="57"/>
      <c r="AK16" s="57"/>
      <c r="AL16" s="54">
        <v>8.770977973937988</v>
      </c>
      <c r="AM16" s="58">
        <v>0.01050585974007845</v>
      </c>
      <c r="AN16" s="59">
        <v>61.71151351928711</v>
      </c>
      <c r="AO16" s="60"/>
      <c r="AP16" s="61">
        <v>-81.19213104248047</v>
      </c>
      <c r="AQ16" s="61">
        <v>0.2951388955116272</v>
      </c>
      <c r="AR16" s="62">
        <v>0.0002916564990300685</v>
      </c>
    </row>
    <row r="17" spans="2:44" ht="13.5" customHeight="1" x14ac:dyDescent="0.25">
      <c r="B17" s="14">
        <v>0.29166666666666669</v>
      </c>
      <c r="C17" s="54">
        <v>6.217447757720947</v>
      </c>
      <c r="D17" s="54">
        <v>19.24370765686035</v>
      </c>
      <c r="E17" s="54">
        <v>412.8023376464844</v>
      </c>
      <c r="F17" s="54">
        <v>0.3363906145095825</v>
      </c>
      <c r="G17" s="54">
        <v>0</v>
      </c>
      <c r="H17" s="55">
        <v>413.79541015625</v>
      </c>
      <c r="I17" s="56">
        <v>19.343172073364258</v>
      </c>
      <c r="J17" s="54">
        <v>0.019926758483052254</v>
      </c>
      <c r="K17" s="54">
        <v>45.22569274902344</v>
      </c>
      <c r="L17" s="54">
        <v>1.4902524948120117</v>
      </c>
      <c r="M17" s="54">
        <v>110.19966125488281</v>
      </c>
      <c r="N17" s="54">
        <v>111.4728012084961</v>
      </c>
      <c r="O17" s="54">
        <v>19.727846145629883</v>
      </c>
      <c r="P17" s="54">
        <v>19.673828125</v>
      </c>
      <c r="Q17" s="54"/>
      <c r="R17" s="54">
        <v>2.827392578125</v>
      </c>
      <c r="S17" s="54">
        <v>140.74073791503906</v>
      </c>
      <c r="T17" s="54">
        <v>1.6100000143051147</v>
      </c>
      <c r="U17" s="54">
        <v>0.29698801040649414</v>
      </c>
      <c r="V17" s="54">
        <v>0.3002656102180481</v>
      </c>
      <c r="W17" s="54">
        <v>90.2126693725586</v>
      </c>
      <c r="X17" s="54">
        <v>0.530206024646759</v>
      </c>
      <c r="Y17" s="54" t="s">
        <v>82</v>
      </c>
      <c r="Z17" s="54">
        <v>0.7486690282821655</v>
      </c>
      <c r="AA17" s="54">
        <v>150.3472137451172</v>
      </c>
      <c r="AB17" s="54">
        <v>162.73147583007812</v>
      </c>
      <c r="AC17" s="54">
        <v>0.43995949625968933</v>
      </c>
      <c r="AD17" s="54">
        <v>155.09259033203125</v>
      </c>
      <c r="AE17" s="57"/>
      <c r="AF17" s="57"/>
      <c r="AG17" s="57"/>
      <c r="AH17" s="57"/>
      <c r="AI17" s="57"/>
      <c r="AJ17" s="57"/>
      <c r="AK17" s="57"/>
      <c r="AL17" s="54">
        <v>14.94140625</v>
      </c>
      <c r="AM17" s="58">
        <v>0.012572265230119228</v>
      </c>
      <c r="AN17" s="59">
        <v>66.3375244140625</v>
      </c>
      <c r="AO17" s="60"/>
      <c r="AP17" s="61">
        <v>-81.08362579345703</v>
      </c>
      <c r="AQ17" s="61">
        <v>0.28399884700775146</v>
      </c>
      <c r="AR17" s="62">
        <v>0.00029177856049500406</v>
      </c>
    </row>
    <row r="18" spans="2:44" ht="13.5" customHeight="1" x14ac:dyDescent="0.25">
      <c r="B18" s="42">
        <v>0.33333333333333331</v>
      </c>
      <c r="C18" s="63">
        <v>5.280671119689941</v>
      </c>
      <c r="D18" s="63">
        <v>19.265409469604492</v>
      </c>
      <c r="E18" s="63">
        <v>412.5934753417969</v>
      </c>
      <c r="F18" s="63">
        <v>0.2651406228542328</v>
      </c>
      <c r="G18" s="63">
        <v>0</v>
      </c>
      <c r="H18" s="64">
        <v>413.4156799316406</v>
      </c>
      <c r="I18" s="65">
        <v>20.35590362548828</v>
      </c>
      <c r="J18" s="63">
        <v>0.019915038719773293</v>
      </c>
      <c r="K18" s="63">
        <v>45.15335464477539</v>
      </c>
      <c r="L18" s="63">
        <v>1.4567058086395264</v>
      </c>
      <c r="M18" s="63">
        <v>110.73133850097656</v>
      </c>
      <c r="N18" s="63">
        <v>112.39872741699219</v>
      </c>
      <c r="O18" s="63">
        <v>19.657821655273438</v>
      </c>
      <c r="P18" s="63">
        <v>19.6162109375</v>
      </c>
      <c r="Q18" s="63"/>
      <c r="R18" s="63">
        <v>2.8133544921875</v>
      </c>
      <c r="S18" s="63">
        <v>141.09519958496094</v>
      </c>
      <c r="T18" s="63">
        <v>1.6100000143051147</v>
      </c>
      <c r="U18" s="63">
        <v>0.30228111147880554</v>
      </c>
      <c r="V18" s="63">
        <v>0.29984375834465027</v>
      </c>
      <c r="W18" s="63">
        <v>90.88541412353516</v>
      </c>
      <c r="X18" s="63">
        <v>0.52818763256073</v>
      </c>
      <c r="Y18" s="63">
        <v>0.5446737408638</v>
      </c>
      <c r="Z18" s="63">
        <v>0.7151620984077454</v>
      </c>
      <c r="AA18" s="63">
        <v>149.4140625</v>
      </c>
      <c r="AB18" s="63">
        <v>162.7242431640625</v>
      </c>
      <c r="AC18" s="63">
        <v>0.4568142294883728</v>
      </c>
      <c r="AD18" s="63">
        <v>155.09982299804688</v>
      </c>
      <c r="AE18" s="66"/>
      <c r="AF18" s="66"/>
      <c r="AG18" s="66"/>
      <c r="AH18" s="66"/>
      <c r="AI18" s="66"/>
      <c r="AJ18" s="66"/>
      <c r="AK18" s="66"/>
      <c r="AL18" s="63">
        <v>0</v>
      </c>
      <c r="AM18" s="67">
        <v>0.014384765177965164</v>
      </c>
      <c r="AN18" s="68">
        <v>63.136573791503906</v>
      </c>
      <c r="AO18" s="60"/>
      <c r="AP18" s="61">
        <v>-80.79427337646484</v>
      </c>
      <c r="AQ18" s="61">
        <v>0.2894965410232544</v>
      </c>
      <c r="AR18" s="69">
        <v>0.00029142762650735676</v>
      </c>
    </row>
    <row r="19" spans="2:44" ht="18" customHeight="1" x14ac:dyDescent="0.25">
      <c r="B19" s="123" t="s">
        <v>181</v>
      </c>
      <c r="C19" s="36" t="s">
        <v>168</v>
      </c>
      <c r="D19" s="36" t="s">
        <v>171</v>
      </c>
      <c r="E19" s="138" t="s">
        <v>17</v>
      </c>
      <c r="F19" s="139"/>
      <c r="G19" s="140"/>
      <c r="H19" s="141" t="s">
        <v>108</v>
      </c>
      <c r="I19" s="139"/>
      <c r="J19" s="139"/>
      <c r="K19" s="139"/>
      <c r="L19" s="142"/>
      <c r="M19" s="143" t="s">
        <v>123</v>
      </c>
      <c r="N19" s="139"/>
      <c r="O19" s="139"/>
      <c r="P19" s="139"/>
      <c r="Q19" s="140"/>
      <c r="R19" s="141" t="s">
        <v>147</v>
      </c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40"/>
      <c r="AG19" s="144" t="s">
        <v>24</v>
      </c>
      <c r="AH19" s="140"/>
      <c r="AI19" s="120" t="s">
        <v>173</v>
      </c>
      <c r="AJ19" s="121"/>
      <c r="AK19" s="121"/>
      <c r="AL19" s="121"/>
      <c r="AM19" s="122"/>
      <c r="AN19" s="144" t="s">
        <v>47</v>
      </c>
      <c r="AO19" s="145"/>
      <c r="AP19" s="139" t="s">
        <v>180</v>
      </c>
      <c r="AQ19" s="146"/>
      <c r="AR19" s="147"/>
    </row>
    <row r="20" spans="2:44" ht="20.15" customHeight="1" x14ac:dyDescent="0.25">
      <c r="B20" s="124"/>
      <c r="C20" s="3" t="s">
        <v>169</v>
      </c>
      <c r="D20" s="3" t="s">
        <v>113</v>
      </c>
      <c r="E20" s="3" t="s">
        <v>15</v>
      </c>
      <c r="F20" s="118" t="s">
        <v>100</v>
      </c>
      <c r="G20" s="119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32" t="s">
        <v>148</v>
      </c>
      <c r="AE20" s="119"/>
      <c r="AF20" s="17" t="s">
        <v>151</v>
      </c>
      <c r="AG20" s="17" t="s">
        <v>153</v>
      </c>
      <c r="AH20" s="17" t="s">
        <v>155</v>
      </c>
      <c r="AI20" s="113" t="s">
        <v>89</v>
      </c>
      <c r="AJ20" s="114"/>
      <c r="AK20" s="113" t="s">
        <v>92</v>
      </c>
      <c r="AL20" s="114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24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54">
        <v>-81.3946762084961</v>
      </c>
      <c r="D22" s="54">
        <v>-81.1053237915039</v>
      </c>
      <c r="E22" s="54">
        <v>103.13584899902344</v>
      </c>
      <c r="F22" s="54">
        <v>0.07884837687015533</v>
      </c>
      <c r="G22" s="54"/>
      <c r="H22" s="54"/>
      <c r="I22" s="54"/>
      <c r="J22" s="54"/>
      <c r="K22" s="54"/>
      <c r="L22" s="55"/>
      <c r="M22" s="70">
        <v>25.83550262451172</v>
      </c>
      <c r="N22" s="54">
        <v>45.471641540527344</v>
      </c>
      <c r="O22" s="54">
        <v>39.5</v>
      </c>
      <c r="P22" s="54">
        <v>22</v>
      </c>
      <c r="Q22" s="54">
        <v>3.504774332046509</v>
      </c>
      <c r="R22" s="54">
        <v>19.74826431274414</v>
      </c>
      <c r="S22" s="71">
        <v>91.90899658203125</v>
      </c>
      <c r="T22" s="71">
        <v>0</v>
      </c>
      <c r="U22" s="71">
        <v>0</v>
      </c>
      <c r="V22" s="71">
        <v>20.41558265686035</v>
      </c>
      <c r="W22" s="71">
        <v>46.1046028137207</v>
      </c>
      <c r="X22" s="71">
        <v>28</v>
      </c>
      <c r="Y22" s="71">
        <v>72.87489318847656</v>
      </c>
      <c r="Z22" s="71">
        <v>14.086009979248047</v>
      </c>
      <c r="AA22" s="71">
        <v>17.030166625976562</v>
      </c>
      <c r="AB22" s="71"/>
      <c r="AC22" s="58"/>
      <c r="AD22" s="58">
        <v>1.5483940839767456</v>
      </c>
      <c r="AE22" s="58"/>
      <c r="AF22" s="58">
        <v>20.992477416992188</v>
      </c>
      <c r="AG22" s="58">
        <v>15.2199068069458</v>
      </c>
      <c r="AH22" s="58"/>
      <c r="AI22" s="72"/>
      <c r="AJ22" s="72"/>
      <c r="AK22" s="72"/>
      <c r="AL22" s="72"/>
      <c r="AM22" s="72"/>
      <c r="AN22" s="58">
        <v>46.49884033203125</v>
      </c>
      <c r="AO22" s="59">
        <v>50</v>
      </c>
      <c r="AP22" s="60">
        <v>25.191696166992188</v>
      </c>
      <c r="AQ22" s="61">
        <v>39.948638916015625</v>
      </c>
      <c r="AR22" s="62">
        <v>0.11936187744140625</v>
      </c>
    </row>
    <row r="23" spans="2:44" ht="13.5" customHeight="1" x14ac:dyDescent="0.25">
      <c r="B23" s="14">
        <v>0.875</v>
      </c>
      <c r="C23" s="54">
        <v>-81.07638549804688</v>
      </c>
      <c r="D23" s="54">
        <v>-80.99681854248047</v>
      </c>
      <c r="E23" s="54">
        <v>103.125</v>
      </c>
      <c r="F23" s="54">
        <v>0.08101852238178253</v>
      </c>
      <c r="G23" s="54">
        <v>7.299804565263912E-05</v>
      </c>
      <c r="H23" s="54"/>
      <c r="I23" s="54"/>
      <c r="J23" s="54"/>
      <c r="K23" s="54"/>
      <c r="L23" s="55"/>
      <c r="M23" s="70">
        <v>25.59678840637207</v>
      </c>
      <c r="N23" s="54">
        <v>46.379486083984375</v>
      </c>
      <c r="O23" s="54">
        <v>39.5</v>
      </c>
      <c r="P23" s="54">
        <v>22</v>
      </c>
      <c r="Q23" s="54">
        <v>3.370225667953491</v>
      </c>
      <c r="R23" s="54">
        <v>19.589120864868164</v>
      </c>
      <c r="S23" s="71">
        <v>91.51837158203125</v>
      </c>
      <c r="T23" s="71">
        <v>0</v>
      </c>
      <c r="U23" s="71">
        <v>0</v>
      </c>
      <c r="V23" s="71">
        <v>20.62717056274414</v>
      </c>
      <c r="W23" s="71">
        <v>45.410160064697266</v>
      </c>
      <c r="X23" s="71">
        <v>28</v>
      </c>
      <c r="Y23" s="71">
        <v>71.93865966796875</v>
      </c>
      <c r="Z23" s="71">
        <v>14.460358619689941</v>
      </c>
      <c r="AA23" s="71">
        <v>17.69748306274414</v>
      </c>
      <c r="AB23" s="71"/>
      <c r="AC23" s="58"/>
      <c r="AD23" s="58">
        <v>1.5483940839767456</v>
      </c>
      <c r="AE23" s="58">
        <v>0.0014191895024850965</v>
      </c>
      <c r="AF23" s="58">
        <v>21.0648136138916</v>
      </c>
      <c r="AG23" s="58">
        <v>16.561777114868164</v>
      </c>
      <c r="AH23" s="58"/>
      <c r="AI23" s="72"/>
      <c r="AJ23" s="72"/>
      <c r="AK23" s="72"/>
      <c r="AL23" s="72"/>
      <c r="AM23" s="72"/>
      <c r="AN23" s="58">
        <v>45.97800827026367</v>
      </c>
      <c r="AO23" s="59">
        <v>50</v>
      </c>
      <c r="AP23" s="60">
        <v>25.137441635131836</v>
      </c>
      <c r="AQ23" s="61">
        <v>40.653934478759766</v>
      </c>
      <c r="AR23" s="62">
        <v>0.09766387939453125</v>
      </c>
    </row>
    <row r="24" spans="2:44" ht="13.5" customHeight="1" x14ac:dyDescent="0.25">
      <c r="B24" s="41" t="s">
        <v>271</v>
      </c>
      <c r="C24" s="54">
        <v>-81.03298950195312</v>
      </c>
      <c r="D24" s="54">
        <v>-80.97511291503906</v>
      </c>
      <c r="E24" s="54">
        <v>103.125</v>
      </c>
      <c r="F24" s="54">
        <v>0.05309606343507767</v>
      </c>
      <c r="G24" s="54">
        <v>7.734298560535535E-05</v>
      </c>
      <c r="H24" s="54"/>
      <c r="I24" s="54"/>
      <c r="J24" s="54"/>
      <c r="K24" s="54"/>
      <c r="L24" s="55"/>
      <c r="M24" s="70">
        <v>25.245948791503906</v>
      </c>
      <c r="N24" s="54">
        <v>45.24739456176758</v>
      </c>
      <c r="O24" s="54">
        <v>39.5</v>
      </c>
      <c r="P24" s="54">
        <v>22</v>
      </c>
      <c r="Q24" s="54">
        <v>3.394965410232544</v>
      </c>
      <c r="R24" s="54">
        <v>19.592737197875977</v>
      </c>
      <c r="S24" s="71">
        <v>93.12065887451172</v>
      </c>
      <c r="T24" s="71">
        <v>0</v>
      </c>
      <c r="U24" s="71">
        <v>0</v>
      </c>
      <c r="V24" s="71">
        <v>20.974393844604492</v>
      </c>
      <c r="W24" s="71">
        <v>44.86762237548828</v>
      </c>
      <c r="X24" s="71">
        <v>28</v>
      </c>
      <c r="Y24" s="71">
        <v>72.11805725097656</v>
      </c>
      <c r="Z24" s="71">
        <v>14.838324546813965</v>
      </c>
      <c r="AA24" s="71">
        <v>18.1640625</v>
      </c>
      <c r="AB24" s="71"/>
      <c r="AC24" s="58"/>
      <c r="AD24" s="58">
        <v>1.54833984375</v>
      </c>
      <c r="AE24" s="58">
        <v>0.0013203124981373549</v>
      </c>
      <c r="AF24" s="58">
        <v>21.079282760620117</v>
      </c>
      <c r="AG24" s="58">
        <v>21.198638916015625</v>
      </c>
      <c r="AH24" s="58"/>
      <c r="AI24" s="72"/>
      <c r="AJ24" s="72"/>
      <c r="AK24" s="72"/>
      <c r="AL24" s="72"/>
      <c r="AM24" s="72"/>
      <c r="AN24" s="58">
        <v>45.42100524902344</v>
      </c>
      <c r="AO24" s="59">
        <v>50</v>
      </c>
      <c r="AP24" s="60">
        <v>25.345413208007812</v>
      </c>
      <c r="AQ24" s="61">
        <v>40.16203689575195</v>
      </c>
      <c r="AR24" s="62">
        <v>0.075958251953125</v>
      </c>
    </row>
    <row r="25" spans="2:44" ht="13.5" customHeight="1" x14ac:dyDescent="0.25">
      <c r="B25" s="14">
        <v>0.95833333333333337</v>
      </c>
      <c r="C25" s="54">
        <v>-81.14872741699219</v>
      </c>
      <c r="D25" s="54">
        <v>-81.06915283203125</v>
      </c>
      <c r="E25" s="54">
        <v>103.12861633300781</v>
      </c>
      <c r="F25" s="54">
        <v>0.08145254850387573</v>
      </c>
      <c r="G25" s="54">
        <v>7.490539428545162E-05</v>
      </c>
      <c r="H25" s="54"/>
      <c r="I25" s="54"/>
      <c r="J25" s="54"/>
      <c r="K25" s="54"/>
      <c r="L25" s="55"/>
      <c r="M25" s="70">
        <v>25.383390426635742</v>
      </c>
      <c r="N25" s="54">
        <v>44.773582458496094</v>
      </c>
      <c r="O25" s="54">
        <v>39.5</v>
      </c>
      <c r="P25" s="54">
        <v>22</v>
      </c>
      <c r="Q25" s="54">
        <v>3.4518229961395264</v>
      </c>
      <c r="R25" s="54">
        <v>19.448060989379883</v>
      </c>
      <c r="S25" s="71">
        <v>93.87297058105469</v>
      </c>
      <c r="T25" s="71">
        <v>0</v>
      </c>
      <c r="U25" s="71">
        <v>0</v>
      </c>
      <c r="V25" s="71">
        <v>21.462675094604492</v>
      </c>
      <c r="W25" s="71">
        <v>44.270835876464844</v>
      </c>
      <c r="X25" s="71">
        <v>28</v>
      </c>
      <c r="Y25" s="71">
        <v>72.7179183959961</v>
      </c>
      <c r="Z25" s="71">
        <v>14.55078125</v>
      </c>
      <c r="AA25" s="71">
        <v>18.142362594604492</v>
      </c>
      <c r="AB25" s="71"/>
      <c r="AC25" s="58"/>
      <c r="AD25" s="58">
        <v>1.54833984375</v>
      </c>
      <c r="AE25" s="58">
        <v>0.0011163940653204918</v>
      </c>
      <c r="AF25" s="58">
        <v>21.122684478759766</v>
      </c>
      <c r="AG25" s="58">
        <v>17.4515323638916</v>
      </c>
      <c r="AH25" s="58"/>
      <c r="AI25" s="72"/>
      <c r="AJ25" s="72"/>
      <c r="AK25" s="72"/>
      <c r="AL25" s="72"/>
      <c r="AM25" s="72"/>
      <c r="AN25" s="58">
        <v>44.35763931274414</v>
      </c>
      <c r="AO25" s="59">
        <v>50</v>
      </c>
      <c r="AP25" s="60">
        <v>25.019893646240234</v>
      </c>
      <c r="AQ25" s="61">
        <v>39.31206512451172</v>
      </c>
      <c r="AR25" s="62">
        <v>0.09766387939453125</v>
      </c>
    </row>
    <row r="26" spans="2:44" ht="13.5" customHeight="1" x14ac:dyDescent="0.25">
      <c r="B26" s="41" t="s">
        <v>272</v>
      </c>
      <c r="C26" s="54">
        <v>-80.97511291503906</v>
      </c>
      <c r="D26" s="54">
        <v>-80.89554595947266</v>
      </c>
      <c r="E26" s="54">
        <v>103.13223266601562</v>
      </c>
      <c r="F26" s="54">
        <v>0.0518663190305233</v>
      </c>
      <c r="G26" s="54">
        <v>7.569503941340372E-05</v>
      </c>
      <c r="H26" s="54"/>
      <c r="I26" s="54"/>
      <c r="J26" s="54"/>
      <c r="K26" s="54"/>
      <c r="L26" s="55"/>
      <c r="M26" s="70">
        <v>25.133825302124023</v>
      </c>
      <c r="N26" s="54">
        <v>44.95442581176758</v>
      </c>
      <c r="O26" s="54">
        <v>39.5</v>
      </c>
      <c r="P26" s="54">
        <v>22</v>
      </c>
      <c r="Q26" s="54">
        <v>3.463975667953491</v>
      </c>
      <c r="R26" s="54">
        <v>19.45529556274414</v>
      </c>
      <c r="S26" s="71">
        <v>93.9959487915039</v>
      </c>
      <c r="T26" s="71">
        <v>0</v>
      </c>
      <c r="U26" s="71">
        <v>0</v>
      </c>
      <c r="V26" s="71">
        <v>21.79904556274414</v>
      </c>
      <c r="W26" s="71">
        <v>43.69574737548828</v>
      </c>
      <c r="X26" s="71">
        <v>28</v>
      </c>
      <c r="Y26" s="71">
        <v>72.12366485595703</v>
      </c>
      <c r="Z26" s="71">
        <v>14.465784072875977</v>
      </c>
      <c r="AA26" s="71">
        <v>18.397354125976562</v>
      </c>
      <c r="AB26" s="71"/>
      <c r="AC26" s="58"/>
      <c r="AD26" s="58">
        <v>1.54833984375</v>
      </c>
      <c r="AE26" s="58">
        <v>0.0014388427371159196</v>
      </c>
      <c r="AF26" s="58">
        <v>21.176939010620117</v>
      </c>
      <c r="AG26" s="58">
        <v>15.0245943069458</v>
      </c>
      <c r="AH26" s="58"/>
      <c r="AI26" s="72"/>
      <c r="AJ26" s="72"/>
      <c r="AK26" s="72"/>
      <c r="AL26" s="72"/>
      <c r="AM26" s="72"/>
      <c r="AN26" s="58">
        <v>42.628761291503906</v>
      </c>
      <c r="AO26" s="59">
        <v>50</v>
      </c>
      <c r="AP26" s="60">
        <v>24.73958396911621</v>
      </c>
      <c r="AQ26" s="61">
        <v>40.08246612548828</v>
      </c>
      <c r="AR26" s="62">
        <v>0.09766387939453125</v>
      </c>
    </row>
    <row r="27" spans="2:44" ht="13.5" customHeight="1" x14ac:dyDescent="0.25">
      <c r="B27" s="14">
        <v>4.1666666666666664E-2</v>
      </c>
      <c r="C27" s="54">
        <v>-81.01851654052734</v>
      </c>
      <c r="D27" s="54">
        <v>-80.88107299804688</v>
      </c>
      <c r="E27" s="54">
        <v>103.12861633300781</v>
      </c>
      <c r="F27" s="54">
        <v>0.05092592537403107</v>
      </c>
      <c r="G27" s="54">
        <v>7.662201096536592E-05</v>
      </c>
      <c r="H27" s="54"/>
      <c r="I27" s="54"/>
      <c r="J27" s="54"/>
      <c r="K27" s="54"/>
      <c r="L27" s="55"/>
      <c r="M27" s="70">
        <v>25.27126693725586</v>
      </c>
      <c r="N27" s="54">
        <v>45.44270706176758</v>
      </c>
      <c r="O27" s="54">
        <v>39.5</v>
      </c>
      <c r="P27" s="54">
        <v>22</v>
      </c>
      <c r="Q27" s="54">
        <v>3.4318575859069824</v>
      </c>
      <c r="R27" s="54">
        <v>19.45529556274414</v>
      </c>
      <c r="S27" s="71">
        <v>95.50057983398438</v>
      </c>
      <c r="T27" s="71">
        <v>0</v>
      </c>
      <c r="U27" s="71">
        <v>0</v>
      </c>
      <c r="V27" s="71">
        <v>22.021486282348633</v>
      </c>
      <c r="W27" s="71">
        <v>43.18576431274414</v>
      </c>
      <c r="X27" s="71">
        <v>28</v>
      </c>
      <c r="Y27" s="71">
        <v>72.30306243896484</v>
      </c>
      <c r="Z27" s="71">
        <v>14.462166786193848</v>
      </c>
      <c r="AA27" s="71">
        <v>18.679471969604492</v>
      </c>
      <c r="AB27" s="71"/>
      <c r="AC27" s="58"/>
      <c r="AD27" s="58">
        <v>1.5482856035232544</v>
      </c>
      <c r="AE27" s="58">
        <v>0.0011098632821813226</v>
      </c>
      <c r="AF27" s="58">
        <v>21.205873489379883</v>
      </c>
      <c r="AG27" s="58">
        <v>16.40625</v>
      </c>
      <c r="AH27" s="58"/>
      <c r="AI27" s="72"/>
      <c r="AJ27" s="72"/>
      <c r="AK27" s="72"/>
      <c r="AL27" s="72"/>
      <c r="AM27" s="72"/>
      <c r="AN27" s="58">
        <v>41.50028991699219</v>
      </c>
      <c r="AO27" s="59">
        <v>50</v>
      </c>
      <c r="AP27" s="60">
        <v>24.839048385620117</v>
      </c>
      <c r="AQ27" s="61">
        <v>40.089698791503906</v>
      </c>
      <c r="AR27" s="62">
        <v>0.09766387939453125</v>
      </c>
    </row>
    <row r="28" spans="2:44" ht="13.5" customHeight="1" x14ac:dyDescent="0.25">
      <c r="B28" s="41" t="s">
        <v>273</v>
      </c>
      <c r="C28" s="54">
        <v>-81.11978912353516</v>
      </c>
      <c r="D28" s="54">
        <v>-80.98234558105469</v>
      </c>
      <c r="E28" s="54">
        <v>103.12861633300781</v>
      </c>
      <c r="F28" s="54">
        <v>0.08065682649612427</v>
      </c>
      <c r="G28" s="54">
        <v>7.620620453963056E-05</v>
      </c>
      <c r="H28" s="54"/>
      <c r="I28" s="54"/>
      <c r="J28" s="54"/>
      <c r="K28" s="54"/>
      <c r="L28" s="55"/>
      <c r="M28" s="70">
        <v>25.018083572387695</v>
      </c>
      <c r="N28" s="54">
        <v>45.460792541503906</v>
      </c>
      <c r="O28" s="54">
        <v>39.5</v>
      </c>
      <c r="P28" s="54">
        <v>22</v>
      </c>
      <c r="Q28" s="54">
        <v>3.504340410232544</v>
      </c>
      <c r="R28" s="54">
        <v>19.44444465637207</v>
      </c>
      <c r="S28" s="71">
        <v>95.29802703857422</v>
      </c>
      <c r="T28" s="71">
        <v>0</v>
      </c>
      <c r="U28" s="71">
        <v>0</v>
      </c>
      <c r="V28" s="71">
        <v>22.40668487548828</v>
      </c>
      <c r="W28" s="71">
        <v>42.827693939208984</v>
      </c>
      <c r="X28" s="71">
        <v>28</v>
      </c>
      <c r="Y28" s="71">
        <v>72.51609802246094</v>
      </c>
      <c r="Z28" s="71">
        <v>14.496527671813965</v>
      </c>
      <c r="AA28" s="71">
        <v>18.80425453186035</v>
      </c>
      <c r="AB28" s="71"/>
      <c r="AC28" s="58"/>
      <c r="AD28" s="58">
        <v>1.5484483242034912</v>
      </c>
      <c r="AE28" s="58">
        <v>0.0014973144279792905</v>
      </c>
      <c r="AF28" s="58">
        <v>21.25650978088379</v>
      </c>
      <c r="AG28" s="58">
        <v>15.523726463317871</v>
      </c>
      <c r="AH28" s="58"/>
      <c r="AI28" s="72"/>
      <c r="AJ28" s="72"/>
      <c r="AK28" s="72"/>
      <c r="AL28" s="72"/>
      <c r="AM28" s="72"/>
      <c r="AN28" s="58">
        <v>40.89988327026367</v>
      </c>
      <c r="AO28" s="59">
        <v>50</v>
      </c>
      <c r="AP28" s="60">
        <v>24.893301010131836</v>
      </c>
      <c r="AQ28" s="61">
        <v>39.89800262451172</v>
      </c>
      <c r="AR28" s="62">
        <v>0.10851287841796875</v>
      </c>
    </row>
    <row r="29" spans="2:44" ht="13.5" customHeight="1" x14ac:dyDescent="0.25">
      <c r="B29" s="14">
        <v>0.125</v>
      </c>
      <c r="C29" s="54">
        <v>-81.27169799804688</v>
      </c>
      <c r="D29" s="54">
        <v>-81.01851654052734</v>
      </c>
      <c r="E29" s="54">
        <v>103.12861633300781</v>
      </c>
      <c r="F29" s="54">
        <v>0.08362268656492233</v>
      </c>
      <c r="G29" s="54">
        <v>7.702636503381655E-05</v>
      </c>
      <c r="H29" s="54"/>
      <c r="I29" s="54"/>
      <c r="J29" s="54"/>
      <c r="K29" s="54"/>
      <c r="L29" s="55"/>
      <c r="M29" s="70">
        <v>25.354455947875977</v>
      </c>
      <c r="N29" s="54">
        <v>45.25824737548828</v>
      </c>
      <c r="O29" s="54">
        <v>39.5</v>
      </c>
      <c r="P29" s="54">
        <v>22</v>
      </c>
      <c r="Q29" s="54">
        <v>3.480902910232544</v>
      </c>
      <c r="R29" s="54">
        <v>19.448060989379883</v>
      </c>
      <c r="S29" s="71">
        <v>95.42823791503906</v>
      </c>
      <c r="T29" s="71">
        <v>0</v>
      </c>
      <c r="U29" s="71">
        <v>0</v>
      </c>
      <c r="V29" s="71">
        <v>22.76475715637207</v>
      </c>
      <c r="W29" s="71">
        <v>42.339412689208984</v>
      </c>
      <c r="X29" s="71">
        <v>28</v>
      </c>
      <c r="Y29" s="71">
        <v>72.34790802001953</v>
      </c>
      <c r="Z29" s="71">
        <v>14.272279739379883</v>
      </c>
      <c r="AA29" s="71">
        <v>18.80425453186035</v>
      </c>
      <c r="AB29" s="71"/>
      <c r="AC29" s="58"/>
      <c r="AD29" s="58">
        <v>1.5482856035232544</v>
      </c>
      <c r="AE29" s="58">
        <v>0.0015057983109727502</v>
      </c>
      <c r="AF29" s="58">
        <v>21.317996978759766</v>
      </c>
      <c r="AG29" s="58">
        <v>15.755208015441895</v>
      </c>
      <c r="AH29" s="58"/>
      <c r="AI29" s="72"/>
      <c r="AJ29" s="72"/>
      <c r="AK29" s="72"/>
      <c r="AL29" s="72"/>
      <c r="AM29" s="72"/>
      <c r="AN29" s="58">
        <v>40.299476623535156</v>
      </c>
      <c r="AO29" s="59">
        <v>50</v>
      </c>
      <c r="AP29" s="60">
        <v>24.585865020751953</v>
      </c>
      <c r="AQ29" s="61">
        <v>44.223812103271484</v>
      </c>
      <c r="AR29" s="62">
        <v>0.10851287841796875</v>
      </c>
    </row>
    <row r="30" spans="2:44" ht="13.5" customHeight="1" x14ac:dyDescent="0.25">
      <c r="B30" s="14">
        <v>0.16666666666666666</v>
      </c>
      <c r="C30" s="54">
        <v>-81.26446533203125</v>
      </c>
      <c r="D30" s="54">
        <v>-80.98958587646484</v>
      </c>
      <c r="E30" s="54">
        <v>103.12861633300781</v>
      </c>
      <c r="F30" s="54">
        <v>0.0549045130610466</v>
      </c>
      <c r="G30" s="54">
        <v>7.427597302012146E-05</v>
      </c>
      <c r="H30" s="54"/>
      <c r="I30" s="54"/>
      <c r="J30" s="54"/>
      <c r="K30" s="54"/>
      <c r="L30" s="55"/>
      <c r="M30" s="70">
        <v>25.390625</v>
      </c>
      <c r="N30" s="54">
        <v>45.60185241699219</v>
      </c>
      <c r="O30" s="54">
        <v>39.5</v>
      </c>
      <c r="P30" s="54">
        <v>22</v>
      </c>
      <c r="Q30" s="54">
        <v>3.4361979961395264</v>
      </c>
      <c r="R30" s="54">
        <v>19.621671676635742</v>
      </c>
      <c r="S30" s="71">
        <v>93.03385162353516</v>
      </c>
      <c r="T30" s="71">
        <v>0</v>
      </c>
      <c r="U30" s="71">
        <v>0</v>
      </c>
      <c r="V30" s="71">
        <v>23.111980438232422</v>
      </c>
      <c r="W30" s="71">
        <v>41.899959564208984</v>
      </c>
      <c r="X30" s="71">
        <v>28</v>
      </c>
      <c r="Y30" s="71">
        <v>72.76277160644531</v>
      </c>
      <c r="Z30" s="71">
        <v>14.176431655883789</v>
      </c>
      <c r="AA30" s="71">
        <v>18.66319465637207</v>
      </c>
      <c r="AB30" s="71"/>
      <c r="AC30" s="58"/>
      <c r="AD30" s="58">
        <v>0</v>
      </c>
      <c r="AE30" s="58">
        <v>0.001162231434136629</v>
      </c>
      <c r="AF30" s="58">
        <v>21.37586784362793</v>
      </c>
      <c r="AG30" s="58">
        <v>14.749710083007812</v>
      </c>
      <c r="AH30" s="58"/>
      <c r="AI30" s="72"/>
      <c r="AJ30" s="72"/>
      <c r="AK30" s="72"/>
      <c r="AL30" s="72"/>
      <c r="AM30" s="72"/>
      <c r="AN30" s="58">
        <v>39.836517333984375</v>
      </c>
      <c r="AO30" s="59">
        <v>50</v>
      </c>
      <c r="AP30" s="60">
        <v>24.84809112548828</v>
      </c>
      <c r="AQ30" s="61">
        <v>40.107784271240234</v>
      </c>
      <c r="AR30" s="62">
        <v>0.10851287841796875</v>
      </c>
    </row>
    <row r="31" spans="2:44" ht="13.5" customHeight="1" x14ac:dyDescent="0.25">
      <c r="B31" s="14">
        <v>0.20833333333333334</v>
      </c>
      <c r="C31" s="54">
        <v>-81.18489837646484</v>
      </c>
      <c r="D31" s="54">
        <v>-81.06915283203125</v>
      </c>
      <c r="E31" s="54">
        <v>103.12861633300781</v>
      </c>
      <c r="F31" s="54">
        <v>0.0807291641831398</v>
      </c>
      <c r="G31" s="54">
        <v>7.751845987513661E-05</v>
      </c>
      <c r="H31" s="54"/>
      <c r="I31" s="54"/>
      <c r="J31" s="54"/>
      <c r="K31" s="54"/>
      <c r="L31" s="55"/>
      <c r="M31" s="70">
        <v>25.321903228759766</v>
      </c>
      <c r="N31" s="54">
        <v>44.50954818725586</v>
      </c>
      <c r="O31" s="54">
        <v>39.5</v>
      </c>
      <c r="P31" s="54">
        <v>22</v>
      </c>
      <c r="Q31" s="54">
        <v>3.496961832046509</v>
      </c>
      <c r="R31" s="54">
        <v>19.632522583007812</v>
      </c>
      <c r="S31" s="71">
        <v>95.22207641601562</v>
      </c>
      <c r="T31" s="71">
        <v>0</v>
      </c>
      <c r="U31" s="71">
        <v>0</v>
      </c>
      <c r="V31" s="71">
        <v>24.67990493774414</v>
      </c>
      <c r="W31" s="71">
        <v>44.927303314208984</v>
      </c>
      <c r="X31" s="71">
        <v>28</v>
      </c>
      <c r="Y31" s="71">
        <v>72.16851043701172</v>
      </c>
      <c r="Z31" s="71">
        <v>14.36631965637207</v>
      </c>
      <c r="AA31" s="71">
        <v>18.97786521911621</v>
      </c>
      <c r="AB31" s="71"/>
      <c r="AC31" s="58"/>
      <c r="AD31" s="58">
        <v>0.4896375834941864</v>
      </c>
      <c r="AE31" s="58">
        <v>0.0010159912053495646</v>
      </c>
      <c r="AF31" s="58">
        <v>21.383102416992188</v>
      </c>
      <c r="AG31" s="58">
        <v>15.776909828186035</v>
      </c>
      <c r="AH31" s="58"/>
      <c r="AI31" s="72"/>
      <c r="AJ31" s="72"/>
      <c r="AK31" s="72"/>
      <c r="AL31" s="72"/>
      <c r="AM31" s="72"/>
      <c r="AN31" s="58">
        <v>41.239871978759766</v>
      </c>
      <c r="AO31" s="59">
        <v>50</v>
      </c>
      <c r="AP31" s="60">
        <v>24.57682228088379</v>
      </c>
      <c r="AQ31" s="61">
        <v>39.81843185424805</v>
      </c>
      <c r="AR31" s="62">
        <v>0.11936187744140625</v>
      </c>
    </row>
    <row r="32" spans="2:44" ht="13.5" customHeight="1" x14ac:dyDescent="0.25">
      <c r="B32" s="14">
        <v>0.25</v>
      </c>
      <c r="C32" s="54">
        <v>-81.19213104248047</v>
      </c>
      <c r="D32" s="54">
        <v>-81.04022216796875</v>
      </c>
      <c r="E32" s="54">
        <v>103.12861633300781</v>
      </c>
      <c r="F32" s="54">
        <v>0.0822482630610466</v>
      </c>
      <c r="G32" s="54">
        <v>7.66944867791608E-05</v>
      </c>
      <c r="H32" s="54"/>
      <c r="I32" s="54"/>
      <c r="J32" s="54"/>
      <c r="K32" s="54"/>
      <c r="L32" s="55"/>
      <c r="M32" s="70">
        <v>25.831886291503906</v>
      </c>
      <c r="N32" s="54">
        <v>46.176937103271484</v>
      </c>
      <c r="O32" s="54">
        <v>39.5</v>
      </c>
      <c r="P32" s="54">
        <v>22</v>
      </c>
      <c r="Q32" s="54">
        <v>3.323350667953491</v>
      </c>
      <c r="R32" s="54">
        <v>19.610820770263672</v>
      </c>
      <c r="S32" s="71">
        <v>94.82421875</v>
      </c>
      <c r="T32" s="71">
        <v>0</v>
      </c>
      <c r="U32" s="71">
        <v>0</v>
      </c>
      <c r="V32" s="71">
        <v>29.150392532348633</v>
      </c>
      <c r="W32" s="71">
        <v>51.55707550048828</v>
      </c>
      <c r="X32" s="71">
        <v>28</v>
      </c>
      <c r="Y32" s="71">
        <v>72.54973602294922</v>
      </c>
      <c r="Z32" s="71">
        <v>14.308448791503906</v>
      </c>
      <c r="AA32" s="71">
        <v>19.216581344604492</v>
      </c>
      <c r="AB32" s="71"/>
      <c r="AC32" s="58"/>
      <c r="AD32" s="58">
        <v>1.5483940839767456</v>
      </c>
      <c r="AE32" s="58">
        <v>0.0010861816117540002</v>
      </c>
      <c r="AF32" s="58">
        <v>21.38671875</v>
      </c>
      <c r="AG32" s="58">
        <v>20.94183921813965</v>
      </c>
      <c r="AH32" s="58"/>
      <c r="AI32" s="72"/>
      <c r="AJ32" s="72"/>
      <c r="AK32" s="72"/>
      <c r="AL32" s="72"/>
      <c r="AM32" s="72"/>
      <c r="AN32" s="58">
        <v>46.882232666015625</v>
      </c>
      <c r="AO32" s="59">
        <v>50</v>
      </c>
      <c r="AP32" s="60">
        <v>24.296512603759766</v>
      </c>
      <c r="AQ32" s="61">
        <v>39.992042541503906</v>
      </c>
      <c r="AR32" s="62">
        <v>0.11936187744140625</v>
      </c>
    </row>
    <row r="33" spans="2:44" ht="13.5" customHeight="1" x14ac:dyDescent="0.25">
      <c r="B33" s="14">
        <v>0.29166666666666669</v>
      </c>
      <c r="C33" s="54">
        <v>-81.08362579345703</v>
      </c>
      <c r="D33" s="54">
        <v>-80.99681854248047</v>
      </c>
      <c r="E33" s="54">
        <v>103.13223266601562</v>
      </c>
      <c r="F33" s="54">
        <v>0.08058448880910873</v>
      </c>
      <c r="G33" s="54">
        <v>7.309723150683567E-05</v>
      </c>
      <c r="H33" s="54"/>
      <c r="I33" s="54"/>
      <c r="J33" s="54"/>
      <c r="K33" s="54"/>
      <c r="L33" s="55"/>
      <c r="M33" s="70">
        <v>25.698060989379883</v>
      </c>
      <c r="N33" s="54">
        <v>45.25101089477539</v>
      </c>
      <c r="O33" s="54">
        <v>39.5</v>
      </c>
      <c r="P33" s="54">
        <v>22</v>
      </c>
      <c r="Q33" s="54">
        <v>3.3515625</v>
      </c>
      <c r="R33" s="54">
        <v>19.751880645751953</v>
      </c>
      <c r="S33" s="71">
        <v>94.31061553955078</v>
      </c>
      <c r="T33" s="71">
        <v>0</v>
      </c>
      <c r="U33" s="71">
        <v>0</v>
      </c>
      <c r="V33" s="71">
        <v>29.08528709411621</v>
      </c>
      <c r="W33" s="71">
        <v>50.656471252441406</v>
      </c>
      <c r="X33" s="71">
        <v>28</v>
      </c>
      <c r="Y33" s="71">
        <v>73.23368835449219</v>
      </c>
      <c r="Z33" s="71">
        <v>14.51280403137207</v>
      </c>
      <c r="AA33" s="71">
        <v>19.422744750976562</v>
      </c>
      <c r="AB33" s="71"/>
      <c r="AC33" s="58"/>
      <c r="AD33" s="58">
        <v>0</v>
      </c>
      <c r="AE33" s="58">
        <v>0.0011614990653470159</v>
      </c>
      <c r="AF33" s="58">
        <v>21.39756965637207</v>
      </c>
      <c r="AG33" s="58">
        <v>43.68489456176758</v>
      </c>
      <c r="AH33" s="58"/>
      <c r="AI33" s="72"/>
      <c r="AJ33" s="72"/>
      <c r="AK33" s="72"/>
      <c r="AL33" s="72"/>
      <c r="AM33" s="72"/>
      <c r="AN33" s="58">
        <v>46.55671310424805</v>
      </c>
      <c r="AO33" s="59">
        <v>50</v>
      </c>
      <c r="AP33" s="60">
        <v>24.233217239379883</v>
      </c>
      <c r="AQ33" s="61">
        <v>39.890769958496094</v>
      </c>
      <c r="AR33" s="62">
        <v>0.11936187744140625</v>
      </c>
    </row>
    <row r="34" spans="2:44" ht="13.5" customHeight="1" x14ac:dyDescent="0.25">
      <c r="B34" s="42">
        <v>0.33333333333333331</v>
      </c>
      <c r="C34" s="63">
        <v>-80.79427337646484</v>
      </c>
      <c r="D34" s="63">
        <v>-80.82320404052734</v>
      </c>
      <c r="E34" s="63">
        <v>103.13223266601562</v>
      </c>
      <c r="F34" s="63">
        <v>0.053023725748062134</v>
      </c>
      <c r="G34" s="63">
        <v>7.719802670180798E-05</v>
      </c>
      <c r="H34" s="63"/>
      <c r="I34" s="63"/>
      <c r="J34" s="63"/>
      <c r="K34" s="63"/>
      <c r="L34" s="64"/>
      <c r="M34" s="73">
        <v>26.038049697875977</v>
      </c>
      <c r="N34" s="63">
        <v>45.048465728759766</v>
      </c>
      <c r="O34" s="63">
        <v>39.5</v>
      </c>
      <c r="P34" s="63">
        <v>22</v>
      </c>
      <c r="Q34" s="63">
        <v>3.4231770038604736</v>
      </c>
      <c r="R34" s="63">
        <v>19.744646072387695</v>
      </c>
      <c r="S34" s="74">
        <v>94.82421875</v>
      </c>
      <c r="T34" s="74">
        <v>0</v>
      </c>
      <c r="U34" s="74">
        <v>20.445783615112305</v>
      </c>
      <c r="V34" s="74">
        <v>29.226346969604492</v>
      </c>
      <c r="W34" s="74">
        <v>99.9728775024414</v>
      </c>
      <c r="X34" s="74">
        <v>28</v>
      </c>
      <c r="Y34" s="74">
        <v>72.76277160644531</v>
      </c>
      <c r="Z34" s="74">
        <v>14.339192390441895</v>
      </c>
      <c r="AA34" s="74">
        <v>19.48784828186035</v>
      </c>
      <c r="AB34" s="74"/>
      <c r="AC34" s="67"/>
      <c r="AD34" s="67">
        <v>1.5482856035232544</v>
      </c>
      <c r="AE34" s="67">
        <v>0.0006950073293410242</v>
      </c>
      <c r="AF34" s="67">
        <v>21.39756965637207</v>
      </c>
      <c r="AG34" s="67">
        <v>5.881076335906982</v>
      </c>
      <c r="AH34" s="67"/>
      <c r="AI34" s="75"/>
      <c r="AJ34" s="75"/>
      <c r="AK34" s="75"/>
      <c r="AL34" s="75"/>
      <c r="AM34" s="75"/>
      <c r="AN34" s="67">
        <v>45.652488708496094</v>
      </c>
      <c r="AO34" s="68">
        <v>50</v>
      </c>
      <c r="AP34" s="76">
        <v>24.070457458496094</v>
      </c>
      <c r="AQ34" s="77">
        <v>39.74247741699219</v>
      </c>
      <c r="AR34" s="78">
        <v>0.10851287841796875</v>
      </c>
    </row>
    <row r="35" spans="2:44" ht="15" customHeight="1" x14ac:dyDescent="0.25">
      <c r="B35" s="137" t="s">
        <v>181</v>
      </c>
      <c r="C35" s="138" t="s">
        <v>38</v>
      </c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8" t="s">
        <v>216</v>
      </c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70"/>
      <c r="AK35" s="144" t="s">
        <v>48</v>
      </c>
      <c r="AL35" s="142"/>
      <c r="AM35" s="171" t="s">
        <v>223</v>
      </c>
      <c r="AN35" s="172"/>
      <c r="AO35" s="43"/>
      <c r="AP35" s="43"/>
      <c r="AQ35" s="43"/>
      <c r="AR35" s="44"/>
    </row>
    <row r="36" spans="2:44" ht="20.15" customHeight="1" x14ac:dyDescent="0.25">
      <c r="B36" s="124"/>
      <c r="C36" s="118" t="s">
        <v>32</v>
      </c>
      <c r="D36" s="150"/>
      <c r="E36" s="118" t="s">
        <v>33</v>
      </c>
      <c r="F36" s="179"/>
      <c r="G36" s="150"/>
      <c r="H36" s="173" t="s">
        <v>276</v>
      </c>
      <c r="I36" s="174"/>
      <c r="J36" s="4" t="s">
        <v>27</v>
      </c>
      <c r="K36" s="4" t="s">
        <v>30</v>
      </c>
      <c r="L36" s="4" t="s">
        <v>191</v>
      </c>
      <c r="M36" s="175" t="s">
        <v>192</v>
      </c>
      <c r="N36" s="176"/>
      <c r="O36" s="4" t="s">
        <v>26</v>
      </c>
      <c r="P36" s="4" t="s">
        <v>197</v>
      </c>
      <c r="Q36" s="118" t="s">
        <v>199</v>
      </c>
      <c r="R36" s="180"/>
      <c r="S36" s="118" t="s">
        <v>202</v>
      </c>
      <c r="T36" s="180"/>
      <c r="U36" s="118" t="s">
        <v>201</v>
      </c>
      <c r="V36" s="177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32" t="s">
        <v>46</v>
      </c>
      <c r="AI36" s="178"/>
      <c r="AJ36" s="119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24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24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50">
        <v>0</v>
      </c>
      <c r="D39" s="50"/>
      <c r="E39" s="50">
        <v>37.93402862548828</v>
      </c>
      <c r="F39" s="50"/>
      <c r="G39" s="50"/>
      <c r="H39" s="50">
        <v>0</v>
      </c>
      <c r="I39" s="50"/>
      <c r="J39" s="50">
        <v>25.300203323364258</v>
      </c>
      <c r="K39" s="50">
        <v>40</v>
      </c>
      <c r="L39" s="50">
        <v>49.82277297973633</v>
      </c>
      <c r="M39" s="50">
        <v>0</v>
      </c>
      <c r="N39" s="50"/>
      <c r="O39" s="50">
        <v>27.624059677124023</v>
      </c>
      <c r="P39" s="50">
        <v>0.05000000074505806</v>
      </c>
      <c r="Q39" s="50">
        <v>0.20710359513759613</v>
      </c>
      <c r="R39" s="50"/>
      <c r="S39" s="50">
        <v>0</v>
      </c>
      <c r="T39" s="50"/>
      <c r="U39" s="51">
        <v>0</v>
      </c>
      <c r="V39" s="52"/>
      <c r="W39" s="53">
        <v>95.10633850097656</v>
      </c>
      <c r="X39" s="51">
        <v>19.773582458496094</v>
      </c>
      <c r="Y39" s="51">
        <v>50</v>
      </c>
      <c r="Z39" s="51">
        <v>0</v>
      </c>
      <c r="AA39" s="51">
        <v>20.41558265686035</v>
      </c>
      <c r="AB39" s="51">
        <v>46.1046028137207</v>
      </c>
      <c r="AC39" s="51">
        <v>50</v>
      </c>
      <c r="AD39" s="51">
        <v>123.79341125488281</v>
      </c>
      <c r="AE39" s="45">
        <v>14.086009979248047</v>
      </c>
      <c r="AF39" s="45">
        <v>17.030166625976562</v>
      </c>
      <c r="AG39" s="45"/>
      <c r="AH39" s="45">
        <v>0</v>
      </c>
      <c r="AI39" s="45">
        <v>0</v>
      </c>
      <c r="AJ39" s="45"/>
      <c r="AK39" s="45">
        <v>92.36834716796875</v>
      </c>
      <c r="AL39" s="47">
        <v>46.93865966796875</v>
      </c>
      <c r="AM39" s="49"/>
      <c r="AN39" s="46"/>
      <c r="AO39" s="45"/>
      <c r="AP39" s="45"/>
      <c r="AQ39" s="45"/>
      <c r="AR39" s="48"/>
    </row>
    <row r="40" spans="2:44" ht="13.5" customHeight="1" x14ac:dyDescent="0.25">
      <c r="B40" s="14">
        <v>0.875</v>
      </c>
      <c r="C40" s="54">
        <v>0</v>
      </c>
      <c r="D40" s="54">
        <v>2.1791458948428044E-06</v>
      </c>
      <c r="E40" s="54">
        <v>49.49363327026367</v>
      </c>
      <c r="F40" s="54"/>
      <c r="G40" s="54"/>
      <c r="H40" s="54">
        <v>0</v>
      </c>
      <c r="I40" s="54">
        <v>0</v>
      </c>
      <c r="J40" s="54">
        <v>25.408708572387695</v>
      </c>
      <c r="K40" s="54">
        <v>40</v>
      </c>
      <c r="L40" s="54">
        <v>48.972801208496094</v>
      </c>
      <c r="M40" s="54">
        <v>0</v>
      </c>
      <c r="N40" s="54">
        <v>0</v>
      </c>
      <c r="O40" s="54">
        <v>27.551721572875977</v>
      </c>
      <c r="P40" s="54">
        <v>0.05000000074505806</v>
      </c>
      <c r="Q40" s="54">
        <v>0.19046585261821747</v>
      </c>
      <c r="R40" s="54">
        <v>0.00019842528854496777</v>
      </c>
      <c r="S40" s="54">
        <v>0</v>
      </c>
      <c r="T40" s="54">
        <v>0</v>
      </c>
      <c r="U40" s="71">
        <v>0</v>
      </c>
      <c r="V40" s="79">
        <v>0</v>
      </c>
      <c r="W40" s="80">
        <v>92.61067199707031</v>
      </c>
      <c r="X40" s="71">
        <v>20.829715728759766</v>
      </c>
      <c r="Y40" s="71">
        <v>50</v>
      </c>
      <c r="Z40" s="71">
        <v>123.8758773803711</v>
      </c>
      <c r="AA40" s="71">
        <v>20.62717056274414</v>
      </c>
      <c r="AB40" s="71">
        <v>45.410160064697266</v>
      </c>
      <c r="AC40" s="71">
        <v>50</v>
      </c>
      <c r="AD40" s="71">
        <v>123.7977523803711</v>
      </c>
      <c r="AE40" s="58">
        <v>14.460358619689941</v>
      </c>
      <c r="AF40" s="58">
        <v>17.69748306274414</v>
      </c>
      <c r="AG40" s="58"/>
      <c r="AH40" s="58">
        <v>0</v>
      </c>
      <c r="AI40" s="58">
        <v>0</v>
      </c>
      <c r="AJ40" s="58">
        <v>0</v>
      </c>
      <c r="AK40" s="58">
        <v>92.35749053955078</v>
      </c>
      <c r="AL40" s="59">
        <v>46.637733459472656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41" t="s">
        <v>271</v>
      </c>
      <c r="C41" s="54">
        <v>0</v>
      </c>
      <c r="D41" s="54">
        <v>0</v>
      </c>
      <c r="E41" s="54">
        <v>58.60821533203125</v>
      </c>
      <c r="F41" s="54"/>
      <c r="G41" s="54"/>
      <c r="H41" s="54">
        <v>0</v>
      </c>
      <c r="I41" s="54">
        <v>0</v>
      </c>
      <c r="J41" s="54">
        <v>25.462963104248047</v>
      </c>
      <c r="K41" s="54">
        <v>40</v>
      </c>
      <c r="L41" s="54">
        <v>49.02705383300781</v>
      </c>
      <c r="M41" s="54">
        <v>0</v>
      </c>
      <c r="N41" s="54">
        <v>0</v>
      </c>
      <c r="O41" s="54">
        <v>27.551721572875977</v>
      </c>
      <c r="P41" s="54">
        <v>0.05000000074505806</v>
      </c>
      <c r="Q41" s="54">
        <v>0.18648727238178253</v>
      </c>
      <c r="R41" s="54">
        <v>0.00018217468459624797</v>
      </c>
      <c r="S41" s="54">
        <v>0</v>
      </c>
      <c r="T41" s="54">
        <v>0</v>
      </c>
      <c r="U41" s="71">
        <v>0</v>
      </c>
      <c r="V41" s="79">
        <v>0</v>
      </c>
      <c r="W41" s="80">
        <v>92.59620666503906</v>
      </c>
      <c r="X41" s="71">
        <v>18.344907760620117</v>
      </c>
      <c r="Y41" s="71">
        <v>50</v>
      </c>
      <c r="Z41" s="71">
        <v>123.87153625488281</v>
      </c>
      <c r="AA41" s="71">
        <v>20.974393844604492</v>
      </c>
      <c r="AB41" s="71">
        <v>44.86762237548828</v>
      </c>
      <c r="AC41" s="71">
        <v>50</v>
      </c>
      <c r="AD41" s="71">
        <v>123.79341125488281</v>
      </c>
      <c r="AE41" s="58">
        <v>14.838324546813965</v>
      </c>
      <c r="AF41" s="58">
        <v>18.1640625</v>
      </c>
      <c r="AG41" s="58"/>
      <c r="AH41" s="58">
        <v>0</v>
      </c>
      <c r="AI41" s="58">
        <v>0</v>
      </c>
      <c r="AJ41" s="58">
        <v>0</v>
      </c>
      <c r="AK41" s="58">
        <v>92.34302520751953</v>
      </c>
      <c r="AL41" s="59">
        <v>46.3078727722168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0.95833333333333337</v>
      </c>
      <c r="C42" s="54">
        <v>0</v>
      </c>
      <c r="D42" s="54">
        <v>1.7220974768861197E-05</v>
      </c>
      <c r="E42" s="54">
        <v>44.596351623535156</v>
      </c>
      <c r="F42" s="54"/>
      <c r="G42" s="54"/>
      <c r="H42" s="54">
        <v>0</v>
      </c>
      <c r="I42" s="54">
        <v>0</v>
      </c>
      <c r="J42" s="54">
        <v>25.462963104248047</v>
      </c>
      <c r="K42" s="54">
        <v>40</v>
      </c>
      <c r="L42" s="54">
        <v>49.69618225097656</v>
      </c>
      <c r="M42" s="54">
        <v>0</v>
      </c>
      <c r="N42" s="54">
        <v>0</v>
      </c>
      <c r="O42" s="54">
        <v>27.39800262451172</v>
      </c>
      <c r="P42" s="54">
        <v>0.05000000074505806</v>
      </c>
      <c r="Q42" s="54">
        <v>0.12731482088565826</v>
      </c>
      <c r="R42" s="54">
        <v>0.0001675186213105917</v>
      </c>
      <c r="S42" s="54">
        <v>0</v>
      </c>
      <c r="T42" s="54">
        <v>0</v>
      </c>
      <c r="U42" s="71">
        <v>0</v>
      </c>
      <c r="V42" s="79">
        <v>0</v>
      </c>
      <c r="W42" s="80">
        <v>94.37210845947266</v>
      </c>
      <c r="X42" s="71">
        <v>16.746238708496094</v>
      </c>
      <c r="Y42" s="71">
        <v>40</v>
      </c>
      <c r="Z42" s="71">
        <v>105.73785400390625</v>
      </c>
      <c r="AA42" s="71">
        <v>21.462675094604492</v>
      </c>
      <c r="AB42" s="71">
        <v>44.270835876464844</v>
      </c>
      <c r="AC42" s="71">
        <v>40</v>
      </c>
      <c r="AD42" s="71">
        <v>104.55729675292969</v>
      </c>
      <c r="AE42" s="58">
        <v>14.55078125</v>
      </c>
      <c r="AF42" s="58">
        <v>18.142362594604492</v>
      </c>
      <c r="AG42" s="58"/>
      <c r="AH42" s="58">
        <v>0</v>
      </c>
      <c r="AI42" s="58">
        <v>0</v>
      </c>
      <c r="AJ42" s="58">
        <v>0</v>
      </c>
      <c r="AK42" s="58">
        <v>61.69704818725586</v>
      </c>
      <c r="AL42" s="59">
        <v>42.141204833984375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41" t="s">
        <v>272</v>
      </c>
      <c r="C43" s="54">
        <v>0</v>
      </c>
      <c r="D43" s="54">
        <v>1.9025802089345234E-07</v>
      </c>
      <c r="E43" s="54">
        <v>43.742767333984375</v>
      </c>
      <c r="F43" s="54"/>
      <c r="G43" s="54"/>
      <c r="H43" s="54">
        <v>0</v>
      </c>
      <c r="I43" s="54">
        <v>0</v>
      </c>
      <c r="J43" s="54">
        <v>25.36349868774414</v>
      </c>
      <c r="K43" s="54">
        <v>40</v>
      </c>
      <c r="L43" s="54">
        <v>48.701534271240234</v>
      </c>
      <c r="M43" s="54">
        <v>0</v>
      </c>
      <c r="N43" s="54">
        <v>0</v>
      </c>
      <c r="O43" s="54">
        <v>27.28949737548828</v>
      </c>
      <c r="P43" s="54">
        <v>0.05000000074505806</v>
      </c>
      <c r="Q43" s="54">
        <v>0.25419560074806213</v>
      </c>
      <c r="R43" s="54">
        <v>0.000203506468096748</v>
      </c>
      <c r="S43" s="54">
        <v>0</v>
      </c>
      <c r="T43" s="54">
        <v>0</v>
      </c>
      <c r="U43" s="71">
        <v>0</v>
      </c>
      <c r="V43" s="79">
        <v>0</v>
      </c>
      <c r="W43" s="80">
        <v>95.34867095947266</v>
      </c>
      <c r="X43" s="71">
        <v>17.787904739379883</v>
      </c>
      <c r="Y43" s="71">
        <v>50</v>
      </c>
      <c r="Z43" s="71">
        <v>123.86719512939453</v>
      </c>
      <c r="AA43" s="71">
        <v>21.79904556274414</v>
      </c>
      <c r="AB43" s="71">
        <v>43.69574737548828</v>
      </c>
      <c r="AC43" s="71">
        <v>50</v>
      </c>
      <c r="AD43" s="71">
        <v>123.7977523803711</v>
      </c>
      <c r="AE43" s="58">
        <v>14.465784072875977</v>
      </c>
      <c r="AF43" s="58">
        <v>18.397354125976562</v>
      </c>
      <c r="AG43" s="58"/>
      <c r="AH43" s="58">
        <v>0</v>
      </c>
      <c r="AI43" s="58">
        <v>0</v>
      </c>
      <c r="AJ43" s="58">
        <v>0</v>
      </c>
      <c r="AK43" s="58">
        <v>61.69343185424805</v>
      </c>
      <c r="AL43" s="59">
        <v>41.84027862548828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4.1666666666666664E-2</v>
      </c>
      <c r="C44" s="54">
        <v>0</v>
      </c>
      <c r="D44" s="54">
        <v>3.7188528949627653E-06</v>
      </c>
      <c r="E44" s="54">
        <v>47.214988708496094</v>
      </c>
      <c r="F44" s="54"/>
      <c r="G44" s="54"/>
      <c r="H44" s="54">
        <v>0</v>
      </c>
      <c r="I44" s="54">
        <v>0</v>
      </c>
      <c r="J44" s="54">
        <v>25.300203323364258</v>
      </c>
      <c r="K44" s="54">
        <v>40</v>
      </c>
      <c r="L44" s="54">
        <v>47.83347702026367</v>
      </c>
      <c r="M44" s="54">
        <v>0</v>
      </c>
      <c r="N44" s="54">
        <v>0</v>
      </c>
      <c r="O44" s="54">
        <v>27.190031051635742</v>
      </c>
      <c r="P44" s="54">
        <v>0.05000000074505806</v>
      </c>
      <c r="Q44" s="54">
        <v>0.25795719027519226</v>
      </c>
      <c r="R44" s="54">
        <v>0.000260559085290879</v>
      </c>
      <c r="S44" s="54">
        <v>0</v>
      </c>
      <c r="T44" s="54">
        <v>0</v>
      </c>
      <c r="U44" s="71">
        <v>0</v>
      </c>
      <c r="V44" s="79">
        <v>0</v>
      </c>
      <c r="W44" s="80">
        <v>94.69039154052734</v>
      </c>
      <c r="X44" s="71">
        <v>18.71744728088379</v>
      </c>
      <c r="Y44" s="71">
        <v>50</v>
      </c>
      <c r="Z44" s="71">
        <v>123.86719512939453</v>
      </c>
      <c r="AA44" s="71">
        <v>22.021486282348633</v>
      </c>
      <c r="AB44" s="71">
        <v>43.18576431274414</v>
      </c>
      <c r="AC44" s="71">
        <v>50</v>
      </c>
      <c r="AD44" s="71">
        <v>123.79341125488281</v>
      </c>
      <c r="AE44" s="58">
        <v>14.462166786193848</v>
      </c>
      <c r="AF44" s="58">
        <v>18.679471969604492</v>
      </c>
      <c r="AG44" s="58"/>
      <c r="AH44" s="58">
        <v>0</v>
      </c>
      <c r="AI44" s="58">
        <v>0</v>
      </c>
      <c r="AJ44" s="58">
        <v>0</v>
      </c>
      <c r="AK44" s="58">
        <v>61.668113708496094</v>
      </c>
      <c r="AL44" s="59">
        <v>41.54513931274414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41" t="s">
        <v>273</v>
      </c>
      <c r="C45" s="54">
        <v>0</v>
      </c>
      <c r="D45" s="54">
        <v>1.931190496406998E-08</v>
      </c>
      <c r="E45" s="54">
        <v>43.85127258300781</v>
      </c>
      <c r="F45" s="54"/>
      <c r="G45" s="54"/>
      <c r="H45" s="54">
        <v>0</v>
      </c>
      <c r="I45" s="54">
        <v>0</v>
      </c>
      <c r="J45" s="54">
        <v>25.182653427124023</v>
      </c>
      <c r="K45" s="54">
        <v>40</v>
      </c>
      <c r="L45" s="54">
        <v>47.84252166748047</v>
      </c>
      <c r="M45" s="54">
        <v>0</v>
      </c>
      <c r="N45" s="54">
        <v>0</v>
      </c>
      <c r="O45" s="54">
        <v>26.900680541992188</v>
      </c>
      <c r="P45" s="54">
        <v>0.05000000074505806</v>
      </c>
      <c r="Q45" s="54">
        <v>0.21780960261821747</v>
      </c>
      <c r="R45" s="54">
        <v>0.0002598342834971845</v>
      </c>
      <c r="S45" s="54">
        <v>0</v>
      </c>
      <c r="T45" s="54">
        <v>0</v>
      </c>
      <c r="U45" s="71">
        <v>0</v>
      </c>
      <c r="V45" s="79">
        <v>0</v>
      </c>
      <c r="W45" s="80">
        <v>89.34461975097656</v>
      </c>
      <c r="X45" s="71">
        <v>18.938077926635742</v>
      </c>
      <c r="Y45" s="71">
        <v>50</v>
      </c>
      <c r="Z45" s="71">
        <v>123.87153625488281</v>
      </c>
      <c r="AA45" s="71">
        <v>22.40668487548828</v>
      </c>
      <c r="AB45" s="71">
        <v>42.827693939208984</v>
      </c>
      <c r="AC45" s="71">
        <v>50</v>
      </c>
      <c r="AD45" s="71">
        <v>123.7977523803711</v>
      </c>
      <c r="AE45" s="58">
        <v>14.496527671813965</v>
      </c>
      <c r="AF45" s="58">
        <v>18.80425453186035</v>
      </c>
      <c r="AG45" s="58"/>
      <c r="AH45" s="58">
        <v>0</v>
      </c>
      <c r="AI45" s="58">
        <v>0</v>
      </c>
      <c r="AJ45" s="58">
        <v>0</v>
      </c>
      <c r="AK45" s="58">
        <v>61.650028228759766</v>
      </c>
      <c r="AL45" s="59">
        <v>41.284725189208984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0.125</v>
      </c>
      <c r="C46" s="54">
        <v>0</v>
      </c>
      <c r="D46" s="54">
        <v>0</v>
      </c>
      <c r="E46" s="54">
        <v>39.08420181274414</v>
      </c>
      <c r="F46" s="54"/>
      <c r="G46" s="54"/>
      <c r="H46" s="54">
        <v>0</v>
      </c>
      <c r="I46" s="54">
        <v>0</v>
      </c>
      <c r="J46" s="54">
        <v>25.01085090637207</v>
      </c>
      <c r="K46" s="54">
        <v>40</v>
      </c>
      <c r="L46" s="54">
        <v>48.466434478759766</v>
      </c>
      <c r="M46" s="54">
        <v>0</v>
      </c>
      <c r="N46" s="54">
        <v>0</v>
      </c>
      <c r="O46" s="54">
        <v>26.846426010131836</v>
      </c>
      <c r="P46" s="54">
        <v>0.05000000074505806</v>
      </c>
      <c r="Q46" s="54">
        <v>0.17136862874031067</v>
      </c>
      <c r="R46" s="54">
        <v>0.00018769835878629237</v>
      </c>
      <c r="S46" s="54">
        <v>0</v>
      </c>
      <c r="T46" s="54">
        <v>0</v>
      </c>
      <c r="U46" s="71">
        <v>0</v>
      </c>
      <c r="V46" s="79">
        <v>0</v>
      </c>
      <c r="W46" s="80">
        <v>93.9742431640625</v>
      </c>
      <c r="X46" s="71">
        <v>17.701099395751953</v>
      </c>
      <c r="Y46" s="71">
        <v>50</v>
      </c>
      <c r="Z46" s="71">
        <v>123.87153625488281</v>
      </c>
      <c r="AA46" s="71">
        <v>22.76475715637207</v>
      </c>
      <c r="AB46" s="71">
        <v>42.339412689208984</v>
      </c>
      <c r="AC46" s="71">
        <v>50</v>
      </c>
      <c r="AD46" s="71">
        <v>123.7977523803711</v>
      </c>
      <c r="AE46" s="58">
        <v>14.272279739379883</v>
      </c>
      <c r="AF46" s="58">
        <v>18.80425453186035</v>
      </c>
      <c r="AG46" s="58"/>
      <c r="AH46" s="58">
        <v>0</v>
      </c>
      <c r="AI46" s="58">
        <v>0</v>
      </c>
      <c r="AJ46" s="58">
        <v>0</v>
      </c>
      <c r="AK46" s="58">
        <v>61.628326416015625</v>
      </c>
      <c r="AL46" s="59">
        <v>40.97801208496094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0.16666666666666666</v>
      </c>
      <c r="C47" s="54">
        <v>0</v>
      </c>
      <c r="D47" s="54">
        <v>9.94276979326969E-06</v>
      </c>
      <c r="E47" s="54">
        <v>41.42071533203125</v>
      </c>
      <c r="F47" s="54"/>
      <c r="G47" s="54"/>
      <c r="H47" s="54">
        <v>0</v>
      </c>
      <c r="I47" s="54">
        <v>0</v>
      </c>
      <c r="J47" s="54">
        <v>24.90234375</v>
      </c>
      <c r="K47" s="54">
        <v>40</v>
      </c>
      <c r="L47" s="54">
        <v>48.62919616699219</v>
      </c>
      <c r="M47" s="54">
        <v>0</v>
      </c>
      <c r="N47" s="54">
        <v>0</v>
      </c>
      <c r="O47" s="54">
        <v>26.674623489379883</v>
      </c>
      <c r="P47" s="54">
        <v>0.05000000074505806</v>
      </c>
      <c r="Q47" s="54">
        <v>0.25730612874031067</v>
      </c>
      <c r="R47" s="54">
        <v>0.00020230865629855543</v>
      </c>
      <c r="S47" s="54">
        <v>0</v>
      </c>
      <c r="T47" s="54">
        <v>0</v>
      </c>
      <c r="U47" s="71">
        <v>0</v>
      </c>
      <c r="V47" s="79">
        <v>0</v>
      </c>
      <c r="W47" s="80">
        <v>92.57089233398438</v>
      </c>
      <c r="X47" s="71">
        <v>18.496816635131836</v>
      </c>
      <c r="Y47" s="71">
        <v>50</v>
      </c>
      <c r="Z47" s="71">
        <v>123.86719512939453</v>
      </c>
      <c r="AA47" s="71">
        <v>23.111980438232422</v>
      </c>
      <c r="AB47" s="71">
        <v>41.899959564208984</v>
      </c>
      <c r="AC47" s="71">
        <v>50</v>
      </c>
      <c r="AD47" s="71">
        <v>123.7977523803711</v>
      </c>
      <c r="AE47" s="58">
        <v>14.176431655883789</v>
      </c>
      <c r="AF47" s="58">
        <v>18.66319465637207</v>
      </c>
      <c r="AG47" s="58"/>
      <c r="AH47" s="58">
        <v>0</v>
      </c>
      <c r="AI47" s="58">
        <v>0</v>
      </c>
      <c r="AJ47" s="58">
        <v>0</v>
      </c>
      <c r="AK47" s="58">
        <v>51.920570373535156</v>
      </c>
      <c r="AL47" s="59">
        <v>46.22685241699219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0.20833333333333334</v>
      </c>
      <c r="C48" s="54">
        <v>0</v>
      </c>
      <c r="D48" s="54">
        <v>3.361702027859792E-08</v>
      </c>
      <c r="E48" s="54">
        <v>47.59114456176758</v>
      </c>
      <c r="F48" s="54"/>
      <c r="G48" s="54"/>
      <c r="H48" s="54">
        <v>0</v>
      </c>
      <c r="I48" s="54">
        <v>0</v>
      </c>
      <c r="J48" s="54">
        <v>24.748624801635742</v>
      </c>
      <c r="K48" s="54">
        <v>40</v>
      </c>
      <c r="L48" s="54">
        <v>49.42491149902344</v>
      </c>
      <c r="M48" s="54">
        <v>0</v>
      </c>
      <c r="N48" s="54">
        <v>0</v>
      </c>
      <c r="O48" s="54">
        <v>26.511863708496094</v>
      </c>
      <c r="P48" s="54">
        <v>0.05000000074505806</v>
      </c>
      <c r="Q48" s="54">
        <v>0.20862269401550293</v>
      </c>
      <c r="R48" s="54">
        <v>0.0002467346203047782</v>
      </c>
      <c r="S48" s="54">
        <v>0</v>
      </c>
      <c r="T48" s="54">
        <v>0</v>
      </c>
      <c r="U48" s="71">
        <v>0</v>
      </c>
      <c r="V48" s="79">
        <v>0</v>
      </c>
      <c r="W48" s="80">
        <v>93.26895141601562</v>
      </c>
      <c r="X48" s="71">
        <v>19.234664916992188</v>
      </c>
      <c r="Y48" s="71">
        <v>50</v>
      </c>
      <c r="Z48" s="71">
        <v>123.86719512939453</v>
      </c>
      <c r="AA48" s="71">
        <v>24.67990493774414</v>
      </c>
      <c r="AB48" s="71">
        <v>44.927303314208984</v>
      </c>
      <c r="AC48" s="71">
        <v>50</v>
      </c>
      <c r="AD48" s="71">
        <v>123.7977523803711</v>
      </c>
      <c r="AE48" s="58">
        <v>14.36631965637207</v>
      </c>
      <c r="AF48" s="58">
        <v>18.97786521911621</v>
      </c>
      <c r="AG48" s="58"/>
      <c r="AH48" s="58">
        <v>0</v>
      </c>
      <c r="AI48" s="58">
        <v>0</v>
      </c>
      <c r="AJ48" s="58">
        <v>0</v>
      </c>
      <c r="AK48" s="58">
        <v>51.916954040527344</v>
      </c>
      <c r="AL48" s="59">
        <v>44.98263931274414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0.25</v>
      </c>
      <c r="C49" s="54">
        <v>0</v>
      </c>
      <c r="D49" s="54">
        <v>1.8835068615885575E-08</v>
      </c>
      <c r="E49" s="54">
        <v>44.22019577026367</v>
      </c>
      <c r="F49" s="54"/>
      <c r="G49" s="54"/>
      <c r="H49" s="54">
        <v>0</v>
      </c>
      <c r="I49" s="54">
        <v>0</v>
      </c>
      <c r="J49" s="54">
        <v>24.622034072875977</v>
      </c>
      <c r="K49" s="54">
        <v>40</v>
      </c>
      <c r="L49" s="54">
        <v>48.86429214477539</v>
      </c>
      <c r="M49" s="54">
        <v>0</v>
      </c>
      <c r="N49" s="54">
        <v>0</v>
      </c>
      <c r="O49" s="54">
        <v>26.39431381225586</v>
      </c>
      <c r="P49" s="54">
        <v>0.05000000074505806</v>
      </c>
      <c r="Q49" s="54">
        <v>0.20797164738178253</v>
      </c>
      <c r="R49" s="54">
        <v>0.00020862578821834177</v>
      </c>
      <c r="S49" s="54">
        <v>0</v>
      </c>
      <c r="T49" s="54">
        <v>0</v>
      </c>
      <c r="U49" s="71">
        <v>0</v>
      </c>
      <c r="V49" s="79">
        <v>0</v>
      </c>
      <c r="W49" s="80">
        <v>94.05381774902344</v>
      </c>
      <c r="X49" s="71">
        <v>19.155092239379883</v>
      </c>
      <c r="Y49" s="71">
        <v>50</v>
      </c>
      <c r="Z49" s="71">
        <v>123.86719512939453</v>
      </c>
      <c r="AA49" s="71">
        <v>29.150392532348633</v>
      </c>
      <c r="AB49" s="71">
        <v>51.55707550048828</v>
      </c>
      <c r="AC49" s="71">
        <v>50</v>
      </c>
      <c r="AD49" s="71">
        <v>123.79341125488281</v>
      </c>
      <c r="AE49" s="58">
        <v>14.308448791503906</v>
      </c>
      <c r="AF49" s="58">
        <v>19.216581344604492</v>
      </c>
      <c r="AG49" s="58"/>
      <c r="AH49" s="58">
        <v>0</v>
      </c>
      <c r="AI49" s="58">
        <v>0</v>
      </c>
      <c r="AJ49" s="58">
        <v>0</v>
      </c>
      <c r="AK49" s="58">
        <v>51.88078689575195</v>
      </c>
      <c r="AL49" s="59">
        <v>42.42477035522461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0.29166666666666669</v>
      </c>
      <c r="C50" s="54">
        <v>0</v>
      </c>
      <c r="D50" s="54">
        <v>9.028911449604493E-07</v>
      </c>
      <c r="E50" s="54">
        <v>40.849246978759766</v>
      </c>
      <c r="F50" s="54"/>
      <c r="G50" s="54"/>
      <c r="H50" s="54">
        <v>0</v>
      </c>
      <c r="I50" s="54">
        <v>0</v>
      </c>
      <c r="J50" s="54">
        <v>24.459274291992188</v>
      </c>
      <c r="K50" s="54">
        <v>40</v>
      </c>
      <c r="L50" s="54">
        <v>48.457393646240234</v>
      </c>
      <c r="M50" s="54">
        <v>0</v>
      </c>
      <c r="N50" s="54">
        <v>0</v>
      </c>
      <c r="O50" s="54">
        <v>26.213468551635742</v>
      </c>
      <c r="P50" s="54">
        <v>0.05000000074505806</v>
      </c>
      <c r="Q50" s="54">
        <v>0.14706307649612427</v>
      </c>
      <c r="R50" s="54">
        <v>0.0001782455510692671</v>
      </c>
      <c r="S50" s="54">
        <v>0</v>
      </c>
      <c r="T50" s="54">
        <v>0</v>
      </c>
      <c r="U50" s="71">
        <v>0</v>
      </c>
      <c r="V50" s="79">
        <v>0</v>
      </c>
      <c r="W50" s="80">
        <v>92.77705383300781</v>
      </c>
      <c r="X50" s="71">
        <v>18.07725715637207</v>
      </c>
      <c r="Y50" s="71">
        <v>45</v>
      </c>
      <c r="Z50" s="71">
        <v>118.7586898803711</v>
      </c>
      <c r="AA50" s="71">
        <v>29.08528709411621</v>
      </c>
      <c r="AB50" s="71">
        <v>50.656471252441406</v>
      </c>
      <c r="AC50" s="71">
        <v>45</v>
      </c>
      <c r="AD50" s="71">
        <v>118.01216125488281</v>
      </c>
      <c r="AE50" s="58">
        <v>14.51280403137207</v>
      </c>
      <c r="AF50" s="58">
        <v>19.422744750976562</v>
      </c>
      <c r="AG50" s="58"/>
      <c r="AH50" s="58">
        <v>0</v>
      </c>
      <c r="AI50" s="58">
        <v>0</v>
      </c>
      <c r="AJ50" s="58">
        <v>0</v>
      </c>
      <c r="AK50" s="58">
        <v>51.87355422973633</v>
      </c>
      <c r="AL50" s="59">
        <v>40.57291793823242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42">
        <v>0.33333333333333331</v>
      </c>
      <c r="C51" s="63">
        <v>0</v>
      </c>
      <c r="D51" s="63">
        <v>5.005836555938004E-06</v>
      </c>
      <c r="E51" s="63">
        <v>38.469329833984375</v>
      </c>
      <c r="F51" s="63"/>
      <c r="G51" s="63"/>
      <c r="H51" s="63">
        <v>0</v>
      </c>
      <c r="I51" s="63">
        <v>0</v>
      </c>
      <c r="J51" s="63">
        <v>24.341724395751953</v>
      </c>
      <c r="K51" s="63">
        <v>40</v>
      </c>
      <c r="L51" s="63">
        <v>48.87333679199219</v>
      </c>
      <c r="M51" s="63">
        <v>0</v>
      </c>
      <c r="N51" s="63">
        <v>0</v>
      </c>
      <c r="O51" s="63">
        <v>26.159215927124023</v>
      </c>
      <c r="P51" s="63">
        <v>0.05000000074505806</v>
      </c>
      <c r="Q51" s="63">
        <v>0.18583622574806213</v>
      </c>
      <c r="R51" s="63">
        <v>0.00016404724738094956</v>
      </c>
      <c r="S51" s="63">
        <v>0</v>
      </c>
      <c r="T51" s="63">
        <v>0</v>
      </c>
      <c r="U51" s="74">
        <v>0</v>
      </c>
      <c r="V51" s="82">
        <v>0</v>
      </c>
      <c r="W51" s="83">
        <v>98.44834899902344</v>
      </c>
      <c r="X51" s="74">
        <v>17.635995864868164</v>
      </c>
      <c r="Y51" s="74">
        <v>45</v>
      </c>
      <c r="Z51" s="74">
        <v>120.55989837646484</v>
      </c>
      <c r="AA51" s="74">
        <v>29.226346969604492</v>
      </c>
      <c r="AB51" s="74">
        <v>99.9728775024414</v>
      </c>
      <c r="AC51" s="74">
        <v>45</v>
      </c>
      <c r="AD51" s="74">
        <v>0</v>
      </c>
      <c r="AE51" s="67">
        <v>14.339192390441895</v>
      </c>
      <c r="AF51" s="67">
        <v>19.48784828186035</v>
      </c>
      <c r="AG51" s="67"/>
      <c r="AH51" s="67">
        <v>0</v>
      </c>
      <c r="AI51" s="67">
        <v>0</v>
      </c>
      <c r="AJ51" s="67">
        <v>0</v>
      </c>
      <c r="AK51" s="67">
        <v>51.87355422973633</v>
      </c>
      <c r="AL51" s="68">
        <v>42.14699172973633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48" t="s">
        <v>370</v>
      </c>
      <c r="C52" s="149"/>
      <c r="D52" s="9" t="s">
        <v>274</v>
      </c>
      <c r="E52" s="125" t="s">
        <v>20</v>
      </c>
      <c r="F52" s="128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30"/>
      <c r="AP52" s="130"/>
      <c r="AQ52" s="130"/>
      <c r="AR52" s="131"/>
    </row>
    <row r="53" spans="2:44" ht="13.5" customHeight="1" x14ac:dyDescent="0.25">
      <c r="B53" s="124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32"/>
      <c r="AP53" s="132"/>
      <c r="AQ53" s="132"/>
      <c r="AR53" s="133"/>
    </row>
    <row r="54" spans="2:44" ht="13.5" customHeight="1" thickBot="1" x14ac:dyDescent="0.3">
      <c r="B54" s="136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34"/>
      <c r="AP54" s="134"/>
      <c r="AQ54" s="134"/>
      <c r="AR54" s="13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51" t="s">
        <v>230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</row>
    <row r="2" spans="2:58" ht="13" customHeight="1" x14ac:dyDescent="0.25">
      <c r="B2" s="198" t="s">
        <v>232</v>
      </c>
      <c r="C2" s="161"/>
      <c r="D2" s="161"/>
      <c r="E2" s="161"/>
      <c r="F2" s="161"/>
      <c r="G2" s="161"/>
      <c r="H2" s="161"/>
      <c r="I2" s="161"/>
      <c r="J2" s="161"/>
      <c r="K2" s="161"/>
      <c r="L2" s="166"/>
      <c r="M2" s="199" t="s">
        <v>231</v>
      </c>
      <c r="N2" s="161"/>
      <c r="O2" s="161"/>
      <c r="P2" s="161"/>
      <c r="Q2" s="161"/>
      <c r="R2" s="161"/>
      <c r="S2" s="161"/>
      <c r="T2" s="161"/>
      <c r="U2" s="161"/>
      <c r="V2" s="161"/>
      <c r="W2" s="166"/>
      <c r="X2" s="111" t="s">
        <v>233</v>
      </c>
      <c r="Y2" s="161"/>
      <c r="Z2" s="161"/>
      <c r="AA2" s="161"/>
      <c r="AB2" s="161"/>
      <c r="AC2" s="161"/>
      <c r="AD2" s="161"/>
      <c r="AE2" s="161"/>
      <c r="AF2" s="161"/>
      <c r="AG2" s="161"/>
      <c r="AH2" s="166"/>
      <c r="AI2" s="199" t="s">
        <v>234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6"/>
      <c r="AU2" s="111" t="s">
        <v>235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200"/>
    </row>
    <row r="3" spans="2:58" ht="13" customHeight="1" x14ac:dyDescent="0.25">
      <c r="B3" s="202"/>
      <c r="C3" s="186"/>
      <c r="D3" s="186"/>
      <c r="E3" s="186"/>
      <c r="F3" s="186"/>
      <c r="G3" s="186"/>
      <c r="H3" s="186"/>
      <c r="I3" s="186"/>
      <c r="J3" s="186"/>
      <c r="K3" s="186"/>
      <c r="L3" s="187"/>
      <c r="M3" s="205"/>
      <c r="N3" s="186"/>
      <c r="O3" s="186"/>
      <c r="P3" s="186"/>
      <c r="Q3" s="186"/>
      <c r="R3" s="186"/>
      <c r="S3" s="186"/>
      <c r="T3" s="186"/>
      <c r="U3" s="186"/>
      <c r="V3" s="186"/>
      <c r="W3" s="187"/>
      <c r="X3" s="193"/>
      <c r="Y3" s="186"/>
      <c r="Z3" s="186"/>
      <c r="AA3" s="186"/>
      <c r="AB3" s="186"/>
      <c r="AC3" s="186"/>
      <c r="AD3" s="186"/>
      <c r="AE3" s="186"/>
      <c r="AF3" s="186"/>
      <c r="AG3" s="186"/>
      <c r="AH3" s="187"/>
      <c r="AI3" s="215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7"/>
      <c r="AU3" s="193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95"/>
    </row>
    <row r="4" spans="2:58" ht="13" customHeight="1" x14ac:dyDescent="0.25">
      <c r="B4" s="203"/>
      <c r="C4" s="189"/>
      <c r="D4" s="189"/>
      <c r="E4" s="189"/>
      <c r="F4" s="189"/>
      <c r="G4" s="189"/>
      <c r="H4" s="189"/>
      <c r="I4" s="189"/>
      <c r="J4" s="189"/>
      <c r="K4" s="189"/>
      <c r="L4" s="190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90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90"/>
      <c r="AI4" s="188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90"/>
      <c r="AU4" s="188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96"/>
    </row>
    <row r="5" spans="2:58" ht="13" customHeight="1" x14ac:dyDescent="0.25">
      <c r="B5" s="203"/>
      <c r="C5" s="189"/>
      <c r="D5" s="189"/>
      <c r="E5" s="189"/>
      <c r="F5" s="189"/>
      <c r="G5" s="189"/>
      <c r="H5" s="189"/>
      <c r="I5" s="189"/>
      <c r="J5" s="189"/>
      <c r="K5" s="189"/>
      <c r="L5" s="190"/>
      <c r="M5" s="188"/>
      <c r="N5" s="189"/>
      <c r="O5" s="189"/>
      <c r="P5" s="189"/>
      <c r="Q5" s="189"/>
      <c r="R5" s="189"/>
      <c r="S5" s="189"/>
      <c r="T5" s="189"/>
      <c r="U5" s="189"/>
      <c r="V5" s="189"/>
      <c r="W5" s="190"/>
      <c r="X5" s="188"/>
      <c r="Y5" s="189"/>
      <c r="Z5" s="189"/>
      <c r="AA5" s="189"/>
      <c r="AB5" s="189"/>
      <c r="AC5" s="189"/>
      <c r="AD5" s="189"/>
      <c r="AE5" s="189"/>
      <c r="AF5" s="189"/>
      <c r="AG5" s="189"/>
      <c r="AH5" s="190"/>
      <c r="AI5" s="188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90"/>
      <c r="AU5" s="188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96"/>
    </row>
    <row r="6" spans="2:58" ht="13" customHeight="1" x14ac:dyDescent="0.25">
      <c r="B6" s="203"/>
      <c r="C6" s="189"/>
      <c r="D6" s="189"/>
      <c r="E6" s="189"/>
      <c r="F6" s="189"/>
      <c r="G6" s="189"/>
      <c r="H6" s="189"/>
      <c r="I6" s="189"/>
      <c r="J6" s="189"/>
      <c r="K6" s="189"/>
      <c r="L6" s="190"/>
      <c r="M6" s="188"/>
      <c r="N6" s="189"/>
      <c r="O6" s="189"/>
      <c r="P6" s="189"/>
      <c r="Q6" s="189"/>
      <c r="R6" s="189"/>
      <c r="S6" s="189"/>
      <c r="T6" s="189"/>
      <c r="U6" s="189"/>
      <c r="V6" s="189"/>
      <c r="W6" s="190"/>
      <c r="X6" s="188"/>
      <c r="Y6" s="189"/>
      <c r="Z6" s="189"/>
      <c r="AA6" s="189"/>
      <c r="AB6" s="189"/>
      <c r="AC6" s="189"/>
      <c r="AD6" s="189"/>
      <c r="AE6" s="189"/>
      <c r="AF6" s="189"/>
      <c r="AG6" s="189"/>
      <c r="AH6" s="190"/>
      <c r="AI6" s="188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90"/>
      <c r="AU6" s="188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96"/>
    </row>
    <row r="7" spans="2:58" ht="13" customHeight="1" x14ac:dyDescent="0.25">
      <c r="B7" s="203"/>
      <c r="C7" s="189"/>
      <c r="D7" s="189"/>
      <c r="E7" s="189"/>
      <c r="F7" s="189"/>
      <c r="G7" s="189"/>
      <c r="H7" s="189"/>
      <c r="I7" s="189"/>
      <c r="J7" s="189"/>
      <c r="K7" s="189"/>
      <c r="L7" s="190"/>
      <c r="M7" s="188"/>
      <c r="N7" s="189"/>
      <c r="O7" s="189"/>
      <c r="P7" s="189"/>
      <c r="Q7" s="189"/>
      <c r="R7" s="189"/>
      <c r="S7" s="189"/>
      <c r="T7" s="189"/>
      <c r="U7" s="189"/>
      <c r="V7" s="189"/>
      <c r="W7" s="190"/>
      <c r="X7" s="188"/>
      <c r="Y7" s="189"/>
      <c r="Z7" s="189"/>
      <c r="AA7" s="189"/>
      <c r="AB7" s="189"/>
      <c r="AC7" s="189"/>
      <c r="AD7" s="189"/>
      <c r="AE7" s="189"/>
      <c r="AF7" s="189"/>
      <c r="AG7" s="189"/>
      <c r="AH7" s="190"/>
      <c r="AI7" s="188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90"/>
      <c r="AU7" s="188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96"/>
    </row>
    <row r="8" spans="2:58" ht="13" customHeight="1" x14ac:dyDescent="0.25">
      <c r="B8" s="203"/>
      <c r="C8" s="189"/>
      <c r="D8" s="189"/>
      <c r="E8" s="189"/>
      <c r="F8" s="189"/>
      <c r="G8" s="189"/>
      <c r="H8" s="189"/>
      <c r="I8" s="189"/>
      <c r="J8" s="189"/>
      <c r="K8" s="189"/>
      <c r="L8" s="190"/>
      <c r="M8" s="188"/>
      <c r="N8" s="189"/>
      <c r="O8" s="189"/>
      <c r="P8" s="189"/>
      <c r="Q8" s="189"/>
      <c r="R8" s="189"/>
      <c r="S8" s="189"/>
      <c r="T8" s="189"/>
      <c r="U8" s="189"/>
      <c r="V8" s="189"/>
      <c r="W8" s="190"/>
      <c r="X8" s="188"/>
      <c r="Y8" s="189"/>
      <c r="Z8" s="189"/>
      <c r="AA8" s="189"/>
      <c r="AB8" s="189"/>
      <c r="AC8" s="189"/>
      <c r="AD8" s="189"/>
      <c r="AE8" s="189"/>
      <c r="AF8" s="189"/>
      <c r="AG8" s="189"/>
      <c r="AH8" s="190"/>
      <c r="AI8" s="188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90"/>
      <c r="AU8" s="188"/>
      <c r="AV8" s="189"/>
      <c r="AW8" s="189"/>
      <c r="AX8" s="189"/>
      <c r="AY8" s="189"/>
      <c r="AZ8" s="189"/>
      <c r="BA8" s="189"/>
      <c r="BB8" s="189"/>
      <c r="BC8" s="189"/>
      <c r="BD8" s="189"/>
      <c r="BE8" s="189"/>
      <c r="BF8" s="196"/>
    </row>
    <row r="9" spans="2:58" ht="13" customHeight="1" x14ac:dyDescent="0.25">
      <c r="B9" s="204"/>
      <c r="C9" s="192"/>
      <c r="D9" s="192"/>
      <c r="E9" s="192"/>
      <c r="F9" s="192"/>
      <c r="G9" s="192"/>
      <c r="H9" s="192"/>
      <c r="I9" s="192"/>
      <c r="J9" s="192"/>
      <c r="K9" s="192"/>
      <c r="L9" s="149"/>
      <c r="M9" s="191"/>
      <c r="N9" s="192"/>
      <c r="O9" s="192"/>
      <c r="P9" s="192"/>
      <c r="Q9" s="192"/>
      <c r="R9" s="192"/>
      <c r="S9" s="192"/>
      <c r="T9" s="192"/>
      <c r="U9" s="192"/>
      <c r="V9" s="192"/>
      <c r="W9" s="149"/>
      <c r="X9" s="191"/>
      <c r="Y9" s="192"/>
      <c r="Z9" s="192"/>
      <c r="AA9" s="192"/>
      <c r="AB9" s="192"/>
      <c r="AC9" s="192"/>
      <c r="AD9" s="192"/>
      <c r="AE9" s="192"/>
      <c r="AF9" s="192"/>
      <c r="AG9" s="192"/>
      <c r="AH9" s="149"/>
      <c r="AI9" s="191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49"/>
      <c r="AU9" s="191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7"/>
    </row>
    <row r="10" spans="2:58" ht="13" customHeight="1" x14ac:dyDescent="0.25">
      <c r="B10" s="181" t="s">
        <v>236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50"/>
      <c r="M10" s="201" t="s">
        <v>237</v>
      </c>
      <c r="N10" s="179"/>
      <c r="O10" s="179"/>
      <c r="P10" s="179"/>
      <c r="Q10" s="179"/>
      <c r="R10" s="179"/>
      <c r="S10" s="179"/>
      <c r="T10" s="179"/>
      <c r="U10" s="179"/>
      <c r="V10" s="179"/>
      <c r="W10" s="150"/>
      <c r="X10" s="156" t="s">
        <v>238</v>
      </c>
      <c r="Y10" s="179"/>
      <c r="Z10" s="179"/>
      <c r="AA10" s="179"/>
      <c r="AB10" s="179"/>
      <c r="AC10" s="179"/>
      <c r="AD10" s="179"/>
      <c r="AE10" s="179"/>
      <c r="AF10" s="179"/>
      <c r="AG10" s="179"/>
      <c r="AH10" s="150"/>
      <c r="AI10" s="156" t="s">
        <v>239</v>
      </c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50"/>
      <c r="AU10" s="132" t="s">
        <v>240</v>
      </c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183"/>
    </row>
    <row r="11" spans="2:58" ht="13" customHeight="1" x14ac:dyDescent="0.25">
      <c r="B11" s="202"/>
      <c r="C11" s="186"/>
      <c r="D11" s="186"/>
      <c r="E11" s="186"/>
      <c r="F11" s="186"/>
      <c r="G11" s="186"/>
      <c r="H11" s="186"/>
      <c r="I11" s="186"/>
      <c r="J11" s="186"/>
      <c r="K11" s="186"/>
      <c r="L11" s="187"/>
      <c r="M11" s="205"/>
      <c r="N11" s="186"/>
      <c r="O11" s="186"/>
      <c r="P11" s="186"/>
      <c r="Q11" s="186"/>
      <c r="R11" s="186"/>
      <c r="S11" s="186"/>
      <c r="T11" s="186"/>
      <c r="U11" s="186"/>
      <c r="V11" s="186"/>
      <c r="W11" s="187"/>
      <c r="X11" s="205"/>
      <c r="Y11" s="186"/>
      <c r="Z11" s="186"/>
      <c r="AA11" s="186"/>
      <c r="AB11" s="186"/>
      <c r="AC11" s="186"/>
      <c r="AD11" s="186"/>
      <c r="AE11" s="186"/>
      <c r="AF11" s="186"/>
      <c r="AG11" s="186"/>
      <c r="AH11" s="187"/>
      <c r="AI11" s="205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7"/>
      <c r="AU11" s="194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95"/>
    </row>
    <row r="12" spans="2:58" ht="13" customHeight="1" x14ac:dyDescent="0.25">
      <c r="B12" s="203"/>
      <c r="C12" s="189"/>
      <c r="D12" s="189"/>
      <c r="E12" s="189"/>
      <c r="F12" s="189"/>
      <c r="G12" s="189"/>
      <c r="H12" s="189"/>
      <c r="I12" s="189"/>
      <c r="J12" s="189"/>
      <c r="K12" s="189"/>
      <c r="L12" s="190"/>
      <c r="M12" s="188"/>
      <c r="N12" s="189"/>
      <c r="O12" s="189"/>
      <c r="P12" s="189"/>
      <c r="Q12" s="189"/>
      <c r="R12" s="189"/>
      <c r="S12" s="189"/>
      <c r="T12" s="189"/>
      <c r="U12" s="189"/>
      <c r="V12" s="189"/>
      <c r="W12" s="190"/>
      <c r="X12" s="188"/>
      <c r="Y12" s="189"/>
      <c r="Z12" s="189"/>
      <c r="AA12" s="189"/>
      <c r="AB12" s="189"/>
      <c r="AC12" s="189"/>
      <c r="AD12" s="189"/>
      <c r="AE12" s="189"/>
      <c r="AF12" s="189"/>
      <c r="AG12" s="189"/>
      <c r="AH12" s="190"/>
      <c r="AI12" s="188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90"/>
      <c r="AU12" s="188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96"/>
    </row>
    <row r="13" spans="2:58" ht="13" customHeight="1" x14ac:dyDescent="0.25">
      <c r="B13" s="203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90"/>
      <c r="X13" s="188"/>
      <c r="Y13" s="189"/>
      <c r="Z13" s="189"/>
      <c r="AA13" s="189"/>
      <c r="AB13" s="189"/>
      <c r="AC13" s="189"/>
      <c r="AD13" s="189"/>
      <c r="AE13" s="189"/>
      <c r="AF13" s="189"/>
      <c r="AG13" s="189"/>
      <c r="AH13" s="190"/>
      <c r="AI13" s="188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96"/>
    </row>
    <row r="14" spans="2:58" ht="13" customHeight="1" x14ac:dyDescent="0.25">
      <c r="B14" s="203"/>
      <c r="C14" s="189"/>
      <c r="D14" s="189"/>
      <c r="E14" s="189"/>
      <c r="F14" s="189"/>
      <c r="G14" s="189"/>
      <c r="H14" s="189"/>
      <c r="I14" s="189"/>
      <c r="J14" s="189"/>
      <c r="K14" s="189"/>
      <c r="L14" s="190"/>
      <c r="M14" s="188"/>
      <c r="N14" s="189"/>
      <c r="O14" s="189"/>
      <c r="P14" s="189"/>
      <c r="Q14" s="189"/>
      <c r="R14" s="189"/>
      <c r="S14" s="189"/>
      <c r="T14" s="189"/>
      <c r="U14" s="189"/>
      <c r="V14" s="189"/>
      <c r="W14" s="190"/>
      <c r="X14" s="188"/>
      <c r="Y14" s="189"/>
      <c r="Z14" s="189"/>
      <c r="AA14" s="189"/>
      <c r="AB14" s="189"/>
      <c r="AC14" s="189"/>
      <c r="AD14" s="189"/>
      <c r="AE14" s="189"/>
      <c r="AF14" s="189"/>
      <c r="AG14" s="189"/>
      <c r="AH14" s="190"/>
      <c r="AI14" s="188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90"/>
      <c r="AU14" s="188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96"/>
    </row>
    <row r="15" spans="2:58" ht="13" customHeight="1" x14ac:dyDescent="0.25">
      <c r="B15" s="203"/>
      <c r="C15" s="189"/>
      <c r="D15" s="189"/>
      <c r="E15" s="189"/>
      <c r="F15" s="189"/>
      <c r="G15" s="189"/>
      <c r="H15" s="189"/>
      <c r="I15" s="189"/>
      <c r="J15" s="189"/>
      <c r="K15" s="189"/>
      <c r="L15" s="190"/>
      <c r="M15" s="188"/>
      <c r="N15" s="189"/>
      <c r="O15" s="189"/>
      <c r="P15" s="189"/>
      <c r="Q15" s="189"/>
      <c r="R15" s="189"/>
      <c r="S15" s="189"/>
      <c r="T15" s="189"/>
      <c r="U15" s="189"/>
      <c r="V15" s="189"/>
      <c r="W15" s="190"/>
      <c r="X15" s="188"/>
      <c r="Y15" s="189"/>
      <c r="Z15" s="189"/>
      <c r="AA15" s="189"/>
      <c r="AB15" s="189"/>
      <c r="AC15" s="189"/>
      <c r="AD15" s="189"/>
      <c r="AE15" s="189"/>
      <c r="AF15" s="189"/>
      <c r="AG15" s="189"/>
      <c r="AH15" s="190"/>
      <c r="AI15" s="188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90"/>
      <c r="AU15" s="188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96"/>
    </row>
    <row r="16" spans="2:58" ht="13" customHeight="1" x14ac:dyDescent="0.25">
      <c r="B16" s="203"/>
      <c r="C16" s="189"/>
      <c r="D16" s="189"/>
      <c r="E16" s="189"/>
      <c r="F16" s="189"/>
      <c r="G16" s="189"/>
      <c r="H16" s="189"/>
      <c r="I16" s="189"/>
      <c r="J16" s="189"/>
      <c r="K16" s="189"/>
      <c r="L16" s="190"/>
      <c r="M16" s="188"/>
      <c r="N16" s="189"/>
      <c r="O16" s="189"/>
      <c r="P16" s="189"/>
      <c r="Q16" s="189"/>
      <c r="R16" s="189"/>
      <c r="S16" s="189"/>
      <c r="T16" s="189"/>
      <c r="U16" s="189"/>
      <c r="V16" s="189"/>
      <c r="W16" s="190"/>
      <c r="X16" s="188"/>
      <c r="Y16" s="189"/>
      <c r="Z16" s="189"/>
      <c r="AA16" s="189"/>
      <c r="AB16" s="189"/>
      <c r="AC16" s="189"/>
      <c r="AD16" s="189"/>
      <c r="AE16" s="189"/>
      <c r="AF16" s="189"/>
      <c r="AG16" s="189"/>
      <c r="AH16" s="190"/>
      <c r="AI16" s="188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90"/>
      <c r="AU16" s="188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96"/>
    </row>
    <row r="17" spans="2:58" ht="13" customHeight="1" x14ac:dyDescent="0.25">
      <c r="B17" s="204"/>
      <c r="C17" s="192"/>
      <c r="D17" s="192"/>
      <c r="E17" s="192"/>
      <c r="F17" s="192"/>
      <c r="G17" s="192"/>
      <c r="H17" s="192"/>
      <c r="I17" s="192"/>
      <c r="J17" s="192"/>
      <c r="K17" s="192"/>
      <c r="L17" s="149"/>
      <c r="M17" s="191"/>
      <c r="N17" s="192"/>
      <c r="O17" s="192"/>
      <c r="P17" s="192"/>
      <c r="Q17" s="192"/>
      <c r="R17" s="192"/>
      <c r="S17" s="192"/>
      <c r="T17" s="192"/>
      <c r="U17" s="192"/>
      <c r="V17" s="192"/>
      <c r="W17" s="149"/>
      <c r="X17" s="191"/>
      <c r="Y17" s="192"/>
      <c r="Z17" s="192"/>
      <c r="AA17" s="192"/>
      <c r="AB17" s="192"/>
      <c r="AC17" s="192"/>
      <c r="AD17" s="192"/>
      <c r="AE17" s="192"/>
      <c r="AF17" s="192"/>
      <c r="AG17" s="192"/>
      <c r="AH17" s="149"/>
      <c r="AI17" s="191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49"/>
      <c r="AU17" s="191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7"/>
    </row>
    <row r="18" spans="2:58" ht="13" customHeight="1" x14ac:dyDescent="0.25">
      <c r="B18" s="181" t="s">
        <v>241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214" t="s">
        <v>242</v>
      </c>
      <c r="N18" s="179"/>
      <c r="O18" s="179"/>
      <c r="P18" s="179"/>
      <c r="Q18" s="179"/>
      <c r="R18" s="179"/>
      <c r="S18" s="179"/>
      <c r="T18" s="179"/>
      <c r="U18" s="179"/>
      <c r="V18" s="179"/>
      <c r="W18" s="150"/>
      <c r="X18" s="213" t="s">
        <v>243</v>
      </c>
      <c r="Y18" s="179"/>
      <c r="Z18" s="179"/>
      <c r="AA18" s="179"/>
      <c r="AB18" s="179"/>
      <c r="AC18" s="179"/>
      <c r="AD18" s="179"/>
      <c r="AE18" s="179"/>
      <c r="AF18" s="179"/>
      <c r="AG18" s="179"/>
      <c r="AH18" s="150"/>
      <c r="AI18" s="118" t="s">
        <v>244</v>
      </c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50"/>
      <c r="AU18" s="132" t="s">
        <v>245</v>
      </c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83"/>
    </row>
    <row r="19" spans="2:58" ht="13" customHeight="1" x14ac:dyDescent="0.25">
      <c r="B19" s="202"/>
      <c r="C19" s="186"/>
      <c r="D19" s="186"/>
      <c r="E19" s="186"/>
      <c r="F19" s="186"/>
      <c r="G19" s="186"/>
      <c r="H19" s="186"/>
      <c r="I19" s="186"/>
      <c r="J19" s="186"/>
      <c r="K19" s="186"/>
      <c r="L19" s="187"/>
      <c r="M19" s="216"/>
      <c r="N19" s="186"/>
      <c r="O19" s="186"/>
      <c r="P19" s="186"/>
      <c r="Q19" s="186"/>
      <c r="R19" s="186"/>
      <c r="S19" s="186"/>
      <c r="T19" s="186"/>
      <c r="U19" s="186"/>
      <c r="V19" s="186"/>
      <c r="W19" s="187"/>
      <c r="X19" s="185"/>
      <c r="Y19" s="186"/>
      <c r="Z19" s="186"/>
      <c r="AA19" s="186"/>
      <c r="AB19" s="186"/>
      <c r="AC19" s="186"/>
      <c r="AD19" s="186"/>
      <c r="AE19" s="186"/>
      <c r="AF19" s="186"/>
      <c r="AG19" s="186"/>
      <c r="AH19" s="187"/>
      <c r="AI19" s="193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7"/>
      <c r="AU19" s="194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95"/>
    </row>
    <row r="20" spans="2:58" ht="13" customHeight="1" x14ac:dyDescent="0.25">
      <c r="B20" s="203"/>
      <c r="C20" s="189"/>
      <c r="D20" s="189"/>
      <c r="E20" s="189"/>
      <c r="F20" s="189"/>
      <c r="G20" s="189"/>
      <c r="H20" s="189"/>
      <c r="I20" s="189"/>
      <c r="J20" s="189"/>
      <c r="K20" s="189"/>
      <c r="L20" s="190"/>
      <c r="M20" s="188"/>
      <c r="N20" s="189"/>
      <c r="O20" s="189"/>
      <c r="P20" s="189"/>
      <c r="Q20" s="189"/>
      <c r="R20" s="189"/>
      <c r="S20" s="189"/>
      <c r="T20" s="189"/>
      <c r="U20" s="189"/>
      <c r="V20" s="189"/>
      <c r="W20" s="190"/>
      <c r="X20" s="188"/>
      <c r="Y20" s="189"/>
      <c r="Z20" s="189"/>
      <c r="AA20" s="189"/>
      <c r="AB20" s="189"/>
      <c r="AC20" s="189"/>
      <c r="AD20" s="189"/>
      <c r="AE20" s="189"/>
      <c r="AF20" s="189"/>
      <c r="AG20" s="189"/>
      <c r="AH20" s="190"/>
      <c r="AI20" s="188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90"/>
      <c r="AU20" s="188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  <c r="BF20" s="196"/>
    </row>
    <row r="21" spans="2:58" ht="13" customHeight="1" x14ac:dyDescent="0.25">
      <c r="B21" s="203"/>
      <c r="C21" s="189"/>
      <c r="D21" s="189"/>
      <c r="E21" s="189"/>
      <c r="F21" s="189"/>
      <c r="G21" s="189"/>
      <c r="H21" s="189"/>
      <c r="I21" s="189"/>
      <c r="J21" s="189"/>
      <c r="K21" s="189"/>
      <c r="L21" s="190"/>
      <c r="M21" s="188"/>
      <c r="N21" s="189"/>
      <c r="O21" s="189"/>
      <c r="P21" s="189"/>
      <c r="Q21" s="189"/>
      <c r="R21" s="189"/>
      <c r="S21" s="189"/>
      <c r="T21" s="189"/>
      <c r="U21" s="189"/>
      <c r="V21" s="189"/>
      <c r="W21" s="190"/>
      <c r="X21" s="188"/>
      <c r="Y21" s="189"/>
      <c r="Z21" s="189"/>
      <c r="AA21" s="189"/>
      <c r="AB21" s="189"/>
      <c r="AC21" s="189"/>
      <c r="AD21" s="189"/>
      <c r="AE21" s="189"/>
      <c r="AF21" s="189"/>
      <c r="AG21" s="189"/>
      <c r="AH21" s="190"/>
      <c r="AI21" s="188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90"/>
      <c r="AU21" s="188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96"/>
    </row>
    <row r="22" spans="2:58" ht="13" customHeight="1" x14ac:dyDescent="0.25">
      <c r="B22" s="203"/>
      <c r="C22" s="189"/>
      <c r="D22" s="189"/>
      <c r="E22" s="189"/>
      <c r="F22" s="189"/>
      <c r="G22" s="189"/>
      <c r="H22" s="189"/>
      <c r="I22" s="189"/>
      <c r="J22" s="189"/>
      <c r="K22" s="189"/>
      <c r="L22" s="190"/>
      <c r="M22" s="188"/>
      <c r="N22" s="189"/>
      <c r="O22" s="189"/>
      <c r="P22" s="189"/>
      <c r="Q22" s="189"/>
      <c r="R22" s="189"/>
      <c r="S22" s="189"/>
      <c r="T22" s="189"/>
      <c r="U22" s="189"/>
      <c r="V22" s="189"/>
      <c r="W22" s="190"/>
      <c r="X22" s="188"/>
      <c r="Y22" s="189"/>
      <c r="Z22" s="189"/>
      <c r="AA22" s="189"/>
      <c r="AB22" s="189"/>
      <c r="AC22" s="189"/>
      <c r="AD22" s="189"/>
      <c r="AE22" s="189"/>
      <c r="AF22" s="189"/>
      <c r="AG22" s="189"/>
      <c r="AH22" s="190"/>
      <c r="AI22" s="188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90"/>
      <c r="AU22" s="188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96"/>
    </row>
    <row r="23" spans="2:58" ht="13" customHeight="1" x14ac:dyDescent="0.25">
      <c r="B23" s="203"/>
      <c r="C23" s="189"/>
      <c r="D23" s="189"/>
      <c r="E23" s="189"/>
      <c r="F23" s="189"/>
      <c r="G23" s="189"/>
      <c r="H23" s="189"/>
      <c r="I23" s="189"/>
      <c r="J23" s="189"/>
      <c r="K23" s="189"/>
      <c r="L23" s="190"/>
      <c r="M23" s="188"/>
      <c r="N23" s="189"/>
      <c r="O23" s="189"/>
      <c r="P23" s="189"/>
      <c r="Q23" s="189"/>
      <c r="R23" s="189"/>
      <c r="S23" s="189"/>
      <c r="T23" s="189"/>
      <c r="U23" s="189"/>
      <c r="V23" s="189"/>
      <c r="W23" s="190"/>
      <c r="X23" s="188"/>
      <c r="Y23" s="189"/>
      <c r="Z23" s="189"/>
      <c r="AA23" s="189"/>
      <c r="AB23" s="189"/>
      <c r="AC23" s="189"/>
      <c r="AD23" s="189"/>
      <c r="AE23" s="189"/>
      <c r="AF23" s="189"/>
      <c r="AG23" s="189"/>
      <c r="AH23" s="190"/>
      <c r="AI23" s="188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90"/>
      <c r="AU23" s="188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96"/>
    </row>
    <row r="24" spans="2:58" ht="13" customHeight="1" x14ac:dyDescent="0.25">
      <c r="B24" s="204"/>
      <c r="C24" s="192"/>
      <c r="D24" s="192"/>
      <c r="E24" s="192"/>
      <c r="F24" s="192"/>
      <c r="G24" s="192"/>
      <c r="H24" s="192"/>
      <c r="I24" s="192"/>
      <c r="J24" s="192"/>
      <c r="K24" s="192"/>
      <c r="L24" s="149"/>
      <c r="M24" s="191"/>
      <c r="N24" s="192"/>
      <c r="O24" s="192"/>
      <c r="P24" s="192"/>
      <c r="Q24" s="192"/>
      <c r="R24" s="192"/>
      <c r="S24" s="192"/>
      <c r="T24" s="192"/>
      <c r="U24" s="192"/>
      <c r="V24" s="192"/>
      <c r="W24" s="149"/>
      <c r="X24" s="191"/>
      <c r="Y24" s="192"/>
      <c r="Z24" s="192"/>
      <c r="AA24" s="192"/>
      <c r="AB24" s="192"/>
      <c r="AC24" s="192"/>
      <c r="AD24" s="192"/>
      <c r="AE24" s="192"/>
      <c r="AF24" s="192"/>
      <c r="AG24" s="192"/>
      <c r="AH24" s="149"/>
      <c r="AI24" s="191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49"/>
      <c r="AU24" s="191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7"/>
    </row>
    <row r="25" spans="2:58" ht="13" customHeight="1" x14ac:dyDescent="0.25">
      <c r="B25" s="181" t="s">
        <v>246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50"/>
      <c r="M25" s="156" t="s">
        <v>247</v>
      </c>
      <c r="N25" s="179"/>
      <c r="O25" s="179"/>
      <c r="P25" s="179"/>
      <c r="Q25" s="179"/>
      <c r="R25" s="179"/>
      <c r="S25" s="179"/>
      <c r="T25" s="179"/>
      <c r="U25" s="179"/>
      <c r="V25" s="179"/>
      <c r="W25" s="150"/>
      <c r="X25" s="182" t="s">
        <v>248</v>
      </c>
      <c r="Y25" s="179"/>
      <c r="Z25" s="179"/>
      <c r="AA25" s="179"/>
      <c r="AB25" s="179"/>
      <c r="AC25" s="179"/>
      <c r="AD25" s="179"/>
      <c r="AE25" s="179"/>
      <c r="AF25" s="179"/>
      <c r="AG25" s="179"/>
      <c r="AH25" s="150"/>
      <c r="AI25" s="132" t="s">
        <v>249</v>
      </c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50"/>
      <c r="AU25" s="132" t="s">
        <v>250</v>
      </c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83"/>
    </row>
    <row r="26" spans="2:58" ht="13" customHeight="1" x14ac:dyDescent="0.25">
      <c r="B26" s="202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210"/>
      <c r="N26" s="186"/>
      <c r="O26" s="186"/>
      <c r="P26" s="186"/>
      <c r="Q26" s="186"/>
      <c r="R26" s="186"/>
      <c r="S26" s="186"/>
      <c r="T26" s="186"/>
      <c r="U26" s="186"/>
      <c r="V26" s="186"/>
      <c r="W26" s="187"/>
      <c r="X26" s="206"/>
      <c r="Y26" s="186"/>
      <c r="Z26" s="186"/>
      <c r="AA26" s="186"/>
      <c r="AB26" s="186"/>
      <c r="AC26" s="186"/>
      <c r="AD26" s="186"/>
      <c r="AE26" s="186"/>
      <c r="AF26" s="186"/>
      <c r="AG26" s="186"/>
      <c r="AH26" s="187"/>
      <c r="AI26" s="194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94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95"/>
    </row>
    <row r="27" spans="2:58" ht="13" customHeight="1" x14ac:dyDescent="0.25">
      <c r="B27" s="203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90"/>
      <c r="X27" s="188"/>
      <c r="Y27" s="189"/>
      <c r="Z27" s="189"/>
      <c r="AA27" s="189"/>
      <c r="AB27" s="189"/>
      <c r="AC27" s="189"/>
      <c r="AD27" s="189"/>
      <c r="AE27" s="189"/>
      <c r="AF27" s="189"/>
      <c r="AG27" s="189"/>
      <c r="AH27" s="190"/>
      <c r="AI27" s="188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96"/>
    </row>
    <row r="28" spans="2:58" ht="13" customHeight="1" x14ac:dyDescent="0.25">
      <c r="B28" s="203"/>
      <c r="C28" s="189"/>
      <c r="D28" s="189"/>
      <c r="E28" s="189"/>
      <c r="F28" s="189"/>
      <c r="G28" s="189"/>
      <c r="H28" s="189"/>
      <c r="I28" s="189"/>
      <c r="J28" s="189"/>
      <c r="K28" s="189"/>
      <c r="L28" s="190"/>
      <c r="M28" s="188"/>
      <c r="N28" s="189"/>
      <c r="O28" s="189"/>
      <c r="P28" s="189"/>
      <c r="Q28" s="189"/>
      <c r="R28" s="189"/>
      <c r="S28" s="189"/>
      <c r="T28" s="189"/>
      <c r="U28" s="189"/>
      <c r="V28" s="189"/>
      <c r="W28" s="190"/>
      <c r="X28" s="188"/>
      <c r="Y28" s="189"/>
      <c r="Z28" s="189"/>
      <c r="AA28" s="189"/>
      <c r="AB28" s="189"/>
      <c r="AC28" s="189"/>
      <c r="AD28" s="189"/>
      <c r="AE28" s="189"/>
      <c r="AF28" s="189"/>
      <c r="AG28" s="189"/>
      <c r="AH28" s="190"/>
      <c r="AI28" s="188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90"/>
      <c r="AU28" s="188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96"/>
    </row>
    <row r="29" spans="2:58" ht="13" customHeight="1" x14ac:dyDescent="0.25">
      <c r="B29" s="203"/>
      <c r="C29" s="189"/>
      <c r="D29" s="189"/>
      <c r="E29" s="189"/>
      <c r="F29" s="189"/>
      <c r="G29" s="189"/>
      <c r="H29" s="189"/>
      <c r="I29" s="189"/>
      <c r="J29" s="189"/>
      <c r="K29" s="189"/>
      <c r="L29" s="190"/>
      <c r="M29" s="188"/>
      <c r="N29" s="189"/>
      <c r="O29" s="189"/>
      <c r="P29" s="189"/>
      <c r="Q29" s="189"/>
      <c r="R29" s="189"/>
      <c r="S29" s="189"/>
      <c r="T29" s="189"/>
      <c r="U29" s="189"/>
      <c r="V29" s="189"/>
      <c r="W29" s="190"/>
      <c r="X29" s="188"/>
      <c r="Y29" s="189"/>
      <c r="Z29" s="189"/>
      <c r="AA29" s="189"/>
      <c r="AB29" s="189"/>
      <c r="AC29" s="189"/>
      <c r="AD29" s="189"/>
      <c r="AE29" s="189"/>
      <c r="AF29" s="189"/>
      <c r="AG29" s="189"/>
      <c r="AH29" s="190"/>
      <c r="AI29" s="188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90"/>
      <c r="AU29" s="188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96"/>
    </row>
    <row r="30" spans="2:58" ht="13" customHeight="1" x14ac:dyDescent="0.25">
      <c r="B30" s="203"/>
      <c r="C30" s="189"/>
      <c r="D30" s="189"/>
      <c r="E30" s="189"/>
      <c r="F30" s="189"/>
      <c r="G30" s="189"/>
      <c r="H30" s="189"/>
      <c r="I30" s="189"/>
      <c r="J30" s="189"/>
      <c r="K30" s="189"/>
      <c r="L30" s="190"/>
      <c r="M30" s="188"/>
      <c r="N30" s="189"/>
      <c r="O30" s="189"/>
      <c r="P30" s="189"/>
      <c r="Q30" s="189"/>
      <c r="R30" s="189"/>
      <c r="S30" s="189"/>
      <c r="T30" s="189"/>
      <c r="U30" s="189"/>
      <c r="V30" s="189"/>
      <c r="W30" s="190"/>
      <c r="X30" s="188"/>
      <c r="Y30" s="189"/>
      <c r="Z30" s="189"/>
      <c r="AA30" s="189"/>
      <c r="AB30" s="189"/>
      <c r="AC30" s="189"/>
      <c r="AD30" s="189"/>
      <c r="AE30" s="189"/>
      <c r="AF30" s="189"/>
      <c r="AG30" s="189"/>
      <c r="AH30" s="190"/>
      <c r="AI30" s="188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90"/>
      <c r="AU30" s="188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96"/>
    </row>
    <row r="31" spans="2:58" ht="13" customHeight="1" x14ac:dyDescent="0.25">
      <c r="B31" s="204"/>
      <c r="C31" s="192"/>
      <c r="D31" s="192"/>
      <c r="E31" s="192"/>
      <c r="F31" s="192"/>
      <c r="G31" s="192"/>
      <c r="H31" s="192"/>
      <c r="I31" s="192"/>
      <c r="J31" s="192"/>
      <c r="K31" s="192"/>
      <c r="L31" s="149"/>
      <c r="M31" s="191"/>
      <c r="N31" s="192"/>
      <c r="O31" s="192"/>
      <c r="P31" s="192"/>
      <c r="Q31" s="192"/>
      <c r="R31" s="192"/>
      <c r="S31" s="192"/>
      <c r="T31" s="192"/>
      <c r="U31" s="192"/>
      <c r="V31" s="192"/>
      <c r="W31" s="149"/>
      <c r="X31" s="191"/>
      <c r="Y31" s="192"/>
      <c r="Z31" s="192"/>
      <c r="AA31" s="192"/>
      <c r="AB31" s="192"/>
      <c r="AC31" s="192"/>
      <c r="AD31" s="192"/>
      <c r="AE31" s="192"/>
      <c r="AF31" s="192"/>
      <c r="AG31" s="192"/>
      <c r="AH31" s="149"/>
      <c r="AI31" s="191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49"/>
      <c r="AU31" s="191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7"/>
    </row>
    <row r="32" spans="2:58" ht="13" customHeight="1" x14ac:dyDescent="0.25">
      <c r="B32" s="181" t="s">
        <v>251</v>
      </c>
      <c r="C32" s="179"/>
      <c r="D32" s="179"/>
      <c r="E32" s="179"/>
      <c r="F32" s="179"/>
      <c r="G32" s="179"/>
      <c r="H32" s="179"/>
      <c r="I32" s="179"/>
      <c r="J32" s="179"/>
      <c r="K32" s="179"/>
      <c r="L32" s="150"/>
      <c r="M32" s="184" t="s">
        <v>252</v>
      </c>
      <c r="N32" s="179"/>
      <c r="O32" s="179"/>
      <c r="P32" s="179"/>
      <c r="Q32" s="179"/>
      <c r="R32" s="179"/>
      <c r="S32" s="179"/>
      <c r="T32" s="179"/>
      <c r="U32" s="179"/>
      <c r="V32" s="179"/>
      <c r="W32" s="150"/>
      <c r="X32" s="182" t="s">
        <v>253</v>
      </c>
      <c r="Y32" s="179"/>
      <c r="Z32" s="179"/>
      <c r="AA32" s="179"/>
      <c r="AB32" s="179"/>
      <c r="AC32" s="179"/>
      <c r="AD32" s="179"/>
      <c r="AE32" s="179"/>
      <c r="AF32" s="179"/>
      <c r="AG32" s="179"/>
      <c r="AH32" s="150"/>
      <c r="AI32" s="132" t="s">
        <v>254</v>
      </c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50"/>
      <c r="AU32" s="132" t="s">
        <v>255</v>
      </c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83"/>
    </row>
    <row r="33" spans="2:58" ht="13" customHeight="1" x14ac:dyDescent="0.25">
      <c r="B33" s="202"/>
      <c r="C33" s="186"/>
      <c r="D33" s="186"/>
      <c r="E33" s="186"/>
      <c r="F33" s="186"/>
      <c r="G33" s="186"/>
      <c r="H33" s="186"/>
      <c r="I33" s="186"/>
      <c r="J33" s="186"/>
      <c r="K33" s="186"/>
      <c r="L33" s="187"/>
      <c r="M33" s="205"/>
      <c r="N33" s="186"/>
      <c r="O33" s="186"/>
      <c r="P33" s="186"/>
      <c r="Q33" s="186"/>
      <c r="R33" s="186"/>
      <c r="S33" s="186"/>
      <c r="T33" s="186"/>
      <c r="U33" s="186"/>
      <c r="V33" s="186"/>
      <c r="W33" s="187"/>
      <c r="X33" s="206"/>
      <c r="Y33" s="186"/>
      <c r="Z33" s="186"/>
      <c r="AA33" s="186"/>
      <c r="AB33" s="186"/>
      <c r="AC33" s="186"/>
      <c r="AD33" s="186"/>
      <c r="AE33" s="186"/>
      <c r="AF33" s="186"/>
      <c r="AG33" s="186"/>
      <c r="AH33" s="187"/>
      <c r="AI33" s="194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7"/>
      <c r="AU33" s="194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95"/>
    </row>
    <row r="34" spans="2:58" ht="13" customHeight="1" x14ac:dyDescent="0.25">
      <c r="B34" s="203"/>
      <c r="C34" s="189"/>
      <c r="D34" s="189"/>
      <c r="E34" s="189"/>
      <c r="F34" s="189"/>
      <c r="G34" s="189"/>
      <c r="H34" s="189"/>
      <c r="I34" s="189"/>
      <c r="J34" s="189"/>
      <c r="K34" s="189"/>
      <c r="L34" s="190"/>
      <c r="M34" s="188"/>
      <c r="N34" s="189"/>
      <c r="O34" s="189"/>
      <c r="P34" s="189"/>
      <c r="Q34" s="189"/>
      <c r="R34" s="189"/>
      <c r="S34" s="189"/>
      <c r="T34" s="189"/>
      <c r="U34" s="189"/>
      <c r="V34" s="189"/>
      <c r="W34" s="190"/>
      <c r="X34" s="188"/>
      <c r="Y34" s="189"/>
      <c r="Z34" s="189"/>
      <c r="AA34" s="189"/>
      <c r="AB34" s="189"/>
      <c r="AC34" s="189"/>
      <c r="AD34" s="189"/>
      <c r="AE34" s="189"/>
      <c r="AF34" s="189"/>
      <c r="AG34" s="189"/>
      <c r="AH34" s="190"/>
      <c r="AI34" s="188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90"/>
      <c r="AU34" s="188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96"/>
    </row>
    <row r="35" spans="2:58" ht="13" customHeight="1" x14ac:dyDescent="0.25">
      <c r="B35" s="203"/>
      <c r="C35" s="189"/>
      <c r="D35" s="189"/>
      <c r="E35" s="189"/>
      <c r="F35" s="189"/>
      <c r="G35" s="189"/>
      <c r="H35" s="189"/>
      <c r="I35" s="189"/>
      <c r="J35" s="189"/>
      <c r="K35" s="189"/>
      <c r="L35" s="190"/>
      <c r="M35" s="188"/>
      <c r="N35" s="189"/>
      <c r="O35" s="189"/>
      <c r="P35" s="189"/>
      <c r="Q35" s="189"/>
      <c r="R35" s="189"/>
      <c r="S35" s="189"/>
      <c r="T35" s="189"/>
      <c r="U35" s="189"/>
      <c r="V35" s="189"/>
      <c r="W35" s="190"/>
      <c r="X35" s="188"/>
      <c r="Y35" s="189"/>
      <c r="Z35" s="189"/>
      <c r="AA35" s="189"/>
      <c r="AB35" s="189"/>
      <c r="AC35" s="189"/>
      <c r="AD35" s="189"/>
      <c r="AE35" s="189"/>
      <c r="AF35" s="189"/>
      <c r="AG35" s="189"/>
      <c r="AH35" s="190"/>
      <c r="AI35" s="188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90"/>
      <c r="AU35" s="188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96"/>
    </row>
    <row r="36" spans="2:58" ht="13" customHeight="1" x14ac:dyDescent="0.25">
      <c r="B36" s="203"/>
      <c r="C36" s="189"/>
      <c r="D36" s="189"/>
      <c r="E36" s="189"/>
      <c r="F36" s="189"/>
      <c r="G36" s="189"/>
      <c r="H36" s="189"/>
      <c r="I36" s="189"/>
      <c r="J36" s="189"/>
      <c r="K36" s="189"/>
      <c r="L36" s="190"/>
      <c r="M36" s="188"/>
      <c r="N36" s="189"/>
      <c r="O36" s="189"/>
      <c r="P36" s="189"/>
      <c r="Q36" s="189"/>
      <c r="R36" s="189"/>
      <c r="S36" s="189"/>
      <c r="T36" s="189"/>
      <c r="U36" s="189"/>
      <c r="V36" s="189"/>
      <c r="W36" s="190"/>
      <c r="X36" s="188"/>
      <c r="Y36" s="189"/>
      <c r="Z36" s="189"/>
      <c r="AA36" s="189"/>
      <c r="AB36" s="189"/>
      <c r="AC36" s="189"/>
      <c r="AD36" s="189"/>
      <c r="AE36" s="189"/>
      <c r="AF36" s="189"/>
      <c r="AG36" s="189"/>
      <c r="AH36" s="190"/>
      <c r="AI36" s="188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90"/>
      <c r="AU36" s="188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  <c r="BF36" s="196"/>
    </row>
    <row r="37" spans="2:58" ht="13" customHeight="1" x14ac:dyDescent="0.25">
      <c r="B37" s="203"/>
      <c r="C37" s="189"/>
      <c r="D37" s="189"/>
      <c r="E37" s="189"/>
      <c r="F37" s="189"/>
      <c r="G37" s="189"/>
      <c r="H37" s="189"/>
      <c r="I37" s="189"/>
      <c r="J37" s="189"/>
      <c r="K37" s="189"/>
      <c r="L37" s="190"/>
      <c r="M37" s="188"/>
      <c r="N37" s="189"/>
      <c r="O37" s="189"/>
      <c r="P37" s="189"/>
      <c r="Q37" s="189"/>
      <c r="R37" s="189"/>
      <c r="S37" s="189"/>
      <c r="T37" s="189"/>
      <c r="U37" s="189"/>
      <c r="V37" s="189"/>
      <c r="W37" s="190"/>
      <c r="X37" s="188"/>
      <c r="Y37" s="189"/>
      <c r="Z37" s="189"/>
      <c r="AA37" s="189"/>
      <c r="AB37" s="189"/>
      <c r="AC37" s="189"/>
      <c r="AD37" s="189"/>
      <c r="AE37" s="189"/>
      <c r="AF37" s="189"/>
      <c r="AG37" s="189"/>
      <c r="AH37" s="190"/>
      <c r="AI37" s="188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90"/>
      <c r="AU37" s="188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96"/>
    </row>
    <row r="38" spans="2:58" ht="13" customHeight="1" x14ac:dyDescent="0.25">
      <c r="B38" s="204"/>
      <c r="C38" s="192"/>
      <c r="D38" s="192"/>
      <c r="E38" s="192"/>
      <c r="F38" s="192"/>
      <c r="G38" s="192"/>
      <c r="H38" s="192"/>
      <c r="I38" s="192"/>
      <c r="J38" s="192"/>
      <c r="K38" s="192"/>
      <c r="L38" s="149"/>
      <c r="M38" s="191"/>
      <c r="N38" s="192"/>
      <c r="O38" s="192"/>
      <c r="P38" s="192"/>
      <c r="Q38" s="192"/>
      <c r="R38" s="192"/>
      <c r="S38" s="192"/>
      <c r="T38" s="192"/>
      <c r="U38" s="192"/>
      <c r="V38" s="192"/>
      <c r="W38" s="149"/>
      <c r="X38" s="191"/>
      <c r="Y38" s="192"/>
      <c r="Z38" s="192"/>
      <c r="AA38" s="192"/>
      <c r="AB38" s="192"/>
      <c r="AC38" s="192"/>
      <c r="AD38" s="192"/>
      <c r="AE38" s="192"/>
      <c r="AF38" s="192"/>
      <c r="AG38" s="192"/>
      <c r="AH38" s="149"/>
      <c r="AI38" s="191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49"/>
      <c r="AU38" s="191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7"/>
    </row>
    <row r="39" spans="2:58" ht="13" customHeight="1" x14ac:dyDescent="0.25">
      <c r="B39" s="181" t="s">
        <v>256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50"/>
      <c r="M39" s="184" t="s">
        <v>257</v>
      </c>
      <c r="N39" s="179"/>
      <c r="O39" s="179"/>
      <c r="P39" s="179"/>
      <c r="Q39" s="179"/>
      <c r="R39" s="179"/>
      <c r="S39" s="179"/>
      <c r="T39" s="179"/>
      <c r="U39" s="179"/>
      <c r="V39" s="179"/>
      <c r="W39" s="150"/>
      <c r="X39" s="182" t="s">
        <v>258</v>
      </c>
      <c r="Y39" s="179"/>
      <c r="Z39" s="179"/>
      <c r="AA39" s="179"/>
      <c r="AB39" s="179"/>
      <c r="AC39" s="179"/>
      <c r="AD39" s="179"/>
      <c r="AE39" s="179"/>
      <c r="AF39" s="179"/>
      <c r="AG39" s="179"/>
      <c r="AH39" s="150"/>
      <c r="AI39" s="132" t="s">
        <v>259</v>
      </c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50"/>
      <c r="AU39" s="132" t="s">
        <v>260</v>
      </c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83"/>
    </row>
    <row r="40" spans="2:58" ht="13" customHeight="1" x14ac:dyDescent="0.25">
      <c r="B40" s="202"/>
      <c r="C40" s="186"/>
      <c r="D40" s="186"/>
      <c r="E40" s="186"/>
      <c r="F40" s="186"/>
      <c r="G40" s="186"/>
      <c r="H40" s="186"/>
      <c r="I40" s="186"/>
      <c r="J40" s="186"/>
      <c r="K40" s="186"/>
      <c r="L40" s="187"/>
      <c r="M40" s="205"/>
      <c r="N40" s="186"/>
      <c r="O40" s="186"/>
      <c r="P40" s="186"/>
      <c r="Q40" s="186"/>
      <c r="R40" s="186"/>
      <c r="S40" s="186"/>
      <c r="T40" s="186"/>
      <c r="U40" s="186"/>
      <c r="V40" s="186"/>
      <c r="W40" s="187"/>
      <c r="X40" s="206"/>
      <c r="Y40" s="186"/>
      <c r="Z40" s="186"/>
      <c r="AA40" s="186"/>
      <c r="AB40" s="186"/>
      <c r="AC40" s="186"/>
      <c r="AD40" s="186"/>
      <c r="AE40" s="186"/>
      <c r="AF40" s="186"/>
      <c r="AG40" s="186"/>
      <c r="AH40" s="187"/>
      <c r="AI40" s="194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7"/>
      <c r="AU40" s="194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95"/>
    </row>
    <row r="41" spans="2:58" ht="13" customHeight="1" x14ac:dyDescent="0.25">
      <c r="B41" s="203"/>
      <c r="C41" s="189"/>
      <c r="D41" s="189"/>
      <c r="E41" s="189"/>
      <c r="F41" s="189"/>
      <c r="G41" s="189"/>
      <c r="H41" s="189"/>
      <c r="I41" s="189"/>
      <c r="J41" s="189"/>
      <c r="K41" s="189"/>
      <c r="L41" s="190"/>
      <c r="M41" s="188"/>
      <c r="N41" s="189"/>
      <c r="O41" s="189"/>
      <c r="P41" s="189"/>
      <c r="Q41" s="189"/>
      <c r="R41" s="189"/>
      <c r="S41" s="189"/>
      <c r="T41" s="189"/>
      <c r="U41" s="189"/>
      <c r="V41" s="189"/>
      <c r="W41" s="190"/>
      <c r="X41" s="188"/>
      <c r="Y41" s="189"/>
      <c r="Z41" s="189"/>
      <c r="AA41" s="189"/>
      <c r="AB41" s="189"/>
      <c r="AC41" s="189"/>
      <c r="AD41" s="189"/>
      <c r="AE41" s="189"/>
      <c r="AF41" s="189"/>
      <c r="AG41" s="189"/>
      <c r="AH41" s="190"/>
      <c r="AI41" s="188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90"/>
      <c r="AU41" s="188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96"/>
    </row>
    <row r="42" spans="2:58" ht="13" customHeight="1" x14ac:dyDescent="0.25">
      <c r="B42" s="203"/>
      <c r="C42" s="189"/>
      <c r="D42" s="189"/>
      <c r="E42" s="189"/>
      <c r="F42" s="189"/>
      <c r="G42" s="189"/>
      <c r="H42" s="189"/>
      <c r="I42" s="189"/>
      <c r="J42" s="189"/>
      <c r="K42" s="189"/>
      <c r="L42" s="190"/>
      <c r="M42" s="188"/>
      <c r="N42" s="189"/>
      <c r="O42" s="189"/>
      <c r="P42" s="189"/>
      <c r="Q42" s="189"/>
      <c r="R42" s="189"/>
      <c r="S42" s="189"/>
      <c r="T42" s="189"/>
      <c r="U42" s="189"/>
      <c r="V42" s="189"/>
      <c r="W42" s="190"/>
      <c r="X42" s="188"/>
      <c r="Y42" s="189"/>
      <c r="Z42" s="189"/>
      <c r="AA42" s="189"/>
      <c r="AB42" s="189"/>
      <c r="AC42" s="189"/>
      <c r="AD42" s="189"/>
      <c r="AE42" s="189"/>
      <c r="AF42" s="189"/>
      <c r="AG42" s="189"/>
      <c r="AH42" s="190"/>
      <c r="AI42" s="188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90"/>
      <c r="AU42" s="188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96"/>
    </row>
    <row r="43" spans="2:58" ht="13" customHeight="1" x14ac:dyDescent="0.25">
      <c r="B43" s="203"/>
      <c r="C43" s="189"/>
      <c r="D43" s="189"/>
      <c r="E43" s="189"/>
      <c r="F43" s="189"/>
      <c r="G43" s="189"/>
      <c r="H43" s="189"/>
      <c r="I43" s="189"/>
      <c r="J43" s="189"/>
      <c r="K43" s="189"/>
      <c r="L43" s="190"/>
      <c r="M43" s="188"/>
      <c r="N43" s="189"/>
      <c r="O43" s="189"/>
      <c r="P43" s="189"/>
      <c r="Q43" s="189"/>
      <c r="R43" s="189"/>
      <c r="S43" s="189"/>
      <c r="T43" s="189"/>
      <c r="U43" s="189"/>
      <c r="V43" s="189"/>
      <c r="W43" s="190"/>
      <c r="X43" s="188"/>
      <c r="Y43" s="189"/>
      <c r="Z43" s="189"/>
      <c r="AA43" s="189"/>
      <c r="AB43" s="189"/>
      <c r="AC43" s="189"/>
      <c r="AD43" s="189"/>
      <c r="AE43" s="189"/>
      <c r="AF43" s="189"/>
      <c r="AG43" s="189"/>
      <c r="AH43" s="190"/>
      <c r="AI43" s="188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90"/>
      <c r="AU43" s="188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96"/>
    </row>
    <row r="44" spans="2:58" ht="13" customHeight="1" x14ac:dyDescent="0.25">
      <c r="B44" s="203"/>
      <c r="C44" s="189"/>
      <c r="D44" s="189"/>
      <c r="E44" s="189"/>
      <c r="F44" s="189"/>
      <c r="G44" s="189"/>
      <c r="H44" s="189"/>
      <c r="I44" s="189"/>
      <c r="J44" s="189"/>
      <c r="K44" s="189"/>
      <c r="L44" s="190"/>
      <c r="M44" s="188"/>
      <c r="N44" s="189"/>
      <c r="O44" s="189"/>
      <c r="P44" s="189"/>
      <c r="Q44" s="189"/>
      <c r="R44" s="189"/>
      <c r="S44" s="189"/>
      <c r="T44" s="189"/>
      <c r="U44" s="189"/>
      <c r="V44" s="189"/>
      <c r="W44" s="190"/>
      <c r="X44" s="188"/>
      <c r="Y44" s="189"/>
      <c r="Z44" s="189"/>
      <c r="AA44" s="189"/>
      <c r="AB44" s="189"/>
      <c r="AC44" s="189"/>
      <c r="AD44" s="189"/>
      <c r="AE44" s="189"/>
      <c r="AF44" s="189"/>
      <c r="AG44" s="189"/>
      <c r="AH44" s="190"/>
      <c r="AI44" s="188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90"/>
      <c r="AU44" s="188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96"/>
    </row>
    <row r="45" spans="2:58" ht="13" customHeight="1" x14ac:dyDescent="0.25">
      <c r="B45" s="204"/>
      <c r="C45" s="192"/>
      <c r="D45" s="192"/>
      <c r="E45" s="192"/>
      <c r="F45" s="192"/>
      <c r="G45" s="192"/>
      <c r="H45" s="192"/>
      <c r="I45" s="192"/>
      <c r="J45" s="192"/>
      <c r="K45" s="192"/>
      <c r="L45" s="149"/>
      <c r="M45" s="191"/>
      <c r="N45" s="192"/>
      <c r="O45" s="192"/>
      <c r="P45" s="192"/>
      <c r="Q45" s="192"/>
      <c r="R45" s="192"/>
      <c r="S45" s="192"/>
      <c r="T45" s="192"/>
      <c r="U45" s="192"/>
      <c r="V45" s="192"/>
      <c r="W45" s="149"/>
      <c r="X45" s="191"/>
      <c r="Y45" s="192"/>
      <c r="Z45" s="192"/>
      <c r="AA45" s="192"/>
      <c r="AB45" s="192"/>
      <c r="AC45" s="192"/>
      <c r="AD45" s="192"/>
      <c r="AE45" s="192"/>
      <c r="AF45" s="192"/>
      <c r="AG45" s="192"/>
      <c r="AH45" s="149"/>
      <c r="AI45" s="191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49"/>
      <c r="AU45" s="191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7"/>
    </row>
    <row r="46" spans="2:58" ht="13" customHeight="1" x14ac:dyDescent="0.25">
      <c r="B46" s="181" t="s">
        <v>261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50"/>
      <c r="M46" s="156" t="s">
        <v>262</v>
      </c>
      <c r="N46" s="179"/>
      <c r="O46" s="179"/>
      <c r="P46" s="179"/>
      <c r="Q46" s="179"/>
      <c r="R46" s="179"/>
      <c r="S46" s="179"/>
      <c r="T46" s="179"/>
      <c r="U46" s="179"/>
      <c r="V46" s="179"/>
      <c r="W46" s="150"/>
      <c r="X46" s="182" t="s">
        <v>263</v>
      </c>
      <c r="Y46" s="179"/>
      <c r="Z46" s="179"/>
      <c r="AA46" s="179"/>
      <c r="AB46" s="179"/>
      <c r="AC46" s="179"/>
      <c r="AD46" s="179"/>
      <c r="AE46" s="179"/>
      <c r="AF46" s="179"/>
      <c r="AG46" s="179"/>
      <c r="AH46" s="150"/>
      <c r="AI46" s="132" t="s">
        <v>264</v>
      </c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50"/>
      <c r="AU46" s="132" t="s">
        <v>265</v>
      </c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83"/>
    </row>
    <row r="47" spans="2:58" ht="13" customHeight="1" x14ac:dyDescent="0.25">
      <c r="B47" s="202"/>
      <c r="C47" s="186"/>
      <c r="D47" s="186"/>
      <c r="E47" s="186"/>
      <c r="F47" s="186"/>
      <c r="G47" s="186"/>
      <c r="H47" s="186"/>
      <c r="I47" s="186"/>
      <c r="J47" s="186"/>
      <c r="K47" s="186"/>
      <c r="L47" s="187"/>
      <c r="M47" s="205"/>
      <c r="N47" s="186"/>
      <c r="O47" s="186"/>
      <c r="P47" s="186"/>
      <c r="Q47" s="186"/>
      <c r="R47" s="186"/>
      <c r="S47" s="186"/>
      <c r="T47" s="186"/>
      <c r="U47" s="186"/>
      <c r="V47" s="186"/>
      <c r="W47" s="187"/>
      <c r="X47" s="206"/>
      <c r="Y47" s="186"/>
      <c r="Z47" s="186"/>
      <c r="AA47" s="186"/>
      <c r="AB47" s="186"/>
      <c r="AC47" s="186"/>
      <c r="AD47" s="186"/>
      <c r="AE47" s="186"/>
      <c r="AF47" s="186"/>
      <c r="AG47" s="186"/>
      <c r="AH47" s="187"/>
      <c r="AI47" s="194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7"/>
      <c r="AU47" s="194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95"/>
    </row>
    <row r="48" spans="2:58" ht="13" customHeight="1" x14ac:dyDescent="0.25">
      <c r="B48" s="203"/>
      <c r="C48" s="189"/>
      <c r="D48" s="189"/>
      <c r="E48" s="189"/>
      <c r="F48" s="189"/>
      <c r="G48" s="189"/>
      <c r="H48" s="189"/>
      <c r="I48" s="189"/>
      <c r="J48" s="189"/>
      <c r="K48" s="189"/>
      <c r="L48" s="190"/>
      <c r="M48" s="188"/>
      <c r="N48" s="189"/>
      <c r="O48" s="189"/>
      <c r="P48" s="189"/>
      <c r="Q48" s="189"/>
      <c r="R48" s="189"/>
      <c r="S48" s="189"/>
      <c r="T48" s="189"/>
      <c r="U48" s="189"/>
      <c r="V48" s="189"/>
      <c r="W48" s="190"/>
      <c r="X48" s="188"/>
      <c r="Y48" s="189"/>
      <c r="Z48" s="189"/>
      <c r="AA48" s="189"/>
      <c r="AB48" s="189"/>
      <c r="AC48" s="189"/>
      <c r="AD48" s="189"/>
      <c r="AE48" s="189"/>
      <c r="AF48" s="189"/>
      <c r="AG48" s="189"/>
      <c r="AH48" s="190"/>
      <c r="AI48" s="188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90"/>
      <c r="AU48" s="188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96"/>
    </row>
    <row r="49" spans="2:58" ht="13" customHeight="1" x14ac:dyDescent="0.25">
      <c r="B49" s="203"/>
      <c r="C49" s="189"/>
      <c r="D49" s="189"/>
      <c r="E49" s="189"/>
      <c r="F49" s="189"/>
      <c r="G49" s="189"/>
      <c r="H49" s="189"/>
      <c r="I49" s="189"/>
      <c r="J49" s="189"/>
      <c r="K49" s="189"/>
      <c r="L49" s="190"/>
      <c r="M49" s="188"/>
      <c r="N49" s="189"/>
      <c r="O49" s="189"/>
      <c r="P49" s="189"/>
      <c r="Q49" s="189"/>
      <c r="R49" s="189"/>
      <c r="S49" s="189"/>
      <c r="T49" s="189"/>
      <c r="U49" s="189"/>
      <c r="V49" s="189"/>
      <c r="W49" s="190"/>
      <c r="X49" s="188"/>
      <c r="Y49" s="189"/>
      <c r="Z49" s="189"/>
      <c r="AA49" s="189"/>
      <c r="AB49" s="189"/>
      <c r="AC49" s="189"/>
      <c r="AD49" s="189"/>
      <c r="AE49" s="189"/>
      <c r="AF49" s="189"/>
      <c r="AG49" s="189"/>
      <c r="AH49" s="190"/>
      <c r="AI49" s="188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90"/>
      <c r="AU49" s="188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96"/>
    </row>
    <row r="50" spans="2:58" ht="13" customHeight="1" x14ac:dyDescent="0.25">
      <c r="B50" s="203"/>
      <c r="C50" s="189"/>
      <c r="D50" s="189"/>
      <c r="E50" s="189"/>
      <c r="F50" s="189"/>
      <c r="G50" s="189"/>
      <c r="H50" s="189"/>
      <c r="I50" s="189"/>
      <c r="J50" s="189"/>
      <c r="K50" s="189"/>
      <c r="L50" s="190"/>
      <c r="M50" s="188"/>
      <c r="N50" s="189"/>
      <c r="O50" s="189"/>
      <c r="P50" s="189"/>
      <c r="Q50" s="189"/>
      <c r="R50" s="189"/>
      <c r="S50" s="189"/>
      <c r="T50" s="189"/>
      <c r="U50" s="189"/>
      <c r="V50" s="189"/>
      <c r="W50" s="190"/>
      <c r="X50" s="188"/>
      <c r="Y50" s="189"/>
      <c r="Z50" s="189"/>
      <c r="AA50" s="189"/>
      <c r="AB50" s="189"/>
      <c r="AC50" s="189"/>
      <c r="AD50" s="189"/>
      <c r="AE50" s="189"/>
      <c r="AF50" s="189"/>
      <c r="AG50" s="189"/>
      <c r="AH50" s="190"/>
      <c r="AI50" s="188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90"/>
      <c r="AU50" s="188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96"/>
    </row>
    <row r="51" spans="2:58" ht="13" customHeight="1" x14ac:dyDescent="0.25">
      <c r="B51" s="203"/>
      <c r="C51" s="189"/>
      <c r="D51" s="189"/>
      <c r="E51" s="189"/>
      <c r="F51" s="189"/>
      <c r="G51" s="189"/>
      <c r="H51" s="189"/>
      <c r="I51" s="189"/>
      <c r="J51" s="189"/>
      <c r="K51" s="189"/>
      <c r="L51" s="190"/>
      <c r="M51" s="188"/>
      <c r="N51" s="189"/>
      <c r="O51" s="189"/>
      <c r="P51" s="189"/>
      <c r="Q51" s="189"/>
      <c r="R51" s="189"/>
      <c r="S51" s="189"/>
      <c r="T51" s="189"/>
      <c r="U51" s="189"/>
      <c r="V51" s="189"/>
      <c r="W51" s="190"/>
      <c r="X51" s="188"/>
      <c r="Y51" s="189"/>
      <c r="Z51" s="189"/>
      <c r="AA51" s="189"/>
      <c r="AB51" s="189"/>
      <c r="AC51" s="189"/>
      <c r="AD51" s="189"/>
      <c r="AE51" s="189"/>
      <c r="AF51" s="189"/>
      <c r="AG51" s="189"/>
      <c r="AH51" s="190"/>
      <c r="AI51" s="188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90"/>
      <c r="AU51" s="188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96"/>
    </row>
    <row r="52" spans="2:58" ht="13" customHeight="1" x14ac:dyDescent="0.25">
      <c r="B52" s="204"/>
      <c r="C52" s="192"/>
      <c r="D52" s="192"/>
      <c r="E52" s="192"/>
      <c r="F52" s="192"/>
      <c r="G52" s="192"/>
      <c r="H52" s="192"/>
      <c r="I52" s="192"/>
      <c r="J52" s="192"/>
      <c r="K52" s="192"/>
      <c r="L52" s="149"/>
      <c r="M52" s="191"/>
      <c r="N52" s="192"/>
      <c r="O52" s="192"/>
      <c r="P52" s="192"/>
      <c r="Q52" s="192"/>
      <c r="R52" s="192"/>
      <c r="S52" s="192"/>
      <c r="T52" s="192"/>
      <c r="U52" s="192"/>
      <c r="V52" s="192"/>
      <c r="W52" s="149"/>
      <c r="X52" s="191"/>
      <c r="Y52" s="192"/>
      <c r="Z52" s="192"/>
      <c r="AA52" s="192"/>
      <c r="AB52" s="192"/>
      <c r="AC52" s="192"/>
      <c r="AD52" s="192"/>
      <c r="AE52" s="192"/>
      <c r="AF52" s="192"/>
      <c r="AG52" s="192"/>
      <c r="AH52" s="149"/>
      <c r="AI52" s="191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49"/>
      <c r="AU52" s="191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7"/>
    </row>
    <row r="53" spans="2:58" ht="13" customHeight="1" x14ac:dyDescent="0.25">
      <c r="B53" s="181" t="s">
        <v>266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50"/>
      <c r="M53" s="184" t="s">
        <v>267</v>
      </c>
      <c r="N53" s="179"/>
      <c r="O53" s="179"/>
      <c r="P53" s="179"/>
      <c r="Q53" s="179"/>
      <c r="R53" s="179"/>
      <c r="S53" s="179"/>
      <c r="T53" s="179"/>
      <c r="U53" s="179"/>
      <c r="V53" s="179"/>
      <c r="W53" s="150"/>
      <c r="X53" s="182" t="s">
        <v>268</v>
      </c>
      <c r="Y53" s="179"/>
      <c r="Z53" s="179"/>
      <c r="AA53" s="179"/>
      <c r="AB53" s="179"/>
      <c r="AC53" s="179"/>
      <c r="AD53" s="179"/>
      <c r="AE53" s="179"/>
      <c r="AF53" s="179"/>
      <c r="AG53" s="179"/>
      <c r="AH53" s="150"/>
      <c r="AI53" s="132" t="s">
        <v>269</v>
      </c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50"/>
      <c r="AU53" s="132" t="s">
        <v>270</v>
      </c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83"/>
    </row>
    <row r="54" spans="2:58" ht="13" customHeight="1" x14ac:dyDescent="0.25">
      <c r="B54" s="202"/>
      <c r="C54" s="186"/>
      <c r="D54" s="186"/>
      <c r="E54" s="186"/>
      <c r="F54" s="186"/>
      <c r="G54" s="186"/>
      <c r="H54" s="186"/>
      <c r="I54" s="186"/>
      <c r="J54" s="186"/>
      <c r="K54" s="186"/>
      <c r="L54" s="187"/>
      <c r="M54" s="210"/>
      <c r="N54" s="186"/>
      <c r="O54" s="186"/>
      <c r="P54" s="186"/>
      <c r="Q54" s="186"/>
      <c r="R54" s="186"/>
      <c r="S54" s="186"/>
      <c r="T54" s="186"/>
      <c r="U54" s="186"/>
      <c r="V54" s="186"/>
      <c r="W54" s="187"/>
      <c r="X54" s="206"/>
      <c r="Y54" s="186"/>
      <c r="Z54" s="186"/>
      <c r="AA54" s="186"/>
      <c r="AB54" s="186"/>
      <c r="AC54" s="186"/>
      <c r="AD54" s="186"/>
      <c r="AE54" s="186"/>
      <c r="AF54" s="186"/>
      <c r="AG54" s="186"/>
      <c r="AH54" s="187"/>
      <c r="AI54" s="194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7"/>
      <c r="AU54" s="194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95"/>
    </row>
    <row r="55" spans="2:58" ht="13" customHeight="1" x14ac:dyDescent="0.25">
      <c r="B55" s="203"/>
      <c r="C55" s="189"/>
      <c r="D55" s="189"/>
      <c r="E55" s="189"/>
      <c r="F55" s="189"/>
      <c r="G55" s="189"/>
      <c r="H55" s="189"/>
      <c r="I55" s="189"/>
      <c r="J55" s="189"/>
      <c r="K55" s="189"/>
      <c r="L55" s="190"/>
      <c r="M55" s="188"/>
      <c r="N55" s="189"/>
      <c r="O55" s="189"/>
      <c r="P55" s="189"/>
      <c r="Q55" s="189"/>
      <c r="R55" s="189"/>
      <c r="S55" s="189"/>
      <c r="T55" s="189"/>
      <c r="U55" s="189"/>
      <c r="V55" s="189"/>
      <c r="W55" s="190"/>
      <c r="X55" s="188"/>
      <c r="Y55" s="189"/>
      <c r="Z55" s="189"/>
      <c r="AA55" s="189"/>
      <c r="AB55" s="189"/>
      <c r="AC55" s="189"/>
      <c r="AD55" s="189"/>
      <c r="AE55" s="189"/>
      <c r="AF55" s="189"/>
      <c r="AG55" s="189"/>
      <c r="AH55" s="190"/>
      <c r="AI55" s="188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90"/>
      <c r="AU55" s="188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96"/>
    </row>
    <row r="56" spans="2:58" ht="13" customHeight="1" x14ac:dyDescent="0.25">
      <c r="B56" s="203"/>
      <c r="C56" s="189"/>
      <c r="D56" s="189"/>
      <c r="E56" s="189"/>
      <c r="F56" s="189"/>
      <c r="G56" s="189"/>
      <c r="H56" s="189"/>
      <c r="I56" s="189"/>
      <c r="J56" s="189"/>
      <c r="K56" s="189"/>
      <c r="L56" s="190"/>
      <c r="M56" s="188"/>
      <c r="N56" s="189"/>
      <c r="O56" s="189"/>
      <c r="P56" s="189"/>
      <c r="Q56" s="189"/>
      <c r="R56" s="189"/>
      <c r="S56" s="189"/>
      <c r="T56" s="189"/>
      <c r="U56" s="189"/>
      <c r="V56" s="189"/>
      <c r="W56" s="190"/>
      <c r="X56" s="188"/>
      <c r="Y56" s="189"/>
      <c r="Z56" s="189"/>
      <c r="AA56" s="189"/>
      <c r="AB56" s="189"/>
      <c r="AC56" s="189"/>
      <c r="AD56" s="189"/>
      <c r="AE56" s="189"/>
      <c r="AF56" s="189"/>
      <c r="AG56" s="189"/>
      <c r="AH56" s="190"/>
      <c r="AI56" s="188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90"/>
      <c r="AU56" s="188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96"/>
    </row>
    <row r="57" spans="2:58" ht="13" customHeight="1" x14ac:dyDescent="0.25">
      <c r="B57" s="203"/>
      <c r="C57" s="189"/>
      <c r="D57" s="189"/>
      <c r="E57" s="189"/>
      <c r="F57" s="189"/>
      <c r="G57" s="189"/>
      <c r="H57" s="189"/>
      <c r="I57" s="189"/>
      <c r="J57" s="189"/>
      <c r="K57" s="189"/>
      <c r="L57" s="190"/>
      <c r="M57" s="188"/>
      <c r="N57" s="189"/>
      <c r="O57" s="189"/>
      <c r="P57" s="189"/>
      <c r="Q57" s="189"/>
      <c r="R57" s="189"/>
      <c r="S57" s="189"/>
      <c r="T57" s="189"/>
      <c r="U57" s="189"/>
      <c r="V57" s="189"/>
      <c r="W57" s="190"/>
      <c r="X57" s="188"/>
      <c r="Y57" s="189"/>
      <c r="Z57" s="189"/>
      <c r="AA57" s="189"/>
      <c r="AB57" s="189"/>
      <c r="AC57" s="189"/>
      <c r="AD57" s="189"/>
      <c r="AE57" s="189"/>
      <c r="AF57" s="189"/>
      <c r="AG57" s="189"/>
      <c r="AH57" s="190"/>
      <c r="AI57" s="188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90"/>
      <c r="AU57" s="188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96"/>
    </row>
    <row r="58" spans="2:58" ht="13" customHeight="1" x14ac:dyDescent="0.25">
      <c r="B58" s="203"/>
      <c r="C58" s="189"/>
      <c r="D58" s="189"/>
      <c r="E58" s="189"/>
      <c r="F58" s="189"/>
      <c r="G58" s="189"/>
      <c r="H58" s="189"/>
      <c r="I58" s="189"/>
      <c r="J58" s="189"/>
      <c r="K58" s="189"/>
      <c r="L58" s="190"/>
      <c r="M58" s="188"/>
      <c r="N58" s="189"/>
      <c r="O58" s="189"/>
      <c r="P58" s="189"/>
      <c r="Q58" s="189"/>
      <c r="R58" s="189"/>
      <c r="S58" s="189"/>
      <c r="T58" s="189"/>
      <c r="U58" s="189"/>
      <c r="V58" s="189"/>
      <c r="W58" s="190"/>
      <c r="X58" s="188"/>
      <c r="Y58" s="189"/>
      <c r="Z58" s="189"/>
      <c r="AA58" s="189"/>
      <c r="AB58" s="189"/>
      <c r="AC58" s="189"/>
      <c r="AD58" s="189"/>
      <c r="AE58" s="189"/>
      <c r="AF58" s="189"/>
      <c r="AG58" s="189"/>
      <c r="AH58" s="190"/>
      <c r="AI58" s="188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90"/>
      <c r="AU58" s="188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1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1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1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1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2"/>
    </row>
    <row r="60" spans="2:58" ht="13" customHeight="1" x14ac:dyDescent="0.25">
      <c r="B60" s="148" t="s">
        <v>370</v>
      </c>
      <c r="C60" s="149"/>
      <c r="D60" s="9" t="s">
        <v>274</v>
      </c>
      <c r="E60" s="125" t="s">
        <v>20</v>
      </c>
      <c r="F60" s="128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1"/>
    </row>
    <row r="61" spans="2:58" ht="13" customHeight="1" x14ac:dyDescent="0.25">
      <c r="B61" s="124" t="s">
        <v>275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3"/>
    </row>
    <row r="62" spans="2:58" ht="13" customHeight="1" thickBot="1" x14ac:dyDescent="0.3">
      <c r="B62" s="136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5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R11"/>
  <sheetViews>
    <sheetView zoomScale="115" zoomScaleNormal="115" workbookViewId="0">
      <selection activeCell="F16" sqref="F16"/>
    </sheetView>
  </sheetViews>
  <sheetFormatPr defaultColWidth="9.81640625" defaultRowHeight="13" x14ac:dyDescent="0.25"/>
  <cols>
    <col min="1" max="1" width="1.7265625" style="105" customWidth="1"/>
    <col min="2" max="7" width="13.7265625" style="105" customWidth="1"/>
    <col min="8" max="10" width="13.90625" style="105" customWidth="1"/>
    <col min="11" max="11" width="12.7265625" style="105" bestFit="1" customWidth="1"/>
    <col min="12" max="12" width="11.36328125" style="105" bestFit="1" customWidth="1"/>
    <col min="13" max="15" width="9.90625" style="105" bestFit="1" customWidth="1"/>
    <col min="16" max="16" width="12.36328125" style="105" bestFit="1" customWidth="1"/>
    <col min="17" max="17" width="9.90625" style="105" bestFit="1" customWidth="1"/>
  </cols>
  <sheetData>
    <row r="2" spans="2:17" x14ac:dyDescent="0.25">
      <c r="B2" s="225" t="s">
        <v>350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</row>
    <row r="3" spans="2:17" x14ac:dyDescent="0.25">
      <c r="B3" s="226" t="s">
        <v>370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</row>
    <row r="4" spans="2:17" x14ac:dyDescent="0.25">
      <c r="B4" s="226" t="s">
        <v>351</v>
      </c>
      <c r="C4" s="91" t="s">
        <v>292</v>
      </c>
      <c r="D4" s="106" t="s">
        <v>352</v>
      </c>
      <c r="E4" s="106" t="s">
        <v>287</v>
      </c>
      <c r="F4" s="106" t="s">
        <v>288</v>
      </c>
      <c r="G4" s="91" t="s">
        <v>353</v>
      </c>
      <c r="H4" s="91" t="s">
        <v>354</v>
      </c>
      <c r="I4" s="91" t="s">
        <v>355</v>
      </c>
      <c r="J4" s="91" t="s">
        <v>356</v>
      </c>
      <c r="K4" s="106" t="s">
        <v>357</v>
      </c>
      <c r="L4" s="106" t="s">
        <v>358</v>
      </c>
      <c r="M4" s="91" t="s">
        <v>359</v>
      </c>
      <c r="N4" s="91" t="s">
        <v>360</v>
      </c>
      <c r="O4" s="91" t="s">
        <v>361</v>
      </c>
      <c r="P4" s="91" t="s">
        <v>362</v>
      </c>
      <c r="Q4" s="91" t="s">
        <v>363</v>
      </c>
    </row>
    <row r="5" spans="2:17" x14ac:dyDescent="0.25">
      <c r="B5" s="226"/>
      <c r="C5" s="91" t="s">
        <v>293</v>
      </c>
      <c r="D5" s="107" t="s">
        <v>364</v>
      </c>
      <c r="E5" s="91" t="s">
        <v>365</v>
      </c>
      <c r="F5" s="91" t="s">
        <v>366</v>
      </c>
      <c r="G5" s="91" t="s">
        <v>366</v>
      </c>
      <c r="H5" s="91" t="s">
        <v>366</v>
      </c>
      <c r="I5" s="91" t="s">
        <v>366</v>
      </c>
      <c r="J5" s="91" t="s">
        <v>366</v>
      </c>
      <c r="K5" s="91" t="s">
        <v>284</v>
      </c>
      <c r="L5" s="91" t="s">
        <v>282</v>
      </c>
      <c r="M5" s="91" t="s">
        <v>283</v>
      </c>
      <c r="N5" s="91" t="s">
        <v>283</v>
      </c>
      <c r="O5" s="91" t="s">
        <v>283</v>
      </c>
      <c r="P5" s="91" t="s">
        <v>281</v>
      </c>
      <c r="Q5" s="91" t="s">
        <v>281</v>
      </c>
    </row>
    <row r="6" spans="2:17" x14ac:dyDescent="0.25">
      <c r="B6" s="223" t="s">
        <v>370</v>
      </c>
      <c r="C6" s="223" t="s">
        <v>367</v>
      </c>
      <c r="D6" s="108"/>
      <c r="E6" s="108"/>
      <c r="F6" s="108"/>
      <c r="G6" s="220">
        <f>F6+F7+F8</f>
        <v>0</v>
      </c>
      <c r="H6" s="109">
        <f>F6*D6/100</f>
        <v>0</v>
      </c>
      <c r="I6" s="217">
        <f>H6+H7+H8</f>
        <v>0</v>
      </c>
      <c r="J6" s="217">
        <f t="shared" ref="J6" si="0">I6</f>
        <v>0</v>
      </c>
      <c r="K6" s="217">
        <v>3.6000311374664307</v>
      </c>
      <c r="L6" s="217">
        <v>413.12255859375</v>
      </c>
      <c r="M6" s="217">
        <f>K6*L6/1000</f>
        <v>0</v>
      </c>
      <c r="N6" s="217">
        <f>M6+'[1]2025.12月 '!N190</f>
        <v>0</v>
      </c>
      <c r="O6" s="217" t="e">
        <f>I6/M6*1.2/10</f>
        <v>#DIV/0!</v>
      </c>
      <c r="P6" s="110" t="s">
        <v>368</v>
      </c>
      <c r="Q6" s="217" t="e">
        <f>(I6+I9)/(K6+K9)/L6*1.2*100</f>
        <v>#DIV/0!</v>
      </c>
    </row>
    <row r="7" spans="2:17" x14ac:dyDescent="0.25">
      <c r="B7" s="224"/>
      <c r="C7" s="224"/>
      <c r="D7" s="108"/>
      <c r="E7" s="108"/>
      <c r="F7" s="108"/>
      <c r="G7" s="221"/>
      <c r="H7" s="109">
        <f t="shared" ref="H7:H11" si="1">F7*D7/100</f>
        <v>0</v>
      </c>
      <c r="I7" s="218"/>
      <c r="J7" s="218"/>
      <c r="K7" s="218"/>
      <c r="L7" s="218"/>
      <c r="M7" s="218"/>
      <c r="N7" s="218"/>
      <c r="O7" s="218"/>
      <c r="P7" s="110" t="s">
        <v>368</v>
      </c>
      <c r="Q7" s="218"/>
    </row>
    <row r="8" spans="2:17" x14ac:dyDescent="0.25">
      <c r="B8" s="224"/>
      <c r="C8" s="224"/>
      <c r="D8" s="108"/>
      <c r="E8" s="108"/>
      <c r="F8" s="108"/>
      <c r="G8" s="222"/>
      <c r="H8" s="109">
        <f t="shared" si="1"/>
        <v>0</v>
      </c>
      <c r="I8" s="219"/>
      <c r="J8" s="219"/>
      <c r="K8" s="219"/>
      <c r="L8" s="219"/>
      <c r="M8" s="219"/>
      <c r="N8" s="219"/>
      <c r="O8" s="219"/>
      <c r="P8" s="110" t="s">
        <v>369</v>
      </c>
      <c r="Q8" s="218"/>
    </row>
    <row r="9" spans="2:17" x14ac:dyDescent="0.25">
      <c r="B9" s="224"/>
      <c r="C9" s="224"/>
      <c r="D9" s="108"/>
      <c r="E9" s="108"/>
      <c r="F9" s="108"/>
      <c r="G9" s="220">
        <f>F9+F10+F11</f>
        <v>0</v>
      </c>
      <c r="H9" s="109">
        <f>F9*D9/100</f>
        <v>0</v>
      </c>
      <c r="I9" s="217">
        <f>H9+H10+H11</f>
        <v>0</v>
      </c>
      <c r="J9" s="217">
        <f>J6+I9</f>
        <v>0</v>
      </c>
      <c r="K9" s="217">
        <v>3.2998592853546143</v>
      </c>
      <c r="L9" s="217">
        <v>414.2366027832031</v>
      </c>
      <c r="M9" s="217">
        <f>K9*L9/1000</f>
        <v>0</v>
      </c>
      <c r="N9" s="217">
        <f>M9+N6</f>
        <v>0</v>
      </c>
      <c r="O9" s="217" t="e">
        <f>I9/M9*1.2/10</f>
        <v>#DIV/0!</v>
      </c>
      <c r="P9" s="110" t="s">
        <v>368</v>
      </c>
      <c r="Q9" s="218"/>
    </row>
    <row r="10" spans="2:17" x14ac:dyDescent="0.25">
      <c r="B10" s="224"/>
      <c r="C10" s="224"/>
      <c r="D10" s="108"/>
      <c r="E10" s="108"/>
      <c r="F10" s="108"/>
      <c r="G10" s="221"/>
      <c r="H10" s="109">
        <f t="shared" si="1"/>
        <v>0</v>
      </c>
      <c r="I10" s="218"/>
      <c r="J10" s="218"/>
      <c r="K10" s="218"/>
      <c r="L10" s="218"/>
      <c r="M10" s="218"/>
      <c r="N10" s="218"/>
      <c r="O10" s="218"/>
      <c r="P10" s="110" t="s">
        <v>368</v>
      </c>
      <c r="Q10" s="218"/>
    </row>
    <row r="11" spans="2:17" x14ac:dyDescent="0.25">
      <c r="B11" s="224"/>
      <c r="C11" s="224"/>
      <c r="D11" s="108"/>
      <c r="E11" s="108"/>
      <c r="F11" s="108"/>
      <c r="G11" s="222"/>
      <c r="H11" s="109">
        <f t="shared" si="1"/>
        <v>0</v>
      </c>
      <c r="I11" s="219"/>
      <c r="J11" s="219"/>
      <c r="K11" s="219"/>
      <c r="L11" s="219"/>
      <c r="M11" s="219"/>
      <c r="N11" s="219"/>
      <c r="O11" s="219"/>
      <c r="P11" s="110" t="s">
        <v>369</v>
      </c>
      <c r="Q11" s="219"/>
    </row>
  </sheetData>
  <mergeCells count="22">
    <mergeCell ref="B2:Q2"/>
    <mergeCell ref="B3:Q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  <mergeCell ref="N9:N11"/>
    <mergeCell ref="O9:O11"/>
    <mergeCell ref="K6:K8"/>
    <mergeCell ref="L6:L8"/>
    <mergeCell ref="M6:M8"/>
    <mergeCell ref="N6:N8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O16" sqref="O1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30" t="s">
        <v>349</v>
      </c>
      <c r="C2" s="231"/>
      <c r="D2" s="231"/>
      <c r="E2" s="231"/>
      <c r="F2" s="231"/>
      <c r="G2" s="231"/>
      <c r="H2" s="231"/>
      <c r="I2" s="231"/>
      <c r="J2" s="232"/>
    </row>
    <row r="3" spans="2:10" ht="20.15" customHeight="1" x14ac:dyDescent="0.25">
      <c r="B3" s="85"/>
      <c r="C3" s="86"/>
      <c r="D3" s="86"/>
      <c r="E3" s="86"/>
      <c r="F3" s="86"/>
      <c r="G3" s="87"/>
      <c r="H3" s="233"/>
      <c r="I3" s="233"/>
      <c r="J3" s="234"/>
    </row>
    <row r="4" spans="2:10" ht="21" x14ac:dyDescent="0.25">
      <c r="B4" s="235" t="s">
        <v>292</v>
      </c>
      <c r="C4" s="236"/>
      <c r="D4" s="237"/>
      <c r="E4" s="88" t="s">
        <v>293</v>
      </c>
      <c r="F4" s="88" t="s">
        <v>294</v>
      </c>
      <c r="G4" s="88" t="s">
        <v>295</v>
      </c>
      <c r="H4" s="238" t="s">
        <v>296</v>
      </c>
      <c r="I4" s="237"/>
      <c r="J4" s="89" t="s">
        <v>297</v>
      </c>
    </row>
    <row r="5" spans="2:10" x14ac:dyDescent="0.25">
      <c r="B5" s="90" t="s">
        <v>298</v>
      </c>
      <c r="C5" s="226" t="s">
        <v>299</v>
      </c>
      <c r="D5" s="226"/>
      <c r="E5" s="91" t="s">
        <v>283</v>
      </c>
      <c r="F5" s="92">
        <v>90</v>
      </c>
      <c r="G5" s="93">
        <v>0</v>
      </c>
      <c r="H5" s="94">
        <f>(G5-F5)/F5*100</f>
        <v>-100</v>
      </c>
      <c r="I5" s="95" t="s">
        <v>283</v>
      </c>
      <c r="J5" s="96"/>
    </row>
    <row r="6" spans="2:10" x14ac:dyDescent="0.25">
      <c r="B6" s="227" t="s">
        <v>300</v>
      </c>
      <c r="C6" s="226" t="s">
        <v>301</v>
      </c>
      <c r="D6" s="226"/>
      <c r="E6" s="91" t="s">
        <v>280</v>
      </c>
      <c r="F6" s="92" t="s">
        <v>302</v>
      </c>
      <c r="G6" s="93">
        <v>0</v>
      </c>
      <c r="H6" s="97" t="str">
        <f>IF($G6="","",IF(AND($G6&gt;=0,$G6&lt;=1427),"合格","不合格"))</f>
        <v/>
      </c>
      <c r="I6" s="98" t="s">
        <v>4</v>
      </c>
      <c r="J6" s="96"/>
    </row>
    <row r="7" spans="2:10" x14ac:dyDescent="0.25">
      <c r="B7" s="228"/>
      <c r="C7" s="226" t="s">
        <v>303</v>
      </c>
      <c r="D7" s="226"/>
      <c r="E7" s="91" t="s">
        <v>280</v>
      </c>
      <c r="F7" s="92" t="s">
        <v>304</v>
      </c>
      <c r="G7" s="93">
        <v>0</v>
      </c>
      <c r="H7" s="97" t="str">
        <f>IF($G7="","",IF(AND($G7&gt;=210,$G7&lt;=220),"合格","不合格"))</f>
        <v/>
      </c>
      <c r="I7" s="98" t="s">
        <v>4</v>
      </c>
      <c r="J7" s="96"/>
    </row>
    <row r="8" spans="2:10" x14ac:dyDescent="0.25">
      <c r="B8" s="229"/>
      <c r="C8" s="226" t="s">
        <v>305</v>
      </c>
      <c r="D8" s="226"/>
      <c r="E8" s="91" t="s">
        <v>280</v>
      </c>
      <c r="F8" s="92" t="s">
        <v>306</v>
      </c>
      <c r="G8" s="93">
        <v>0</v>
      </c>
      <c r="H8" s="97" t="str">
        <f>IF($G8="","",IF(AND($G8&gt;=190,$G8&lt;=210),"合格","不合格"))</f>
        <v/>
      </c>
      <c r="I8" s="98" t="s">
        <v>4</v>
      </c>
      <c r="J8" s="96"/>
    </row>
    <row r="9" spans="2:10" x14ac:dyDescent="0.25">
      <c r="B9" s="227" t="s">
        <v>307</v>
      </c>
      <c r="C9" s="91" t="s">
        <v>308</v>
      </c>
      <c r="D9" s="91" t="s">
        <v>309</v>
      </c>
      <c r="E9" s="91" t="s">
        <v>310</v>
      </c>
      <c r="F9" s="92" t="s">
        <v>311</v>
      </c>
      <c r="G9" s="93">
        <v>413.6573486328125</v>
      </c>
      <c r="H9" s="97" t="str">
        <f>IF($G9="","",IF(AND($G9&gt;=412,$G9&lt;=422),"合格","不合格"))</f>
        <v/>
      </c>
      <c r="I9" s="98" t="s">
        <v>4</v>
      </c>
      <c r="J9" s="96"/>
    </row>
    <row r="10" spans="2:10" x14ac:dyDescent="0.25">
      <c r="B10" s="228"/>
      <c r="C10" s="226" t="s">
        <v>312</v>
      </c>
      <c r="D10" s="91" t="s">
        <v>313</v>
      </c>
      <c r="E10" s="98" t="s">
        <v>4</v>
      </c>
      <c r="F10" s="92" t="s">
        <v>314</v>
      </c>
      <c r="G10" s="93">
        <v>0.543451726436615</v>
      </c>
      <c r="H10" s="97" t="str">
        <f>IF($G10="","",IF(AND($G10&gt;=0.525,$G10&lt;=0.5357),"合格","不合格"))</f>
        <v/>
      </c>
      <c r="I10" s="98" t="s">
        <v>4</v>
      </c>
      <c r="J10" s="96"/>
    </row>
    <row r="11" spans="2:10" x14ac:dyDescent="0.25">
      <c r="B11" s="228"/>
      <c r="C11" s="226"/>
      <c r="D11" s="91" t="s">
        <v>315</v>
      </c>
      <c r="E11" s="91" t="s">
        <v>316</v>
      </c>
      <c r="F11" s="92">
        <v>46.63</v>
      </c>
      <c r="G11" s="93">
        <v>46.65299987792969</v>
      </c>
      <c r="H11" s="97" t="s">
        <v>317</v>
      </c>
      <c r="I11" s="98" t="s">
        <v>4</v>
      </c>
      <c r="J11" s="96"/>
    </row>
    <row r="12" spans="2:10" x14ac:dyDescent="0.25">
      <c r="B12" s="228"/>
      <c r="C12" s="226"/>
      <c r="D12" s="91" t="s">
        <v>318</v>
      </c>
      <c r="E12" s="91" t="s">
        <v>285</v>
      </c>
      <c r="F12" s="92" t="s">
        <v>319</v>
      </c>
      <c r="G12" s="93">
        <v>0.736173689365387</v>
      </c>
      <c r="H12" s="97" t="str">
        <f>IF($G12="","",IF(AND($G12&gt;=0.745,$G12&lt;=0.755),"合格","不合格"))</f>
        <v/>
      </c>
      <c r="I12" s="98" t="s">
        <v>4</v>
      </c>
      <c r="J12" s="96"/>
    </row>
    <row r="13" spans="2:10" x14ac:dyDescent="0.25">
      <c r="B13" s="228"/>
      <c r="C13" s="226"/>
      <c r="D13" s="91" t="s">
        <v>320</v>
      </c>
      <c r="E13" s="91" t="s">
        <v>286</v>
      </c>
      <c r="F13" s="92" t="s">
        <v>321</v>
      </c>
      <c r="G13" s="93">
        <v>90.64177703857422</v>
      </c>
      <c r="H13" s="97" t="str">
        <f>IF($G13="","",IF(AND($G13&gt;=88,$G13&lt;=92),"合格","不合格"))</f>
        <v/>
      </c>
      <c r="I13" s="98" t="s">
        <v>4</v>
      </c>
      <c r="J13" s="96"/>
    </row>
    <row r="14" spans="2:10" x14ac:dyDescent="0.25">
      <c r="B14" s="228"/>
      <c r="C14" s="226"/>
      <c r="D14" s="91" t="s">
        <v>322</v>
      </c>
      <c r="E14" s="91" t="s">
        <v>286</v>
      </c>
      <c r="F14" s="92" t="s">
        <v>323</v>
      </c>
      <c r="G14" s="93">
        <v>140.8203125</v>
      </c>
      <c r="H14" s="97" t="str">
        <f>IF($G14="","",IF(AND($G14&gt;=143,$G14&lt;=147),"合格","不合格"))</f>
        <v/>
      </c>
      <c r="I14" s="98" t="s">
        <v>4</v>
      </c>
      <c r="J14" s="96"/>
    </row>
    <row r="15" spans="2:10" x14ac:dyDescent="0.25">
      <c r="B15" s="228"/>
      <c r="C15" s="226"/>
      <c r="D15" s="91" t="s">
        <v>324</v>
      </c>
      <c r="E15" s="91" t="s">
        <v>286</v>
      </c>
      <c r="F15" s="92" t="s">
        <v>325</v>
      </c>
      <c r="G15" s="93">
        <v>162.8052520751953</v>
      </c>
      <c r="H15" s="97" t="str">
        <f>IF($G15="","",IF(AND($G15&gt;=166,$G15&lt;=170),"合格","不合格"))</f>
        <v/>
      </c>
      <c r="I15" s="98" t="s">
        <v>4</v>
      </c>
      <c r="J15" s="96"/>
    </row>
    <row r="16" spans="2:10" x14ac:dyDescent="0.25">
      <c r="B16" s="228"/>
      <c r="C16" s="226" t="s">
        <v>326</v>
      </c>
      <c r="D16" s="91" t="s">
        <v>327</v>
      </c>
      <c r="E16" s="91" t="s">
        <v>286</v>
      </c>
      <c r="F16" s="92" t="s">
        <v>328</v>
      </c>
      <c r="G16" s="93">
        <v>45.17649841308594</v>
      </c>
      <c r="H16" s="97" t="str">
        <f>IF($G16="","",IF(AND($G16&gt;=0,$G16&lt;=45),"合格","不合格"))</f>
        <v/>
      </c>
      <c r="I16" s="98" t="s">
        <v>4</v>
      </c>
      <c r="J16" s="96"/>
    </row>
    <row r="17" spans="2:10" x14ac:dyDescent="0.25">
      <c r="B17" s="228"/>
      <c r="C17" s="226"/>
      <c r="D17" s="91" t="s">
        <v>329</v>
      </c>
      <c r="E17" s="91" t="s">
        <v>286</v>
      </c>
      <c r="F17" s="92" t="s">
        <v>330</v>
      </c>
      <c r="G17" s="93">
        <v>19.916522979736328</v>
      </c>
      <c r="H17" s="97" t="str">
        <f>IF($G17="","",IF(AND($G17&gt;=0,$G17&lt;=20),"合格","不合格"))</f>
        <v/>
      </c>
      <c r="I17" s="98" t="s">
        <v>4</v>
      </c>
      <c r="J17" s="96"/>
    </row>
    <row r="18" spans="2:10" x14ac:dyDescent="0.25">
      <c r="B18" s="228"/>
      <c r="C18" s="226"/>
      <c r="D18" s="91" t="s">
        <v>331</v>
      </c>
      <c r="E18" s="91" t="s">
        <v>286</v>
      </c>
      <c r="F18" s="92" t="s">
        <v>332</v>
      </c>
      <c r="G18" s="93">
        <v>49.71599578857422</v>
      </c>
      <c r="H18" s="97" t="str">
        <f>IF($G18="","",IF(AND($G18&gt;=46,$G18&lt;=50),"合格","不合格"))</f>
        <v/>
      </c>
      <c r="I18" s="98" t="s">
        <v>4</v>
      </c>
      <c r="J18" s="96"/>
    </row>
    <row r="19" spans="2:10" x14ac:dyDescent="0.25">
      <c r="B19" s="228"/>
      <c r="C19" s="226"/>
      <c r="D19" s="91" t="s">
        <v>333</v>
      </c>
      <c r="E19" s="91" t="s">
        <v>286</v>
      </c>
      <c r="F19" s="92" t="s">
        <v>334</v>
      </c>
      <c r="G19" s="93">
        <v>18.360822677612305</v>
      </c>
      <c r="H19" s="97" t="str">
        <f>IF($G19="","",IF(AND($G19&gt;=0,$G19&lt;=20),"合格","不合格"))</f>
        <v/>
      </c>
      <c r="I19" s="98" t="s">
        <v>4</v>
      </c>
      <c r="J19" s="96"/>
    </row>
    <row r="20" spans="2:10" x14ac:dyDescent="0.25">
      <c r="B20" s="228"/>
      <c r="C20" s="226" t="s">
        <v>335</v>
      </c>
      <c r="D20" s="91" t="s">
        <v>89</v>
      </c>
      <c r="E20" s="91" t="s">
        <v>283</v>
      </c>
      <c r="F20" s="99" t="s">
        <v>82</v>
      </c>
      <c r="G20" s="93">
        <v>33.4466667175293</v>
      </c>
      <c r="H20" s="100" t="s">
        <v>336</v>
      </c>
      <c r="I20" s="98" t="s">
        <v>4</v>
      </c>
      <c r="J20" s="96"/>
    </row>
    <row r="21" spans="2:10" x14ac:dyDescent="0.25">
      <c r="B21" s="228"/>
      <c r="C21" s="226"/>
      <c r="D21" s="91" t="s">
        <v>92</v>
      </c>
      <c r="E21" s="91" t="s">
        <v>283</v>
      </c>
      <c r="F21" s="99" t="s">
        <v>82</v>
      </c>
      <c r="G21" s="93"/>
      <c r="H21" s="100" t="s">
        <v>336</v>
      </c>
      <c r="I21" s="98" t="s">
        <v>4</v>
      </c>
      <c r="J21" s="96"/>
    </row>
    <row r="22" spans="2:10" x14ac:dyDescent="0.25">
      <c r="B22" s="228"/>
      <c r="C22" s="226"/>
      <c r="D22" s="91" t="s">
        <v>337</v>
      </c>
      <c r="E22" s="98" t="s">
        <v>4</v>
      </c>
      <c r="F22" s="99" t="s">
        <v>82</v>
      </c>
      <c r="G22" s="93">
        <v>6.87000036239624</v>
      </c>
      <c r="H22" s="100" t="s">
        <v>336</v>
      </c>
      <c r="I22" s="98" t="s">
        <v>4</v>
      </c>
      <c r="J22" s="96"/>
    </row>
    <row r="23" spans="2:10" x14ac:dyDescent="0.25">
      <c r="B23" s="228"/>
      <c r="C23" s="226"/>
      <c r="D23" s="91" t="s">
        <v>166</v>
      </c>
      <c r="E23" s="91" t="s">
        <v>310</v>
      </c>
      <c r="F23" s="99" t="s">
        <v>82</v>
      </c>
      <c r="G23" s="93">
        <v>19.994998931884766</v>
      </c>
      <c r="H23" s="100" t="s">
        <v>336</v>
      </c>
      <c r="I23" s="98" t="s">
        <v>4</v>
      </c>
      <c r="J23" s="96"/>
    </row>
    <row r="24" spans="2:10" x14ac:dyDescent="0.25">
      <c r="B24" s="229"/>
      <c r="C24" s="226"/>
      <c r="D24" s="91" t="s">
        <v>167</v>
      </c>
      <c r="E24" s="91" t="s">
        <v>310</v>
      </c>
      <c r="F24" s="99" t="s">
        <v>82</v>
      </c>
      <c r="G24" s="93">
        <v>7.525000095367432</v>
      </c>
      <c r="H24" s="100" t="s">
        <v>336</v>
      </c>
      <c r="I24" s="98" t="s">
        <v>4</v>
      </c>
      <c r="J24" s="96"/>
    </row>
    <row r="25" spans="2:10" x14ac:dyDescent="0.25">
      <c r="B25" s="239" t="s">
        <v>338</v>
      </c>
      <c r="C25" s="91" t="s">
        <v>339</v>
      </c>
      <c r="D25" s="91" t="s">
        <v>340</v>
      </c>
      <c r="E25" s="91" t="s">
        <v>341</v>
      </c>
      <c r="F25" s="92" t="s">
        <v>342</v>
      </c>
      <c r="G25" s="93">
        <v>0</v>
      </c>
      <c r="H25" s="97" t="str">
        <f>IF($G25="","",IF(AND($G25&gt;=0,$G25&lt;=0.38),"合格","不合格"))</f>
        <v/>
      </c>
      <c r="I25" s="98" t="s">
        <v>4</v>
      </c>
      <c r="J25" s="96"/>
    </row>
    <row r="26" spans="2:10" x14ac:dyDescent="0.25">
      <c r="B26" s="239"/>
      <c r="C26" s="226" t="s">
        <v>343</v>
      </c>
      <c r="D26" s="91" t="s">
        <v>10</v>
      </c>
      <c r="E26" s="91" t="s">
        <v>283</v>
      </c>
      <c r="F26" s="92">
        <v>7</v>
      </c>
      <c r="G26" s="93"/>
      <c r="H26" s="94">
        <f>(G26-F26)</f>
        <v>-7</v>
      </c>
      <c r="I26" s="98" t="s">
        <v>283</v>
      </c>
      <c r="J26" s="96"/>
    </row>
    <row r="27" spans="2:10" x14ac:dyDescent="0.25">
      <c r="B27" s="239"/>
      <c r="C27" s="226"/>
      <c r="D27" s="91" t="s">
        <v>344</v>
      </c>
      <c r="E27" s="91" t="s">
        <v>283</v>
      </c>
      <c r="F27" s="92">
        <v>15</v>
      </c>
      <c r="G27" s="93"/>
      <c r="H27" s="94">
        <f t="shared" ref="H27:H31" si="0">(G27-F27)</f>
        <v>-15</v>
      </c>
      <c r="I27" s="98" t="s">
        <v>283</v>
      </c>
      <c r="J27" s="96"/>
    </row>
    <row r="28" spans="2:10" x14ac:dyDescent="0.25">
      <c r="B28" s="239"/>
      <c r="C28" s="226"/>
      <c r="D28" s="91" t="s">
        <v>345</v>
      </c>
      <c r="E28" s="91" t="s">
        <v>283</v>
      </c>
      <c r="F28" s="92">
        <v>4</v>
      </c>
      <c r="G28" s="93"/>
      <c r="H28" s="94">
        <f t="shared" si="0"/>
        <v>-4</v>
      </c>
      <c r="I28" s="98" t="s">
        <v>283</v>
      </c>
      <c r="J28" s="96"/>
    </row>
    <row r="29" spans="2:10" x14ac:dyDescent="0.25">
      <c r="B29" s="239"/>
      <c r="C29" s="226"/>
      <c r="D29" s="91" t="s">
        <v>166</v>
      </c>
      <c r="E29" s="91" t="s">
        <v>283</v>
      </c>
      <c r="F29" s="92">
        <v>7</v>
      </c>
      <c r="G29" s="93"/>
      <c r="H29" s="94">
        <f t="shared" si="0"/>
        <v>-7</v>
      </c>
      <c r="I29" s="98" t="s">
        <v>283</v>
      </c>
      <c r="J29" s="96"/>
    </row>
    <row r="30" spans="2:10" x14ac:dyDescent="0.25">
      <c r="B30" s="239"/>
      <c r="C30" s="226"/>
      <c r="D30" s="91" t="s">
        <v>167</v>
      </c>
      <c r="E30" s="91" t="s">
        <v>283</v>
      </c>
      <c r="F30" s="92">
        <v>7</v>
      </c>
      <c r="G30" s="93"/>
      <c r="H30" s="94">
        <f t="shared" si="0"/>
        <v>-7</v>
      </c>
      <c r="I30" s="98" t="s">
        <v>283</v>
      </c>
      <c r="J30" s="96"/>
    </row>
    <row r="31" spans="2:10" x14ac:dyDescent="0.25">
      <c r="B31" s="239"/>
      <c r="C31" s="226"/>
      <c r="D31" s="91" t="s">
        <v>346</v>
      </c>
      <c r="E31" s="91" t="s">
        <v>347</v>
      </c>
      <c r="F31" s="92">
        <v>10</v>
      </c>
      <c r="G31" s="93"/>
      <c r="H31" s="94">
        <f t="shared" si="0"/>
        <v>-10</v>
      </c>
      <c r="I31" s="98" t="s">
        <v>283</v>
      </c>
      <c r="J31" s="96"/>
    </row>
    <row r="32" spans="2:10" ht="14.5" thickBot="1" x14ac:dyDescent="0.3">
      <c r="B32" s="227"/>
      <c r="C32" s="240"/>
      <c r="D32" s="101" t="s">
        <v>287</v>
      </c>
      <c r="E32" s="101" t="s">
        <v>283</v>
      </c>
      <c r="F32" s="102">
        <v>50</v>
      </c>
      <c r="G32" s="103"/>
      <c r="H32" s="94">
        <f>(G32-F32)</f>
        <v>-50</v>
      </c>
      <c r="I32" s="98" t="s">
        <v>283</v>
      </c>
      <c r="J32" s="104"/>
    </row>
    <row r="33" spans="2:10" x14ac:dyDescent="0.25">
      <c r="B33" s="241" t="s">
        <v>348</v>
      </c>
      <c r="C33" s="244"/>
      <c r="D33" s="245"/>
      <c r="E33" s="245"/>
      <c r="F33" s="245"/>
      <c r="G33" s="245"/>
      <c r="H33" s="245"/>
      <c r="I33" s="245"/>
      <c r="J33" s="246"/>
    </row>
    <row r="34" spans="2:10" x14ac:dyDescent="0.25">
      <c r="B34" s="242"/>
      <c r="C34" s="247"/>
      <c r="D34" s="248"/>
      <c r="E34" s="248"/>
      <c r="F34" s="248"/>
      <c r="G34" s="248"/>
      <c r="H34" s="248"/>
      <c r="I34" s="248"/>
      <c r="J34" s="249"/>
    </row>
    <row r="35" spans="2:10" ht="14.5" thickBot="1" x14ac:dyDescent="0.3">
      <c r="B35" s="243"/>
      <c r="C35" s="250"/>
      <c r="D35" s="251"/>
      <c r="E35" s="251"/>
      <c r="F35" s="251"/>
      <c r="G35" s="251"/>
      <c r="H35" s="251"/>
      <c r="I35" s="251"/>
      <c r="J35" s="252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台账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2026-05-28T02:57:32Z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