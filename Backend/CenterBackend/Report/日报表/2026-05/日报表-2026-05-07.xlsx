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6855" yWindow="-15180" windowWidth="19200" windowHeight="11175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<sst xmlns="http://schemas.openxmlformats.org/spreadsheetml/2006/main" count="881" uniqueCount="370">
  <si>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</si>
  <si>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</si>
  <si>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</si>
  <si>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</si>
  <si>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</si>
  <si>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</si>
  <si>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</si>
  <si>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</si>
  <si>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</si>
  <si>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</si>
  <si>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</si>
  <si>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</si>
  <si>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</si>
  <si>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</si>
  <si>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</si>
  <si>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</si>
  <si>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</si>
  <si>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</si>
  <si>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</si>
  <si>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</si>
  <si>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</si>
  <si>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</si>
  <si>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</si>
  <si>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</si>
  <si>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</si>
  <si>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</si>
  <si>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</si>
  <si>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</si>
  <si>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</si>
  <si>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</si>
  <si>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</si>
  <si>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</si>
  <si>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</si>
  <si>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</si>
  <si>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</si>
  <si>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</si>
  <si>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</si>
  <si>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</si>
  <si>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</si>
  <si>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</si>
  <si>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</si>
  <si>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</si>
  <si>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</si>
  <si>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</si>
  <si>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</si>
  <si>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</si>
  <si>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</si>
  <si>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</si>
  <si>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</si>
  <si>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</si>
  <si>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</si>
  <si>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</si>
  <si>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</si>
  <si>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</si>
  <si>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</si>
  <si>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</si>
  <si>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</si>
  <si>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</si>
  <si>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</si>
  <si>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</si>
  <si>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</si>
  <si>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</si>
  <si>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</si>
  <si>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</si>
  <si>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</si>
  <si>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</si>
  <si>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</si>
  <si>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</si>
  <si>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</si>
  <si>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</si>
  <si>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</si>
  <si>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</si>
  <si>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</si>
  <si>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</si>
  <si>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</si>
  <si>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</si>
  <si>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</si>
  <si>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</si>
  <si>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</si>
  <si>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</si>
  <si>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</si>
  <si>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</si>
  <si>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</si>
  <si>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</si>
  <si>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</si>
  <si>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</si>
  <si>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</si>
  <si>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</si>
  <si>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</si>
  <si>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</si>
  <si>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</si>
  <si>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</si>
  <si>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</si>
  <si>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</si>
  <si>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</si>
  <si>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</si>
  <si>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</si>
  <si>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</si>
  <si>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</si>
  <si>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</si>
  <si>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</si>
  <si>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</si>
  <si>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</si>
  <si>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</si>
  <si>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</si>
  <si>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</si>
  <si>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</si>
  <si>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</si>
  <si>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</si>
  <si>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</si>
  <si>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</si>
  <si>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</si>
  <si>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</si>
  <si>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</si>
  <si>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</si>
  <si>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</si>
  <si>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</si>
  <si>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</si>
  <si>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</si>
  <si>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</si>
  <si>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</si>
  <si>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</si>
  <si>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</si>
  <si>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</si>
  <si>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</si>
  <si>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</si>
  <si>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</si>
  <si>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</si>
  <si>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</si>
  <si>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</si>
  <si>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</si>
  <si>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</si>
  <si>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</si>
  <si>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</si>
  <si>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</si>
  <si>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</si>
  <si>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</si>
  <si>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</si>
  <si>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</si>
  <si>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</si>
  <si>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</si>
  <si>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</si>
  <si>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</si>
  <si>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</si>
  <si>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</si>
  <si>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</si>
  <si>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</si>
  <si>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</si>
  <si>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</si>
  <si>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</si>
  <si>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</si>
  <si>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</si>
  <si>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</si>
  <si>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</si>
  <si>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</si>
  <si>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</si>
  <si>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</si>
  <si>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</si>
  <si>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</si>
  <si>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</si>
  <si>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</si>
  <si>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</si>
  <si>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</si>
  <si>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</si>
  <si>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</si>
  <si>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</si>
  <si>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</si>
  <si>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</si>
  <si>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</si>
  <si>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</si>
  <si>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</si>
  <si>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</si>
  <si>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</si>
  <si>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</si>
  <si>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</si>
  <si>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</si>
  <si>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</si>
  <si>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</si>
  <si>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</si>
  <si>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</si>
  <si>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</si>
  <si>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</si>
  <si>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</si>
  <si>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</si>
  <si>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</si>
  <si>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</si>
  <si>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</si>
  <si>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</si>
  <si>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</si>
  <si>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</si>
  <si>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</si>
  <si>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</si>
  <si>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</si>
  <si>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</si>
  <si>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</si>
  <si>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</si>
  <si>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</si>
  <si>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</si>
  <si>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</si>
  <si>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</si>
  <si>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</si>
  <si>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</si>
  <si>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</si>
  <si>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</si>
  <si>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</si>
  <si>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</si>
  <si>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</si>
  <si>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</si>
  <si>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</si>
  <si>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</si>
  <si>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</si>
  <si>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</si>
  <si>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</si>
  <si>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</si>
  <si>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</si>
  <si>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</si>
  <si>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</si>
  <si>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</si>
  <si>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</si>
  <si>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</si>
  <si>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</si>
  <si>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</si>
  <si>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</si>
  <si>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</si>
  <si>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</si>
  <si>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</si>
  <si>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</si>
  <si>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</si>
  <si>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</si>
  <si>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</si>
  <si>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</si>
  <si>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</si>
  <si>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</si>
  <si>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</si>
  <si>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</si>
  <si>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</si>
  <si>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</si>
  <si>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</si>
  <si>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</si>
  <si>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</si>
  <si>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</si>
  <si>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</si>
  <si>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</si>
  <si>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</si>
  <si>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</si>
  <si>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</si>
  <si>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</si>
  <si>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</si>
  <si>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</si>
  <si>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</si>
  <si>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</si>
  <si>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</si>
  <si>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</si>
  <si>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</si>
  <si>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</si>
  <si>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</si>
  <si>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</si>
  <si>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</si>
  <si>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</si>
  <si>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</si>
  <si>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</si>
  <si>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</si>
  <si>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</si>
  <si>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</si>
  <si>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</si>
  <si>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</si>
  <si>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</si>
  <si>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</si>
  <si>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</si>
  <si>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</si>
  <si>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</si>
  <si>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</si>
  <si>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</si>
  <si>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</si>
  <si>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</si>
  <si>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</si>
  <si>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</si>
  <si>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</si>
  <si>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</si>
  <si>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</si>
  <si>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</si>
  <si>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</si>
  <si>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</si>
  <si>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</si>
  <si>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</si>
  <si>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</si>
  <si>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</si>
  <si>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</si>
  <si>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</si>
  <si>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</si>
  <si>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</si>
  <si>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</si>
  <si>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</si>
  <si>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</si>
  <si>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</si>
  <si>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</si>
  <si>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</si>
  <si>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</si>
  <si>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</si>
  <si>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</si>
  <si>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</si>
  <si>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</si>
  <si>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</si>
  <si>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</si>
  <si>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</si>
  <si>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</si>
  <si>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</si>
  <si>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</si>
  <si>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</si>
  <si>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</si>
  <si>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</si>
  <si>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</si>
  <si>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</si>
  <si>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</si>
  <si>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</si>
  <si>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</si>
  <si>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</si>
  <si>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</si>
  <si>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</si>
  <si>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</si>
  <si>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</si>
  <si>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</si>
  <si>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</si>
  <si>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</si>
  <si>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</si>
  <si>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</si>
  <si>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</si>
  <si>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</si>
  <si>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</si>
  <si>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</si>
  <si>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</si>
  <si>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</si>
  <si>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</si>
  <si>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</si>
  <si>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</si>
  <si>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</si>
  <si>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</si>
  <si>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</si>
  <si>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</si>
  <si>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</si>
  <si>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</si>
  <si>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</si>
  <si>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</si>
  <si>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</si>
  <si>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</si>
  <si>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</si>
  <si>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</si>
  <si>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</si>
  <si>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</si>
  <si>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</si>
  <si>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</si>
  <si>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</si>
  <si>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</si>
  <si>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</si>
  <si>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</si>
  <si>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</si>
  <si>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</si>
  <si>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</si>
  <si>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</si>
  <si>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</si>
  <si>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</si>
  <si>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</si>
  <si>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</si>
  <si>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</si>
  <si>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</si>
  <si>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</si>
  <si>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</si>
  <si>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</si>
  <si>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</si>
  <si>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2026-05-07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</si>
</sst>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31" t="s">
        <v>219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5" customHeight="1" x14ac:dyDescent="0.25">
      <c r="B3" s="135" t="s">
        <v>174</v>
      </c>
      <c r="C3" s="141" t="s">
        <v>156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>
        <v>5.584491</v>
      </c>
      <c r="D6" s="62">
        <v>18.78798</v>
      </c>
      <c r="E6" s="62">
        <v>415.2903</v>
      </c>
      <c r="F6" s="62"/>
      <c r="G6" s="62"/>
      <c r="H6" s="63">
        <v>416.1189</v>
      </c>
      <c r="I6" s="64">
        <v>17.82407</v>
      </c>
      <c r="J6" s="62"/>
      <c r="K6" s="62">
        <v>41.90538</v>
      </c>
      <c r="L6" s="62">
        <v>1.317998</v>
      </c>
      <c r="M6" s="62">
        <v>111.7242</v>
      </c>
      <c r="N6" s="62">
        <v>113.4983</v>
      </c>
      <c r="O6" s="62">
        <v>20.18036</v>
      </c>
      <c r="P6" s="62"/>
      <c r="Q6" s="62"/>
      <c r="R6" s="62"/>
      <c r="S6" s="62">
        <v>139.8003</v>
      </c>
      <c r="T6" s="62">
        <v>1.508464</v>
      </c>
      <c r="U6" s="62">
        <v>0.2981011</v>
      </c>
      <c r="V6" s="62"/>
      <c r="W6" s="62">
        <v>90.14757</v>
      </c>
      <c r="X6" s="62">
        <v>0.5308738</v>
      </c>
      <c r="Y6" s="62"/>
      <c r="Z6" s="62">
        <v>0.7412037</v>
      </c>
      <c r="AA6" s="62">
        <v>150.0651</v>
      </c>
      <c r="AB6" s="62">
        <v>162.4494</v>
      </c>
      <c r="AC6" s="62">
        <v>0.370081</v>
      </c>
      <c r="AD6" s="62">
        <v>154.4705</v>
      </c>
      <c r="AE6" s="65">
        <v>33.67</v>
      </c>
      <c r="AF6" s="65"/>
      <c r="AG6" s="65"/>
      <c r="AH6" s="65">
        <v>9.6</v>
      </c>
      <c r="AI6" s="65">
        <v>20.28</v>
      </c>
      <c r="AJ6" s="65">
        <v>8.33</v>
      </c>
      <c r="AK6" s="65">
        <v>7.2</v>
      </c>
      <c r="AL6" s="62">
        <v>3.092448</v>
      </c>
      <c r="AM6" s="66"/>
      <c r="AN6" s="67">
        <v>61.18345</v>
      </c>
      <c r="AO6" s="68"/>
      <c r="AP6" s="69">
        <v>-79.62963</v>
      </c>
      <c r="AQ6" s="69">
        <v>0.30136</v>
      </c>
      <c r="AR6" s="70"/>
    </row>
    <row r="7" spans="2:47" ht="13.5" customHeight="1" x14ac:dyDescent="0.25">
      <c r="B7" s="121">
        <v>0.375</v>
      </c>
      <c r="C7" s="20">
        <v>6.835938</v>
      </c>
      <c r="D7" s="62">
        <v>18.89648</v>
      </c>
      <c r="E7" s="4">
        <v>418.8764</v>
      </c>
      <c r="F7" s="4">
        <v>0.3364219</v>
      </c>
      <c r="G7" s="4">
        <v>0</v>
      </c>
      <c r="H7" s="5">
        <v>416.7717</v>
      </c>
      <c r="I7" s="6">
        <v>23.01432</v>
      </c>
      <c r="J7" s="4">
        <v>0.02001953</v>
      </c>
      <c r="K7" s="4">
        <v>44.22743</v>
      </c>
      <c r="L7" s="4">
        <v>1.410952</v>
      </c>
      <c r="M7" s="4">
        <v>107.5629</v>
      </c>
      <c r="N7" s="4">
        <v>112.6374</v>
      </c>
      <c r="O7" s="4">
        <v>20.16488</v>
      </c>
      <c r="P7" s="4">
        <v>20.16895</v>
      </c>
      <c r="Q7" s="4"/>
      <c r="R7" s="4">
        <v>2.734863</v>
      </c>
      <c r="S7" s="4">
        <v>140.1259</v>
      </c>
      <c r="T7" s="4">
        <v>1.504919</v>
      </c>
      <c r="U7" s="4">
        <v>0.2986475</v>
      </c>
      <c r="V7" s="4">
        <v>0.2998516</v>
      </c>
      <c r="W7" s="4">
        <v>90.94328</v>
      </c>
      <c r="X7" s="4">
        <v>0.5318801</v>
      </c>
      <c r="Y7" s="4" t="s">
        <v>76</v>
      </c>
      <c r="Z7" s="4">
        <v>0.7130209</v>
      </c>
      <c r="AA7" s="4">
        <v>149.6528</v>
      </c>
      <c r="AB7" s="4">
        <v>162.2396</v>
      </c>
      <c r="AC7" s="4">
        <v>0.36386</v>
      </c>
      <c r="AD7" s="4">
        <v>153.6675</v>
      </c>
      <c r="AE7" s="7"/>
      <c r="AF7" s="7"/>
      <c r="AG7" s="7"/>
      <c r="AH7" s="7"/>
      <c r="AI7" s="7"/>
      <c r="AJ7" s="7"/>
      <c r="AK7" s="7"/>
      <c r="AL7" s="4">
        <v>0</v>
      </c>
      <c r="AM7" s="8">
        <v>0.02321484</v>
      </c>
      <c r="AN7" s="9">
        <v>61.34621</v>
      </c>
      <c r="AO7" s="10"/>
      <c r="AP7" s="11">
        <v>-79.60069</v>
      </c>
      <c r="AQ7" s="11">
        <v>0.2926071</v>
      </c>
      <c r="AR7" s="12">
        <v>0.0002916641</v>
      </c>
    </row>
    <row r="8" spans="2:47" ht="13.5" customHeight="1" x14ac:dyDescent="0.25">
      <c r="B8" s="121">
        <v>0.41666666666666669</v>
      </c>
      <c r="C8" s="20">
        <v>5.551939</v>
      </c>
      <c r="D8" s="62">
        <v>19.22201</v>
      </c>
      <c r="E8" s="4">
        <v>418.9828</v>
      </c>
      <c r="F8" s="4">
        <v>0.2606016</v>
      </c>
      <c r="G8" s="4">
        <v>0</v>
      </c>
      <c r="H8" s="5">
        <v>417.3663</v>
      </c>
      <c r="I8" s="6">
        <v>26.15379</v>
      </c>
      <c r="J8" s="4">
        <v>0.01978857</v>
      </c>
      <c r="K8" s="4">
        <v>42.09346</v>
      </c>
      <c r="L8" s="4">
        <v>1.319264</v>
      </c>
      <c r="M8" s="4">
        <v>109.8307</v>
      </c>
      <c r="N8" s="4">
        <v>113.5706</v>
      </c>
      <c r="O8" s="4">
        <v>20.62389</v>
      </c>
      <c r="P8" s="4">
        <v>20.16113</v>
      </c>
      <c r="Q8" s="4"/>
      <c r="R8" s="4">
        <v>2.72583</v>
      </c>
      <c r="S8" s="4">
        <v>139.974</v>
      </c>
      <c r="T8" s="4">
        <v>1.505805</v>
      </c>
      <c r="U8" s="4">
        <v>0.3078198</v>
      </c>
      <c r="V8" s="4">
        <v>0.2998984</v>
      </c>
      <c r="W8" s="4">
        <v>90.57436</v>
      </c>
      <c r="X8" s="4">
        <v>0.5280567</v>
      </c>
      <c r="Y8" s="4" t="s">
        <v>76</v>
      </c>
      <c r="Z8" s="4">
        <v>0.7284144</v>
      </c>
      <c r="AA8" s="4">
        <v>148.9294</v>
      </c>
      <c r="AB8" s="4">
        <v>162.5651</v>
      </c>
      <c r="AC8" s="4">
        <v>0.3345269</v>
      </c>
      <c r="AD8" s="4">
        <v>154.1088</v>
      </c>
      <c r="AE8" s="7"/>
      <c r="AF8" s="7"/>
      <c r="AG8" s="7"/>
      <c r="AH8" s="7"/>
      <c r="AI8" s="7"/>
      <c r="AJ8" s="7"/>
      <c r="AK8" s="7"/>
      <c r="AL8" s="4">
        <v>8.293548</v>
      </c>
      <c r="AM8" s="8">
        <v>0.02222998</v>
      </c>
      <c r="AN8" s="9">
        <v>59.26649</v>
      </c>
      <c r="AO8" s="10"/>
      <c r="AP8" s="11">
        <v>-79.44878</v>
      </c>
      <c r="AQ8" s="11">
        <v>0.3062066</v>
      </c>
      <c r="AR8" s="12">
        <v>0.0002929001</v>
      </c>
    </row>
    <row r="9" spans="2:47" ht="13.5" customHeight="1" x14ac:dyDescent="0.25">
      <c r="B9" s="121">
        <v>0.45833333333333298</v>
      </c>
      <c r="C9" s="20">
        <v>6.542969</v>
      </c>
      <c r="D9" s="62">
        <v>19.48242</v>
      </c>
      <c r="E9" s="4">
        <v>418.657</v>
      </c>
      <c r="F9" s="4">
        <v>0.336875</v>
      </c>
      <c r="G9" s="4">
        <v>0</v>
      </c>
      <c r="H9" s="5">
        <v>418.011</v>
      </c>
      <c r="I9" s="6">
        <v>25.7487</v>
      </c>
      <c r="J9" s="4">
        <v>0.01981104</v>
      </c>
      <c r="K9" s="4">
        <v>43.68489</v>
      </c>
      <c r="L9" s="4">
        <v>1.380751</v>
      </c>
      <c r="M9" s="4">
        <v>110.7313</v>
      </c>
      <c r="N9" s="4">
        <v>113.5778</v>
      </c>
      <c r="O9" s="4">
        <v>20.0414</v>
      </c>
      <c r="P9" s="4">
        <v>20.18652</v>
      </c>
      <c r="Q9" s="4"/>
      <c r="R9" s="4">
        <v>2.733459</v>
      </c>
      <c r="S9" s="4">
        <v>140.0825</v>
      </c>
      <c r="T9" s="4">
        <v>1.505425</v>
      </c>
      <c r="U9" s="4">
        <v>0.3012347</v>
      </c>
      <c r="V9" s="4">
        <v>0.3001484</v>
      </c>
      <c r="W9" s="4">
        <v>90.57436</v>
      </c>
      <c r="X9" s="4">
        <v>0.5310533</v>
      </c>
      <c r="Y9" s="4" t="s">
        <v>76</v>
      </c>
      <c r="Z9" s="4">
        <v>0.7304398</v>
      </c>
      <c r="AA9" s="4">
        <v>150.0362</v>
      </c>
      <c r="AB9" s="4">
        <v>162.84</v>
      </c>
      <c r="AC9" s="4">
        <v>0.3709852</v>
      </c>
      <c r="AD9" s="4">
        <v>154.6803</v>
      </c>
      <c r="AE9" s="7"/>
      <c r="AF9" s="7"/>
      <c r="AG9" s="7"/>
      <c r="AH9" s="7"/>
      <c r="AI9" s="7"/>
      <c r="AJ9" s="7"/>
      <c r="AK9" s="7"/>
      <c r="AL9" s="4">
        <v>6.423611</v>
      </c>
      <c r="AM9" s="8">
        <v>0.01805811</v>
      </c>
      <c r="AN9" s="9">
        <v>56.99508</v>
      </c>
      <c r="AO9" s="10"/>
      <c r="AP9" s="11">
        <v>-79.62963</v>
      </c>
      <c r="AQ9" s="11">
        <v>0.2951389</v>
      </c>
      <c r="AR9" s="12">
        <v>0.0002930679</v>
      </c>
    </row>
    <row r="10" spans="2:47" ht="13.5" customHeight="1" x14ac:dyDescent="0.25">
      <c r="B10" s="121">
        <v>0.5</v>
      </c>
      <c r="C10" s="20">
        <v>5.692997</v>
      </c>
      <c r="D10" s="62">
        <v>20.07379</v>
      </c>
      <c r="E10" s="4">
        <v>418.6148</v>
      </c>
      <c r="F10" s="4">
        <v>0.2664766</v>
      </c>
      <c r="G10" s="4">
        <v>0</v>
      </c>
      <c r="H10" s="5">
        <v>418.3206</v>
      </c>
      <c r="I10" s="6">
        <v>24.48278</v>
      </c>
      <c r="J10" s="4">
        <v>0.02006396</v>
      </c>
      <c r="K10" s="4">
        <v>44.97251</v>
      </c>
      <c r="L10" s="4">
        <v>1.418095</v>
      </c>
      <c r="M10" s="4">
        <v>107.8451</v>
      </c>
      <c r="N10" s="4">
        <v>112.4855</v>
      </c>
      <c r="O10" s="4">
        <v>20.25254</v>
      </c>
      <c r="P10" s="4">
        <v>20.18115</v>
      </c>
      <c r="Q10" s="4"/>
      <c r="R10" s="4">
        <v>2.723267</v>
      </c>
      <c r="S10" s="4">
        <v>139.8293</v>
      </c>
      <c r="T10" s="4">
        <v>1.506058</v>
      </c>
      <c r="U10" s="4">
        <v>0.3027952</v>
      </c>
      <c r="V10" s="4">
        <v>0.3000859</v>
      </c>
      <c r="W10" s="4">
        <v>90.35735</v>
      </c>
      <c r="X10" s="4">
        <v>0.5271869</v>
      </c>
      <c r="Y10" s="4" t="s">
        <v>76</v>
      </c>
      <c r="Z10" s="4">
        <v>0.7220486</v>
      </c>
      <c r="AA10" s="4">
        <v>148.2639</v>
      </c>
      <c r="AB10" s="4">
        <v>162.5217</v>
      </c>
      <c r="AC10" s="4">
        <v>0.3489583</v>
      </c>
      <c r="AD10" s="4">
        <v>154.3113</v>
      </c>
      <c r="AE10" s="7"/>
      <c r="AF10" s="7"/>
      <c r="AG10" s="7"/>
      <c r="AH10" s="7"/>
      <c r="AI10" s="7"/>
      <c r="AJ10" s="7"/>
      <c r="AK10" s="7"/>
      <c r="AL10" s="4">
        <v>20.29803</v>
      </c>
      <c r="AM10" s="8">
        <v>0.02218604</v>
      </c>
      <c r="AN10" s="9">
        <v>60.76389</v>
      </c>
      <c r="AO10" s="10"/>
      <c r="AP10" s="11">
        <v>-79.49219</v>
      </c>
      <c r="AQ10" s="11">
        <v>0.2988281</v>
      </c>
      <c r="AR10" s="12">
        <v>0.0002919083</v>
      </c>
    </row>
    <row r="11" spans="2:47" ht="13.5" customHeight="1" x14ac:dyDescent="0.25">
      <c r="B11" s="121">
        <v>0.54166666666666696</v>
      </c>
      <c r="C11" s="20">
        <v>6.430845</v>
      </c>
      <c r="D11" s="62">
        <v>20.52951</v>
      </c>
      <c r="E11" s="4">
        <v>418.5582</v>
      </c>
      <c r="F11" s="4">
        <v>0.321</v>
      </c>
      <c r="G11" s="4">
        <v>0</v>
      </c>
      <c r="H11" s="5">
        <v>418.857</v>
      </c>
      <c r="I11" s="6">
        <v>21.16609</v>
      </c>
      <c r="J11" s="4">
        <v>0.01960449</v>
      </c>
      <c r="K11" s="4">
        <v>43.99595</v>
      </c>
      <c r="L11" s="4">
        <v>1.404532</v>
      </c>
      <c r="M11" s="4">
        <v>106.9445</v>
      </c>
      <c r="N11" s="4">
        <v>110.3877</v>
      </c>
      <c r="O11" s="4">
        <v>20.27634</v>
      </c>
      <c r="P11" s="4">
        <v>20.16797</v>
      </c>
      <c r="Q11" s="4"/>
      <c r="R11" s="4">
        <v>2.752075</v>
      </c>
      <c r="S11" s="4">
        <v>140.1837</v>
      </c>
      <c r="T11" s="4">
        <v>1.502134</v>
      </c>
      <c r="U11" s="4">
        <v>0.301781</v>
      </c>
      <c r="V11" s="4">
        <v>0.2999375</v>
      </c>
      <c r="W11" s="4">
        <v>90.82031</v>
      </c>
      <c r="X11" s="4">
        <v>0.5298294</v>
      </c>
      <c r="Y11" s="4" t="s">
        <v>76</v>
      </c>
      <c r="Z11" s="4">
        <v>0.7233218</v>
      </c>
      <c r="AA11" s="4">
        <v>149.32</v>
      </c>
      <c r="AB11" s="4">
        <v>162.4349</v>
      </c>
      <c r="AC11" s="4">
        <v>0.3543837</v>
      </c>
      <c r="AD11" s="4">
        <v>154.2028</v>
      </c>
      <c r="AE11" s="7">
        <v>33.99</v>
      </c>
      <c r="AF11" s="7"/>
      <c r="AG11" s="7"/>
      <c r="AH11" s="7">
        <v>14.63</v>
      </c>
      <c r="AI11" s="7">
        <v>24.21</v>
      </c>
      <c r="AJ11" s="7">
        <v>6.45</v>
      </c>
      <c r="AK11" s="7">
        <v>6.82</v>
      </c>
      <c r="AL11" s="4">
        <v>21.62905</v>
      </c>
      <c r="AM11" s="8">
        <v>0.02284766</v>
      </c>
      <c r="AN11" s="9">
        <v>61.42578</v>
      </c>
      <c r="AO11" s="10"/>
      <c r="AP11" s="11">
        <v>-79.5573</v>
      </c>
      <c r="AQ11" s="11">
        <v>0.2854456</v>
      </c>
      <c r="AR11" s="12">
        <v>0.0002929154</v>
      </c>
    </row>
    <row r="12" spans="2:47" ht="13.5" customHeight="1" x14ac:dyDescent="0.25">
      <c r="B12" s="121">
        <v>0.58333333333333304</v>
      </c>
      <c r="C12" s="20">
        <v>6.014902</v>
      </c>
      <c r="D12" s="62">
        <v>21.03407</v>
      </c>
      <c r="E12" s="4">
        <v>418.2856</v>
      </c>
      <c r="F12" s="4">
        <v>0.2855937</v>
      </c>
      <c r="G12" s="4">
        <v>0</v>
      </c>
      <c r="H12" s="5">
        <v>419.1172</v>
      </c>
      <c r="I12" s="6">
        <v>21.5965</v>
      </c>
      <c r="J12" s="4">
        <v>0.02026025</v>
      </c>
      <c r="K12" s="4">
        <v>44.60359</v>
      </c>
      <c r="L12" s="4">
        <v>1.41267</v>
      </c>
      <c r="M12" s="4">
        <v>107.8234</v>
      </c>
      <c r="N12" s="4">
        <v>111.9285</v>
      </c>
      <c r="O12" s="4">
        <v>20.13751</v>
      </c>
      <c r="P12" s="4">
        <v>20.16016</v>
      </c>
      <c r="Q12" s="4"/>
      <c r="R12" s="4">
        <v>2.746521</v>
      </c>
      <c r="S12" s="4">
        <v>140.1259</v>
      </c>
      <c r="T12" s="4">
        <v>1.502893</v>
      </c>
      <c r="U12" s="4">
        <v>0.2991662</v>
      </c>
      <c r="V12" s="4">
        <v>0.2998125</v>
      </c>
      <c r="W12" s="4">
        <v>90.35011</v>
      </c>
      <c r="X12" s="4">
        <v>0.5317749</v>
      </c>
      <c r="Y12" s="4" t="s">
        <v>76</v>
      </c>
      <c r="Z12" s="4">
        <v>0.7288774</v>
      </c>
      <c r="AA12" s="4">
        <v>148.9077</v>
      </c>
      <c r="AB12" s="4">
        <v>162.5</v>
      </c>
      <c r="AC12" s="4">
        <v>0.3354673</v>
      </c>
      <c r="AD12" s="4">
        <v>154.4198</v>
      </c>
      <c r="AE12" s="7"/>
      <c r="AF12" s="7"/>
      <c r="AG12" s="7"/>
      <c r="AH12" s="7"/>
      <c r="AI12" s="7"/>
      <c r="AJ12" s="7"/>
      <c r="AK12" s="7"/>
      <c r="AL12" s="4">
        <v>59.78009</v>
      </c>
      <c r="AM12" s="8">
        <v>0.02468359</v>
      </c>
      <c r="AN12" s="9">
        <v>59.70414</v>
      </c>
      <c r="AO12" s="10"/>
      <c r="AP12" s="11">
        <v>-79.00752</v>
      </c>
      <c r="AQ12" s="11">
        <v>0.2989005</v>
      </c>
      <c r="AR12" s="12">
        <v>0.0002911377</v>
      </c>
    </row>
    <row r="13" spans="2:47" ht="13.5" customHeight="1" x14ac:dyDescent="0.25">
      <c r="B13" s="121">
        <v>0.625</v>
      </c>
      <c r="C13" s="20">
        <v>5.280671</v>
      </c>
      <c r="D13" s="62">
        <v>21.09918</v>
      </c>
      <c r="E13" s="4">
        <v>414.433</v>
      </c>
      <c r="F13" s="4">
        <v>0.2694844</v>
      </c>
      <c r="G13" s="4">
        <v>0</v>
      </c>
      <c r="H13" s="5">
        <v>418.7041</v>
      </c>
      <c r="I13" s="6">
        <v>26.12847</v>
      </c>
      <c r="J13" s="4">
        <v>0.0195752</v>
      </c>
      <c r="K13" s="4">
        <v>42.33218</v>
      </c>
      <c r="L13" s="4">
        <v>1.305519</v>
      </c>
      <c r="M13" s="4">
        <v>109.5974</v>
      </c>
      <c r="N13" s="4">
        <v>112.5506</v>
      </c>
      <c r="O13" s="4">
        <v>20.22653</v>
      </c>
      <c r="P13" s="4">
        <v>20.17285</v>
      </c>
      <c r="Q13" s="4"/>
      <c r="R13" s="4">
        <v>2.688293</v>
      </c>
      <c r="S13" s="4">
        <v>139.9233</v>
      </c>
      <c r="T13" s="4">
        <v>1.50378</v>
      </c>
      <c r="U13" s="4">
        <v>0.3000715</v>
      </c>
      <c r="V13" s="4">
        <v>0.3000547</v>
      </c>
      <c r="W13" s="4">
        <v>90.40075</v>
      </c>
      <c r="X13" s="4">
        <v>0.5284051</v>
      </c>
      <c r="Y13" s="4" t="s">
        <v>76</v>
      </c>
      <c r="Z13" s="4">
        <v>0.73125</v>
      </c>
      <c r="AA13" s="4">
        <v>148.7558</v>
      </c>
      <c r="AB13" s="4">
        <v>162.4711</v>
      </c>
      <c r="AC13" s="4">
        <v>0.5091869</v>
      </c>
      <c r="AD13" s="4">
        <v>153.9424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0.02031836</v>
      </c>
      <c r="AN13" s="9">
        <v>61.27749</v>
      </c>
      <c r="AO13" s="10"/>
      <c r="AP13" s="11">
        <v>-79.41985</v>
      </c>
      <c r="AQ13" s="11">
        <v>0.2918837</v>
      </c>
      <c r="AR13" s="12">
        <v>0.0002918549</v>
      </c>
    </row>
    <row r="14" spans="2:47" ht="13.5" customHeight="1" x14ac:dyDescent="0.25">
      <c r="B14" s="121">
        <v>0.66666666666666696</v>
      </c>
      <c r="C14" s="20">
        <v>5.881076</v>
      </c>
      <c r="D14" s="62">
        <v>21.32162</v>
      </c>
      <c r="E14" s="4">
        <v>414.5417</v>
      </c>
      <c r="F14" s="4">
        <v>0.3381797</v>
      </c>
      <c r="G14" s="4">
        <v>0</v>
      </c>
      <c r="H14" s="5">
        <v>417.6303</v>
      </c>
      <c r="I14" s="6">
        <v>26.91334</v>
      </c>
      <c r="J14" s="4">
        <v>0.01890967</v>
      </c>
      <c r="K14" s="4">
        <v>42.12239</v>
      </c>
      <c r="L14" s="4">
        <v>1.308413</v>
      </c>
      <c r="M14" s="4">
        <v>109.885</v>
      </c>
      <c r="N14" s="4">
        <v>113.3825</v>
      </c>
      <c r="O14" s="4">
        <v>20.37062</v>
      </c>
      <c r="P14" s="4">
        <v>20.16553</v>
      </c>
      <c r="Q14" s="4"/>
      <c r="R14" s="4">
        <v>2.662964</v>
      </c>
      <c r="S14" s="4">
        <v>139.8727</v>
      </c>
      <c r="T14" s="4">
        <v>1.501881</v>
      </c>
      <c r="U14" s="4">
        <v>0.3013373</v>
      </c>
      <c r="V14" s="4">
        <v>0.2999063</v>
      </c>
      <c r="W14" s="4">
        <v>90.68287</v>
      </c>
      <c r="X14" s="4">
        <v>0.5274678</v>
      </c>
      <c r="Y14" s="4" t="s">
        <v>76</v>
      </c>
      <c r="Z14" s="4">
        <v>0.7204862</v>
      </c>
      <c r="AA14" s="4">
        <v>148.5894</v>
      </c>
      <c r="AB14" s="4">
        <v>162.5868</v>
      </c>
      <c r="AC14" s="4">
        <v>0.5848163</v>
      </c>
      <c r="AD14" s="4">
        <v>154.116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0.002987305</v>
      </c>
      <c r="AN14" s="9">
        <v>61.29919</v>
      </c>
      <c r="AO14" s="10"/>
      <c r="AP14" s="11">
        <v>-79.2607</v>
      </c>
      <c r="AQ14" s="11">
        <v>0.2901476</v>
      </c>
      <c r="AR14" s="12">
        <v>0.0002910767</v>
      </c>
    </row>
    <row r="15" spans="2:47" ht="13.5" customHeight="1" x14ac:dyDescent="0.25">
      <c r="B15" s="121">
        <v>0.70833333333333304</v>
      </c>
      <c r="C15" s="20">
        <v>5.400029</v>
      </c>
      <c r="D15" s="62">
        <v>21.0178</v>
      </c>
      <c r="E15" s="4">
        <v>414.4268</v>
      </c>
      <c r="F15" s="4">
        <v>0.2758047</v>
      </c>
      <c r="G15" s="4">
        <v>0</v>
      </c>
      <c r="H15" s="5">
        <v>417.0185</v>
      </c>
      <c r="I15" s="6">
        <v>0</v>
      </c>
      <c r="J15" s="4">
        <v>0.01928125</v>
      </c>
      <c r="K15" s="4">
        <v>41.23264</v>
      </c>
      <c r="L15" s="4">
        <v>1.267723</v>
      </c>
      <c r="M15" s="4">
        <v>108.3767</v>
      </c>
      <c r="N15" s="4">
        <v>110.5469</v>
      </c>
      <c r="O15" s="4">
        <v>20.08619</v>
      </c>
      <c r="P15" s="4">
        <v>20.17676</v>
      </c>
      <c r="Q15" s="4"/>
      <c r="R15" s="4">
        <v>2.688477</v>
      </c>
      <c r="S15" s="4">
        <v>140.0969</v>
      </c>
      <c r="T15" s="4">
        <v>1.506058</v>
      </c>
      <c r="U15" s="4">
        <v>0.2954847</v>
      </c>
      <c r="V15" s="4">
        <v>0.3001015</v>
      </c>
      <c r="W15" s="4">
        <v>90.47309</v>
      </c>
      <c r="X15" s="4">
        <v>0.529774</v>
      </c>
      <c r="Y15" s="4" t="s">
        <v>76</v>
      </c>
      <c r="Z15" s="4">
        <v>0.7344329</v>
      </c>
      <c r="AA15" s="4">
        <v>148.886</v>
      </c>
      <c r="AB15" s="4">
        <v>162.5796</v>
      </c>
      <c r="AC15" s="4">
        <v>0.3620515</v>
      </c>
      <c r="AD15" s="4">
        <v>154.6875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0.02197266</v>
      </c>
      <c r="AN15" s="9">
        <v>59.77647</v>
      </c>
      <c r="AO15" s="10"/>
      <c r="AP15" s="11">
        <v>-79.93345</v>
      </c>
      <c r="AQ15" s="11">
        <v>0.2972367</v>
      </c>
      <c r="AR15" s="12">
        <v>0.0002972565</v>
      </c>
    </row>
    <row r="16" spans="2:47" ht="13.5" customHeight="1" x14ac:dyDescent="0.25">
      <c r="B16" s="121">
        <v>0.75</v>
      </c>
      <c r="C16" s="20">
        <v>5.924479</v>
      </c>
      <c r="D16" s="62">
        <v>20.84418</v>
      </c>
      <c r="E16" s="4">
        <v>415.3022</v>
      </c>
      <c r="F16" s="4">
        <v>0.3282422</v>
      </c>
      <c r="G16" s="4">
        <v>0</v>
      </c>
      <c r="H16" s="5">
        <v>416.5487</v>
      </c>
      <c r="I16" s="6">
        <v>27.90075</v>
      </c>
      <c r="J16" s="4">
        <v>0.01930518</v>
      </c>
      <c r="K16" s="4">
        <v>41.93431</v>
      </c>
      <c r="L16" s="4">
        <v>1.302445</v>
      </c>
      <c r="M16" s="4">
        <v>110.8995</v>
      </c>
      <c r="N16" s="4">
        <v>113.1076</v>
      </c>
      <c r="O16" s="4">
        <v>20.03395</v>
      </c>
      <c r="P16" s="4">
        <v>20.19531</v>
      </c>
      <c r="Q16" s="4"/>
      <c r="R16" s="4">
        <v>2.714355</v>
      </c>
      <c r="S16" s="4">
        <v>140.1331</v>
      </c>
      <c r="T16" s="4">
        <v>1.505046</v>
      </c>
      <c r="U16" s="4">
        <v>0.2985097</v>
      </c>
      <c r="V16" s="4">
        <v>0.3002891</v>
      </c>
      <c r="W16" s="4">
        <v>91.00116</v>
      </c>
      <c r="X16" s="4">
        <v>0.5318609</v>
      </c>
      <c r="Y16" s="4" t="s">
        <v>76</v>
      </c>
      <c r="Z16" s="4">
        <v>0.7358797</v>
      </c>
      <c r="AA16" s="4">
        <v>150.1953</v>
      </c>
      <c r="AB16" s="4">
        <v>162.6447</v>
      </c>
      <c r="AC16" s="4">
        <v>0.5968605</v>
      </c>
      <c r="AD16" s="4">
        <v>154.2028</v>
      </c>
      <c r="AE16" s="7"/>
      <c r="AF16" s="7"/>
      <c r="AG16" s="7"/>
      <c r="AH16" s="7"/>
      <c r="AI16" s="7"/>
      <c r="AJ16" s="7"/>
      <c r="AK16" s="7"/>
      <c r="AL16" s="4">
        <v>18.96701</v>
      </c>
      <c r="AM16" s="8">
        <v>0.02472754</v>
      </c>
      <c r="AN16" s="9">
        <v>61.1726</v>
      </c>
      <c r="AO16" s="10"/>
      <c r="AP16" s="11">
        <v>-79.78154</v>
      </c>
      <c r="AQ16" s="11">
        <v>0.2786458</v>
      </c>
      <c r="AR16" s="12">
        <v>0.0002932587</v>
      </c>
    </row>
    <row r="17" spans="2:44" ht="13.5" customHeight="1" x14ac:dyDescent="0.25">
      <c r="B17" s="121">
        <v>0.79166666666666696</v>
      </c>
      <c r="C17" s="20">
        <v>6.698495</v>
      </c>
      <c r="D17" s="62">
        <v>20.45356</v>
      </c>
      <c r="E17" s="4">
        <v>415.6133</v>
      </c>
      <c r="F17" s="4">
        <v>0.3372656</v>
      </c>
      <c r="G17" s="4">
        <v>0</v>
      </c>
      <c r="H17" s="5">
        <v>416.2585</v>
      </c>
      <c r="I17" s="6">
        <v>22.12818</v>
      </c>
      <c r="J17" s="4">
        <v>0.01980859</v>
      </c>
      <c r="K17" s="4">
        <v>44.25637</v>
      </c>
      <c r="L17" s="4">
        <v>1.398835</v>
      </c>
      <c r="M17" s="4">
        <v>110.1454</v>
      </c>
      <c r="N17" s="4">
        <v>114.9957</v>
      </c>
      <c r="O17" s="4">
        <v>19.91421</v>
      </c>
      <c r="P17" s="4">
        <v>20.1792</v>
      </c>
      <c r="Q17" s="4"/>
      <c r="R17" s="4">
        <v>2.664368</v>
      </c>
      <c r="S17" s="4">
        <v>140.162</v>
      </c>
      <c r="T17" s="4">
        <v>1.507451</v>
      </c>
      <c r="U17" s="4">
        <v>0.2982829</v>
      </c>
      <c r="V17" s="4">
        <v>0.3000234</v>
      </c>
      <c r="W17" s="4">
        <v>90.32118</v>
      </c>
      <c r="X17" s="4">
        <v>0.5303225</v>
      </c>
      <c r="Y17" s="4" t="s">
        <v>76</v>
      </c>
      <c r="Z17" s="4">
        <v>0.7421876</v>
      </c>
      <c r="AA17" s="4">
        <v>148.8426</v>
      </c>
      <c r="AB17" s="4">
        <v>162.9919</v>
      </c>
      <c r="AC17" s="4">
        <v>0.6475333</v>
      </c>
      <c r="AD17" s="4">
        <v>155.5194</v>
      </c>
      <c r="AE17" s="7"/>
      <c r="AF17" s="7"/>
      <c r="AG17" s="7"/>
      <c r="AH17" s="7"/>
      <c r="AI17" s="7"/>
      <c r="AJ17" s="7"/>
      <c r="AK17" s="7"/>
      <c r="AL17" s="4">
        <v>26.93142</v>
      </c>
      <c r="AM17" s="8">
        <v>0.02517139</v>
      </c>
      <c r="AN17" s="9">
        <v>61.58131</v>
      </c>
      <c r="AO17" s="10"/>
      <c r="AP17" s="11">
        <v>-79.74537</v>
      </c>
      <c r="AQ17" s="11">
        <v>0.339048</v>
      </c>
      <c r="AR17" s="12">
        <v>0.0002912827</v>
      </c>
    </row>
    <row r="18" spans="2:44" ht="13.5" customHeight="1" x14ac:dyDescent="0.25">
      <c r="B18" s="121">
        <v>0.83333333333333404</v>
      </c>
      <c r="C18" s="23">
        <v>5.689381</v>
      </c>
      <c r="D18" s="62">
        <v>20.16059</v>
      </c>
      <c r="E18" s="13">
        <v>415.6393</v>
      </c>
      <c r="F18" s="13">
        <v>0.2675547</v>
      </c>
      <c r="G18" s="13">
        <v>0</v>
      </c>
      <c r="H18" s="14">
        <v>416.1075</v>
      </c>
      <c r="I18" s="15">
        <v>1.392506</v>
      </c>
      <c r="J18" s="13">
        <v>0.01962646</v>
      </c>
      <c r="K18" s="13">
        <v>42.60706</v>
      </c>
      <c r="L18" s="13">
        <v>1.313567</v>
      </c>
      <c r="M18" s="13">
        <v>109.6354</v>
      </c>
      <c r="N18" s="13">
        <v>115.2416</v>
      </c>
      <c r="O18" s="13">
        <v>20.08</v>
      </c>
      <c r="P18" s="13">
        <v>20.1626</v>
      </c>
      <c r="Q18" s="13"/>
      <c r="R18" s="13">
        <v>2.659546</v>
      </c>
      <c r="S18" s="13">
        <v>140.2054</v>
      </c>
      <c r="T18" s="13">
        <v>1.503147</v>
      </c>
      <c r="U18" s="13">
        <v>0.2989607</v>
      </c>
      <c r="V18" s="13">
        <v>0.2998828</v>
      </c>
      <c r="W18" s="13">
        <v>90.32118</v>
      </c>
      <c r="X18" s="13">
        <v>0.5294133</v>
      </c>
      <c r="Y18" s="13">
        <v>0.5302765</v>
      </c>
      <c r="Z18" s="13">
        <v>0.7316551</v>
      </c>
      <c r="AA18" s="13">
        <v>149.2477</v>
      </c>
      <c r="AB18" s="13">
        <v>162.9051</v>
      </c>
      <c r="AC18" s="13">
        <v>0.557364</v>
      </c>
      <c r="AD18" s="13">
        <v>154.9407</v>
      </c>
      <c r="AE18" s="16">
        <v>33.38</v>
      </c>
      <c r="AF18" s="16"/>
      <c r="AG18" s="16"/>
      <c r="AH18" s="16">
        <v>16.46</v>
      </c>
      <c r="AI18" s="16"/>
      <c r="AJ18" s="16"/>
      <c r="AK18" s="16">
        <v>7.21</v>
      </c>
      <c r="AL18" s="13">
        <v>1.671007</v>
      </c>
      <c r="AM18" s="17">
        <v>0.02475439</v>
      </c>
      <c r="AN18" s="18">
        <v>60.41305</v>
      </c>
      <c r="AO18" s="10"/>
      <c r="AP18" s="11">
        <v>-79.78877</v>
      </c>
      <c r="AQ18" s="11">
        <v>0.2766204</v>
      </c>
      <c r="AR18" s="19">
        <v>0.0002920685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-79.62963</v>
      </c>
      <c r="D22" s="62">
        <v>-80.44705</v>
      </c>
      <c r="E22" s="62">
        <v>103.1286</v>
      </c>
      <c r="F22" s="62">
        <v>0.04868345</v>
      </c>
      <c r="G22" s="62"/>
      <c r="H22" s="62"/>
      <c r="I22" s="62"/>
      <c r="J22" s="62"/>
      <c r="K22" s="62"/>
      <c r="L22" s="63"/>
      <c r="M22" s="82">
        <v>81.15234</v>
      </c>
      <c r="N22" s="62">
        <v>47.19329</v>
      </c>
      <c r="O22" s="62">
        <v>39.5</v>
      </c>
      <c r="P22" s="62">
        <v>22</v>
      </c>
      <c r="Q22" s="62">
        <v>3.584201</v>
      </c>
      <c r="R22" s="62">
        <v>20.61632</v>
      </c>
      <c r="S22" s="84">
        <v>94.13701</v>
      </c>
      <c r="T22" s="84">
        <v>41</v>
      </c>
      <c r="U22" s="84">
        <v>83.94151</v>
      </c>
      <c r="V22" s="84">
        <v>17.27973</v>
      </c>
      <c r="W22" s="84">
        <v>20.14974</v>
      </c>
      <c r="X22" s="84">
        <v>32</v>
      </c>
      <c r="Y22" s="84">
        <v>0</v>
      </c>
      <c r="Z22" s="84">
        <v>17.56547</v>
      </c>
      <c r="AA22" s="84">
        <v>99.9132</v>
      </c>
      <c r="AB22" s="84"/>
      <c r="AC22" s="66"/>
      <c r="AD22" s="66">
        <v>1.548231</v>
      </c>
      <c r="AE22" s="66"/>
      <c r="AF22" s="66">
        <v>20.94184</v>
      </c>
      <c r="AG22" s="66">
        <v>17.87833</v>
      </c>
      <c r="AH22" s="66"/>
      <c r="AI22" s="85">
        <v>5.84</v>
      </c>
      <c r="AJ22" s="85"/>
      <c r="AK22" s="85"/>
      <c r="AL22" s="85"/>
      <c r="AM22" s="85"/>
      <c r="AN22" s="66">
        <v>51.17188</v>
      </c>
      <c r="AO22" s="67">
        <v>50</v>
      </c>
      <c r="AP22" s="68">
        <v>24.02525</v>
      </c>
      <c r="AQ22" s="69">
        <v>39.11675</v>
      </c>
      <c r="AR22" s="70">
        <v>0.08680725</v>
      </c>
    </row>
    <row r="23" spans="2:44" ht="13.5" customHeight="1" x14ac:dyDescent="0.25">
      <c r="B23" s="121">
        <v>0.375</v>
      </c>
      <c r="C23" s="20">
        <v>-79.60069</v>
      </c>
      <c r="D23" s="4">
        <v>-80.48322</v>
      </c>
      <c r="E23" s="4">
        <v>103.125</v>
      </c>
      <c r="F23" s="4">
        <v>0.0718316</v>
      </c>
      <c r="G23" s="4">
        <v>9.311485E-05</v>
      </c>
      <c r="H23" s="4"/>
      <c r="I23" s="4"/>
      <c r="J23" s="4"/>
      <c r="K23" s="4"/>
      <c r="L23" s="5"/>
      <c r="M23" s="20">
        <v>79.1088</v>
      </c>
      <c r="N23" s="4">
        <v>47.52242</v>
      </c>
      <c r="O23" s="4">
        <v>39.5</v>
      </c>
      <c r="P23" s="4">
        <v>22</v>
      </c>
      <c r="Q23" s="4">
        <v>3.447049</v>
      </c>
      <c r="R23" s="62">
        <v>20.38484</v>
      </c>
      <c r="S23" s="21">
        <v>94.27807</v>
      </c>
      <c r="T23" s="21">
        <v>39</v>
      </c>
      <c r="U23" s="21">
        <v>80.1237</v>
      </c>
      <c r="V23" s="84">
        <v>16.95421</v>
      </c>
      <c r="W23" s="21">
        <v>19.79167</v>
      </c>
      <c r="X23" s="21">
        <v>32</v>
      </c>
      <c r="Y23" s="21">
        <v>0</v>
      </c>
      <c r="Z23" s="21">
        <v>19.72837</v>
      </c>
      <c r="AA23" s="21">
        <v>76.28039</v>
      </c>
      <c r="AB23" s="21"/>
      <c r="AC23" s="8"/>
      <c r="AD23" s="8">
        <v>1.54834</v>
      </c>
      <c r="AE23" s="8">
        <v>0.001548462</v>
      </c>
      <c r="AF23" s="8">
        <v>20.58738</v>
      </c>
      <c r="AG23" s="8">
        <v>19.46614</v>
      </c>
      <c r="AH23" s="8">
        <v>624.5</v>
      </c>
      <c r="AI23" s="22"/>
      <c r="AJ23" s="22"/>
      <c r="AK23" s="22"/>
      <c r="AL23" s="22"/>
      <c r="AM23" s="22"/>
      <c r="AN23" s="8">
        <v>57.02401</v>
      </c>
      <c r="AO23" s="9">
        <v>50</v>
      </c>
      <c r="AP23" s="10">
        <v>24.24226</v>
      </c>
      <c r="AQ23" s="11">
        <v>39.3844</v>
      </c>
      <c r="AR23" s="12">
        <v>0.09766388</v>
      </c>
    </row>
    <row r="24" spans="2:44" ht="13.5" customHeight="1" x14ac:dyDescent="0.25">
      <c r="B24" s="121">
        <v>0.41666666666666702</v>
      </c>
      <c r="C24" s="20">
        <v>-79.44878</v>
      </c>
      <c r="D24" s="4">
        <v>-80.35301</v>
      </c>
      <c r="E24" s="4">
        <v>103.1322</v>
      </c>
      <c r="F24" s="4">
        <v>0.1030816</v>
      </c>
      <c r="G24" s="4">
        <v>8.786964E-05</v>
      </c>
      <c r="H24" s="4"/>
      <c r="I24" s="4"/>
      <c r="J24" s="4"/>
      <c r="K24" s="4"/>
      <c r="L24" s="5"/>
      <c r="M24" s="20">
        <v>77.85011</v>
      </c>
      <c r="N24" s="4">
        <v>47.59114</v>
      </c>
      <c r="O24" s="4">
        <v>39.5</v>
      </c>
      <c r="P24" s="4">
        <v>22</v>
      </c>
      <c r="Q24" s="4">
        <v>3.406684</v>
      </c>
      <c r="R24" s="62">
        <v>20.18229</v>
      </c>
      <c r="S24" s="21">
        <v>95.06655</v>
      </c>
      <c r="T24" s="21">
        <v>38.6</v>
      </c>
      <c r="U24" s="21">
        <v>78.60442</v>
      </c>
      <c r="V24" s="84">
        <v>16.69379</v>
      </c>
      <c r="W24" s="21">
        <v>19.5855</v>
      </c>
      <c r="X24" s="21">
        <v>32</v>
      </c>
      <c r="Y24" s="21">
        <v>0</v>
      </c>
      <c r="Z24" s="21">
        <v>21.07747</v>
      </c>
      <c r="AA24" s="21">
        <v>70.92557</v>
      </c>
      <c r="AB24" s="21"/>
      <c r="AC24" s="8"/>
      <c r="AD24" s="8">
        <v>1.548394</v>
      </c>
      <c r="AE24" s="8">
        <v>0.001548065</v>
      </c>
      <c r="AF24" s="8">
        <v>20.99609</v>
      </c>
      <c r="AG24" s="8">
        <v>23.93663</v>
      </c>
      <c r="AH24" s="8">
        <v>532.5</v>
      </c>
      <c r="AI24" s="22"/>
      <c r="AJ24" s="22"/>
      <c r="AK24" s="22"/>
      <c r="AL24" s="22"/>
      <c r="AM24" s="22"/>
      <c r="AN24" s="8">
        <v>56.98061</v>
      </c>
      <c r="AO24" s="9">
        <v>50</v>
      </c>
      <c r="AP24" s="10">
        <v>24.34172</v>
      </c>
      <c r="AQ24" s="11">
        <v>39.31207</v>
      </c>
      <c r="AR24" s="12">
        <v>0.08680725</v>
      </c>
    </row>
    <row r="25" spans="2:44" ht="13.5" customHeight="1" x14ac:dyDescent="0.25">
      <c r="B25" s="121">
        <v>0.45833333333333298</v>
      </c>
      <c r="C25" s="20">
        <v>-79.62963</v>
      </c>
      <c r="D25" s="4">
        <v>-80.61343</v>
      </c>
      <c r="E25" s="4">
        <v>103.1322</v>
      </c>
      <c r="F25" s="4">
        <v>0.09714989</v>
      </c>
      <c r="G25" s="4">
        <v>9.495735E-05</v>
      </c>
      <c r="H25" s="4"/>
      <c r="I25" s="4"/>
      <c r="J25" s="4"/>
      <c r="K25" s="4"/>
      <c r="L25" s="5"/>
      <c r="M25" s="20">
        <v>77.6548</v>
      </c>
      <c r="N25" s="4">
        <v>47.74305</v>
      </c>
      <c r="O25" s="4">
        <v>39.5</v>
      </c>
      <c r="P25" s="4">
        <v>22</v>
      </c>
      <c r="Q25" s="4">
        <v>3.261285</v>
      </c>
      <c r="R25" s="62">
        <v>19.88571</v>
      </c>
      <c r="S25" s="21">
        <v>93.35938</v>
      </c>
      <c r="T25" s="21">
        <v>38.6</v>
      </c>
      <c r="U25" s="21">
        <v>78.73336</v>
      </c>
      <c r="V25" s="84">
        <v>16.352</v>
      </c>
      <c r="W25" s="21">
        <v>19.40104</v>
      </c>
      <c r="X25" s="21">
        <v>32</v>
      </c>
      <c r="Y25" s="21">
        <v>0</v>
      </c>
      <c r="Z25" s="21">
        <v>22.21137</v>
      </c>
      <c r="AA25" s="21">
        <v>67.4642</v>
      </c>
      <c r="AB25" s="21"/>
      <c r="AC25" s="8"/>
      <c r="AD25" s="8">
        <v>1.548448</v>
      </c>
      <c r="AE25" s="8">
        <v>0.001541412</v>
      </c>
      <c r="AF25" s="8">
        <v>21.25289</v>
      </c>
      <c r="AG25" s="8">
        <v>24.30194</v>
      </c>
      <c r="AH25" s="8">
        <v>238.1</v>
      </c>
      <c r="AI25" s="22"/>
      <c r="AJ25" s="22"/>
      <c r="AK25" s="22"/>
      <c r="AL25" s="22"/>
      <c r="AM25" s="22"/>
      <c r="AN25" s="8">
        <v>55.72193</v>
      </c>
      <c r="AO25" s="9">
        <v>50</v>
      </c>
      <c r="AP25" s="10">
        <v>24.50448</v>
      </c>
      <c r="AQ25" s="11">
        <v>39.31568</v>
      </c>
      <c r="AR25" s="12">
        <v>0.1085129</v>
      </c>
    </row>
    <row r="26" spans="2:44" ht="13.5" customHeight="1" x14ac:dyDescent="0.25">
      <c r="B26" s="121">
        <v>0.5</v>
      </c>
      <c r="C26" s="20">
        <v>-79.49219</v>
      </c>
      <c r="D26" s="4">
        <v>-80.42535</v>
      </c>
      <c r="E26" s="4">
        <v>103.1358</v>
      </c>
      <c r="F26" s="4">
        <v>0.0766059</v>
      </c>
      <c r="G26" s="4">
        <v>9.080124E-05</v>
      </c>
      <c r="H26" s="4"/>
      <c r="I26" s="4"/>
      <c r="J26" s="4"/>
      <c r="K26" s="4"/>
      <c r="L26" s="5"/>
      <c r="M26" s="20">
        <v>77.53183</v>
      </c>
      <c r="N26" s="4">
        <v>47.52242</v>
      </c>
      <c r="O26" s="4">
        <v>39.5</v>
      </c>
      <c r="P26" s="4">
        <v>22</v>
      </c>
      <c r="Q26" s="4">
        <v>3.491319</v>
      </c>
      <c r="R26" s="62">
        <v>19.89656</v>
      </c>
      <c r="S26" s="21">
        <v>93.24363</v>
      </c>
      <c r="T26" s="21">
        <v>38</v>
      </c>
      <c r="U26" s="21">
        <v>77.25893</v>
      </c>
      <c r="V26" s="84">
        <v>16.41168</v>
      </c>
      <c r="W26" s="21">
        <v>19.477</v>
      </c>
      <c r="X26" s="21">
        <v>32</v>
      </c>
      <c r="Y26" s="21">
        <v>0</v>
      </c>
      <c r="Z26" s="21">
        <v>23.19517</v>
      </c>
      <c r="AA26" s="21">
        <v>64.58876</v>
      </c>
      <c r="AB26" s="21"/>
      <c r="AC26" s="8"/>
      <c r="AD26" s="8">
        <v>1.548394</v>
      </c>
      <c r="AE26" s="8">
        <v>0.001526794</v>
      </c>
      <c r="AF26" s="8">
        <v>21.23481</v>
      </c>
      <c r="AG26" s="8">
        <v>26.75781</v>
      </c>
      <c r="AH26" s="8"/>
      <c r="AI26" s="22"/>
      <c r="AJ26" s="22"/>
      <c r="AK26" s="22"/>
      <c r="AL26" s="22"/>
      <c r="AM26" s="22"/>
      <c r="AN26" s="8">
        <v>54.31134</v>
      </c>
      <c r="AO26" s="9">
        <v>50</v>
      </c>
      <c r="AP26" s="10">
        <v>24.84809</v>
      </c>
      <c r="AQ26" s="11">
        <v>39.13484</v>
      </c>
      <c r="AR26" s="12">
        <v>0.09766388</v>
      </c>
    </row>
    <row r="27" spans="2:44" ht="13.5" customHeight="1" x14ac:dyDescent="0.25">
      <c r="B27" s="121">
        <v>0.54166666666666596</v>
      </c>
      <c r="C27" s="20">
        <v>-79.5573</v>
      </c>
      <c r="D27" s="4">
        <v>-80.36024</v>
      </c>
      <c r="E27" s="4">
        <v>103.1358</v>
      </c>
      <c r="F27" s="4">
        <v>0.08463541</v>
      </c>
      <c r="G27" s="4">
        <v>9.283638E-05</v>
      </c>
      <c r="H27" s="4"/>
      <c r="I27" s="4"/>
      <c r="J27" s="4"/>
      <c r="K27" s="4"/>
      <c r="L27" s="5"/>
      <c r="M27" s="20">
        <v>77.41247</v>
      </c>
      <c r="N27" s="4">
        <v>47.71412</v>
      </c>
      <c r="O27" s="4">
        <v>39.5</v>
      </c>
      <c r="P27" s="4">
        <v>22</v>
      </c>
      <c r="Q27" s="4">
        <v>3.483073</v>
      </c>
      <c r="R27" s="62">
        <v>19.87124</v>
      </c>
      <c r="S27" s="21">
        <v>91.57986</v>
      </c>
      <c r="T27" s="21">
        <v>38</v>
      </c>
      <c r="U27" s="21">
        <v>77.34863</v>
      </c>
      <c r="V27" s="84">
        <v>16.15668</v>
      </c>
      <c r="W27" s="21">
        <v>19.31966</v>
      </c>
      <c r="X27" s="21">
        <v>32</v>
      </c>
      <c r="Y27" s="21">
        <v>0</v>
      </c>
      <c r="Z27" s="21">
        <v>24.0795</v>
      </c>
      <c r="AA27" s="21">
        <v>62.26129</v>
      </c>
      <c r="AB27" s="21"/>
      <c r="AC27" s="8"/>
      <c r="AD27" s="8">
        <v>0</v>
      </c>
      <c r="AE27" s="8">
        <v>0.001263611</v>
      </c>
      <c r="AF27" s="8">
        <v>21.29991</v>
      </c>
      <c r="AG27" s="8">
        <v>0.5208333</v>
      </c>
      <c r="AH27" s="8"/>
      <c r="AI27" s="22"/>
      <c r="AJ27" s="22"/>
      <c r="AK27" s="22"/>
      <c r="AL27" s="22"/>
      <c r="AM27" s="22"/>
      <c r="AN27" s="8">
        <v>53.04543</v>
      </c>
      <c r="AO27" s="9">
        <v>50</v>
      </c>
      <c r="AP27" s="10">
        <v>25.07415</v>
      </c>
      <c r="AQ27" s="11">
        <v>39.97034</v>
      </c>
      <c r="AR27" s="12">
        <v>0.07595825</v>
      </c>
    </row>
    <row r="28" spans="2:44" ht="13.5" customHeight="1" x14ac:dyDescent="0.25">
      <c r="B28" s="121">
        <v>0.58333333333333304</v>
      </c>
      <c r="C28" s="20">
        <v>-79.00752</v>
      </c>
      <c r="D28" s="4">
        <v>-79.78154</v>
      </c>
      <c r="E28" s="4">
        <v>103.1322</v>
      </c>
      <c r="F28" s="4">
        <v>0.09881366</v>
      </c>
      <c r="G28" s="4">
        <v>9.028244E-05</v>
      </c>
      <c r="H28" s="4"/>
      <c r="I28" s="4"/>
      <c r="J28" s="4"/>
      <c r="K28" s="4"/>
      <c r="L28" s="5"/>
      <c r="M28" s="20">
        <v>77.34375</v>
      </c>
      <c r="N28" s="4">
        <v>47.58391</v>
      </c>
      <c r="O28" s="4">
        <v>39.5</v>
      </c>
      <c r="P28" s="4">
        <v>22</v>
      </c>
      <c r="Q28" s="4">
        <v>3.365017</v>
      </c>
      <c r="R28" s="62">
        <v>20.3342</v>
      </c>
      <c r="S28" s="21">
        <v>90.6467</v>
      </c>
      <c r="T28" s="21">
        <v>15</v>
      </c>
      <c r="U28" s="21">
        <v>7.187139</v>
      </c>
      <c r="V28" s="84">
        <v>16.23264</v>
      </c>
      <c r="W28" s="21">
        <v>107.9698</v>
      </c>
      <c r="X28" s="21">
        <v>30</v>
      </c>
      <c r="Y28" s="21">
        <v>81.27296</v>
      </c>
      <c r="Z28" s="21">
        <v>17.16218</v>
      </c>
      <c r="AA28" s="21">
        <v>20.09006</v>
      </c>
      <c r="AB28" s="21"/>
      <c r="AC28" s="8"/>
      <c r="AD28" s="8">
        <v>1.548286</v>
      </c>
      <c r="AE28" s="8">
        <v>0.0007105102</v>
      </c>
      <c r="AF28" s="8">
        <v>20.91652</v>
      </c>
      <c r="AG28" s="8">
        <v>15.04991</v>
      </c>
      <c r="AH28" s="8"/>
      <c r="AI28" s="22"/>
      <c r="AJ28" s="22"/>
      <c r="AK28" s="22"/>
      <c r="AL28" s="22"/>
      <c r="AM28" s="22"/>
      <c r="AN28" s="8">
        <v>52.85735</v>
      </c>
      <c r="AO28" s="9">
        <v>50</v>
      </c>
      <c r="AP28" s="10">
        <v>25.3002</v>
      </c>
      <c r="AQ28" s="11">
        <v>39.72078</v>
      </c>
      <c r="AR28" s="12">
        <v>0.07595825</v>
      </c>
    </row>
    <row r="29" spans="2:44" ht="13.5" customHeight="1" x14ac:dyDescent="0.25">
      <c r="B29" s="121">
        <v>0.625</v>
      </c>
      <c r="C29" s="20">
        <v>-79.41985</v>
      </c>
      <c r="D29" s="4">
        <v>-80.15047</v>
      </c>
      <c r="E29" s="4">
        <v>103.1358</v>
      </c>
      <c r="F29" s="4">
        <v>0.08210359</v>
      </c>
      <c r="G29" s="4">
        <v>8.911705E-05</v>
      </c>
      <c r="H29" s="4"/>
      <c r="I29" s="4"/>
      <c r="J29" s="4"/>
      <c r="K29" s="4"/>
      <c r="L29" s="5"/>
      <c r="M29" s="20">
        <v>77.56438</v>
      </c>
      <c r="N29" s="4">
        <v>48.11921</v>
      </c>
      <c r="O29" s="4">
        <v>39.5</v>
      </c>
      <c r="P29" s="4">
        <v>22</v>
      </c>
      <c r="Q29" s="4">
        <v>2.684028</v>
      </c>
      <c r="R29" s="62">
        <v>19.74465</v>
      </c>
      <c r="S29" s="21">
        <v>91.06626</v>
      </c>
      <c r="T29" s="21">
        <v>15</v>
      </c>
      <c r="U29" s="21">
        <v>0</v>
      </c>
      <c r="V29" s="84">
        <v>14.56706</v>
      </c>
      <c r="W29" s="21">
        <v>75.73785</v>
      </c>
      <c r="X29" s="21">
        <v>26.5</v>
      </c>
      <c r="Y29" s="21">
        <v>80.15173</v>
      </c>
      <c r="Z29" s="21">
        <v>16.51657</v>
      </c>
      <c r="AA29" s="21">
        <v>18.97244</v>
      </c>
      <c r="AB29" s="21"/>
      <c r="AC29" s="8"/>
      <c r="AD29" s="8">
        <v>0</v>
      </c>
      <c r="AE29" s="8">
        <v>0.0009381714</v>
      </c>
      <c r="AF29" s="8">
        <v>21.47352</v>
      </c>
      <c r="AG29" s="8">
        <v>16.44242</v>
      </c>
      <c r="AH29" s="8"/>
      <c r="AI29" s="22"/>
      <c r="AJ29" s="22"/>
      <c r="AK29" s="22"/>
      <c r="AL29" s="22"/>
      <c r="AM29" s="22"/>
      <c r="AN29" s="8">
        <v>46.14439</v>
      </c>
      <c r="AO29" s="9">
        <v>50</v>
      </c>
      <c r="AP29" s="10">
        <v>25.57147</v>
      </c>
      <c r="AQ29" s="11">
        <v>39.98481</v>
      </c>
      <c r="AR29" s="12">
        <v>0.07595825</v>
      </c>
    </row>
    <row r="30" spans="2:44" ht="13.5" customHeight="1" x14ac:dyDescent="0.25">
      <c r="B30" s="121">
        <v>0.66666666666666596</v>
      </c>
      <c r="C30" s="20">
        <v>-79.2607</v>
      </c>
      <c r="D30" s="4">
        <v>-79.85388</v>
      </c>
      <c r="E30" s="4">
        <v>103.1322</v>
      </c>
      <c r="F30" s="4">
        <v>0.07841435</v>
      </c>
      <c r="G30" s="4">
        <v>9.15451E-05</v>
      </c>
      <c r="H30" s="4"/>
      <c r="I30" s="4"/>
      <c r="J30" s="4"/>
      <c r="K30" s="4"/>
      <c r="L30" s="5"/>
      <c r="M30" s="20">
        <v>77.61863</v>
      </c>
      <c r="N30" s="4">
        <v>47.37775</v>
      </c>
      <c r="O30" s="4">
        <v>39.5</v>
      </c>
      <c r="P30" s="4">
        <v>22</v>
      </c>
      <c r="Q30" s="4">
        <v>3.055122</v>
      </c>
      <c r="R30" s="62">
        <v>18.9851</v>
      </c>
      <c r="S30" s="21">
        <v>90.92882</v>
      </c>
      <c r="T30" s="21">
        <v>15</v>
      </c>
      <c r="U30" s="21">
        <v>0</v>
      </c>
      <c r="V30" s="84">
        <v>16.80773</v>
      </c>
      <c r="W30" s="21">
        <v>61.93034</v>
      </c>
      <c r="X30" s="21">
        <v>26.3</v>
      </c>
      <c r="Y30" s="21">
        <v>71.92184</v>
      </c>
      <c r="Z30" s="21">
        <v>15.75159</v>
      </c>
      <c r="AA30" s="21">
        <v>18.03386</v>
      </c>
      <c r="AB30" s="21"/>
      <c r="AC30" s="8"/>
      <c r="AD30" s="8">
        <v>0</v>
      </c>
      <c r="AE30" s="8">
        <v>0.0007642517</v>
      </c>
      <c r="AF30" s="8">
        <v>20.85865</v>
      </c>
      <c r="AG30" s="8">
        <v>20.3776</v>
      </c>
      <c r="AH30" s="8"/>
      <c r="AI30" s="22"/>
      <c r="AJ30" s="22"/>
      <c r="AK30" s="22"/>
      <c r="AL30" s="22"/>
      <c r="AM30" s="22"/>
      <c r="AN30" s="8">
        <v>41.99219</v>
      </c>
      <c r="AO30" s="9">
        <v>50</v>
      </c>
      <c r="AP30" s="10">
        <v>25.90603</v>
      </c>
      <c r="AQ30" s="11">
        <v>39.9197</v>
      </c>
      <c r="AR30" s="12">
        <v>0.07595825</v>
      </c>
    </row>
    <row r="31" spans="2:44" ht="13.5" customHeight="1" x14ac:dyDescent="0.25">
      <c r="B31" s="121">
        <v>0.70833333333333304</v>
      </c>
      <c r="C31" s="20">
        <v>-79.93345</v>
      </c>
      <c r="D31" s="4">
        <v>-80.46875</v>
      </c>
      <c r="E31" s="4">
        <v>103.1322</v>
      </c>
      <c r="F31" s="4">
        <v>0.1045284</v>
      </c>
      <c r="G31" s="4">
        <v>8.732605E-05</v>
      </c>
      <c r="H31" s="4"/>
      <c r="I31" s="4"/>
      <c r="J31" s="4"/>
      <c r="K31" s="4"/>
      <c r="L31" s="5"/>
      <c r="M31" s="20">
        <v>77.67651</v>
      </c>
      <c r="N31" s="4">
        <v>47.57306</v>
      </c>
      <c r="O31" s="4">
        <v>39.5</v>
      </c>
      <c r="P31" s="4">
        <v>22</v>
      </c>
      <c r="Q31" s="4">
        <v>3.188802</v>
      </c>
      <c r="R31" s="62">
        <v>18.54384</v>
      </c>
      <c r="S31" s="21">
        <v>90.55627</v>
      </c>
      <c r="T31" s="21">
        <v>15</v>
      </c>
      <c r="U31" s="21">
        <v>0</v>
      </c>
      <c r="V31" s="84">
        <v>17.94705</v>
      </c>
      <c r="W31" s="21">
        <v>53.50478</v>
      </c>
      <c r="X31" s="21">
        <v>26.3</v>
      </c>
      <c r="Y31" s="21">
        <v>71.50137</v>
      </c>
      <c r="Z31" s="21">
        <v>15.3031</v>
      </c>
      <c r="AA31" s="21">
        <v>17.65951</v>
      </c>
      <c r="AB31" s="21"/>
      <c r="AC31" s="8"/>
      <c r="AD31" s="8">
        <v>1.548286</v>
      </c>
      <c r="AE31" s="8">
        <v>0.0009148254</v>
      </c>
      <c r="AF31" s="8">
        <v>21.23481</v>
      </c>
      <c r="AG31" s="8">
        <v>34.26287</v>
      </c>
      <c r="AH31" s="8"/>
      <c r="AI31" s="22"/>
      <c r="AJ31" s="22"/>
      <c r="AK31" s="22"/>
      <c r="AL31" s="22"/>
      <c r="AM31" s="22"/>
      <c r="AN31" s="8">
        <v>40.66117</v>
      </c>
      <c r="AO31" s="9">
        <v>50</v>
      </c>
      <c r="AP31" s="10">
        <v>26.23155</v>
      </c>
      <c r="AQ31" s="11">
        <v>39.5544</v>
      </c>
      <c r="AR31" s="12">
        <v>0.08680725</v>
      </c>
    </row>
    <row r="32" spans="2:44" ht="13.5" customHeight="1" x14ac:dyDescent="0.25">
      <c r="B32" s="121">
        <v>0.75</v>
      </c>
      <c r="C32" s="20">
        <v>-79.78154</v>
      </c>
      <c r="D32" s="4">
        <v>-80.33131</v>
      </c>
      <c r="E32" s="4">
        <v>103.1358</v>
      </c>
      <c r="F32" s="4">
        <v>0.1035156</v>
      </c>
      <c r="G32" s="4">
        <v>9.95369E-05</v>
      </c>
      <c r="H32" s="4"/>
      <c r="I32" s="4"/>
      <c r="J32" s="4"/>
      <c r="K32" s="4"/>
      <c r="L32" s="5"/>
      <c r="M32" s="20">
        <v>77.79586</v>
      </c>
      <c r="N32" s="4">
        <v>47.48626</v>
      </c>
      <c r="O32" s="4">
        <v>39.5</v>
      </c>
      <c r="P32" s="4">
        <v>22</v>
      </c>
      <c r="Q32" s="4">
        <v>3.422743</v>
      </c>
      <c r="R32" s="62">
        <v>18.023</v>
      </c>
      <c r="S32" s="21">
        <v>92.853</v>
      </c>
      <c r="T32" s="21">
        <v>15</v>
      </c>
      <c r="U32" s="21">
        <v>0</v>
      </c>
      <c r="V32" s="84">
        <v>16.28147</v>
      </c>
      <c r="W32" s="21">
        <v>47.65625</v>
      </c>
      <c r="X32" s="21">
        <v>25.9</v>
      </c>
      <c r="Y32" s="21">
        <v>70.40816</v>
      </c>
      <c r="Z32" s="21">
        <v>15.03725</v>
      </c>
      <c r="AA32" s="21">
        <v>17.42622</v>
      </c>
      <c r="AB32" s="21"/>
      <c r="AC32" s="8"/>
      <c r="AD32" s="8">
        <v>1.548394</v>
      </c>
      <c r="AE32" s="8">
        <v>0.0006873169</v>
      </c>
      <c r="AF32" s="8">
        <v>22.08116</v>
      </c>
      <c r="AG32" s="8">
        <v>25.34722</v>
      </c>
      <c r="AH32" s="8"/>
      <c r="AI32" s="22"/>
      <c r="AJ32" s="22"/>
      <c r="AK32" s="22"/>
      <c r="AL32" s="22"/>
      <c r="AM32" s="22"/>
      <c r="AN32" s="8">
        <v>45.18953</v>
      </c>
      <c r="AO32" s="9">
        <v>50</v>
      </c>
      <c r="AP32" s="10">
        <v>26.52091</v>
      </c>
      <c r="AQ32" s="11">
        <v>39.87268</v>
      </c>
      <c r="AR32" s="12">
        <v>0.07595825</v>
      </c>
    </row>
    <row r="33" spans="2:44" ht="13.5" customHeight="1" x14ac:dyDescent="0.25">
      <c r="B33" s="121">
        <v>0.79166666666666696</v>
      </c>
      <c r="C33" s="20">
        <v>-79.74537</v>
      </c>
      <c r="D33" s="4">
        <v>-80.34578</v>
      </c>
      <c r="E33" s="4">
        <v>103.1286</v>
      </c>
      <c r="F33" s="4">
        <v>0.09852431</v>
      </c>
      <c r="G33" s="4">
        <v>9.298896E-05</v>
      </c>
      <c r="H33" s="4"/>
      <c r="I33" s="4"/>
      <c r="J33" s="4"/>
      <c r="K33" s="4"/>
      <c r="L33" s="5"/>
      <c r="M33" s="20">
        <v>77.56799</v>
      </c>
      <c r="N33" s="4">
        <v>47.57306</v>
      </c>
      <c r="O33" s="4">
        <v>39.5</v>
      </c>
      <c r="P33" s="4">
        <v>22</v>
      </c>
      <c r="Q33" s="4">
        <v>3.580295</v>
      </c>
      <c r="R33" s="62">
        <v>18.03024</v>
      </c>
      <c r="S33" s="21">
        <v>91.99942</v>
      </c>
      <c r="T33" s="21">
        <v>15</v>
      </c>
      <c r="U33" s="21">
        <v>0</v>
      </c>
      <c r="V33" s="84">
        <v>17.41537</v>
      </c>
      <c r="W33" s="21">
        <v>44.08637</v>
      </c>
      <c r="X33" s="21">
        <v>25.9</v>
      </c>
      <c r="Y33" s="21">
        <v>70.99121</v>
      </c>
      <c r="Z33" s="21">
        <v>14.68461</v>
      </c>
      <c r="AA33" s="21">
        <v>17.22548</v>
      </c>
      <c r="AB33" s="21"/>
      <c r="AC33" s="8"/>
      <c r="AD33" s="8">
        <v>1.54834</v>
      </c>
      <c r="AE33" s="8">
        <v>0.0009217224</v>
      </c>
      <c r="AF33" s="8">
        <v>21.52416</v>
      </c>
      <c r="AG33" s="8">
        <v>40.44415</v>
      </c>
      <c r="AH33" s="8"/>
      <c r="AI33" s="22"/>
      <c r="AJ33" s="22"/>
      <c r="AK33" s="22"/>
      <c r="AL33" s="22"/>
      <c r="AM33" s="22"/>
      <c r="AN33" s="8">
        <v>45.75376</v>
      </c>
      <c r="AO33" s="9">
        <v>50</v>
      </c>
      <c r="AP33" s="10">
        <v>26.73792</v>
      </c>
      <c r="AQ33" s="11">
        <v>39.5978</v>
      </c>
      <c r="AR33" s="12">
        <v>0.07595825</v>
      </c>
    </row>
    <row r="34" spans="2:44" ht="13.5" customHeight="1" x14ac:dyDescent="0.25">
      <c r="B34" s="121">
        <v>0.83333333333333304</v>
      </c>
      <c r="C34" s="23">
        <v>-79.78877</v>
      </c>
      <c r="D34" s="13">
        <v>-80.51215</v>
      </c>
      <c r="E34" s="13">
        <v>103.1286</v>
      </c>
      <c r="F34" s="13">
        <v>0.1029369</v>
      </c>
      <c r="G34" s="13">
        <v>9.290504E-05</v>
      </c>
      <c r="H34" s="13"/>
      <c r="I34" s="13"/>
      <c r="J34" s="13"/>
      <c r="K34" s="13"/>
      <c r="L34" s="14"/>
      <c r="M34" s="23">
        <v>77.54268</v>
      </c>
      <c r="N34" s="13">
        <v>47.68518</v>
      </c>
      <c r="O34" s="13">
        <v>39.5</v>
      </c>
      <c r="P34" s="13">
        <v>22</v>
      </c>
      <c r="Q34" s="13">
        <v>3.60026</v>
      </c>
      <c r="R34" s="13">
        <v>17.59983</v>
      </c>
      <c r="S34" s="24">
        <v>90.41522</v>
      </c>
      <c r="T34" s="24">
        <v>15</v>
      </c>
      <c r="U34" s="24">
        <v>0</v>
      </c>
      <c r="V34" s="84">
        <v>18.278</v>
      </c>
      <c r="W34" s="24">
        <v>42.08442</v>
      </c>
      <c r="X34" s="24">
        <v>26.2</v>
      </c>
      <c r="Y34" s="24">
        <v>71.29955</v>
      </c>
      <c r="Z34" s="24">
        <v>14.30483</v>
      </c>
      <c r="AA34" s="24">
        <v>16.83485</v>
      </c>
      <c r="AB34" s="24"/>
      <c r="AC34" s="17"/>
      <c r="AD34" s="17">
        <v>1.421929</v>
      </c>
      <c r="AE34" s="17">
        <v>0.0006097718</v>
      </c>
      <c r="AF34" s="17">
        <v>21.36502</v>
      </c>
      <c r="AG34" s="17">
        <v>24.35619</v>
      </c>
      <c r="AH34" s="17"/>
      <c r="AI34" s="25"/>
      <c r="AJ34" s="25"/>
      <c r="AK34" s="25"/>
      <c r="AL34" s="25"/>
      <c r="AM34" s="25"/>
      <c r="AN34" s="17">
        <v>44.92911</v>
      </c>
      <c r="AO34" s="18">
        <v>50</v>
      </c>
      <c r="AP34" s="26">
        <v>26.90972</v>
      </c>
      <c r="AQ34" s="27">
        <v>39.64844</v>
      </c>
      <c r="AR34" s="28">
        <v>0.09766388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49.70341</v>
      </c>
      <c r="F39" s="62"/>
      <c r="G39" s="62"/>
      <c r="H39" s="62">
        <v>0</v>
      </c>
      <c r="I39" s="62"/>
      <c r="J39" s="62">
        <v>24.27843</v>
      </c>
      <c r="K39" s="62">
        <v>40</v>
      </c>
      <c r="L39" s="62">
        <v>47.27286</v>
      </c>
      <c r="M39" s="62">
        <v>0</v>
      </c>
      <c r="N39" s="62"/>
      <c r="O39" s="62">
        <v>25.98741</v>
      </c>
      <c r="P39" s="62">
        <v>0.05</v>
      </c>
      <c r="Q39" s="62">
        <v>0.2291667</v>
      </c>
      <c r="R39" s="62"/>
      <c r="S39" s="62">
        <v>0</v>
      </c>
      <c r="T39" s="62"/>
      <c r="U39" s="84">
        <v>0</v>
      </c>
      <c r="V39" s="90"/>
      <c r="W39" s="91">
        <v>90.44415</v>
      </c>
      <c r="X39" s="84">
        <v>16.77156</v>
      </c>
      <c r="Y39" s="84">
        <v>28</v>
      </c>
      <c r="Z39" s="84">
        <v>0</v>
      </c>
      <c r="AA39" s="84">
        <v>17.27973</v>
      </c>
      <c r="AB39" s="84">
        <v>20.14974</v>
      </c>
      <c r="AC39" s="84">
        <v>50</v>
      </c>
      <c r="AD39" s="84">
        <v>123.8021</v>
      </c>
      <c r="AE39" s="66">
        <v>17.56547</v>
      </c>
      <c r="AF39" s="66">
        <v>99.9132</v>
      </c>
      <c r="AG39" s="66"/>
      <c r="AH39" s="66">
        <v>0</v>
      </c>
      <c r="AI39" s="66">
        <v>0</v>
      </c>
      <c r="AJ39" s="66"/>
      <c r="AK39" s="66">
        <v>56.11979</v>
      </c>
      <c r="AL39" s="67">
        <v>45.81308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0</v>
      </c>
      <c r="E40" s="4">
        <v>72.22222</v>
      </c>
      <c r="F40" s="4"/>
      <c r="G40" s="4"/>
      <c r="H40" s="4">
        <v>0</v>
      </c>
      <c r="I40" s="4">
        <v>0</v>
      </c>
      <c r="J40" s="4">
        <v>24.22417</v>
      </c>
      <c r="K40" s="4">
        <v>40</v>
      </c>
      <c r="L40" s="4">
        <v>46.82979</v>
      </c>
      <c r="M40" s="4">
        <v>0</v>
      </c>
      <c r="N40" s="4">
        <v>0</v>
      </c>
      <c r="O40" s="4">
        <v>26.37623</v>
      </c>
      <c r="P40" s="4">
        <v>0.05</v>
      </c>
      <c r="Q40" s="4">
        <v>0.2244647</v>
      </c>
      <c r="R40" s="4">
        <v>0.0002129784</v>
      </c>
      <c r="S40" s="4">
        <v>0</v>
      </c>
      <c r="T40" s="4">
        <v>0</v>
      </c>
      <c r="U40" s="21">
        <v>0</v>
      </c>
      <c r="V40" s="29">
        <v>0</v>
      </c>
      <c r="W40" s="30">
        <v>90.35735</v>
      </c>
      <c r="X40" s="21">
        <v>20.25101</v>
      </c>
      <c r="Y40" s="21">
        <v>28</v>
      </c>
      <c r="Z40" s="21">
        <v>0</v>
      </c>
      <c r="AA40" s="21">
        <v>16.95421</v>
      </c>
      <c r="AB40" s="21">
        <v>19.79167</v>
      </c>
      <c r="AC40" s="21">
        <v>50</v>
      </c>
      <c r="AD40" s="21">
        <v>123.7978</v>
      </c>
      <c r="AE40" s="8">
        <v>19.72837</v>
      </c>
      <c r="AF40" s="8">
        <v>76.28039</v>
      </c>
      <c r="AG40" s="8"/>
      <c r="AH40" s="8">
        <v>0.9657118</v>
      </c>
      <c r="AI40" s="8">
        <v>0</v>
      </c>
      <c r="AJ40" s="8">
        <v>0</v>
      </c>
      <c r="AK40" s="8">
        <v>71.79181</v>
      </c>
      <c r="AL40" s="9">
        <v>53.5272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1.23167E-06</v>
      </c>
      <c r="E41" s="4">
        <v>65.79137</v>
      </c>
      <c r="F41" s="4"/>
      <c r="G41" s="4"/>
      <c r="H41" s="4">
        <v>0</v>
      </c>
      <c r="I41" s="4">
        <v>0</v>
      </c>
      <c r="J41" s="4">
        <v>24.34172</v>
      </c>
      <c r="K41" s="4">
        <v>40</v>
      </c>
      <c r="L41" s="4">
        <v>46.44097</v>
      </c>
      <c r="M41" s="4">
        <v>0</v>
      </c>
      <c r="N41" s="4">
        <v>0</v>
      </c>
      <c r="O41" s="4">
        <v>26.8193</v>
      </c>
      <c r="P41" s="4">
        <v>0.05</v>
      </c>
      <c r="Q41" s="4">
        <v>0.1959635</v>
      </c>
      <c r="R41" s="4">
        <v>0.0002020226</v>
      </c>
      <c r="S41" s="4">
        <v>0</v>
      </c>
      <c r="T41" s="4">
        <v>0</v>
      </c>
      <c r="U41" s="21">
        <v>0</v>
      </c>
      <c r="V41" s="29">
        <v>0</v>
      </c>
      <c r="W41" s="30">
        <v>90.76968</v>
      </c>
      <c r="X41" s="21">
        <v>19.5855</v>
      </c>
      <c r="Y41" s="21">
        <v>50</v>
      </c>
      <c r="Z41" s="21">
        <v>123.8759</v>
      </c>
      <c r="AA41" s="21">
        <v>16.69379</v>
      </c>
      <c r="AB41" s="21">
        <v>19.5855</v>
      </c>
      <c r="AC41" s="21">
        <v>50</v>
      </c>
      <c r="AD41" s="21">
        <v>123.7934</v>
      </c>
      <c r="AE41" s="8">
        <v>21.07747</v>
      </c>
      <c r="AF41" s="8">
        <v>70.92557</v>
      </c>
      <c r="AG41" s="8"/>
      <c r="AH41" s="8">
        <v>0</v>
      </c>
      <c r="AI41" s="8">
        <v>0</v>
      </c>
      <c r="AJ41" s="8">
        <v>0</v>
      </c>
      <c r="AK41" s="8">
        <v>45.85142</v>
      </c>
      <c r="AL41" s="9">
        <v>56.85764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0</v>
      </c>
      <c r="E42" s="4">
        <v>61.27025</v>
      </c>
      <c r="F42" s="4"/>
      <c r="G42" s="4"/>
      <c r="H42" s="4">
        <v>0</v>
      </c>
      <c r="I42" s="4">
        <v>0</v>
      </c>
      <c r="J42" s="4">
        <v>24.51353</v>
      </c>
      <c r="K42" s="4">
        <v>40</v>
      </c>
      <c r="L42" s="4">
        <v>45.7628</v>
      </c>
      <c r="M42" s="4">
        <v>0</v>
      </c>
      <c r="N42" s="4">
        <v>0</v>
      </c>
      <c r="O42" s="4">
        <v>27.12674</v>
      </c>
      <c r="P42" s="4">
        <v>0.05</v>
      </c>
      <c r="Q42" s="4">
        <v>0.1933594</v>
      </c>
      <c r="R42" s="4">
        <v>0.0001886635</v>
      </c>
      <c r="S42" s="4">
        <v>0</v>
      </c>
      <c r="T42" s="4">
        <v>0</v>
      </c>
      <c r="U42" s="21">
        <v>0</v>
      </c>
      <c r="V42" s="29">
        <v>0</v>
      </c>
      <c r="W42" s="30">
        <v>96.32885</v>
      </c>
      <c r="X42" s="21">
        <v>17.7011</v>
      </c>
      <c r="Y42" s="21">
        <v>50</v>
      </c>
      <c r="Z42" s="21">
        <v>123.8802</v>
      </c>
      <c r="AA42" s="21">
        <v>16.352</v>
      </c>
      <c r="AB42" s="21">
        <v>19.40104</v>
      </c>
      <c r="AC42" s="21">
        <v>50</v>
      </c>
      <c r="AD42" s="21">
        <v>123.7978</v>
      </c>
      <c r="AE42" s="8">
        <v>22.21137</v>
      </c>
      <c r="AF42" s="8">
        <v>67.4642</v>
      </c>
      <c r="AG42" s="8"/>
      <c r="AH42" s="8">
        <v>0</v>
      </c>
      <c r="AI42" s="8">
        <v>0</v>
      </c>
      <c r="AJ42" s="8">
        <v>0</v>
      </c>
      <c r="AK42" s="8">
        <v>45.86588</v>
      </c>
      <c r="AL42" s="9">
        <v>54.38658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6.151199E-08</v>
      </c>
      <c r="E43" s="4">
        <v>47.85156</v>
      </c>
      <c r="F43" s="4"/>
      <c r="G43" s="4"/>
      <c r="H43" s="4">
        <v>0</v>
      </c>
      <c r="I43" s="4">
        <v>0</v>
      </c>
      <c r="J43" s="4">
        <v>24.67629</v>
      </c>
      <c r="K43" s="4">
        <v>40</v>
      </c>
      <c r="L43" s="4">
        <v>45.88035</v>
      </c>
      <c r="M43" s="4">
        <v>0</v>
      </c>
      <c r="N43" s="4">
        <v>0</v>
      </c>
      <c r="O43" s="4">
        <v>27.50651</v>
      </c>
      <c r="P43" s="4">
        <v>0.05</v>
      </c>
      <c r="Q43" s="4">
        <v>0.2206308</v>
      </c>
      <c r="R43" s="4">
        <v>0.0002093925</v>
      </c>
      <c r="S43" s="4">
        <v>0</v>
      </c>
      <c r="T43" s="4">
        <v>0</v>
      </c>
      <c r="U43" s="21">
        <v>0</v>
      </c>
      <c r="V43" s="29">
        <v>0</v>
      </c>
      <c r="W43" s="30">
        <v>92.47685</v>
      </c>
      <c r="X43" s="21">
        <v>18.78617</v>
      </c>
      <c r="Y43" s="21">
        <v>50</v>
      </c>
      <c r="Z43" s="21">
        <v>123.8759</v>
      </c>
      <c r="AA43" s="21">
        <v>16.41168</v>
      </c>
      <c r="AB43" s="21">
        <v>19.477</v>
      </c>
      <c r="AC43" s="21">
        <v>50</v>
      </c>
      <c r="AD43" s="21">
        <v>123.7934</v>
      </c>
      <c r="AE43" s="8">
        <v>23.19517</v>
      </c>
      <c r="AF43" s="8">
        <v>64.58876</v>
      </c>
      <c r="AG43" s="8"/>
      <c r="AH43" s="8">
        <v>0</v>
      </c>
      <c r="AI43" s="8">
        <v>0</v>
      </c>
      <c r="AJ43" s="8">
        <v>0</v>
      </c>
      <c r="AK43" s="8">
        <v>45.88758</v>
      </c>
      <c r="AL43" s="9">
        <v>52.8154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8.888006E-06</v>
      </c>
      <c r="E44" s="4">
        <v>54.01476</v>
      </c>
      <c r="F44" s="4"/>
      <c r="G44" s="4"/>
      <c r="H44" s="4">
        <v>0</v>
      </c>
      <c r="I44" s="4">
        <v>0</v>
      </c>
      <c r="J44" s="4">
        <v>24.8933</v>
      </c>
      <c r="K44" s="4">
        <v>40</v>
      </c>
      <c r="L44" s="4">
        <v>45.86227</v>
      </c>
      <c r="M44" s="4">
        <v>0</v>
      </c>
      <c r="N44" s="4">
        <v>0</v>
      </c>
      <c r="O44" s="4">
        <v>28.05809</v>
      </c>
      <c r="P44" s="4">
        <v>0.05</v>
      </c>
      <c r="Q44" s="4">
        <v>0.2259838</v>
      </c>
      <c r="R44" s="4">
        <v>0.0002116127</v>
      </c>
      <c r="S44" s="4">
        <v>0</v>
      </c>
      <c r="T44" s="4">
        <v>0</v>
      </c>
      <c r="U44" s="21">
        <v>0</v>
      </c>
      <c r="V44" s="29">
        <v>0</v>
      </c>
      <c r="W44" s="30">
        <v>85.85793</v>
      </c>
      <c r="X44" s="21">
        <v>18.98148</v>
      </c>
      <c r="Y44" s="21">
        <v>50</v>
      </c>
      <c r="Z44" s="21">
        <v>31.65365</v>
      </c>
      <c r="AA44" s="21">
        <v>16.15668</v>
      </c>
      <c r="AB44" s="21">
        <v>19.31966</v>
      </c>
      <c r="AC44" s="21">
        <v>50</v>
      </c>
      <c r="AD44" s="21">
        <v>27.15278</v>
      </c>
      <c r="AE44" s="8">
        <v>24.0795</v>
      </c>
      <c r="AF44" s="8">
        <v>62.26129</v>
      </c>
      <c r="AG44" s="8"/>
      <c r="AH44" s="8">
        <v>0</v>
      </c>
      <c r="AI44" s="8">
        <v>0</v>
      </c>
      <c r="AJ44" s="8">
        <v>0</v>
      </c>
      <c r="AK44" s="8">
        <v>75.61125</v>
      </c>
      <c r="AL44" s="9">
        <v>44.11169</v>
      </c>
      <c r="AM44" s="31"/>
      <c r="AN44" s="22">
        <v>0.06</v>
      </c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2.259254E-06</v>
      </c>
      <c r="E45" s="4">
        <v>53.81221</v>
      </c>
      <c r="F45" s="4"/>
      <c r="G45" s="4"/>
      <c r="H45" s="4">
        <v>0</v>
      </c>
      <c r="I45" s="4">
        <v>0</v>
      </c>
      <c r="J45" s="4">
        <v>25.1917</v>
      </c>
      <c r="K45" s="4">
        <v>40</v>
      </c>
      <c r="L45" s="4">
        <v>45.92556</v>
      </c>
      <c r="M45" s="4">
        <v>0</v>
      </c>
      <c r="N45" s="4">
        <v>0</v>
      </c>
      <c r="O45" s="4">
        <v>28.55541</v>
      </c>
      <c r="P45" s="4">
        <v>0.05</v>
      </c>
      <c r="Q45" s="4">
        <v>0.1430845</v>
      </c>
      <c r="R45" s="4">
        <v>0.0002014465</v>
      </c>
      <c r="S45" s="4">
        <v>0</v>
      </c>
      <c r="T45" s="4">
        <v>0</v>
      </c>
      <c r="U45" s="21">
        <v>0</v>
      </c>
      <c r="V45" s="29">
        <v>0</v>
      </c>
      <c r="W45" s="30">
        <v>94.14062</v>
      </c>
      <c r="X45" s="21">
        <v>18.87297</v>
      </c>
      <c r="Y45" s="21">
        <v>50</v>
      </c>
      <c r="Z45" s="21">
        <v>123.8759</v>
      </c>
      <c r="AA45" s="21">
        <v>16.23264</v>
      </c>
      <c r="AB45" s="21">
        <v>107.9698</v>
      </c>
      <c r="AC45" s="21">
        <v>50</v>
      </c>
      <c r="AD45" s="21">
        <v>123.7891</v>
      </c>
      <c r="AE45" s="8">
        <v>17.16218</v>
      </c>
      <c r="AF45" s="8">
        <v>20.09006</v>
      </c>
      <c r="AG45" s="8"/>
      <c r="AH45" s="8">
        <v>0</v>
      </c>
      <c r="AI45" s="8">
        <v>0</v>
      </c>
      <c r="AJ45" s="8">
        <v>0</v>
      </c>
      <c r="AK45" s="8">
        <v>81.54297</v>
      </c>
      <c r="AL45" s="9">
        <v>42.70544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5.252361E-07</v>
      </c>
      <c r="E46" s="4">
        <v>41.7173</v>
      </c>
      <c r="F46" s="4"/>
      <c r="G46" s="4"/>
      <c r="H46" s="4">
        <v>0</v>
      </c>
      <c r="I46" s="4">
        <v>0</v>
      </c>
      <c r="J46" s="4">
        <v>25.45392</v>
      </c>
      <c r="K46" s="4">
        <v>40</v>
      </c>
      <c r="L46" s="4">
        <v>45.81706</v>
      </c>
      <c r="M46" s="4">
        <v>0</v>
      </c>
      <c r="N46" s="4">
        <v>0</v>
      </c>
      <c r="O46" s="4">
        <v>29.07082</v>
      </c>
      <c r="P46" s="4">
        <v>0.05</v>
      </c>
      <c r="Q46" s="4">
        <v>0.1945891</v>
      </c>
      <c r="R46" s="4">
        <v>0.0001608162</v>
      </c>
      <c r="S46" s="4">
        <v>0</v>
      </c>
      <c r="T46" s="4">
        <v>0</v>
      </c>
      <c r="U46" s="21">
        <v>0</v>
      </c>
      <c r="V46" s="29">
        <v>0</v>
      </c>
      <c r="W46" s="30">
        <v>94.99059</v>
      </c>
      <c r="X46" s="21">
        <v>18.47511</v>
      </c>
      <c r="Y46" s="21">
        <v>50</v>
      </c>
      <c r="Z46" s="21">
        <v>123.8715</v>
      </c>
      <c r="AA46" s="21">
        <v>14.56706</v>
      </c>
      <c r="AB46" s="21">
        <v>75.73785</v>
      </c>
      <c r="AC46" s="21">
        <v>50</v>
      </c>
      <c r="AD46" s="21">
        <v>123.7891</v>
      </c>
      <c r="AE46" s="8">
        <v>16.51657</v>
      </c>
      <c r="AF46" s="8">
        <v>18.97244</v>
      </c>
      <c r="AG46" s="8"/>
      <c r="AH46" s="8">
        <v>0</v>
      </c>
      <c r="AI46" s="8">
        <v>0</v>
      </c>
      <c r="AJ46" s="8">
        <v>0</v>
      </c>
      <c r="AK46" s="8">
        <v>81.52126</v>
      </c>
      <c r="AL46" s="9">
        <v>42.1441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5.115509E-06</v>
      </c>
      <c r="E47" s="4">
        <v>46.8967</v>
      </c>
      <c r="F47" s="4"/>
      <c r="G47" s="4"/>
      <c r="H47" s="4">
        <v>0</v>
      </c>
      <c r="I47" s="4">
        <v>0</v>
      </c>
      <c r="J47" s="4">
        <v>25.74327</v>
      </c>
      <c r="K47" s="4">
        <v>40</v>
      </c>
      <c r="L47" s="4">
        <v>46.14258</v>
      </c>
      <c r="M47" s="4">
        <v>0</v>
      </c>
      <c r="N47" s="4">
        <v>0</v>
      </c>
      <c r="O47" s="4">
        <v>29.53197</v>
      </c>
      <c r="P47" s="4">
        <v>0.05</v>
      </c>
      <c r="Q47" s="4">
        <v>0.2212095</v>
      </c>
      <c r="R47" s="4">
        <v>0.0002117462</v>
      </c>
      <c r="S47" s="4">
        <v>0</v>
      </c>
      <c r="T47" s="4">
        <v>0</v>
      </c>
      <c r="U47" s="21">
        <v>0</v>
      </c>
      <c r="V47" s="29">
        <v>0</v>
      </c>
      <c r="W47" s="30">
        <v>91.55454</v>
      </c>
      <c r="X47" s="21">
        <v>19.64337</v>
      </c>
      <c r="Y47" s="21">
        <v>50</v>
      </c>
      <c r="Z47" s="21">
        <v>123.8715</v>
      </c>
      <c r="AA47" s="21">
        <v>16.80773</v>
      </c>
      <c r="AB47" s="21">
        <v>61.93034</v>
      </c>
      <c r="AC47" s="21">
        <v>50</v>
      </c>
      <c r="AD47" s="21">
        <v>123.7891</v>
      </c>
      <c r="AE47" s="8">
        <v>15.75159</v>
      </c>
      <c r="AF47" s="8">
        <v>18.03386</v>
      </c>
      <c r="AG47" s="8"/>
      <c r="AH47" s="8">
        <v>0</v>
      </c>
      <c r="AI47" s="8">
        <v>0</v>
      </c>
      <c r="AJ47" s="8">
        <v>0</v>
      </c>
      <c r="AK47" s="8">
        <v>81.52488</v>
      </c>
      <c r="AL47" s="9">
        <v>41.62326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0</v>
      </c>
      <c r="E48" s="4">
        <v>44.11892</v>
      </c>
      <c r="F48" s="4"/>
      <c r="G48" s="4"/>
      <c r="H48" s="4">
        <v>0</v>
      </c>
      <c r="I48" s="4">
        <v>0</v>
      </c>
      <c r="J48" s="4">
        <v>26.02358</v>
      </c>
      <c r="K48" s="4">
        <v>40</v>
      </c>
      <c r="L48" s="4">
        <v>46.61277</v>
      </c>
      <c r="M48" s="4">
        <v>0</v>
      </c>
      <c r="N48" s="4">
        <v>0</v>
      </c>
      <c r="O48" s="4">
        <v>29.6224</v>
      </c>
      <c r="P48" s="4">
        <v>0.05</v>
      </c>
      <c r="Q48" s="4">
        <v>0.213614</v>
      </c>
      <c r="R48" s="4">
        <v>0.0002095985</v>
      </c>
      <c r="S48" s="4">
        <v>0</v>
      </c>
      <c r="T48" s="4">
        <v>0</v>
      </c>
      <c r="U48" s="21">
        <v>0</v>
      </c>
      <c r="V48" s="29">
        <v>0</v>
      </c>
      <c r="W48" s="30">
        <v>89.94502</v>
      </c>
      <c r="X48" s="21">
        <v>19.83869</v>
      </c>
      <c r="Y48" s="21">
        <v>50</v>
      </c>
      <c r="Z48" s="21">
        <v>123.8715</v>
      </c>
      <c r="AA48" s="21">
        <v>17.94705</v>
      </c>
      <c r="AB48" s="21">
        <v>53.50478</v>
      </c>
      <c r="AC48" s="21">
        <v>50</v>
      </c>
      <c r="AD48" s="21">
        <v>123.7891</v>
      </c>
      <c r="AE48" s="8">
        <v>15.3031</v>
      </c>
      <c r="AF48" s="8">
        <v>17.65951</v>
      </c>
      <c r="AG48" s="8"/>
      <c r="AH48" s="8">
        <v>0</v>
      </c>
      <c r="AI48" s="8">
        <v>0</v>
      </c>
      <c r="AJ48" s="8">
        <v>0</v>
      </c>
      <c r="AK48" s="8">
        <v>91.1169</v>
      </c>
      <c r="AL48" s="9">
        <v>35.5382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5.029201E-06</v>
      </c>
      <c r="E49" s="4">
        <v>41.81858</v>
      </c>
      <c r="F49" s="4"/>
      <c r="G49" s="4"/>
      <c r="H49" s="4">
        <v>0</v>
      </c>
      <c r="I49" s="4">
        <v>0</v>
      </c>
      <c r="J49" s="4">
        <v>26.26772</v>
      </c>
      <c r="K49" s="4">
        <v>40</v>
      </c>
      <c r="L49" s="4">
        <v>47.22765</v>
      </c>
      <c r="M49" s="4">
        <v>0</v>
      </c>
      <c r="N49" s="4">
        <v>0</v>
      </c>
      <c r="O49" s="4">
        <v>29.69473</v>
      </c>
      <c r="P49" s="4">
        <v>0.05</v>
      </c>
      <c r="Q49" s="4">
        <v>0.1961806</v>
      </c>
      <c r="R49" s="4">
        <v>0.0002089539</v>
      </c>
      <c r="S49" s="4">
        <v>0</v>
      </c>
      <c r="T49" s="4">
        <v>0</v>
      </c>
      <c r="U49" s="21">
        <v>0</v>
      </c>
      <c r="V49" s="29">
        <v>0</v>
      </c>
      <c r="W49" s="30">
        <v>93.07002</v>
      </c>
      <c r="X49" s="21">
        <v>20.25463</v>
      </c>
      <c r="Y49" s="21">
        <v>10</v>
      </c>
      <c r="Z49" s="21">
        <v>23.49393</v>
      </c>
      <c r="AA49" s="21">
        <v>16.28147</v>
      </c>
      <c r="AB49" s="21">
        <v>47.65625</v>
      </c>
      <c r="AC49" s="21">
        <v>10</v>
      </c>
      <c r="AD49" s="21">
        <v>24.51389</v>
      </c>
      <c r="AE49" s="8">
        <v>15.03725</v>
      </c>
      <c r="AF49" s="8">
        <v>17.42622</v>
      </c>
      <c r="AG49" s="8"/>
      <c r="AH49" s="8">
        <v>0</v>
      </c>
      <c r="AI49" s="8">
        <v>0</v>
      </c>
      <c r="AJ49" s="8">
        <v>0</v>
      </c>
      <c r="AK49" s="8">
        <v>91.10966</v>
      </c>
      <c r="AL49" s="9">
        <v>35.70023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5.888939E-08</v>
      </c>
      <c r="E50" s="4">
        <v>39.94502</v>
      </c>
      <c r="F50" s="4"/>
      <c r="G50" s="4"/>
      <c r="H50" s="4">
        <v>0</v>
      </c>
      <c r="I50" s="4">
        <v>0</v>
      </c>
      <c r="J50" s="4">
        <v>26.46665</v>
      </c>
      <c r="K50" s="4">
        <v>40</v>
      </c>
      <c r="L50" s="4">
        <v>48.34888</v>
      </c>
      <c r="M50" s="4">
        <v>0</v>
      </c>
      <c r="N50" s="4">
        <v>0</v>
      </c>
      <c r="O50" s="4">
        <v>29.63144</v>
      </c>
      <c r="P50" s="4">
        <v>0.05</v>
      </c>
      <c r="Q50" s="4">
        <v>0.1642795</v>
      </c>
      <c r="R50" s="4">
        <v>0.000143074</v>
      </c>
      <c r="S50" s="4">
        <v>0</v>
      </c>
      <c r="T50" s="4">
        <v>0</v>
      </c>
      <c r="U50" s="21">
        <v>0</v>
      </c>
      <c r="V50" s="29">
        <v>0</v>
      </c>
      <c r="W50" s="30">
        <v>92.16218</v>
      </c>
      <c r="X50" s="21">
        <v>18.90191</v>
      </c>
      <c r="Y50" s="21">
        <v>50</v>
      </c>
      <c r="Z50" s="21">
        <v>123.8759</v>
      </c>
      <c r="AA50" s="21">
        <v>17.41537</v>
      </c>
      <c r="AB50" s="21">
        <v>44.08637</v>
      </c>
      <c r="AC50" s="21">
        <v>50</v>
      </c>
      <c r="AD50" s="21">
        <v>123.7847</v>
      </c>
      <c r="AE50" s="8">
        <v>14.68461</v>
      </c>
      <c r="AF50" s="8">
        <v>17.22548</v>
      </c>
      <c r="AG50" s="8"/>
      <c r="AH50" s="8">
        <v>0</v>
      </c>
      <c r="AI50" s="8">
        <v>0</v>
      </c>
      <c r="AJ50" s="8">
        <v>0</v>
      </c>
      <c r="AK50" s="8">
        <v>91.10605</v>
      </c>
      <c r="AL50" s="9">
        <v>35.69445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6.334782E-07</v>
      </c>
      <c r="E51" s="13">
        <v>38.37529</v>
      </c>
      <c r="F51" s="13"/>
      <c r="G51" s="13"/>
      <c r="H51" s="13">
        <v>0</v>
      </c>
      <c r="I51" s="13">
        <v>0</v>
      </c>
      <c r="J51" s="13">
        <v>26.59324</v>
      </c>
      <c r="K51" s="13">
        <v>40</v>
      </c>
      <c r="L51" s="13">
        <v>49.85894</v>
      </c>
      <c r="M51" s="13">
        <v>0</v>
      </c>
      <c r="N51" s="13">
        <v>0</v>
      </c>
      <c r="O51" s="13">
        <v>29.53197</v>
      </c>
      <c r="P51" s="13">
        <v>0.05</v>
      </c>
      <c r="Q51" s="13">
        <v>0.2212818</v>
      </c>
      <c r="R51" s="13">
        <v>0.0001670837</v>
      </c>
      <c r="S51" s="13">
        <v>0</v>
      </c>
      <c r="T51" s="13">
        <v>0</v>
      </c>
      <c r="U51" s="24">
        <v>0</v>
      </c>
      <c r="V51" s="32">
        <v>0</v>
      </c>
      <c r="W51" s="33">
        <v>97.70327</v>
      </c>
      <c r="X51" s="24">
        <v>19.12254</v>
      </c>
      <c r="Y51" s="24">
        <v>50</v>
      </c>
      <c r="Z51" s="24">
        <v>123.8759</v>
      </c>
      <c r="AA51" s="24">
        <v>18.278</v>
      </c>
      <c r="AB51" s="24">
        <v>42.08442</v>
      </c>
      <c r="AC51" s="24">
        <v>50</v>
      </c>
      <c r="AD51" s="24">
        <v>0</v>
      </c>
      <c r="AE51" s="17">
        <v>14.30483</v>
      </c>
      <c r="AF51" s="17">
        <v>16.83485</v>
      </c>
      <c r="AG51" s="17"/>
      <c r="AH51" s="17">
        <v>0</v>
      </c>
      <c r="AI51" s="17">
        <v>0</v>
      </c>
      <c r="AJ51" s="17">
        <v>0</v>
      </c>
      <c r="AK51" s="17">
        <v>91.08796</v>
      </c>
      <c r="AL51" s="18">
        <v>35.67998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3" t="s">
        <v>369</v>
      </c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224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223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352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225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226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227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228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229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230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231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232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233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234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235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236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237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238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239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240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241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242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243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244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245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246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247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248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353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249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250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354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251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252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253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254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255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256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257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258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259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 t="s">
        <v>369</v>
      </c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7" t="s">
        <v>219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5" customHeight="1" x14ac:dyDescent="0.25">
      <c r="B3" s="136" t="s">
        <v>174</v>
      </c>
      <c r="C3" s="165" t="s">
        <v>156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>
        <v>5.689381</v>
      </c>
      <c r="D6" s="62">
        <v>20.16059</v>
      </c>
      <c r="E6" s="62">
        <v>415.6393</v>
      </c>
      <c r="F6" s="62"/>
      <c r="G6" s="62"/>
      <c r="H6" s="63">
        <v>416.1075</v>
      </c>
      <c r="I6" s="64">
        <v>1.392506</v>
      </c>
      <c r="J6" s="62"/>
      <c r="K6" s="62">
        <v>42.60706</v>
      </c>
      <c r="L6" s="62">
        <v>1.313567</v>
      </c>
      <c r="M6" s="62">
        <v>109.6354</v>
      </c>
      <c r="N6" s="62">
        <v>115.2416</v>
      </c>
      <c r="O6" s="62">
        <v>20.08</v>
      </c>
      <c r="P6" s="62"/>
      <c r="Q6" s="62"/>
      <c r="R6" s="62"/>
      <c r="S6" s="62">
        <v>140.2054</v>
      </c>
      <c r="T6" s="62">
        <v>1.503147</v>
      </c>
      <c r="U6" s="62">
        <v>0.2989607</v>
      </c>
      <c r="V6" s="62"/>
      <c r="W6" s="62">
        <v>90.32118</v>
      </c>
      <c r="X6" s="62">
        <v>0.5294133</v>
      </c>
      <c r="Y6" s="62" t="s">
        <v>4</v>
      </c>
      <c r="Z6" s="62">
        <v>0.7316551</v>
      </c>
      <c r="AA6" s="62">
        <v>149.2477</v>
      </c>
      <c r="AB6" s="62">
        <v>162.9051</v>
      </c>
      <c r="AC6" s="62">
        <v>0.557364</v>
      </c>
      <c r="AD6" s="62">
        <v>154.9407</v>
      </c>
      <c r="AE6" s="65">
        <v>33.38</v>
      </c>
      <c r="AF6" s="65"/>
      <c r="AG6" s="65"/>
      <c r="AH6" s="65">
        <v>16.46</v>
      </c>
      <c r="AI6" s="65"/>
      <c r="AJ6" s="65"/>
      <c r="AK6" s="65">
        <v>7.21</v>
      </c>
      <c r="AL6" s="62">
        <v>1.671007</v>
      </c>
      <c r="AM6" s="66"/>
      <c r="AN6" s="67">
        <v>60.41305</v>
      </c>
      <c r="AO6" s="68"/>
      <c r="AP6" s="69">
        <v>-79.78877</v>
      </c>
      <c r="AQ6" s="69">
        <v>0.2766204</v>
      </c>
      <c r="AR6" s="70"/>
    </row>
    <row r="7" spans="2:47" ht="13.5" customHeight="1" x14ac:dyDescent="0.25">
      <c r="B7" s="121">
        <v>0.875</v>
      </c>
      <c r="C7" s="20">
        <v>6.66956</v>
      </c>
      <c r="D7" s="4">
        <v>19.87847</v>
      </c>
      <c r="E7" s="4">
        <v>417.9516</v>
      </c>
      <c r="F7" s="4">
        <v>0.3366797</v>
      </c>
      <c r="G7" s="4">
        <v>0</v>
      </c>
      <c r="H7" s="5">
        <v>416.9045</v>
      </c>
      <c r="I7" s="6">
        <v>23.36878</v>
      </c>
      <c r="J7" s="4">
        <v>0.01977148</v>
      </c>
      <c r="K7" s="4">
        <v>44.79166</v>
      </c>
      <c r="L7" s="4">
        <v>1.423249</v>
      </c>
      <c r="M7" s="4">
        <v>107.525</v>
      </c>
      <c r="N7" s="4">
        <v>114.3374</v>
      </c>
      <c r="O7" s="4">
        <v>20.24572</v>
      </c>
      <c r="P7" s="4">
        <v>20.16797</v>
      </c>
      <c r="Q7" s="4"/>
      <c r="R7" s="4">
        <v>2.610474</v>
      </c>
      <c r="S7" s="4">
        <v>140.0752</v>
      </c>
      <c r="T7" s="4">
        <v>1.507704</v>
      </c>
      <c r="U7" s="4">
        <v>0.3000043</v>
      </c>
      <c r="V7" s="4">
        <v>0.2998672</v>
      </c>
      <c r="W7" s="4">
        <v>90.39352</v>
      </c>
      <c r="X7" s="4">
        <v>0.5318074</v>
      </c>
      <c r="Y7" s="4" t="s">
        <v>76</v>
      </c>
      <c r="Z7" s="4">
        <v>0.7271991</v>
      </c>
      <c r="AA7" s="4">
        <v>149.1102</v>
      </c>
      <c r="AB7" s="4">
        <v>162.6953</v>
      </c>
      <c r="AC7" s="4">
        <v>0.375</v>
      </c>
      <c r="AD7" s="4">
        <v>154.7309</v>
      </c>
      <c r="AE7" s="7"/>
      <c r="AF7" s="7"/>
      <c r="AG7" s="7"/>
      <c r="AH7" s="7"/>
      <c r="AI7" s="7"/>
      <c r="AJ7" s="7"/>
      <c r="AK7" s="7"/>
      <c r="AL7" s="4">
        <v>24.97106</v>
      </c>
      <c r="AM7" s="8">
        <v>0.01745312</v>
      </c>
      <c r="AN7" s="9">
        <v>56.81062</v>
      </c>
      <c r="AO7" s="10"/>
      <c r="AP7" s="11">
        <v>-79.76707</v>
      </c>
      <c r="AQ7" s="11">
        <v>0.2834201</v>
      </c>
      <c r="AR7" s="12">
        <v>0.0002917099</v>
      </c>
    </row>
    <row r="8" spans="2:47" ht="13.5" customHeight="1" x14ac:dyDescent="0.25">
      <c r="B8" s="120" t="s">
        <v>260</v>
      </c>
      <c r="C8" s="20">
        <v>5.548322</v>
      </c>
      <c r="D8" s="4">
        <v>19.87847</v>
      </c>
      <c r="E8" s="4">
        <v>418.0257</v>
      </c>
      <c r="F8" s="4">
        <v>0.2684844</v>
      </c>
      <c r="G8" s="4">
        <v>0</v>
      </c>
      <c r="H8" s="5">
        <v>417.4858</v>
      </c>
      <c r="I8" s="6">
        <v>21.01418</v>
      </c>
      <c r="J8" s="4">
        <v>0.02009131</v>
      </c>
      <c r="K8" s="4">
        <v>45.3776</v>
      </c>
      <c r="L8" s="4">
        <v>1.433015</v>
      </c>
      <c r="M8" s="4">
        <v>110.2105</v>
      </c>
      <c r="N8" s="4">
        <v>112.8545</v>
      </c>
      <c r="O8" s="4">
        <v>20.35104</v>
      </c>
      <c r="P8" s="4">
        <v>20.16064</v>
      </c>
      <c r="Q8" s="4"/>
      <c r="R8" s="4">
        <v>2.703674</v>
      </c>
      <c r="S8" s="4">
        <v>139.974</v>
      </c>
      <c r="T8" s="4">
        <v>1.501754</v>
      </c>
      <c r="U8" s="4">
        <v>0.3036272</v>
      </c>
      <c r="V8" s="4">
        <v>0.2998203</v>
      </c>
      <c r="W8" s="4">
        <v>90.6684</v>
      </c>
      <c r="X8" s="4">
        <v>0.5281823</v>
      </c>
      <c r="Y8" s="4" t="s">
        <v>76</v>
      </c>
      <c r="Z8" s="4">
        <v>0.7315394</v>
      </c>
      <c r="AA8" s="4">
        <v>149.3345</v>
      </c>
      <c r="AB8" s="4">
        <v>162.594</v>
      </c>
      <c r="AC8" s="4">
        <v>0.4552951</v>
      </c>
      <c r="AD8" s="4">
        <v>154.4415</v>
      </c>
      <c r="AE8" s="7"/>
      <c r="AF8" s="7"/>
      <c r="AG8" s="7"/>
      <c r="AH8" s="7"/>
      <c r="AI8" s="7"/>
      <c r="AJ8" s="7"/>
      <c r="AK8" s="7"/>
      <c r="AL8" s="4">
        <v>0</v>
      </c>
      <c r="AM8" s="8">
        <v>0.01126318</v>
      </c>
      <c r="AN8" s="9">
        <v>55.85576</v>
      </c>
      <c r="AO8" s="10"/>
      <c r="AP8" s="11">
        <v>-79.67303</v>
      </c>
      <c r="AQ8" s="11">
        <v>0.2798756</v>
      </c>
      <c r="AR8" s="12">
        <v>0.0002926941</v>
      </c>
    </row>
    <row r="9" spans="2:47" ht="13.5" customHeight="1" x14ac:dyDescent="0.25">
      <c r="B9" s="121">
        <v>0.95833333333333337</v>
      </c>
      <c r="C9" s="20">
        <v>6.539352</v>
      </c>
      <c r="D9" s="4">
        <v>19.9924</v>
      </c>
      <c r="E9" s="4">
        <v>420.951</v>
      </c>
      <c r="F9" s="4">
        <v>0.3365</v>
      </c>
      <c r="G9" s="4">
        <v>0</v>
      </c>
      <c r="H9" s="5">
        <v>418.2478</v>
      </c>
      <c r="I9" s="6">
        <v>24.45747</v>
      </c>
      <c r="J9" s="4">
        <v>0.01961963</v>
      </c>
      <c r="K9" s="4">
        <v>42.54919</v>
      </c>
      <c r="L9" s="4">
        <v>1.335901</v>
      </c>
      <c r="M9" s="4">
        <v>108.9138</v>
      </c>
      <c r="N9" s="4">
        <v>114.0263</v>
      </c>
      <c r="O9" s="4">
        <v>20.27207</v>
      </c>
      <c r="P9" s="4">
        <v>20.16162</v>
      </c>
      <c r="Q9" s="4"/>
      <c r="R9" s="4">
        <v>2.722778</v>
      </c>
      <c r="S9" s="4">
        <v>139.8438</v>
      </c>
      <c r="T9" s="4">
        <v>1.505172</v>
      </c>
      <c r="U9" s="4">
        <v>0.3000652</v>
      </c>
      <c r="V9" s="4">
        <v>0.2999063</v>
      </c>
      <c r="W9" s="4">
        <v>90.57436</v>
      </c>
      <c r="X9" s="4">
        <v>0.5296446</v>
      </c>
      <c r="Y9" s="4" t="s">
        <v>76</v>
      </c>
      <c r="Z9" s="4">
        <v>0.7284144</v>
      </c>
      <c r="AA9" s="4">
        <v>149.6311</v>
      </c>
      <c r="AB9" s="4">
        <v>162.5</v>
      </c>
      <c r="AC9" s="4">
        <v>0.6710793</v>
      </c>
      <c r="AD9" s="4">
        <v>154.3764</v>
      </c>
      <c r="AE9" s="7"/>
      <c r="AF9" s="7"/>
      <c r="AG9" s="7"/>
      <c r="AH9" s="7"/>
      <c r="AI9" s="7"/>
      <c r="AJ9" s="7"/>
      <c r="AK9" s="7"/>
      <c r="AL9" s="4">
        <v>1.895255</v>
      </c>
      <c r="AM9" s="8">
        <v>0.01005859</v>
      </c>
      <c r="AN9" s="9">
        <v>53.48669</v>
      </c>
      <c r="AO9" s="10"/>
      <c r="AP9" s="11">
        <v>-79.99855</v>
      </c>
      <c r="AQ9" s="11">
        <v>0.2850839</v>
      </c>
      <c r="AR9" s="12">
        <v>0.0002938309</v>
      </c>
    </row>
    <row r="10" spans="2:47" ht="13.5" customHeight="1" x14ac:dyDescent="0.25">
      <c r="B10" s="120" t="s">
        <v>261</v>
      </c>
      <c r="C10" s="20">
        <v>5.700232</v>
      </c>
      <c r="D10" s="4">
        <v>19.9707</v>
      </c>
      <c r="E10" s="4">
        <v>421.8206</v>
      </c>
      <c r="F10" s="4">
        <v>0.2662812</v>
      </c>
      <c r="G10" s="4">
        <v>0</v>
      </c>
      <c r="H10" s="5">
        <v>419.8947</v>
      </c>
      <c r="I10" s="6">
        <v>26.8627</v>
      </c>
      <c r="J10" s="4">
        <v>0.01966016</v>
      </c>
      <c r="K10" s="4">
        <v>43.20747</v>
      </c>
      <c r="L10" s="4">
        <v>1.353534</v>
      </c>
      <c r="M10" s="4">
        <v>108.8216</v>
      </c>
      <c r="N10" s="4">
        <v>113.1004</v>
      </c>
      <c r="O10" s="4">
        <v>20.39489</v>
      </c>
      <c r="P10" s="4">
        <v>20.1665</v>
      </c>
      <c r="Q10" s="4"/>
      <c r="R10" s="4">
        <v>2.720093</v>
      </c>
      <c r="S10" s="4">
        <v>139.945</v>
      </c>
      <c r="T10" s="4">
        <v>1.50821</v>
      </c>
      <c r="U10" s="4">
        <v>0.2996286</v>
      </c>
      <c r="V10" s="4">
        <v>0.2998906</v>
      </c>
      <c r="W10" s="4">
        <v>90.31394</v>
      </c>
      <c r="X10" s="4">
        <v>0.529168</v>
      </c>
      <c r="Y10" s="4" t="s">
        <v>76</v>
      </c>
      <c r="Z10" s="4">
        <v>0.7332176</v>
      </c>
      <c r="AA10" s="4">
        <v>149.6238</v>
      </c>
      <c r="AB10" s="4">
        <v>162.7604</v>
      </c>
      <c r="AC10" s="4">
        <v>0.4521846</v>
      </c>
      <c r="AD10" s="4">
        <v>154.8177</v>
      </c>
      <c r="AE10" s="7"/>
      <c r="AF10" s="7"/>
      <c r="AG10" s="7"/>
      <c r="AH10" s="7"/>
      <c r="AI10" s="7"/>
      <c r="AJ10" s="7"/>
      <c r="AK10" s="7"/>
      <c r="AL10" s="4">
        <v>5.682147</v>
      </c>
      <c r="AM10" s="8">
        <v>0.007233399</v>
      </c>
      <c r="AN10" s="9">
        <v>51.34549</v>
      </c>
      <c r="AO10" s="10"/>
      <c r="AP10" s="11">
        <v>-79.95515</v>
      </c>
      <c r="AQ10" s="11">
        <v>0.2937645</v>
      </c>
      <c r="AR10" s="12">
        <v>0.0002920303</v>
      </c>
    </row>
    <row r="11" spans="2:47" ht="13.5" customHeight="1" x14ac:dyDescent="0.25">
      <c r="B11" s="121">
        <v>4.1666666666666664E-2</v>
      </c>
      <c r="C11" s="20">
        <v>6.488715</v>
      </c>
      <c r="D11" s="4">
        <v>19.75369</v>
      </c>
      <c r="E11" s="4">
        <v>421.8781</v>
      </c>
      <c r="F11" s="4">
        <v>0.3360938</v>
      </c>
      <c r="G11" s="4">
        <v>0</v>
      </c>
      <c r="H11" s="5">
        <v>421.4102</v>
      </c>
      <c r="I11" s="6">
        <v>18.78617</v>
      </c>
      <c r="J11" s="4">
        <v>0.0200044</v>
      </c>
      <c r="K11" s="4">
        <v>43.22193</v>
      </c>
      <c r="L11" s="4">
        <v>1.353805</v>
      </c>
      <c r="M11" s="4">
        <v>106.7925</v>
      </c>
      <c r="N11" s="4">
        <v>110.5035</v>
      </c>
      <c r="O11" s="4">
        <v>20.28394</v>
      </c>
      <c r="P11" s="4">
        <v>20.18018</v>
      </c>
      <c r="Q11" s="4"/>
      <c r="R11" s="4">
        <v>2.755676</v>
      </c>
      <c r="S11" s="4">
        <v>140.1114</v>
      </c>
      <c r="T11" s="4">
        <v>1.506818</v>
      </c>
      <c r="U11" s="4">
        <v>0.3015324</v>
      </c>
      <c r="V11" s="4">
        <v>0.3001094</v>
      </c>
      <c r="W11" s="4">
        <v>90.27055</v>
      </c>
      <c r="X11" s="4">
        <v>0.5301077</v>
      </c>
      <c r="Y11" s="4" t="s">
        <v>76</v>
      </c>
      <c r="Z11" s="4">
        <v>0.7282408</v>
      </c>
      <c r="AA11" s="4">
        <v>149.7034</v>
      </c>
      <c r="AB11" s="4">
        <v>162.6736</v>
      </c>
      <c r="AC11" s="4">
        <v>0.4242983</v>
      </c>
      <c r="AD11" s="4">
        <v>154.7454</v>
      </c>
      <c r="AE11" s="7"/>
      <c r="AF11" s="7"/>
      <c r="AG11" s="7"/>
      <c r="AH11" s="7"/>
      <c r="AI11" s="7"/>
      <c r="AJ11" s="7"/>
      <c r="AK11" s="7"/>
      <c r="AL11" s="4">
        <v>0.08318865</v>
      </c>
      <c r="AM11" s="8">
        <v>0.005915039</v>
      </c>
      <c r="AN11" s="9">
        <v>49.81192</v>
      </c>
      <c r="AO11" s="10"/>
      <c r="AP11" s="11">
        <v>-79.96962</v>
      </c>
      <c r="AQ11" s="11">
        <v>0.2973814</v>
      </c>
      <c r="AR11" s="12">
        <v>0.0002930908</v>
      </c>
    </row>
    <row r="12" spans="2:47" ht="13.5" customHeight="1" x14ac:dyDescent="0.25">
      <c r="B12" s="120" t="s">
        <v>262</v>
      </c>
      <c r="C12" s="20">
        <v>5.450665</v>
      </c>
      <c r="D12" s="4">
        <v>19.51497</v>
      </c>
      <c r="E12" s="4">
        <v>415.5218</v>
      </c>
      <c r="F12" s="4">
        <v>0.2656953</v>
      </c>
      <c r="G12" s="4">
        <v>0</v>
      </c>
      <c r="H12" s="5">
        <v>421.823</v>
      </c>
      <c r="I12" s="6">
        <v>17.06453</v>
      </c>
      <c r="J12" s="4">
        <v>0.01971631</v>
      </c>
      <c r="K12" s="4">
        <v>42.51302</v>
      </c>
      <c r="L12" s="4">
        <v>1.323694</v>
      </c>
      <c r="M12" s="4">
        <v>104.7797</v>
      </c>
      <c r="N12" s="4">
        <v>108.6227</v>
      </c>
      <c r="O12" s="4">
        <v>20.26173</v>
      </c>
      <c r="P12" s="4">
        <v>20.16992</v>
      </c>
      <c r="Q12" s="4"/>
      <c r="R12" s="4">
        <v>2.785828</v>
      </c>
      <c r="S12" s="4">
        <v>140.0463</v>
      </c>
      <c r="T12" s="4">
        <v>1.506818</v>
      </c>
      <c r="U12" s="4">
        <v>0.2989075</v>
      </c>
      <c r="V12" s="4">
        <v>0.2999844</v>
      </c>
      <c r="W12" s="4">
        <v>90.57436</v>
      </c>
      <c r="X12" s="4">
        <v>0.5290393</v>
      </c>
      <c r="Y12" s="4" t="s">
        <v>76</v>
      </c>
      <c r="Z12" s="4">
        <v>0.7282987</v>
      </c>
      <c r="AA12" s="4">
        <v>149.66</v>
      </c>
      <c r="AB12" s="4">
        <v>162.5506</v>
      </c>
      <c r="AC12" s="4">
        <v>0.3175637</v>
      </c>
      <c r="AD12" s="4">
        <v>154.3258</v>
      </c>
      <c r="AE12" s="7"/>
      <c r="AF12" s="7"/>
      <c r="AG12" s="7"/>
      <c r="AH12" s="7"/>
      <c r="AI12" s="7"/>
      <c r="AJ12" s="7"/>
      <c r="AK12" s="7"/>
      <c r="AL12" s="4">
        <v>6.846788</v>
      </c>
      <c r="AM12" s="8">
        <v>0.004712402</v>
      </c>
      <c r="AN12" s="9">
        <v>47.96007</v>
      </c>
      <c r="AO12" s="10"/>
      <c r="AP12" s="11">
        <v>-80.02026</v>
      </c>
      <c r="AQ12" s="11">
        <v>0.2950666</v>
      </c>
      <c r="AR12" s="12">
        <v>0.0002939453</v>
      </c>
    </row>
    <row r="13" spans="2:47" ht="13.5" customHeight="1" x14ac:dyDescent="0.25">
      <c r="B13" s="121">
        <v>0.125</v>
      </c>
      <c r="C13" s="20">
        <v>6.456163</v>
      </c>
      <c r="D13" s="4">
        <v>19.29254</v>
      </c>
      <c r="E13" s="4">
        <v>415.1775</v>
      </c>
      <c r="F13" s="4">
        <v>0.3364453</v>
      </c>
      <c r="G13" s="4">
        <v>0</v>
      </c>
      <c r="H13" s="5">
        <v>420.8388</v>
      </c>
      <c r="I13" s="6">
        <v>24.48278</v>
      </c>
      <c r="J13" s="4">
        <v>0.02017285</v>
      </c>
      <c r="K13" s="4">
        <v>44.34317</v>
      </c>
      <c r="L13" s="4">
        <v>1.397931</v>
      </c>
      <c r="M13" s="4">
        <v>109.1471</v>
      </c>
      <c r="N13" s="4">
        <v>113.6574</v>
      </c>
      <c r="O13" s="4">
        <v>20.1112</v>
      </c>
      <c r="P13" s="4">
        <v>20.16602</v>
      </c>
      <c r="Q13" s="4"/>
      <c r="R13" s="4">
        <v>2.805298</v>
      </c>
      <c r="S13" s="4">
        <v>140.1186</v>
      </c>
      <c r="T13" s="4">
        <v>1.508464</v>
      </c>
      <c r="U13" s="4">
        <v>0.3000511</v>
      </c>
      <c r="V13" s="4">
        <v>0.2998516</v>
      </c>
      <c r="W13" s="4">
        <v>89.93779</v>
      </c>
      <c r="X13" s="4">
        <v>0.5294017</v>
      </c>
      <c r="Y13" s="4" t="s">
        <v>76</v>
      </c>
      <c r="Z13" s="4">
        <v>0.7293982</v>
      </c>
      <c r="AA13" s="4">
        <v>149.2549</v>
      </c>
      <c r="AB13" s="4">
        <v>162.6808</v>
      </c>
      <c r="AC13" s="4">
        <v>0.3456669</v>
      </c>
      <c r="AD13" s="4">
        <v>154.6947</v>
      </c>
      <c r="AE13" s="7"/>
      <c r="AF13" s="7"/>
      <c r="AG13" s="7"/>
      <c r="AH13" s="7"/>
      <c r="AI13" s="7"/>
      <c r="AJ13" s="7"/>
      <c r="AK13" s="7"/>
      <c r="AL13" s="4">
        <v>7.725694</v>
      </c>
      <c r="AM13" s="8">
        <v>0.003605957</v>
      </c>
      <c r="AN13" s="9">
        <v>46.83883</v>
      </c>
      <c r="AO13" s="10"/>
      <c r="AP13" s="11">
        <v>-80.04919</v>
      </c>
      <c r="AQ13" s="11">
        <v>0.2951389</v>
      </c>
      <c r="AR13" s="12">
        <v>0.000293251</v>
      </c>
    </row>
    <row r="14" spans="2:47" ht="13.5" customHeight="1" x14ac:dyDescent="0.25">
      <c r="B14" s="121">
        <v>0.16666666666666666</v>
      </c>
      <c r="C14" s="20">
        <v>5.345776</v>
      </c>
      <c r="D14" s="4">
        <v>19.31424</v>
      </c>
      <c r="E14" s="4">
        <v>414.9749</v>
      </c>
      <c r="F14" s="4">
        <v>0.2670313</v>
      </c>
      <c r="G14" s="4">
        <v>0</v>
      </c>
      <c r="H14" s="5">
        <v>419.967</v>
      </c>
      <c r="I14" s="6">
        <v>22.45732</v>
      </c>
      <c r="J14" s="4">
        <v>0.01949658</v>
      </c>
      <c r="K14" s="4">
        <v>41.56539</v>
      </c>
      <c r="L14" s="4">
        <v>1.299823</v>
      </c>
      <c r="M14" s="4">
        <v>108.5015</v>
      </c>
      <c r="N14" s="4">
        <v>110.6047</v>
      </c>
      <c r="O14" s="4">
        <v>20.13556</v>
      </c>
      <c r="P14" s="4">
        <v>20.17822</v>
      </c>
      <c r="Q14" s="4"/>
      <c r="R14" s="4">
        <v>2.824646</v>
      </c>
      <c r="S14" s="4">
        <v>139.8944</v>
      </c>
      <c r="T14" s="4">
        <v>1.50302</v>
      </c>
      <c r="U14" s="4">
        <v>0.3001649</v>
      </c>
      <c r="V14" s="4">
        <v>0.3001641</v>
      </c>
      <c r="W14" s="4">
        <v>90.54543</v>
      </c>
      <c r="X14" s="4">
        <v>0.5322905</v>
      </c>
      <c r="Y14" s="4" t="s">
        <v>76</v>
      </c>
      <c r="Z14" s="4">
        <v>0.7314236</v>
      </c>
      <c r="AA14" s="4">
        <v>149.2549</v>
      </c>
      <c r="AB14" s="4">
        <v>162.0443</v>
      </c>
      <c r="AC14" s="4">
        <v>0.3400608</v>
      </c>
      <c r="AD14" s="4">
        <v>153.7471</v>
      </c>
      <c r="AE14" s="7"/>
      <c r="AF14" s="7"/>
      <c r="AG14" s="7"/>
      <c r="AH14" s="7"/>
      <c r="AI14" s="7"/>
      <c r="AJ14" s="7"/>
      <c r="AK14" s="7"/>
      <c r="AL14" s="4">
        <v>24.49002</v>
      </c>
      <c r="AM14" s="8">
        <v>0.01071728</v>
      </c>
      <c r="AN14" s="9">
        <v>59.77647</v>
      </c>
      <c r="AO14" s="10"/>
      <c r="AP14" s="11">
        <v>-80.02749</v>
      </c>
      <c r="AQ14" s="11">
        <v>0.2915943</v>
      </c>
      <c r="AR14" s="12">
        <v>0.0002952728</v>
      </c>
    </row>
    <row r="15" spans="2:47" ht="13.5" customHeight="1" x14ac:dyDescent="0.25">
      <c r="B15" s="121">
        <v>0.20833333333333334</v>
      </c>
      <c r="C15" s="20">
        <v>6.405527</v>
      </c>
      <c r="D15" s="4">
        <v>18.99414</v>
      </c>
      <c r="E15" s="4">
        <v>415.8808</v>
      </c>
      <c r="F15" s="4">
        <v>0.3363047</v>
      </c>
      <c r="G15" s="4">
        <v>0</v>
      </c>
      <c r="H15" s="5">
        <v>419.436</v>
      </c>
      <c r="I15" s="6">
        <v>22.10287</v>
      </c>
      <c r="J15" s="4">
        <v>0.02021435</v>
      </c>
      <c r="K15" s="4">
        <v>44.46614</v>
      </c>
      <c r="L15" s="4">
        <v>1.405617</v>
      </c>
      <c r="M15" s="4">
        <v>105.561</v>
      </c>
      <c r="N15" s="4">
        <v>107.9427</v>
      </c>
      <c r="O15" s="4">
        <v>20.26229</v>
      </c>
      <c r="P15" s="4">
        <v>20.16602</v>
      </c>
      <c r="Q15" s="4"/>
      <c r="R15" s="4">
        <v>2.850403</v>
      </c>
      <c r="S15" s="4">
        <v>140.162</v>
      </c>
      <c r="T15" s="4">
        <v>1.504539</v>
      </c>
      <c r="U15" s="4">
        <v>0.3010994</v>
      </c>
      <c r="V15" s="4">
        <v>0.2997969</v>
      </c>
      <c r="W15" s="4">
        <v>90.79137</v>
      </c>
      <c r="X15" s="4">
        <v>0.5301183</v>
      </c>
      <c r="Y15" s="4" t="s">
        <v>76</v>
      </c>
      <c r="Z15" s="4">
        <v>0.7292824</v>
      </c>
      <c r="AA15" s="4">
        <v>150.1013</v>
      </c>
      <c r="AB15" s="4">
        <v>162.066</v>
      </c>
      <c r="AC15" s="4">
        <v>0.3540943</v>
      </c>
      <c r="AD15" s="4">
        <v>153.6458</v>
      </c>
      <c r="AE15" s="7"/>
      <c r="AF15" s="7"/>
      <c r="AG15" s="7"/>
      <c r="AH15" s="7"/>
      <c r="AI15" s="7"/>
      <c r="AJ15" s="7"/>
      <c r="AK15" s="7"/>
      <c r="AL15" s="4">
        <v>4.191985</v>
      </c>
      <c r="AM15" s="8">
        <v>0.01164063</v>
      </c>
      <c r="AN15" s="9">
        <v>56.5285</v>
      </c>
      <c r="AO15" s="10"/>
      <c r="AP15" s="11">
        <v>-79.91175</v>
      </c>
      <c r="AQ15" s="11">
        <v>0.3039641</v>
      </c>
      <c r="AR15" s="12">
        <v>0.0002952576</v>
      </c>
    </row>
    <row r="16" spans="2:47" ht="13.5" customHeight="1" x14ac:dyDescent="0.25">
      <c r="B16" s="121">
        <v>0.25</v>
      </c>
      <c r="C16" s="20">
        <v>5.425347</v>
      </c>
      <c r="D16" s="4">
        <v>18.96701</v>
      </c>
      <c r="E16" s="4">
        <v>415.7964</v>
      </c>
      <c r="F16" s="4">
        <v>0.2660625</v>
      </c>
      <c r="G16" s="4">
        <v>0</v>
      </c>
      <c r="H16" s="5">
        <v>419.4164</v>
      </c>
      <c r="I16" s="6">
        <v>15.0897</v>
      </c>
      <c r="J16" s="4">
        <v>0.02015723</v>
      </c>
      <c r="K16" s="4">
        <v>44.74103</v>
      </c>
      <c r="L16" s="4">
        <v>1.421622</v>
      </c>
      <c r="M16" s="4">
        <v>109.809</v>
      </c>
      <c r="N16" s="4">
        <v>111.8345</v>
      </c>
      <c r="O16" s="4">
        <v>20.1475</v>
      </c>
      <c r="P16" s="4">
        <v>20.16846</v>
      </c>
      <c r="Q16" s="4"/>
      <c r="R16" s="4">
        <v>2.850586</v>
      </c>
      <c r="S16" s="4">
        <v>140.0029</v>
      </c>
      <c r="T16" s="4">
        <v>1.503906</v>
      </c>
      <c r="U16" s="4">
        <v>0.2984446</v>
      </c>
      <c r="V16" s="4">
        <v>0.2999219</v>
      </c>
      <c r="W16" s="4">
        <v>90.31394</v>
      </c>
      <c r="X16" s="4">
        <v>0.5323736</v>
      </c>
      <c r="Y16" s="4" t="s">
        <v>76</v>
      </c>
      <c r="Z16" s="4">
        <v>0.7347223</v>
      </c>
      <c r="AA16" s="4">
        <v>149.66</v>
      </c>
      <c r="AB16" s="4">
        <v>162.0081</v>
      </c>
      <c r="AC16" s="4">
        <v>0.3444372</v>
      </c>
      <c r="AD16" s="4">
        <v>153.8194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0.008156738</v>
      </c>
      <c r="AN16" s="9">
        <v>55.86661</v>
      </c>
      <c r="AO16" s="10"/>
      <c r="AP16" s="11">
        <v>-80.1794</v>
      </c>
      <c r="AQ16" s="11">
        <v>0.2974537</v>
      </c>
      <c r="AR16" s="12">
        <v>0.0002941742</v>
      </c>
    </row>
    <row r="17" spans="2:44" ht="13.5" customHeight="1" x14ac:dyDescent="0.25">
      <c r="B17" s="121">
        <v>0.29166666666666669</v>
      </c>
      <c r="C17" s="20">
        <v>6.329572</v>
      </c>
      <c r="D17" s="4">
        <v>18.76085</v>
      </c>
      <c r="E17" s="4">
        <v>415.9457</v>
      </c>
      <c r="F17" s="4">
        <v>0.3361484</v>
      </c>
      <c r="G17" s="4">
        <v>0</v>
      </c>
      <c r="H17" s="5">
        <v>419.4669</v>
      </c>
      <c r="I17" s="6">
        <v>23.01432</v>
      </c>
      <c r="J17" s="4">
        <v>0.0199585</v>
      </c>
      <c r="K17" s="4">
        <v>44.33594</v>
      </c>
      <c r="L17" s="4">
        <v>1.400101</v>
      </c>
      <c r="M17" s="4">
        <v>107.3459</v>
      </c>
      <c r="N17" s="4">
        <v>110.4456</v>
      </c>
      <c r="O17" s="4">
        <v>20.19503</v>
      </c>
      <c r="P17" s="4">
        <v>20.17041</v>
      </c>
      <c r="Q17" s="4"/>
      <c r="R17" s="4">
        <v>2.786499</v>
      </c>
      <c r="S17" s="4">
        <v>139.9306</v>
      </c>
      <c r="T17" s="4">
        <v>1.508337</v>
      </c>
      <c r="U17" s="4">
        <v>0.3004633</v>
      </c>
      <c r="V17" s="4">
        <v>0.2999531</v>
      </c>
      <c r="W17" s="4">
        <v>90.40075</v>
      </c>
      <c r="X17" s="4">
        <v>0.5309114</v>
      </c>
      <c r="Y17" s="4" t="s">
        <v>76</v>
      </c>
      <c r="Z17" s="4">
        <v>0.7254051</v>
      </c>
      <c r="AA17" s="4">
        <v>148.8643</v>
      </c>
      <c r="AB17" s="4">
        <v>162.1021</v>
      </c>
      <c r="AC17" s="4">
        <v>0.3415437</v>
      </c>
      <c r="AD17" s="4">
        <v>153.9207</v>
      </c>
      <c r="AE17" s="7"/>
      <c r="AF17" s="7"/>
      <c r="AG17" s="7"/>
      <c r="AH17" s="7"/>
      <c r="AI17" s="7"/>
      <c r="AJ17" s="7"/>
      <c r="AK17" s="7"/>
      <c r="AL17" s="4">
        <v>11.91406</v>
      </c>
      <c r="AM17" s="8">
        <v>0.00774707</v>
      </c>
      <c r="AN17" s="9">
        <v>53.37095</v>
      </c>
      <c r="AO17" s="10"/>
      <c r="AP17" s="11">
        <v>-79.7309</v>
      </c>
      <c r="AQ17" s="11">
        <v>0.2931134</v>
      </c>
      <c r="AR17" s="12">
        <v>0.0002936783</v>
      </c>
    </row>
    <row r="18" spans="2:44" ht="13.5" customHeight="1" x14ac:dyDescent="0.25">
      <c r="B18" s="121">
        <v>0.33333333333333331</v>
      </c>
      <c r="C18" s="23">
        <v>5.475984</v>
      </c>
      <c r="D18" s="13">
        <v>18.81511</v>
      </c>
      <c r="E18" s="13">
        <v>418.1809</v>
      </c>
      <c r="F18" s="13">
        <v>0.2654922</v>
      </c>
      <c r="G18" s="13">
        <v>0</v>
      </c>
      <c r="H18" s="14">
        <v>420.0625</v>
      </c>
      <c r="I18" s="15">
        <v>27.03993</v>
      </c>
      <c r="J18" s="13">
        <v>0.02008008</v>
      </c>
      <c r="K18" s="13">
        <v>42.6794</v>
      </c>
      <c r="L18" s="13">
        <v>1.326226</v>
      </c>
      <c r="M18" s="13">
        <v>109.7277</v>
      </c>
      <c r="N18" s="13">
        <v>111.0605</v>
      </c>
      <c r="O18" s="13">
        <v>20.21766</v>
      </c>
      <c r="P18" s="13">
        <v>20.16699</v>
      </c>
      <c r="Q18" s="13"/>
      <c r="R18" s="13">
        <v>2.818542</v>
      </c>
      <c r="S18" s="13">
        <v>140.1259</v>
      </c>
      <c r="T18" s="13">
        <v>1.508337</v>
      </c>
      <c r="U18" s="13">
        <v>0.2999453</v>
      </c>
      <c r="V18" s="13">
        <v>0.2999375</v>
      </c>
      <c r="W18" s="13">
        <v>90.74074</v>
      </c>
      <c r="X18" s="13">
        <v>0.5325558</v>
      </c>
      <c r="Y18" s="13">
        <v>0.5302666</v>
      </c>
      <c r="Z18" s="13">
        <v>0.7344908</v>
      </c>
      <c r="AA18" s="13">
        <v>149.6817</v>
      </c>
      <c r="AB18" s="13">
        <v>162.3553</v>
      </c>
      <c r="AC18" s="13">
        <v>0.3310185</v>
      </c>
      <c r="AD18" s="13">
        <v>154.3041</v>
      </c>
      <c r="AE18" s="16">
        <v>32.33</v>
      </c>
      <c r="AF18" s="16"/>
      <c r="AG18" s="16"/>
      <c r="AH18" s="16">
        <v>16.46</v>
      </c>
      <c r="AI18" s="16">
        <v>32.08</v>
      </c>
      <c r="AJ18" s="16">
        <v>11.56</v>
      </c>
      <c r="AK18" s="16">
        <v>6.99</v>
      </c>
      <c r="AL18" s="13">
        <v>10.39858</v>
      </c>
      <c r="AM18" s="17">
        <v>0.005767578</v>
      </c>
      <c r="AN18" s="18">
        <v>51.77228</v>
      </c>
      <c r="AO18" s="10"/>
      <c r="AP18" s="11">
        <v>-79.74537</v>
      </c>
      <c r="AQ18" s="11">
        <v>0.3164786</v>
      </c>
      <c r="AR18" s="19">
        <v>0.0002943878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-79.78877</v>
      </c>
      <c r="D22" s="62">
        <v>-80.51215</v>
      </c>
      <c r="E22" s="62">
        <v>103.1286</v>
      </c>
      <c r="F22" s="62">
        <v>0.1029369</v>
      </c>
      <c r="G22" s="62"/>
      <c r="H22" s="62"/>
      <c r="I22" s="62"/>
      <c r="J22" s="62"/>
      <c r="K22" s="62"/>
      <c r="L22" s="63"/>
      <c r="M22" s="82">
        <v>77.54268</v>
      </c>
      <c r="N22" s="62">
        <v>47.68518</v>
      </c>
      <c r="O22" s="62">
        <v>39.5</v>
      </c>
      <c r="P22" s="62">
        <v>22</v>
      </c>
      <c r="Q22" s="62">
        <v>3.60026</v>
      </c>
      <c r="R22" s="62">
        <v>17.59983</v>
      </c>
      <c r="S22" s="84">
        <v>90.41522</v>
      </c>
      <c r="T22" s="84">
        <v>15</v>
      </c>
      <c r="U22" s="84">
        <v>0</v>
      </c>
      <c r="V22" s="84">
        <v>18.278</v>
      </c>
      <c r="W22" s="84">
        <v>42.08442</v>
      </c>
      <c r="X22" s="84">
        <v>26.2</v>
      </c>
      <c r="Y22" s="84">
        <v>71.29955</v>
      </c>
      <c r="Z22" s="84">
        <v>14.30483</v>
      </c>
      <c r="AA22" s="84">
        <v>16.83485</v>
      </c>
      <c r="AB22" s="84"/>
      <c r="AC22" s="66"/>
      <c r="AD22" s="66">
        <v>1.421929</v>
      </c>
      <c r="AE22" s="66"/>
      <c r="AF22" s="66">
        <v>21.36502</v>
      </c>
      <c r="AG22" s="66">
        <v>24.35619</v>
      </c>
      <c r="AH22" s="66"/>
      <c r="AI22" s="85"/>
      <c r="AJ22" s="85"/>
      <c r="AK22" s="85"/>
      <c r="AL22" s="85"/>
      <c r="AM22" s="85"/>
      <c r="AN22" s="66">
        <v>44.92911</v>
      </c>
      <c r="AO22" s="67">
        <v>50</v>
      </c>
      <c r="AP22" s="68">
        <v>26.90972</v>
      </c>
      <c r="AQ22" s="69">
        <v>39.64844</v>
      </c>
      <c r="AR22" s="70">
        <v>0.09766388</v>
      </c>
    </row>
    <row r="23" spans="2:44" ht="13.5" customHeight="1" x14ac:dyDescent="0.25">
      <c r="B23" s="121">
        <v>0.875</v>
      </c>
      <c r="C23" s="20">
        <v>-79.76707</v>
      </c>
      <c r="D23" s="4">
        <v>-80.41088</v>
      </c>
      <c r="E23" s="4">
        <v>103.1322</v>
      </c>
      <c r="F23" s="4">
        <v>0.1007668</v>
      </c>
      <c r="G23" s="4">
        <v>9.676361E-05</v>
      </c>
      <c r="H23" s="4"/>
      <c r="I23" s="4"/>
      <c r="J23" s="4"/>
      <c r="K23" s="4"/>
      <c r="L23" s="5"/>
      <c r="M23" s="20">
        <v>77.67651</v>
      </c>
      <c r="N23" s="4">
        <v>47.4971</v>
      </c>
      <c r="O23" s="4">
        <v>39.5</v>
      </c>
      <c r="P23" s="4">
        <v>22</v>
      </c>
      <c r="Q23" s="4">
        <v>3.139757</v>
      </c>
      <c r="R23" s="4">
        <v>18.52575</v>
      </c>
      <c r="S23" s="21">
        <v>94.85677</v>
      </c>
      <c r="T23" s="21">
        <v>15</v>
      </c>
      <c r="U23" s="21">
        <v>0</v>
      </c>
      <c r="V23" s="21">
        <v>18.31597</v>
      </c>
      <c r="W23" s="21">
        <v>40.78776</v>
      </c>
      <c r="X23" s="21">
        <v>26.2</v>
      </c>
      <c r="Y23" s="21">
        <v>70.22316</v>
      </c>
      <c r="Z23" s="21">
        <v>14.61588</v>
      </c>
      <c r="AA23" s="21">
        <v>17.83854</v>
      </c>
      <c r="AB23" s="21"/>
      <c r="AC23" s="8"/>
      <c r="AD23" s="8">
        <v>1.548394</v>
      </c>
      <c r="AE23" s="8">
        <v>0.001423645</v>
      </c>
      <c r="AF23" s="8">
        <v>20.58015</v>
      </c>
      <c r="AG23" s="8">
        <v>15.22714</v>
      </c>
      <c r="AH23" s="8">
        <v>671.8</v>
      </c>
      <c r="AI23" s="22"/>
      <c r="AJ23" s="22"/>
      <c r="AK23" s="22"/>
      <c r="AL23" s="22"/>
      <c r="AM23" s="22"/>
      <c r="AN23" s="8">
        <v>52.1629</v>
      </c>
      <c r="AO23" s="9">
        <v>50</v>
      </c>
      <c r="AP23" s="10">
        <v>26.53899</v>
      </c>
      <c r="AQ23" s="11">
        <v>39.60503</v>
      </c>
      <c r="AR23" s="12">
        <v>0.07595825</v>
      </c>
    </row>
    <row r="24" spans="2:44" ht="13.5" customHeight="1" x14ac:dyDescent="0.25">
      <c r="B24" s="120" t="s">
        <v>260</v>
      </c>
      <c r="C24" s="20">
        <v>-79.67303</v>
      </c>
      <c r="D24" s="4">
        <v>-80.57002</v>
      </c>
      <c r="E24" s="4">
        <v>103.1286</v>
      </c>
      <c r="F24" s="4">
        <v>0.1019965</v>
      </c>
      <c r="G24" s="4">
        <v>0.0001005287</v>
      </c>
      <c r="H24" s="4"/>
      <c r="I24" s="4"/>
      <c r="J24" s="4"/>
      <c r="K24" s="4"/>
      <c r="L24" s="5"/>
      <c r="M24" s="20">
        <v>78.28776</v>
      </c>
      <c r="N24" s="4">
        <v>47.31988</v>
      </c>
      <c r="O24" s="4">
        <v>39.5</v>
      </c>
      <c r="P24" s="4">
        <v>22</v>
      </c>
      <c r="Q24" s="4">
        <v>3.442274</v>
      </c>
      <c r="R24" s="4">
        <v>18.65958</v>
      </c>
      <c r="S24" s="21">
        <v>94.03935</v>
      </c>
      <c r="T24" s="21">
        <v>15</v>
      </c>
      <c r="U24" s="21">
        <v>0</v>
      </c>
      <c r="V24" s="21">
        <v>19.07552</v>
      </c>
      <c r="W24" s="21">
        <v>39.68099</v>
      </c>
      <c r="X24" s="21">
        <v>26.2</v>
      </c>
      <c r="Y24" s="21">
        <v>69.73543</v>
      </c>
      <c r="Z24" s="21">
        <v>14.80758</v>
      </c>
      <c r="AA24" s="21">
        <v>18.03386</v>
      </c>
      <c r="AB24" s="21"/>
      <c r="AC24" s="8"/>
      <c r="AD24" s="8">
        <v>1.548394</v>
      </c>
      <c r="AE24" s="8">
        <v>0.001544525</v>
      </c>
      <c r="AF24" s="8">
        <v>21.148</v>
      </c>
      <c r="AG24" s="8">
        <v>13.36082</v>
      </c>
      <c r="AH24" s="8">
        <v>642.1</v>
      </c>
      <c r="AI24" s="22"/>
      <c r="AJ24" s="22"/>
      <c r="AK24" s="22"/>
      <c r="AL24" s="22"/>
      <c r="AM24" s="22"/>
      <c r="AN24" s="8">
        <v>45.8478</v>
      </c>
      <c r="AO24" s="9">
        <v>50</v>
      </c>
      <c r="AP24" s="10">
        <v>26.42144</v>
      </c>
      <c r="AQ24" s="11">
        <v>39.47121</v>
      </c>
      <c r="AR24" s="12">
        <v>0.06510925</v>
      </c>
    </row>
    <row r="25" spans="2:44" ht="13.5" customHeight="1" x14ac:dyDescent="0.25">
      <c r="B25" s="121">
        <v>0.95833333333333337</v>
      </c>
      <c r="C25" s="20">
        <v>-79.99855</v>
      </c>
      <c r="D25" s="4">
        <v>-80.96065</v>
      </c>
      <c r="E25" s="4">
        <v>103.1286</v>
      </c>
      <c r="F25" s="4">
        <v>0.1007668</v>
      </c>
      <c r="G25" s="4">
        <v>8.550835E-05</v>
      </c>
      <c r="H25" s="4"/>
      <c r="I25" s="4"/>
      <c r="J25" s="4"/>
      <c r="K25" s="4"/>
      <c r="L25" s="5"/>
      <c r="M25" s="20">
        <v>77.87182</v>
      </c>
      <c r="N25" s="4">
        <v>47.48264</v>
      </c>
      <c r="O25" s="4">
        <v>39.5</v>
      </c>
      <c r="P25" s="4">
        <v>22</v>
      </c>
      <c r="Q25" s="4">
        <v>3.305122</v>
      </c>
      <c r="R25" s="4">
        <v>18.65958</v>
      </c>
      <c r="S25" s="21">
        <v>92.80237</v>
      </c>
      <c r="T25" s="21">
        <v>15</v>
      </c>
      <c r="U25" s="21">
        <v>0</v>
      </c>
      <c r="V25" s="21">
        <v>19.62348</v>
      </c>
      <c r="W25" s="21">
        <v>39.01367</v>
      </c>
      <c r="X25" s="21">
        <v>26.5</v>
      </c>
      <c r="Y25" s="21">
        <v>70.78378</v>
      </c>
      <c r="Z25" s="21">
        <v>14.73705</v>
      </c>
      <c r="AA25" s="21">
        <v>18.01758</v>
      </c>
      <c r="AB25" s="21"/>
      <c r="AC25" s="8"/>
      <c r="AD25" s="8">
        <v>1.548394</v>
      </c>
      <c r="AE25" s="8">
        <v>0.00142102</v>
      </c>
      <c r="AF25" s="8">
        <v>20.78631</v>
      </c>
      <c r="AG25" s="8">
        <v>16.01201</v>
      </c>
      <c r="AH25" s="8">
        <v>259.7</v>
      </c>
      <c r="AI25" s="22"/>
      <c r="AJ25" s="22"/>
      <c r="AK25" s="22"/>
      <c r="AL25" s="22"/>
      <c r="AM25" s="22"/>
      <c r="AN25" s="8">
        <v>45.21123</v>
      </c>
      <c r="AO25" s="9">
        <v>50</v>
      </c>
      <c r="AP25" s="10">
        <v>25.96933</v>
      </c>
      <c r="AQ25" s="11">
        <v>42.58897</v>
      </c>
      <c r="AR25" s="12">
        <v>0.06510925</v>
      </c>
    </row>
    <row r="26" spans="2:44" ht="13.5" customHeight="1" x14ac:dyDescent="0.25">
      <c r="B26" s="120" t="s">
        <v>261</v>
      </c>
      <c r="C26" s="20">
        <v>-79.95515</v>
      </c>
      <c r="D26" s="4">
        <v>-80.97511</v>
      </c>
      <c r="E26" s="4">
        <v>103.1322</v>
      </c>
      <c r="F26" s="4">
        <v>0.08007812</v>
      </c>
      <c r="G26" s="4">
        <v>9.213066E-05</v>
      </c>
      <c r="H26" s="4"/>
      <c r="I26" s="4"/>
      <c r="J26" s="4"/>
      <c r="K26" s="4"/>
      <c r="L26" s="5"/>
      <c r="M26" s="20">
        <v>77.97671</v>
      </c>
      <c r="N26" s="4">
        <v>47.27286</v>
      </c>
      <c r="O26" s="4">
        <v>39.5</v>
      </c>
      <c r="P26" s="4">
        <v>22</v>
      </c>
      <c r="Q26" s="4">
        <v>3.200521</v>
      </c>
      <c r="R26" s="4">
        <v>19.00318</v>
      </c>
      <c r="S26" s="21">
        <v>91.50752</v>
      </c>
      <c r="T26" s="21">
        <v>15</v>
      </c>
      <c r="U26" s="21">
        <v>0</v>
      </c>
      <c r="V26" s="21">
        <v>27.44141</v>
      </c>
      <c r="W26" s="21">
        <v>44.91103</v>
      </c>
      <c r="X26" s="21">
        <v>26.5</v>
      </c>
      <c r="Y26" s="21">
        <v>70.50908</v>
      </c>
      <c r="Z26" s="21">
        <v>14.73524</v>
      </c>
      <c r="AA26" s="21">
        <v>18.28342</v>
      </c>
      <c r="AB26" s="21"/>
      <c r="AC26" s="8"/>
      <c r="AD26" s="8">
        <v>1.548286</v>
      </c>
      <c r="AE26" s="8">
        <v>0.001327087</v>
      </c>
      <c r="AF26" s="8">
        <v>22.02691</v>
      </c>
      <c r="AG26" s="8">
        <v>12.08767</v>
      </c>
      <c r="AH26" s="8"/>
      <c r="AI26" s="22"/>
      <c r="AJ26" s="22"/>
      <c r="AK26" s="22"/>
      <c r="AL26" s="22"/>
      <c r="AM26" s="22"/>
      <c r="AN26" s="8">
        <v>52.51013</v>
      </c>
      <c r="AO26" s="9">
        <v>50</v>
      </c>
      <c r="AP26" s="10">
        <v>26.06879</v>
      </c>
      <c r="AQ26" s="11">
        <v>40.45862</v>
      </c>
      <c r="AR26" s="12">
        <v>0.08680725</v>
      </c>
    </row>
    <row r="27" spans="2:44" ht="13.5" customHeight="1" x14ac:dyDescent="0.25">
      <c r="B27" s="121">
        <v>4.1666666666666664E-2</v>
      </c>
      <c r="C27" s="20">
        <v>-79.96962</v>
      </c>
      <c r="D27" s="4">
        <v>-80.96065</v>
      </c>
      <c r="E27" s="4">
        <v>103.1286</v>
      </c>
      <c r="F27" s="4">
        <v>0.07877604</v>
      </c>
      <c r="G27" s="4">
        <v>8.792496E-05</v>
      </c>
      <c r="H27" s="4"/>
      <c r="I27" s="4"/>
      <c r="J27" s="4"/>
      <c r="K27" s="4"/>
      <c r="L27" s="5"/>
      <c r="M27" s="20">
        <v>78.54094</v>
      </c>
      <c r="N27" s="4">
        <v>47.4754</v>
      </c>
      <c r="O27" s="4">
        <v>39.5</v>
      </c>
      <c r="P27" s="4">
        <v>22</v>
      </c>
      <c r="Q27" s="4">
        <v>3.302517</v>
      </c>
      <c r="R27" s="4">
        <v>18.99957</v>
      </c>
      <c r="S27" s="21">
        <v>92.67578</v>
      </c>
      <c r="T27" s="21">
        <v>15</v>
      </c>
      <c r="U27" s="21">
        <v>0</v>
      </c>
      <c r="V27" s="21">
        <v>29.42708</v>
      </c>
      <c r="W27" s="21">
        <v>45.70855</v>
      </c>
      <c r="X27" s="21">
        <v>26.5</v>
      </c>
      <c r="Y27" s="21">
        <v>70.71651</v>
      </c>
      <c r="Z27" s="21">
        <v>14.65025</v>
      </c>
      <c r="AA27" s="21">
        <v>18.38108</v>
      </c>
      <c r="AB27" s="21"/>
      <c r="AC27" s="8"/>
      <c r="AD27" s="8">
        <v>1.54834</v>
      </c>
      <c r="AE27" s="8">
        <v>0.001505951</v>
      </c>
      <c r="AF27" s="8">
        <v>21.93649</v>
      </c>
      <c r="AG27" s="8">
        <v>13.29933</v>
      </c>
      <c r="AH27" s="8"/>
      <c r="AI27" s="22"/>
      <c r="AJ27" s="22"/>
      <c r="AK27" s="22"/>
      <c r="AL27" s="22"/>
      <c r="AM27" s="22"/>
      <c r="AN27" s="8">
        <v>51.46123</v>
      </c>
      <c r="AO27" s="9">
        <v>50</v>
      </c>
      <c r="AP27" s="10">
        <v>25.79753</v>
      </c>
      <c r="AQ27" s="11">
        <v>40.45501</v>
      </c>
      <c r="AR27" s="12">
        <v>0.07595825</v>
      </c>
    </row>
    <row r="28" spans="2:44" ht="13.5" customHeight="1" x14ac:dyDescent="0.25">
      <c r="B28" s="120" t="s">
        <v>262</v>
      </c>
      <c r="C28" s="20">
        <v>-80.02026</v>
      </c>
      <c r="D28" s="4">
        <v>-80.94618</v>
      </c>
      <c r="E28" s="4">
        <v>103.125</v>
      </c>
      <c r="F28" s="4">
        <v>0.07863136</v>
      </c>
      <c r="G28" s="4">
        <v>8.807373E-05</v>
      </c>
      <c r="H28" s="4"/>
      <c r="I28" s="4"/>
      <c r="J28" s="4"/>
      <c r="K28" s="4"/>
      <c r="L28" s="5"/>
      <c r="M28" s="20">
        <v>78.42882</v>
      </c>
      <c r="N28" s="4">
        <v>47.26924</v>
      </c>
      <c r="O28" s="4">
        <v>39.5</v>
      </c>
      <c r="P28" s="4">
        <v>22</v>
      </c>
      <c r="Q28" s="4">
        <v>3.25</v>
      </c>
      <c r="R28" s="4">
        <v>19.00318</v>
      </c>
      <c r="S28" s="21">
        <v>91.61603</v>
      </c>
      <c r="T28" s="21">
        <v>15</v>
      </c>
      <c r="U28" s="21">
        <v>0</v>
      </c>
      <c r="V28" s="21">
        <v>29.24262</v>
      </c>
      <c r="W28" s="21">
        <v>45.03581</v>
      </c>
      <c r="X28" s="21">
        <v>26.5</v>
      </c>
      <c r="Y28" s="21">
        <v>70.24559</v>
      </c>
      <c r="Z28" s="21">
        <v>14.17824</v>
      </c>
      <c r="AA28" s="21">
        <v>18.29427</v>
      </c>
      <c r="AB28" s="21"/>
      <c r="AC28" s="8"/>
      <c r="AD28" s="8">
        <v>1.54834</v>
      </c>
      <c r="AE28" s="8">
        <v>0.001220276</v>
      </c>
      <c r="AF28" s="8">
        <v>21.90032</v>
      </c>
      <c r="AG28" s="8">
        <v>17.90726</v>
      </c>
      <c r="AH28" s="8"/>
      <c r="AI28" s="22"/>
      <c r="AJ28" s="22"/>
      <c r="AK28" s="22"/>
      <c r="AL28" s="22"/>
      <c r="AM28" s="22"/>
      <c r="AN28" s="8">
        <v>48.76302</v>
      </c>
      <c r="AO28" s="9">
        <v>50</v>
      </c>
      <c r="AP28" s="10">
        <v>25.13744</v>
      </c>
      <c r="AQ28" s="11">
        <v>40.31033</v>
      </c>
      <c r="AR28" s="12">
        <v>0.09766388</v>
      </c>
    </row>
    <row r="29" spans="2:44" ht="13.5" customHeight="1" x14ac:dyDescent="0.25">
      <c r="B29" s="121">
        <v>0.125</v>
      </c>
      <c r="C29" s="20">
        <v>-80.04919</v>
      </c>
      <c r="D29" s="4">
        <v>-81.02576</v>
      </c>
      <c r="E29" s="4">
        <v>103.125</v>
      </c>
      <c r="F29" s="4">
        <v>0.09686054</v>
      </c>
      <c r="G29" s="4">
        <v>8.776093E-05</v>
      </c>
      <c r="H29" s="4"/>
      <c r="I29" s="4"/>
      <c r="J29" s="4"/>
      <c r="K29" s="4"/>
      <c r="L29" s="5"/>
      <c r="M29" s="20">
        <v>77.78501</v>
      </c>
      <c r="N29" s="4">
        <v>47.39583</v>
      </c>
      <c r="O29" s="4">
        <v>39.5</v>
      </c>
      <c r="P29" s="4">
        <v>22</v>
      </c>
      <c r="Q29" s="4">
        <v>3.43533</v>
      </c>
      <c r="R29" s="4">
        <v>19.10084</v>
      </c>
      <c r="S29" s="21">
        <v>93.99957</v>
      </c>
      <c r="T29" s="21">
        <v>15</v>
      </c>
      <c r="U29" s="21">
        <v>0</v>
      </c>
      <c r="V29" s="21">
        <v>28.60243</v>
      </c>
      <c r="W29" s="21">
        <v>43.80426</v>
      </c>
      <c r="X29" s="21">
        <v>26.5</v>
      </c>
      <c r="Y29" s="21">
        <v>69.8868</v>
      </c>
      <c r="Z29" s="21">
        <v>14.2126</v>
      </c>
      <c r="AA29" s="21">
        <v>18.53841</v>
      </c>
      <c r="AB29" s="21"/>
      <c r="AC29" s="8"/>
      <c r="AD29" s="8">
        <v>1.54834</v>
      </c>
      <c r="AE29" s="8">
        <v>0.001540039</v>
      </c>
      <c r="AF29" s="8">
        <v>22.59114</v>
      </c>
      <c r="AG29" s="8">
        <v>13.48741</v>
      </c>
      <c r="AH29" s="8"/>
      <c r="AI29" s="22"/>
      <c r="AJ29" s="22"/>
      <c r="AK29" s="22"/>
      <c r="AL29" s="22"/>
      <c r="AM29" s="22"/>
      <c r="AN29" s="8">
        <v>46.69415</v>
      </c>
      <c r="AO29" s="9">
        <v>50</v>
      </c>
      <c r="AP29" s="10">
        <v>25.07415</v>
      </c>
      <c r="AQ29" s="11">
        <v>39.79311</v>
      </c>
      <c r="AR29" s="12">
        <v>0.09766388</v>
      </c>
    </row>
    <row r="30" spans="2:44" ht="13.5" customHeight="1" x14ac:dyDescent="0.25">
      <c r="B30" s="121">
        <v>0.16666666666666666</v>
      </c>
      <c r="C30" s="20">
        <v>-80.02749</v>
      </c>
      <c r="D30" s="4">
        <v>-80.98235</v>
      </c>
      <c r="E30" s="4">
        <v>103.125</v>
      </c>
      <c r="F30" s="4">
        <v>0.08463541</v>
      </c>
      <c r="G30" s="4">
        <v>9.586716E-05</v>
      </c>
      <c r="H30" s="4"/>
      <c r="I30" s="4"/>
      <c r="J30" s="4"/>
      <c r="K30" s="4"/>
      <c r="L30" s="5"/>
      <c r="M30" s="20">
        <v>77.8899</v>
      </c>
      <c r="N30" s="4">
        <v>47.19329</v>
      </c>
      <c r="O30" s="4">
        <v>39.5</v>
      </c>
      <c r="P30" s="4">
        <v>22</v>
      </c>
      <c r="Q30" s="4">
        <v>3.463976</v>
      </c>
      <c r="R30" s="4">
        <v>19.27083</v>
      </c>
      <c r="S30" s="21">
        <v>91.78603</v>
      </c>
      <c r="T30" s="21">
        <v>15</v>
      </c>
      <c r="U30" s="21">
        <v>0</v>
      </c>
      <c r="V30" s="21">
        <v>29.6875</v>
      </c>
      <c r="W30" s="21">
        <v>46.12088</v>
      </c>
      <c r="X30" s="21">
        <v>26.5</v>
      </c>
      <c r="Y30" s="21">
        <v>70.98</v>
      </c>
      <c r="Z30" s="21">
        <v>14.14388</v>
      </c>
      <c r="AA30" s="21">
        <v>18.60352</v>
      </c>
      <c r="AB30" s="21"/>
      <c r="AC30" s="8"/>
      <c r="AD30" s="8">
        <v>1.548286</v>
      </c>
      <c r="AE30" s="8">
        <v>0.001431305</v>
      </c>
      <c r="AF30" s="8">
        <v>22.37775</v>
      </c>
      <c r="AG30" s="8">
        <v>11.39685</v>
      </c>
      <c r="AH30" s="8"/>
      <c r="AI30" s="22"/>
      <c r="AJ30" s="22"/>
      <c r="AK30" s="22"/>
      <c r="AL30" s="22"/>
      <c r="AM30" s="22"/>
      <c r="AN30" s="8">
        <v>50.44126</v>
      </c>
      <c r="AO30" s="9">
        <v>50</v>
      </c>
      <c r="AP30" s="10">
        <v>25.08319</v>
      </c>
      <c r="AQ30" s="11">
        <v>39.70992</v>
      </c>
      <c r="AR30" s="12">
        <v>0.07595825</v>
      </c>
    </row>
    <row r="31" spans="2:44" ht="13.5" customHeight="1" x14ac:dyDescent="0.25">
      <c r="B31" s="121">
        <v>0.20833333333333334</v>
      </c>
      <c r="C31" s="20">
        <v>-79.91175</v>
      </c>
      <c r="D31" s="4">
        <v>-80.88107</v>
      </c>
      <c r="E31" s="4">
        <v>103.1286</v>
      </c>
      <c r="F31" s="4">
        <v>0.09483507</v>
      </c>
      <c r="G31" s="4">
        <v>8.481598E-05</v>
      </c>
      <c r="H31" s="4"/>
      <c r="I31" s="4"/>
      <c r="J31" s="4"/>
      <c r="K31" s="4"/>
      <c r="L31" s="5"/>
      <c r="M31" s="20">
        <v>77.69459</v>
      </c>
      <c r="N31" s="4">
        <v>47.27286</v>
      </c>
      <c r="O31" s="4">
        <v>39.5</v>
      </c>
      <c r="P31" s="4">
        <v>22</v>
      </c>
      <c r="Q31" s="4">
        <v>3.06467</v>
      </c>
      <c r="R31" s="4">
        <v>19.27083</v>
      </c>
      <c r="S31" s="21">
        <v>90.79861</v>
      </c>
      <c r="T31" s="21">
        <v>15</v>
      </c>
      <c r="U31" s="21">
        <v>0</v>
      </c>
      <c r="V31" s="21">
        <v>32.49783</v>
      </c>
      <c r="W31" s="21">
        <v>45.97982</v>
      </c>
      <c r="X31" s="21">
        <v>26.5</v>
      </c>
      <c r="Y31" s="21">
        <v>70.59878</v>
      </c>
      <c r="Z31" s="21">
        <v>14.02271</v>
      </c>
      <c r="AA31" s="21">
        <v>18.70117</v>
      </c>
      <c r="AB31" s="21"/>
      <c r="AC31" s="8"/>
      <c r="AD31" s="8">
        <v>0</v>
      </c>
      <c r="AE31" s="8">
        <v>0.001498779</v>
      </c>
      <c r="AF31" s="8">
        <v>21.97627</v>
      </c>
      <c r="AG31" s="8">
        <v>49.19343</v>
      </c>
      <c r="AH31" s="8"/>
      <c r="AI31" s="22"/>
      <c r="AJ31" s="22"/>
      <c r="AK31" s="22"/>
      <c r="AL31" s="22"/>
      <c r="AM31" s="22"/>
      <c r="AN31" s="8">
        <v>50.32552</v>
      </c>
      <c r="AO31" s="9">
        <v>50</v>
      </c>
      <c r="AP31" s="10">
        <v>24.51353</v>
      </c>
      <c r="AQ31" s="11">
        <v>39.56525</v>
      </c>
      <c r="AR31" s="12">
        <v>0.08680725</v>
      </c>
    </row>
    <row r="32" spans="2:44" ht="13.5" customHeight="1" x14ac:dyDescent="0.25">
      <c r="B32" s="121">
        <v>0.25</v>
      </c>
      <c r="C32" s="20">
        <v>-80.1794</v>
      </c>
      <c r="D32" s="4">
        <v>-81.13426</v>
      </c>
      <c r="E32" s="4">
        <v>103.125</v>
      </c>
      <c r="F32" s="4">
        <v>0.08355035</v>
      </c>
      <c r="G32" s="4">
        <v>9.08699E-05</v>
      </c>
      <c r="H32" s="4"/>
      <c r="I32" s="4"/>
      <c r="J32" s="4"/>
      <c r="K32" s="4"/>
      <c r="L32" s="5"/>
      <c r="M32" s="20">
        <v>77.67651</v>
      </c>
      <c r="N32" s="4">
        <v>47.19329</v>
      </c>
      <c r="O32" s="4">
        <v>39.5</v>
      </c>
      <c r="P32" s="4">
        <v>22</v>
      </c>
      <c r="Q32" s="4">
        <v>3.487847</v>
      </c>
      <c r="R32" s="4">
        <v>19.41189</v>
      </c>
      <c r="S32" s="21">
        <v>91.53284</v>
      </c>
      <c r="T32" s="21">
        <v>15</v>
      </c>
      <c r="U32" s="21">
        <v>0</v>
      </c>
      <c r="V32" s="21">
        <v>32.44358</v>
      </c>
      <c r="W32" s="21">
        <v>44.59636</v>
      </c>
      <c r="X32" s="21">
        <v>27</v>
      </c>
      <c r="Y32" s="21">
        <v>71.81532</v>
      </c>
      <c r="Z32" s="21">
        <v>14.04622</v>
      </c>
      <c r="AA32" s="21">
        <v>18.91819</v>
      </c>
      <c r="AB32" s="21"/>
      <c r="AC32" s="8"/>
      <c r="AD32" s="8">
        <v>1.548286</v>
      </c>
      <c r="AE32" s="8">
        <v>0.001282867</v>
      </c>
      <c r="AF32" s="8">
        <v>22.92752</v>
      </c>
      <c r="AG32" s="8">
        <v>14.33377</v>
      </c>
      <c r="AH32" s="8"/>
      <c r="AI32" s="22"/>
      <c r="AJ32" s="22"/>
      <c r="AK32" s="22"/>
      <c r="AL32" s="22"/>
      <c r="AM32" s="22"/>
      <c r="AN32" s="8">
        <v>47.71412</v>
      </c>
      <c r="AO32" s="9">
        <v>50</v>
      </c>
      <c r="AP32" s="10">
        <v>23.78111</v>
      </c>
      <c r="AQ32" s="11">
        <v>39.341</v>
      </c>
      <c r="AR32" s="12">
        <v>0.07595825</v>
      </c>
    </row>
    <row r="33" spans="2:44" ht="13.5" customHeight="1" x14ac:dyDescent="0.25">
      <c r="B33" s="121">
        <v>0.29166666666666669</v>
      </c>
      <c r="C33" s="20">
        <v>-79.7309</v>
      </c>
      <c r="D33" s="4">
        <v>-80.83044</v>
      </c>
      <c r="E33" s="4">
        <v>103.125</v>
      </c>
      <c r="F33" s="4">
        <v>0.09903067</v>
      </c>
      <c r="G33" s="4">
        <v>9.379768E-05</v>
      </c>
      <c r="H33" s="4"/>
      <c r="I33" s="4"/>
      <c r="J33" s="4"/>
      <c r="K33" s="4"/>
      <c r="L33" s="5"/>
      <c r="M33" s="20">
        <v>78.22627</v>
      </c>
      <c r="N33" s="4">
        <v>47.50434</v>
      </c>
      <c r="O33" s="4">
        <v>39.5</v>
      </c>
      <c r="P33" s="4">
        <v>22</v>
      </c>
      <c r="Q33" s="4">
        <v>3.326389</v>
      </c>
      <c r="R33" s="4">
        <v>19.42274</v>
      </c>
      <c r="S33" s="21">
        <v>93.88744</v>
      </c>
      <c r="T33" s="21">
        <v>15</v>
      </c>
      <c r="U33" s="21">
        <v>0</v>
      </c>
      <c r="V33" s="21">
        <v>31.25</v>
      </c>
      <c r="W33" s="21">
        <v>43.14236</v>
      </c>
      <c r="X33" s="21">
        <v>27</v>
      </c>
      <c r="Y33" s="21">
        <v>71.2547</v>
      </c>
      <c r="Z33" s="21">
        <v>13.83102</v>
      </c>
      <c r="AA33" s="21">
        <v>18.79883</v>
      </c>
      <c r="AB33" s="21"/>
      <c r="AC33" s="8"/>
      <c r="AD33" s="8">
        <v>1.548286</v>
      </c>
      <c r="AE33" s="8">
        <v>0.001537689</v>
      </c>
      <c r="AF33" s="8">
        <v>21.86053</v>
      </c>
      <c r="AG33" s="8">
        <v>12.37341</v>
      </c>
      <c r="AH33" s="8"/>
      <c r="AI33" s="22"/>
      <c r="AJ33" s="22"/>
      <c r="AK33" s="22"/>
      <c r="AL33" s="22"/>
      <c r="AM33" s="22"/>
      <c r="AN33" s="8">
        <v>45.29803</v>
      </c>
      <c r="AO33" s="9">
        <v>50</v>
      </c>
      <c r="AP33" s="10">
        <v>23.5008</v>
      </c>
      <c r="AQ33" s="11">
        <v>39.40972</v>
      </c>
      <c r="AR33" s="12">
        <v>0.08680725</v>
      </c>
    </row>
    <row r="34" spans="2:44" ht="13.5" customHeight="1" x14ac:dyDescent="0.25">
      <c r="B34" s="121">
        <v>0.33333333333333331</v>
      </c>
      <c r="C34" s="100">
        <v>-79.74537</v>
      </c>
      <c r="D34" s="98">
        <v>-80.79427</v>
      </c>
      <c r="E34" s="98">
        <v>103.125</v>
      </c>
      <c r="F34" s="98">
        <v>0.08369502</v>
      </c>
      <c r="G34" s="98">
        <v>9.431649E-05</v>
      </c>
      <c r="H34" s="98"/>
      <c r="I34" s="98"/>
      <c r="J34" s="98"/>
      <c r="K34" s="98"/>
      <c r="L34" s="99"/>
      <c r="M34" s="100">
        <v>78.41797</v>
      </c>
      <c r="N34" s="98">
        <v>47.22222</v>
      </c>
      <c r="O34" s="98">
        <v>39.5</v>
      </c>
      <c r="P34" s="98">
        <v>22</v>
      </c>
      <c r="Q34" s="98">
        <v>3.447917</v>
      </c>
      <c r="R34" s="98">
        <v>18.79702</v>
      </c>
      <c r="S34" s="101">
        <v>91.38093</v>
      </c>
      <c r="T34" s="101">
        <v>15</v>
      </c>
      <c r="U34" s="101">
        <v>0</v>
      </c>
      <c r="V34" s="101">
        <v>66.60699</v>
      </c>
      <c r="W34" s="101">
        <v>103.89</v>
      </c>
      <c r="X34" s="101">
        <v>27</v>
      </c>
      <c r="Y34" s="101">
        <v>71.58546</v>
      </c>
      <c r="Z34" s="101">
        <v>13.54709</v>
      </c>
      <c r="AA34" s="101">
        <v>17.9796</v>
      </c>
      <c r="AB34" s="101"/>
      <c r="AC34" s="102"/>
      <c r="AD34" s="102">
        <v>0</v>
      </c>
      <c r="AE34" s="102">
        <v>0.0004503174</v>
      </c>
      <c r="AF34" s="102">
        <v>22.6454</v>
      </c>
      <c r="AG34" s="102">
        <v>15.53458</v>
      </c>
      <c r="AH34" s="102"/>
      <c r="AI34" s="103"/>
      <c r="AJ34" s="103"/>
      <c r="AK34" s="103"/>
      <c r="AL34" s="103"/>
      <c r="AM34" s="103"/>
      <c r="AN34" s="102">
        <v>44.39381</v>
      </c>
      <c r="AO34" s="104">
        <v>50</v>
      </c>
      <c r="AP34" s="105">
        <v>23.6726</v>
      </c>
      <c r="AQ34" s="106">
        <v>39.71354</v>
      </c>
      <c r="AR34" s="19">
        <v>0.08680725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38.37529</v>
      </c>
      <c r="F39" s="107"/>
      <c r="G39" s="107"/>
      <c r="H39" s="107">
        <v>0</v>
      </c>
      <c r="I39" s="107"/>
      <c r="J39" s="107">
        <v>26.59324</v>
      </c>
      <c r="K39" s="107">
        <v>40</v>
      </c>
      <c r="L39" s="107">
        <v>49.85894</v>
      </c>
      <c r="M39" s="107">
        <v>0</v>
      </c>
      <c r="N39" s="107"/>
      <c r="O39" s="107">
        <v>29.53197</v>
      </c>
      <c r="P39" s="107">
        <v>0.05</v>
      </c>
      <c r="Q39" s="107">
        <v>0.2212818</v>
      </c>
      <c r="R39" s="107"/>
      <c r="S39" s="107">
        <v>0</v>
      </c>
      <c r="T39" s="107"/>
      <c r="U39" s="108">
        <v>0</v>
      </c>
      <c r="V39" s="109"/>
      <c r="W39" s="110">
        <v>97.70327</v>
      </c>
      <c r="X39" s="108">
        <v>19.12254</v>
      </c>
      <c r="Y39" s="108">
        <v>50</v>
      </c>
      <c r="Z39" s="108">
        <v>123.8759</v>
      </c>
      <c r="AA39" s="108">
        <v>18.278</v>
      </c>
      <c r="AB39" s="108">
        <v>42.08442</v>
      </c>
      <c r="AC39" s="108">
        <v>50</v>
      </c>
      <c r="AD39" s="108">
        <v>0</v>
      </c>
      <c r="AE39" s="111">
        <v>14.30483</v>
      </c>
      <c r="AF39" s="111">
        <v>16.83485</v>
      </c>
      <c r="AG39" s="111"/>
      <c r="AH39" s="111">
        <v>0</v>
      </c>
      <c r="AI39" s="111">
        <v>0</v>
      </c>
      <c r="AJ39" s="111"/>
      <c r="AK39" s="111">
        <v>91.08796</v>
      </c>
      <c r="AL39" s="112">
        <v>35.67998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9.226799E-08</v>
      </c>
      <c r="E40" s="4">
        <v>47.19329</v>
      </c>
      <c r="F40" s="4"/>
      <c r="G40" s="4"/>
      <c r="H40" s="4">
        <v>0</v>
      </c>
      <c r="I40" s="4">
        <v>0</v>
      </c>
      <c r="J40" s="4">
        <v>26.69271</v>
      </c>
      <c r="K40" s="4">
        <v>40</v>
      </c>
      <c r="L40" s="4">
        <v>50.4286</v>
      </c>
      <c r="M40" s="4">
        <v>0</v>
      </c>
      <c r="N40" s="4">
        <v>0</v>
      </c>
      <c r="O40" s="4">
        <v>29.40538</v>
      </c>
      <c r="P40" s="4">
        <v>0.05</v>
      </c>
      <c r="Q40" s="4">
        <v>0.2220052</v>
      </c>
      <c r="R40" s="4">
        <v>0.0002121201</v>
      </c>
      <c r="S40" s="4">
        <v>0</v>
      </c>
      <c r="T40" s="4">
        <v>0</v>
      </c>
      <c r="U40" s="21">
        <v>0</v>
      </c>
      <c r="V40" s="29">
        <v>0</v>
      </c>
      <c r="W40" s="30">
        <v>93.88383</v>
      </c>
      <c r="X40" s="21">
        <v>19.01042</v>
      </c>
      <c r="Y40" s="21">
        <v>40</v>
      </c>
      <c r="Z40" s="21">
        <v>102.513</v>
      </c>
      <c r="AA40" s="21">
        <v>18.31597</v>
      </c>
      <c r="AB40" s="21">
        <v>40.78776</v>
      </c>
      <c r="AC40" s="21">
        <v>40</v>
      </c>
      <c r="AD40" s="21">
        <v>105.4731</v>
      </c>
      <c r="AE40" s="8">
        <v>14.61588</v>
      </c>
      <c r="AF40" s="8">
        <v>17.83854</v>
      </c>
      <c r="AG40" s="8"/>
      <c r="AH40" s="8">
        <v>0</v>
      </c>
      <c r="AI40" s="8">
        <v>0</v>
      </c>
      <c r="AJ40" s="8">
        <v>0</v>
      </c>
      <c r="AK40" s="8">
        <v>91.08434</v>
      </c>
      <c r="AL40" s="9">
        <v>35.61343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1.254082E-07</v>
      </c>
      <c r="E41" s="4">
        <v>57.08189</v>
      </c>
      <c r="F41" s="4"/>
      <c r="G41" s="4"/>
      <c r="H41" s="4">
        <v>0</v>
      </c>
      <c r="I41" s="4">
        <v>0</v>
      </c>
      <c r="J41" s="4">
        <v>26.76505</v>
      </c>
      <c r="K41" s="4">
        <v>40</v>
      </c>
      <c r="L41" s="4">
        <v>49.91319</v>
      </c>
      <c r="M41" s="4">
        <v>0</v>
      </c>
      <c r="N41" s="4">
        <v>0</v>
      </c>
      <c r="O41" s="4">
        <v>29.07082</v>
      </c>
      <c r="P41" s="4">
        <v>0.05</v>
      </c>
      <c r="Q41" s="4">
        <v>0.1643519</v>
      </c>
      <c r="R41" s="4">
        <v>0.0002118072</v>
      </c>
      <c r="S41" s="4">
        <v>0</v>
      </c>
      <c r="T41" s="4">
        <v>0</v>
      </c>
      <c r="U41" s="21">
        <v>0</v>
      </c>
      <c r="V41" s="29">
        <v>0</v>
      </c>
      <c r="W41" s="30">
        <v>96.15524</v>
      </c>
      <c r="X41" s="21">
        <v>18.1713</v>
      </c>
      <c r="Y41" s="21">
        <v>40</v>
      </c>
      <c r="Z41" s="21">
        <v>102.3047</v>
      </c>
      <c r="AA41" s="21">
        <v>19.07552</v>
      </c>
      <c r="AB41" s="21">
        <v>39.68099</v>
      </c>
      <c r="AC41" s="21">
        <v>40</v>
      </c>
      <c r="AD41" s="21">
        <v>103.98</v>
      </c>
      <c r="AE41" s="8">
        <v>14.80758</v>
      </c>
      <c r="AF41" s="8">
        <v>18.03386</v>
      </c>
      <c r="AG41" s="8"/>
      <c r="AH41" s="8">
        <v>0</v>
      </c>
      <c r="AI41" s="8">
        <v>0</v>
      </c>
      <c r="AJ41" s="8">
        <v>0</v>
      </c>
      <c r="AK41" s="8">
        <v>91.06988</v>
      </c>
      <c r="AL41" s="9">
        <v>35.67419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2.213716E-06</v>
      </c>
      <c r="E42" s="4">
        <v>54.01476</v>
      </c>
      <c r="F42" s="4"/>
      <c r="G42" s="4"/>
      <c r="H42" s="4">
        <v>0</v>
      </c>
      <c r="I42" s="4">
        <v>0</v>
      </c>
      <c r="J42" s="4">
        <v>26.62941</v>
      </c>
      <c r="K42" s="4">
        <v>40</v>
      </c>
      <c r="L42" s="4">
        <v>48.96376</v>
      </c>
      <c r="M42" s="4">
        <v>0</v>
      </c>
      <c r="N42" s="4">
        <v>0</v>
      </c>
      <c r="O42" s="4">
        <v>28.3384</v>
      </c>
      <c r="P42" s="4">
        <v>0.05</v>
      </c>
      <c r="Q42" s="4">
        <v>0.2123119</v>
      </c>
      <c r="R42" s="4">
        <v>0.0002136497</v>
      </c>
      <c r="S42" s="4">
        <v>0</v>
      </c>
      <c r="T42" s="4">
        <v>0</v>
      </c>
      <c r="U42" s="21">
        <v>0</v>
      </c>
      <c r="V42" s="29">
        <v>0</v>
      </c>
      <c r="W42" s="30">
        <v>94.08637</v>
      </c>
      <c r="X42" s="21">
        <v>17.01027</v>
      </c>
      <c r="Y42" s="21">
        <v>35</v>
      </c>
      <c r="Z42" s="21">
        <v>88.94965</v>
      </c>
      <c r="AA42" s="21">
        <v>19.62348</v>
      </c>
      <c r="AB42" s="21">
        <v>39.01367</v>
      </c>
      <c r="AC42" s="21">
        <v>35</v>
      </c>
      <c r="AD42" s="21">
        <v>84.30122</v>
      </c>
      <c r="AE42" s="8">
        <v>14.73705</v>
      </c>
      <c r="AF42" s="8">
        <v>18.01758</v>
      </c>
      <c r="AG42" s="8"/>
      <c r="AH42" s="8">
        <v>0</v>
      </c>
      <c r="AI42" s="8">
        <v>0</v>
      </c>
      <c r="AJ42" s="8">
        <v>0</v>
      </c>
      <c r="AK42" s="8">
        <v>91.01201</v>
      </c>
      <c r="AL42" s="9">
        <v>35.6713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1.111269E-06</v>
      </c>
      <c r="E43" s="4">
        <v>62.24681</v>
      </c>
      <c r="F43" s="4"/>
      <c r="G43" s="4"/>
      <c r="H43" s="4">
        <v>0</v>
      </c>
      <c r="I43" s="4">
        <v>0</v>
      </c>
      <c r="J43" s="4">
        <v>26.5842</v>
      </c>
      <c r="K43" s="4">
        <v>40</v>
      </c>
      <c r="L43" s="4">
        <v>48.96376</v>
      </c>
      <c r="M43" s="4">
        <v>0</v>
      </c>
      <c r="N43" s="4">
        <v>0</v>
      </c>
      <c r="O43" s="4">
        <v>28.22085</v>
      </c>
      <c r="P43" s="4">
        <v>0.05</v>
      </c>
      <c r="Q43" s="4">
        <v>0.2137587</v>
      </c>
      <c r="R43" s="4">
        <v>0.000212429</v>
      </c>
      <c r="S43" s="4">
        <v>0</v>
      </c>
      <c r="T43" s="4">
        <v>0</v>
      </c>
      <c r="U43" s="21">
        <v>0</v>
      </c>
      <c r="V43" s="29">
        <v>0</v>
      </c>
      <c r="W43" s="30">
        <v>99.97468</v>
      </c>
      <c r="X43" s="21">
        <v>16.45327</v>
      </c>
      <c r="Y43" s="21">
        <v>30</v>
      </c>
      <c r="Z43" s="21">
        <v>75.43403</v>
      </c>
      <c r="AA43" s="21">
        <v>27.44141</v>
      </c>
      <c r="AB43" s="21">
        <v>44.91103</v>
      </c>
      <c r="AC43" s="21">
        <v>30</v>
      </c>
      <c r="AD43" s="21">
        <v>80.40799</v>
      </c>
      <c r="AE43" s="8">
        <v>14.73524</v>
      </c>
      <c r="AF43" s="8">
        <v>18.28342</v>
      </c>
      <c r="AG43" s="8"/>
      <c r="AH43" s="8">
        <v>0</v>
      </c>
      <c r="AI43" s="8">
        <v>0</v>
      </c>
      <c r="AJ43" s="8">
        <v>0</v>
      </c>
      <c r="AK43" s="8">
        <v>91.00116</v>
      </c>
      <c r="AL43" s="9">
        <v>35.64815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4.113198E-06</v>
      </c>
      <c r="E44" s="4">
        <v>50.44849</v>
      </c>
      <c r="F44" s="4"/>
      <c r="G44" s="4"/>
      <c r="H44" s="4">
        <v>0</v>
      </c>
      <c r="I44" s="4">
        <v>0</v>
      </c>
      <c r="J44" s="4">
        <v>26.36719</v>
      </c>
      <c r="K44" s="4">
        <v>40</v>
      </c>
      <c r="L44" s="4">
        <v>48.84621</v>
      </c>
      <c r="M44" s="4">
        <v>0</v>
      </c>
      <c r="N44" s="4">
        <v>0</v>
      </c>
      <c r="O44" s="4">
        <v>27.89533</v>
      </c>
      <c r="P44" s="4">
        <v>0.05</v>
      </c>
      <c r="Q44" s="4">
        <v>0.2487703</v>
      </c>
      <c r="R44" s="4">
        <v>0.0002109566</v>
      </c>
      <c r="S44" s="4">
        <v>0</v>
      </c>
      <c r="T44" s="4">
        <v>0</v>
      </c>
      <c r="U44" s="21">
        <v>0</v>
      </c>
      <c r="V44" s="29">
        <v>0</v>
      </c>
      <c r="W44" s="30">
        <v>94.69401</v>
      </c>
      <c r="X44" s="21">
        <v>17.00665</v>
      </c>
      <c r="Y44" s="21">
        <v>30</v>
      </c>
      <c r="Z44" s="21">
        <v>75.54254</v>
      </c>
      <c r="AA44" s="21">
        <v>29.42708</v>
      </c>
      <c r="AB44" s="21">
        <v>45.70855</v>
      </c>
      <c r="AC44" s="21">
        <v>30</v>
      </c>
      <c r="AD44" s="21">
        <v>79.76129</v>
      </c>
      <c r="AE44" s="8">
        <v>14.65025</v>
      </c>
      <c r="AF44" s="8">
        <v>18.38108</v>
      </c>
      <c r="AG44" s="8"/>
      <c r="AH44" s="8">
        <v>0</v>
      </c>
      <c r="AI44" s="8">
        <v>0</v>
      </c>
      <c r="AJ44" s="8">
        <v>0</v>
      </c>
      <c r="AK44" s="8">
        <v>90.96499</v>
      </c>
      <c r="AL44" s="9">
        <v>35.64815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3.284693E-06</v>
      </c>
      <c r="E45" s="4">
        <v>52.60416</v>
      </c>
      <c r="F45" s="4"/>
      <c r="G45" s="4"/>
      <c r="H45" s="4">
        <v>0</v>
      </c>
      <c r="I45" s="4">
        <v>0</v>
      </c>
      <c r="J45" s="4">
        <v>26.12305</v>
      </c>
      <c r="K45" s="4">
        <v>40</v>
      </c>
      <c r="L45" s="4">
        <v>48.06858</v>
      </c>
      <c r="M45" s="4">
        <v>0</v>
      </c>
      <c r="N45" s="4">
        <v>0</v>
      </c>
      <c r="O45" s="4">
        <v>27.43417</v>
      </c>
      <c r="P45" s="4">
        <v>0.05</v>
      </c>
      <c r="Q45" s="4">
        <v>0.2101418</v>
      </c>
      <c r="R45" s="4">
        <v>0.0002108688</v>
      </c>
      <c r="S45" s="4">
        <v>0</v>
      </c>
      <c r="T45" s="4">
        <v>0</v>
      </c>
      <c r="U45" s="21">
        <v>0</v>
      </c>
      <c r="V45" s="29">
        <v>0</v>
      </c>
      <c r="W45" s="30">
        <v>94.50231</v>
      </c>
      <c r="X45" s="21">
        <v>17.39728</v>
      </c>
      <c r="Y45" s="21">
        <v>30</v>
      </c>
      <c r="Z45" s="21">
        <v>75.79427</v>
      </c>
      <c r="AA45" s="21">
        <v>29.24262</v>
      </c>
      <c r="AB45" s="21">
        <v>45.03581</v>
      </c>
      <c r="AC45" s="21">
        <v>30</v>
      </c>
      <c r="AD45" s="21">
        <v>86.23698</v>
      </c>
      <c r="AE45" s="8">
        <v>14.17824</v>
      </c>
      <c r="AF45" s="8">
        <v>18.29427</v>
      </c>
      <c r="AG45" s="8"/>
      <c r="AH45" s="8">
        <v>0</v>
      </c>
      <c r="AI45" s="8">
        <v>0</v>
      </c>
      <c r="AJ45" s="8">
        <v>0</v>
      </c>
      <c r="AK45" s="8">
        <v>90.94328</v>
      </c>
      <c r="AL45" s="9">
        <v>35.70023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1.242161E-07</v>
      </c>
      <c r="E46" s="4">
        <v>55.57726</v>
      </c>
      <c r="F46" s="4"/>
      <c r="G46" s="4"/>
      <c r="H46" s="4">
        <v>0</v>
      </c>
      <c r="I46" s="4">
        <v>0</v>
      </c>
      <c r="J46" s="4">
        <v>25.79753</v>
      </c>
      <c r="K46" s="4">
        <v>40</v>
      </c>
      <c r="L46" s="4">
        <v>47.56221</v>
      </c>
      <c r="M46" s="4">
        <v>0</v>
      </c>
      <c r="N46" s="4">
        <v>0</v>
      </c>
      <c r="O46" s="4">
        <v>26.8826</v>
      </c>
      <c r="P46" s="4">
        <v>0.05</v>
      </c>
      <c r="Q46" s="4">
        <v>0.2078993</v>
      </c>
      <c r="R46" s="4">
        <v>0.000193058</v>
      </c>
      <c r="S46" s="4">
        <v>0</v>
      </c>
      <c r="T46" s="4">
        <v>0</v>
      </c>
      <c r="U46" s="21">
        <v>0</v>
      </c>
      <c r="V46" s="29">
        <v>0</v>
      </c>
      <c r="W46" s="30">
        <v>92.12963</v>
      </c>
      <c r="X46" s="21">
        <v>16.6088</v>
      </c>
      <c r="Y46" s="21">
        <v>30</v>
      </c>
      <c r="Z46" s="21">
        <v>76.02865</v>
      </c>
      <c r="AA46" s="21">
        <v>28.60243</v>
      </c>
      <c r="AB46" s="21">
        <v>43.80426</v>
      </c>
      <c r="AC46" s="21">
        <v>30</v>
      </c>
      <c r="AD46" s="21">
        <v>76.80122</v>
      </c>
      <c r="AE46" s="8">
        <v>14.2126</v>
      </c>
      <c r="AF46" s="8">
        <v>18.53841</v>
      </c>
      <c r="AG46" s="8"/>
      <c r="AH46" s="8">
        <v>0</v>
      </c>
      <c r="AI46" s="8">
        <v>0</v>
      </c>
      <c r="AJ46" s="8">
        <v>0</v>
      </c>
      <c r="AK46" s="8">
        <v>90.93243</v>
      </c>
      <c r="AL46" s="9">
        <v>35.71759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1.877308E-06</v>
      </c>
      <c r="E47" s="4">
        <v>50.69444</v>
      </c>
      <c r="F47" s="4"/>
      <c r="G47" s="4"/>
      <c r="H47" s="4">
        <v>0</v>
      </c>
      <c r="I47" s="4">
        <v>0</v>
      </c>
      <c r="J47" s="4">
        <v>25.45392</v>
      </c>
      <c r="K47" s="4">
        <v>40</v>
      </c>
      <c r="L47" s="4">
        <v>47.72497</v>
      </c>
      <c r="M47" s="4">
        <v>0</v>
      </c>
      <c r="N47" s="4">
        <v>0</v>
      </c>
      <c r="O47" s="4">
        <v>26.78313</v>
      </c>
      <c r="P47" s="4">
        <v>0.05</v>
      </c>
      <c r="Q47" s="4">
        <v>0.1941551</v>
      </c>
      <c r="R47" s="4">
        <v>0.0001852608</v>
      </c>
      <c r="S47" s="4">
        <v>0</v>
      </c>
      <c r="T47" s="4">
        <v>0</v>
      </c>
      <c r="U47" s="21">
        <v>0</v>
      </c>
      <c r="V47" s="29">
        <v>0</v>
      </c>
      <c r="W47" s="30">
        <v>98.19155</v>
      </c>
      <c r="X47" s="21">
        <v>16.05903</v>
      </c>
      <c r="Y47" s="21">
        <v>30</v>
      </c>
      <c r="Z47" s="21">
        <v>76.15452</v>
      </c>
      <c r="AA47" s="21">
        <v>29.6875</v>
      </c>
      <c r="AB47" s="21">
        <v>46.12088</v>
      </c>
      <c r="AC47" s="21">
        <v>30</v>
      </c>
      <c r="AD47" s="21">
        <v>75.73785</v>
      </c>
      <c r="AE47" s="8">
        <v>14.14388</v>
      </c>
      <c r="AF47" s="8">
        <v>18.60352</v>
      </c>
      <c r="AG47" s="8"/>
      <c r="AH47" s="8">
        <v>0</v>
      </c>
      <c r="AI47" s="8">
        <v>0</v>
      </c>
      <c r="AJ47" s="8">
        <v>0</v>
      </c>
      <c r="AK47" s="8">
        <v>90.86372</v>
      </c>
      <c r="AL47" s="9">
        <v>35.72628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7.486344E-08</v>
      </c>
      <c r="E48" s="4">
        <v>44.61805</v>
      </c>
      <c r="F48" s="4"/>
      <c r="G48" s="4"/>
      <c r="H48" s="4">
        <v>0</v>
      </c>
      <c r="I48" s="4">
        <v>0</v>
      </c>
      <c r="J48" s="4">
        <v>25.01085</v>
      </c>
      <c r="K48" s="4">
        <v>40</v>
      </c>
      <c r="L48" s="4">
        <v>47.72497</v>
      </c>
      <c r="M48" s="4">
        <v>0</v>
      </c>
      <c r="N48" s="4">
        <v>0</v>
      </c>
      <c r="O48" s="4">
        <v>26.22251</v>
      </c>
      <c r="P48" s="4">
        <v>0.05</v>
      </c>
      <c r="Q48" s="4">
        <v>0.1553819</v>
      </c>
      <c r="R48" s="4">
        <v>0.0001796608</v>
      </c>
      <c r="S48" s="4">
        <v>0</v>
      </c>
      <c r="T48" s="4">
        <v>0</v>
      </c>
      <c r="U48" s="21">
        <v>0</v>
      </c>
      <c r="V48" s="29">
        <v>0</v>
      </c>
      <c r="W48" s="30">
        <v>92.73727</v>
      </c>
      <c r="X48" s="21">
        <v>16.44604</v>
      </c>
      <c r="Y48" s="21">
        <v>28</v>
      </c>
      <c r="Z48" s="21">
        <v>70.23872</v>
      </c>
      <c r="AA48" s="21">
        <v>32.49783</v>
      </c>
      <c r="AB48" s="21">
        <v>45.97982</v>
      </c>
      <c r="AC48" s="21">
        <v>28</v>
      </c>
      <c r="AD48" s="21">
        <v>71.51476</v>
      </c>
      <c r="AE48" s="8">
        <v>14.02271</v>
      </c>
      <c r="AF48" s="8">
        <v>18.70117</v>
      </c>
      <c r="AG48" s="8"/>
      <c r="AH48" s="8">
        <v>0</v>
      </c>
      <c r="AI48" s="8">
        <v>0</v>
      </c>
      <c r="AJ48" s="8">
        <v>0</v>
      </c>
      <c r="AK48" s="8">
        <v>90.80946</v>
      </c>
      <c r="AL48" s="9">
        <v>35.41378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1.563787E-06</v>
      </c>
      <c r="E49" s="4">
        <v>55.99681</v>
      </c>
      <c r="F49" s="4"/>
      <c r="G49" s="4"/>
      <c r="H49" s="4">
        <v>0</v>
      </c>
      <c r="I49" s="4">
        <v>0</v>
      </c>
      <c r="J49" s="4">
        <v>24.61299</v>
      </c>
      <c r="K49" s="4">
        <v>40</v>
      </c>
      <c r="L49" s="4">
        <v>47.72497</v>
      </c>
      <c r="M49" s="4">
        <v>0</v>
      </c>
      <c r="N49" s="4">
        <v>0</v>
      </c>
      <c r="O49" s="4">
        <v>25.88795</v>
      </c>
      <c r="P49" s="4">
        <v>0.05</v>
      </c>
      <c r="Q49" s="4">
        <v>0.1697049</v>
      </c>
      <c r="R49" s="4">
        <v>0.0001787033</v>
      </c>
      <c r="S49" s="4">
        <v>0</v>
      </c>
      <c r="T49" s="4">
        <v>0</v>
      </c>
      <c r="U49" s="21">
        <v>0</v>
      </c>
      <c r="V49" s="29">
        <v>0</v>
      </c>
      <c r="W49" s="30">
        <v>95.96716</v>
      </c>
      <c r="X49" s="21">
        <v>17.03559</v>
      </c>
      <c r="Y49" s="21">
        <v>28</v>
      </c>
      <c r="Z49" s="21">
        <v>70.90712</v>
      </c>
      <c r="AA49" s="21">
        <v>32.44358</v>
      </c>
      <c r="AB49" s="21">
        <v>44.59636</v>
      </c>
      <c r="AC49" s="21">
        <v>28</v>
      </c>
      <c r="AD49" s="21">
        <v>71.1849</v>
      </c>
      <c r="AE49" s="8">
        <v>14.04622</v>
      </c>
      <c r="AF49" s="8">
        <v>18.91819</v>
      </c>
      <c r="AG49" s="8"/>
      <c r="AH49" s="8">
        <v>0</v>
      </c>
      <c r="AI49" s="8">
        <v>0</v>
      </c>
      <c r="AJ49" s="8">
        <v>0</v>
      </c>
      <c r="AK49" s="8">
        <v>90.81308</v>
      </c>
      <c r="AL49" s="9">
        <v>35.25753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1.978874E-08</v>
      </c>
      <c r="E50" s="4">
        <v>56.08362</v>
      </c>
      <c r="F50" s="4"/>
      <c r="G50" s="4"/>
      <c r="H50" s="4">
        <v>0</v>
      </c>
      <c r="I50" s="4">
        <v>0</v>
      </c>
      <c r="J50" s="4">
        <v>24.26939</v>
      </c>
      <c r="K50" s="4">
        <v>40</v>
      </c>
      <c r="L50" s="4">
        <v>47.0468</v>
      </c>
      <c r="M50" s="4">
        <v>0</v>
      </c>
      <c r="N50" s="4">
        <v>0</v>
      </c>
      <c r="O50" s="4">
        <v>25.71615</v>
      </c>
      <c r="P50" s="4">
        <v>0.05</v>
      </c>
      <c r="Q50" s="4">
        <v>0.1181279</v>
      </c>
      <c r="R50" s="4">
        <v>0.0001339073</v>
      </c>
      <c r="S50" s="4">
        <v>0</v>
      </c>
      <c r="T50" s="4">
        <v>0</v>
      </c>
      <c r="U50" s="21">
        <v>0</v>
      </c>
      <c r="V50" s="29">
        <v>0</v>
      </c>
      <c r="W50" s="30">
        <v>92.67216</v>
      </c>
      <c r="X50" s="21">
        <v>15.98669</v>
      </c>
      <c r="Y50" s="21">
        <v>28</v>
      </c>
      <c r="Z50" s="21">
        <v>69.83508</v>
      </c>
      <c r="AA50" s="21">
        <v>31.25</v>
      </c>
      <c r="AB50" s="21">
        <v>43.14236</v>
      </c>
      <c r="AC50" s="21">
        <v>28</v>
      </c>
      <c r="AD50" s="21">
        <v>72.04861</v>
      </c>
      <c r="AE50" s="8">
        <v>13.83102</v>
      </c>
      <c r="AF50" s="8">
        <v>18.79883</v>
      </c>
      <c r="AG50" s="8"/>
      <c r="AH50" s="8">
        <v>0</v>
      </c>
      <c r="AI50" s="8">
        <v>0</v>
      </c>
      <c r="AJ50" s="8">
        <v>0</v>
      </c>
      <c r="AK50" s="8">
        <v>90.81308</v>
      </c>
      <c r="AL50" s="9">
        <v>35.10128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1.981497E-06</v>
      </c>
      <c r="E51" s="13">
        <v>51.14294</v>
      </c>
      <c r="F51" s="13"/>
      <c r="G51" s="13"/>
      <c r="H51" s="13">
        <v>0</v>
      </c>
      <c r="I51" s="13">
        <v>0</v>
      </c>
      <c r="J51" s="13">
        <v>24.04333</v>
      </c>
      <c r="K51" s="13">
        <v>40</v>
      </c>
      <c r="L51" s="13">
        <v>46.37768</v>
      </c>
      <c r="M51" s="13">
        <v>0</v>
      </c>
      <c r="N51" s="13">
        <v>0</v>
      </c>
      <c r="O51" s="13">
        <v>25.72519</v>
      </c>
      <c r="P51" s="13">
        <v>0.05</v>
      </c>
      <c r="Q51" s="13">
        <v>0.125</v>
      </c>
      <c r="R51" s="13">
        <v>0.0001139183</v>
      </c>
      <c r="S51" s="13">
        <v>0</v>
      </c>
      <c r="T51" s="13">
        <v>0</v>
      </c>
      <c r="U51" s="24">
        <v>0</v>
      </c>
      <c r="V51" s="32">
        <v>0</v>
      </c>
      <c r="W51" s="33">
        <v>96.43736</v>
      </c>
      <c r="X51" s="24">
        <v>15.10417</v>
      </c>
      <c r="Y51" s="24">
        <v>0</v>
      </c>
      <c r="Z51" s="24">
        <v>0</v>
      </c>
      <c r="AA51" s="24">
        <v>66.60699</v>
      </c>
      <c r="AB51" s="24">
        <v>103.89</v>
      </c>
      <c r="AC51" s="24">
        <v>28</v>
      </c>
      <c r="AD51" s="24">
        <v>72.6823</v>
      </c>
      <c r="AE51" s="17">
        <v>13.54709</v>
      </c>
      <c r="AF51" s="17">
        <v>17.9796</v>
      </c>
      <c r="AG51" s="17"/>
      <c r="AH51" s="17">
        <v>0</v>
      </c>
      <c r="AI51" s="17">
        <v>0</v>
      </c>
      <c r="AJ51" s="17">
        <v>0</v>
      </c>
      <c r="AK51" s="17">
        <v>90.82755</v>
      </c>
      <c r="AL51" s="18">
        <v>34.97975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40" t="s">
        <v>369</v>
      </c>
      <c r="C52" s="241"/>
      <c r="D52" s="72" t="s">
        <v>263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224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223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352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225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226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227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228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229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230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231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232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233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234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235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236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237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238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239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240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241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242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243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244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245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246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247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248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353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249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250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354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251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252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253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254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255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256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257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258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259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 t="s">
        <v>369</v>
      </c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3" t="s">
        <v>330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 t="s">
        <v>369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331</v>
      </c>
      <c r="C4" s="41" t="s">
        <v>280</v>
      </c>
      <c r="D4" s="56" t="s">
        <v>332</v>
      </c>
      <c r="E4" s="56" t="s">
        <v>275</v>
      </c>
      <c r="F4" s="56" t="s">
        <v>276</v>
      </c>
      <c r="G4" s="41" t="s">
        <v>333</v>
      </c>
      <c r="H4" s="41" t="s">
        <v>334</v>
      </c>
      <c r="I4" s="41" t="s">
        <v>335</v>
      </c>
      <c r="J4" s="41" t="s">
        <v>336</v>
      </c>
      <c r="K4" s="56" t="s">
        <v>337</v>
      </c>
      <c r="L4" s="56" t="s">
        <v>338</v>
      </c>
      <c r="M4" s="41" t="s">
        <v>339</v>
      </c>
      <c r="N4" s="41" t="s">
        <v>340</v>
      </c>
      <c r="O4" s="41" t="s">
        <v>341</v>
      </c>
      <c r="P4" s="41" t="s">
        <v>342</v>
      </c>
      <c r="Q4" s="41" t="s">
        <v>343</v>
      </c>
      <c r="R4" s="41" t="s">
        <v>350</v>
      </c>
      <c r="S4" s="41" t="s">
        <v>349</v>
      </c>
      <c r="T4" s="41" t="s">
        <v>351</v>
      </c>
    </row>
    <row r="5" spans="2:20" x14ac:dyDescent="0.25">
      <c r="B5" s="359"/>
      <c r="C5" s="41" t="s">
        <v>281</v>
      </c>
      <c r="D5" s="57" t="s">
        <v>344</v>
      </c>
      <c r="E5" s="41" t="s">
        <v>345</v>
      </c>
      <c r="F5" s="41" t="s">
        <v>346</v>
      </c>
      <c r="G5" s="41" t="s">
        <v>346</v>
      </c>
      <c r="H5" s="41" t="s">
        <v>346</v>
      </c>
      <c r="I5" s="41" t="s">
        <v>346</v>
      </c>
      <c r="J5" s="41" t="s">
        <v>346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0" t="s">
        <v>369</v>
      </c>
      <c r="C6" s="360"/>
      <c r="D6" s="58">
        <v>78.8</v>
      </c>
      <c r="E6" s="58">
        <v>15.97</v>
      </c>
      <c r="F6" s="58">
        <v>624.5</v>
      </c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>
        <v>3.599992</v>
      </c>
      <c r="L6" s="362">
        <v>417.5602333333333</v>
      </c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347</v>
      </c>
      <c r="Q6" s="362" t="e">
        <f>(I6+I9)/(K6+K9)/AVERAGE(L6:L11)*1.2*100</f>
        <v>#DIV/0!</v>
      </c>
      <c r="R6" s="362">
        <v>2332.20409</v>
      </c>
      <c r="S6" s="362">
        <v>2968.7</v>
      </c>
      <c r="T6" s="362" t="e">
        <f>SUM(K6:K11)*AVERAGE(L6:L11)/SUM(I6:I11)*1000</f>
        <v>#DIV/0!</v>
      </c>
    </row>
    <row r="7" spans="2:20" x14ac:dyDescent="0.25">
      <c r="B7" s="360"/>
      <c r="C7" s="360"/>
      <c r="D7" s="58">
        <v>79.9</v>
      </c>
      <c r="E7" s="58">
        <v>16.01</v>
      </c>
      <c r="F7" s="58">
        <v>532.5</v>
      </c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347</v>
      </c>
      <c r="Q7" s="362"/>
      <c r="R7" s="362"/>
      <c r="S7" s="362"/>
      <c r="T7" s="362"/>
    </row>
    <row r="8" spans="2:20" x14ac:dyDescent="0.25">
      <c r="B8" s="360"/>
      <c r="C8" s="360"/>
      <c r="D8" s="58">
        <v>84.94</v>
      </c>
      <c r="E8" s="58">
        <v>6.95</v>
      </c>
      <c r="F8" s="58">
        <v>238.1</v>
      </c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348</v>
      </c>
      <c r="Q8" s="362"/>
      <c r="R8" s="362"/>
      <c r="S8" s="362"/>
      <c r="T8" s="362"/>
    </row>
    <row r="9" spans="2:20" x14ac:dyDescent="0.25">
      <c r="B9" s="360"/>
      <c r="C9" s="360"/>
      <c r="D9" s="58">
        <v>75.49</v>
      </c>
      <c r="E9" s="58">
        <v>20.7</v>
      </c>
      <c r="F9" s="58">
        <v>671.8</v>
      </c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>
        <v>3.599203</v>
      </c>
      <c r="L9" s="362">
        <v>419.24988333333334</v>
      </c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347</v>
      </c>
      <c r="Q9" s="362"/>
      <c r="R9" s="362"/>
      <c r="S9" s="362"/>
      <c r="T9" s="362"/>
    </row>
    <row r="10" spans="2:20" x14ac:dyDescent="0.25">
      <c r="B10" s="360"/>
      <c r="C10" s="360"/>
      <c r="D10" s="58">
        <v>74.93</v>
      </c>
      <c r="E10" s="58">
        <v>20.26</v>
      </c>
      <c r="F10" s="58">
        <v>642.1</v>
      </c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347</v>
      </c>
      <c r="Q10" s="362"/>
      <c r="R10" s="362"/>
      <c r="S10" s="362"/>
      <c r="T10" s="362"/>
    </row>
    <row r="11" spans="2:20" x14ac:dyDescent="0.25">
      <c r="B11" s="360"/>
      <c r="C11" s="360"/>
      <c r="D11" s="58">
        <v>86.3</v>
      </c>
      <c r="E11" s="58">
        <v>11</v>
      </c>
      <c r="F11" s="58">
        <v>259.7</v>
      </c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348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M11" sqref="M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80" t="s">
        <v>329</v>
      </c>
      <c r="C2" s="381"/>
      <c r="D2" s="381"/>
      <c r="E2" s="381"/>
      <c r="F2" s="381"/>
      <c r="G2" s="381"/>
      <c r="H2" s="381"/>
      <c r="I2" s="381"/>
      <c r="J2" s="382"/>
    </row>
    <row r="3" spans="2:10" ht="20.15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280</v>
      </c>
      <c r="C4" s="386"/>
      <c r="D4" s="387"/>
      <c r="E4" s="38" t="s">
        <v>281</v>
      </c>
      <c r="F4" s="38" t="s">
        <v>282</v>
      </c>
      <c r="G4" s="38" t="s">
        <v>283</v>
      </c>
      <c r="H4" s="388" t="s">
        <v>284</v>
      </c>
      <c r="I4" s="387"/>
      <c r="J4" s="39" t="s">
        <v>285</v>
      </c>
    </row>
    <row r="5" spans="2:10" x14ac:dyDescent="0.25">
      <c r="B5" s="40" t="s">
        <v>286</v>
      </c>
      <c r="C5" s="359" t="s">
        <v>287</v>
      </c>
      <c r="D5" s="359"/>
      <c r="E5" s="41" t="s">
        <v>271</v>
      </c>
      <c r="F5" s="42">
        <v>90</v>
      </c>
      <c r="G5" s="43">
        <v>92.91095737951412</v>
      </c>
      <c r="H5" s="44">
        <f>(G5-F5)/F5*100</f>
        <v>-100</v>
      </c>
      <c r="I5" s="45" t="s">
        <v>271</v>
      </c>
      <c r="J5" s="46"/>
    </row>
    <row r="6" spans="2:10" x14ac:dyDescent="0.25">
      <c r="B6" s="364" t="s">
        <v>288</v>
      </c>
      <c r="C6" s="359" t="s">
        <v>289</v>
      </c>
      <c r="D6" s="359"/>
      <c r="E6" s="41" t="s">
        <v>268</v>
      </c>
      <c r="F6" s="42" t="s">
        <v>290</v>
      </c>
      <c r="G6" s="43">
        <v>1291.5591807953829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291</v>
      </c>
      <c r="D7" s="359"/>
      <c r="E7" s="41" t="s">
        <v>268</v>
      </c>
      <c r="F7" s="42" t="s">
        <v>361</v>
      </c>
      <c r="G7" s="43">
        <v>203.66875353520197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292</v>
      </c>
      <c r="D8" s="359"/>
      <c r="E8" s="41" t="s">
        <v>268</v>
      </c>
      <c r="F8" s="42" t="s">
        <v>362</v>
      </c>
      <c r="G8" s="43">
        <v>265.13186373839176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4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418.40505833333333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298</v>
      </c>
      <c r="D10" s="41" t="s">
        <v>299</v>
      </c>
      <c r="E10" s="48" t="s">
        <v>4</v>
      </c>
      <c r="F10" s="42" t="s">
        <v>300</v>
      </c>
      <c r="G10" s="43">
        <v>0.5302770791666668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78"/>
      <c r="C12" s="359"/>
      <c r="D12" s="41" t="s">
        <v>304</v>
      </c>
      <c r="E12" s="41" t="s">
        <v>273</v>
      </c>
      <c r="F12" s="42" t="s">
        <v>305</v>
      </c>
      <c r="G12" s="43">
        <v>0.7295983208333333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306</v>
      </c>
      <c r="E13" s="41" t="s">
        <v>274</v>
      </c>
      <c r="F13" s="42" t="s">
        <v>307</v>
      </c>
      <c r="G13" s="43">
        <v>90.48966583333332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308</v>
      </c>
      <c r="E14" s="41" t="s">
        <v>274</v>
      </c>
      <c r="F14" s="42" t="s">
        <v>368</v>
      </c>
      <c r="G14" s="43">
        <v>140.0258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309</v>
      </c>
      <c r="E15" s="41" t="s">
        <v>274</v>
      </c>
      <c r="F15" s="42" t="s">
        <v>363</v>
      </c>
      <c r="G15" s="43">
        <v>162.51687916666666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78"/>
      <c r="C16" s="359" t="s">
        <v>310</v>
      </c>
      <c r="D16" s="41" t="s">
        <v>364</v>
      </c>
      <c r="E16" s="41" t="s">
        <v>274</v>
      </c>
      <c r="F16" s="42" t="s">
        <v>365</v>
      </c>
      <c r="G16" s="43">
        <v>0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366</v>
      </c>
      <c r="E17" s="41" t="s">
        <v>274</v>
      </c>
      <c r="F17" s="42" t="s">
        <v>311</v>
      </c>
      <c r="G17" s="43">
        <v>19.226074583333332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312</v>
      </c>
      <c r="E18" s="41" t="s">
        <v>274</v>
      </c>
      <c r="F18" s="42" t="s">
        <v>367</v>
      </c>
      <c r="G18" s="43">
        <v>0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313</v>
      </c>
      <c r="E19" s="41" t="s">
        <v>274</v>
      </c>
      <c r="F19" s="42" t="s">
        <v>314</v>
      </c>
      <c r="G19" s="43">
        <v>18.0988075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315</v>
      </c>
      <c r="D20" s="41" t="s">
        <v>83</v>
      </c>
      <c r="E20" s="41" t="s">
        <v>271</v>
      </c>
      <c r="F20" s="49" t="s">
        <v>76</v>
      </c>
      <c r="G20" s="43">
        <v>33.3425</v>
      </c>
      <c r="H20" s="50" t="s">
        <v>316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78"/>
      <c r="C22" s="359"/>
      <c r="D22" s="41" t="s">
        <v>317</v>
      </c>
      <c r="E22" s="48" t="s">
        <v>4</v>
      </c>
      <c r="F22" s="49" t="s">
        <v>76</v>
      </c>
      <c r="G22" s="43">
        <v>7.055</v>
      </c>
      <c r="H22" s="50" t="s">
        <v>316</v>
      </c>
      <c r="I22" s="48" t="s">
        <v>4</v>
      </c>
      <c r="J22" s="46"/>
    </row>
    <row r="23" spans="2:10" x14ac:dyDescent="0.25">
      <c r="B23" s="378"/>
      <c r="C23" s="359"/>
      <c r="D23" s="41" t="s">
        <v>159</v>
      </c>
      <c r="E23" s="41" t="s">
        <v>296</v>
      </c>
      <c r="F23" s="49" t="s">
        <v>76</v>
      </c>
      <c r="G23" s="43">
        <v>25.523333333333333</v>
      </c>
      <c r="H23" s="50" t="s">
        <v>316</v>
      </c>
      <c r="I23" s="48" t="s">
        <v>4</v>
      </c>
      <c r="J23" s="46"/>
    </row>
    <row r="24" spans="2:10" x14ac:dyDescent="0.25">
      <c r="B24" s="379"/>
      <c r="C24" s="359"/>
      <c r="D24" s="41" t="s">
        <v>160</v>
      </c>
      <c r="E24" s="41" t="s">
        <v>296</v>
      </c>
      <c r="F24" s="49" t="s">
        <v>76</v>
      </c>
      <c r="G24" s="43">
        <v>8.78</v>
      </c>
      <c r="H24" s="50" t="s">
        <v>316</v>
      </c>
      <c r="I24" s="48" t="s">
        <v>4</v>
      </c>
      <c r="J24" s="46"/>
    </row>
    <row r="25" spans="2:10" x14ac:dyDescent="0.25">
      <c r="B25" s="363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323</v>
      </c>
      <c r="D26" s="41" t="s">
        <v>10</v>
      </c>
      <c r="E26" s="41" t="s">
        <v>271</v>
      </c>
      <c r="F26" s="42">
        <v>7</v>
      </c>
      <c r="G26" s="43">
        <v>111</v>
      </c>
      <c r="H26" s="44">
        <f>(G26-F26)</f>
        <v>-7</v>
      </c>
      <c r="I26" s="48" t="s">
        <v>271</v>
      </c>
      <c r="J26" s="46"/>
    </row>
    <row r="27" spans="2:10" x14ac:dyDescent="0.25">
      <c r="B27" s="363"/>
      <c r="C27" s="359"/>
      <c r="D27" s="41" t="s">
        <v>324</v>
      </c>
      <c r="E27" s="41" t="s">
        <v>271</v>
      </c>
      <c r="F27" s="42">
        <v>15</v>
      </c>
      <c r="G27" s="43">
        <v>222</v>
      </c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63"/>
      <c r="C28" s="359"/>
      <c r="D28" s="41" t="s">
        <v>325</v>
      </c>
      <c r="E28" s="41" t="s">
        <v>271</v>
      </c>
      <c r="F28" s="42">
        <v>4</v>
      </c>
      <c r="G28" s="43">
        <v>333</v>
      </c>
      <c r="H28" s="44">
        <f t="shared" si="0"/>
        <v>-4</v>
      </c>
      <c r="I28" s="48" t="s">
        <v>271</v>
      </c>
      <c r="J28" s="46"/>
    </row>
    <row r="29" spans="2:10" x14ac:dyDescent="0.25">
      <c r="B29" s="363"/>
      <c r="C29" s="359"/>
      <c r="D29" s="41" t="s">
        <v>159</v>
      </c>
      <c r="E29" s="41" t="s">
        <v>271</v>
      </c>
      <c r="F29" s="42">
        <v>7</v>
      </c>
      <c r="G29" s="43">
        <v>444</v>
      </c>
      <c r="H29" s="44">
        <f t="shared" si="0"/>
        <v>-7</v>
      </c>
      <c r="I29" s="48" t="s">
        <v>271</v>
      </c>
      <c r="J29" s="46"/>
    </row>
    <row r="30" spans="2:10" x14ac:dyDescent="0.25">
      <c r="B30" s="363"/>
      <c r="C30" s="359"/>
      <c r="D30" s="41" t="s">
        <v>160</v>
      </c>
      <c r="E30" s="41" t="s">
        <v>271</v>
      </c>
      <c r="F30" s="42">
        <v>7</v>
      </c>
      <c r="G30" s="43">
        <v>555</v>
      </c>
      <c r="H30" s="44">
        <f t="shared" si="0"/>
        <v>-7</v>
      </c>
      <c r="I30" s="48" t="s">
        <v>271</v>
      </c>
      <c r="J30" s="46"/>
    </row>
    <row r="31" spans="2:10" x14ac:dyDescent="0.25">
      <c r="B31" s="363"/>
      <c r="C31" s="359"/>
      <c r="D31" s="41" t="s">
        <v>326</v>
      </c>
      <c r="E31" s="41" t="s">
        <v>327</v>
      </c>
      <c r="F31" s="42">
        <v>10</v>
      </c>
      <c r="G31" s="43">
        <v>666</v>
      </c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4"/>
      <c r="C32" s="365"/>
      <c r="D32" s="51" t="s">
        <v>275</v>
      </c>
      <c r="E32" s="51" t="s">
        <v>271</v>
      </c>
      <c r="F32" s="52">
        <v>50</v>
      </c>
      <c r="G32" s="53">
        <v>777</v>
      </c>
      <c r="H32" s="44">
        <f>(G32-F32)</f>
        <v>-50</v>
      </c>
      <c r="I32" s="48" t="s">
        <v>271</v>
      </c>
      <c r="J32" s="54"/>
    </row>
    <row r="33" spans="2:10" x14ac:dyDescent="0.25">
      <c r="B33" s="366" t="s">
        <v>328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2026-06-08T06:08:17Z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