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0.xml" ContentType="application/vnd.ms-office.chartcolorstyle+xml"/>
  <Override PartName="/xl/charts/colors21.xml" ContentType="application/vnd.ms-office.chartcolorstyle+xml"/>
  <Override PartName="/xl/charts/colors22.xml" ContentType="application/vnd.ms-office.chartcolorstyle+xml"/>
  <Override PartName="/xl/charts/colors23.xml" ContentType="application/vnd.ms-office.chartcolorstyle+xml"/>
  <Override PartName="/xl/charts/colors24.xml" ContentType="application/vnd.ms-office.chartcolorstyle+xml"/>
  <Override PartName="/xl/charts/colors25.xml" ContentType="application/vnd.ms-office.chartcolorstyle+xml"/>
  <Override PartName="/xl/charts/colors26.xml" ContentType="application/vnd.ms-office.chartcolorstyle+xml"/>
  <Override PartName="/xl/charts/colors27.xml" ContentType="application/vnd.ms-office.chartcolorstyle+xml"/>
  <Override PartName="/xl/charts/colors28.xml" ContentType="application/vnd.ms-office.chartcolorstyle+xml"/>
  <Override PartName="/xl/charts/colors29.xml" ContentType="application/vnd.ms-office.chartcolorstyle+xml"/>
  <Override PartName="/xl/charts/colors30.xml" ContentType="application/vnd.ms-office.chartcolorstyle+xml"/>
  <Override PartName="/xl/charts/colors31.xml" ContentType="application/vnd.ms-office.chartcolorstyle+xml"/>
  <Override PartName="/xl/charts/colors32.xml" ContentType="application/vnd.ms-office.chartcolorstyle+xml"/>
  <Override PartName="/xl/charts/colors33.xml" ContentType="application/vnd.ms-office.chartcolorstyle+xml"/>
  <Override PartName="/xl/charts/colors34.xml" ContentType="application/vnd.ms-office.chartcolorstyle+xml"/>
  <Override PartName="/xl/charts/colors35.xml" ContentType="application/vnd.ms-office.chartcolorstyle+xml"/>
  <Override PartName="/xl/charts/colors36.xml" ContentType="application/vnd.ms-office.chartcolorstyle+xml"/>
  <Override PartName="/xl/charts/colors37.xml" ContentType="application/vnd.ms-office.chartcolorstyle+xml"/>
  <Override PartName="/xl/charts/colors38.xml" ContentType="application/vnd.ms-office.chartcolorstyle+xml"/>
  <Override PartName="/xl/charts/colors39.xml" ContentType="application/vnd.ms-office.chartcolorstyle+xml"/>
  <Override PartName="/xl/charts/colors40.xml" ContentType="application/vnd.ms-office.chartcolorstyle+xml"/>
  <Override PartName="/xl/charts/colors41.xml" ContentType="application/vnd.ms-office.chartcolorstyle+xml"/>
  <Override PartName="/xl/charts/colors42.xml" ContentType="application/vnd.ms-office.chartcolorstyle+xml"/>
  <Override PartName="/xl/charts/colors43.xml" ContentType="application/vnd.ms-office.chartcolorstyle+xml"/>
  <Override PartName="/xl/charts/colors44.xml" ContentType="application/vnd.ms-office.chartcolorstyle+xml"/>
  <Override PartName="/xl/charts/colors45.xml" ContentType="application/vnd.ms-office.chartcolorstyle+xml"/>
  <Override PartName="/xl/charts/colors46.xml" ContentType="application/vnd.ms-office.chartcolorstyle+xml"/>
  <Override PartName="/xl/charts/colors47.xml" ContentType="application/vnd.ms-office.chartcolorstyle+xml"/>
  <Override PartName="/xl/charts/colors48.xml" ContentType="application/vnd.ms-office.chartcolorstyle+xml"/>
  <Override PartName="/xl/charts/colors49.xml" ContentType="application/vnd.ms-office.chartcolorstyle+xml"/>
  <Override PartName="/xl/charts/colors50.xml" ContentType="application/vnd.ms-office.chartcolorstyle+xml"/>
  <Override PartName="/xl/charts/colors51.xml" ContentType="application/vnd.ms-office.chartcolorstyle+xml"/>
  <Override PartName="/xl/charts/colors52.xml" ContentType="application/vnd.ms-office.chartcolorstyle+xml"/>
  <Override PartName="/xl/charts/colors53.xml" ContentType="application/vnd.ms-office.chartcolorstyle+xml"/>
  <Override PartName="/xl/charts/colors54.xml" ContentType="application/vnd.ms-office.chartcolorstyle+xml"/>
  <Override PartName="/xl/charts/colors55.xml" ContentType="application/vnd.ms-office.chartcolorstyle+xml"/>
  <Override PartName="/xl/charts/colors56.xml" ContentType="application/vnd.ms-office.chartcolorstyle+xml"/>
  <Override PartName="/xl/charts/colors57.xml" ContentType="application/vnd.ms-office.chartcolorstyle+xml"/>
  <Override PartName="/xl/charts/colors58.xml" ContentType="application/vnd.ms-office.chartcolorstyle+xml"/>
  <Override PartName="/xl/charts/colors59.xml" ContentType="application/vnd.ms-office.chartcolorstyle+xml"/>
  <Override PartName="/xl/charts/colors60.xml" ContentType="application/vnd.ms-office.chartcolorstyle+xml"/>
  <Override PartName="/xl/charts/colors61.xml" ContentType="application/vnd.ms-office.chartcolorstyle+xml"/>
  <Override PartName="/xl/charts/colors62.xml" ContentType="application/vnd.ms-office.chartcolorstyle+xml"/>
  <Override PartName="/xl/charts/colors63.xml" ContentType="application/vnd.ms-office.chartcolorstyle+xml"/>
  <Override PartName="/xl/charts/colors64.xml" ContentType="application/vnd.ms-office.chartcolorstyle+xml"/>
  <Override PartName="/xl/charts/colors65.xml" ContentType="application/vnd.ms-office.chartcolorstyle+xml"/>
  <Override PartName="/xl/charts/colors66.xml" ContentType="application/vnd.ms-office.chartcolorstyle+xml"/>
  <Override PartName="/xl/charts/colors67.xml" ContentType="application/vnd.ms-office.chartcolorstyle+xml"/>
  <Override PartName="/xl/charts/colors68.xml" ContentType="application/vnd.ms-office.chartcolorstyle+xml"/>
  <Override PartName="/xl/charts/colors69.xml" ContentType="application/vnd.ms-office.chartcolorstyle+xml"/>
  <Override PartName="/xl/charts/colors70.xml" ContentType="application/vnd.ms-office.chartcolorstyle+xml"/>
  <Override PartName="/xl/charts/colors71.xml" ContentType="application/vnd.ms-office.chartcolorstyle+xml"/>
  <Override PartName="/xl/charts/colors72.xml" ContentType="application/vnd.ms-office.chartcolorstyle+xml"/>
  <Override PartName="/xl/charts/colors73.xml" ContentType="application/vnd.ms-office.chartcolorstyle+xml"/>
  <Override PartName="/xl/charts/colors74.xml" ContentType="application/vnd.ms-office.chartcolorstyle+xml"/>
  <Override PartName="/xl/charts/colors75.xml" ContentType="application/vnd.ms-office.chartcolorstyle+xml"/>
  <Override PartName="/xl/charts/colors76.xml" ContentType="application/vnd.ms-office.chartcolorstyle+xml"/>
  <Override PartName="/xl/charts/colors77.xml" ContentType="application/vnd.ms-office.chartcolorstyle+xml"/>
  <Override PartName="/xl/charts/colors78.xml" ContentType="application/vnd.ms-office.chartcolorstyle+xml"/>
  <Override PartName="/xl/charts/colors79.xml" ContentType="application/vnd.ms-office.chartcolorstyle+xml"/>
  <Override PartName="/xl/charts/colors80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0.xml" ContentType="application/vnd.ms-office.chartstyle+xml"/>
  <Override PartName="/xl/charts/style21.xml" ContentType="application/vnd.ms-office.chartstyle+xml"/>
  <Override PartName="/xl/charts/style22.xml" ContentType="application/vnd.ms-office.chartstyle+xml"/>
  <Override PartName="/xl/charts/style23.xml" ContentType="application/vnd.ms-office.chartstyle+xml"/>
  <Override PartName="/xl/charts/style24.xml" ContentType="application/vnd.ms-office.chartstyle+xml"/>
  <Override PartName="/xl/charts/style25.xml" ContentType="application/vnd.ms-office.chartstyle+xml"/>
  <Override PartName="/xl/charts/style26.xml" ContentType="application/vnd.ms-office.chartstyle+xml"/>
  <Override PartName="/xl/charts/style27.xml" ContentType="application/vnd.ms-office.chartstyle+xml"/>
  <Override PartName="/xl/charts/style28.xml" ContentType="application/vnd.ms-office.chartstyle+xml"/>
  <Override PartName="/xl/charts/style29.xml" ContentType="application/vnd.ms-office.chartstyle+xml"/>
  <Override PartName="/xl/charts/style30.xml" ContentType="application/vnd.ms-office.chartstyle+xml"/>
  <Override PartName="/xl/charts/style31.xml" ContentType="application/vnd.ms-office.chartstyle+xml"/>
  <Override PartName="/xl/charts/style32.xml" ContentType="application/vnd.ms-office.chartstyle+xml"/>
  <Override PartName="/xl/charts/style33.xml" ContentType="application/vnd.ms-office.chartstyle+xml"/>
  <Override PartName="/xl/charts/style34.xml" ContentType="application/vnd.ms-office.chartstyle+xml"/>
  <Override PartName="/xl/charts/style35.xml" ContentType="application/vnd.ms-office.chartstyle+xml"/>
  <Override PartName="/xl/charts/style36.xml" ContentType="application/vnd.ms-office.chartstyle+xml"/>
  <Override PartName="/xl/charts/style37.xml" ContentType="application/vnd.ms-office.chartstyle+xml"/>
  <Override PartName="/xl/charts/style38.xml" ContentType="application/vnd.ms-office.chartstyle+xml"/>
  <Override PartName="/xl/charts/style39.xml" ContentType="application/vnd.ms-office.chartstyle+xml"/>
  <Override PartName="/xl/charts/style40.xml" ContentType="application/vnd.ms-office.chartstyle+xml"/>
  <Override PartName="/xl/charts/style41.xml" ContentType="application/vnd.ms-office.chartstyle+xml"/>
  <Override PartName="/xl/charts/style42.xml" ContentType="application/vnd.ms-office.chartstyle+xml"/>
  <Override PartName="/xl/charts/style43.xml" ContentType="application/vnd.ms-office.chartstyle+xml"/>
  <Override PartName="/xl/charts/style44.xml" ContentType="application/vnd.ms-office.chartstyle+xml"/>
  <Override PartName="/xl/charts/style45.xml" ContentType="application/vnd.ms-office.chartstyle+xml"/>
  <Override PartName="/xl/charts/style46.xml" ContentType="application/vnd.ms-office.chartstyle+xml"/>
  <Override PartName="/xl/charts/style47.xml" ContentType="application/vnd.ms-office.chartstyle+xml"/>
  <Override PartName="/xl/charts/style48.xml" ContentType="application/vnd.ms-office.chartstyle+xml"/>
  <Override PartName="/xl/charts/style49.xml" ContentType="application/vnd.ms-office.chartstyle+xml"/>
  <Override PartName="/xl/charts/style50.xml" ContentType="application/vnd.ms-office.chartstyle+xml"/>
  <Override PartName="/xl/charts/style51.xml" ContentType="application/vnd.ms-office.chartstyle+xml"/>
  <Override PartName="/xl/charts/style52.xml" ContentType="application/vnd.ms-office.chartstyle+xml"/>
  <Override PartName="/xl/charts/style53.xml" ContentType="application/vnd.ms-office.chartstyle+xml"/>
  <Override PartName="/xl/charts/style54.xml" ContentType="application/vnd.ms-office.chartstyle+xml"/>
  <Override PartName="/xl/charts/style55.xml" ContentType="application/vnd.ms-office.chartstyle+xml"/>
  <Override PartName="/xl/charts/style56.xml" ContentType="application/vnd.ms-office.chartstyle+xml"/>
  <Override PartName="/xl/charts/style57.xml" ContentType="application/vnd.ms-office.chartstyle+xml"/>
  <Override PartName="/xl/charts/style58.xml" ContentType="application/vnd.ms-office.chartstyle+xml"/>
  <Override PartName="/xl/charts/style59.xml" ContentType="application/vnd.ms-office.chartstyle+xml"/>
  <Override PartName="/xl/charts/style60.xml" ContentType="application/vnd.ms-office.chartstyle+xml"/>
  <Override PartName="/xl/charts/style61.xml" ContentType="application/vnd.ms-office.chartstyle+xml"/>
  <Override PartName="/xl/charts/style62.xml" ContentType="application/vnd.ms-office.chartstyle+xml"/>
  <Override PartName="/xl/charts/style63.xml" ContentType="application/vnd.ms-office.chartstyle+xml"/>
  <Override PartName="/xl/charts/style64.xml" ContentType="application/vnd.ms-office.chartstyle+xml"/>
  <Override PartName="/xl/charts/style65.xml" ContentType="application/vnd.ms-office.chartstyle+xml"/>
  <Override PartName="/xl/charts/style66.xml" ContentType="application/vnd.ms-office.chartstyle+xml"/>
  <Override PartName="/xl/charts/style67.xml" ContentType="application/vnd.ms-office.chartstyle+xml"/>
  <Override PartName="/xl/charts/style68.xml" ContentType="application/vnd.ms-office.chartstyle+xml"/>
  <Override PartName="/xl/charts/style69.xml" ContentType="application/vnd.ms-office.chartstyle+xml"/>
  <Override PartName="/xl/charts/style70.xml" ContentType="application/vnd.ms-office.chartstyle+xml"/>
  <Override PartName="/xl/charts/style71.xml" ContentType="application/vnd.ms-office.chartstyle+xml"/>
  <Override PartName="/xl/charts/style72.xml" ContentType="application/vnd.ms-office.chartstyle+xml"/>
  <Override PartName="/xl/charts/style73.xml" ContentType="application/vnd.ms-office.chartstyle+xml"/>
  <Override PartName="/xl/charts/style74.xml" ContentType="application/vnd.ms-office.chartstyle+xml"/>
  <Override PartName="/xl/charts/style75.xml" ContentType="application/vnd.ms-office.chartstyle+xml"/>
  <Override PartName="/xl/charts/style76.xml" ContentType="application/vnd.ms-office.chartstyle+xml"/>
  <Override PartName="/xl/charts/style77.xml" ContentType="application/vnd.ms-office.chartstyle+xml"/>
  <Override PartName="/xl/charts/style78.xml" ContentType="application/vnd.ms-office.chartstyle+xml"/>
  <Override PartName="/xl/charts/style79.xml" ContentType="application/vnd.ms-office.chartstyle+xml"/>
  <Override PartName="/xl/charts/style80.xml" ContentType="application/vnd.ms-office.chart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bookViews>
    <workbookView xWindow="-120" yWindow="-16320" windowWidth="29040" windowHeight="15720" activeTab="5"/>
  </bookViews>
  <sheets>
    <sheet name="白班过程记录" sheetId="4" r:id="rId1"/>
    <sheet name="白班曲线" sheetId="8" r:id="rId2"/>
    <sheet name="夜班过程记录" sheetId="9" r:id="rId3"/>
    <sheet name="夜班曲线" sheetId="10" r:id="rId4"/>
    <sheet name="台账" sheetId="11" r:id="rId5"/>
    <sheet name="日报表" sheetId="12" r:id="rId6"/>
  </sheets>
  <definedNames>
    <definedName name="_xlnm.Print_Area" localSheetId="1"><![CDATA[白班曲线!$A$1:$BE$69]]></definedName>
    <definedName name="_xlnm.Print_Area" localSheetId="4"><![CDATA[台账!#REF!]]></definedName>
  </definedNames>
  <calcPr calcId="191029"/>
</workbook>
</file>

<file path=xl/calcChain.xml><?xml version="1.0" encoding="utf-8"?>
<calcChain xmlns="http://schemas.openxmlformats.org/spreadsheetml/2006/main">
  <c r="B66" i="10" l="1"/>
  <c r="N6" i="11"/>
  <c r="B66" i="8"/>
  <c r="T6" i="11"/>
  <c r="Q6" i="11"/>
  <c r="H11" i="11"/>
  <c r="H10" i="11"/>
  <c r="M9" i="11"/>
  <c r="H9" i="11"/>
  <c r="I9" i="11" s="1"/>
  <c r="G9" i="11"/>
  <c r="H8" i="11"/>
  <c r="H7" i="11"/>
  <c r="M6" i="11"/>
  <c r="H6" i="11"/>
  <c r="G6" i="11"/>
  <c r="N9" i="11" l="1"/>
  <c r="I6" i="11"/>
  <c r="O9" i="11"/>
  <c r="J6" i="11"/>
  <c r="J9" i="11" s="1"/>
  <c r="O6" i="11"/>
  <c r="H32" i="12" l="1"/>
  <c r="H31" i="12"/>
  <c r="H30" i="12"/>
  <c r="H29" i="12"/>
  <c r="H28" i="12"/>
  <c r="H27" i="12"/>
  <c r="H26" i="12"/>
  <c r="H25" i="12"/>
  <c r="H19" i="12"/>
  <c r="H18" i="12"/>
  <c r="H17" i="12"/>
  <c r="H16" i="12"/>
  <c r="H15" i="12"/>
  <c r="H14" i="12"/>
  <c r="H13" i="12"/>
  <c r="H12" i="12"/>
  <c r="H10" i="12"/>
  <c r="H9" i="12"/>
  <c r="H8" i="12"/>
  <c r="H7" i="12"/>
  <c r="H6" i="12"/>
  <c r="H5" i="12"/>
</calcChain>
</file>

<file path=xl/comments1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sharedStrings.xml><?xml version="1.0" encoding="utf-8"?>
<sst xmlns="http://schemas.openxmlformats.org/spreadsheetml/2006/main" count="881" uniqueCount="370">
  <si>
    <t xml:space="preserve">LT-04441
(%)</t>
    <phoneticPr fontId="1" type="noConversion"/>
  </si>
  <si>
    <t xml:space="preserve">压力</t>
    <phoneticPr fontId="1" type="noConversion"/>
  </si>
  <si>
    <t xml:space="preserve">瞬时流量</t>
    <phoneticPr fontId="1" type="noConversion"/>
  </si>
  <si>
    <t xml:space="preserve">累计量</t>
    <phoneticPr fontId="1" type="noConversion"/>
  </si>
  <si>
    <t xml:space="preserve">/</t>
    <phoneticPr fontId="1" type="noConversion"/>
  </si>
  <si>
    <t xml:space="preserve">8:00</t>
    <phoneticPr fontId="1" type="noConversion"/>
  </si>
  <si>
    <t xml:space="preserve">气化温度</t>
    <phoneticPr fontId="1" type="noConversion"/>
  </si>
  <si>
    <t xml:space="preserve">气氨流量
FT-05141</t>
    <phoneticPr fontId="1" type="noConversion"/>
  </si>
  <si>
    <t xml:space="preserve">液氨气化</t>
    <phoneticPr fontId="1" type="noConversion"/>
  </si>
  <si>
    <t xml:space="preserve">预热后
温度</t>
    <phoneticPr fontId="1" type="noConversion"/>
  </si>
  <si>
    <t xml:space="preserve">羟基乙腈</t>
    <phoneticPr fontId="1" type="noConversion"/>
  </si>
  <si>
    <t xml:space="preserve">反应前</t>
    <phoneticPr fontId="1" type="noConversion"/>
  </si>
  <si>
    <t xml:space="preserve">温度</t>
    <phoneticPr fontId="1" type="noConversion"/>
  </si>
  <si>
    <t xml:space="preserve">反应中</t>
    <phoneticPr fontId="1" type="noConversion"/>
  </si>
  <si>
    <t xml:space="preserve">反应后</t>
    <phoneticPr fontId="1" type="noConversion"/>
  </si>
  <si>
    <t xml:space="preserve">液位</t>
    <phoneticPr fontId="1" type="noConversion"/>
  </si>
  <si>
    <t xml:space="preserve">闪发器</t>
    <phoneticPr fontId="1" type="noConversion"/>
  </si>
  <si>
    <t xml:space="preserve">冷凝液罐</t>
    <phoneticPr fontId="1" type="noConversion"/>
  </si>
  <si>
    <t xml:space="preserve">稀硫酸中和</t>
    <phoneticPr fontId="1" type="noConversion"/>
  </si>
  <si>
    <t xml:space="preserve">白班</t>
    <phoneticPr fontId="1" type="noConversion"/>
  </si>
  <si>
    <t xml:space="preserve">特殊
情况
说明</t>
    <phoneticPr fontId="1" type="noConversion"/>
  </si>
  <si>
    <t xml:space="preserve">AT-06111</t>
    <phoneticPr fontId="1" type="noConversion"/>
  </si>
  <si>
    <t xml:space="preserve">一次结晶分离</t>
    <phoneticPr fontId="1" type="noConversion"/>
  </si>
  <si>
    <t xml:space="preserve">TT-07152</t>
    <phoneticPr fontId="1" type="noConversion"/>
  </si>
  <si>
    <t xml:space="preserve">气相温度</t>
    <phoneticPr fontId="1" type="noConversion"/>
  </si>
  <si>
    <t xml:space="preserve">液相温度</t>
    <phoneticPr fontId="1" type="noConversion"/>
  </si>
  <si>
    <t xml:space="preserve">TT-07151</t>
    <phoneticPr fontId="1" type="noConversion"/>
  </si>
  <si>
    <t xml:space="preserve">TT-07126</t>
    <phoneticPr fontId="1" type="noConversion"/>
  </si>
  <si>
    <t xml:space="preserve">循环频率</t>
    <phoneticPr fontId="1" type="noConversion"/>
  </si>
  <si>
    <t xml:space="preserve">SIC-07P01</t>
    <phoneticPr fontId="1" type="noConversion"/>
  </si>
  <si>
    <t xml:space="preserve">一次母液进料</t>
    <phoneticPr fontId="1" type="noConversion"/>
  </si>
  <si>
    <t xml:space="preserve">脱色液进料</t>
    <phoneticPr fontId="1" type="noConversion"/>
  </si>
  <si>
    <t xml:space="preserve">温度
TT-09171</t>
    <phoneticPr fontId="1" type="noConversion"/>
  </si>
  <si>
    <t xml:space="preserve">真空水箱
液位</t>
    <phoneticPr fontId="1" type="noConversion"/>
  </si>
  <si>
    <t xml:space="preserve">真空泵
水温</t>
    <phoneticPr fontId="1" type="noConversion"/>
  </si>
  <si>
    <t xml:space="preserve">低蒸结晶器</t>
    <phoneticPr fontId="1" type="noConversion"/>
  </si>
  <si>
    <t xml:space="preserve">LT-08181</t>
    <phoneticPr fontId="1" type="noConversion"/>
  </si>
  <si>
    <t xml:space="preserve">TT-08171</t>
    <phoneticPr fontId="1" type="noConversion"/>
  </si>
  <si>
    <t xml:space="preserve">SIC-08P01</t>
    <phoneticPr fontId="1" type="noConversion"/>
  </si>
  <si>
    <t xml:space="preserve">FT-08122</t>
    <phoneticPr fontId="1" type="noConversion"/>
  </si>
  <si>
    <t xml:space="preserve">FT-08132</t>
    <phoneticPr fontId="1" type="noConversion"/>
  </si>
  <si>
    <t xml:space="preserve">废液槽</t>
    <phoneticPr fontId="1" type="noConversion"/>
  </si>
  <si>
    <t xml:space="preserve">一次清洗水箱</t>
    <phoneticPr fontId="1" type="noConversion"/>
  </si>
  <si>
    <t xml:space="preserve">二次清洗水箱</t>
    <phoneticPr fontId="1" type="noConversion"/>
  </si>
  <si>
    <t xml:space="preserve">20:00</t>
    <phoneticPr fontId="1" type="noConversion"/>
  </si>
  <si>
    <t xml:space="preserve">氨+汽
混合温度</t>
    <phoneticPr fontId="1" type="noConversion"/>
  </si>
  <si>
    <t xml:space="preserve">配料罐
液位</t>
    <phoneticPr fontId="1" type="noConversion"/>
  </si>
  <si>
    <t xml:space="preserve">羟基乙腈
温度</t>
    <phoneticPr fontId="1" type="noConversion"/>
  </si>
  <si>
    <r>
      <t xml:space="preserve">TT-04751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</si>
  <si>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AT-04112
(g/L)</t>
    <phoneticPr fontId="1" type="noConversion"/>
  </si>
  <si>
    <t xml:space="preserve">原料
浓度</t>
    <phoneticPr fontId="1" type="noConversion"/>
  </si>
  <si>
    <t xml:space="preserve">原料
累计</t>
    <phoneticPr fontId="1" type="noConversion"/>
  </si>
  <si>
    <t xml:space="preserve">FQ-04111
(m3)</t>
    <phoneticPr fontId="1" type="noConversion"/>
  </si>
  <si>
    <t xml:space="preserve">脱盐水
累计</t>
    <phoneticPr fontId="1" type="noConversion"/>
  </si>
  <si>
    <t xml:space="preserve">FQ-04113
(m3)</t>
    <phoneticPr fontId="1" type="noConversion"/>
  </si>
  <si>
    <t xml:space="preserve"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</si>
  <si>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 xml:space="preserve">FT-05112</t>
    </r>
    <phoneticPr fontId="1" type="noConversion"/>
  </si>
  <si>
    <r>
      <rPr>
        <sz val="6"/>
        <rFont val="宋体"/>
        <family val="1"/>
        <charset val="134"/>
      </rPr>
      <t xml:space="preserve">瞬时流量（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</si>
  <si>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kg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</si>
  <si>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</si>
  <si>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气化压力</t>
    <phoneticPr fontId="1" type="noConversion"/>
  </si>
  <si>
    <t xml:space="preserve">PT-05115
(Mpa)</t>
    <phoneticPr fontId="1" type="noConversion"/>
  </si>
  <si>
    <r>
      <t xml:space="preserve">TT-05121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</si>
  <si>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TT-05131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</si>
  <si>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</si>
  <si>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配料蒸汽流量
（</t>
    </r>
    <r>
      <rPr>
        <sz val="6"/>
        <rFont val="Times New Roman"/>
        <family val="1"/>
      </rPr>
      <t xml:space="preserve">FT-05142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</si>
  <si>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</si>
  <si>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</si>
  <si>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TT-05143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</si>
  <si>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羟基乙腈
进料压力</t>
    <phoneticPr fontId="1" type="noConversion"/>
  </si>
  <si>
    <t xml:space="preserve">PT-05212
(Mpa)</t>
    <phoneticPr fontId="1" type="noConversion"/>
  </si>
  <si>
    <t xml:space="preserve">（氨+汽）混合</t>
    <phoneticPr fontId="1" type="noConversion"/>
  </si>
  <si>
    <r>
      <rPr>
        <sz val="6"/>
        <rFont val="宋体"/>
        <family val="1"/>
        <charset val="134"/>
      </rPr>
      <t xml:space="preserve">羟基乙腈进料流量
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</si>
  <si>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TT-05214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</si>
  <si>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摩尔比
（气氨/羟基乙腈）</t>
    <phoneticPr fontId="1" type="noConversion"/>
  </si>
  <si>
    <t xml:space="preserve">AT-05140</t>
    <phoneticPr fontId="1" type="noConversion"/>
  </si>
  <si>
    <t xml:space="preserve">/</t>
  </si>
  <si>
    <t xml:space="preserve">PT-05311
(Mpa)</t>
    <phoneticPr fontId="1" type="noConversion"/>
  </si>
  <si>
    <r>
      <t xml:space="preserve">TT-05312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</si>
  <si>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TT-05300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</si>
  <si>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PT-05317
(Mpa)</t>
    <phoneticPr fontId="1" type="noConversion"/>
  </si>
  <si>
    <r>
      <t xml:space="preserve">TT-05316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</si>
  <si>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反应液检测数据</t>
    <phoneticPr fontId="1" type="noConversion"/>
  </si>
  <si>
    <t xml:space="preserve">二乙腈含量</t>
    <phoneticPr fontId="1" type="noConversion"/>
  </si>
  <si>
    <t xml:space="preserve">化分
（%）</t>
    <phoneticPr fontId="1" type="noConversion"/>
  </si>
  <si>
    <t xml:space="preserve">色谱
（%）</t>
    <phoneticPr fontId="1" type="noConversion"/>
  </si>
  <si>
    <t xml:space="preserve">羟基乙腈残余</t>
    <phoneticPr fontId="1" type="noConversion"/>
  </si>
  <si>
    <t xml:space="preserve">（%）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</si>
  <si>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g/L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</si>
  <si>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</si>
  <si>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TT-05324
(℃)</t>
    <phoneticPr fontId="1" type="noConversion"/>
  </si>
  <si>
    <t xml:space="preserve">PT-05325
(MPA)</t>
    <phoneticPr fontId="1" type="noConversion"/>
  </si>
  <si>
    <t xml:space="preserve">瞬时流量
(L/h)</t>
    <phoneticPr fontId="1" type="noConversion"/>
  </si>
  <si>
    <t xml:space="preserve">LT-05344
(%)</t>
    <phoneticPr fontId="1" type="noConversion"/>
  </si>
  <si>
    <t xml:space="preserve">采出流量
FT-05343</t>
    <phoneticPr fontId="1" type="noConversion"/>
  </si>
  <si>
    <t xml:space="preserve">瞬时流量
（L/h）</t>
    <phoneticPr fontId="1" type="noConversion"/>
  </si>
  <si>
    <t xml:space="preserve">累积量
(m3)</t>
    <phoneticPr fontId="1" type="noConversion"/>
  </si>
  <si>
    <t xml:space="preserve">COD</t>
    <phoneticPr fontId="1" type="noConversion"/>
  </si>
  <si>
    <t xml:space="preserve">(mg/L)</t>
    <phoneticPr fontId="1" type="noConversion"/>
  </si>
  <si>
    <t xml:space="preserve"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</si>
  <si>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 xml:space="preserve"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</si>
  <si>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 xml:space="preserve">甲醛</t>
    </r>
    <phoneticPr fontId="1" type="noConversion"/>
  </si>
  <si>
    <t xml:space="preserve">闪发器冷凝液检测数据记录</t>
    <phoneticPr fontId="1" type="noConversion"/>
  </si>
  <si>
    <t xml:space="preserve"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</si>
  <si>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 xml:space="preserve">FT-05411</t>
    </r>
    <phoneticPr fontId="1" type="noConversion"/>
  </si>
  <si>
    <t xml:space="preserve">硫酸桶
液位</t>
  </si>
  <si>
    <t xml:space="preserve">LT-05417
（%）</t>
  </si>
  <si>
    <t xml:space="preserve">真空度</t>
  </si>
  <si>
    <t xml:space="preserve">PT-05332
(Mpa)</t>
  </si>
  <si>
    <t xml:space="preserve">pH</t>
  </si>
  <si>
    <t xml:space="preserve">预冷器
液位</t>
    <phoneticPr fontId="1" type="noConversion"/>
  </si>
  <si>
    <t xml:space="preserve">LT-06945
(%)</t>
    <phoneticPr fontId="1" type="noConversion"/>
  </si>
  <si>
    <t xml:space="preserve">预冷器
温度</t>
    <phoneticPr fontId="1" type="noConversion"/>
  </si>
  <si>
    <t xml:space="preserve">TT-06971
(℃)</t>
    <phoneticPr fontId="1" type="noConversion"/>
  </si>
  <si>
    <t xml:space="preserve">SIC-06P01
(HZ)</t>
    <phoneticPr fontId="1" type="noConversion"/>
  </si>
  <si>
    <t xml:space="preserve">SIC-06P02
(HZ)</t>
    <phoneticPr fontId="1" type="noConversion"/>
  </si>
  <si>
    <t xml:space="preserve">料液pH</t>
    <phoneticPr fontId="1" type="noConversion"/>
  </si>
  <si>
    <t xml:space="preserve">预冷器</t>
    <phoneticPr fontId="1" type="noConversion"/>
  </si>
  <si>
    <t xml:space="preserve">结晶器
温度</t>
    <phoneticPr fontId="1" type="noConversion"/>
  </si>
  <si>
    <t xml:space="preserve">TT-06171
(℃)</t>
    <phoneticPr fontId="1" type="noConversion"/>
  </si>
  <si>
    <t xml:space="preserve">结晶器
液位</t>
    <phoneticPr fontId="1" type="noConversion"/>
  </si>
  <si>
    <t xml:space="preserve">LT-06181
(%)</t>
    <phoneticPr fontId="1" type="noConversion"/>
  </si>
  <si>
    <t xml:space="preserve">FT-06122
(m3/h)</t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</si>
  <si>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</si>
  <si>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</si>
  <si>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</si>
  <si>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</si>
  <si>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</si>
  <si>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</si>
  <si>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t xml:space="preserve">SIC-06P03
(HZ)</t>
    <phoneticPr fontId="1" type="noConversion"/>
  </si>
  <si>
    <t xml:space="preserve">FT-06132
(m3/h)</t>
    <phoneticPr fontId="1" type="noConversion"/>
  </si>
  <si>
    <r>
      <t xml:space="preserve">TT-06135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</si>
  <si>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t xml:space="preserve">TT-06136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</si>
  <si>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t xml:space="preserve">结晶液
密度</t>
    <phoneticPr fontId="1" type="noConversion"/>
  </si>
  <si>
    <t xml:space="preserve">AT-06149
(Kg/m3)</t>
    <phoneticPr fontId="1" type="noConversion"/>
  </si>
  <si>
    <t xml:space="preserve">冷却循环频率A</t>
    <phoneticPr fontId="1" type="noConversion"/>
  </si>
  <si>
    <t xml:space="preserve">冷却循环频率B</t>
    <phoneticPr fontId="1" type="noConversion"/>
  </si>
  <si>
    <t xml:space="preserve">冷却循环流量B</t>
    <phoneticPr fontId="1" type="noConversion"/>
  </si>
  <si>
    <t xml:space="preserve">冷却循环流量A</t>
    <phoneticPr fontId="1" type="noConversion"/>
  </si>
  <si>
    <t xml:space="preserve">物料循环
流量</t>
    <phoneticPr fontId="1" type="noConversion"/>
  </si>
  <si>
    <t xml:space="preserve">AT-06149
(m3/h)</t>
    <phoneticPr fontId="1" type="noConversion"/>
  </si>
  <si>
    <t xml:space="preserve">一次结晶器</t>
    <phoneticPr fontId="1" type="noConversion"/>
  </si>
  <si>
    <t xml:space="preserve">排料流量
FT-06149</t>
    <phoneticPr fontId="1" type="noConversion"/>
  </si>
  <si>
    <t xml:space="preserve">即时流量
（L/h）</t>
    <phoneticPr fontId="1" type="noConversion"/>
  </si>
  <si>
    <t xml:space="preserve">累计量
（m3）</t>
    <phoneticPr fontId="1" type="noConversion"/>
  </si>
  <si>
    <t xml:space="preserve">溢流槽
液位</t>
    <phoneticPr fontId="1" type="noConversion"/>
  </si>
  <si>
    <t xml:space="preserve">LT-06471
(%)</t>
    <phoneticPr fontId="1" type="noConversion"/>
  </si>
  <si>
    <t xml:space="preserve">母液槽
液位</t>
    <phoneticPr fontId="1" type="noConversion"/>
  </si>
  <si>
    <t xml:space="preserve">LT-06524
(%)</t>
    <phoneticPr fontId="1" type="noConversion"/>
  </si>
  <si>
    <t xml:space="preserve">一次分离
产量</t>
    <phoneticPr fontId="1" type="noConversion"/>
  </si>
  <si>
    <t xml:space="preserve">（Kg）</t>
    <phoneticPr fontId="1" type="noConversion"/>
  </si>
  <si>
    <t xml:space="preserve">瞬时
配比</t>
    <phoneticPr fontId="1" type="noConversion"/>
  </si>
  <si>
    <t xml:space="preserve">累计
配比</t>
    <phoneticPr fontId="1" type="noConversion"/>
  </si>
  <si>
    <t xml:space="preserve">热点
温度</t>
    <phoneticPr fontId="1" type="noConversion"/>
  </si>
  <si>
    <t xml:space="preserve">累计量
(m3)</t>
  </si>
  <si>
    <t xml:space="preserve">采出流量
FT-05323</t>
    <phoneticPr fontId="1" type="noConversion"/>
  </si>
  <si>
    <t xml:space="preserve">配后
浓度</t>
    <phoneticPr fontId="1" type="noConversion"/>
  </si>
  <si>
    <t xml:space="preserve">羟基乙腈配料</t>
    <phoneticPr fontId="1" type="noConversion"/>
  </si>
  <si>
    <t xml:space="preserve">一级     加热器
温度</t>
    <phoneticPr fontId="1" type="noConversion"/>
  </si>
  <si>
    <t xml:space="preserve">二级       加热器
温度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</si>
  <si>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</si>
  <si>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</si>
  <si>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高效
分离器</t>
  </si>
  <si>
    <t xml:space="preserve">压力</t>
  </si>
  <si>
    <t xml:space="preserve">PT-05327
(Mpa)</t>
  </si>
  <si>
    <t xml:space="preserve">真空
系统</t>
    <phoneticPr fontId="1" type="noConversion"/>
  </si>
  <si>
    <t xml:space="preserve">硫铵
含量</t>
    <phoneticPr fontId="1" type="noConversion"/>
  </si>
  <si>
    <t xml:space="preserve">一次母液分析数据</t>
    <phoneticPr fontId="1" type="noConversion"/>
  </si>
  <si>
    <t xml:space="preserve">TT-06311
(℃)</t>
    <phoneticPr fontId="1" type="noConversion"/>
  </si>
  <si>
    <t xml:space="preserve">LT-06315
(%)</t>
    <phoneticPr fontId="1" type="noConversion"/>
  </si>
  <si>
    <t xml:space="preserve">TT-07143
(℃)</t>
    <phoneticPr fontId="1" type="noConversion"/>
  </si>
  <si>
    <t xml:space="preserve">LT-07144
(%)</t>
    <phoneticPr fontId="1" type="noConversion"/>
  </si>
  <si>
    <t xml:space="preserve">真空度
PT-07145</t>
    <phoneticPr fontId="1" type="noConversion"/>
  </si>
  <si>
    <t xml:space="preserve">PT-07145
(Mpa)</t>
    <phoneticPr fontId="1" type="noConversion"/>
  </si>
  <si>
    <t xml:space="preserve">低蒸真空系统</t>
    <phoneticPr fontId="1" type="noConversion"/>
  </si>
  <si>
    <t xml:space="preserve">时
间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</si>
  <si>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</si>
  <si>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</si>
  <si>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（℃）</t>
  </si>
  <si>
    <t xml:space="preserve">（℃）</t>
    <phoneticPr fontId="1" type="noConversion"/>
  </si>
  <si>
    <t xml:space="preserve">瞬时流量
FT-06611</t>
    <phoneticPr fontId="1" type="noConversion"/>
  </si>
  <si>
    <t xml:space="preserve">累计量
FQ-06611</t>
    <phoneticPr fontId="1" type="noConversion"/>
  </si>
  <si>
    <t xml:space="preserve">瞬时流量
FT-06524</t>
    <phoneticPr fontId="1" type="noConversion"/>
  </si>
  <si>
    <t xml:space="preserve">累计量
FQ-06524</t>
    <phoneticPr fontId="1" type="noConversion"/>
  </si>
  <si>
    <t xml:space="preserve">(HZ)</t>
    <phoneticPr fontId="1" type="noConversion"/>
  </si>
  <si>
    <t xml:space="preserve">加热温度</t>
    <phoneticPr fontId="1" type="noConversion"/>
  </si>
  <si>
    <t xml:space="preserve"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</si>
  <si>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 xml:space="preserve"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</si>
  <si>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 xml:space="preserve">FQ-07126</t>
    </r>
    <phoneticPr fontId="1" type="noConversion"/>
  </si>
  <si>
    <t xml:space="preserve">(m3/h)</t>
    <phoneticPr fontId="1" type="noConversion"/>
  </si>
  <si>
    <t xml:space="preserve">(m3)</t>
    <phoneticPr fontId="1" type="noConversion"/>
  </si>
  <si>
    <t xml:space="preserve">浓缩液
密度</t>
    <phoneticPr fontId="1" type="noConversion"/>
  </si>
  <si>
    <t xml:space="preserve">(kg/m3)</t>
    <phoneticPr fontId="1" type="noConversion"/>
  </si>
  <si>
    <t xml:space="preserve">低蒸出料
FT-07122</t>
    <phoneticPr fontId="1" type="noConversion"/>
  </si>
  <si>
    <t xml:space="preserve">（m3/h）</t>
    <phoneticPr fontId="1" type="noConversion"/>
  </si>
  <si>
    <t xml:space="preserve">冷凝水采出
FT-07174-2</t>
    <phoneticPr fontId="1" type="noConversion"/>
  </si>
  <si>
    <t xml:space="preserve">冷凝液采出
FT-07174-1</t>
    <phoneticPr fontId="1" type="noConversion"/>
  </si>
  <si>
    <t xml:space="preserve">(%)</t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</si>
  <si>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</si>
  <si>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</si>
  <si>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</si>
  <si>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</si>
  <si>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</rPr>
      <t xml:space="preserve">B</t>
    </r>
    <phoneticPr fontId="1" type="noConversion"/>
  </si>
  <si>
    <t xml:space="preserve">SIC-08P03</t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</si>
  <si>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</si>
  <si>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</si>
  <si>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</rPr>
      <t xml:space="preserve">B</t>
    </r>
    <phoneticPr fontId="1" type="noConversion"/>
  </si>
  <si>
    <t xml:space="preserve">二次
分离</t>
    <phoneticPr fontId="1" type="noConversion"/>
  </si>
  <si>
    <t xml:space="preserve">累计
产量</t>
    <phoneticPr fontId="1" type="noConversion"/>
  </si>
  <si>
    <t xml:space="preserve">(kg)</t>
    <phoneticPr fontId="1" type="noConversion"/>
  </si>
  <si>
    <t xml:space="preserve">二次结晶器/分离</t>
    <phoneticPr fontId="1" type="noConversion"/>
  </si>
  <si>
    <t xml:space="preserve">液位
LT-08522</t>
    <phoneticPr fontId="1" type="noConversion"/>
  </si>
  <si>
    <t xml:space="preserve">排放流量
FT-08523</t>
    <phoneticPr fontId="1" type="noConversion"/>
  </si>
  <si>
    <t xml:space="preserve">排放累计
FQ-08523</t>
    <phoneticPr fontId="1" type="noConversion"/>
  </si>
  <si>
    <t xml:space="preserve">(℃)</t>
    <phoneticPr fontId="1" type="noConversion"/>
  </si>
  <si>
    <t xml:space="preserve">LT-08315</t>
    <phoneticPr fontId="1" type="noConversion"/>
  </si>
  <si>
    <t xml:space="preserve">TT-08311</t>
    <phoneticPr fontId="1" type="noConversion"/>
  </si>
  <si>
    <t xml:space="preserve">脱色数据记录</t>
    <phoneticPr fontId="1" type="noConversion"/>
  </si>
  <si>
    <t xml:space="preserve">脱色前
透光率</t>
    <phoneticPr fontId="1" type="noConversion"/>
  </si>
  <si>
    <t xml:space="preserve">脱色后
透光率</t>
    <phoneticPr fontId="1" type="noConversion"/>
  </si>
  <si>
    <t xml:space="preserve">二乙腈中试生产过程记录表</t>
    <phoneticPr fontId="1" type="noConversion"/>
  </si>
  <si>
    <t xml:space="preserve">循环
频率A</t>
    <phoneticPr fontId="1" type="noConversion"/>
  </si>
  <si>
    <t xml:space="preserve">循环
频率B</t>
    <phoneticPr fontId="1" type="noConversion"/>
  </si>
  <si>
    <t xml:space="preserve">二乙腈中试生产过程曲线</t>
    <phoneticPr fontId="1" type="noConversion"/>
  </si>
  <si>
    <r>
      <rPr>
        <sz val="6"/>
        <rFont val="宋体"/>
        <family val="1"/>
        <charset val="134"/>
      </rPr>
      <t xml:space="preserve">曲线02： 羟基乙腈浓度曲线（</t>
    </r>
    <r>
      <rPr>
        <sz val="6"/>
        <rFont val="Times New Roman"/>
        <family val="1"/>
      </rPr>
      <t xml:space="preserve">AT-04112 + AT-04212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</si>
  <si>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曲线01： 羟基乙腈配料罐温度曲线（</t>
    </r>
    <r>
      <rPr>
        <sz val="6"/>
        <rFont val="Times New Roman"/>
        <family val="1"/>
      </rPr>
      <t xml:space="preserve">TT-04751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</si>
  <si>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曲线04： 液氨汽化器温度曲线（</t>
    </r>
    <r>
      <rPr>
        <sz val="6"/>
        <rFont val="Times New Roman"/>
        <family val="1"/>
      </rPr>
      <t xml:space="preserve">TT-05151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</si>
  <si>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曲线05： 液氨汽化器压力曲线（PT-05115）</t>
    <phoneticPr fontId="1" type="noConversion"/>
  </si>
  <si>
    <r>
      <rPr>
        <sz val="6"/>
        <rFont val="宋体"/>
        <family val="1"/>
        <charset val="134"/>
      </rPr>
      <t xml:space="preserve">曲线06： 气氨一级加热器温度曲线（</t>
    </r>
    <r>
      <rPr>
        <sz val="6"/>
        <rFont val="Times New Roman"/>
        <family val="1"/>
      </rPr>
      <t xml:space="preserve">TT-05121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</si>
  <si>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3"/>
        <charset val="134"/>
      </rPr>
      <t xml:space="preserve">曲线07： 气氨流量曲线（</t>
    </r>
    <r>
      <rPr>
        <sz val="6"/>
        <rFont val="Times New Roman"/>
        <family val="1"/>
      </rPr>
      <t xml:space="preserve">FT-05141</t>
    </r>
    <r>
      <rPr>
        <sz val="6"/>
        <rFont val="宋体"/>
        <family val="3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</si>
  <si>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曲线08： 气氨二级加热器温度曲线（</t>
    </r>
    <r>
      <rPr>
        <sz val="6"/>
        <rFont val="Times New Roman"/>
        <family val="1"/>
      </rPr>
      <t xml:space="preserve">TT-05131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</si>
  <si>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曲线09： 气氨配汽后温度曲线（</t>
    </r>
    <r>
      <rPr>
        <sz val="6"/>
        <rFont val="Times New Roman"/>
        <family val="1"/>
      </rPr>
      <t xml:space="preserve">TT-05143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</si>
  <si>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曲线10： 气氨配汽蒸汽流量曲线（FT-05142）</t>
    <phoneticPr fontId="1" type="noConversion"/>
  </si>
  <si>
    <r>
      <rPr>
        <sz val="6"/>
        <rFont val="宋体"/>
        <family val="1"/>
        <charset val="134"/>
      </rPr>
      <t xml:space="preserve">曲线11： 羟基乙腈温度曲线（</t>
    </r>
    <r>
      <rPr>
        <sz val="6"/>
        <rFont val="Times New Roman"/>
        <family val="1"/>
      </rPr>
      <t xml:space="preserve">FT-05214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</si>
  <si>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曲线12： 羟基乙腈流量曲线（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</si>
  <si>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曲线13： 气氨/羟基乙腈摩尔比曲线（</t>
    </r>
    <r>
      <rPr>
        <sz val="6"/>
        <rFont val="Times New Roman"/>
        <family val="1"/>
      </rPr>
      <t xml:space="preserve">AT-05140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</si>
  <si>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曲线14： 反应前压力曲线（PT-05311）</t>
    <phoneticPr fontId="1" type="noConversion"/>
  </si>
  <si>
    <t xml:space="preserve">曲线15：反应前温度曲线（TT-05312）</t>
    <phoneticPr fontId="1" type="noConversion"/>
  </si>
  <si>
    <r>
      <rPr>
        <sz val="6"/>
        <rFont val="宋体"/>
        <family val="1"/>
        <charset val="134"/>
      </rPr>
      <t xml:space="preserve">曲线16： 反应温度曲线（</t>
    </r>
    <r>
      <rPr>
        <sz val="6"/>
        <rFont val="Times New Roman"/>
        <family val="1"/>
      </rPr>
      <t xml:space="preserve">TT-05300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</si>
  <si>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曲线17： 反应后压力曲线（</t>
    </r>
    <r>
      <rPr>
        <sz val="6"/>
        <rFont val="Times New Roman"/>
        <family val="1"/>
      </rPr>
      <t xml:space="preserve">PT-05317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</si>
  <si>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曲线18： 稀硫酸流量曲线（</t>
    </r>
    <r>
      <rPr>
        <sz val="6"/>
        <rFont val="Times New Roman"/>
        <family val="1"/>
      </rPr>
      <t xml:space="preserve">FT-05411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</si>
  <si>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曲线19： 闪发器pH曲线（AT-05411）</t>
    <phoneticPr fontId="1" type="noConversion"/>
  </si>
  <si>
    <t xml:space="preserve">曲线20： 闪发器温度曲线（TT-05352）</t>
    <phoneticPr fontId="1" type="noConversion"/>
  </si>
  <si>
    <r>
      <rPr>
        <sz val="6"/>
        <rFont val="宋体"/>
        <family val="1"/>
        <charset val="134"/>
      </rPr>
      <t xml:space="preserve">曲线21： 闪发器真空度曲线（</t>
    </r>
    <r>
      <rPr>
        <sz val="6"/>
        <rFont val="Times New Roman"/>
        <family val="1"/>
      </rPr>
      <t xml:space="preserve">PT-05325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</si>
  <si>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曲线22： 预冷器</t>
    </r>
    <r>
      <rPr>
        <sz val="6"/>
        <rFont val="Times New Roman"/>
        <family val="1"/>
      </rPr>
      <t xml:space="preserve">pH</t>
    </r>
    <r>
      <rPr>
        <sz val="6"/>
        <rFont val="宋体"/>
        <family val="1"/>
        <charset val="134"/>
      </rPr>
      <t xml:space="preserve">曲线（</t>
    </r>
    <r>
      <rPr>
        <sz val="6"/>
        <rFont val="Times New Roman"/>
        <family val="1"/>
      </rPr>
      <t xml:space="preserve">AT-06111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</si>
  <si>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曲线23： 预冷器温度曲线（</t>
    </r>
    <r>
      <rPr>
        <sz val="6"/>
        <rFont val="Times New Roman"/>
        <family val="1"/>
      </rPr>
      <t xml:space="preserve">TT-06971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</si>
  <si>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曲线24： 一次结晶器温度曲线（TT-06171）</t>
    <phoneticPr fontId="1" type="noConversion"/>
  </si>
  <si>
    <t xml:space="preserve">曲线25： 一次结晶器间壁温差曲线（TT-06171-TT-06125或TT-06171-TT-06135）</t>
    <phoneticPr fontId="1" type="noConversion"/>
  </si>
  <si>
    <r>
      <rPr>
        <sz val="6"/>
        <rFont val="宋体"/>
        <family val="1"/>
        <charset val="134"/>
      </rPr>
      <t xml:space="preserve">曲线26： 一次结晶外冷器温差曲线（</t>
    </r>
    <r>
      <rPr>
        <sz val="6"/>
        <rFont val="Times New Roman"/>
        <family val="1"/>
      </rPr>
      <t xml:space="preserve">TT-06171-06126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TT-06171-TT-06136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</si>
  <si>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FT-06132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</si>
  <si>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曲线29： 一次清洗水箱液位曲线（LT-06315）</t>
    <phoneticPr fontId="1" type="noConversion"/>
  </si>
  <si>
    <t xml:space="preserve">曲线30： 一次清洗水箱温度曲线（TT-06311）</t>
    <phoneticPr fontId="1" type="noConversion"/>
  </si>
  <si>
    <r>
      <rPr>
        <sz val="6"/>
        <rFont val="宋体"/>
        <family val="1"/>
        <charset val="134"/>
      </rPr>
      <t xml:space="preserve">曲线32： 低蒸结晶器温度曲线（</t>
    </r>
    <r>
      <rPr>
        <sz val="6"/>
        <rFont val="Times New Roman"/>
        <family val="1"/>
      </rPr>
      <t xml:space="preserve">TT-07152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</si>
  <si>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曲线33： 低蒸结晶器真空度曲线（</t>
    </r>
    <r>
      <rPr>
        <sz val="6"/>
        <rFont val="Times New Roman"/>
        <family val="1"/>
      </rPr>
      <t xml:space="preserve">PT-07145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</si>
  <si>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曲线34： 低蒸结晶器浓度曲线（密度：AT-07137）</t>
    <phoneticPr fontId="1" type="noConversion"/>
  </si>
  <si>
    <t xml:space="preserve">曲线35： 二次结晶器温度曲线（TT-08171）</t>
    <phoneticPr fontId="1" type="noConversion"/>
  </si>
  <si>
    <r>
      <rPr>
        <sz val="6"/>
        <rFont val="宋体"/>
        <family val="1"/>
        <charset val="134"/>
      </rPr>
      <t xml:space="preserve">曲线36： 二次结晶器间壁温差曲线（</t>
    </r>
    <r>
      <rPr>
        <sz val="6"/>
        <rFont val="Times New Roman"/>
        <family val="1"/>
      </rPr>
      <t xml:space="preserve">TT-08171-TT-08125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</si>
  <si>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曲线37： 二次结晶外冷器温差曲线（</t>
    </r>
    <r>
      <rPr>
        <sz val="6"/>
        <rFont val="Times New Roman"/>
        <family val="1"/>
      </rPr>
      <t xml:space="preserve">TT-08171-TT-08126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</si>
  <si>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曲线38： 二次结晶器外循环流量曲线（</t>
    </r>
    <r>
      <rPr>
        <sz val="6"/>
        <rFont val="Times New Roman"/>
        <family val="1"/>
      </rPr>
      <t xml:space="preserve">FT-08122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FT-08132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</si>
  <si>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曲线39： 二次清洗水箱液位曲线（LT-08315）</t>
    <phoneticPr fontId="1" type="noConversion"/>
  </si>
  <si>
    <t xml:space="preserve">曲线40： 二次清洗水箱温度曲线（TT-08311）</t>
    <phoneticPr fontId="1" type="noConversion"/>
  </si>
  <si>
    <t xml:space="preserve">22:00</t>
    <phoneticPr fontId="1" type="noConversion"/>
  </si>
  <si>
    <t xml:space="preserve">0:00</t>
    <phoneticPr fontId="1" type="noConversion"/>
  </si>
  <si>
    <t xml:space="preserve">2:00</t>
    <phoneticPr fontId="1" type="noConversion"/>
  </si>
  <si>
    <t xml:space="preserve">夜班</t>
    <phoneticPr fontId="1" type="noConversion"/>
  </si>
  <si>
    <t xml:space="preserve">低蒸进料</t>
    <phoneticPr fontId="1" type="noConversion"/>
  </si>
  <si>
    <t xml:space="preserve">瞬时流量
FT-07111</t>
    <phoneticPr fontId="1" type="noConversion"/>
  </si>
  <si>
    <t xml:space="preserve">累计量
FQ-07111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</si>
  <si>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</si>
  <si>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kg/t</t>
    <phoneticPr fontId="1" type="noConversion"/>
  </si>
  <si>
    <t xml:space="preserve">kg</t>
    <phoneticPr fontId="1" type="noConversion"/>
  </si>
  <si>
    <t xml:space="preserve">g/L</t>
    <phoneticPr fontId="1" type="noConversion"/>
  </si>
  <si>
    <t xml:space="preserve">%</t>
    <phoneticPr fontId="1" type="noConversion"/>
  </si>
  <si>
    <t xml:space="preserve">m3</t>
    <phoneticPr fontId="1" type="noConversion"/>
  </si>
  <si>
    <t xml:space="preserve">Mpa</t>
    <phoneticPr fontId="1" type="noConversion"/>
  </si>
  <si>
    <t xml:space="preserve">℃</t>
    <phoneticPr fontId="1" type="noConversion"/>
  </si>
  <si>
    <t xml:space="preserve">水分</t>
    <phoneticPr fontId="1" type="noConversion"/>
  </si>
  <si>
    <t xml:space="preserve">产量</t>
    <phoneticPr fontId="1" type="noConversion"/>
  </si>
  <si>
    <t xml:space="preserve">累计量
(m³)</t>
    <phoneticPr fontId="1" type="noConversion"/>
  </si>
  <si>
    <t xml:space="preserve">(t/h)</t>
    <phoneticPr fontId="1" type="noConversion"/>
  </si>
  <si>
    <t xml:space="preserve">(t)</t>
    <phoneticPr fontId="1" type="noConversion"/>
  </si>
  <si>
    <t xml:space="preserve">项目</t>
    <phoneticPr fontId="1" type="noConversion"/>
  </si>
  <si>
    <t xml:space="preserve">单位</t>
    <phoneticPr fontId="1" type="noConversion"/>
  </si>
  <si>
    <t xml:space="preserve">中试标准指标</t>
    <phoneticPr fontId="1" type="noConversion"/>
  </si>
  <si>
    <t xml:space="preserve">实际运行数据</t>
    <phoneticPr fontId="1" type="noConversion"/>
  </si>
  <si>
    <t xml:space="preserve">评价</t>
    <phoneticPr fontId="1" type="noConversion"/>
  </si>
  <si>
    <t xml:space="preserve">备注</t>
    <phoneticPr fontId="1" type="noConversion"/>
  </si>
  <si>
    <t xml:space="preserve">一、产品</t>
    <phoneticPr fontId="1" type="noConversion"/>
  </si>
  <si>
    <t xml:space="preserve">收率</t>
    <phoneticPr fontId="1" type="noConversion"/>
  </si>
  <si>
    <t xml:space="preserve">二、原料消耗</t>
    <phoneticPr fontId="1" type="noConversion"/>
  </si>
  <si>
    <t xml:space="preserve">羟基消耗</t>
  </si>
  <si>
    <t xml:space="preserve">≤1427</t>
    <phoneticPr fontId="1" type="noConversion"/>
  </si>
  <si>
    <t xml:space="preserve">氨消耗</t>
    <phoneticPr fontId="1" type="noConversion"/>
  </si>
  <si>
    <t xml:space="preserve">215±5</t>
  </si>
  <si>
    <t xml:space="preserve">硫酸消耗</t>
    <phoneticPr fontId="1" type="noConversion"/>
  </si>
  <si>
    <t xml:space="preserve">200±10</t>
  </si>
  <si>
    <t xml:space="preserve">三、工艺指标</t>
    <phoneticPr fontId="1" type="noConversion"/>
  </si>
  <si>
    <t xml:space="preserve">配料单元</t>
    <phoneticPr fontId="1" type="noConversion"/>
  </si>
  <si>
    <t xml:space="preserve">羟基浓度 </t>
    <phoneticPr fontId="1" type="noConversion"/>
  </si>
  <si>
    <t xml:space="preserve">g/l</t>
    <phoneticPr fontId="1" type="noConversion"/>
  </si>
  <si>
    <t xml:space="preserve">417±5</t>
  </si>
  <si>
    <t xml:space="preserve">反应单元</t>
    <phoneticPr fontId="1" type="noConversion"/>
  </si>
  <si>
    <t xml:space="preserve">氨腈摩尔比</t>
    <phoneticPr fontId="1" type="noConversion"/>
  </si>
  <si>
    <t xml:space="preserve">(0.530±0.005):1</t>
  </si>
  <si>
    <t xml:space="preserve">反应时间</t>
    <phoneticPr fontId="1" type="noConversion"/>
  </si>
  <si>
    <t xml:space="preserve">s</t>
    <phoneticPr fontId="1" type="noConversion"/>
  </si>
  <si>
    <t xml:space="preserve">合格</t>
    <phoneticPr fontId="1" type="noConversion"/>
  </si>
  <si>
    <t xml:space="preserve">反应压力</t>
    <phoneticPr fontId="1" type="noConversion"/>
  </si>
  <si>
    <t xml:space="preserve">0.75±0.05</t>
  </si>
  <si>
    <t xml:space="preserve">羟基加热温度</t>
    <phoneticPr fontId="1" type="noConversion"/>
  </si>
  <si>
    <t xml:space="preserve">90±2</t>
  </si>
  <si>
    <t xml:space="preserve">氨汽混合温度</t>
  </si>
  <si>
    <t xml:space="preserve">145±2</t>
  </si>
  <si>
    <t xml:space="preserve">管反热点温度</t>
  </si>
  <si>
    <t xml:space="preserve">168±2</t>
  </si>
  <si>
    <t xml:space="preserve">结晶单元</t>
    <phoneticPr fontId="1" type="noConversion"/>
  </si>
  <si>
    <t xml:space="preserve">预冷器结晶温度</t>
  </si>
  <si>
    <t xml:space="preserve">≤45</t>
    <phoneticPr fontId="1" type="noConversion"/>
  </si>
  <si>
    <t xml:space="preserve">一次结晶温度</t>
  </si>
  <si>
    <t xml:space="preserve">≤20</t>
    <phoneticPr fontId="1" type="noConversion"/>
  </si>
  <si>
    <t xml:space="preserve">降膜蒸发温度</t>
  </si>
  <si>
    <t xml:space="preserve">48±2</t>
  </si>
  <si>
    <t xml:space="preserve">二次结晶温度</t>
  </si>
  <si>
    <t xml:space="preserve">≤20</t>
  </si>
  <si>
    <t xml:space="preserve">反应液组成</t>
    <phoneticPr fontId="1" type="noConversion"/>
  </si>
  <si>
    <t xml:space="preserve">--</t>
    <phoneticPr fontId="1" type="noConversion"/>
  </si>
  <si>
    <t xml:space="preserve">pH值</t>
    <phoneticPr fontId="1" type="noConversion"/>
  </si>
  <si>
    <t xml:space="preserve">四、废液</t>
    <phoneticPr fontId="1" type="noConversion"/>
  </si>
  <si>
    <t xml:space="preserve">废液排放</t>
    <phoneticPr fontId="1" type="noConversion"/>
  </si>
  <si>
    <t xml:space="preserve">单位产品排放量</t>
    <phoneticPr fontId="1" type="noConversion"/>
  </si>
  <si>
    <t xml:space="preserve">m³/t</t>
    <phoneticPr fontId="1" type="noConversion"/>
  </si>
  <si>
    <t xml:space="preserve">≤0.38</t>
  </si>
  <si>
    <t xml:space="preserve">废液组成</t>
    <phoneticPr fontId="1" type="noConversion"/>
  </si>
  <si>
    <t xml:space="preserve">硫铵</t>
    <phoneticPr fontId="1" type="noConversion"/>
  </si>
  <si>
    <t xml:space="preserve">二乙腈</t>
    <phoneticPr fontId="1" type="noConversion"/>
  </si>
  <si>
    <t xml:space="preserve">其它</t>
    <phoneticPr fontId="1" type="noConversion"/>
  </si>
  <si>
    <t xml:space="preserve">%</t>
  </si>
  <si>
    <t xml:space="preserve">五、其他</t>
    <phoneticPr fontId="1" type="noConversion"/>
  </si>
  <si>
    <t xml:space="preserve">二乙睛中试车间日报</t>
    <phoneticPr fontId="1" type="noConversion"/>
  </si>
  <si>
    <t xml:space="preserve">产量台账</t>
    <phoneticPr fontId="1" type="noConversion"/>
  </si>
  <si>
    <t xml:space="preserve">日期</t>
    <phoneticPr fontId="1" type="noConversion"/>
  </si>
  <si>
    <t xml:space="preserve">含量</t>
    <phoneticPr fontId="1" type="noConversion"/>
  </si>
  <si>
    <t xml:space="preserve">累计</t>
    <phoneticPr fontId="1" type="noConversion"/>
  </si>
  <si>
    <t xml:space="preserve">折百产量(Kg)</t>
    <phoneticPr fontId="1" type="noConversion"/>
  </si>
  <si>
    <t xml:space="preserve">折百累计</t>
    <phoneticPr fontId="1" type="noConversion"/>
  </si>
  <si>
    <t xml:space="preserve">折百总累计</t>
    <phoneticPr fontId="1" type="noConversion"/>
  </si>
  <si>
    <t xml:space="preserve">羟基用量</t>
    <phoneticPr fontId="1" type="noConversion"/>
  </si>
  <si>
    <t xml:space="preserve">羟基含量</t>
    <phoneticPr fontId="1" type="noConversion"/>
  </si>
  <si>
    <t xml:space="preserve">羟基折百</t>
    <phoneticPr fontId="1" type="noConversion"/>
  </si>
  <si>
    <t xml:space="preserve">羟基累计(t)</t>
    <phoneticPr fontId="1" type="noConversion"/>
  </si>
  <si>
    <t xml:space="preserve">收率(%)班</t>
    <phoneticPr fontId="1" type="noConversion"/>
  </si>
  <si>
    <t xml:space="preserve">分类</t>
    <phoneticPr fontId="1" type="noConversion"/>
  </si>
  <si>
    <t xml:space="preserve">总收率天%</t>
    <phoneticPr fontId="1" type="noConversion"/>
  </si>
  <si>
    <t xml:space="preserve">%(化分)</t>
    <phoneticPr fontId="1" type="noConversion"/>
  </si>
  <si>
    <t xml:space="preserve">%(色谱)</t>
    <phoneticPr fontId="1" type="noConversion"/>
  </si>
  <si>
    <t xml:space="preserve">Kg</t>
    <phoneticPr fontId="1" type="noConversion"/>
  </si>
  <si>
    <t xml:space="preserve">一次结晶</t>
    <phoneticPr fontId="24" type="noConversion"/>
  </si>
  <si>
    <t xml:space="preserve">二次结晶</t>
    <phoneticPr fontId="24" type="noConversion"/>
  </si>
  <si>
    <t xml:space="preserve">总产量</t>
    <phoneticPr fontId="1" type="noConversion"/>
  </si>
  <si>
    <t xml:space="preserve">总折百</t>
    <phoneticPr fontId="1" type="noConversion"/>
  </si>
  <si>
    <t xml:space="preserve">羟基单耗</t>
    <phoneticPr fontId="1" type="noConversion"/>
  </si>
  <si>
    <t xml:space="preserve">曲线03： 液氨流量（FT-05112）</t>
    <phoneticPr fontId="1" type="noConversion"/>
  </si>
  <si>
    <r>
      <rPr>
        <sz val="6"/>
        <rFont val="宋体"/>
        <family val="1"/>
        <charset val="134"/>
      </rPr>
      <t xml:space="preserve">曲线28： 一次结晶固液比曲线（密度：</t>
    </r>
    <r>
      <rPr>
        <sz val="6"/>
        <rFont val="Times New Roman"/>
        <family val="1"/>
      </rPr>
      <t xml:space="preserve">AT-06149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</si>
  <si>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曲线31： 低蒸结晶器进料流量（</t>
    </r>
    <r>
      <rPr>
        <sz val="6"/>
        <rFont val="Times New Roman"/>
        <family val="1"/>
      </rPr>
      <t xml:space="preserve">FT-07111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</si>
  <si>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AT-07137</t>
    <phoneticPr fontId="1" type="noConversion"/>
  </si>
  <si>
    <t xml:space="preserve">TT-08125</t>
  </si>
  <si>
    <t xml:space="preserve">TT-08126</t>
  </si>
  <si>
    <t xml:space="preserve">TT-08135</t>
  </si>
  <si>
    <t xml:space="preserve">TT-08136</t>
  </si>
  <si>
    <t xml:space="preserve">2026-05-07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</si>
</sst>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_);[Red]\(0.000\)"/>
    <numFmt numFmtId="177" formatCode="0.000_ "/>
    <numFmt numFmtId="178" formatCode="0.00_ "/>
    <numFmt numFmtId="179" formatCode="0.00_);[Red]\(0.00\)"/>
    <numFmt numFmtId="180" formatCode="0.0_ "/>
  </numFmts>
  <fonts count="2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sz val="6"/>
      <color theme="1"/>
      <name val="Times New Roman"/>
      <family val="1"/>
    </font>
    <font>
      <sz val="6"/>
      <color theme="1"/>
      <name val="Times New Roman"/>
      <family val="1"/>
      <charset val="134"/>
    </font>
    <font>
      <b/>
      <sz val="16"/>
      <color theme="1"/>
      <name val="仿宋"/>
      <family val="3"/>
      <charset val="134"/>
    </font>
    <font>
      <b/>
      <sz val="10"/>
      <color theme="1"/>
      <name val="仿宋"/>
      <family val="3"/>
      <charset val="134"/>
    </font>
    <font>
      <sz val="10"/>
      <color theme="1"/>
      <name val="仿宋"/>
      <family val="3"/>
      <charset val="134"/>
    </font>
    <font>
      <sz val="10"/>
      <color theme="1"/>
      <name val="宋体"/>
      <family val="3"/>
      <charset val="134"/>
      <scheme val="minor"/>
    </font>
    <font>
      <b/>
      <sz val="10"/>
      <name val="仿宋"/>
      <family val="3"/>
      <charset val="134"/>
    </font>
    <font>
      <sz val="9"/>
      <name val="宋体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10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dotted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/>
      <top style="thin">
        <color indexed="64"/>
      </top>
      <bottom/>
      <diagonal/>
    </border>
    <border>
      <left style="dotted">
        <color indexed="64"/>
      </left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390">
    <xf numFmtId="0" fontId="0" fillId="0" borderId="0" xfId="0"/>
    <xf numFmtId="0" fontId="2" fillId="0" borderId="0" xfId="0" applyFont="1" applyAlignment="1">
      <alignment horizontal="center" vertical="center"/>
    </xf>
    <xf numFmtId="2" fontId="3" fillId="0" borderId="2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77" fontId="17" fillId="0" borderId="3" xfId="0" applyNumberFormat="1" applyFont="1" applyBorder="1" applyAlignment="1">
      <alignment horizontal="center" vertical="center" wrapText="1"/>
    </xf>
    <xf numFmtId="177" fontId="17" fillId="0" borderId="34" xfId="0" applyNumberFormat="1" applyFont="1" applyBorder="1" applyAlignment="1">
      <alignment horizontal="center" vertical="center" wrapText="1"/>
    </xf>
    <xf numFmtId="177" fontId="17" fillId="0" borderId="36" xfId="0" applyNumberFormat="1" applyFont="1" applyBorder="1" applyAlignment="1">
      <alignment horizontal="center" vertical="center" wrapText="1"/>
    </xf>
    <xf numFmtId="177" fontId="17" fillId="2" borderId="3" xfId="0" applyNumberFormat="1" applyFont="1" applyFill="1" applyBorder="1" applyAlignment="1">
      <alignment horizontal="center" vertical="center" wrapText="1"/>
    </xf>
    <xf numFmtId="177" fontId="4" fillId="0" borderId="3" xfId="0" applyNumberFormat="1" applyFont="1" applyBorder="1" applyAlignment="1">
      <alignment horizontal="center" vertical="center" wrapText="1"/>
    </xf>
    <xf numFmtId="177" fontId="4" fillId="0" borderId="34" xfId="0" applyNumberFormat="1" applyFont="1" applyBorder="1" applyAlignment="1">
      <alignment horizontal="center" vertical="center" wrapText="1"/>
    </xf>
    <xf numFmtId="177" fontId="4" fillId="0" borderId="30" xfId="0" applyNumberFormat="1" applyFont="1" applyBorder="1" applyAlignment="1">
      <alignment horizontal="center" vertical="center" wrapText="1"/>
    </xf>
    <xf numFmtId="177" fontId="4" fillId="0" borderId="10" xfId="0" applyNumberFormat="1" applyFont="1" applyBorder="1" applyAlignment="1">
      <alignment horizontal="center" vertical="center" wrapText="1"/>
    </xf>
    <xf numFmtId="177" fontId="4" fillId="0" borderId="4" xfId="0" applyNumberFormat="1" applyFont="1" applyBorder="1" applyAlignment="1">
      <alignment horizontal="center" vertical="center" wrapText="1"/>
    </xf>
    <xf numFmtId="177" fontId="17" fillId="0" borderId="24" xfId="0" applyNumberFormat="1" applyFont="1" applyBorder="1" applyAlignment="1">
      <alignment horizontal="center" vertical="center" wrapText="1"/>
    </xf>
    <xf numFmtId="177" fontId="17" fillId="0" borderId="35" xfId="0" applyNumberFormat="1" applyFont="1" applyBorder="1" applyAlignment="1">
      <alignment horizontal="center" vertical="center" wrapText="1"/>
    </xf>
    <xf numFmtId="177" fontId="17" fillId="0" borderId="37" xfId="0" applyNumberFormat="1" applyFont="1" applyBorder="1" applyAlignment="1">
      <alignment horizontal="center" vertical="center" wrapText="1"/>
    </xf>
    <xf numFmtId="177" fontId="17" fillId="2" borderId="24" xfId="0" applyNumberFormat="1" applyFont="1" applyFill="1" applyBorder="1" applyAlignment="1">
      <alignment horizontal="center" vertical="center" wrapText="1"/>
    </xf>
    <xf numFmtId="177" fontId="4" fillId="0" borderId="24" xfId="0" applyNumberFormat="1" applyFont="1" applyBorder="1" applyAlignment="1">
      <alignment horizontal="center" vertical="center" wrapText="1"/>
    </xf>
    <xf numFmtId="177" fontId="4" fillId="0" borderId="35" xfId="0" applyNumberFormat="1" applyFont="1" applyBorder="1" applyAlignment="1">
      <alignment horizontal="center" vertical="center" wrapText="1"/>
    </xf>
    <xf numFmtId="177" fontId="4" fillId="0" borderId="27" xfId="0" applyNumberFormat="1" applyFont="1" applyBorder="1" applyAlignment="1">
      <alignment horizontal="center" vertical="center" wrapText="1"/>
    </xf>
    <xf numFmtId="177" fontId="17" fillId="0" borderId="11" xfId="0" applyNumberFormat="1" applyFont="1" applyBorder="1" applyAlignment="1">
      <alignment horizontal="center" vertical="center" wrapText="1"/>
    </xf>
    <xf numFmtId="177" fontId="18" fillId="0" borderId="3" xfId="0" applyNumberFormat="1" applyFont="1" applyBorder="1" applyAlignment="1">
      <alignment horizontal="center" vertical="center" wrapText="1"/>
    </xf>
    <xf numFmtId="177" fontId="4" fillId="2" borderId="3" xfId="0" applyNumberFormat="1" applyFont="1" applyFill="1" applyBorder="1" applyAlignment="1">
      <alignment horizontal="center" vertical="center" wrapText="1"/>
    </xf>
    <xf numFmtId="177" fontId="17" fillId="0" borderId="33" xfId="0" applyNumberFormat="1" applyFont="1" applyBorder="1" applyAlignment="1">
      <alignment horizontal="center" vertical="center" wrapText="1"/>
    </xf>
    <xf numFmtId="177" fontId="18" fillId="0" borderId="24" xfId="0" applyNumberFormat="1" applyFont="1" applyBorder="1" applyAlignment="1">
      <alignment horizontal="center" vertical="center" wrapText="1"/>
    </xf>
    <xf numFmtId="177" fontId="4" fillId="2" borderId="24" xfId="0" applyNumberFormat="1" applyFont="1" applyFill="1" applyBorder="1" applyAlignment="1">
      <alignment horizontal="center" vertical="center" wrapText="1"/>
    </xf>
    <xf numFmtId="177" fontId="4" fillId="0" borderId="40" xfId="0" applyNumberFormat="1" applyFont="1" applyBorder="1" applyAlignment="1">
      <alignment horizontal="center" vertical="center" wrapText="1"/>
    </xf>
    <xf numFmtId="177" fontId="4" fillId="0" borderId="28" xfId="0" applyNumberFormat="1" applyFont="1" applyBorder="1" applyAlignment="1">
      <alignment horizontal="center" vertical="center" wrapText="1"/>
    </xf>
    <xf numFmtId="177" fontId="4" fillId="0" borderId="25" xfId="0" applyNumberFormat="1" applyFont="1" applyBorder="1" applyAlignment="1">
      <alignment horizontal="center" vertical="center" wrapText="1"/>
    </xf>
    <xf numFmtId="177" fontId="18" fillId="0" borderId="34" xfId="0" applyNumberFormat="1" applyFont="1" applyBorder="1" applyAlignment="1">
      <alignment horizontal="center" vertical="center" wrapText="1"/>
    </xf>
    <xf numFmtId="177" fontId="18" fillId="0" borderId="36" xfId="0" applyNumberFormat="1" applyFont="1" applyBorder="1" applyAlignment="1">
      <alignment horizontal="center" vertical="center" wrapText="1"/>
    </xf>
    <xf numFmtId="177" fontId="4" fillId="2" borderId="11" xfId="0" applyNumberFormat="1" applyFont="1" applyFill="1" applyBorder="1" applyAlignment="1">
      <alignment horizontal="center" vertical="center" wrapText="1"/>
    </xf>
    <xf numFmtId="177" fontId="18" fillId="0" borderId="35" xfId="0" applyNumberFormat="1" applyFont="1" applyBorder="1" applyAlignment="1">
      <alignment horizontal="center" vertical="center" wrapText="1"/>
    </xf>
    <xf numFmtId="177" fontId="18" fillId="0" borderId="37" xfId="0" applyNumberFormat="1" applyFont="1" applyBorder="1" applyAlignment="1">
      <alignment horizontal="center" vertical="center" wrapText="1"/>
    </xf>
    <xf numFmtId="177" fontId="4" fillId="2" borderId="33" xfId="0" applyNumberFormat="1" applyFont="1" applyFill="1" applyBorder="1" applyAlignment="1">
      <alignment horizontal="center" vertical="center" wrapText="1"/>
    </xf>
    <xf numFmtId="0" fontId="20" fillId="3" borderId="43" xfId="0" applyFont="1" applyFill="1" applyBorder="1" applyAlignment="1">
      <alignment vertical="center"/>
    </xf>
    <xf numFmtId="0" fontId="20" fillId="3" borderId="44" xfId="0" applyFont="1" applyFill="1" applyBorder="1" applyAlignment="1">
      <alignment vertical="center"/>
    </xf>
    <xf numFmtId="0" fontId="20" fillId="3" borderId="44" xfId="0" applyFont="1" applyFill="1" applyBorder="1" applyAlignment="1">
      <alignment horizontal="right" vertical="center"/>
    </xf>
    <xf numFmtId="0" fontId="19" fillId="0" borderId="57" xfId="0" applyFont="1" applyBorder="1" applyAlignment="1">
      <alignment horizontal="center" vertical="center"/>
    </xf>
    <xf numFmtId="0" fontId="19" fillId="0" borderId="58" xfId="0" applyFont="1" applyBorder="1" applyAlignment="1">
      <alignment horizontal="center" vertical="center"/>
    </xf>
    <xf numFmtId="0" fontId="21" fillId="0" borderId="59" xfId="0" applyFont="1" applyBorder="1" applyAlignment="1">
      <alignment horizontal="left" vertical="center"/>
    </xf>
    <xf numFmtId="0" fontId="21" fillId="0" borderId="57" xfId="0" applyFont="1" applyBorder="1" applyAlignment="1">
      <alignment horizontal="center" vertical="center"/>
    </xf>
    <xf numFmtId="177" fontId="22" fillId="0" borderId="57" xfId="0" applyNumberFormat="1" applyFont="1" applyBorder="1" applyAlignment="1">
      <alignment horizontal="center" vertical="center"/>
    </xf>
    <xf numFmtId="177" fontId="16" fillId="0" borderId="57" xfId="0" applyNumberFormat="1" applyFont="1" applyBorder="1" applyAlignment="1">
      <alignment horizontal="center" vertical="center"/>
    </xf>
    <xf numFmtId="178" fontId="22" fillId="0" borderId="57" xfId="0" applyNumberFormat="1" applyFont="1" applyBorder="1" applyAlignment="1">
      <alignment horizontal="center" vertical="center"/>
    </xf>
    <xf numFmtId="178" fontId="22" fillId="0" borderId="54" xfId="0" applyNumberFormat="1" applyFont="1" applyBorder="1" applyAlignment="1">
      <alignment horizontal="center" vertical="center"/>
    </xf>
    <xf numFmtId="0" fontId="22" fillId="0" borderId="58" xfId="0" applyFont="1" applyBorder="1" applyAlignment="1">
      <alignment horizontal="center" vertical="center"/>
    </xf>
    <xf numFmtId="0" fontId="22" fillId="0" borderId="57" xfId="0" applyFont="1" applyBorder="1" applyAlignment="1">
      <alignment horizontal="center" vertical="center"/>
    </xf>
    <xf numFmtId="0" fontId="21" fillId="0" borderId="57" xfId="0" quotePrefix="1" applyFont="1" applyBorder="1" applyAlignment="1">
      <alignment horizontal="center" vertical="center"/>
    </xf>
    <xf numFmtId="177" fontId="21" fillId="0" borderId="57" xfId="0" quotePrefix="1" applyNumberFormat="1" applyFont="1" applyBorder="1" applyAlignment="1">
      <alignment horizontal="center" vertical="center"/>
    </xf>
    <xf numFmtId="0" fontId="22" fillId="0" borderId="57" xfId="0" quotePrefix="1" applyFont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177" fontId="22" fillId="0" borderId="63" xfId="0" applyNumberFormat="1" applyFont="1" applyBorder="1" applyAlignment="1">
      <alignment horizontal="center" vertical="center"/>
    </xf>
    <xf numFmtId="177" fontId="16" fillId="0" borderId="63" xfId="0" applyNumberFormat="1" applyFont="1" applyBorder="1" applyAlignment="1">
      <alignment horizontal="center" vertical="center"/>
    </xf>
    <xf numFmtId="0" fontId="22" fillId="0" borderId="64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4" borderId="57" xfId="0" applyFont="1" applyFill="1" applyBorder="1" applyAlignment="1">
      <alignment horizontal="center" vertical="center"/>
    </xf>
    <xf numFmtId="0" fontId="21" fillId="0" borderId="57" xfId="0" applyFont="1" applyBorder="1" applyAlignment="1">
      <alignment horizontal="center" vertical="center" wrapText="1"/>
    </xf>
    <xf numFmtId="179" fontId="21" fillId="5" borderId="57" xfId="0" applyNumberFormat="1" applyFont="1" applyFill="1" applyBorder="1" applyAlignment="1">
      <alignment vertical="center"/>
    </xf>
    <xf numFmtId="178" fontId="21" fillId="5" borderId="57" xfId="0" applyNumberFormat="1" applyFont="1" applyFill="1" applyBorder="1" applyAlignment="1">
      <alignment horizontal="center" vertical="center"/>
    </xf>
    <xf numFmtId="0" fontId="21" fillId="5" borderId="57" xfId="0" applyFont="1" applyFill="1" applyBorder="1" applyAlignment="1">
      <alignment horizontal="center" vertical="center"/>
    </xf>
    <xf numFmtId="0" fontId="0" fillId="0" borderId="57" xfId="0" applyBorder="1"/>
    <xf numFmtId="177" fontId="17" fillId="0" borderId="21" xfId="0" applyNumberFormat="1" applyFont="1" applyBorder="1" applyAlignment="1">
      <alignment horizontal="center" vertical="center" wrapText="1"/>
    </xf>
    <xf numFmtId="177" fontId="17" fillId="0" borderId="76" xfId="0" applyNumberFormat="1" applyFont="1" applyBorder="1" applyAlignment="1">
      <alignment horizontal="center" vertical="center" wrapText="1"/>
    </xf>
    <xf numFmtId="177" fontId="17" fillId="0" borderId="77" xfId="0" applyNumberFormat="1" applyFont="1" applyBorder="1" applyAlignment="1">
      <alignment horizontal="center" vertical="center" wrapText="1"/>
    </xf>
    <xf numFmtId="177" fontId="17" fillId="2" borderId="21" xfId="0" applyNumberFormat="1" applyFont="1" applyFill="1" applyBorder="1" applyAlignment="1">
      <alignment horizontal="center" vertical="center" wrapText="1"/>
    </xf>
    <xf numFmtId="177" fontId="4" fillId="0" borderId="21" xfId="0" applyNumberFormat="1" applyFont="1" applyBorder="1" applyAlignment="1">
      <alignment horizontal="center" vertical="center" wrapText="1"/>
    </xf>
    <xf numFmtId="177" fontId="4" fillId="0" borderId="76" xfId="0" applyNumberFormat="1" applyFont="1" applyBorder="1" applyAlignment="1">
      <alignment horizontal="center" vertical="center" wrapText="1"/>
    </xf>
    <xf numFmtId="177" fontId="4" fillId="0" borderId="38" xfId="0" applyNumberFormat="1" applyFont="1" applyBorder="1" applyAlignment="1">
      <alignment horizontal="center" vertical="center" wrapText="1"/>
    </xf>
    <xf numFmtId="177" fontId="4" fillId="0" borderId="14" xfId="0" applyNumberFormat="1" applyFont="1" applyBorder="1" applyAlignment="1">
      <alignment horizontal="center" vertical="center" wrapText="1"/>
    </xf>
    <xf numFmtId="177" fontId="4" fillId="0" borderId="26" xfId="0" applyNumberFormat="1" applyFont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 wrapText="1"/>
    </xf>
    <xf numFmtId="2" fontId="3" fillId="0" borderId="57" xfId="0" applyNumberFormat="1" applyFont="1" applyBorder="1" applyAlignment="1">
      <alignment horizontal="center" vertical="center" wrapText="1"/>
    </xf>
    <xf numFmtId="2" fontId="3" fillId="2" borderId="57" xfId="0" applyNumberFormat="1" applyFont="1" applyFill="1" applyBorder="1" applyAlignment="1">
      <alignment horizontal="center" vertical="center" wrapText="1"/>
    </xf>
    <xf numFmtId="2" fontId="5" fillId="0" borderId="57" xfId="0" applyNumberFormat="1" applyFont="1" applyBorder="1" applyAlignment="1">
      <alignment horizontal="center" vertical="center" wrapText="1"/>
    </xf>
    <xf numFmtId="0" fontId="4" fillId="2" borderId="57" xfId="0" applyFont="1" applyFill="1" applyBorder="1" applyAlignment="1">
      <alignment horizontal="center" vertical="center" wrapText="1"/>
    </xf>
    <xf numFmtId="2" fontId="2" fillId="2" borderId="57" xfId="0" applyNumberFormat="1" applyFont="1" applyFill="1" applyBorder="1" applyAlignment="1">
      <alignment horizontal="center" vertical="center" wrapText="1"/>
    </xf>
    <xf numFmtId="2" fontId="2" fillId="0" borderId="57" xfId="0" applyNumberFormat="1" applyFont="1" applyBorder="1" applyAlignment="1">
      <alignment horizontal="center" vertical="center" wrapText="1"/>
    </xf>
    <xf numFmtId="2" fontId="11" fillId="0" borderId="57" xfId="0" applyNumberFormat="1" applyFont="1" applyBorder="1" applyAlignment="1">
      <alignment horizontal="center" vertical="center" wrapText="1"/>
    </xf>
    <xf numFmtId="2" fontId="5" fillId="2" borderId="57" xfId="0" applyNumberFormat="1" applyFont="1" applyFill="1" applyBorder="1" applyAlignment="1">
      <alignment horizontal="center" vertical="center" wrapText="1"/>
    </xf>
    <xf numFmtId="2" fontId="3" fillId="0" borderId="55" xfId="0" applyNumberFormat="1" applyFont="1" applyBorder="1" applyAlignment="1">
      <alignment horizontal="center" vertical="center" wrapText="1"/>
    </xf>
    <xf numFmtId="2" fontId="2" fillId="0" borderId="55" xfId="0" applyNumberFormat="1" applyFont="1" applyBorder="1" applyAlignment="1">
      <alignment horizontal="center" vertical="center" wrapText="1"/>
    </xf>
    <xf numFmtId="177" fontId="17" fillId="0" borderId="15" xfId="0" applyNumberFormat="1" applyFont="1" applyBorder="1" applyAlignment="1">
      <alignment horizontal="center" vertical="center" wrapText="1"/>
    </xf>
    <xf numFmtId="49" fontId="2" fillId="0" borderId="57" xfId="0" applyNumberFormat="1" applyFont="1" applyBorder="1" applyAlignment="1">
      <alignment horizontal="center" vertical="center" wrapText="1"/>
    </xf>
    <xf numFmtId="177" fontId="18" fillId="0" borderId="21" xfId="0" applyNumberFormat="1" applyFont="1" applyBorder="1" applyAlignment="1">
      <alignment horizontal="center" vertical="center" wrapText="1"/>
    </xf>
    <xf numFmtId="177" fontId="4" fillId="2" borderId="21" xfId="0" applyNumberFormat="1" applyFont="1" applyFill="1" applyBorder="1" applyAlignment="1">
      <alignment horizontal="center" vertical="center" wrapText="1"/>
    </xf>
    <xf numFmtId="49" fontId="3" fillId="0" borderId="57" xfId="0" applyNumberFormat="1" applyFont="1" applyBorder="1" applyAlignment="1">
      <alignment horizontal="center" vertical="center" wrapText="1"/>
    </xf>
    <xf numFmtId="0" fontId="3" fillId="0" borderId="57" xfId="0" applyFont="1" applyBorder="1" applyAlignment="1">
      <alignment horizontal="center" vertical="center" wrapText="1"/>
    </xf>
    <xf numFmtId="0" fontId="5" fillId="0" borderId="57" xfId="0" applyFont="1" applyBorder="1" applyAlignment="1">
      <alignment horizontal="center" vertical="center" wrapText="1"/>
    </xf>
    <xf numFmtId="49" fontId="5" fillId="0" borderId="57" xfId="0" applyNumberFormat="1" applyFont="1" applyBorder="1" applyAlignment="1">
      <alignment horizontal="center" vertical="center" wrapText="1"/>
    </xf>
    <xf numFmtId="177" fontId="18" fillId="0" borderId="76" xfId="0" applyNumberFormat="1" applyFont="1" applyBorder="1" applyAlignment="1">
      <alignment horizontal="center" vertical="center" wrapText="1"/>
    </xf>
    <xf numFmtId="177" fontId="18" fillId="0" borderId="77" xfId="0" applyNumberFormat="1" applyFont="1" applyBorder="1" applyAlignment="1">
      <alignment horizontal="center" vertical="center" wrapText="1"/>
    </xf>
    <xf numFmtId="177" fontId="4" fillId="2" borderId="15" xfId="0" applyNumberFormat="1" applyFont="1" applyFill="1" applyBorder="1" applyAlignment="1">
      <alignment horizontal="center" vertical="center" wrapText="1"/>
    </xf>
    <xf numFmtId="0" fontId="3" fillId="0" borderId="57" xfId="0" applyFont="1" applyBorder="1" applyAlignment="1">
      <alignment vertical="center" wrapText="1"/>
    </xf>
    <xf numFmtId="2" fontId="14" fillId="0" borderId="57" xfId="0" applyNumberFormat="1" applyFont="1" applyBorder="1" applyAlignment="1">
      <alignment horizontal="center" vertical="center" wrapText="1"/>
    </xf>
    <xf numFmtId="0" fontId="8" fillId="0" borderId="57" xfId="0" applyFont="1" applyBorder="1" applyAlignment="1">
      <alignment horizontal="center" vertical="center" wrapText="1"/>
    </xf>
    <xf numFmtId="49" fontId="3" fillId="0" borderId="55" xfId="0" applyNumberFormat="1" applyFont="1" applyBorder="1" applyAlignment="1">
      <alignment horizontal="center" vertical="center" wrapText="1"/>
    </xf>
    <xf numFmtId="2" fontId="14" fillId="0" borderId="55" xfId="0" applyNumberFormat="1" applyFont="1" applyBorder="1" applyAlignment="1">
      <alignment horizontal="center" vertical="center" wrapText="1"/>
    </xf>
    <xf numFmtId="177" fontId="17" fillId="0" borderId="78" xfId="0" applyNumberFormat="1" applyFont="1" applyBorder="1" applyAlignment="1">
      <alignment horizontal="center" vertical="center" wrapText="1"/>
    </xf>
    <xf numFmtId="177" fontId="17" fillId="0" borderId="79" xfId="0" applyNumberFormat="1" applyFont="1" applyBorder="1" applyAlignment="1">
      <alignment horizontal="center" vertical="center" wrapText="1"/>
    </xf>
    <xf numFmtId="177" fontId="17" fillId="0" borderId="13" xfId="0" applyNumberFormat="1" applyFont="1" applyBorder="1" applyAlignment="1">
      <alignment horizontal="center" vertical="center" wrapText="1"/>
    </xf>
    <xf numFmtId="177" fontId="18" fillId="0" borderId="78" xfId="0" applyNumberFormat="1" applyFont="1" applyBorder="1" applyAlignment="1">
      <alignment horizontal="center" vertical="center" wrapText="1"/>
    </xf>
    <xf numFmtId="177" fontId="4" fillId="0" borderId="78" xfId="0" applyNumberFormat="1" applyFont="1" applyBorder="1" applyAlignment="1">
      <alignment horizontal="center" vertical="center" wrapText="1"/>
    </xf>
    <xf numFmtId="177" fontId="4" fillId="2" borderId="78" xfId="0" applyNumberFormat="1" applyFont="1" applyFill="1" applyBorder="1" applyAlignment="1">
      <alignment horizontal="center" vertical="center" wrapText="1"/>
    </xf>
    <xf numFmtId="177" fontId="4" fillId="0" borderId="79" xfId="0" applyNumberFormat="1" applyFont="1" applyBorder="1" applyAlignment="1">
      <alignment horizontal="center" vertical="center" wrapText="1"/>
    </xf>
    <xf numFmtId="177" fontId="4" fillId="0" borderId="17" xfId="0" applyNumberFormat="1" applyFont="1" applyBorder="1" applyAlignment="1">
      <alignment horizontal="center" vertical="center" wrapText="1"/>
    </xf>
    <xf numFmtId="177" fontId="4" fillId="0" borderId="12" xfId="0" applyNumberFormat="1" applyFont="1" applyBorder="1" applyAlignment="1">
      <alignment horizontal="center" vertical="center" wrapText="1"/>
    </xf>
    <xf numFmtId="176" fontId="17" fillId="0" borderId="21" xfId="0" applyNumberFormat="1" applyFont="1" applyBorder="1" applyAlignment="1">
      <alignment horizontal="center" vertical="center" wrapText="1"/>
    </xf>
    <xf numFmtId="176" fontId="18" fillId="0" borderId="21" xfId="0" applyNumberFormat="1" applyFont="1" applyBorder="1" applyAlignment="1">
      <alignment horizontal="center" vertical="center" wrapText="1"/>
    </xf>
    <xf numFmtId="176" fontId="18" fillId="0" borderId="76" xfId="0" applyNumberFormat="1" applyFont="1" applyBorder="1" applyAlignment="1">
      <alignment horizontal="center" vertical="center" wrapText="1"/>
    </xf>
    <xf numFmtId="176" fontId="18" fillId="0" borderId="77" xfId="0" applyNumberFormat="1" applyFont="1" applyBorder="1" applyAlignment="1">
      <alignment horizontal="center" vertical="center" wrapText="1"/>
    </xf>
    <xf numFmtId="176" fontId="4" fillId="0" borderId="21" xfId="0" applyNumberFormat="1" applyFont="1" applyBorder="1" applyAlignment="1">
      <alignment horizontal="center" vertical="center" wrapText="1"/>
    </xf>
    <xf numFmtId="176" fontId="4" fillId="0" borderId="76" xfId="0" applyNumberFormat="1" applyFont="1" applyBorder="1" applyAlignment="1">
      <alignment horizontal="center" vertical="center" wrapText="1"/>
    </xf>
    <xf numFmtId="176" fontId="4" fillId="2" borderId="15" xfId="0" applyNumberFormat="1" applyFont="1" applyFill="1" applyBorder="1" applyAlignment="1">
      <alignment horizontal="center" vertical="center" wrapText="1"/>
    </xf>
    <xf numFmtId="176" fontId="4" fillId="2" borderId="21" xfId="0" applyNumberFormat="1" applyFont="1" applyFill="1" applyBorder="1" applyAlignment="1">
      <alignment horizontal="center" vertical="center" wrapText="1"/>
    </xf>
    <xf numFmtId="176" fontId="4" fillId="0" borderId="26" xfId="0" applyNumberFormat="1" applyFont="1" applyBorder="1" applyAlignment="1">
      <alignment horizontal="center" vertical="center" wrapText="1"/>
    </xf>
    <xf numFmtId="176" fontId="17" fillId="0" borderId="15" xfId="0" applyNumberFormat="1" applyFont="1" applyBorder="1" applyAlignment="1">
      <alignment horizontal="center" vertical="center" wrapText="1"/>
    </xf>
    <xf numFmtId="2" fontId="3" fillId="0" borderId="82" xfId="0" applyNumberFormat="1" applyFont="1" applyBorder="1" applyAlignment="1">
      <alignment horizontal="center" vertical="center" wrapText="1"/>
    </xf>
    <xf numFmtId="0" fontId="4" fillId="0" borderId="58" xfId="0" applyFont="1" applyBorder="1" applyAlignment="1">
      <alignment horizontal="center" vertical="center" wrapText="1"/>
    </xf>
    <xf numFmtId="2" fontId="3" fillId="0" borderId="58" xfId="0" applyNumberFormat="1" applyFont="1" applyBorder="1" applyAlignment="1">
      <alignment horizontal="center" vertical="center" wrapText="1"/>
    </xf>
    <xf numFmtId="49" fontId="2" fillId="0" borderId="59" xfId="0" applyNumberFormat="1" applyFont="1" applyBorder="1" applyAlignment="1">
      <alignment horizontal="center" vertical="center" wrapText="1"/>
    </xf>
    <xf numFmtId="20" fontId="2" fillId="0" borderId="59" xfId="0" applyNumberFormat="1" applyFont="1" applyBorder="1" applyAlignment="1">
      <alignment horizontal="center" vertical="center" wrapText="1"/>
    </xf>
    <xf numFmtId="0" fontId="3" fillId="0" borderId="58" xfId="0" applyFont="1" applyBorder="1" applyAlignment="1">
      <alignment vertical="center" wrapText="1"/>
    </xf>
    <xf numFmtId="49" fontId="3" fillId="0" borderId="55" xfId="0" applyNumberFormat="1" applyFont="1" applyBorder="1" applyAlignment="1">
      <alignment horizontal="center" vertical="center" wrapText="1"/>
    </xf>
    <xf numFmtId="49" fontId="3" fillId="0" borderId="57" xfId="0" applyNumberFormat="1" applyFont="1" applyBorder="1" applyAlignment="1">
      <alignment horizontal="center" vertical="center" wrapText="1"/>
    </xf>
    <xf numFmtId="0" fontId="3" fillId="0" borderId="57" xfId="0" applyFont="1" applyBorder="1" applyAlignment="1">
      <alignment horizontal="center" vertical="center" wrapText="1"/>
    </xf>
    <xf numFmtId="0" fontId="4" fillId="2" borderId="57" xfId="0" applyFont="1" applyFill="1" applyBorder="1" applyAlignment="1">
      <alignment horizontal="center" vertical="center" wrapText="1"/>
    </xf>
    <xf numFmtId="0" fontId="6" fillId="0" borderId="57" xfId="0" applyFont="1" applyBorder="1" applyAlignment="1">
      <alignment horizontal="center" vertical="center"/>
    </xf>
    <xf numFmtId="2" fontId="3" fillId="0" borderId="57" xfId="0" applyNumberFormat="1" applyFont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2" fontId="3" fillId="0" borderId="82" xfId="0" applyNumberFormat="1" applyFont="1" applyBorder="1" applyAlignment="1">
      <alignment horizontal="center" vertical="center" wrapText="1"/>
    </xf>
    <xf numFmtId="0" fontId="4" fillId="0" borderId="82" xfId="0" applyFont="1" applyBorder="1" applyAlignment="1">
      <alignment horizontal="center" vertical="center" wrapText="1"/>
    </xf>
    <xf numFmtId="0" fontId="4" fillId="0" borderId="80" xfId="0" applyFont="1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 wrapText="1"/>
    </xf>
    <xf numFmtId="2" fontId="5" fillId="0" borderId="57" xfId="0" applyNumberFormat="1" applyFont="1" applyBorder="1" applyAlignment="1">
      <alignment horizontal="center" vertical="center" wrapText="1"/>
    </xf>
    <xf numFmtId="2" fontId="3" fillId="2" borderId="57" xfId="0" applyNumberFormat="1" applyFont="1" applyFill="1" applyBorder="1" applyAlignment="1">
      <alignment horizontal="center" vertical="center" wrapText="1"/>
    </xf>
    <xf numFmtId="0" fontId="4" fillId="0" borderId="58" xfId="0" applyFont="1" applyBorder="1" applyAlignment="1">
      <alignment horizontal="center" vertical="center" wrapText="1"/>
    </xf>
    <xf numFmtId="0" fontId="4" fillId="0" borderId="83" xfId="0" applyFont="1" applyBorder="1" applyAlignment="1">
      <alignment horizontal="center" vertical="center" wrapText="1"/>
    </xf>
    <xf numFmtId="2" fontId="3" fillId="0" borderId="81" xfId="0" applyNumberFormat="1" applyFont="1" applyBorder="1" applyAlignment="1">
      <alignment horizontal="center" vertical="center" wrapText="1"/>
    </xf>
    <xf numFmtId="0" fontId="0" fillId="0" borderId="82" xfId="0" applyBorder="1" applyAlignment="1">
      <alignment horizontal="center" vertical="center" wrapText="1"/>
    </xf>
    <xf numFmtId="20" fontId="3" fillId="0" borderId="59" xfId="0" applyNumberFormat="1" applyFont="1" applyBorder="1" applyAlignment="1">
      <alignment horizontal="center" vertical="center" wrapText="1"/>
    </xf>
    <xf numFmtId="2" fontId="3" fillId="0" borderId="63" xfId="0" applyNumberFormat="1" applyFont="1" applyBorder="1" applyAlignment="1">
      <alignment horizontal="center" vertical="center" wrapText="1"/>
    </xf>
    <xf numFmtId="2" fontId="3" fillId="0" borderId="93" xfId="0" applyNumberFormat="1" applyFont="1" applyBorder="1" applyAlignment="1">
      <alignment horizontal="center" vertical="center" wrapText="1"/>
    </xf>
    <xf numFmtId="2" fontId="3" fillId="0" borderId="94" xfId="0" applyNumberFormat="1" applyFont="1" applyBorder="1" applyAlignment="1">
      <alignment horizontal="center" vertical="center" wrapText="1"/>
    </xf>
    <xf numFmtId="2" fontId="2" fillId="0" borderId="89" xfId="0" applyNumberFormat="1" applyFont="1" applyBorder="1" applyAlignment="1">
      <alignment horizontal="center" vertical="center" wrapText="1"/>
    </xf>
    <xf numFmtId="2" fontId="2" fillId="0" borderId="85" xfId="0" applyNumberFormat="1" applyFont="1" applyBorder="1" applyAlignment="1">
      <alignment horizontal="center" vertical="center" wrapText="1"/>
    </xf>
    <xf numFmtId="2" fontId="2" fillId="0" borderId="90" xfId="0" applyNumberFormat="1" applyFont="1" applyBorder="1" applyAlignment="1">
      <alignment horizontal="center" vertical="center" wrapText="1"/>
    </xf>
    <xf numFmtId="2" fontId="2" fillId="0" borderId="70" xfId="0" applyNumberFormat="1" applyFont="1" applyBorder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2" fontId="2" fillId="0" borderId="23" xfId="0" applyNumberFormat="1" applyFont="1" applyBorder="1" applyAlignment="1">
      <alignment horizontal="center" vertical="center" wrapText="1"/>
    </xf>
    <xf numFmtId="2" fontId="2" fillId="0" borderId="9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92" xfId="0" applyNumberFormat="1" applyFont="1" applyBorder="1" applyAlignment="1">
      <alignment horizontal="center" vertical="center" wrapText="1"/>
    </xf>
    <xf numFmtId="0" fontId="4" fillId="0" borderId="84" xfId="0" applyFont="1" applyBorder="1" applyAlignment="1">
      <alignment horizontal="center" vertical="center" wrapText="1"/>
    </xf>
    <xf numFmtId="0" fontId="4" fillId="0" borderId="85" xfId="0" applyFont="1" applyBorder="1" applyAlignment="1">
      <alignment horizontal="center" vertical="center" wrapText="1"/>
    </xf>
    <xf numFmtId="0" fontId="4" fillId="0" borderId="86" xfId="0" applyFont="1" applyBorder="1" applyAlignment="1">
      <alignment horizontal="center" vertical="center" wrapText="1"/>
    </xf>
    <xf numFmtId="0" fontId="4" fillId="0" borderId="8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88" xfId="0" applyFont="1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14" fontId="4" fillId="0" borderId="56" xfId="0" applyNumberFormat="1" applyFont="1" applyBorder="1" applyAlignment="1">
      <alignment horizontal="center" vertical="center" wrapText="1"/>
    </xf>
    <xf numFmtId="14" fontId="4" fillId="0" borderId="55" xfId="0" applyNumberFormat="1" applyFont="1" applyBorder="1" applyAlignment="1">
      <alignment horizontal="center" vertical="center" wrapText="1"/>
    </xf>
    <xf numFmtId="2" fontId="3" fillId="0" borderId="55" xfId="0" applyNumberFormat="1" applyFont="1" applyBorder="1" applyAlignment="1">
      <alignment horizontal="center" vertical="center" wrapText="1"/>
    </xf>
    <xf numFmtId="2" fontId="3" fillId="2" borderId="82" xfId="0" applyNumberFormat="1" applyFont="1" applyFill="1" applyBorder="1" applyAlignment="1">
      <alignment horizontal="center" vertical="center" wrapText="1"/>
    </xf>
    <xf numFmtId="0" fontId="0" fillId="2" borderId="82" xfId="0" applyFill="1" applyBorder="1" applyAlignment="1">
      <alignment horizontal="center" vertical="center" wrapText="1"/>
    </xf>
    <xf numFmtId="0" fontId="0" fillId="2" borderId="57" xfId="0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4" fontId="4" fillId="0" borderId="32" xfId="0" applyNumberFormat="1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2" fontId="3" fillId="0" borderId="21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2" fontId="2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20" fontId="2" fillId="0" borderId="42" xfId="0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2" fontId="2" fillId="0" borderId="12" xfId="0" applyNumberFormat="1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20" fontId="2" fillId="0" borderId="41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49" fontId="3" fillId="0" borderId="18" xfId="0" applyNumberFormat="1" applyFont="1" applyBorder="1" applyAlignment="1">
      <alignment horizontal="center" vertical="center" wrapText="1"/>
    </xf>
    <xf numFmtId="20" fontId="5" fillId="0" borderId="30" xfId="0" applyNumberFormat="1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20" fontId="5" fillId="0" borderId="49" xfId="0" applyNumberFormat="1" applyFont="1" applyBorder="1" applyAlignment="1">
      <alignment horizontal="center" vertical="center" wrapText="1"/>
    </xf>
    <xf numFmtId="20" fontId="5" fillId="0" borderId="10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49" fontId="2" fillId="0" borderId="18" xfId="0" applyNumberFormat="1" applyFont="1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2" fontId="2" fillId="0" borderId="18" xfId="0" applyNumberFormat="1" applyFont="1" applyBorder="1" applyAlignment="1">
      <alignment horizontal="center" vertical="center" wrapText="1"/>
    </xf>
    <xf numFmtId="2" fontId="7" fillId="0" borderId="10" xfId="0" applyNumberFormat="1" applyFont="1" applyBorder="1" applyAlignment="1">
      <alignment horizontal="center" vertical="center" wrapText="1"/>
    </xf>
    <xf numFmtId="2" fontId="5" fillId="0" borderId="10" xfId="0" applyNumberFormat="1" applyFont="1" applyBorder="1" applyAlignment="1">
      <alignment horizontal="center" vertical="center" wrapText="1"/>
    </xf>
    <xf numFmtId="20" fontId="5" fillId="0" borderId="48" xfId="0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2" fontId="5" fillId="0" borderId="8" xfId="0" applyNumberFormat="1" applyFont="1" applyBorder="1" applyAlignment="1">
      <alignment horizontal="center" vertical="center" wrapText="1"/>
    </xf>
    <xf numFmtId="2" fontId="3" fillId="0" borderId="8" xfId="0" applyNumberFormat="1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2" fontId="3" fillId="0" borderId="10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2" fontId="3" fillId="0" borderId="18" xfId="0" applyNumberFormat="1" applyFont="1" applyBorder="1" applyAlignment="1">
      <alignment horizontal="center" vertical="center" wrapText="1"/>
    </xf>
    <xf numFmtId="0" fontId="15" fillId="0" borderId="53" xfId="0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/>
    </xf>
    <xf numFmtId="0" fontId="16" fillId="0" borderId="51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 wrapText="1"/>
    </xf>
    <xf numFmtId="0" fontId="4" fillId="0" borderId="55" xfId="0" applyFont="1" applyBorder="1" applyAlignment="1">
      <alignment horizontal="center" vertical="center" wrapText="1"/>
    </xf>
    <xf numFmtId="0" fontId="23" fillId="0" borderId="54" xfId="0" applyFont="1" applyBorder="1" applyAlignment="1">
      <alignment horizontal="center" vertical="center"/>
    </xf>
    <xf numFmtId="0" fontId="23" fillId="0" borderId="50" xfId="0" applyFont="1" applyBorder="1" applyAlignment="1">
      <alignment horizontal="center" vertical="center"/>
    </xf>
    <xf numFmtId="0" fontId="23" fillId="0" borderId="55" xfId="0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21" fillId="0" borderId="50" xfId="0" applyFont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 vertical="center"/>
    </xf>
    <xf numFmtId="0" fontId="21" fillId="5" borderId="57" xfId="0" applyFont="1" applyFill="1" applyBorder="1" applyAlignment="1">
      <alignment horizontal="center" vertical="center"/>
    </xf>
    <xf numFmtId="180" fontId="21" fillId="5" borderId="57" xfId="0" applyNumberFormat="1" applyFont="1" applyFill="1" applyBorder="1" applyAlignment="1">
      <alignment horizontal="center" vertical="center"/>
    </xf>
    <xf numFmtId="178" fontId="21" fillId="5" borderId="57" xfId="0" applyNumberFormat="1" applyFont="1" applyFill="1" applyBorder="1" applyAlignment="1">
      <alignment horizontal="center" vertical="center"/>
    </xf>
    <xf numFmtId="0" fontId="21" fillId="0" borderId="59" xfId="0" applyFont="1" applyBorder="1" applyAlignment="1">
      <alignment horizontal="center" vertical="center"/>
    </xf>
    <xf numFmtId="0" fontId="21" fillId="0" borderId="60" xfId="0" applyFont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0" fontId="21" fillId="0" borderId="65" xfId="0" applyFont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0" fontId="21" fillId="0" borderId="72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0" borderId="67" xfId="0" applyFont="1" applyBorder="1" applyAlignment="1">
      <alignment horizontal="center" vertical="center"/>
    </xf>
    <xf numFmtId="0" fontId="21" fillId="0" borderId="68" xfId="0" applyFont="1" applyBorder="1" applyAlignment="1">
      <alignment horizontal="center" vertical="center"/>
    </xf>
    <xf numFmtId="0" fontId="21" fillId="0" borderId="7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71" xfId="0" applyFont="1" applyBorder="1" applyAlignment="1">
      <alignment horizontal="center" vertical="center"/>
    </xf>
    <xf numFmtId="0" fontId="21" fillId="0" borderId="73" xfId="0" applyFont="1" applyBorder="1" applyAlignment="1">
      <alignment horizontal="center" vertical="center"/>
    </xf>
    <xf numFmtId="0" fontId="21" fillId="0" borderId="74" xfId="0" applyFont="1" applyBorder="1" applyAlignment="1">
      <alignment horizontal="center" vertical="center"/>
    </xf>
    <xf numFmtId="0" fontId="21" fillId="0" borderId="75" xfId="0" applyFont="1" applyBorder="1" applyAlignment="1">
      <alignment horizontal="center" vertical="center"/>
    </xf>
    <xf numFmtId="0" fontId="21" fillId="0" borderId="61" xfId="0" applyFont="1" applyBorder="1" applyAlignment="1">
      <alignment horizontal="center" vertical="center"/>
    </xf>
    <xf numFmtId="0" fontId="21" fillId="0" borderId="62" xfId="0" applyFont="1" applyBorder="1" applyAlignment="1">
      <alignment horizontal="center" vertical="center"/>
    </xf>
    <xf numFmtId="0" fontId="19" fillId="3" borderId="53" xfId="0" applyFont="1" applyFill="1" applyBorder="1" applyAlignment="1">
      <alignment horizontal="center" vertical="center"/>
    </xf>
    <xf numFmtId="0" fontId="19" fillId="3" borderId="52" xfId="0" applyFont="1" applyFill="1" applyBorder="1" applyAlignment="1">
      <alignment horizontal="center" vertical="center"/>
    </xf>
    <xf numFmtId="0" fontId="19" fillId="3" borderId="51" xfId="0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20" fillId="3" borderId="47" xfId="0" applyFont="1" applyFill="1" applyBorder="1" applyAlignment="1">
      <alignment horizontal="center" vertical="center"/>
    </xf>
    <xf numFmtId="0" fontId="19" fillId="0" borderId="56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/>
    </xf>
    <xf numFmtId="0" fontId="19" fillId="0" borderId="55" xfId="0" applyFont="1" applyBorder="1" applyAlignment="1">
      <alignment horizontal="center" vertical="center"/>
    </xf>
    <xf numFmtId="0" fontId="19" fillId="0" borderId="54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95" xfId="0" applyFont="1" applyBorder="1" applyAlignment="1">
      <alignment horizontal="center" vertical="center" wrapText="1"/>
    </xf>
    <xf numFmtId="2" fontId="2" fillId="0" borderId="96" xfId="0" applyNumberFormat="1" applyFont="1" applyBorder="1" applyAlignment="1">
      <alignment horizontal="center" vertical="center" wrapText="1"/>
    </xf>
    <xf numFmtId="2" fontId="2" fillId="0" borderId="0" xfId="0" applyNumberFormat="1" applyFont="1" applyBorder="1" applyAlignment="1">
      <alignment horizontal="center" vertical="center" wrapText="1"/>
    </xf>
    <xf numFmtId="2" fontId="2" fillId="0" borderId="97" xfId="0" applyNumberFormat="1" applyFont="1" applyBorder="1" applyAlignment="1">
      <alignment horizontal="center" vertical="center" wrapText="1"/>
    </xf>
    <xf numFmtId="2" fontId="3" fillId="0" borderId="98" xfId="0" applyNumberFormat="1" applyFont="1" applyBorder="1" applyAlignment="1">
      <alignment horizontal="center" vertical="center" wrapText="1"/>
    </xf>
    <xf numFmtId="2" fontId="3" fillId="0" borderId="99" xfId="0" applyNumberFormat="1" applyFont="1" applyBorder="1" applyAlignment="1">
      <alignment horizontal="center" vertical="center" wrapText="1"/>
    </xf>
    <xf numFmtId="2" fontId="3" fillId="0" borderId="100" xfId="0" applyNumberFormat="1" applyFont="1" applyBorder="1" applyAlignment="1">
      <alignment horizontal="center" vertical="center" wrapText="1"/>
    </xf>
    <xf numFmtId="14" fontId="4" fillId="0" borderId="101" xfId="0" applyNumberFormat="1" applyFont="1" applyBorder="1" applyAlignment="1">
      <alignment horizontal="center" vertical="center" wrapText="1"/>
    </xf>
    <xf numFmtId="14" fontId="4" fillId="0" borderId="10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49" fontId="2" fillId="0" borderId="17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49" fontId="2" fillId="0" borderId="0" xfId="0" applyNumberFormat="1" applyFont="1" applyBorder="1" applyAlignment="1">
      <alignment horizontal="center" vertical="center" wrapText="1"/>
    </xf>
    <xf numFmtId="49" fontId="2" fillId="0" borderId="19" xfId="0" applyNumberFormat="1" applyFont="1" applyBorder="1" applyAlignment="1">
      <alignment horizontal="center" vertical="center" wrapText="1"/>
    </xf>
    <xf numFmtId="49" fontId="2" fillId="0" borderId="46" xfId="0" applyNumberFormat="1" applyFont="1" applyBorder="1" applyAlignment="1">
      <alignment horizontal="center" vertical="center" wrapText="1"/>
    </xf>
    <xf numFmtId="49" fontId="2" fillId="0" borderId="44" xfId="0" applyNumberFormat="1" applyFont="1" applyBorder="1" applyAlignment="1">
      <alignment horizontal="center" vertical="center" wrapText="1"/>
    </xf>
    <xf numFmtId="49" fontId="2" fillId="0" borderId="45" xfId="0" applyNumberFormat="1" applyFont="1" applyBorder="1" applyAlignment="1">
      <alignment horizontal="center" vertical="center" wrapText="1"/>
    </xf>
    <xf numFmtId="20" fontId="2" fillId="0" borderId="17" xfId="0" applyNumberFormat="1" applyFont="1" applyBorder="1" applyAlignment="1">
      <alignment horizontal="center" vertical="center" wrapText="1"/>
    </xf>
    <xf numFmtId="20" fontId="2" fillId="0" borderId="13" xfId="0" applyNumberFormat="1" applyFont="1" applyBorder="1" applyAlignment="1">
      <alignment horizontal="center" vertical="center" wrapText="1"/>
    </xf>
    <xf numFmtId="20" fontId="2" fillId="0" borderId="0" xfId="0" applyNumberFormat="1" applyFont="1" applyBorder="1" applyAlignment="1">
      <alignment horizontal="center" vertical="center" wrapText="1"/>
    </xf>
    <xf numFmtId="20" fontId="2" fillId="0" borderId="19" xfId="0" applyNumberFormat="1" applyFont="1" applyBorder="1" applyAlignment="1">
      <alignment horizontal="center" vertical="center" wrapText="1"/>
    </xf>
    <xf numFmtId="20" fontId="2" fillId="0" borderId="43" xfId="0" applyNumberFormat="1" applyFont="1" applyBorder="1" applyAlignment="1">
      <alignment horizontal="center" vertical="center" wrapText="1"/>
    </xf>
    <xf numFmtId="20" fontId="2" fillId="0" borderId="44" xfId="0" applyNumberFormat="1" applyFont="1" applyBorder="1" applyAlignment="1">
      <alignment horizontal="center" vertical="center" wrapText="1"/>
    </xf>
    <xf numFmtId="20" fontId="2" fillId="0" borderId="45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20" fontId="5" fillId="0" borderId="11" xfId="0" applyNumberFormat="1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2" fontId="2" fillId="0" borderId="17" xfId="0" applyNumberFormat="1" applyFont="1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2" fontId="2" fillId="0" borderId="19" xfId="0" applyNumberFormat="1" applyFont="1" applyBorder="1" applyAlignment="1">
      <alignment horizontal="center" vertical="center" wrapText="1"/>
    </xf>
    <xf numFmtId="2" fontId="2" fillId="0" borderId="14" xfId="0" applyNumberFormat="1" applyFont="1" applyBorder="1" applyAlignment="1">
      <alignment horizontal="center" vertical="center" wrapText="1"/>
    </xf>
    <xf numFmtId="2" fontId="2" fillId="0" borderId="38" xfId="0" applyNumberFormat="1" applyFont="1" applyBorder="1" applyAlignment="1">
      <alignment horizontal="center" vertical="center" wrapText="1"/>
    </xf>
    <xf numFmtId="2" fontId="2" fillId="0" borderId="15" xfId="0" applyNumberFormat="1" applyFont="1" applyBorder="1" applyAlignment="1">
      <alignment horizontal="center" vertical="center" wrapText="1"/>
    </xf>
    <xf numFmtId="20" fontId="2" fillId="0" borderId="32" xfId="0" applyNumberFormat="1" applyFont="1" applyBorder="1" applyAlignment="1">
      <alignment horizontal="center" vertical="center" wrapText="1"/>
    </xf>
    <xf numFmtId="20" fontId="2" fillId="0" borderId="38" xfId="0" applyNumberFormat="1" applyFont="1" applyBorder="1" applyAlignment="1">
      <alignment horizontal="center" vertical="center" wrapText="1"/>
    </xf>
    <xf numFmtId="20" fontId="2" fillId="0" borderId="15" xfId="0" applyNumberFormat="1" applyFont="1" applyBorder="1" applyAlignment="1">
      <alignment horizontal="center" vertical="center" wrapText="1"/>
    </xf>
    <xf numFmtId="2" fontId="5" fillId="0" borderId="30" xfId="0" applyNumberFormat="1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49" fontId="2" fillId="0" borderId="14" xfId="0" applyNumberFormat="1" applyFont="1" applyBorder="1" applyAlignment="1">
      <alignment horizontal="center" vertical="center" wrapText="1"/>
    </xf>
    <xf numFmtId="49" fontId="2" fillId="0" borderId="38" xfId="0" applyNumberFormat="1" applyFont="1" applyBorder="1" applyAlignment="1">
      <alignment horizontal="center" vertical="center" wrapText="1"/>
    </xf>
    <xf numFmtId="49" fontId="2" fillId="0" borderId="15" xfId="0" applyNumberFormat="1" applyFont="1" applyBorder="1" applyAlignment="1">
      <alignment horizontal="center" vertical="center" wrapText="1"/>
    </xf>
    <xf numFmtId="2" fontId="3" fillId="0" borderId="17" xfId="0" applyNumberFormat="1" applyFont="1" applyBorder="1" applyAlignment="1">
      <alignment horizontal="center" vertical="center" wrapText="1"/>
    </xf>
    <xf numFmtId="2" fontId="3" fillId="0" borderId="13" xfId="0" applyNumberFormat="1" applyFont="1" applyBorder="1" applyAlignment="1">
      <alignment horizontal="center" vertical="center" wrapText="1"/>
    </xf>
    <xf numFmtId="2" fontId="3" fillId="0" borderId="0" xfId="0" applyNumberFormat="1" applyFont="1" applyBorder="1" applyAlignment="1">
      <alignment horizontal="center" vertical="center" wrapText="1"/>
    </xf>
    <xf numFmtId="2" fontId="3" fillId="0" borderId="19" xfId="0" applyNumberFormat="1" applyFont="1" applyBorder="1" applyAlignment="1">
      <alignment horizontal="center" vertical="center" wrapText="1"/>
    </xf>
    <xf numFmtId="2" fontId="3" fillId="0" borderId="14" xfId="0" applyNumberFormat="1" applyFont="1" applyBorder="1" applyAlignment="1">
      <alignment horizontal="center" vertical="center" wrapText="1"/>
    </xf>
    <xf numFmtId="2" fontId="3" fillId="0" borderId="38" xfId="0" applyNumberFormat="1" applyFont="1" applyBorder="1" applyAlignment="1">
      <alignment horizontal="center" vertical="center" wrapText="1"/>
    </xf>
    <xf numFmtId="2" fontId="3" fillId="0" borderId="15" xfId="0" applyNumberFormat="1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49" fontId="3" fillId="0" borderId="17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49" fontId="3" fillId="0" borderId="0" xfId="0" applyNumberFormat="1" applyFont="1" applyBorder="1" applyAlignment="1">
      <alignment horizontal="center" vertical="center" wrapText="1"/>
    </xf>
    <xf numFmtId="49" fontId="3" fillId="0" borderId="19" xfId="0" applyNumberFormat="1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49" fontId="3" fillId="0" borderId="38" xfId="0" applyNumberFormat="1" applyFont="1" applyBorder="1" applyAlignment="1">
      <alignment horizontal="center" vertical="center" wrapText="1"/>
    </xf>
    <xf numFmtId="49" fontId="3" fillId="0" borderId="15" xfId="0" applyNumberFormat="1" applyFont="1" applyBorder="1" applyAlignment="1">
      <alignment horizontal="center" vertical="center" wrapText="1"/>
    </xf>
    <xf numFmtId="2" fontId="3" fillId="0" borderId="30" xfId="0" applyNumberFormat="1" applyFont="1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2" fontId="7" fillId="0" borderId="30" xfId="0" applyNumberFormat="1" applyFont="1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2" fontId="3" fillId="0" borderId="23" xfId="0" applyNumberFormat="1" applyFont="1" applyBorder="1" applyAlignment="1">
      <alignment horizontal="center" vertical="center" wrapText="1"/>
    </xf>
    <xf numFmtId="2" fontId="3" fillId="0" borderId="39" xfId="0" applyNumberFormat="1" applyFont="1" applyBorder="1" applyAlignment="1">
      <alignment horizontal="center" vertical="center" wrapText="1"/>
    </xf>
    <xf numFmtId="2" fontId="5" fillId="0" borderId="17" xfId="0" applyNumberFormat="1" applyFont="1" applyBorder="1" applyAlignment="1">
      <alignment horizontal="center" vertical="center" wrapText="1"/>
    </xf>
    <xf numFmtId="2" fontId="5" fillId="0" borderId="13" xfId="0" applyNumberFormat="1" applyFont="1" applyBorder="1" applyAlignment="1">
      <alignment horizontal="center" vertical="center" wrapText="1"/>
    </xf>
    <xf numFmtId="2" fontId="5" fillId="0" borderId="18" xfId="0" applyNumberFormat="1" applyFont="1" applyBorder="1" applyAlignment="1">
      <alignment horizontal="center" vertical="center" wrapText="1"/>
    </xf>
    <xf numFmtId="2" fontId="5" fillId="0" borderId="0" xfId="0" applyNumberFormat="1" applyFont="1" applyBorder="1" applyAlignment="1">
      <alignment horizontal="center" vertical="center" wrapText="1"/>
    </xf>
    <xf numFmtId="2" fontId="5" fillId="0" borderId="19" xfId="0" applyNumberFormat="1" applyFont="1" applyBorder="1" applyAlignment="1">
      <alignment horizontal="center" vertical="center" wrapText="1"/>
    </xf>
    <xf numFmtId="2" fontId="5" fillId="0" borderId="14" xfId="0" applyNumberFormat="1" applyFont="1" applyBorder="1" applyAlignment="1">
      <alignment horizontal="center" vertical="center" wrapText="1"/>
    </xf>
    <xf numFmtId="2" fontId="5" fillId="0" borderId="38" xfId="0" applyNumberFormat="1" applyFont="1" applyBorder="1" applyAlignment="1">
      <alignment horizontal="center" vertical="center" wrapText="1"/>
    </xf>
    <xf numFmtId="2" fontId="5" fillId="0" borderId="15" xfId="0" applyNumberFormat="1" applyFont="1" applyBorder="1" applyAlignment="1">
      <alignment horizontal="center" vertical="center" wrapText="1"/>
    </xf>
    <xf numFmtId="2" fontId="3" fillId="0" borderId="16" xfId="0" applyNumberFormat="1" applyFont="1" applyBorder="1" applyAlignment="1">
      <alignment horizontal="center" vertical="center" wrapText="1"/>
    </xf>
    <xf numFmtId="2" fontId="3" fillId="0" borderId="20" xfId="0" applyNumberFormat="1" applyFont="1" applyBorder="1" applyAlignment="1">
      <alignment horizontal="center" vertical="center" wrapText="1"/>
    </xf>
    <xf numFmtId="2" fontId="5" fillId="0" borderId="16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20" fontId="5" fillId="0" borderId="16" xfId="0" applyNumberFormat="1" applyFont="1" applyBorder="1" applyAlignment="1">
      <alignment horizontal="center" vertical="center" wrapText="1"/>
    </xf>
    <xf numFmtId="20" fontId="5" fillId="0" borderId="9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1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calcChain" Target="calcChain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/Relationships>
</file>

<file path=xl/charts/_rels/chart1.xml.rels>&#65279;<?xml version="1.0" encoding="utf-8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2.xml.rels>&#65279;<?xml version="1.0" encoding="utf-8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_rels/chart3.xml.rels>&#65279;<?xml version="1.0" encoding="utf-8"?><Relationships xmlns="http://schemas.openxmlformats.org/package/2006/relationships"><Relationship Id="rId1" Type="http://schemas.microsoft.com/office/2011/relationships/chartStyle" Target="style3.xml" /><Relationship Id="rId2" Type="http://schemas.microsoft.com/office/2011/relationships/chartColorStyle" Target="colors3.xml" /></Relationships>
</file>

<file path=xl/charts/_rels/chart4.xml.rels>&#65279;<?xml version="1.0" encoding="utf-8"?><Relationships xmlns="http://schemas.openxmlformats.org/package/2006/relationships"><Relationship Id="rId1" Type="http://schemas.microsoft.com/office/2011/relationships/chartStyle" Target="style4.xml" /><Relationship Id="rId2" Type="http://schemas.microsoft.com/office/2011/relationships/chartColorStyle" Target="colors4.xml" /></Relationships>
</file>

<file path=xl/charts/_rels/chart5.xml.rels>&#65279;<?xml version="1.0" encoding="utf-8"?><Relationships xmlns="http://schemas.openxmlformats.org/package/2006/relationships"><Relationship Id="rId1" Type="http://schemas.microsoft.com/office/2011/relationships/chartStyle" Target="style5.xml" /><Relationship Id="rId2" Type="http://schemas.microsoft.com/office/2011/relationships/chartColorStyle" Target="colors5.xml" /></Relationships>
</file>

<file path=xl/charts/_rels/chart6.xml.rels>&#65279;<?xml version="1.0" encoding="utf-8"?><Relationships xmlns="http://schemas.openxmlformats.org/package/2006/relationships"><Relationship Id="rId1" Type="http://schemas.microsoft.com/office/2011/relationships/chartStyle" Target="style6.xml" /><Relationship Id="rId2" Type="http://schemas.microsoft.com/office/2011/relationships/chartColorStyle" Target="colors6.xml" /></Relationships>
</file>

<file path=xl/charts/_rels/chart7.xml.rels>&#65279;<?xml version="1.0" encoding="utf-8"?><Relationships xmlns="http://schemas.openxmlformats.org/package/2006/relationships"><Relationship Id="rId1" Type="http://schemas.microsoft.com/office/2011/relationships/chartStyle" Target="style7.xml" /><Relationship Id="rId2" Type="http://schemas.microsoft.com/office/2011/relationships/chartColorStyle" Target="colors7.xml" /></Relationships>
</file>

<file path=xl/charts/_rels/chart8.xml.rels>&#65279;<?xml version="1.0" encoding="utf-8"?><Relationships xmlns="http://schemas.openxmlformats.org/package/2006/relationships"><Relationship Id="rId1" Type="http://schemas.microsoft.com/office/2011/relationships/chartStyle" Target="style8.xml" /><Relationship Id="rId2" Type="http://schemas.microsoft.com/office/2011/relationships/chartColorStyle" Target="colors8.xml" /></Relationships>
</file>

<file path=xl/charts/_rels/chart9.xml.rels>&#65279;<?xml version="1.0" encoding="utf-8"?><Relationships xmlns="http://schemas.openxmlformats.org/package/2006/relationships"><Relationship Id="rId1" Type="http://schemas.microsoft.com/office/2011/relationships/chartStyle" Target="style9.xml" /><Relationship Id="rId2" Type="http://schemas.microsoft.com/office/2011/relationships/chartColorStyle" Target="colors9.xml" /></Relationships>
</file>

<file path=xl/charts/_rels/chart10.xml.rels>&#65279;<?xml version="1.0" encoding="utf-8"?><Relationships xmlns="http://schemas.openxmlformats.org/package/2006/relationships"><Relationship Id="rId1" Type="http://schemas.microsoft.com/office/2011/relationships/chartStyle" Target="style10.xml" /><Relationship Id="rId2" Type="http://schemas.microsoft.com/office/2011/relationships/chartColorStyle" Target="colors10.xml" /></Relationships>
</file>

<file path=xl/charts/_rels/chart11.xml.rels>&#65279;<?xml version="1.0" encoding="utf-8"?><Relationships xmlns="http://schemas.openxmlformats.org/package/2006/relationships"><Relationship Id="rId1" Type="http://schemas.microsoft.com/office/2011/relationships/chartStyle" Target="style11.xml" /><Relationship Id="rId2" Type="http://schemas.microsoft.com/office/2011/relationships/chartColorStyle" Target="colors11.xml" /></Relationships>
</file>

<file path=xl/charts/_rels/chart12.xml.rels>&#65279;<?xml version="1.0" encoding="utf-8"?><Relationships xmlns="http://schemas.openxmlformats.org/package/2006/relationships"><Relationship Id="rId1" Type="http://schemas.microsoft.com/office/2011/relationships/chartStyle" Target="style12.xml" /><Relationship Id="rId2" Type="http://schemas.microsoft.com/office/2011/relationships/chartColorStyle" Target="colors12.xml" /></Relationships>
</file>

<file path=xl/charts/_rels/chart13.xml.rels>&#65279;<?xml version="1.0" encoding="utf-8"?><Relationships xmlns="http://schemas.openxmlformats.org/package/2006/relationships"><Relationship Id="rId1" Type="http://schemas.microsoft.com/office/2011/relationships/chartStyle" Target="style13.xml" /><Relationship Id="rId2" Type="http://schemas.microsoft.com/office/2011/relationships/chartColorStyle" Target="colors13.xml" /></Relationships>
</file>

<file path=xl/charts/_rels/chart14.xml.rels>&#65279;<?xml version="1.0" encoding="utf-8"?><Relationships xmlns="http://schemas.openxmlformats.org/package/2006/relationships"><Relationship Id="rId1" Type="http://schemas.microsoft.com/office/2011/relationships/chartStyle" Target="style14.xml" /><Relationship Id="rId2" Type="http://schemas.microsoft.com/office/2011/relationships/chartColorStyle" Target="colors14.xml" /></Relationships>
</file>

<file path=xl/charts/_rels/chart15.xml.rels>&#65279;<?xml version="1.0" encoding="utf-8"?><Relationships xmlns="http://schemas.openxmlformats.org/package/2006/relationships"><Relationship Id="rId1" Type="http://schemas.microsoft.com/office/2011/relationships/chartStyle" Target="style15.xml" /><Relationship Id="rId2" Type="http://schemas.microsoft.com/office/2011/relationships/chartColorStyle" Target="colors15.xml" /></Relationships>
</file>

<file path=xl/charts/_rels/chart16.xml.rels>&#65279;<?xml version="1.0" encoding="utf-8"?><Relationships xmlns="http://schemas.openxmlformats.org/package/2006/relationships"><Relationship Id="rId1" Type="http://schemas.microsoft.com/office/2011/relationships/chartStyle" Target="style16.xml" /><Relationship Id="rId2" Type="http://schemas.microsoft.com/office/2011/relationships/chartColorStyle" Target="colors16.xml" /></Relationships>
</file>

<file path=xl/charts/_rels/chart17.xml.rels>&#65279;<?xml version="1.0" encoding="utf-8"?><Relationships xmlns="http://schemas.openxmlformats.org/package/2006/relationships"><Relationship Id="rId1" Type="http://schemas.microsoft.com/office/2011/relationships/chartStyle" Target="style17.xml" /><Relationship Id="rId2" Type="http://schemas.microsoft.com/office/2011/relationships/chartColorStyle" Target="colors17.xml" /></Relationships>
</file>

<file path=xl/charts/_rels/chart18.xml.rels>&#65279;<?xml version="1.0" encoding="utf-8"?><Relationships xmlns="http://schemas.openxmlformats.org/package/2006/relationships"><Relationship Id="rId1" Type="http://schemas.microsoft.com/office/2011/relationships/chartStyle" Target="style18.xml" /><Relationship Id="rId2" Type="http://schemas.microsoft.com/office/2011/relationships/chartColorStyle" Target="colors18.xml" /></Relationships>
</file>

<file path=xl/charts/_rels/chart19.xml.rels>&#65279;<?xml version="1.0" encoding="utf-8"?><Relationships xmlns="http://schemas.openxmlformats.org/package/2006/relationships"><Relationship Id="rId1" Type="http://schemas.microsoft.com/office/2011/relationships/chartStyle" Target="style19.xml" /><Relationship Id="rId2" Type="http://schemas.microsoft.com/office/2011/relationships/chartColorStyle" Target="colors19.xml" /></Relationships>
</file>

<file path=xl/charts/_rels/chart20.xml.rels>&#65279;<?xml version="1.0" encoding="utf-8"?><Relationships xmlns="http://schemas.openxmlformats.org/package/2006/relationships"><Relationship Id="rId1" Type="http://schemas.microsoft.com/office/2011/relationships/chartStyle" Target="style20.xml" /><Relationship Id="rId2" Type="http://schemas.microsoft.com/office/2011/relationships/chartColorStyle" Target="colors20.xml" /></Relationships>
</file>

<file path=xl/charts/_rels/chart21.xml.rels>&#65279;<?xml version="1.0" encoding="utf-8"?><Relationships xmlns="http://schemas.openxmlformats.org/package/2006/relationships"><Relationship Id="rId1" Type="http://schemas.microsoft.com/office/2011/relationships/chartStyle" Target="style21.xml" /><Relationship Id="rId2" Type="http://schemas.microsoft.com/office/2011/relationships/chartColorStyle" Target="colors21.xml" /></Relationships>
</file>

<file path=xl/charts/_rels/chart22.xml.rels>&#65279;<?xml version="1.0" encoding="utf-8"?><Relationships xmlns="http://schemas.openxmlformats.org/package/2006/relationships"><Relationship Id="rId1" Type="http://schemas.microsoft.com/office/2011/relationships/chartStyle" Target="style22.xml" /><Relationship Id="rId2" Type="http://schemas.microsoft.com/office/2011/relationships/chartColorStyle" Target="colors22.xml" /></Relationships>
</file>

<file path=xl/charts/_rels/chart23.xml.rels>&#65279;<?xml version="1.0" encoding="utf-8"?><Relationships xmlns="http://schemas.openxmlformats.org/package/2006/relationships"><Relationship Id="rId1" Type="http://schemas.microsoft.com/office/2011/relationships/chartStyle" Target="style23.xml" /><Relationship Id="rId2" Type="http://schemas.microsoft.com/office/2011/relationships/chartColorStyle" Target="colors23.xml" /></Relationships>
</file>

<file path=xl/charts/_rels/chart24.xml.rels>&#65279;<?xml version="1.0" encoding="utf-8"?><Relationships xmlns="http://schemas.openxmlformats.org/package/2006/relationships"><Relationship Id="rId1" Type="http://schemas.microsoft.com/office/2011/relationships/chartStyle" Target="style24.xml" /><Relationship Id="rId2" Type="http://schemas.microsoft.com/office/2011/relationships/chartColorStyle" Target="colors24.xml" /></Relationships>
</file>

<file path=xl/charts/_rels/chart25.xml.rels>&#65279;<?xml version="1.0" encoding="utf-8"?><Relationships xmlns="http://schemas.openxmlformats.org/package/2006/relationships"><Relationship Id="rId1" Type="http://schemas.microsoft.com/office/2011/relationships/chartStyle" Target="style25.xml" /><Relationship Id="rId2" Type="http://schemas.microsoft.com/office/2011/relationships/chartColorStyle" Target="colors25.xml" /></Relationships>
</file>

<file path=xl/charts/_rels/chart26.xml.rels>&#65279;<?xml version="1.0" encoding="utf-8"?><Relationships xmlns="http://schemas.openxmlformats.org/package/2006/relationships"><Relationship Id="rId1" Type="http://schemas.microsoft.com/office/2011/relationships/chartStyle" Target="style26.xml" /><Relationship Id="rId2" Type="http://schemas.microsoft.com/office/2011/relationships/chartColorStyle" Target="colors26.xml" /></Relationships>
</file>

<file path=xl/charts/_rels/chart27.xml.rels>&#65279;<?xml version="1.0" encoding="utf-8"?><Relationships xmlns="http://schemas.openxmlformats.org/package/2006/relationships"><Relationship Id="rId1" Type="http://schemas.microsoft.com/office/2011/relationships/chartStyle" Target="style27.xml" /><Relationship Id="rId2" Type="http://schemas.microsoft.com/office/2011/relationships/chartColorStyle" Target="colors27.xml" /></Relationships>
</file>

<file path=xl/charts/_rels/chart28.xml.rels>&#65279;<?xml version="1.0" encoding="utf-8"?><Relationships xmlns="http://schemas.openxmlformats.org/package/2006/relationships"><Relationship Id="rId1" Type="http://schemas.microsoft.com/office/2011/relationships/chartStyle" Target="style28.xml" /><Relationship Id="rId2" Type="http://schemas.microsoft.com/office/2011/relationships/chartColorStyle" Target="colors28.xml" /></Relationships>
</file>

<file path=xl/charts/_rels/chart29.xml.rels>&#65279;<?xml version="1.0" encoding="utf-8"?><Relationships xmlns="http://schemas.openxmlformats.org/package/2006/relationships"><Relationship Id="rId1" Type="http://schemas.microsoft.com/office/2011/relationships/chartStyle" Target="style29.xml" /><Relationship Id="rId2" Type="http://schemas.microsoft.com/office/2011/relationships/chartColorStyle" Target="colors29.xml" /></Relationships>
</file>

<file path=xl/charts/_rels/chart30.xml.rels>&#65279;<?xml version="1.0" encoding="utf-8"?><Relationships xmlns="http://schemas.openxmlformats.org/package/2006/relationships"><Relationship Id="rId1" Type="http://schemas.microsoft.com/office/2011/relationships/chartStyle" Target="style30.xml" /><Relationship Id="rId2" Type="http://schemas.microsoft.com/office/2011/relationships/chartColorStyle" Target="colors30.xml" /></Relationships>
</file>

<file path=xl/charts/_rels/chart31.xml.rels>&#65279;<?xml version="1.0" encoding="utf-8"?><Relationships xmlns="http://schemas.openxmlformats.org/package/2006/relationships"><Relationship Id="rId1" Type="http://schemas.microsoft.com/office/2011/relationships/chartStyle" Target="style31.xml" /><Relationship Id="rId2" Type="http://schemas.microsoft.com/office/2011/relationships/chartColorStyle" Target="colors31.xml" /></Relationships>
</file>

<file path=xl/charts/_rels/chart32.xml.rels>&#65279;<?xml version="1.0" encoding="utf-8"?><Relationships xmlns="http://schemas.openxmlformats.org/package/2006/relationships"><Relationship Id="rId1" Type="http://schemas.microsoft.com/office/2011/relationships/chartStyle" Target="style32.xml" /><Relationship Id="rId2" Type="http://schemas.microsoft.com/office/2011/relationships/chartColorStyle" Target="colors32.xml" /></Relationships>
</file>

<file path=xl/charts/_rels/chart33.xml.rels>&#65279;<?xml version="1.0" encoding="utf-8"?><Relationships xmlns="http://schemas.openxmlformats.org/package/2006/relationships"><Relationship Id="rId1" Type="http://schemas.microsoft.com/office/2011/relationships/chartStyle" Target="style33.xml" /><Relationship Id="rId2" Type="http://schemas.microsoft.com/office/2011/relationships/chartColorStyle" Target="colors33.xml" /></Relationships>
</file>

<file path=xl/charts/_rels/chart34.xml.rels>&#65279;<?xml version="1.0" encoding="utf-8"?><Relationships xmlns="http://schemas.openxmlformats.org/package/2006/relationships"><Relationship Id="rId1" Type="http://schemas.microsoft.com/office/2011/relationships/chartStyle" Target="style34.xml" /><Relationship Id="rId2" Type="http://schemas.microsoft.com/office/2011/relationships/chartColorStyle" Target="colors34.xml" /></Relationships>
</file>

<file path=xl/charts/_rels/chart35.xml.rels>&#65279;<?xml version="1.0" encoding="utf-8"?><Relationships xmlns="http://schemas.openxmlformats.org/package/2006/relationships"><Relationship Id="rId1" Type="http://schemas.microsoft.com/office/2011/relationships/chartStyle" Target="style35.xml" /><Relationship Id="rId2" Type="http://schemas.microsoft.com/office/2011/relationships/chartColorStyle" Target="colors35.xml" /></Relationships>
</file>

<file path=xl/charts/_rels/chart36.xml.rels>&#65279;<?xml version="1.0" encoding="utf-8"?><Relationships xmlns="http://schemas.openxmlformats.org/package/2006/relationships"><Relationship Id="rId1" Type="http://schemas.microsoft.com/office/2011/relationships/chartStyle" Target="style36.xml" /><Relationship Id="rId2" Type="http://schemas.microsoft.com/office/2011/relationships/chartColorStyle" Target="colors36.xml" /></Relationships>
</file>

<file path=xl/charts/_rels/chart37.xml.rels>&#65279;<?xml version="1.0" encoding="utf-8"?><Relationships xmlns="http://schemas.openxmlformats.org/package/2006/relationships"><Relationship Id="rId1" Type="http://schemas.microsoft.com/office/2011/relationships/chartStyle" Target="style37.xml" /><Relationship Id="rId2" Type="http://schemas.microsoft.com/office/2011/relationships/chartColorStyle" Target="colors37.xml" /></Relationships>
</file>

<file path=xl/charts/_rels/chart38.xml.rels>&#65279;<?xml version="1.0" encoding="utf-8"?><Relationships xmlns="http://schemas.openxmlformats.org/package/2006/relationships"><Relationship Id="rId1" Type="http://schemas.microsoft.com/office/2011/relationships/chartStyle" Target="style38.xml" /><Relationship Id="rId2" Type="http://schemas.microsoft.com/office/2011/relationships/chartColorStyle" Target="colors38.xml" /></Relationships>
</file>

<file path=xl/charts/_rels/chart39.xml.rels>&#65279;<?xml version="1.0" encoding="utf-8"?><Relationships xmlns="http://schemas.openxmlformats.org/package/2006/relationships"><Relationship Id="rId1" Type="http://schemas.microsoft.com/office/2011/relationships/chartStyle" Target="style39.xml" /><Relationship Id="rId2" Type="http://schemas.microsoft.com/office/2011/relationships/chartColorStyle" Target="colors39.xml" /></Relationships>
</file>

<file path=xl/charts/_rels/chart40.xml.rels>&#65279;<?xml version="1.0" encoding="utf-8"?><Relationships xmlns="http://schemas.openxmlformats.org/package/2006/relationships"><Relationship Id="rId1" Type="http://schemas.microsoft.com/office/2011/relationships/chartStyle" Target="style40.xml" /><Relationship Id="rId2" Type="http://schemas.microsoft.com/office/2011/relationships/chartColorStyle" Target="colors40.xml" /></Relationships>
</file>

<file path=xl/charts/_rels/chart41.xml.rels>&#65279;<?xml version="1.0" encoding="utf-8"?><Relationships xmlns="http://schemas.openxmlformats.org/package/2006/relationships"><Relationship Id="rId1" Type="http://schemas.microsoft.com/office/2011/relationships/chartStyle" Target="style41.xml" /><Relationship Id="rId2" Type="http://schemas.microsoft.com/office/2011/relationships/chartColorStyle" Target="colors41.xml" /></Relationships>
</file>

<file path=xl/charts/_rels/chart42.xml.rels>&#65279;<?xml version="1.0" encoding="utf-8"?><Relationships xmlns="http://schemas.openxmlformats.org/package/2006/relationships"><Relationship Id="rId1" Type="http://schemas.microsoft.com/office/2011/relationships/chartStyle" Target="style42.xml" /><Relationship Id="rId2" Type="http://schemas.microsoft.com/office/2011/relationships/chartColorStyle" Target="colors42.xml" /></Relationships>
</file>

<file path=xl/charts/_rels/chart43.xml.rels>&#65279;<?xml version="1.0" encoding="utf-8"?><Relationships xmlns="http://schemas.openxmlformats.org/package/2006/relationships"><Relationship Id="rId1" Type="http://schemas.microsoft.com/office/2011/relationships/chartStyle" Target="style43.xml" /><Relationship Id="rId2" Type="http://schemas.microsoft.com/office/2011/relationships/chartColorStyle" Target="colors43.xml" /></Relationships>
</file>

<file path=xl/charts/_rels/chart44.xml.rels>&#65279;<?xml version="1.0" encoding="utf-8"?><Relationships xmlns="http://schemas.openxmlformats.org/package/2006/relationships"><Relationship Id="rId1" Type="http://schemas.microsoft.com/office/2011/relationships/chartStyle" Target="style44.xml" /><Relationship Id="rId2" Type="http://schemas.microsoft.com/office/2011/relationships/chartColorStyle" Target="colors44.xml" /></Relationships>
</file>

<file path=xl/charts/_rels/chart45.xml.rels>&#65279;<?xml version="1.0" encoding="utf-8"?><Relationships xmlns="http://schemas.openxmlformats.org/package/2006/relationships"><Relationship Id="rId1" Type="http://schemas.microsoft.com/office/2011/relationships/chartStyle" Target="style45.xml" /><Relationship Id="rId2" Type="http://schemas.microsoft.com/office/2011/relationships/chartColorStyle" Target="colors45.xml" /></Relationships>
</file>

<file path=xl/charts/_rels/chart46.xml.rels>&#65279;<?xml version="1.0" encoding="utf-8"?><Relationships xmlns="http://schemas.openxmlformats.org/package/2006/relationships"><Relationship Id="rId1" Type="http://schemas.microsoft.com/office/2011/relationships/chartStyle" Target="style46.xml" /><Relationship Id="rId2" Type="http://schemas.microsoft.com/office/2011/relationships/chartColorStyle" Target="colors46.xml" /></Relationships>
</file>

<file path=xl/charts/_rels/chart47.xml.rels>&#65279;<?xml version="1.0" encoding="utf-8"?><Relationships xmlns="http://schemas.openxmlformats.org/package/2006/relationships"><Relationship Id="rId1" Type="http://schemas.microsoft.com/office/2011/relationships/chartStyle" Target="style47.xml" /><Relationship Id="rId2" Type="http://schemas.microsoft.com/office/2011/relationships/chartColorStyle" Target="colors47.xml" /></Relationships>
</file>

<file path=xl/charts/_rels/chart48.xml.rels>&#65279;<?xml version="1.0" encoding="utf-8"?><Relationships xmlns="http://schemas.openxmlformats.org/package/2006/relationships"><Relationship Id="rId1" Type="http://schemas.microsoft.com/office/2011/relationships/chartStyle" Target="style48.xml" /><Relationship Id="rId2" Type="http://schemas.microsoft.com/office/2011/relationships/chartColorStyle" Target="colors48.xml" /></Relationships>
</file>

<file path=xl/charts/_rels/chart49.xml.rels>&#65279;<?xml version="1.0" encoding="utf-8"?><Relationships xmlns="http://schemas.openxmlformats.org/package/2006/relationships"><Relationship Id="rId1" Type="http://schemas.microsoft.com/office/2011/relationships/chartStyle" Target="style49.xml" /><Relationship Id="rId2" Type="http://schemas.microsoft.com/office/2011/relationships/chartColorStyle" Target="colors49.xml" /></Relationships>
</file>

<file path=xl/charts/_rels/chart50.xml.rels>&#65279;<?xml version="1.0" encoding="utf-8"?><Relationships xmlns="http://schemas.openxmlformats.org/package/2006/relationships"><Relationship Id="rId1" Type="http://schemas.microsoft.com/office/2011/relationships/chartStyle" Target="style50.xml" /><Relationship Id="rId2" Type="http://schemas.microsoft.com/office/2011/relationships/chartColorStyle" Target="colors50.xml" /></Relationships>
</file>

<file path=xl/charts/_rels/chart51.xml.rels>&#65279;<?xml version="1.0" encoding="utf-8"?><Relationships xmlns="http://schemas.openxmlformats.org/package/2006/relationships"><Relationship Id="rId1" Type="http://schemas.microsoft.com/office/2011/relationships/chartStyle" Target="style51.xml" /><Relationship Id="rId2" Type="http://schemas.microsoft.com/office/2011/relationships/chartColorStyle" Target="colors51.xml" /></Relationships>
</file>

<file path=xl/charts/_rels/chart52.xml.rels>&#65279;<?xml version="1.0" encoding="utf-8"?><Relationships xmlns="http://schemas.openxmlformats.org/package/2006/relationships"><Relationship Id="rId1" Type="http://schemas.microsoft.com/office/2011/relationships/chartStyle" Target="style52.xml" /><Relationship Id="rId2" Type="http://schemas.microsoft.com/office/2011/relationships/chartColorStyle" Target="colors52.xml" /></Relationships>
</file>

<file path=xl/charts/_rels/chart53.xml.rels>&#65279;<?xml version="1.0" encoding="utf-8"?><Relationships xmlns="http://schemas.openxmlformats.org/package/2006/relationships"><Relationship Id="rId1" Type="http://schemas.microsoft.com/office/2011/relationships/chartStyle" Target="style53.xml" /><Relationship Id="rId2" Type="http://schemas.microsoft.com/office/2011/relationships/chartColorStyle" Target="colors53.xml" /></Relationships>
</file>

<file path=xl/charts/_rels/chart54.xml.rels>&#65279;<?xml version="1.0" encoding="utf-8"?><Relationships xmlns="http://schemas.openxmlformats.org/package/2006/relationships"><Relationship Id="rId1" Type="http://schemas.microsoft.com/office/2011/relationships/chartStyle" Target="style54.xml" /><Relationship Id="rId2" Type="http://schemas.microsoft.com/office/2011/relationships/chartColorStyle" Target="colors54.xml" /></Relationships>
</file>

<file path=xl/charts/_rels/chart55.xml.rels>&#65279;<?xml version="1.0" encoding="utf-8"?><Relationships xmlns="http://schemas.openxmlformats.org/package/2006/relationships"><Relationship Id="rId1" Type="http://schemas.microsoft.com/office/2011/relationships/chartStyle" Target="style55.xml" /><Relationship Id="rId2" Type="http://schemas.microsoft.com/office/2011/relationships/chartColorStyle" Target="colors55.xml" /></Relationships>
</file>

<file path=xl/charts/_rels/chart56.xml.rels>&#65279;<?xml version="1.0" encoding="utf-8"?><Relationships xmlns="http://schemas.openxmlformats.org/package/2006/relationships"><Relationship Id="rId1" Type="http://schemas.microsoft.com/office/2011/relationships/chartStyle" Target="style56.xml" /><Relationship Id="rId2" Type="http://schemas.microsoft.com/office/2011/relationships/chartColorStyle" Target="colors56.xml" /></Relationships>
</file>

<file path=xl/charts/_rels/chart57.xml.rels>&#65279;<?xml version="1.0" encoding="utf-8"?><Relationships xmlns="http://schemas.openxmlformats.org/package/2006/relationships"><Relationship Id="rId1" Type="http://schemas.microsoft.com/office/2011/relationships/chartStyle" Target="style57.xml" /><Relationship Id="rId2" Type="http://schemas.microsoft.com/office/2011/relationships/chartColorStyle" Target="colors57.xml" /></Relationships>
</file>

<file path=xl/charts/_rels/chart58.xml.rels>&#65279;<?xml version="1.0" encoding="utf-8"?><Relationships xmlns="http://schemas.openxmlformats.org/package/2006/relationships"><Relationship Id="rId1" Type="http://schemas.microsoft.com/office/2011/relationships/chartStyle" Target="style58.xml" /><Relationship Id="rId2" Type="http://schemas.microsoft.com/office/2011/relationships/chartColorStyle" Target="colors58.xml" /></Relationships>
</file>

<file path=xl/charts/_rels/chart59.xml.rels>&#65279;<?xml version="1.0" encoding="utf-8"?><Relationships xmlns="http://schemas.openxmlformats.org/package/2006/relationships"><Relationship Id="rId1" Type="http://schemas.microsoft.com/office/2011/relationships/chartStyle" Target="style59.xml" /><Relationship Id="rId2" Type="http://schemas.microsoft.com/office/2011/relationships/chartColorStyle" Target="colors59.xml" /></Relationships>
</file>

<file path=xl/charts/_rels/chart60.xml.rels>&#65279;<?xml version="1.0" encoding="utf-8"?><Relationships xmlns="http://schemas.openxmlformats.org/package/2006/relationships"><Relationship Id="rId1" Type="http://schemas.microsoft.com/office/2011/relationships/chartStyle" Target="style60.xml" /><Relationship Id="rId2" Type="http://schemas.microsoft.com/office/2011/relationships/chartColorStyle" Target="colors60.xml" /></Relationships>
</file>

<file path=xl/charts/_rels/chart61.xml.rels>&#65279;<?xml version="1.0" encoding="utf-8"?><Relationships xmlns="http://schemas.openxmlformats.org/package/2006/relationships"><Relationship Id="rId1" Type="http://schemas.microsoft.com/office/2011/relationships/chartStyle" Target="style61.xml" /><Relationship Id="rId2" Type="http://schemas.microsoft.com/office/2011/relationships/chartColorStyle" Target="colors61.xml" /></Relationships>
</file>

<file path=xl/charts/_rels/chart62.xml.rels>&#65279;<?xml version="1.0" encoding="utf-8"?><Relationships xmlns="http://schemas.openxmlformats.org/package/2006/relationships"><Relationship Id="rId1" Type="http://schemas.microsoft.com/office/2011/relationships/chartStyle" Target="style62.xml" /><Relationship Id="rId2" Type="http://schemas.microsoft.com/office/2011/relationships/chartColorStyle" Target="colors62.xml" /></Relationships>
</file>

<file path=xl/charts/_rels/chart63.xml.rels>&#65279;<?xml version="1.0" encoding="utf-8"?><Relationships xmlns="http://schemas.openxmlformats.org/package/2006/relationships"><Relationship Id="rId1" Type="http://schemas.microsoft.com/office/2011/relationships/chartStyle" Target="style63.xml" /><Relationship Id="rId2" Type="http://schemas.microsoft.com/office/2011/relationships/chartColorStyle" Target="colors63.xml" /></Relationships>
</file>

<file path=xl/charts/_rels/chart64.xml.rels>&#65279;<?xml version="1.0" encoding="utf-8"?><Relationships xmlns="http://schemas.openxmlformats.org/package/2006/relationships"><Relationship Id="rId1" Type="http://schemas.microsoft.com/office/2011/relationships/chartStyle" Target="style64.xml" /><Relationship Id="rId2" Type="http://schemas.microsoft.com/office/2011/relationships/chartColorStyle" Target="colors64.xml" /></Relationships>
</file>

<file path=xl/charts/_rels/chart65.xml.rels>&#65279;<?xml version="1.0" encoding="utf-8"?><Relationships xmlns="http://schemas.openxmlformats.org/package/2006/relationships"><Relationship Id="rId1" Type="http://schemas.microsoft.com/office/2011/relationships/chartStyle" Target="style65.xml" /><Relationship Id="rId2" Type="http://schemas.microsoft.com/office/2011/relationships/chartColorStyle" Target="colors65.xml" /></Relationships>
</file>

<file path=xl/charts/_rels/chart66.xml.rels>&#65279;<?xml version="1.0" encoding="utf-8"?><Relationships xmlns="http://schemas.openxmlformats.org/package/2006/relationships"><Relationship Id="rId1" Type="http://schemas.microsoft.com/office/2011/relationships/chartStyle" Target="style66.xml" /><Relationship Id="rId2" Type="http://schemas.microsoft.com/office/2011/relationships/chartColorStyle" Target="colors66.xml" /></Relationships>
</file>

<file path=xl/charts/_rels/chart67.xml.rels>&#65279;<?xml version="1.0" encoding="utf-8"?><Relationships xmlns="http://schemas.openxmlformats.org/package/2006/relationships"><Relationship Id="rId1" Type="http://schemas.microsoft.com/office/2011/relationships/chartStyle" Target="style67.xml" /><Relationship Id="rId2" Type="http://schemas.microsoft.com/office/2011/relationships/chartColorStyle" Target="colors67.xml" /></Relationships>
</file>

<file path=xl/charts/_rels/chart68.xml.rels>&#65279;<?xml version="1.0" encoding="utf-8"?><Relationships xmlns="http://schemas.openxmlformats.org/package/2006/relationships"><Relationship Id="rId1" Type="http://schemas.microsoft.com/office/2011/relationships/chartStyle" Target="style68.xml" /><Relationship Id="rId2" Type="http://schemas.microsoft.com/office/2011/relationships/chartColorStyle" Target="colors68.xml" /></Relationships>
</file>

<file path=xl/charts/_rels/chart69.xml.rels>&#65279;<?xml version="1.0" encoding="utf-8"?><Relationships xmlns="http://schemas.openxmlformats.org/package/2006/relationships"><Relationship Id="rId1" Type="http://schemas.microsoft.com/office/2011/relationships/chartStyle" Target="style69.xml" /><Relationship Id="rId2" Type="http://schemas.microsoft.com/office/2011/relationships/chartColorStyle" Target="colors69.xml" /></Relationships>
</file>

<file path=xl/charts/_rels/chart70.xml.rels>&#65279;<?xml version="1.0" encoding="utf-8"?><Relationships xmlns="http://schemas.openxmlformats.org/package/2006/relationships"><Relationship Id="rId1" Type="http://schemas.microsoft.com/office/2011/relationships/chartStyle" Target="style70.xml" /><Relationship Id="rId2" Type="http://schemas.microsoft.com/office/2011/relationships/chartColorStyle" Target="colors70.xml" /></Relationships>
</file>

<file path=xl/charts/_rels/chart71.xml.rels>&#65279;<?xml version="1.0" encoding="utf-8"?><Relationships xmlns="http://schemas.openxmlformats.org/package/2006/relationships"><Relationship Id="rId1" Type="http://schemas.microsoft.com/office/2011/relationships/chartStyle" Target="style71.xml" /><Relationship Id="rId2" Type="http://schemas.microsoft.com/office/2011/relationships/chartColorStyle" Target="colors71.xml" /></Relationships>
</file>

<file path=xl/charts/_rels/chart72.xml.rels>&#65279;<?xml version="1.0" encoding="utf-8"?><Relationships xmlns="http://schemas.openxmlformats.org/package/2006/relationships"><Relationship Id="rId1" Type="http://schemas.microsoft.com/office/2011/relationships/chartStyle" Target="style72.xml" /><Relationship Id="rId2" Type="http://schemas.microsoft.com/office/2011/relationships/chartColorStyle" Target="colors72.xml" /></Relationships>
</file>

<file path=xl/charts/_rels/chart73.xml.rels>&#65279;<?xml version="1.0" encoding="utf-8"?><Relationships xmlns="http://schemas.openxmlformats.org/package/2006/relationships"><Relationship Id="rId1" Type="http://schemas.microsoft.com/office/2011/relationships/chartStyle" Target="style73.xml" /><Relationship Id="rId2" Type="http://schemas.microsoft.com/office/2011/relationships/chartColorStyle" Target="colors73.xml" /></Relationships>
</file>

<file path=xl/charts/_rels/chart74.xml.rels>&#65279;<?xml version="1.0" encoding="utf-8"?><Relationships xmlns="http://schemas.openxmlformats.org/package/2006/relationships"><Relationship Id="rId1" Type="http://schemas.microsoft.com/office/2011/relationships/chartStyle" Target="style74.xml" /><Relationship Id="rId2" Type="http://schemas.microsoft.com/office/2011/relationships/chartColorStyle" Target="colors74.xml" /></Relationships>
</file>

<file path=xl/charts/_rels/chart75.xml.rels>&#65279;<?xml version="1.0" encoding="utf-8"?><Relationships xmlns="http://schemas.openxmlformats.org/package/2006/relationships"><Relationship Id="rId1" Type="http://schemas.microsoft.com/office/2011/relationships/chartStyle" Target="style75.xml" /><Relationship Id="rId2" Type="http://schemas.microsoft.com/office/2011/relationships/chartColorStyle" Target="colors75.xml" /></Relationships>
</file>

<file path=xl/charts/_rels/chart76.xml.rels>&#65279;<?xml version="1.0" encoding="utf-8"?><Relationships xmlns="http://schemas.openxmlformats.org/package/2006/relationships"><Relationship Id="rId1" Type="http://schemas.microsoft.com/office/2011/relationships/chartStyle" Target="style76.xml" /><Relationship Id="rId2" Type="http://schemas.microsoft.com/office/2011/relationships/chartColorStyle" Target="colors76.xml" /></Relationships>
</file>

<file path=xl/charts/_rels/chart77.xml.rels>&#65279;<?xml version="1.0" encoding="utf-8"?><Relationships xmlns="http://schemas.openxmlformats.org/package/2006/relationships"><Relationship Id="rId1" Type="http://schemas.microsoft.com/office/2011/relationships/chartStyle" Target="style77.xml" /><Relationship Id="rId2" Type="http://schemas.microsoft.com/office/2011/relationships/chartColorStyle" Target="colors77.xml" /></Relationships>
</file>

<file path=xl/charts/_rels/chart78.xml.rels>&#65279;<?xml version="1.0" encoding="utf-8"?><Relationships xmlns="http://schemas.openxmlformats.org/package/2006/relationships"><Relationship Id="rId1" Type="http://schemas.microsoft.com/office/2011/relationships/chartStyle" Target="style78.xml" /><Relationship Id="rId2" Type="http://schemas.microsoft.com/office/2011/relationships/chartColorStyle" Target="colors78.xml" /></Relationships>
</file>

<file path=xl/charts/_rels/chart79.xml.rels>&#65279;<?xml version="1.0" encoding="utf-8"?><Relationships xmlns="http://schemas.openxmlformats.org/package/2006/relationships"><Relationship Id="rId1" Type="http://schemas.microsoft.com/office/2011/relationships/chartStyle" Target="style79.xml" /><Relationship Id="rId2" Type="http://schemas.microsoft.com/office/2011/relationships/chartColorStyle" Target="colors79.xml" /></Relationships>
</file>

<file path=xl/charts/_rels/chart80.xml.rels>&#65279;<?xml version="1.0" encoding="utf-8"?><Relationships xmlns="http://schemas.openxmlformats.org/package/2006/relationships"><Relationship Id="rId1" Type="http://schemas.microsoft.com/office/2011/relationships/chartStyle" Target="style80.xml" /><Relationship Id="rId2" Type="http://schemas.microsoft.com/office/2011/relationships/chartColorStyle" Target="colors80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白班过程记录!$D$4</c:f>
              <c:strCache>
                <c:ptCount val="1"/>
                <c:pt idx="0">
                  <c:v>羟基乙腈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白班过程记录!$D$6:$D$18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065C-4D03-A050-A70A928B6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30"/>
          <c:min val="1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白班过程记录!$H$4</c:f>
              <c:strCache>
                <c:ptCount val="1"/>
                <c:pt idx="0">
                  <c:v>配后
浓度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白班过程记录!$H$6:$H$18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D74-4E82-A7A2-56A29510A517}"/>
            </c:ext>
          </c:extLst>
        </c:ser>
        <c:ser>
          <c:idx val="1"/>
          <c:order val="1"/>
          <c:tx>
            <c:strRef>
              <c:f>白班过程记录!$E$4</c:f>
              <c:strCache>
                <c:ptCount val="1"/>
                <c:pt idx="0">
                  <c:v>原料
浓度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白班过程记录!$E$6:$E$18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2-ED74-4E82-A7A2-56A29510A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430"/>
          <c:min val="40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白班过程记录!$I$4</c:f>
              <c:strCache>
                <c:ptCount val="1"/>
                <c:pt idx="0">
                  <c:v>液氨流量
FT-05112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白班过程记录!$I$6:$I$18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34B-4DB6-B430-46600C5BC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30"/>
          <c:min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白班过程记录!$K$4</c:f>
              <c:strCache>
                <c:ptCount val="1"/>
                <c:pt idx="0">
                  <c:v>气化温度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白班过程记录!$K$6:$K$18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023-4FB2-9ABE-1C6E2EE26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50"/>
          <c:min val="4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白班过程记录!$L$4</c:f>
              <c:strCache>
                <c:ptCount val="1"/>
                <c:pt idx="0">
                  <c:v>气化压力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白班过程记录!$L$6:$L$18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49B-4A6C-9350-501576F49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1.5"/>
          <c:min val="1.1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白班过程记录!$M$4</c:f>
              <c:strCache>
                <c:ptCount val="1"/>
                <c:pt idx="0">
                  <c:v>一级     加热器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白班过程记录!$M$6:$M$18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B96-4E8C-ADAD-1881ACFE3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120"/>
          <c:min val="10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白班过程记录!$O$4</c:f>
              <c:strCache>
                <c:ptCount val="1"/>
                <c:pt idx="0">
                  <c:v>气氨流量
FT-05141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白班过程记录!$O$6:$O$18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050-4CDF-9805-1EB8554BE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25"/>
          <c:min val="15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白班过程记录!$N$4</c:f>
              <c:strCache>
                <c:ptCount val="1"/>
                <c:pt idx="0">
                  <c:v>二级       加热器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白班过程记录!$N$6:$N$18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1E0-4988-8773-D16749366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120"/>
          <c:min val="10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白班过程记录!$S$4</c:f>
              <c:strCache>
                <c:ptCount val="1"/>
                <c:pt idx="0">
                  <c:v>氨+汽
混合温度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白班过程记录!$S$6:$S$18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8B26-4FF7-8A01-C3748E9AB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150"/>
          <c:min val="13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白班过程记录!$Q$4</c:f>
              <c:strCache>
                <c:ptCount val="1"/>
                <c:pt idx="0">
                  <c:v>配料蒸汽流量
（FT-05142）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白班过程记录!$Q$6:$Q$18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C70-4CB0-8692-2C01249CF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白班过程记录!$W$4</c:f>
              <c:strCache>
                <c:ptCount val="1"/>
                <c:pt idx="0">
                  <c:v>预热后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白班过程记录!$W$6:$W$18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E4B-458B-BF45-D9250B6F7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100"/>
          <c:min val="8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白班过程记录!$U$4</c:f>
              <c:strCache>
                <c:ptCount val="1"/>
                <c:pt idx="0">
                  <c:v>羟基乙腈进料流量
（FT-05213）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白班过程记录!$U$6:$U$18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DD8-4B40-9003-E24468A35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0.35000000000000003"/>
          <c:min val="0.28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白班过程记录!$X$4</c:f>
              <c:strCache>
                <c:ptCount val="1"/>
                <c:pt idx="0">
                  <c:v>瞬时
配比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白班过程记录!$X$6:$X$18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4B16-4CF4-81EA-693ADAE01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0.535"/>
          <c:min val="0.525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白班过程记录!$Z$4</c:f>
              <c:strCache>
                <c:ptCount val="1"/>
                <c:pt idx="0">
                  <c:v>压力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白班过程记录!$Z$6:$Z$18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02E-4B1D-A0DD-E8C1D4289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0.7600000000000001"/>
          <c:min val="0.7000000000000001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白班过程记录!$AA$4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白班过程记录!$AA$6:$AA$18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A42-4786-91FE-FB1F2C339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155"/>
          <c:min val="145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白班过程记录!$AB$4</c:f>
              <c:strCache>
                <c:ptCount val="1"/>
                <c:pt idx="0">
                  <c:v>热点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白班过程记录!$AB$6:$AB$18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655-4A45-BD3D-290F56F7F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170"/>
          <c:min val="16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白班过程记录!$AC$4</c:f>
              <c:strCache>
                <c:ptCount val="1"/>
                <c:pt idx="0">
                  <c:v>压力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白班过程记录!$AC$6:$AC$18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977-40BF-9925-F1334346D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白班过程记录!$AL$4</c:f>
              <c:strCache>
                <c:ptCount val="1"/>
                <c:pt idx="0">
                  <c:v>硫酸流量
FT-05411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白班过程记录!$AL$6:$AL$18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FE2B-4D54-8F5A-5B502D284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白班过程记录!$L$20</c:f>
              <c:strCache>
                <c:ptCount val="1"/>
                <c:pt idx="0">
                  <c:v>pH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白班过程记录!$L$22:$L$34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5F7-416B-ACAD-4476D26CE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白班过程记录!$AO$4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白班过程记录!$AO$6:$AO$18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7CD4-4FDE-9DDE-A6813F659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白班过程记录!$D$20</c:f>
              <c:strCache>
                <c:ptCount val="1"/>
                <c:pt idx="0">
                  <c:v>真空度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白班过程记录!$D$22:$D$34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EBB-4158-BB14-8FFE93D24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-70"/>
          <c:min val="-8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白班过程记录!$Q$20</c:f>
              <c:strCache>
                <c:ptCount val="1"/>
                <c:pt idx="0">
                  <c:v>料液pH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白班过程记录!$Q$22:$Q$34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9A07-4BFE-8DD2-A842225B3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白班过程记录!$N$20</c:f>
              <c:strCache>
                <c:ptCount val="1"/>
                <c:pt idx="0">
                  <c:v>预冷器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白班过程记录!$N$22:$N$34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E10-4E5E-81FA-B190CE404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50"/>
          <c:min val="45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白班过程记录!$R$20</c:f>
              <c:strCache>
                <c:ptCount val="1"/>
                <c:pt idx="0">
                  <c:v>结晶器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4CD-4231-BB74-E1DA8479B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30"/>
          <c:min val="1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白班过程记录!$R$20</c:f>
              <c:strCache>
                <c:ptCount val="1"/>
                <c:pt idx="0">
                  <c:v>结晶器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B34-4CC6-80A8-5086EA478F43}"/>
            </c:ext>
          </c:extLst>
        </c:ser>
        <c:ser>
          <c:idx val="1"/>
          <c:order val="1"/>
          <c:tx>
            <c:strRef>
              <c:f>白班过程记录!$V$20</c:f>
              <c:strCache>
                <c:ptCount val="1"/>
                <c:pt idx="0">
                  <c:v>冷冻水
温度A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白班过程记录!$V$22:$V$34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73D-438C-BC39-D042A7E87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25"/>
          <c:min val="15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白班过程记录!$R$20</c:f>
              <c:strCache>
                <c:ptCount val="1"/>
                <c:pt idx="0">
                  <c:v>结晶器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2269-43B3-B743-C1D8BE1FC759}"/>
            </c:ext>
          </c:extLst>
        </c:ser>
        <c:ser>
          <c:idx val="1"/>
          <c:order val="1"/>
          <c:tx>
            <c:strRef>
              <c:f>白班过程记录!$W$20</c:f>
              <c:strCache>
                <c:ptCount val="1"/>
                <c:pt idx="0">
                  <c:v>降温后
温度A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白班过程记录!$W$22:$W$34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3D0-4300-B53D-B40DFF7D8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白班过程记录!$U$20</c:f>
              <c:strCache>
                <c:ptCount val="1"/>
                <c:pt idx="0">
                  <c:v>冷却循环流量A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白班过程记录!$U$22:$U$34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52B-4907-A79A-D4353A3DF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白班过程记录!$AB$20</c:f>
              <c:strCache>
                <c:ptCount val="1"/>
                <c:pt idx="0">
                  <c:v>结晶液
密度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白班过程记录!$AC$22:$AC$34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2AB-4BA3-B32D-4524EE883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白班过程记录!$AO$20</c:f>
              <c:strCache>
                <c:ptCount val="1"/>
                <c:pt idx="0">
                  <c:v>液位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白班过程记录!$AO$22:$AO$34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07F9-4516-BDBC-7B7067609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白班过程记录!$AN$20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白班过程记录!$AN$22:$AN$34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82AB-4607-9ADF-EB8AC4CDA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白班过程记录!$H$36</c:f>
              <c:strCache>
                <c:ptCount val="1"/>
                <c:pt idx="0">
                  <c:v>低蒸进料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白班过程记录!$H$39:$H$51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996-4AD5-875A-E3B7AF248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白班过程记录!$J$36</c:f>
              <c:strCache>
                <c:ptCount val="1"/>
                <c:pt idx="0">
                  <c:v>液相温度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白班过程记录!$J$39:$J$51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2647-4635-88D8-DE364FCB5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白班过程记录!$AR$20</c:f>
              <c:strCache>
                <c:ptCount val="1"/>
                <c:pt idx="0">
                  <c:v>真空度
PT-07145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白班过程记录!$AR$22:$AR$34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FDF5-45A5-A851-89A73B689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白班过程记录!$P$36</c:f>
              <c:strCache>
                <c:ptCount val="1"/>
                <c:pt idx="0">
                  <c:v>浓缩液
密度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白班过程记录!$P$39:$P$51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992-46C3-896D-F23C35061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白班过程记录!$X$36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白班过程记录!$X$39:$X$51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436-428C-98BE-382B31D11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白班过程记录!$X$36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白班过程记录!$X$39:$X$51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7B4F-47E5-BF38-515DBC9B93A3}"/>
            </c:ext>
          </c:extLst>
        </c:ser>
        <c:ser>
          <c:idx val="1"/>
          <c:order val="1"/>
          <c:tx>
            <c:strRef>
              <c:f>白班过程记录!$AA$36</c:f>
              <c:strCache>
                <c:ptCount val="1"/>
                <c:pt idx="0">
                  <c:v>冷却水
温度A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12700">
                <a:solidFill>
                  <a:schemeClr val="accent2"/>
                </a:solidFill>
              </a:ln>
              <a:effectLst/>
            </c:spPr>
          </c:marker>
          <c:val>
            <c:numRef>
              <c:f>白班过程记录!$AA$39:$AA$51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8598-44C1-9690-22F6CA8D0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白班过程记录!$X$36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白班过程记录!$X$39:$X$51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B66F-4C05-A7D9-F5A57513A1D1}"/>
            </c:ext>
          </c:extLst>
        </c:ser>
        <c:ser>
          <c:idx val="1"/>
          <c:order val="1"/>
          <c:tx>
            <c:strRef>
              <c:f>白班过程记录!$AF$36</c:f>
              <c:strCache>
                <c:ptCount val="1"/>
                <c:pt idx="0">
                  <c:v>冷却后
温度B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白班过程记录!$AF$39:$AF$51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0E35-4041-844E-E392C2E0B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白班过程记录!$Z$36</c:f>
              <c:strCache>
                <c:ptCount val="1"/>
                <c:pt idx="0">
                  <c:v>外循环
流量A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白班过程记录!$Z$39:$Z$51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A15-420E-ABE2-356F031CE070}"/>
            </c:ext>
          </c:extLst>
        </c:ser>
        <c:ser>
          <c:idx val="1"/>
          <c:order val="1"/>
          <c:tx>
            <c:strRef>
              <c:f>白班过程记录!$AD$36</c:f>
              <c:strCache>
                <c:ptCount val="1"/>
                <c:pt idx="0">
                  <c:v>外循环
流量B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白班过程记录!$AD$39:$AD$51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B806-4687-AB71-DAE8B49D6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白班过程记录!$AK$36</c:f>
              <c:strCache>
                <c:ptCount val="1"/>
                <c:pt idx="0">
                  <c:v>液位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白班过程记录!$AK$39:$AK$51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449-4001-8421-4B795DD86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白班过程记录!$AL$36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白班过程记录!$AL$39:$AL$51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ECA-4F68-8352-379613D5B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白班过程记录!$D$4</c:f>
              <c:strCache>
                <c:ptCount val="1"/>
                <c:pt idx="0">
                  <c:v>羟基乙腈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白班过程记录!$D$6:$D$18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0185-444B-8B73-96DCDF2E8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白班过程记录!$H$4</c:f>
              <c:strCache>
                <c:ptCount val="1"/>
                <c:pt idx="0">
                  <c:v>配后
浓度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12700">
                <a:solidFill>
                  <a:schemeClr val="accent1"/>
                </a:solidFill>
              </a:ln>
              <a:effectLst/>
            </c:spPr>
          </c:marker>
          <c:val>
            <c:numRef>
              <c:f>白班过程记录!$H$6:$H$18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BBA-46A4-A04A-4EA1DA537236}"/>
            </c:ext>
          </c:extLst>
        </c:ser>
        <c:ser>
          <c:idx val="1"/>
          <c:order val="1"/>
          <c:tx>
            <c:strRef>
              <c:f>白班过程记录!$E$4</c:f>
              <c:strCache>
                <c:ptCount val="1"/>
                <c:pt idx="0">
                  <c:v>原料
浓度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12700">
                <a:solidFill>
                  <a:schemeClr val="accent2"/>
                </a:solidFill>
              </a:ln>
              <a:effectLst/>
            </c:spPr>
          </c:marker>
          <c:val>
            <c:numRef>
              <c:f>白班过程记录!$E$6:$E$18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3BBA-46A4-A04A-4EA1DA537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白班过程记录!$I$4</c:f>
              <c:strCache>
                <c:ptCount val="1"/>
                <c:pt idx="0">
                  <c:v>液氨流量
FT-05112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白班过程记录!$I$6:$I$18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A82-401D-8A46-6B2498D49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白班过程记录!$K$4</c:f>
              <c:strCache>
                <c:ptCount val="1"/>
                <c:pt idx="0">
                  <c:v>气化温度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白班过程记录!$K$6:$K$18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E80-4611-A2C0-B8A74A1FB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白班过程记录!$L$4</c:f>
              <c:strCache>
                <c:ptCount val="1"/>
                <c:pt idx="0">
                  <c:v>气化压力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白班过程记录!$L$6:$L$18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F6E-4009-83A6-0BF87FDFA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白班过程记录!$M$4</c:f>
              <c:strCache>
                <c:ptCount val="1"/>
                <c:pt idx="0">
                  <c:v>一级     加热器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白班过程记录!$M$6:$M$18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99D1-4635-A632-E57EB8BAC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白班过程记录!$O$4</c:f>
              <c:strCache>
                <c:ptCount val="1"/>
                <c:pt idx="0">
                  <c:v>气氨流量
FT-05141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白班过程记录!$O$6:$O$18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08A-4F7B-AD5A-16896109F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白班过程记录!$N$4</c:f>
              <c:strCache>
                <c:ptCount val="1"/>
                <c:pt idx="0">
                  <c:v>二级       加热器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白班过程记录!$N$6:$N$18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0BA-40D4-94CC-DF5966D4E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白班过程记录!$S$4</c:f>
              <c:strCache>
                <c:ptCount val="1"/>
                <c:pt idx="0">
                  <c:v>氨+汽
混合温度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白班过程记录!$S$6:$S$18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497F-4DCE-97CF-E1B43D740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白班过程记录!$Q$4</c:f>
              <c:strCache>
                <c:ptCount val="1"/>
                <c:pt idx="0">
                  <c:v>配料蒸汽流量
（FT-05142）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白班过程记录!$Q$6:$Q$18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60-412B-9577-6628B25B1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白班过程记录!$W$4</c:f>
              <c:strCache>
                <c:ptCount val="1"/>
                <c:pt idx="0">
                  <c:v>预热后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白班过程记录!$W$6:$W$18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00B-45AF-9F68-EC81F95CA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白班过程记录!$U$4</c:f>
              <c:strCache>
                <c:ptCount val="1"/>
                <c:pt idx="0">
                  <c:v>羟基乙腈进料流量
（FT-05213）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白班过程记录!$U$6:$U$18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AE7-4412-9DAB-A724FA604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白班过程记录!$X$4</c:f>
              <c:strCache>
                <c:ptCount val="1"/>
                <c:pt idx="0">
                  <c:v>瞬时
配比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白班过程记录!$X$6:$X$18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8B4A-4C34-B28A-FFFA31AF0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白班过程记录!$Z$4</c:f>
              <c:strCache>
                <c:ptCount val="1"/>
                <c:pt idx="0">
                  <c:v>压力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白班过程记录!$Z$6:$Z$18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50F-4DBA-8B8F-39C59B992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白班过程记录!$AA$4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白班过程记录!$AA$6:$AA$18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23EB-4703-BB89-251C24843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白班过程记录!$AB$4</c:f>
              <c:strCache>
                <c:ptCount val="1"/>
                <c:pt idx="0">
                  <c:v>热点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白班过程记录!$AB$6:$AB$18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470C-4017-B5AC-4A8A25C39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白班过程记录!$AC$4</c:f>
              <c:strCache>
                <c:ptCount val="1"/>
                <c:pt idx="0">
                  <c:v>压力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白班过程记录!$AC$6:$AC$18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5D8-4A1B-B8E9-F34E9B72A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白班过程记录!$AL$4</c:f>
              <c:strCache>
                <c:ptCount val="1"/>
                <c:pt idx="0">
                  <c:v>硫酸流量
FT-05411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白班过程记录!$AL$6:$AL$18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CF5-409B-9193-83E2FF22A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白班过程记录!$L$20</c:f>
              <c:strCache>
                <c:ptCount val="1"/>
                <c:pt idx="0">
                  <c:v>pH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白班过程记录!$L$22:$L$34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ACC-434D-843C-9A029150A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白班过程记录!$AO$4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白班过程记录!$AO$6:$AO$18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4E8-47B8-93AD-9390F895E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白班过程记录!$D$20</c:f>
              <c:strCache>
                <c:ptCount val="1"/>
                <c:pt idx="0">
                  <c:v>真空度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白班过程记录!$D$22:$D$34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FB9-4070-8337-67C5FDC57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白班过程记录!$Q$20</c:f>
              <c:strCache>
                <c:ptCount val="1"/>
                <c:pt idx="0">
                  <c:v>料液pH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白班过程记录!$Q$22:$Q$34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B282-4EB5-A7D2-EF2EE50E5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白班过程记录!$N$20</c:f>
              <c:strCache>
                <c:ptCount val="1"/>
                <c:pt idx="0">
                  <c:v>预冷器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白班过程记录!$N$22:$N$34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B991-4FC3-9F05-C7F544EA2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白班过程记录!$R$20</c:f>
              <c:strCache>
                <c:ptCount val="1"/>
                <c:pt idx="0">
                  <c:v>结晶器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072-4033-8A14-605E5263B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白班过程记录!$R$20</c:f>
              <c:strCache>
                <c:ptCount val="1"/>
                <c:pt idx="0">
                  <c:v>结晶器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0B35-404F-BE94-04CD6BC65B99}"/>
            </c:ext>
          </c:extLst>
        </c:ser>
        <c:ser>
          <c:idx val="1"/>
          <c:order val="1"/>
          <c:tx>
            <c:strRef>
              <c:f>白班过程记录!$V$20</c:f>
              <c:strCache>
                <c:ptCount val="1"/>
                <c:pt idx="0">
                  <c:v>冷冻水
温度A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白班过程记录!$V$22:$V$34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0B35-404F-BE94-04CD6BC65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白班过程记录!$R$20</c:f>
              <c:strCache>
                <c:ptCount val="1"/>
                <c:pt idx="0">
                  <c:v>结晶器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9B5-426C-8FDB-903381287C98}"/>
            </c:ext>
          </c:extLst>
        </c:ser>
        <c:ser>
          <c:idx val="1"/>
          <c:order val="1"/>
          <c:tx>
            <c:strRef>
              <c:f>白班过程记录!$W$20</c:f>
              <c:strCache>
                <c:ptCount val="1"/>
                <c:pt idx="0">
                  <c:v>降温后
温度A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白班过程记录!$W$22:$W$34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E9B5-426C-8FDB-903381287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白班过程记录!$U$20</c:f>
              <c:strCache>
                <c:ptCount val="1"/>
                <c:pt idx="0">
                  <c:v>冷却循环流量A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白班过程记录!$U$22:$U$34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9A04-4102-9F49-A9C516A21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白班过程记录!$AB$20</c:f>
              <c:strCache>
                <c:ptCount val="1"/>
                <c:pt idx="0">
                  <c:v>结晶液
密度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白班过程记录!$AC$22:$AC$34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833-465A-9D0C-E9E7C2447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白班过程记录!$AO$20</c:f>
              <c:strCache>
                <c:ptCount val="1"/>
                <c:pt idx="0">
                  <c:v>液位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白班过程记录!$AO$22:$AO$34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8A0D-4A17-9E26-BB96A3B46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白班过程记录!$AN$20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白班过程记录!$AN$22:$AN$34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2CA-498B-8201-313472AC3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白班过程记录!$H$36</c:f>
              <c:strCache>
                <c:ptCount val="1"/>
                <c:pt idx="0">
                  <c:v>低蒸进料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白班过程记录!$H$39:$H$51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7DA-4ED1-8CF3-C832631BA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白班过程记录!$J$36</c:f>
              <c:strCache>
                <c:ptCount val="1"/>
                <c:pt idx="0">
                  <c:v>液相温度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白班过程记录!$J$39:$J$51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0FA-4CA4-986D-24BCDEEB4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白班过程记录!$AR$20</c:f>
              <c:strCache>
                <c:ptCount val="1"/>
                <c:pt idx="0">
                  <c:v>真空度
PT-07145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白班过程记录!$AR$22:$AR$34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F83-4620-B73D-83767D1C0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白班过程记录!$P$36</c:f>
              <c:strCache>
                <c:ptCount val="1"/>
                <c:pt idx="0">
                  <c:v>浓缩液
密度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白班过程记录!$P$39:$P$51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703-421C-B309-85A521535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白班过程记录!$X$36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白班过程记录!$X$39:$X$51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BEC-4966-9C70-EB0C19E75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白班过程记录!$X$36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白班过程记录!$X$39:$X$51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9BD2-4E2A-B49D-F4CCAC8303B5}"/>
            </c:ext>
          </c:extLst>
        </c:ser>
        <c:ser>
          <c:idx val="1"/>
          <c:order val="1"/>
          <c:tx>
            <c:strRef>
              <c:f>白班过程记录!$AA$36</c:f>
              <c:strCache>
                <c:ptCount val="1"/>
                <c:pt idx="0">
                  <c:v>冷却水
温度A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12700">
                <a:solidFill>
                  <a:schemeClr val="accent2"/>
                </a:solidFill>
              </a:ln>
              <a:effectLst/>
            </c:spPr>
          </c:marker>
          <c:val>
            <c:numRef>
              <c:f>白班过程记录!$AA$39:$AA$51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9BD2-4E2A-B49D-F4CCAC830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白班过程记录!$X$36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白班过程记录!$X$39:$X$51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307-4407-925F-83DB948388CB}"/>
            </c:ext>
          </c:extLst>
        </c:ser>
        <c:ser>
          <c:idx val="1"/>
          <c:order val="1"/>
          <c:tx>
            <c:strRef>
              <c:f>白班过程记录!$AF$36</c:f>
              <c:strCache>
                <c:ptCount val="1"/>
                <c:pt idx="0">
                  <c:v>冷却后
温度B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白班过程记录!$AF$39:$AF$51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1307-4407-925F-83DB94838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白班过程记录!$Z$36</c:f>
              <c:strCache>
                <c:ptCount val="1"/>
                <c:pt idx="0">
                  <c:v>外循环
流量A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白班过程记录!$Z$39:$Z$51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7542-4F73-A934-74911A2EFB9E}"/>
            </c:ext>
          </c:extLst>
        </c:ser>
        <c:ser>
          <c:idx val="1"/>
          <c:order val="1"/>
          <c:tx>
            <c:strRef>
              <c:f>白班过程记录!$AD$36</c:f>
              <c:strCache>
                <c:ptCount val="1"/>
                <c:pt idx="0">
                  <c:v>外循环
流量B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白班过程记录!$AD$39:$AD$51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7542-4F73-A934-74911A2EF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白班过程记录!$AK$36</c:f>
              <c:strCache>
                <c:ptCount val="1"/>
                <c:pt idx="0">
                  <c:v>液位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白班过程记录!$AK$39:$AK$51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C38-4B17-9D14-963716346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白班过程记录!$AL$36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白班过程记录!$AL$39:$AL$51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7382-47FB-9CC6-C82065842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Relationship Id="rId10" Type="http://schemas.openxmlformats.org/officeDocument/2006/relationships/chart" Target="../charts/chart10.xml" /><Relationship Id="rId11" Type="http://schemas.openxmlformats.org/officeDocument/2006/relationships/chart" Target="../charts/chart11.xml" /><Relationship Id="rId12" Type="http://schemas.openxmlformats.org/officeDocument/2006/relationships/chart" Target="../charts/chart12.xml" /><Relationship Id="rId13" Type="http://schemas.openxmlformats.org/officeDocument/2006/relationships/chart" Target="../charts/chart13.xml" /><Relationship Id="rId14" Type="http://schemas.openxmlformats.org/officeDocument/2006/relationships/chart" Target="../charts/chart14.xml" /><Relationship Id="rId15" Type="http://schemas.openxmlformats.org/officeDocument/2006/relationships/chart" Target="../charts/chart15.xml" /><Relationship Id="rId16" Type="http://schemas.openxmlformats.org/officeDocument/2006/relationships/chart" Target="../charts/chart16.xml" /><Relationship Id="rId17" Type="http://schemas.openxmlformats.org/officeDocument/2006/relationships/chart" Target="../charts/chart17.xml" /><Relationship Id="rId18" Type="http://schemas.openxmlformats.org/officeDocument/2006/relationships/chart" Target="../charts/chart18.xml" /><Relationship Id="rId19" Type="http://schemas.openxmlformats.org/officeDocument/2006/relationships/chart" Target="../charts/chart19.xml" /><Relationship Id="rId2" Type="http://schemas.openxmlformats.org/officeDocument/2006/relationships/chart" Target="../charts/chart2.xml" /><Relationship Id="rId20" Type="http://schemas.openxmlformats.org/officeDocument/2006/relationships/chart" Target="../charts/chart20.xml" /><Relationship Id="rId21" Type="http://schemas.openxmlformats.org/officeDocument/2006/relationships/chart" Target="../charts/chart21.xml" /><Relationship Id="rId22" Type="http://schemas.openxmlformats.org/officeDocument/2006/relationships/chart" Target="../charts/chart22.xml" /><Relationship Id="rId23" Type="http://schemas.openxmlformats.org/officeDocument/2006/relationships/chart" Target="../charts/chart23.xml" /><Relationship Id="rId24" Type="http://schemas.openxmlformats.org/officeDocument/2006/relationships/chart" Target="../charts/chart24.xml" /><Relationship Id="rId25" Type="http://schemas.openxmlformats.org/officeDocument/2006/relationships/chart" Target="../charts/chart25.xml" /><Relationship Id="rId26" Type="http://schemas.openxmlformats.org/officeDocument/2006/relationships/chart" Target="../charts/chart26.xml" /><Relationship Id="rId27" Type="http://schemas.openxmlformats.org/officeDocument/2006/relationships/chart" Target="../charts/chart27.xml" /><Relationship Id="rId28" Type="http://schemas.openxmlformats.org/officeDocument/2006/relationships/chart" Target="../charts/chart28.xml" /><Relationship Id="rId29" Type="http://schemas.openxmlformats.org/officeDocument/2006/relationships/chart" Target="../charts/chart29.xml" /><Relationship Id="rId3" Type="http://schemas.openxmlformats.org/officeDocument/2006/relationships/chart" Target="../charts/chart3.xml" /><Relationship Id="rId30" Type="http://schemas.openxmlformats.org/officeDocument/2006/relationships/chart" Target="../charts/chart30.xml" /><Relationship Id="rId31" Type="http://schemas.openxmlformats.org/officeDocument/2006/relationships/chart" Target="../charts/chart31.xml" /><Relationship Id="rId32" Type="http://schemas.openxmlformats.org/officeDocument/2006/relationships/chart" Target="../charts/chart32.xml" /><Relationship Id="rId33" Type="http://schemas.openxmlformats.org/officeDocument/2006/relationships/chart" Target="../charts/chart33.xml" /><Relationship Id="rId34" Type="http://schemas.openxmlformats.org/officeDocument/2006/relationships/chart" Target="../charts/chart34.xml" /><Relationship Id="rId35" Type="http://schemas.openxmlformats.org/officeDocument/2006/relationships/chart" Target="../charts/chart35.xml" /><Relationship Id="rId36" Type="http://schemas.openxmlformats.org/officeDocument/2006/relationships/chart" Target="../charts/chart36.xml" /><Relationship Id="rId37" Type="http://schemas.openxmlformats.org/officeDocument/2006/relationships/chart" Target="../charts/chart37.xml" /><Relationship Id="rId38" Type="http://schemas.openxmlformats.org/officeDocument/2006/relationships/chart" Target="../charts/chart38.xml" /><Relationship Id="rId39" Type="http://schemas.openxmlformats.org/officeDocument/2006/relationships/chart" Target="../charts/chart39.xml" /><Relationship Id="rId4" Type="http://schemas.openxmlformats.org/officeDocument/2006/relationships/chart" Target="../charts/chart4.xml" /><Relationship Id="rId40" Type="http://schemas.openxmlformats.org/officeDocument/2006/relationships/chart" Target="../charts/chart40.xml" /><Relationship Id="rId5" Type="http://schemas.openxmlformats.org/officeDocument/2006/relationships/chart" Target="../charts/chart5.xml" /><Relationship Id="rId6" Type="http://schemas.openxmlformats.org/officeDocument/2006/relationships/chart" Target="../charts/chart6.xml" /><Relationship Id="rId7" Type="http://schemas.openxmlformats.org/officeDocument/2006/relationships/chart" Target="../charts/chart7.xml" /><Relationship Id="rId8" Type="http://schemas.openxmlformats.org/officeDocument/2006/relationships/chart" Target="../charts/chart8.xml" /><Relationship Id="rId9" Type="http://schemas.openxmlformats.org/officeDocument/2006/relationships/chart" Target="../charts/chart9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41.xml" /><Relationship Id="rId10" Type="http://schemas.openxmlformats.org/officeDocument/2006/relationships/chart" Target="../charts/chart50.xml" /><Relationship Id="rId11" Type="http://schemas.openxmlformats.org/officeDocument/2006/relationships/chart" Target="../charts/chart51.xml" /><Relationship Id="rId12" Type="http://schemas.openxmlformats.org/officeDocument/2006/relationships/chart" Target="../charts/chart52.xml" /><Relationship Id="rId13" Type="http://schemas.openxmlformats.org/officeDocument/2006/relationships/chart" Target="../charts/chart53.xml" /><Relationship Id="rId14" Type="http://schemas.openxmlformats.org/officeDocument/2006/relationships/chart" Target="../charts/chart54.xml" /><Relationship Id="rId15" Type="http://schemas.openxmlformats.org/officeDocument/2006/relationships/chart" Target="../charts/chart55.xml" /><Relationship Id="rId16" Type="http://schemas.openxmlformats.org/officeDocument/2006/relationships/chart" Target="../charts/chart56.xml" /><Relationship Id="rId17" Type="http://schemas.openxmlformats.org/officeDocument/2006/relationships/chart" Target="../charts/chart57.xml" /><Relationship Id="rId18" Type="http://schemas.openxmlformats.org/officeDocument/2006/relationships/chart" Target="../charts/chart58.xml" /><Relationship Id="rId19" Type="http://schemas.openxmlformats.org/officeDocument/2006/relationships/chart" Target="../charts/chart59.xml" /><Relationship Id="rId2" Type="http://schemas.openxmlformats.org/officeDocument/2006/relationships/chart" Target="../charts/chart42.xml" /><Relationship Id="rId20" Type="http://schemas.openxmlformats.org/officeDocument/2006/relationships/chart" Target="../charts/chart60.xml" /><Relationship Id="rId21" Type="http://schemas.openxmlformats.org/officeDocument/2006/relationships/chart" Target="../charts/chart61.xml" /><Relationship Id="rId22" Type="http://schemas.openxmlformats.org/officeDocument/2006/relationships/chart" Target="../charts/chart62.xml" /><Relationship Id="rId23" Type="http://schemas.openxmlformats.org/officeDocument/2006/relationships/chart" Target="../charts/chart63.xml" /><Relationship Id="rId24" Type="http://schemas.openxmlformats.org/officeDocument/2006/relationships/chart" Target="../charts/chart64.xml" /><Relationship Id="rId25" Type="http://schemas.openxmlformats.org/officeDocument/2006/relationships/chart" Target="../charts/chart65.xml" /><Relationship Id="rId26" Type="http://schemas.openxmlformats.org/officeDocument/2006/relationships/chart" Target="../charts/chart66.xml" /><Relationship Id="rId27" Type="http://schemas.openxmlformats.org/officeDocument/2006/relationships/chart" Target="../charts/chart67.xml" /><Relationship Id="rId28" Type="http://schemas.openxmlformats.org/officeDocument/2006/relationships/chart" Target="../charts/chart68.xml" /><Relationship Id="rId29" Type="http://schemas.openxmlformats.org/officeDocument/2006/relationships/chart" Target="../charts/chart69.xml" /><Relationship Id="rId3" Type="http://schemas.openxmlformats.org/officeDocument/2006/relationships/chart" Target="../charts/chart43.xml" /><Relationship Id="rId30" Type="http://schemas.openxmlformats.org/officeDocument/2006/relationships/chart" Target="../charts/chart70.xml" /><Relationship Id="rId31" Type="http://schemas.openxmlformats.org/officeDocument/2006/relationships/chart" Target="../charts/chart71.xml" /><Relationship Id="rId32" Type="http://schemas.openxmlformats.org/officeDocument/2006/relationships/chart" Target="../charts/chart72.xml" /><Relationship Id="rId33" Type="http://schemas.openxmlformats.org/officeDocument/2006/relationships/chart" Target="../charts/chart73.xml" /><Relationship Id="rId34" Type="http://schemas.openxmlformats.org/officeDocument/2006/relationships/chart" Target="../charts/chart74.xml" /><Relationship Id="rId35" Type="http://schemas.openxmlformats.org/officeDocument/2006/relationships/chart" Target="../charts/chart75.xml" /><Relationship Id="rId36" Type="http://schemas.openxmlformats.org/officeDocument/2006/relationships/chart" Target="../charts/chart76.xml" /><Relationship Id="rId37" Type="http://schemas.openxmlformats.org/officeDocument/2006/relationships/chart" Target="../charts/chart77.xml" /><Relationship Id="rId38" Type="http://schemas.openxmlformats.org/officeDocument/2006/relationships/chart" Target="../charts/chart78.xml" /><Relationship Id="rId39" Type="http://schemas.openxmlformats.org/officeDocument/2006/relationships/chart" Target="../charts/chart79.xml" /><Relationship Id="rId4" Type="http://schemas.openxmlformats.org/officeDocument/2006/relationships/chart" Target="../charts/chart44.xml" /><Relationship Id="rId40" Type="http://schemas.openxmlformats.org/officeDocument/2006/relationships/chart" Target="../charts/chart80.xml" /><Relationship Id="rId5" Type="http://schemas.openxmlformats.org/officeDocument/2006/relationships/chart" Target="../charts/chart45.xml" /><Relationship Id="rId6" Type="http://schemas.openxmlformats.org/officeDocument/2006/relationships/chart" Target="../charts/chart46.xml" /><Relationship Id="rId7" Type="http://schemas.openxmlformats.org/officeDocument/2006/relationships/chart" Target="../charts/chart47.xml" /><Relationship Id="rId8" Type="http://schemas.openxmlformats.org/officeDocument/2006/relationships/chart" Target="../charts/chart48.xml" /><Relationship Id="rId9" Type="http://schemas.openxmlformats.org/officeDocument/2006/relationships/chart" Target="../charts/chart49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12</xdr:col>
      <xdr:colOff>0</xdr:colOff>
      <xdr:row>8</xdr:row>
      <xdr:rowOff>159203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A0962BD-89FB-23F2-D3B6-3B227507824B}"/>
            </a:ext>
          </a:extLst>
        </xdr:cNvPr>
        <xdr:cNvGraphicFramePr/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0</xdr:rowOff>
    </xdr:from>
    <xdr:to>
      <xdr:col>23</xdr:col>
      <xdr:colOff>1</xdr:colOff>
      <xdr:row>9</xdr:row>
      <xdr:rowOff>3175</xdr:rowOff>
    </xdr:to>
    <xdr:graphicFrame macro="">
      <xdr:nvGraphicFramePr>
        <xdr:cNvPr id="138" name="图表 137">
          <a:extLst>
            <a:ext uri="{FF2B5EF4-FFF2-40B4-BE49-F238E27FC236}">
              <a16:creationId xmlns:a16="http://schemas.microsoft.com/office/drawing/2014/main" id="{29F47F65-79C2-4DB1-940F-E39141710E3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0</xdr:colOff>
      <xdr:row>2</xdr:row>
      <xdr:rowOff>0</xdr:rowOff>
    </xdr:from>
    <xdr:to>
      <xdr:col>34</xdr:col>
      <xdr:colOff>0</xdr:colOff>
      <xdr:row>9</xdr:row>
      <xdr:rowOff>3175</xdr:rowOff>
    </xdr:to>
    <xdr:graphicFrame macro="">
      <xdr:nvGraphicFramePr>
        <xdr:cNvPr id="139" name="图表 138">
          <a:extLst>
            <a:ext uri="{FF2B5EF4-FFF2-40B4-BE49-F238E27FC236}">
              <a16:creationId xmlns:a16="http://schemas.microsoft.com/office/drawing/2014/main" id="{74472A84-AEC2-4FFD-82D9-671EA23D375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2</xdr:row>
      <xdr:rowOff>0</xdr:rowOff>
    </xdr:from>
    <xdr:to>
      <xdr:col>45</xdr:col>
      <xdr:colOff>0</xdr:colOff>
      <xdr:row>9</xdr:row>
      <xdr:rowOff>3175</xdr:rowOff>
    </xdr:to>
    <xdr:graphicFrame macro="">
      <xdr:nvGraphicFramePr>
        <xdr:cNvPr id="140" name="图表 139">
          <a:extLst>
            <a:ext uri="{FF2B5EF4-FFF2-40B4-BE49-F238E27FC236}">
              <a16:creationId xmlns:a16="http://schemas.microsoft.com/office/drawing/2014/main" id="{DEFF21BD-0911-48B5-ABE4-A5AC99C115C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45</xdr:col>
      <xdr:colOff>0</xdr:colOff>
      <xdr:row>2</xdr:row>
      <xdr:rowOff>0</xdr:rowOff>
    </xdr:from>
    <xdr:to>
      <xdr:col>56</xdr:col>
      <xdr:colOff>0</xdr:colOff>
      <xdr:row>9</xdr:row>
      <xdr:rowOff>3175</xdr:rowOff>
    </xdr:to>
    <xdr:graphicFrame macro="">
      <xdr:nvGraphicFramePr>
        <xdr:cNvPr id="141" name="图表 140">
          <a:extLst>
            <a:ext uri="{FF2B5EF4-FFF2-40B4-BE49-F238E27FC236}">
              <a16:creationId xmlns:a16="http://schemas.microsoft.com/office/drawing/2014/main" id="{47E7327A-D9E5-43E5-B6B0-1C96CAB2427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10</xdr:row>
      <xdr:rowOff>0</xdr:rowOff>
    </xdr:from>
    <xdr:to>
      <xdr:col>12</xdr:col>
      <xdr:colOff>0</xdr:colOff>
      <xdr:row>17</xdr:row>
      <xdr:rowOff>3175</xdr:rowOff>
    </xdr:to>
    <xdr:graphicFrame macro="">
      <xdr:nvGraphicFramePr>
        <xdr:cNvPr id="142" name="图表 141">
          <a:extLst>
            <a:ext uri="{FF2B5EF4-FFF2-40B4-BE49-F238E27FC236}">
              <a16:creationId xmlns:a16="http://schemas.microsoft.com/office/drawing/2014/main" id="{08301F38-B35A-4C8B-AEFE-5D6311E2682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0</xdr:colOff>
      <xdr:row>10</xdr:row>
      <xdr:rowOff>0</xdr:rowOff>
    </xdr:from>
    <xdr:to>
      <xdr:col>23</xdr:col>
      <xdr:colOff>1</xdr:colOff>
      <xdr:row>17</xdr:row>
      <xdr:rowOff>6350</xdr:rowOff>
    </xdr:to>
    <xdr:graphicFrame macro="">
      <xdr:nvGraphicFramePr>
        <xdr:cNvPr id="143" name="图表 142">
          <a:extLst>
            <a:ext uri="{FF2B5EF4-FFF2-40B4-BE49-F238E27FC236}">
              <a16:creationId xmlns:a16="http://schemas.microsoft.com/office/drawing/2014/main" id="{5650B178-8E6B-462D-9B07-D7FDD2631AB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0</xdr:colOff>
      <xdr:row>10</xdr:row>
      <xdr:rowOff>0</xdr:rowOff>
    </xdr:from>
    <xdr:to>
      <xdr:col>34</xdr:col>
      <xdr:colOff>0</xdr:colOff>
      <xdr:row>17</xdr:row>
      <xdr:rowOff>6350</xdr:rowOff>
    </xdr:to>
    <xdr:graphicFrame macro="">
      <xdr:nvGraphicFramePr>
        <xdr:cNvPr id="144" name="图表 143">
          <a:extLst>
            <a:ext uri="{FF2B5EF4-FFF2-40B4-BE49-F238E27FC236}">
              <a16:creationId xmlns:a16="http://schemas.microsoft.com/office/drawing/2014/main" id="{F8358851-B9D1-42C8-B7F3-5108C4C6AAD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34</xdr:col>
      <xdr:colOff>0</xdr:colOff>
      <xdr:row>10</xdr:row>
      <xdr:rowOff>0</xdr:rowOff>
    </xdr:from>
    <xdr:to>
      <xdr:col>45</xdr:col>
      <xdr:colOff>0</xdr:colOff>
      <xdr:row>17</xdr:row>
      <xdr:rowOff>6350</xdr:rowOff>
    </xdr:to>
    <xdr:graphicFrame macro="">
      <xdr:nvGraphicFramePr>
        <xdr:cNvPr id="145" name="图表 144">
          <a:extLst>
            <a:ext uri="{FF2B5EF4-FFF2-40B4-BE49-F238E27FC236}">
              <a16:creationId xmlns:a16="http://schemas.microsoft.com/office/drawing/2014/main" id="{FD837ACC-36EA-4FE4-AB66-309BF341877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45</xdr:col>
      <xdr:colOff>0</xdr:colOff>
      <xdr:row>10</xdr:row>
      <xdr:rowOff>0</xdr:rowOff>
    </xdr:from>
    <xdr:to>
      <xdr:col>56</xdr:col>
      <xdr:colOff>0</xdr:colOff>
      <xdr:row>17</xdr:row>
      <xdr:rowOff>6350</xdr:rowOff>
    </xdr:to>
    <xdr:graphicFrame macro="">
      <xdr:nvGraphicFramePr>
        <xdr:cNvPr id="146" name="图表 145">
          <a:extLst>
            <a:ext uri="{FF2B5EF4-FFF2-40B4-BE49-F238E27FC236}">
              <a16:creationId xmlns:a16="http://schemas.microsoft.com/office/drawing/2014/main" id="{4085AD40-22D4-4965-8E0E-EBE34D9031E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12</xdr:col>
      <xdr:colOff>0</xdr:colOff>
      <xdr:row>25</xdr:row>
      <xdr:rowOff>3175</xdr:rowOff>
    </xdr:to>
    <xdr:graphicFrame macro="">
      <xdr:nvGraphicFramePr>
        <xdr:cNvPr id="147" name="图表 146">
          <a:extLst>
            <a:ext uri="{FF2B5EF4-FFF2-40B4-BE49-F238E27FC236}">
              <a16:creationId xmlns:a16="http://schemas.microsoft.com/office/drawing/2014/main" id="{B6E62A74-62A3-4EA3-BB2A-5AC0DE4E849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23</xdr:col>
      <xdr:colOff>1</xdr:colOff>
      <xdr:row>25</xdr:row>
      <xdr:rowOff>6350</xdr:rowOff>
    </xdr:to>
    <xdr:graphicFrame macro="">
      <xdr:nvGraphicFramePr>
        <xdr:cNvPr id="148" name="图表 147">
          <a:extLst>
            <a:ext uri="{FF2B5EF4-FFF2-40B4-BE49-F238E27FC236}">
              <a16:creationId xmlns:a16="http://schemas.microsoft.com/office/drawing/2014/main" id="{74557A18-60EC-4D84-A46A-85FF52CD1BE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23</xdr:col>
      <xdr:colOff>0</xdr:colOff>
      <xdr:row>18</xdr:row>
      <xdr:rowOff>0</xdr:rowOff>
    </xdr:from>
    <xdr:to>
      <xdr:col>34</xdr:col>
      <xdr:colOff>0</xdr:colOff>
      <xdr:row>25</xdr:row>
      <xdr:rowOff>6350</xdr:rowOff>
    </xdr:to>
    <xdr:graphicFrame macro="">
      <xdr:nvGraphicFramePr>
        <xdr:cNvPr id="149" name="图表 148">
          <a:extLst>
            <a:ext uri="{FF2B5EF4-FFF2-40B4-BE49-F238E27FC236}">
              <a16:creationId xmlns:a16="http://schemas.microsoft.com/office/drawing/2014/main" id="{790718EE-3C40-4D96-85F4-269B0EFD519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45</xdr:col>
      <xdr:colOff>0</xdr:colOff>
      <xdr:row>25</xdr:row>
      <xdr:rowOff>6350</xdr:rowOff>
    </xdr:to>
    <xdr:graphicFrame macro="">
      <xdr:nvGraphicFramePr>
        <xdr:cNvPr id="150" name="图表 149">
          <a:extLst>
            <a:ext uri="{FF2B5EF4-FFF2-40B4-BE49-F238E27FC236}">
              <a16:creationId xmlns:a16="http://schemas.microsoft.com/office/drawing/2014/main" id="{DAFC3445-D974-40F9-A97E-9F34B59EA01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45</xdr:col>
      <xdr:colOff>0</xdr:colOff>
      <xdr:row>18</xdr:row>
      <xdr:rowOff>0</xdr:rowOff>
    </xdr:from>
    <xdr:to>
      <xdr:col>56</xdr:col>
      <xdr:colOff>0</xdr:colOff>
      <xdr:row>25</xdr:row>
      <xdr:rowOff>6350</xdr:rowOff>
    </xdr:to>
    <xdr:graphicFrame macro="">
      <xdr:nvGraphicFramePr>
        <xdr:cNvPr id="151" name="图表 150">
          <a:extLst>
            <a:ext uri="{FF2B5EF4-FFF2-40B4-BE49-F238E27FC236}">
              <a16:creationId xmlns:a16="http://schemas.microsoft.com/office/drawing/2014/main" id="{3D74B35D-CF38-4626-80A3-AF027756F1A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0</xdr:colOff>
      <xdr:row>33</xdr:row>
      <xdr:rowOff>3175</xdr:rowOff>
    </xdr:to>
    <xdr:graphicFrame macro="">
      <xdr:nvGraphicFramePr>
        <xdr:cNvPr id="152" name="图表 151">
          <a:extLst>
            <a:ext uri="{FF2B5EF4-FFF2-40B4-BE49-F238E27FC236}">
              <a16:creationId xmlns:a16="http://schemas.microsoft.com/office/drawing/2014/main" id="{3F0736DD-834B-4804-B67A-DEAFA9DC8C5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0</xdr:colOff>
      <xdr:row>26</xdr:row>
      <xdr:rowOff>0</xdr:rowOff>
    </xdr:from>
    <xdr:to>
      <xdr:col>23</xdr:col>
      <xdr:colOff>1</xdr:colOff>
      <xdr:row>33</xdr:row>
      <xdr:rowOff>6350</xdr:rowOff>
    </xdr:to>
    <xdr:graphicFrame macro="">
      <xdr:nvGraphicFramePr>
        <xdr:cNvPr id="153" name="图表 152">
          <a:extLst>
            <a:ext uri="{FF2B5EF4-FFF2-40B4-BE49-F238E27FC236}">
              <a16:creationId xmlns:a16="http://schemas.microsoft.com/office/drawing/2014/main" id="{6337C91A-F619-41B4-A663-896EDF307F9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23</xdr:col>
      <xdr:colOff>0</xdr:colOff>
      <xdr:row>26</xdr:row>
      <xdr:rowOff>0</xdr:rowOff>
    </xdr:from>
    <xdr:to>
      <xdr:col>34</xdr:col>
      <xdr:colOff>0</xdr:colOff>
      <xdr:row>33</xdr:row>
      <xdr:rowOff>6350</xdr:rowOff>
    </xdr:to>
    <xdr:graphicFrame macro="">
      <xdr:nvGraphicFramePr>
        <xdr:cNvPr id="154" name="图表 153">
          <a:extLst>
            <a:ext uri="{FF2B5EF4-FFF2-40B4-BE49-F238E27FC236}">
              <a16:creationId xmlns:a16="http://schemas.microsoft.com/office/drawing/2014/main" id="{3E8125CE-FBC6-4C9E-98E4-870E162D401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34</xdr:col>
      <xdr:colOff>0</xdr:colOff>
      <xdr:row>26</xdr:row>
      <xdr:rowOff>0</xdr:rowOff>
    </xdr:from>
    <xdr:to>
      <xdr:col>45</xdr:col>
      <xdr:colOff>0</xdr:colOff>
      <xdr:row>33</xdr:row>
      <xdr:rowOff>6350</xdr:rowOff>
    </xdr:to>
    <xdr:graphicFrame macro="">
      <xdr:nvGraphicFramePr>
        <xdr:cNvPr id="155" name="图表 154">
          <a:extLst>
            <a:ext uri="{FF2B5EF4-FFF2-40B4-BE49-F238E27FC236}">
              <a16:creationId xmlns:a16="http://schemas.microsoft.com/office/drawing/2014/main" id="{C5154BAF-84F7-42C6-919C-27D052268AA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45</xdr:col>
      <xdr:colOff>0</xdr:colOff>
      <xdr:row>26</xdr:row>
      <xdr:rowOff>0</xdr:rowOff>
    </xdr:from>
    <xdr:to>
      <xdr:col>56</xdr:col>
      <xdr:colOff>0</xdr:colOff>
      <xdr:row>33</xdr:row>
      <xdr:rowOff>6350</xdr:rowOff>
    </xdr:to>
    <xdr:graphicFrame macro="">
      <xdr:nvGraphicFramePr>
        <xdr:cNvPr id="156" name="图表 155">
          <a:extLst>
            <a:ext uri="{FF2B5EF4-FFF2-40B4-BE49-F238E27FC236}">
              <a16:creationId xmlns:a16="http://schemas.microsoft.com/office/drawing/2014/main" id="{32A23AAE-3725-46C3-BA4F-7711683E93B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</xdr:col>
      <xdr:colOff>0</xdr:colOff>
      <xdr:row>34</xdr:row>
      <xdr:rowOff>0</xdr:rowOff>
    </xdr:from>
    <xdr:to>
      <xdr:col>12</xdr:col>
      <xdr:colOff>0</xdr:colOff>
      <xdr:row>41</xdr:row>
      <xdr:rowOff>3175</xdr:rowOff>
    </xdr:to>
    <xdr:graphicFrame macro="">
      <xdr:nvGraphicFramePr>
        <xdr:cNvPr id="157" name="图表 156">
          <a:extLst>
            <a:ext uri="{FF2B5EF4-FFF2-40B4-BE49-F238E27FC236}">
              <a16:creationId xmlns:a16="http://schemas.microsoft.com/office/drawing/2014/main" id="{EAF0CD44-9412-460E-A3F2-EC62BCA3C42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12</xdr:col>
      <xdr:colOff>0</xdr:colOff>
      <xdr:row>34</xdr:row>
      <xdr:rowOff>0</xdr:rowOff>
    </xdr:from>
    <xdr:to>
      <xdr:col>23</xdr:col>
      <xdr:colOff>1</xdr:colOff>
      <xdr:row>41</xdr:row>
      <xdr:rowOff>6350</xdr:rowOff>
    </xdr:to>
    <xdr:graphicFrame macro="">
      <xdr:nvGraphicFramePr>
        <xdr:cNvPr id="158" name="图表 157">
          <a:extLst>
            <a:ext uri="{FF2B5EF4-FFF2-40B4-BE49-F238E27FC236}">
              <a16:creationId xmlns:a16="http://schemas.microsoft.com/office/drawing/2014/main" id="{EBD95126-1E6D-4269-8A89-E2C9705E0A0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23</xdr:col>
      <xdr:colOff>0</xdr:colOff>
      <xdr:row>34</xdr:row>
      <xdr:rowOff>0</xdr:rowOff>
    </xdr:from>
    <xdr:to>
      <xdr:col>34</xdr:col>
      <xdr:colOff>0</xdr:colOff>
      <xdr:row>41</xdr:row>
      <xdr:rowOff>6350</xdr:rowOff>
    </xdr:to>
    <xdr:graphicFrame macro="">
      <xdr:nvGraphicFramePr>
        <xdr:cNvPr id="159" name="图表 158">
          <a:extLst>
            <a:ext uri="{FF2B5EF4-FFF2-40B4-BE49-F238E27FC236}">
              <a16:creationId xmlns:a16="http://schemas.microsoft.com/office/drawing/2014/main" id="{6295A91B-765F-40FA-BF21-B8BF5F8DBB9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34</xdr:col>
      <xdr:colOff>0</xdr:colOff>
      <xdr:row>34</xdr:row>
      <xdr:rowOff>0</xdr:rowOff>
    </xdr:from>
    <xdr:to>
      <xdr:col>45</xdr:col>
      <xdr:colOff>0</xdr:colOff>
      <xdr:row>41</xdr:row>
      <xdr:rowOff>6350</xdr:rowOff>
    </xdr:to>
    <xdr:graphicFrame macro="">
      <xdr:nvGraphicFramePr>
        <xdr:cNvPr id="160" name="图表 159">
          <a:extLst>
            <a:ext uri="{FF2B5EF4-FFF2-40B4-BE49-F238E27FC236}">
              <a16:creationId xmlns:a16="http://schemas.microsoft.com/office/drawing/2014/main" id="{F0A0B060-6040-4A4F-BE82-7A4B4AAA93F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45</xdr:col>
      <xdr:colOff>0</xdr:colOff>
      <xdr:row>34</xdr:row>
      <xdr:rowOff>0</xdr:rowOff>
    </xdr:from>
    <xdr:to>
      <xdr:col>56</xdr:col>
      <xdr:colOff>0</xdr:colOff>
      <xdr:row>41</xdr:row>
      <xdr:rowOff>6350</xdr:rowOff>
    </xdr:to>
    <xdr:graphicFrame macro="">
      <xdr:nvGraphicFramePr>
        <xdr:cNvPr id="161" name="图表 160">
          <a:extLst>
            <a:ext uri="{FF2B5EF4-FFF2-40B4-BE49-F238E27FC236}">
              <a16:creationId xmlns:a16="http://schemas.microsoft.com/office/drawing/2014/main" id="{106D21F4-C739-44B2-91C1-F43697D17E1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</xdr:col>
      <xdr:colOff>0</xdr:colOff>
      <xdr:row>42</xdr:row>
      <xdr:rowOff>0</xdr:rowOff>
    </xdr:from>
    <xdr:to>
      <xdr:col>12</xdr:col>
      <xdr:colOff>0</xdr:colOff>
      <xdr:row>49</xdr:row>
      <xdr:rowOff>3175</xdr:rowOff>
    </xdr:to>
    <xdr:graphicFrame macro="">
      <xdr:nvGraphicFramePr>
        <xdr:cNvPr id="162" name="图表 161">
          <a:extLst>
            <a:ext uri="{FF2B5EF4-FFF2-40B4-BE49-F238E27FC236}">
              <a16:creationId xmlns:a16="http://schemas.microsoft.com/office/drawing/2014/main" id="{21F39D61-7A59-4A5F-A86B-90F34248FBD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12</xdr:col>
      <xdr:colOff>0</xdr:colOff>
      <xdr:row>42</xdr:row>
      <xdr:rowOff>0</xdr:rowOff>
    </xdr:from>
    <xdr:to>
      <xdr:col>23</xdr:col>
      <xdr:colOff>1</xdr:colOff>
      <xdr:row>49</xdr:row>
      <xdr:rowOff>6350</xdr:rowOff>
    </xdr:to>
    <xdr:graphicFrame macro="">
      <xdr:nvGraphicFramePr>
        <xdr:cNvPr id="163" name="图表 162">
          <a:extLst>
            <a:ext uri="{FF2B5EF4-FFF2-40B4-BE49-F238E27FC236}">
              <a16:creationId xmlns:a16="http://schemas.microsoft.com/office/drawing/2014/main" id="{4A720CEB-BCC4-4850-AFEE-24CDB1B0DBD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23</xdr:col>
      <xdr:colOff>0</xdr:colOff>
      <xdr:row>42</xdr:row>
      <xdr:rowOff>0</xdr:rowOff>
    </xdr:from>
    <xdr:to>
      <xdr:col>34</xdr:col>
      <xdr:colOff>0</xdr:colOff>
      <xdr:row>49</xdr:row>
      <xdr:rowOff>6350</xdr:rowOff>
    </xdr:to>
    <xdr:graphicFrame macro="">
      <xdr:nvGraphicFramePr>
        <xdr:cNvPr id="164" name="图表 163">
          <a:extLst>
            <a:ext uri="{FF2B5EF4-FFF2-40B4-BE49-F238E27FC236}">
              <a16:creationId xmlns:a16="http://schemas.microsoft.com/office/drawing/2014/main" id="{A72E3AAF-6394-40E2-A8A7-2CF7656AC86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34</xdr:col>
      <xdr:colOff>0</xdr:colOff>
      <xdr:row>42</xdr:row>
      <xdr:rowOff>0</xdr:rowOff>
    </xdr:from>
    <xdr:to>
      <xdr:col>45</xdr:col>
      <xdr:colOff>0</xdr:colOff>
      <xdr:row>49</xdr:row>
      <xdr:rowOff>6350</xdr:rowOff>
    </xdr:to>
    <xdr:graphicFrame macro="">
      <xdr:nvGraphicFramePr>
        <xdr:cNvPr id="165" name="图表 164">
          <a:extLst>
            <a:ext uri="{FF2B5EF4-FFF2-40B4-BE49-F238E27FC236}">
              <a16:creationId xmlns:a16="http://schemas.microsoft.com/office/drawing/2014/main" id="{D2739315-0A4C-40DD-A758-A78BD0C3BCE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45</xdr:col>
      <xdr:colOff>0</xdr:colOff>
      <xdr:row>42</xdr:row>
      <xdr:rowOff>0</xdr:rowOff>
    </xdr:from>
    <xdr:to>
      <xdr:col>56</xdr:col>
      <xdr:colOff>0</xdr:colOff>
      <xdr:row>49</xdr:row>
      <xdr:rowOff>6350</xdr:rowOff>
    </xdr:to>
    <xdr:graphicFrame macro="">
      <xdr:nvGraphicFramePr>
        <xdr:cNvPr id="166" name="图表 165">
          <a:extLst>
            <a:ext uri="{FF2B5EF4-FFF2-40B4-BE49-F238E27FC236}">
              <a16:creationId xmlns:a16="http://schemas.microsoft.com/office/drawing/2014/main" id="{8853260F-72FD-4573-849C-E435EE1760B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</xdr:col>
      <xdr:colOff>0</xdr:colOff>
      <xdr:row>50</xdr:row>
      <xdr:rowOff>0</xdr:rowOff>
    </xdr:from>
    <xdr:to>
      <xdr:col>12</xdr:col>
      <xdr:colOff>0</xdr:colOff>
      <xdr:row>57</xdr:row>
      <xdr:rowOff>3175</xdr:rowOff>
    </xdr:to>
    <xdr:graphicFrame macro="">
      <xdr:nvGraphicFramePr>
        <xdr:cNvPr id="167" name="图表 166">
          <a:extLst>
            <a:ext uri="{FF2B5EF4-FFF2-40B4-BE49-F238E27FC236}">
              <a16:creationId xmlns:a16="http://schemas.microsoft.com/office/drawing/2014/main" id="{9D907B48-5643-4E26-8DF2-F7CCE1CA220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12</xdr:col>
      <xdr:colOff>0</xdr:colOff>
      <xdr:row>50</xdr:row>
      <xdr:rowOff>0</xdr:rowOff>
    </xdr:from>
    <xdr:to>
      <xdr:col>23</xdr:col>
      <xdr:colOff>1</xdr:colOff>
      <xdr:row>57</xdr:row>
      <xdr:rowOff>6350</xdr:rowOff>
    </xdr:to>
    <xdr:graphicFrame macro="">
      <xdr:nvGraphicFramePr>
        <xdr:cNvPr id="168" name="图表 167">
          <a:extLst>
            <a:ext uri="{FF2B5EF4-FFF2-40B4-BE49-F238E27FC236}">
              <a16:creationId xmlns:a16="http://schemas.microsoft.com/office/drawing/2014/main" id="{3791672D-FF73-4032-9DB2-E774E26503F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23</xdr:col>
      <xdr:colOff>0</xdr:colOff>
      <xdr:row>50</xdr:row>
      <xdr:rowOff>0</xdr:rowOff>
    </xdr:from>
    <xdr:to>
      <xdr:col>34</xdr:col>
      <xdr:colOff>0</xdr:colOff>
      <xdr:row>57</xdr:row>
      <xdr:rowOff>6350</xdr:rowOff>
    </xdr:to>
    <xdr:graphicFrame macro="">
      <xdr:nvGraphicFramePr>
        <xdr:cNvPr id="169" name="图表 168">
          <a:extLst>
            <a:ext uri="{FF2B5EF4-FFF2-40B4-BE49-F238E27FC236}">
              <a16:creationId xmlns:a16="http://schemas.microsoft.com/office/drawing/2014/main" id="{D8D4484C-72BC-4874-89E3-CC8CFAA4966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34</xdr:col>
      <xdr:colOff>0</xdr:colOff>
      <xdr:row>50</xdr:row>
      <xdr:rowOff>0</xdr:rowOff>
    </xdr:from>
    <xdr:to>
      <xdr:col>45</xdr:col>
      <xdr:colOff>0</xdr:colOff>
      <xdr:row>57</xdr:row>
      <xdr:rowOff>6350</xdr:rowOff>
    </xdr:to>
    <xdr:graphicFrame macro="">
      <xdr:nvGraphicFramePr>
        <xdr:cNvPr id="170" name="图表 169">
          <a:extLst>
            <a:ext uri="{FF2B5EF4-FFF2-40B4-BE49-F238E27FC236}">
              <a16:creationId xmlns:a16="http://schemas.microsoft.com/office/drawing/2014/main" id="{D8D7827A-B205-499C-9EAD-2FBF5BB54CC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45</xdr:col>
      <xdr:colOff>0</xdr:colOff>
      <xdr:row>50</xdr:row>
      <xdr:rowOff>0</xdr:rowOff>
    </xdr:from>
    <xdr:to>
      <xdr:col>56</xdr:col>
      <xdr:colOff>0</xdr:colOff>
      <xdr:row>57</xdr:row>
      <xdr:rowOff>6350</xdr:rowOff>
    </xdr:to>
    <xdr:graphicFrame macro="">
      <xdr:nvGraphicFramePr>
        <xdr:cNvPr id="171" name="图表 170">
          <a:extLst>
            <a:ext uri="{FF2B5EF4-FFF2-40B4-BE49-F238E27FC236}">
              <a16:creationId xmlns:a16="http://schemas.microsoft.com/office/drawing/2014/main" id="{38306F80-7102-4030-9B9B-5280BE35843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</xdr:col>
      <xdr:colOff>0</xdr:colOff>
      <xdr:row>58</xdr:row>
      <xdr:rowOff>0</xdr:rowOff>
    </xdr:from>
    <xdr:to>
      <xdr:col>12</xdr:col>
      <xdr:colOff>0</xdr:colOff>
      <xdr:row>65</xdr:row>
      <xdr:rowOff>3175</xdr:rowOff>
    </xdr:to>
    <xdr:graphicFrame macro="">
      <xdr:nvGraphicFramePr>
        <xdr:cNvPr id="172" name="图表 171">
          <a:extLst>
            <a:ext uri="{FF2B5EF4-FFF2-40B4-BE49-F238E27FC236}">
              <a16:creationId xmlns:a16="http://schemas.microsoft.com/office/drawing/2014/main" id="{6BD9F686-D379-4E75-9337-6202F447AF9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12</xdr:col>
      <xdr:colOff>0</xdr:colOff>
      <xdr:row>58</xdr:row>
      <xdr:rowOff>0</xdr:rowOff>
    </xdr:from>
    <xdr:to>
      <xdr:col>23</xdr:col>
      <xdr:colOff>1</xdr:colOff>
      <xdr:row>65</xdr:row>
      <xdr:rowOff>6350</xdr:rowOff>
    </xdr:to>
    <xdr:graphicFrame macro="">
      <xdr:nvGraphicFramePr>
        <xdr:cNvPr id="173" name="图表 172">
          <a:extLst>
            <a:ext uri="{FF2B5EF4-FFF2-40B4-BE49-F238E27FC236}">
              <a16:creationId xmlns:a16="http://schemas.microsoft.com/office/drawing/2014/main" id="{398AB0E7-2E85-47CE-BA29-5490033C55F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23</xdr:col>
      <xdr:colOff>0</xdr:colOff>
      <xdr:row>58</xdr:row>
      <xdr:rowOff>0</xdr:rowOff>
    </xdr:from>
    <xdr:to>
      <xdr:col>34</xdr:col>
      <xdr:colOff>0</xdr:colOff>
      <xdr:row>65</xdr:row>
      <xdr:rowOff>6350</xdr:rowOff>
    </xdr:to>
    <xdr:graphicFrame macro="">
      <xdr:nvGraphicFramePr>
        <xdr:cNvPr id="174" name="图表 173">
          <a:extLst>
            <a:ext uri="{FF2B5EF4-FFF2-40B4-BE49-F238E27FC236}">
              <a16:creationId xmlns:a16="http://schemas.microsoft.com/office/drawing/2014/main" id="{C4D011AE-F73D-46DD-BFDB-0284D7FA48D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34</xdr:col>
      <xdr:colOff>0</xdr:colOff>
      <xdr:row>58</xdr:row>
      <xdr:rowOff>0</xdr:rowOff>
    </xdr:from>
    <xdr:to>
      <xdr:col>45</xdr:col>
      <xdr:colOff>0</xdr:colOff>
      <xdr:row>65</xdr:row>
      <xdr:rowOff>6350</xdr:rowOff>
    </xdr:to>
    <xdr:graphicFrame macro="">
      <xdr:nvGraphicFramePr>
        <xdr:cNvPr id="175" name="图表 174">
          <a:extLst>
            <a:ext uri="{FF2B5EF4-FFF2-40B4-BE49-F238E27FC236}">
              <a16:creationId xmlns:a16="http://schemas.microsoft.com/office/drawing/2014/main" id="{41AC213E-923A-4221-A0B2-6831217365A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45</xdr:col>
      <xdr:colOff>0</xdr:colOff>
      <xdr:row>58</xdr:row>
      <xdr:rowOff>0</xdr:rowOff>
    </xdr:from>
    <xdr:to>
      <xdr:col>56</xdr:col>
      <xdr:colOff>0</xdr:colOff>
      <xdr:row>65</xdr:row>
      <xdr:rowOff>6350</xdr:rowOff>
    </xdr:to>
    <xdr:graphicFrame macro="">
      <xdr:nvGraphicFramePr>
        <xdr:cNvPr id="176" name="图表 175">
          <a:extLst>
            <a:ext uri="{FF2B5EF4-FFF2-40B4-BE49-F238E27FC236}">
              <a16:creationId xmlns:a16="http://schemas.microsoft.com/office/drawing/2014/main" id="{2A61A9D1-1706-4454-80DC-21795A50B2F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12</xdr:col>
      <xdr:colOff>0</xdr:colOff>
      <xdr:row>8</xdr:row>
      <xdr:rowOff>159203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F9B93D7-9BAE-4FAB-845D-AFF799026AA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0</xdr:rowOff>
    </xdr:from>
    <xdr:to>
      <xdr:col>23</xdr:col>
      <xdr:colOff>1</xdr:colOff>
      <xdr:row>9</xdr:row>
      <xdr:rowOff>3175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6277DDA3-8774-4A00-957F-FCA5EBAD06D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0</xdr:colOff>
      <xdr:row>2</xdr:row>
      <xdr:rowOff>0</xdr:rowOff>
    </xdr:from>
    <xdr:to>
      <xdr:col>34</xdr:col>
      <xdr:colOff>0</xdr:colOff>
      <xdr:row>9</xdr:row>
      <xdr:rowOff>3175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AA712E7-5682-4DCC-83B4-27C4C5E23B5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2</xdr:row>
      <xdr:rowOff>0</xdr:rowOff>
    </xdr:from>
    <xdr:to>
      <xdr:col>45</xdr:col>
      <xdr:colOff>0</xdr:colOff>
      <xdr:row>9</xdr:row>
      <xdr:rowOff>3175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CE1A4927-B5FD-44E7-9CC4-B96876D8DCE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45</xdr:col>
      <xdr:colOff>0</xdr:colOff>
      <xdr:row>2</xdr:row>
      <xdr:rowOff>0</xdr:rowOff>
    </xdr:from>
    <xdr:to>
      <xdr:col>56</xdr:col>
      <xdr:colOff>0</xdr:colOff>
      <xdr:row>9</xdr:row>
      <xdr:rowOff>3175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AB151267-AEF0-49D6-B867-2AC0CD34C0A4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10</xdr:row>
      <xdr:rowOff>0</xdr:rowOff>
    </xdr:from>
    <xdr:to>
      <xdr:col>12</xdr:col>
      <xdr:colOff>0</xdr:colOff>
      <xdr:row>17</xdr:row>
      <xdr:rowOff>3175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C4566338-C8BE-40BD-AE9C-5D5CF8DFDD8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0</xdr:colOff>
      <xdr:row>10</xdr:row>
      <xdr:rowOff>0</xdr:rowOff>
    </xdr:from>
    <xdr:to>
      <xdr:col>23</xdr:col>
      <xdr:colOff>1</xdr:colOff>
      <xdr:row>17</xdr:row>
      <xdr:rowOff>6350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B431D7F9-B970-45B6-B3E2-D9CD6DE2AC5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0</xdr:colOff>
      <xdr:row>10</xdr:row>
      <xdr:rowOff>0</xdr:rowOff>
    </xdr:from>
    <xdr:to>
      <xdr:col>34</xdr:col>
      <xdr:colOff>0</xdr:colOff>
      <xdr:row>17</xdr:row>
      <xdr:rowOff>6350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C347672A-009E-43A8-96FB-64F5E775D42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34</xdr:col>
      <xdr:colOff>0</xdr:colOff>
      <xdr:row>10</xdr:row>
      <xdr:rowOff>0</xdr:rowOff>
    </xdr:from>
    <xdr:to>
      <xdr:col>45</xdr:col>
      <xdr:colOff>0</xdr:colOff>
      <xdr:row>17</xdr:row>
      <xdr:rowOff>6350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8F4B861E-2848-48C7-A1A2-019D2C147FB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45</xdr:col>
      <xdr:colOff>0</xdr:colOff>
      <xdr:row>10</xdr:row>
      <xdr:rowOff>0</xdr:rowOff>
    </xdr:from>
    <xdr:to>
      <xdr:col>56</xdr:col>
      <xdr:colOff>0</xdr:colOff>
      <xdr:row>17</xdr:row>
      <xdr:rowOff>6350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06A6025A-7FE0-46BE-B3AB-A08D5519B52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12</xdr:col>
      <xdr:colOff>0</xdr:colOff>
      <xdr:row>25</xdr:row>
      <xdr:rowOff>3175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CBDEAB57-B992-4840-A5BE-71996B57618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23</xdr:col>
      <xdr:colOff>1</xdr:colOff>
      <xdr:row>25</xdr:row>
      <xdr:rowOff>6350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C9A0FE98-F1E7-467A-A21E-C815840B219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23</xdr:col>
      <xdr:colOff>0</xdr:colOff>
      <xdr:row>18</xdr:row>
      <xdr:rowOff>0</xdr:rowOff>
    </xdr:from>
    <xdr:to>
      <xdr:col>34</xdr:col>
      <xdr:colOff>0</xdr:colOff>
      <xdr:row>25</xdr:row>
      <xdr:rowOff>6350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E76490B0-6BE2-49D0-8A1F-FE0E52C4B54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45</xdr:col>
      <xdr:colOff>0</xdr:colOff>
      <xdr:row>25</xdr:row>
      <xdr:rowOff>6350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7B870413-DE8F-4875-860B-81C18B56109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45</xdr:col>
      <xdr:colOff>0</xdr:colOff>
      <xdr:row>18</xdr:row>
      <xdr:rowOff>0</xdr:rowOff>
    </xdr:from>
    <xdr:to>
      <xdr:col>56</xdr:col>
      <xdr:colOff>0</xdr:colOff>
      <xdr:row>25</xdr:row>
      <xdr:rowOff>6350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B9787308-276D-4CE3-AE39-52C974C095E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0</xdr:colOff>
      <xdr:row>33</xdr:row>
      <xdr:rowOff>3175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C4E64FCE-8872-4ED9-8DAE-1856CEF84CF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0</xdr:colOff>
      <xdr:row>26</xdr:row>
      <xdr:rowOff>0</xdr:rowOff>
    </xdr:from>
    <xdr:to>
      <xdr:col>23</xdr:col>
      <xdr:colOff>1</xdr:colOff>
      <xdr:row>33</xdr:row>
      <xdr:rowOff>6350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417A6227-6216-49E4-B191-65711DE4F5C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23</xdr:col>
      <xdr:colOff>0</xdr:colOff>
      <xdr:row>26</xdr:row>
      <xdr:rowOff>0</xdr:rowOff>
    </xdr:from>
    <xdr:to>
      <xdr:col>34</xdr:col>
      <xdr:colOff>0</xdr:colOff>
      <xdr:row>33</xdr:row>
      <xdr:rowOff>6350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C3E8A31F-7975-414D-88DA-7CBCA74A1F5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34</xdr:col>
      <xdr:colOff>0</xdr:colOff>
      <xdr:row>26</xdr:row>
      <xdr:rowOff>0</xdr:rowOff>
    </xdr:from>
    <xdr:to>
      <xdr:col>45</xdr:col>
      <xdr:colOff>0</xdr:colOff>
      <xdr:row>33</xdr:row>
      <xdr:rowOff>6350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EF652F12-D607-4D06-819B-2A9AA030CC2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45</xdr:col>
      <xdr:colOff>0</xdr:colOff>
      <xdr:row>26</xdr:row>
      <xdr:rowOff>0</xdr:rowOff>
    </xdr:from>
    <xdr:to>
      <xdr:col>56</xdr:col>
      <xdr:colOff>0</xdr:colOff>
      <xdr:row>33</xdr:row>
      <xdr:rowOff>6350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4E42444C-CA4F-4532-B8EE-0BB8D2C09F1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</xdr:col>
      <xdr:colOff>0</xdr:colOff>
      <xdr:row>34</xdr:row>
      <xdr:rowOff>0</xdr:rowOff>
    </xdr:from>
    <xdr:to>
      <xdr:col>12</xdr:col>
      <xdr:colOff>0</xdr:colOff>
      <xdr:row>41</xdr:row>
      <xdr:rowOff>3175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19CEE68A-A6D2-47CC-9A63-9E64B050527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12</xdr:col>
      <xdr:colOff>0</xdr:colOff>
      <xdr:row>34</xdr:row>
      <xdr:rowOff>0</xdr:rowOff>
    </xdr:from>
    <xdr:to>
      <xdr:col>23</xdr:col>
      <xdr:colOff>1</xdr:colOff>
      <xdr:row>41</xdr:row>
      <xdr:rowOff>6350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135AC594-6721-496F-9A55-8BAAC403EA3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23</xdr:col>
      <xdr:colOff>0</xdr:colOff>
      <xdr:row>34</xdr:row>
      <xdr:rowOff>0</xdr:rowOff>
    </xdr:from>
    <xdr:to>
      <xdr:col>34</xdr:col>
      <xdr:colOff>0</xdr:colOff>
      <xdr:row>41</xdr:row>
      <xdr:rowOff>6350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id="{98261E97-3F94-4099-91EF-785230AEFBE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34</xdr:col>
      <xdr:colOff>0</xdr:colOff>
      <xdr:row>34</xdr:row>
      <xdr:rowOff>0</xdr:rowOff>
    </xdr:from>
    <xdr:to>
      <xdr:col>45</xdr:col>
      <xdr:colOff>0</xdr:colOff>
      <xdr:row>41</xdr:row>
      <xdr:rowOff>6350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id="{FBB9C9AE-16DC-428B-8622-F3C101F5817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45</xdr:col>
      <xdr:colOff>0</xdr:colOff>
      <xdr:row>34</xdr:row>
      <xdr:rowOff>0</xdr:rowOff>
    </xdr:from>
    <xdr:to>
      <xdr:col>56</xdr:col>
      <xdr:colOff>0</xdr:colOff>
      <xdr:row>41</xdr:row>
      <xdr:rowOff>6350</xdr:rowOff>
    </xdr:to>
    <xdr:graphicFrame macro="">
      <xdr:nvGraphicFramePr>
        <xdr:cNvPr id="26" name="图表 25">
          <a:extLst>
            <a:ext uri="{FF2B5EF4-FFF2-40B4-BE49-F238E27FC236}">
              <a16:creationId xmlns:a16="http://schemas.microsoft.com/office/drawing/2014/main" id="{5405808B-2C7C-4909-928B-993F204413B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</xdr:col>
      <xdr:colOff>0</xdr:colOff>
      <xdr:row>42</xdr:row>
      <xdr:rowOff>0</xdr:rowOff>
    </xdr:from>
    <xdr:to>
      <xdr:col>12</xdr:col>
      <xdr:colOff>0</xdr:colOff>
      <xdr:row>49</xdr:row>
      <xdr:rowOff>3175</xdr:rowOff>
    </xdr:to>
    <xdr:graphicFrame macro="">
      <xdr:nvGraphicFramePr>
        <xdr:cNvPr id="27" name="图表 26">
          <a:extLst>
            <a:ext uri="{FF2B5EF4-FFF2-40B4-BE49-F238E27FC236}">
              <a16:creationId xmlns:a16="http://schemas.microsoft.com/office/drawing/2014/main" id="{60707B3C-2B36-4C5C-AEB8-C1F17EBEDCD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12</xdr:col>
      <xdr:colOff>0</xdr:colOff>
      <xdr:row>42</xdr:row>
      <xdr:rowOff>0</xdr:rowOff>
    </xdr:from>
    <xdr:to>
      <xdr:col>23</xdr:col>
      <xdr:colOff>1</xdr:colOff>
      <xdr:row>49</xdr:row>
      <xdr:rowOff>6350</xdr:rowOff>
    </xdr:to>
    <xdr:graphicFrame macro="">
      <xdr:nvGraphicFramePr>
        <xdr:cNvPr id="28" name="图表 27">
          <a:extLst>
            <a:ext uri="{FF2B5EF4-FFF2-40B4-BE49-F238E27FC236}">
              <a16:creationId xmlns:a16="http://schemas.microsoft.com/office/drawing/2014/main" id="{B8508DCA-0E6A-45EF-AC64-2FFB4F653B8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23</xdr:col>
      <xdr:colOff>0</xdr:colOff>
      <xdr:row>42</xdr:row>
      <xdr:rowOff>0</xdr:rowOff>
    </xdr:from>
    <xdr:to>
      <xdr:col>34</xdr:col>
      <xdr:colOff>0</xdr:colOff>
      <xdr:row>49</xdr:row>
      <xdr:rowOff>6350</xdr:rowOff>
    </xdr:to>
    <xdr:graphicFrame macro="">
      <xdr:nvGraphicFramePr>
        <xdr:cNvPr id="29" name="图表 28">
          <a:extLst>
            <a:ext uri="{FF2B5EF4-FFF2-40B4-BE49-F238E27FC236}">
              <a16:creationId xmlns:a16="http://schemas.microsoft.com/office/drawing/2014/main" id="{73154937-A6FF-4DB4-ABA1-038C3DA7952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34</xdr:col>
      <xdr:colOff>0</xdr:colOff>
      <xdr:row>42</xdr:row>
      <xdr:rowOff>0</xdr:rowOff>
    </xdr:from>
    <xdr:to>
      <xdr:col>45</xdr:col>
      <xdr:colOff>0</xdr:colOff>
      <xdr:row>49</xdr:row>
      <xdr:rowOff>6350</xdr:rowOff>
    </xdr:to>
    <xdr:graphicFrame macro="">
      <xdr:nvGraphicFramePr>
        <xdr:cNvPr id="30" name="图表 29">
          <a:extLst>
            <a:ext uri="{FF2B5EF4-FFF2-40B4-BE49-F238E27FC236}">
              <a16:creationId xmlns:a16="http://schemas.microsoft.com/office/drawing/2014/main" id="{3DA882A2-28B4-451F-897D-EC91BF349A2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45</xdr:col>
      <xdr:colOff>0</xdr:colOff>
      <xdr:row>42</xdr:row>
      <xdr:rowOff>0</xdr:rowOff>
    </xdr:from>
    <xdr:to>
      <xdr:col>56</xdr:col>
      <xdr:colOff>0</xdr:colOff>
      <xdr:row>49</xdr:row>
      <xdr:rowOff>6350</xdr:rowOff>
    </xdr:to>
    <xdr:graphicFrame macro="">
      <xdr:nvGraphicFramePr>
        <xdr:cNvPr id="31" name="图表 30">
          <a:extLst>
            <a:ext uri="{FF2B5EF4-FFF2-40B4-BE49-F238E27FC236}">
              <a16:creationId xmlns:a16="http://schemas.microsoft.com/office/drawing/2014/main" id="{534CD1D2-29B2-4FFE-95D6-6C884FF497C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</xdr:col>
      <xdr:colOff>0</xdr:colOff>
      <xdr:row>50</xdr:row>
      <xdr:rowOff>0</xdr:rowOff>
    </xdr:from>
    <xdr:to>
      <xdr:col>12</xdr:col>
      <xdr:colOff>0</xdr:colOff>
      <xdr:row>57</xdr:row>
      <xdr:rowOff>3175</xdr:rowOff>
    </xdr:to>
    <xdr:graphicFrame macro="">
      <xdr:nvGraphicFramePr>
        <xdr:cNvPr id="96" name="图表 95">
          <a:extLst>
            <a:ext uri="{FF2B5EF4-FFF2-40B4-BE49-F238E27FC236}">
              <a16:creationId xmlns:a16="http://schemas.microsoft.com/office/drawing/2014/main" id="{2B10B77A-6C66-4FC9-81B0-474B237533C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12</xdr:col>
      <xdr:colOff>0</xdr:colOff>
      <xdr:row>50</xdr:row>
      <xdr:rowOff>0</xdr:rowOff>
    </xdr:from>
    <xdr:to>
      <xdr:col>23</xdr:col>
      <xdr:colOff>1</xdr:colOff>
      <xdr:row>57</xdr:row>
      <xdr:rowOff>6350</xdr:rowOff>
    </xdr:to>
    <xdr:graphicFrame macro="">
      <xdr:nvGraphicFramePr>
        <xdr:cNvPr id="97" name="图表 96">
          <a:extLst>
            <a:ext uri="{FF2B5EF4-FFF2-40B4-BE49-F238E27FC236}">
              <a16:creationId xmlns:a16="http://schemas.microsoft.com/office/drawing/2014/main" id="{5A560605-2DF1-469F-B659-51B823332D7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23</xdr:col>
      <xdr:colOff>0</xdr:colOff>
      <xdr:row>50</xdr:row>
      <xdr:rowOff>0</xdr:rowOff>
    </xdr:from>
    <xdr:to>
      <xdr:col>34</xdr:col>
      <xdr:colOff>0</xdr:colOff>
      <xdr:row>57</xdr:row>
      <xdr:rowOff>6350</xdr:rowOff>
    </xdr:to>
    <xdr:graphicFrame macro="">
      <xdr:nvGraphicFramePr>
        <xdr:cNvPr id="98" name="图表 97">
          <a:extLst>
            <a:ext uri="{FF2B5EF4-FFF2-40B4-BE49-F238E27FC236}">
              <a16:creationId xmlns:a16="http://schemas.microsoft.com/office/drawing/2014/main" id="{DC99DB43-9D02-4468-B343-D068D6E92AF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34</xdr:col>
      <xdr:colOff>0</xdr:colOff>
      <xdr:row>50</xdr:row>
      <xdr:rowOff>0</xdr:rowOff>
    </xdr:from>
    <xdr:to>
      <xdr:col>45</xdr:col>
      <xdr:colOff>0</xdr:colOff>
      <xdr:row>57</xdr:row>
      <xdr:rowOff>6350</xdr:rowOff>
    </xdr:to>
    <xdr:graphicFrame macro="">
      <xdr:nvGraphicFramePr>
        <xdr:cNvPr id="99" name="图表 98">
          <a:extLst>
            <a:ext uri="{FF2B5EF4-FFF2-40B4-BE49-F238E27FC236}">
              <a16:creationId xmlns:a16="http://schemas.microsoft.com/office/drawing/2014/main" id="{1D11CBC9-6E00-49DA-92A7-2BC29360A99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45</xdr:col>
      <xdr:colOff>0</xdr:colOff>
      <xdr:row>50</xdr:row>
      <xdr:rowOff>0</xdr:rowOff>
    </xdr:from>
    <xdr:to>
      <xdr:col>56</xdr:col>
      <xdr:colOff>0</xdr:colOff>
      <xdr:row>57</xdr:row>
      <xdr:rowOff>6350</xdr:rowOff>
    </xdr:to>
    <xdr:graphicFrame macro="">
      <xdr:nvGraphicFramePr>
        <xdr:cNvPr id="100" name="图表 99">
          <a:extLst>
            <a:ext uri="{FF2B5EF4-FFF2-40B4-BE49-F238E27FC236}">
              <a16:creationId xmlns:a16="http://schemas.microsoft.com/office/drawing/2014/main" id="{E4BB3AC9-B0C1-4A68-B216-16B43E2C44D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</xdr:col>
      <xdr:colOff>0</xdr:colOff>
      <xdr:row>58</xdr:row>
      <xdr:rowOff>0</xdr:rowOff>
    </xdr:from>
    <xdr:to>
      <xdr:col>12</xdr:col>
      <xdr:colOff>0</xdr:colOff>
      <xdr:row>65</xdr:row>
      <xdr:rowOff>3175</xdr:rowOff>
    </xdr:to>
    <xdr:graphicFrame macro="">
      <xdr:nvGraphicFramePr>
        <xdr:cNvPr id="101" name="图表 100">
          <a:extLst>
            <a:ext uri="{FF2B5EF4-FFF2-40B4-BE49-F238E27FC236}">
              <a16:creationId xmlns:a16="http://schemas.microsoft.com/office/drawing/2014/main" id="{499E133E-6E39-4174-9482-38343401E58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12</xdr:col>
      <xdr:colOff>0</xdr:colOff>
      <xdr:row>58</xdr:row>
      <xdr:rowOff>0</xdr:rowOff>
    </xdr:from>
    <xdr:to>
      <xdr:col>23</xdr:col>
      <xdr:colOff>1</xdr:colOff>
      <xdr:row>65</xdr:row>
      <xdr:rowOff>6350</xdr:rowOff>
    </xdr:to>
    <xdr:graphicFrame macro="">
      <xdr:nvGraphicFramePr>
        <xdr:cNvPr id="102" name="图表 101">
          <a:extLst>
            <a:ext uri="{FF2B5EF4-FFF2-40B4-BE49-F238E27FC236}">
              <a16:creationId xmlns:a16="http://schemas.microsoft.com/office/drawing/2014/main" id="{2E1E86D3-1183-45AE-8D62-DD493887F05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23</xdr:col>
      <xdr:colOff>0</xdr:colOff>
      <xdr:row>58</xdr:row>
      <xdr:rowOff>0</xdr:rowOff>
    </xdr:from>
    <xdr:to>
      <xdr:col>34</xdr:col>
      <xdr:colOff>0</xdr:colOff>
      <xdr:row>65</xdr:row>
      <xdr:rowOff>6350</xdr:rowOff>
    </xdr:to>
    <xdr:graphicFrame macro="">
      <xdr:nvGraphicFramePr>
        <xdr:cNvPr id="103" name="图表 102">
          <a:extLst>
            <a:ext uri="{FF2B5EF4-FFF2-40B4-BE49-F238E27FC236}">
              <a16:creationId xmlns:a16="http://schemas.microsoft.com/office/drawing/2014/main" id="{F781BA85-834D-4F75-A744-8AC750DDBF4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34</xdr:col>
      <xdr:colOff>0</xdr:colOff>
      <xdr:row>58</xdr:row>
      <xdr:rowOff>0</xdr:rowOff>
    </xdr:from>
    <xdr:to>
      <xdr:col>45</xdr:col>
      <xdr:colOff>0</xdr:colOff>
      <xdr:row>65</xdr:row>
      <xdr:rowOff>6350</xdr:rowOff>
    </xdr:to>
    <xdr:graphicFrame macro="">
      <xdr:nvGraphicFramePr>
        <xdr:cNvPr id="104" name="图表 103">
          <a:extLst>
            <a:ext uri="{FF2B5EF4-FFF2-40B4-BE49-F238E27FC236}">
              <a16:creationId xmlns:a16="http://schemas.microsoft.com/office/drawing/2014/main" id="{36F85B5F-BB6C-4B78-A72F-40174CA3984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45</xdr:col>
      <xdr:colOff>0</xdr:colOff>
      <xdr:row>58</xdr:row>
      <xdr:rowOff>0</xdr:rowOff>
    </xdr:from>
    <xdr:to>
      <xdr:col>56</xdr:col>
      <xdr:colOff>0</xdr:colOff>
      <xdr:row>65</xdr:row>
      <xdr:rowOff>6350</xdr:rowOff>
    </xdr:to>
    <xdr:graphicFrame macro="">
      <xdr:nvGraphicFramePr>
        <xdr:cNvPr id="105" name="图表 104">
          <a:extLst>
            <a:ext uri="{FF2B5EF4-FFF2-40B4-BE49-F238E27FC236}">
              <a16:creationId xmlns:a16="http://schemas.microsoft.com/office/drawing/2014/main" id="{A3698081-730B-4575-80E8-4F28D7D79B7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2.vml" /><Relationship Id="rId4" Type="http://schemas.openxmlformats.org/officeDocument/2006/relationships/comments" Target="../comments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vmlDrawing" Target="../drawings/vmlDrawing3.vml" /><Relationship Id="rId3" Type="http://schemas.openxmlformats.org/officeDocument/2006/relationships/comments" Target="../comments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drawing" Target="../drawings/drawing2.xml" /><Relationship Id="rId3" Type="http://schemas.openxmlformats.org/officeDocument/2006/relationships/vmlDrawing" Target="../drawings/vmlDrawing4.vml" /><Relationship Id="rId4" Type="http://schemas.openxmlformats.org/officeDocument/2006/relationships/comments" Target="../comments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zoomScale="85" zoomScaleNormal="85" workbookViewId="0">
      <selection activeCell="A52" sqref="A52:AR54"/>
    </sheetView>
  </sheetViews>
  <sheetFormatPr defaultRowHeight="8" x14ac:dyDescent="0.25"/>
  <cols>
    <col min="1" max="44" width="6.36328125" style="1" customWidth="1"/>
    <col min="45" max="279" width="9" style="1"/>
    <col min="280" max="280" width="2.08984375" style="1" customWidth="1"/>
    <col min="281" max="281" width="5.81640625" style="1" customWidth="1"/>
    <col min="282" max="282" width="6.81640625" style="1" customWidth="1"/>
    <col min="283" max="283" width="6.08984375" style="1" customWidth="1"/>
    <col min="284" max="284" width="6.81640625" style="1" customWidth="1"/>
    <col min="285" max="285" width="10.81640625" style="1" customWidth="1"/>
    <col min="286" max="286" width="11.54296875" style="1" customWidth="1"/>
    <col min="287" max="287" width="5.54296875" style="1" customWidth="1"/>
    <col min="288" max="288" width="6" style="1" customWidth="1"/>
    <col min="289" max="289" width="6.54296875" style="1" customWidth="1"/>
    <col min="290" max="290" width="11.08984375" style="1" customWidth="1"/>
    <col min="291" max="291" width="7.08984375" style="1" customWidth="1"/>
    <col min="292" max="293" width="5.81640625" style="1" customWidth="1"/>
    <col min="294" max="294" width="6" style="1" customWidth="1"/>
    <col min="295" max="295" width="6.81640625" style="1" customWidth="1"/>
    <col min="296" max="296" width="6" style="1" customWidth="1"/>
    <col min="297" max="297" width="18.08984375" style="1" customWidth="1"/>
    <col min="298" max="535" width="9" style="1"/>
    <col min="536" max="536" width="2.08984375" style="1" customWidth="1"/>
    <col min="537" max="537" width="5.81640625" style="1" customWidth="1"/>
    <col min="538" max="538" width="6.81640625" style="1" customWidth="1"/>
    <col min="539" max="539" width="6.08984375" style="1" customWidth="1"/>
    <col min="540" max="540" width="6.81640625" style="1" customWidth="1"/>
    <col min="541" max="541" width="10.81640625" style="1" customWidth="1"/>
    <col min="542" max="542" width="11.54296875" style="1" customWidth="1"/>
    <col min="543" max="543" width="5.54296875" style="1" customWidth="1"/>
    <col min="544" max="544" width="6" style="1" customWidth="1"/>
    <col min="545" max="545" width="6.54296875" style="1" customWidth="1"/>
    <col min="546" max="546" width="11.08984375" style="1" customWidth="1"/>
    <col min="547" max="547" width="7.08984375" style="1" customWidth="1"/>
    <col min="548" max="549" width="5.81640625" style="1" customWidth="1"/>
    <col min="550" max="550" width="6" style="1" customWidth="1"/>
    <col min="551" max="551" width="6.81640625" style="1" customWidth="1"/>
    <col min="552" max="552" width="6" style="1" customWidth="1"/>
    <col min="553" max="553" width="18.08984375" style="1" customWidth="1"/>
    <col min="554" max="791" width="9" style="1"/>
    <col min="792" max="792" width="2.08984375" style="1" customWidth="1"/>
    <col min="793" max="793" width="5.81640625" style="1" customWidth="1"/>
    <col min="794" max="794" width="6.81640625" style="1" customWidth="1"/>
    <col min="795" max="795" width="6.08984375" style="1" customWidth="1"/>
    <col min="796" max="796" width="6.81640625" style="1" customWidth="1"/>
    <col min="797" max="797" width="10.81640625" style="1" customWidth="1"/>
    <col min="798" max="798" width="11.54296875" style="1" customWidth="1"/>
    <col min="799" max="799" width="5.54296875" style="1" customWidth="1"/>
    <col min="800" max="800" width="6" style="1" customWidth="1"/>
    <col min="801" max="801" width="6.54296875" style="1" customWidth="1"/>
    <col min="802" max="802" width="11.08984375" style="1" customWidth="1"/>
    <col min="803" max="803" width="7.08984375" style="1" customWidth="1"/>
    <col min="804" max="805" width="5.81640625" style="1" customWidth="1"/>
    <col min="806" max="806" width="6" style="1" customWidth="1"/>
    <col min="807" max="807" width="6.81640625" style="1" customWidth="1"/>
    <col min="808" max="808" width="6" style="1" customWidth="1"/>
    <col min="809" max="809" width="18.08984375" style="1" customWidth="1"/>
    <col min="810" max="1047" width="9" style="1"/>
    <col min="1048" max="1048" width="2.08984375" style="1" customWidth="1"/>
    <col min="1049" max="1049" width="5.81640625" style="1" customWidth="1"/>
    <col min="1050" max="1050" width="6.81640625" style="1" customWidth="1"/>
    <col min="1051" max="1051" width="6.08984375" style="1" customWidth="1"/>
    <col min="1052" max="1052" width="6.81640625" style="1" customWidth="1"/>
    <col min="1053" max="1053" width="10.81640625" style="1" customWidth="1"/>
    <col min="1054" max="1054" width="11.54296875" style="1" customWidth="1"/>
    <col min="1055" max="1055" width="5.54296875" style="1" customWidth="1"/>
    <col min="1056" max="1056" width="6" style="1" customWidth="1"/>
    <col min="1057" max="1057" width="6.54296875" style="1" customWidth="1"/>
    <col min="1058" max="1058" width="11.08984375" style="1" customWidth="1"/>
    <col min="1059" max="1059" width="7.08984375" style="1" customWidth="1"/>
    <col min="1060" max="1061" width="5.81640625" style="1" customWidth="1"/>
    <col min="1062" max="1062" width="6" style="1" customWidth="1"/>
    <col min="1063" max="1063" width="6.81640625" style="1" customWidth="1"/>
    <col min="1064" max="1064" width="6" style="1" customWidth="1"/>
    <col min="1065" max="1065" width="18.08984375" style="1" customWidth="1"/>
    <col min="1066" max="1303" width="9" style="1"/>
    <col min="1304" max="1304" width="2.08984375" style="1" customWidth="1"/>
    <col min="1305" max="1305" width="5.81640625" style="1" customWidth="1"/>
    <col min="1306" max="1306" width="6.81640625" style="1" customWidth="1"/>
    <col min="1307" max="1307" width="6.08984375" style="1" customWidth="1"/>
    <col min="1308" max="1308" width="6.81640625" style="1" customWidth="1"/>
    <col min="1309" max="1309" width="10.81640625" style="1" customWidth="1"/>
    <col min="1310" max="1310" width="11.54296875" style="1" customWidth="1"/>
    <col min="1311" max="1311" width="5.54296875" style="1" customWidth="1"/>
    <col min="1312" max="1312" width="6" style="1" customWidth="1"/>
    <col min="1313" max="1313" width="6.54296875" style="1" customWidth="1"/>
    <col min="1314" max="1314" width="11.08984375" style="1" customWidth="1"/>
    <col min="1315" max="1315" width="7.08984375" style="1" customWidth="1"/>
    <col min="1316" max="1317" width="5.81640625" style="1" customWidth="1"/>
    <col min="1318" max="1318" width="6" style="1" customWidth="1"/>
    <col min="1319" max="1319" width="6.81640625" style="1" customWidth="1"/>
    <col min="1320" max="1320" width="6" style="1" customWidth="1"/>
    <col min="1321" max="1321" width="18.08984375" style="1" customWidth="1"/>
    <col min="1322" max="1559" width="9" style="1"/>
    <col min="1560" max="1560" width="2.08984375" style="1" customWidth="1"/>
    <col min="1561" max="1561" width="5.81640625" style="1" customWidth="1"/>
    <col min="1562" max="1562" width="6.81640625" style="1" customWidth="1"/>
    <col min="1563" max="1563" width="6.08984375" style="1" customWidth="1"/>
    <col min="1564" max="1564" width="6.81640625" style="1" customWidth="1"/>
    <col min="1565" max="1565" width="10.81640625" style="1" customWidth="1"/>
    <col min="1566" max="1566" width="11.54296875" style="1" customWidth="1"/>
    <col min="1567" max="1567" width="5.54296875" style="1" customWidth="1"/>
    <col min="1568" max="1568" width="6" style="1" customWidth="1"/>
    <col min="1569" max="1569" width="6.54296875" style="1" customWidth="1"/>
    <col min="1570" max="1570" width="11.08984375" style="1" customWidth="1"/>
    <col min="1571" max="1571" width="7.08984375" style="1" customWidth="1"/>
    <col min="1572" max="1573" width="5.81640625" style="1" customWidth="1"/>
    <col min="1574" max="1574" width="6" style="1" customWidth="1"/>
    <col min="1575" max="1575" width="6.81640625" style="1" customWidth="1"/>
    <col min="1576" max="1576" width="6" style="1" customWidth="1"/>
    <col min="1577" max="1577" width="18.08984375" style="1" customWidth="1"/>
    <col min="1578" max="1815" width="9" style="1"/>
    <col min="1816" max="1816" width="2.08984375" style="1" customWidth="1"/>
    <col min="1817" max="1817" width="5.81640625" style="1" customWidth="1"/>
    <col min="1818" max="1818" width="6.81640625" style="1" customWidth="1"/>
    <col min="1819" max="1819" width="6.08984375" style="1" customWidth="1"/>
    <col min="1820" max="1820" width="6.81640625" style="1" customWidth="1"/>
    <col min="1821" max="1821" width="10.81640625" style="1" customWidth="1"/>
    <col min="1822" max="1822" width="11.54296875" style="1" customWidth="1"/>
    <col min="1823" max="1823" width="5.54296875" style="1" customWidth="1"/>
    <col min="1824" max="1824" width="6" style="1" customWidth="1"/>
    <col min="1825" max="1825" width="6.54296875" style="1" customWidth="1"/>
    <col min="1826" max="1826" width="11.08984375" style="1" customWidth="1"/>
    <col min="1827" max="1827" width="7.08984375" style="1" customWidth="1"/>
    <col min="1828" max="1829" width="5.81640625" style="1" customWidth="1"/>
    <col min="1830" max="1830" width="6" style="1" customWidth="1"/>
    <col min="1831" max="1831" width="6.81640625" style="1" customWidth="1"/>
    <col min="1832" max="1832" width="6" style="1" customWidth="1"/>
    <col min="1833" max="1833" width="18.08984375" style="1" customWidth="1"/>
    <col min="1834" max="2071" width="9" style="1"/>
    <col min="2072" max="2072" width="2.08984375" style="1" customWidth="1"/>
    <col min="2073" max="2073" width="5.81640625" style="1" customWidth="1"/>
    <col min="2074" max="2074" width="6.81640625" style="1" customWidth="1"/>
    <col min="2075" max="2075" width="6.08984375" style="1" customWidth="1"/>
    <col min="2076" max="2076" width="6.81640625" style="1" customWidth="1"/>
    <col min="2077" max="2077" width="10.81640625" style="1" customWidth="1"/>
    <col min="2078" max="2078" width="11.54296875" style="1" customWidth="1"/>
    <col min="2079" max="2079" width="5.54296875" style="1" customWidth="1"/>
    <col min="2080" max="2080" width="6" style="1" customWidth="1"/>
    <col min="2081" max="2081" width="6.54296875" style="1" customWidth="1"/>
    <col min="2082" max="2082" width="11.08984375" style="1" customWidth="1"/>
    <col min="2083" max="2083" width="7.08984375" style="1" customWidth="1"/>
    <col min="2084" max="2085" width="5.81640625" style="1" customWidth="1"/>
    <col min="2086" max="2086" width="6" style="1" customWidth="1"/>
    <col min="2087" max="2087" width="6.81640625" style="1" customWidth="1"/>
    <col min="2088" max="2088" width="6" style="1" customWidth="1"/>
    <col min="2089" max="2089" width="18.08984375" style="1" customWidth="1"/>
    <col min="2090" max="2327" width="9" style="1"/>
    <col min="2328" max="2328" width="2.08984375" style="1" customWidth="1"/>
    <col min="2329" max="2329" width="5.81640625" style="1" customWidth="1"/>
    <col min="2330" max="2330" width="6.81640625" style="1" customWidth="1"/>
    <col min="2331" max="2331" width="6.08984375" style="1" customWidth="1"/>
    <col min="2332" max="2332" width="6.81640625" style="1" customWidth="1"/>
    <col min="2333" max="2333" width="10.81640625" style="1" customWidth="1"/>
    <col min="2334" max="2334" width="11.54296875" style="1" customWidth="1"/>
    <col min="2335" max="2335" width="5.54296875" style="1" customWidth="1"/>
    <col min="2336" max="2336" width="6" style="1" customWidth="1"/>
    <col min="2337" max="2337" width="6.54296875" style="1" customWidth="1"/>
    <col min="2338" max="2338" width="11.08984375" style="1" customWidth="1"/>
    <col min="2339" max="2339" width="7.08984375" style="1" customWidth="1"/>
    <col min="2340" max="2341" width="5.81640625" style="1" customWidth="1"/>
    <col min="2342" max="2342" width="6" style="1" customWidth="1"/>
    <col min="2343" max="2343" width="6.81640625" style="1" customWidth="1"/>
    <col min="2344" max="2344" width="6" style="1" customWidth="1"/>
    <col min="2345" max="2345" width="18.08984375" style="1" customWidth="1"/>
    <col min="2346" max="2583" width="9" style="1"/>
    <col min="2584" max="2584" width="2.08984375" style="1" customWidth="1"/>
    <col min="2585" max="2585" width="5.81640625" style="1" customWidth="1"/>
    <col min="2586" max="2586" width="6.81640625" style="1" customWidth="1"/>
    <col min="2587" max="2587" width="6.08984375" style="1" customWidth="1"/>
    <col min="2588" max="2588" width="6.81640625" style="1" customWidth="1"/>
    <col min="2589" max="2589" width="10.81640625" style="1" customWidth="1"/>
    <col min="2590" max="2590" width="11.54296875" style="1" customWidth="1"/>
    <col min="2591" max="2591" width="5.54296875" style="1" customWidth="1"/>
    <col min="2592" max="2592" width="6" style="1" customWidth="1"/>
    <col min="2593" max="2593" width="6.54296875" style="1" customWidth="1"/>
    <col min="2594" max="2594" width="11.08984375" style="1" customWidth="1"/>
    <col min="2595" max="2595" width="7.08984375" style="1" customWidth="1"/>
    <col min="2596" max="2597" width="5.81640625" style="1" customWidth="1"/>
    <col min="2598" max="2598" width="6" style="1" customWidth="1"/>
    <col min="2599" max="2599" width="6.81640625" style="1" customWidth="1"/>
    <col min="2600" max="2600" width="6" style="1" customWidth="1"/>
    <col min="2601" max="2601" width="18.08984375" style="1" customWidth="1"/>
    <col min="2602" max="2839" width="9" style="1"/>
    <col min="2840" max="2840" width="2.08984375" style="1" customWidth="1"/>
    <col min="2841" max="2841" width="5.81640625" style="1" customWidth="1"/>
    <col min="2842" max="2842" width="6.81640625" style="1" customWidth="1"/>
    <col min="2843" max="2843" width="6.08984375" style="1" customWidth="1"/>
    <col min="2844" max="2844" width="6.81640625" style="1" customWidth="1"/>
    <col min="2845" max="2845" width="10.81640625" style="1" customWidth="1"/>
    <col min="2846" max="2846" width="11.54296875" style="1" customWidth="1"/>
    <col min="2847" max="2847" width="5.54296875" style="1" customWidth="1"/>
    <col min="2848" max="2848" width="6" style="1" customWidth="1"/>
    <col min="2849" max="2849" width="6.54296875" style="1" customWidth="1"/>
    <col min="2850" max="2850" width="11.08984375" style="1" customWidth="1"/>
    <col min="2851" max="2851" width="7.08984375" style="1" customWidth="1"/>
    <col min="2852" max="2853" width="5.81640625" style="1" customWidth="1"/>
    <col min="2854" max="2854" width="6" style="1" customWidth="1"/>
    <col min="2855" max="2855" width="6.81640625" style="1" customWidth="1"/>
    <col min="2856" max="2856" width="6" style="1" customWidth="1"/>
    <col min="2857" max="2857" width="18.08984375" style="1" customWidth="1"/>
    <col min="2858" max="3095" width="9" style="1"/>
    <col min="3096" max="3096" width="2.08984375" style="1" customWidth="1"/>
    <col min="3097" max="3097" width="5.81640625" style="1" customWidth="1"/>
    <col min="3098" max="3098" width="6.81640625" style="1" customWidth="1"/>
    <col min="3099" max="3099" width="6.08984375" style="1" customWidth="1"/>
    <col min="3100" max="3100" width="6.81640625" style="1" customWidth="1"/>
    <col min="3101" max="3101" width="10.81640625" style="1" customWidth="1"/>
    <col min="3102" max="3102" width="11.54296875" style="1" customWidth="1"/>
    <col min="3103" max="3103" width="5.54296875" style="1" customWidth="1"/>
    <col min="3104" max="3104" width="6" style="1" customWidth="1"/>
    <col min="3105" max="3105" width="6.54296875" style="1" customWidth="1"/>
    <col min="3106" max="3106" width="11.08984375" style="1" customWidth="1"/>
    <col min="3107" max="3107" width="7.08984375" style="1" customWidth="1"/>
    <col min="3108" max="3109" width="5.81640625" style="1" customWidth="1"/>
    <col min="3110" max="3110" width="6" style="1" customWidth="1"/>
    <col min="3111" max="3111" width="6.81640625" style="1" customWidth="1"/>
    <col min="3112" max="3112" width="6" style="1" customWidth="1"/>
    <col min="3113" max="3113" width="18.08984375" style="1" customWidth="1"/>
    <col min="3114" max="3351" width="9" style="1"/>
    <col min="3352" max="3352" width="2.08984375" style="1" customWidth="1"/>
    <col min="3353" max="3353" width="5.81640625" style="1" customWidth="1"/>
    <col min="3354" max="3354" width="6.81640625" style="1" customWidth="1"/>
    <col min="3355" max="3355" width="6.08984375" style="1" customWidth="1"/>
    <col min="3356" max="3356" width="6.81640625" style="1" customWidth="1"/>
    <col min="3357" max="3357" width="10.81640625" style="1" customWidth="1"/>
    <col min="3358" max="3358" width="11.54296875" style="1" customWidth="1"/>
    <col min="3359" max="3359" width="5.54296875" style="1" customWidth="1"/>
    <col min="3360" max="3360" width="6" style="1" customWidth="1"/>
    <col min="3361" max="3361" width="6.54296875" style="1" customWidth="1"/>
    <col min="3362" max="3362" width="11.08984375" style="1" customWidth="1"/>
    <col min="3363" max="3363" width="7.08984375" style="1" customWidth="1"/>
    <col min="3364" max="3365" width="5.81640625" style="1" customWidth="1"/>
    <col min="3366" max="3366" width="6" style="1" customWidth="1"/>
    <col min="3367" max="3367" width="6.81640625" style="1" customWidth="1"/>
    <col min="3368" max="3368" width="6" style="1" customWidth="1"/>
    <col min="3369" max="3369" width="18.08984375" style="1" customWidth="1"/>
    <col min="3370" max="3607" width="9" style="1"/>
    <col min="3608" max="3608" width="2.08984375" style="1" customWidth="1"/>
    <col min="3609" max="3609" width="5.81640625" style="1" customWidth="1"/>
    <col min="3610" max="3610" width="6.81640625" style="1" customWidth="1"/>
    <col min="3611" max="3611" width="6.08984375" style="1" customWidth="1"/>
    <col min="3612" max="3612" width="6.81640625" style="1" customWidth="1"/>
    <col min="3613" max="3613" width="10.81640625" style="1" customWidth="1"/>
    <col min="3614" max="3614" width="11.54296875" style="1" customWidth="1"/>
    <col min="3615" max="3615" width="5.54296875" style="1" customWidth="1"/>
    <col min="3616" max="3616" width="6" style="1" customWidth="1"/>
    <col min="3617" max="3617" width="6.54296875" style="1" customWidth="1"/>
    <col min="3618" max="3618" width="11.08984375" style="1" customWidth="1"/>
    <col min="3619" max="3619" width="7.08984375" style="1" customWidth="1"/>
    <col min="3620" max="3621" width="5.81640625" style="1" customWidth="1"/>
    <col min="3622" max="3622" width="6" style="1" customWidth="1"/>
    <col min="3623" max="3623" width="6.81640625" style="1" customWidth="1"/>
    <col min="3624" max="3624" width="6" style="1" customWidth="1"/>
    <col min="3625" max="3625" width="18.08984375" style="1" customWidth="1"/>
    <col min="3626" max="3863" width="9" style="1"/>
    <col min="3864" max="3864" width="2.08984375" style="1" customWidth="1"/>
    <col min="3865" max="3865" width="5.81640625" style="1" customWidth="1"/>
    <col min="3866" max="3866" width="6.81640625" style="1" customWidth="1"/>
    <col min="3867" max="3867" width="6.08984375" style="1" customWidth="1"/>
    <col min="3868" max="3868" width="6.81640625" style="1" customWidth="1"/>
    <col min="3869" max="3869" width="10.81640625" style="1" customWidth="1"/>
    <col min="3870" max="3870" width="11.54296875" style="1" customWidth="1"/>
    <col min="3871" max="3871" width="5.54296875" style="1" customWidth="1"/>
    <col min="3872" max="3872" width="6" style="1" customWidth="1"/>
    <col min="3873" max="3873" width="6.54296875" style="1" customWidth="1"/>
    <col min="3874" max="3874" width="11.08984375" style="1" customWidth="1"/>
    <col min="3875" max="3875" width="7.08984375" style="1" customWidth="1"/>
    <col min="3876" max="3877" width="5.81640625" style="1" customWidth="1"/>
    <col min="3878" max="3878" width="6" style="1" customWidth="1"/>
    <col min="3879" max="3879" width="6.81640625" style="1" customWidth="1"/>
    <col min="3880" max="3880" width="6" style="1" customWidth="1"/>
    <col min="3881" max="3881" width="18.08984375" style="1" customWidth="1"/>
    <col min="3882" max="4119" width="9" style="1"/>
    <col min="4120" max="4120" width="2.08984375" style="1" customWidth="1"/>
    <col min="4121" max="4121" width="5.81640625" style="1" customWidth="1"/>
    <col min="4122" max="4122" width="6.81640625" style="1" customWidth="1"/>
    <col min="4123" max="4123" width="6.08984375" style="1" customWidth="1"/>
    <col min="4124" max="4124" width="6.81640625" style="1" customWidth="1"/>
    <col min="4125" max="4125" width="10.81640625" style="1" customWidth="1"/>
    <col min="4126" max="4126" width="11.54296875" style="1" customWidth="1"/>
    <col min="4127" max="4127" width="5.54296875" style="1" customWidth="1"/>
    <col min="4128" max="4128" width="6" style="1" customWidth="1"/>
    <col min="4129" max="4129" width="6.54296875" style="1" customWidth="1"/>
    <col min="4130" max="4130" width="11.08984375" style="1" customWidth="1"/>
    <col min="4131" max="4131" width="7.08984375" style="1" customWidth="1"/>
    <col min="4132" max="4133" width="5.81640625" style="1" customWidth="1"/>
    <col min="4134" max="4134" width="6" style="1" customWidth="1"/>
    <col min="4135" max="4135" width="6.81640625" style="1" customWidth="1"/>
    <col min="4136" max="4136" width="6" style="1" customWidth="1"/>
    <col min="4137" max="4137" width="18.08984375" style="1" customWidth="1"/>
    <col min="4138" max="4375" width="9" style="1"/>
    <col min="4376" max="4376" width="2.08984375" style="1" customWidth="1"/>
    <col min="4377" max="4377" width="5.81640625" style="1" customWidth="1"/>
    <col min="4378" max="4378" width="6.81640625" style="1" customWidth="1"/>
    <col min="4379" max="4379" width="6.08984375" style="1" customWidth="1"/>
    <col min="4380" max="4380" width="6.81640625" style="1" customWidth="1"/>
    <col min="4381" max="4381" width="10.81640625" style="1" customWidth="1"/>
    <col min="4382" max="4382" width="11.54296875" style="1" customWidth="1"/>
    <col min="4383" max="4383" width="5.54296875" style="1" customWidth="1"/>
    <col min="4384" max="4384" width="6" style="1" customWidth="1"/>
    <col min="4385" max="4385" width="6.54296875" style="1" customWidth="1"/>
    <col min="4386" max="4386" width="11.08984375" style="1" customWidth="1"/>
    <col min="4387" max="4387" width="7.08984375" style="1" customWidth="1"/>
    <col min="4388" max="4389" width="5.81640625" style="1" customWidth="1"/>
    <col min="4390" max="4390" width="6" style="1" customWidth="1"/>
    <col min="4391" max="4391" width="6.81640625" style="1" customWidth="1"/>
    <col min="4392" max="4392" width="6" style="1" customWidth="1"/>
    <col min="4393" max="4393" width="18.08984375" style="1" customWidth="1"/>
    <col min="4394" max="4631" width="9" style="1"/>
    <col min="4632" max="4632" width="2.08984375" style="1" customWidth="1"/>
    <col min="4633" max="4633" width="5.81640625" style="1" customWidth="1"/>
    <col min="4634" max="4634" width="6.81640625" style="1" customWidth="1"/>
    <col min="4635" max="4635" width="6.08984375" style="1" customWidth="1"/>
    <col min="4636" max="4636" width="6.81640625" style="1" customWidth="1"/>
    <col min="4637" max="4637" width="10.81640625" style="1" customWidth="1"/>
    <col min="4638" max="4638" width="11.54296875" style="1" customWidth="1"/>
    <col min="4639" max="4639" width="5.54296875" style="1" customWidth="1"/>
    <col min="4640" max="4640" width="6" style="1" customWidth="1"/>
    <col min="4641" max="4641" width="6.54296875" style="1" customWidth="1"/>
    <col min="4642" max="4642" width="11.08984375" style="1" customWidth="1"/>
    <col min="4643" max="4643" width="7.08984375" style="1" customWidth="1"/>
    <col min="4644" max="4645" width="5.81640625" style="1" customWidth="1"/>
    <col min="4646" max="4646" width="6" style="1" customWidth="1"/>
    <col min="4647" max="4647" width="6.81640625" style="1" customWidth="1"/>
    <col min="4648" max="4648" width="6" style="1" customWidth="1"/>
    <col min="4649" max="4649" width="18.08984375" style="1" customWidth="1"/>
    <col min="4650" max="4887" width="9" style="1"/>
    <col min="4888" max="4888" width="2.08984375" style="1" customWidth="1"/>
    <col min="4889" max="4889" width="5.81640625" style="1" customWidth="1"/>
    <col min="4890" max="4890" width="6.81640625" style="1" customWidth="1"/>
    <col min="4891" max="4891" width="6.08984375" style="1" customWidth="1"/>
    <col min="4892" max="4892" width="6.81640625" style="1" customWidth="1"/>
    <col min="4893" max="4893" width="10.81640625" style="1" customWidth="1"/>
    <col min="4894" max="4894" width="11.54296875" style="1" customWidth="1"/>
    <col min="4895" max="4895" width="5.54296875" style="1" customWidth="1"/>
    <col min="4896" max="4896" width="6" style="1" customWidth="1"/>
    <col min="4897" max="4897" width="6.54296875" style="1" customWidth="1"/>
    <col min="4898" max="4898" width="11.08984375" style="1" customWidth="1"/>
    <col min="4899" max="4899" width="7.08984375" style="1" customWidth="1"/>
    <col min="4900" max="4901" width="5.81640625" style="1" customWidth="1"/>
    <col min="4902" max="4902" width="6" style="1" customWidth="1"/>
    <col min="4903" max="4903" width="6.81640625" style="1" customWidth="1"/>
    <col min="4904" max="4904" width="6" style="1" customWidth="1"/>
    <col min="4905" max="4905" width="18.08984375" style="1" customWidth="1"/>
    <col min="4906" max="5143" width="9" style="1"/>
    <col min="5144" max="5144" width="2.08984375" style="1" customWidth="1"/>
    <col min="5145" max="5145" width="5.81640625" style="1" customWidth="1"/>
    <col min="5146" max="5146" width="6.81640625" style="1" customWidth="1"/>
    <col min="5147" max="5147" width="6.08984375" style="1" customWidth="1"/>
    <col min="5148" max="5148" width="6.81640625" style="1" customWidth="1"/>
    <col min="5149" max="5149" width="10.81640625" style="1" customWidth="1"/>
    <col min="5150" max="5150" width="11.54296875" style="1" customWidth="1"/>
    <col min="5151" max="5151" width="5.54296875" style="1" customWidth="1"/>
    <col min="5152" max="5152" width="6" style="1" customWidth="1"/>
    <col min="5153" max="5153" width="6.54296875" style="1" customWidth="1"/>
    <col min="5154" max="5154" width="11.08984375" style="1" customWidth="1"/>
    <col min="5155" max="5155" width="7.08984375" style="1" customWidth="1"/>
    <col min="5156" max="5157" width="5.81640625" style="1" customWidth="1"/>
    <col min="5158" max="5158" width="6" style="1" customWidth="1"/>
    <col min="5159" max="5159" width="6.81640625" style="1" customWidth="1"/>
    <col min="5160" max="5160" width="6" style="1" customWidth="1"/>
    <col min="5161" max="5161" width="18.08984375" style="1" customWidth="1"/>
    <col min="5162" max="5399" width="9" style="1"/>
    <col min="5400" max="5400" width="2.08984375" style="1" customWidth="1"/>
    <col min="5401" max="5401" width="5.81640625" style="1" customWidth="1"/>
    <col min="5402" max="5402" width="6.81640625" style="1" customWidth="1"/>
    <col min="5403" max="5403" width="6.08984375" style="1" customWidth="1"/>
    <col min="5404" max="5404" width="6.81640625" style="1" customWidth="1"/>
    <col min="5405" max="5405" width="10.81640625" style="1" customWidth="1"/>
    <col min="5406" max="5406" width="11.54296875" style="1" customWidth="1"/>
    <col min="5407" max="5407" width="5.54296875" style="1" customWidth="1"/>
    <col min="5408" max="5408" width="6" style="1" customWidth="1"/>
    <col min="5409" max="5409" width="6.54296875" style="1" customWidth="1"/>
    <col min="5410" max="5410" width="11.08984375" style="1" customWidth="1"/>
    <col min="5411" max="5411" width="7.08984375" style="1" customWidth="1"/>
    <col min="5412" max="5413" width="5.81640625" style="1" customWidth="1"/>
    <col min="5414" max="5414" width="6" style="1" customWidth="1"/>
    <col min="5415" max="5415" width="6.81640625" style="1" customWidth="1"/>
    <col min="5416" max="5416" width="6" style="1" customWidth="1"/>
    <col min="5417" max="5417" width="18.08984375" style="1" customWidth="1"/>
    <col min="5418" max="5655" width="9" style="1"/>
    <col min="5656" max="5656" width="2.08984375" style="1" customWidth="1"/>
    <col min="5657" max="5657" width="5.81640625" style="1" customWidth="1"/>
    <col min="5658" max="5658" width="6.81640625" style="1" customWidth="1"/>
    <col min="5659" max="5659" width="6.08984375" style="1" customWidth="1"/>
    <col min="5660" max="5660" width="6.81640625" style="1" customWidth="1"/>
    <col min="5661" max="5661" width="10.81640625" style="1" customWidth="1"/>
    <col min="5662" max="5662" width="11.54296875" style="1" customWidth="1"/>
    <col min="5663" max="5663" width="5.54296875" style="1" customWidth="1"/>
    <col min="5664" max="5664" width="6" style="1" customWidth="1"/>
    <col min="5665" max="5665" width="6.54296875" style="1" customWidth="1"/>
    <col min="5666" max="5666" width="11.08984375" style="1" customWidth="1"/>
    <col min="5667" max="5667" width="7.08984375" style="1" customWidth="1"/>
    <col min="5668" max="5669" width="5.81640625" style="1" customWidth="1"/>
    <col min="5670" max="5670" width="6" style="1" customWidth="1"/>
    <col min="5671" max="5671" width="6.81640625" style="1" customWidth="1"/>
    <col min="5672" max="5672" width="6" style="1" customWidth="1"/>
    <col min="5673" max="5673" width="18.08984375" style="1" customWidth="1"/>
    <col min="5674" max="5911" width="9" style="1"/>
    <col min="5912" max="5912" width="2.08984375" style="1" customWidth="1"/>
    <col min="5913" max="5913" width="5.81640625" style="1" customWidth="1"/>
    <col min="5914" max="5914" width="6.81640625" style="1" customWidth="1"/>
    <col min="5915" max="5915" width="6.08984375" style="1" customWidth="1"/>
    <col min="5916" max="5916" width="6.81640625" style="1" customWidth="1"/>
    <col min="5917" max="5917" width="10.81640625" style="1" customWidth="1"/>
    <col min="5918" max="5918" width="11.54296875" style="1" customWidth="1"/>
    <col min="5919" max="5919" width="5.54296875" style="1" customWidth="1"/>
    <col min="5920" max="5920" width="6" style="1" customWidth="1"/>
    <col min="5921" max="5921" width="6.54296875" style="1" customWidth="1"/>
    <col min="5922" max="5922" width="11.08984375" style="1" customWidth="1"/>
    <col min="5923" max="5923" width="7.08984375" style="1" customWidth="1"/>
    <col min="5924" max="5925" width="5.81640625" style="1" customWidth="1"/>
    <col min="5926" max="5926" width="6" style="1" customWidth="1"/>
    <col min="5927" max="5927" width="6.81640625" style="1" customWidth="1"/>
    <col min="5928" max="5928" width="6" style="1" customWidth="1"/>
    <col min="5929" max="5929" width="18.08984375" style="1" customWidth="1"/>
    <col min="5930" max="6167" width="9" style="1"/>
    <col min="6168" max="6168" width="2.08984375" style="1" customWidth="1"/>
    <col min="6169" max="6169" width="5.81640625" style="1" customWidth="1"/>
    <col min="6170" max="6170" width="6.81640625" style="1" customWidth="1"/>
    <col min="6171" max="6171" width="6.08984375" style="1" customWidth="1"/>
    <col min="6172" max="6172" width="6.81640625" style="1" customWidth="1"/>
    <col min="6173" max="6173" width="10.81640625" style="1" customWidth="1"/>
    <col min="6174" max="6174" width="11.54296875" style="1" customWidth="1"/>
    <col min="6175" max="6175" width="5.54296875" style="1" customWidth="1"/>
    <col min="6176" max="6176" width="6" style="1" customWidth="1"/>
    <col min="6177" max="6177" width="6.54296875" style="1" customWidth="1"/>
    <col min="6178" max="6178" width="11.08984375" style="1" customWidth="1"/>
    <col min="6179" max="6179" width="7.08984375" style="1" customWidth="1"/>
    <col min="6180" max="6181" width="5.81640625" style="1" customWidth="1"/>
    <col min="6182" max="6182" width="6" style="1" customWidth="1"/>
    <col min="6183" max="6183" width="6.81640625" style="1" customWidth="1"/>
    <col min="6184" max="6184" width="6" style="1" customWidth="1"/>
    <col min="6185" max="6185" width="18.08984375" style="1" customWidth="1"/>
    <col min="6186" max="6423" width="9" style="1"/>
    <col min="6424" max="6424" width="2.08984375" style="1" customWidth="1"/>
    <col min="6425" max="6425" width="5.81640625" style="1" customWidth="1"/>
    <col min="6426" max="6426" width="6.81640625" style="1" customWidth="1"/>
    <col min="6427" max="6427" width="6.08984375" style="1" customWidth="1"/>
    <col min="6428" max="6428" width="6.81640625" style="1" customWidth="1"/>
    <col min="6429" max="6429" width="10.81640625" style="1" customWidth="1"/>
    <col min="6430" max="6430" width="11.54296875" style="1" customWidth="1"/>
    <col min="6431" max="6431" width="5.54296875" style="1" customWidth="1"/>
    <col min="6432" max="6432" width="6" style="1" customWidth="1"/>
    <col min="6433" max="6433" width="6.54296875" style="1" customWidth="1"/>
    <col min="6434" max="6434" width="11.08984375" style="1" customWidth="1"/>
    <col min="6435" max="6435" width="7.08984375" style="1" customWidth="1"/>
    <col min="6436" max="6437" width="5.81640625" style="1" customWidth="1"/>
    <col min="6438" max="6438" width="6" style="1" customWidth="1"/>
    <col min="6439" max="6439" width="6.81640625" style="1" customWidth="1"/>
    <col min="6440" max="6440" width="6" style="1" customWidth="1"/>
    <col min="6441" max="6441" width="18.08984375" style="1" customWidth="1"/>
    <col min="6442" max="6679" width="9" style="1"/>
    <col min="6680" max="6680" width="2.08984375" style="1" customWidth="1"/>
    <col min="6681" max="6681" width="5.81640625" style="1" customWidth="1"/>
    <col min="6682" max="6682" width="6.81640625" style="1" customWidth="1"/>
    <col min="6683" max="6683" width="6.08984375" style="1" customWidth="1"/>
    <col min="6684" max="6684" width="6.81640625" style="1" customWidth="1"/>
    <col min="6685" max="6685" width="10.81640625" style="1" customWidth="1"/>
    <col min="6686" max="6686" width="11.54296875" style="1" customWidth="1"/>
    <col min="6687" max="6687" width="5.54296875" style="1" customWidth="1"/>
    <col min="6688" max="6688" width="6" style="1" customWidth="1"/>
    <col min="6689" max="6689" width="6.54296875" style="1" customWidth="1"/>
    <col min="6690" max="6690" width="11.08984375" style="1" customWidth="1"/>
    <col min="6691" max="6691" width="7.08984375" style="1" customWidth="1"/>
    <col min="6692" max="6693" width="5.81640625" style="1" customWidth="1"/>
    <col min="6694" max="6694" width="6" style="1" customWidth="1"/>
    <col min="6695" max="6695" width="6.81640625" style="1" customWidth="1"/>
    <col min="6696" max="6696" width="6" style="1" customWidth="1"/>
    <col min="6697" max="6697" width="18.08984375" style="1" customWidth="1"/>
    <col min="6698" max="6935" width="9" style="1"/>
    <col min="6936" max="6936" width="2.08984375" style="1" customWidth="1"/>
    <col min="6937" max="6937" width="5.81640625" style="1" customWidth="1"/>
    <col min="6938" max="6938" width="6.81640625" style="1" customWidth="1"/>
    <col min="6939" max="6939" width="6.08984375" style="1" customWidth="1"/>
    <col min="6940" max="6940" width="6.81640625" style="1" customWidth="1"/>
    <col min="6941" max="6941" width="10.81640625" style="1" customWidth="1"/>
    <col min="6942" max="6942" width="11.54296875" style="1" customWidth="1"/>
    <col min="6943" max="6943" width="5.54296875" style="1" customWidth="1"/>
    <col min="6944" max="6944" width="6" style="1" customWidth="1"/>
    <col min="6945" max="6945" width="6.54296875" style="1" customWidth="1"/>
    <col min="6946" max="6946" width="11.08984375" style="1" customWidth="1"/>
    <col min="6947" max="6947" width="7.08984375" style="1" customWidth="1"/>
    <col min="6948" max="6949" width="5.81640625" style="1" customWidth="1"/>
    <col min="6950" max="6950" width="6" style="1" customWidth="1"/>
    <col min="6951" max="6951" width="6.81640625" style="1" customWidth="1"/>
    <col min="6952" max="6952" width="6" style="1" customWidth="1"/>
    <col min="6953" max="6953" width="18.08984375" style="1" customWidth="1"/>
    <col min="6954" max="7191" width="9" style="1"/>
    <col min="7192" max="7192" width="2.08984375" style="1" customWidth="1"/>
    <col min="7193" max="7193" width="5.81640625" style="1" customWidth="1"/>
    <col min="7194" max="7194" width="6.81640625" style="1" customWidth="1"/>
    <col min="7195" max="7195" width="6.08984375" style="1" customWidth="1"/>
    <col min="7196" max="7196" width="6.81640625" style="1" customWidth="1"/>
    <col min="7197" max="7197" width="10.81640625" style="1" customWidth="1"/>
    <col min="7198" max="7198" width="11.54296875" style="1" customWidth="1"/>
    <col min="7199" max="7199" width="5.54296875" style="1" customWidth="1"/>
    <col min="7200" max="7200" width="6" style="1" customWidth="1"/>
    <col min="7201" max="7201" width="6.54296875" style="1" customWidth="1"/>
    <col min="7202" max="7202" width="11.08984375" style="1" customWidth="1"/>
    <col min="7203" max="7203" width="7.08984375" style="1" customWidth="1"/>
    <col min="7204" max="7205" width="5.81640625" style="1" customWidth="1"/>
    <col min="7206" max="7206" width="6" style="1" customWidth="1"/>
    <col min="7207" max="7207" width="6.81640625" style="1" customWidth="1"/>
    <col min="7208" max="7208" width="6" style="1" customWidth="1"/>
    <col min="7209" max="7209" width="18.08984375" style="1" customWidth="1"/>
    <col min="7210" max="7447" width="9" style="1"/>
    <col min="7448" max="7448" width="2.08984375" style="1" customWidth="1"/>
    <col min="7449" max="7449" width="5.81640625" style="1" customWidth="1"/>
    <col min="7450" max="7450" width="6.81640625" style="1" customWidth="1"/>
    <col min="7451" max="7451" width="6.08984375" style="1" customWidth="1"/>
    <col min="7452" max="7452" width="6.81640625" style="1" customWidth="1"/>
    <col min="7453" max="7453" width="10.81640625" style="1" customWidth="1"/>
    <col min="7454" max="7454" width="11.54296875" style="1" customWidth="1"/>
    <col min="7455" max="7455" width="5.54296875" style="1" customWidth="1"/>
    <col min="7456" max="7456" width="6" style="1" customWidth="1"/>
    <col min="7457" max="7457" width="6.54296875" style="1" customWidth="1"/>
    <col min="7458" max="7458" width="11.08984375" style="1" customWidth="1"/>
    <col min="7459" max="7459" width="7.08984375" style="1" customWidth="1"/>
    <col min="7460" max="7461" width="5.81640625" style="1" customWidth="1"/>
    <col min="7462" max="7462" width="6" style="1" customWidth="1"/>
    <col min="7463" max="7463" width="6.81640625" style="1" customWidth="1"/>
    <col min="7464" max="7464" width="6" style="1" customWidth="1"/>
    <col min="7465" max="7465" width="18.08984375" style="1" customWidth="1"/>
    <col min="7466" max="7703" width="9" style="1"/>
    <col min="7704" max="7704" width="2.08984375" style="1" customWidth="1"/>
    <col min="7705" max="7705" width="5.81640625" style="1" customWidth="1"/>
    <col min="7706" max="7706" width="6.81640625" style="1" customWidth="1"/>
    <col min="7707" max="7707" width="6.08984375" style="1" customWidth="1"/>
    <col min="7708" max="7708" width="6.81640625" style="1" customWidth="1"/>
    <col min="7709" max="7709" width="10.81640625" style="1" customWidth="1"/>
    <col min="7710" max="7710" width="11.54296875" style="1" customWidth="1"/>
    <col min="7711" max="7711" width="5.54296875" style="1" customWidth="1"/>
    <col min="7712" max="7712" width="6" style="1" customWidth="1"/>
    <col min="7713" max="7713" width="6.54296875" style="1" customWidth="1"/>
    <col min="7714" max="7714" width="11.08984375" style="1" customWidth="1"/>
    <col min="7715" max="7715" width="7.08984375" style="1" customWidth="1"/>
    <col min="7716" max="7717" width="5.81640625" style="1" customWidth="1"/>
    <col min="7718" max="7718" width="6" style="1" customWidth="1"/>
    <col min="7719" max="7719" width="6.81640625" style="1" customWidth="1"/>
    <col min="7720" max="7720" width="6" style="1" customWidth="1"/>
    <col min="7721" max="7721" width="18.08984375" style="1" customWidth="1"/>
    <col min="7722" max="7959" width="9" style="1"/>
    <col min="7960" max="7960" width="2.08984375" style="1" customWidth="1"/>
    <col min="7961" max="7961" width="5.81640625" style="1" customWidth="1"/>
    <col min="7962" max="7962" width="6.81640625" style="1" customWidth="1"/>
    <col min="7963" max="7963" width="6.08984375" style="1" customWidth="1"/>
    <col min="7964" max="7964" width="6.81640625" style="1" customWidth="1"/>
    <col min="7965" max="7965" width="10.81640625" style="1" customWidth="1"/>
    <col min="7966" max="7966" width="11.54296875" style="1" customWidth="1"/>
    <col min="7967" max="7967" width="5.54296875" style="1" customWidth="1"/>
    <col min="7968" max="7968" width="6" style="1" customWidth="1"/>
    <col min="7969" max="7969" width="6.54296875" style="1" customWidth="1"/>
    <col min="7970" max="7970" width="11.08984375" style="1" customWidth="1"/>
    <col min="7971" max="7971" width="7.08984375" style="1" customWidth="1"/>
    <col min="7972" max="7973" width="5.81640625" style="1" customWidth="1"/>
    <col min="7974" max="7974" width="6" style="1" customWidth="1"/>
    <col min="7975" max="7975" width="6.81640625" style="1" customWidth="1"/>
    <col min="7976" max="7976" width="6" style="1" customWidth="1"/>
    <col min="7977" max="7977" width="18.08984375" style="1" customWidth="1"/>
    <col min="7978" max="8215" width="9" style="1"/>
    <col min="8216" max="8216" width="2.08984375" style="1" customWidth="1"/>
    <col min="8217" max="8217" width="5.81640625" style="1" customWidth="1"/>
    <col min="8218" max="8218" width="6.81640625" style="1" customWidth="1"/>
    <col min="8219" max="8219" width="6.08984375" style="1" customWidth="1"/>
    <col min="8220" max="8220" width="6.81640625" style="1" customWidth="1"/>
    <col min="8221" max="8221" width="10.81640625" style="1" customWidth="1"/>
    <col min="8222" max="8222" width="11.54296875" style="1" customWidth="1"/>
    <col min="8223" max="8223" width="5.54296875" style="1" customWidth="1"/>
    <col min="8224" max="8224" width="6" style="1" customWidth="1"/>
    <col min="8225" max="8225" width="6.54296875" style="1" customWidth="1"/>
    <col min="8226" max="8226" width="11.08984375" style="1" customWidth="1"/>
    <col min="8227" max="8227" width="7.08984375" style="1" customWidth="1"/>
    <col min="8228" max="8229" width="5.81640625" style="1" customWidth="1"/>
    <col min="8230" max="8230" width="6" style="1" customWidth="1"/>
    <col min="8231" max="8231" width="6.81640625" style="1" customWidth="1"/>
    <col min="8232" max="8232" width="6" style="1" customWidth="1"/>
    <col min="8233" max="8233" width="18.08984375" style="1" customWidth="1"/>
    <col min="8234" max="8471" width="9" style="1"/>
    <col min="8472" max="8472" width="2.08984375" style="1" customWidth="1"/>
    <col min="8473" max="8473" width="5.81640625" style="1" customWidth="1"/>
    <col min="8474" max="8474" width="6.81640625" style="1" customWidth="1"/>
    <col min="8475" max="8475" width="6.08984375" style="1" customWidth="1"/>
    <col min="8476" max="8476" width="6.81640625" style="1" customWidth="1"/>
    <col min="8477" max="8477" width="10.81640625" style="1" customWidth="1"/>
    <col min="8478" max="8478" width="11.54296875" style="1" customWidth="1"/>
    <col min="8479" max="8479" width="5.54296875" style="1" customWidth="1"/>
    <col min="8480" max="8480" width="6" style="1" customWidth="1"/>
    <col min="8481" max="8481" width="6.54296875" style="1" customWidth="1"/>
    <col min="8482" max="8482" width="11.08984375" style="1" customWidth="1"/>
    <col min="8483" max="8483" width="7.08984375" style="1" customWidth="1"/>
    <col min="8484" max="8485" width="5.81640625" style="1" customWidth="1"/>
    <col min="8486" max="8486" width="6" style="1" customWidth="1"/>
    <col min="8487" max="8487" width="6.81640625" style="1" customWidth="1"/>
    <col min="8488" max="8488" width="6" style="1" customWidth="1"/>
    <col min="8489" max="8489" width="18.08984375" style="1" customWidth="1"/>
    <col min="8490" max="8727" width="9" style="1"/>
    <col min="8728" max="8728" width="2.08984375" style="1" customWidth="1"/>
    <col min="8729" max="8729" width="5.81640625" style="1" customWidth="1"/>
    <col min="8730" max="8730" width="6.81640625" style="1" customWidth="1"/>
    <col min="8731" max="8731" width="6.08984375" style="1" customWidth="1"/>
    <col min="8732" max="8732" width="6.81640625" style="1" customWidth="1"/>
    <col min="8733" max="8733" width="10.81640625" style="1" customWidth="1"/>
    <col min="8734" max="8734" width="11.54296875" style="1" customWidth="1"/>
    <col min="8735" max="8735" width="5.54296875" style="1" customWidth="1"/>
    <col min="8736" max="8736" width="6" style="1" customWidth="1"/>
    <col min="8737" max="8737" width="6.54296875" style="1" customWidth="1"/>
    <col min="8738" max="8738" width="11.08984375" style="1" customWidth="1"/>
    <col min="8739" max="8739" width="7.08984375" style="1" customWidth="1"/>
    <col min="8740" max="8741" width="5.81640625" style="1" customWidth="1"/>
    <col min="8742" max="8742" width="6" style="1" customWidth="1"/>
    <col min="8743" max="8743" width="6.81640625" style="1" customWidth="1"/>
    <col min="8744" max="8744" width="6" style="1" customWidth="1"/>
    <col min="8745" max="8745" width="18.08984375" style="1" customWidth="1"/>
    <col min="8746" max="8983" width="9" style="1"/>
    <col min="8984" max="8984" width="2.08984375" style="1" customWidth="1"/>
    <col min="8985" max="8985" width="5.81640625" style="1" customWidth="1"/>
    <col min="8986" max="8986" width="6.81640625" style="1" customWidth="1"/>
    <col min="8987" max="8987" width="6.08984375" style="1" customWidth="1"/>
    <col min="8988" max="8988" width="6.81640625" style="1" customWidth="1"/>
    <col min="8989" max="8989" width="10.81640625" style="1" customWidth="1"/>
    <col min="8990" max="8990" width="11.54296875" style="1" customWidth="1"/>
    <col min="8991" max="8991" width="5.54296875" style="1" customWidth="1"/>
    <col min="8992" max="8992" width="6" style="1" customWidth="1"/>
    <col min="8993" max="8993" width="6.54296875" style="1" customWidth="1"/>
    <col min="8994" max="8994" width="11.08984375" style="1" customWidth="1"/>
    <col min="8995" max="8995" width="7.08984375" style="1" customWidth="1"/>
    <col min="8996" max="8997" width="5.81640625" style="1" customWidth="1"/>
    <col min="8998" max="8998" width="6" style="1" customWidth="1"/>
    <col min="8999" max="8999" width="6.81640625" style="1" customWidth="1"/>
    <col min="9000" max="9000" width="6" style="1" customWidth="1"/>
    <col min="9001" max="9001" width="18.08984375" style="1" customWidth="1"/>
    <col min="9002" max="9239" width="9" style="1"/>
    <col min="9240" max="9240" width="2.08984375" style="1" customWidth="1"/>
    <col min="9241" max="9241" width="5.81640625" style="1" customWidth="1"/>
    <col min="9242" max="9242" width="6.81640625" style="1" customWidth="1"/>
    <col min="9243" max="9243" width="6.08984375" style="1" customWidth="1"/>
    <col min="9244" max="9244" width="6.81640625" style="1" customWidth="1"/>
    <col min="9245" max="9245" width="10.81640625" style="1" customWidth="1"/>
    <col min="9246" max="9246" width="11.54296875" style="1" customWidth="1"/>
    <col min="9247" max="9247" width="5.54296875" style="1" customWidth="1"/>
    <col min="9248" max="9248" width="6" style="1" customWidth="1"/>
    <col min="9249" max="9249" width="6.54296875" style="1" customWidth="1"/>
    <col min="9250" max="9250" width="11.08984375" style="1" customWidth="1"/>
    <col min="9251" max="9251" width="7.08984375" style="1" customWidth="1"/>
    <col min="9252" max="9253" width="5.81640625" style="1" customWidth="1"/>
    <col min="9254" max="9254" width="6" style="1" customWidth="1"/>
    <col min="9255" max="9255" width="6.81640625" style="1" customWidth="1"/>
    <col min="9256" max="9256" width="6" style="1" customWidth="1"/>
    <col min="9257" max="9257" width="18.08984375" style="1" customWidth="1"/>
    <col min="9258" max="9495" width="9" style="1"/>
    <col min="9496" max="9496" width="2.08984375" style="1" customWidth="1"/>
    <col min="9497" max="9497" width="5.81640625" style="1" customWidth="1"/>
    <col min="9498" max="9498" width="6.81640625" style="1" customWidth="1"/>
    <col min="9499" max="9499" width="6.08984375" style="1" customWidth="1"/>
    <col min="9500" max="9500" width="6.81640625" style="1" customWidth="1"/>
    <col min="9501" max="9501" width="10.81640625" style="1" customWidth="1"/>
    <col min="9502" max="9502" width="11.54296875" style="1" customWidth="1"/>
    <col min="9503" max="9503" width="5.54296875" style="1" customWidth="1"/>
    <col min="9504" max="9504" width="6" style="1" customWidth="1"/>
    <col min="9505" max="9505" width="6.54296875" style="1" customWidth="1"/>
    <col min="9506" max="9506" width="11.08984375" style="1" customWidth="1"/>
    <col min="9507" max="9507" width="7.08984375" style="1" customWidth="1"/>
    <col min="9508" max="9509" width="5.81640625" style="1" customWidth="1"/>
    <col min="9510" max="9510" width="6" style="1" customWidth="1"/>
    <col min="9511" max="9511" width="6.81640625" style="1" customWidth="1"/>
    <col min="9512" max="9512" width="6" style="1" customWidth="1"/>
    <col min="9513" max="9513" width="18.08984375" style="1" customWidth="1"/>
    <col min="9514" max="9751" width="9" style="1"/>
    <col min="9752" max="9752" width="2.08984375" style="1" customWidth="1"/>
    <col min="9753" max="9753" width="5.81640625" style="1" customWidth="1"/>
    <col min="9754" max="9754" width="6.81640625" style="1" customWidth="1"/>
    <col min="9755" max="9755" width="6.08984375" style="1" customWidth="1"/>
    <col min="9756" max="9756" width="6.81640625" style="1" customWidth="1"/>
    <col min="9757" max="9757" width="10.81640625" style="1" customWidth="1"/>
    <col min="9758" max="9758" width="11.54296875" style="1" customWidth="1"/>
    <col min="9759" max="9759" width="5.54296875" style="1" customWidth="1"/>
    <col min="9760" max="9760" width="6" style="1" customWidth="1"/>
    <col min="9761" max="9761" width="6.54296875" style="1" customWidth="1"/>
    <col min="9762" max="9762" width="11.08984375" style="1" customWidth="1"/>
    <col min="9763" max="9763" width="7.08984375" style="1" customWidth="1"/>
    <col min="9764" max="9765" width="5.81640625" style="1" customWidth="1"/>
    <col min="9766" max="9766" width="6" style="1" customWidth="1"/>
    <col min="9767" max="9767" width="6.81640625" style="1" customWidth="1"/>
    <col min="9768" max="9768" width="6" style="1" customWidth="1"/>
    <col min="9769" max="9769" width="18.08984375" style="1" customWidth="1"/>
    <col min="9770" max="10007" width="9" style="1"/>
    <col min="10008" max="10008" width="2.08984375" style="1" customWidth="1"/>
    <col min="10009" max="10009" width="5.81640625" style="1" customWidth="1"/>
    <col min="10010" max="10010" width="6.81640625" style="1" customWidth="1"/>
    <col min="10011" max="10011" width="6.08984375" style="1" customWidth="1"/>
    <col min="10012" max="10012" width="6.81640625" style="1" customWidth="1"/>
    <col min="10013" max="10013" width="10.81640625" style="1" customWidth="1"/>
    <col min="10014" max="10014" width="11.54296875" style="1" customWidth="1"/>
    <col min="10015" max="10015" width="5.54296875" style="1" customWidth="1"/>
    <col min="10016" max="10016" width="6" style="1" customWidth="1"/>
    <col min="10017" max="10017" width="6.54296875" style="1" customWidth="1"/>
    <col min="10018" max="10018" width="11.08984375" style="1" customWidth="1"/>
    <col min="10019" max="10019" width="7.08984375" style="1" customWidth="1"/>
    <col min="10020" max="10021" width="5.81640625" style="1" customWidth="1"/>
    <col min="10022" max="10022" width="6" style="1" customWidth="1"/>
    <col min="10023" max="10023" width="6.81640625" style="1" customWidth="1"/>
    <col min="10024" max="10024" width="6" style="1" customWidth="1"/>
    <col min="10025" max="10025" width="18.08984375" style="1" customWidth="1"/>
    <col min="10026" max="10263" width="9" style="1"/>
    <col min="10264" max="10264" width="2.08984375" style="1" customWidth="1"/>
    <col min="10265" max="10265" width="5.81640625" style="1" customWidth="1"/>
    <col min="10266" max="10266" width="6.81640625" style="1" customWidth="1"/>
    <col min="10267" max="10267" width="6.08984375" style="1" customWidth="1"/>
    <col min="10268" max="10268" width="6.81640625" style="1" customWidth="1"/>
    <col min="10269" max="10269" width="10.81640625" style="1" customWidth="1"/>
    <col min="10270" max="10270" width="11.54296875" style="1" customWidth="1"/>
    <col min="10271" max="10271" width="5.54296875" style="1" customWidth="1"/>
    <col min="10272" max="10272" width="6" style="1" customWidth="1"/>
    <col min="10273" max="10273" width="6.54296875" style="1" customWidth="1"/>
    <col min="10274" max="10274" width="11.08984375" style="1" customWidth="1"/>
    <col min="10275" max="10275" width="7.08984375" style="1" customWidth="1"/>
    <col min="10276" max="10277" width="5.81640625" style="1" customWidth="1"/>
    <col min="10278" max="10278" width="6" style="1" customWidth="1"/>
    <col min="10279" max="10279" width="6.81640625" style="1" customWidth="1"/>
    <col min="10280" max="10280" width="6" style="1" customWidth="1"/>
    <col min="10281" max="10281" width="18.08984375" style="1" customWidth="1"/>
    <col min="10282" max="10519" width="9" style="1"/>
    <col min="10520" max="10520" width="2.08984375" style="1" customWidth="1"/>
    <col min="10521" max="10521" width="5.81640625" style="1" customWidth="1"/>
    <col min="10522" max="10522" width="6.81640625" style="1" customWidth="1"/>
    <col min="10523" max="10523" width="6.08984375" style="1" customWidth="1"/>
    <col min="10524" max="10524" width="6.81640625" style="1" customWidth="1"/>
    <col min="10525" max="10525" width="10.81640625" style="1" customWidth="1"/>
    <col min="10526" max="10526" width="11.54296875" style="1" customWidth="1"/>
    <col min="10527" max="10527" width="5.54296875" style="1" customWidth="1"/>
    <col min="10528" max="10528" width="6" style="1" customWidth="1"/>
    <col min="10529" max="10529" width="6.54296875" style="1" customWidth="1"/>
    <col min="10530" max="10530" width="11.08984375" style="1" customWidth="1"/>
    <col min="10531" max="10531" width="7.08984375" style="1" customWidth="1"/>
    <col min="10532" max="10533" width="5.81640625" style="1" customWidth="1"/>
    <col min="10534" max="10534" width="6" style="1" customWidth="1"/>
    <col min="10535" max="10535" width="6.81640625" style="1" customWidth="1"/>
    <col min="10536" max="10536" width="6" style="1" customWidth="1"/>
    <col min="10537" max="10537" width="18.08984375" style="1" customWidth="1"/>
    <col min="10538" max="10775" width="9" style="1"/>
    <col min="10776" max="10776" width="2.08984375" style="1" customWidth="1"/>
    <col min="10777" max="10777" width="5.81640625" style="1" customWidth="1"/>
    <col min="10778" max="10778" width="6.81640625" style="1" customWidth="1"/>
    <col min="10779" max="10779" width="6.08984375" style="1" customWidth="1"/>
    <col min="10780" max="10780" width="6.81640625" style="1" customWidth="1"/>
    <col min="10781" max="10781" width="10.81640625" style="1" customWidth="1"/>
    <col min="10782" max="10782" width="11.54296875" style="1" customWidth="1"/>
    <col min="10783" max="10783" width="5.54296875" style="1" customWidth="1"/>
    <col min="10784" max="10784" width="6" style="1" customWidth="1"/>
    <col min="10785" max="10785" width="6.54296875" style="1" customWidth="1"/>
    <col min="10786" max="10786" width="11.08984375" style="1" customWidth="1"/>
    <col min="10787" max="10787" width="7.08984375" style="1" customWidth="1"/>
    <col min="10788" max="10789" width="5.81640625" style="1" customWidth="1"/>
    <col min="10790" max="10790" width="6" style="1" customWidth="1"/>
    <col min="10791" max="10791" width="6.81640625" style="1" customWidth="1"/>
    <col min="10792" max="10792" width="6" style="1" customWidth="1"/>
    <col min="10793" max="10793" width="18.08984375" style="1" customWidth="1"/>
    <col min="10794" max="11031" width="9" style="1"/>
    <col min="11032" max="11032" width="2.08984375" style="1" customWidth="1"/>
    <col min="11033" max="11033" width="5.81640625" style="1" customWidth="1"/>
    <col min="11034" max="11034" width="6.81640625" style="1" customWidth="1"/>
    <col min="11035" max="11035" width="6.08984375" style="1" customWidth="1"/>
    <col min="11036" max="11036" width="6.81640625" style="1" customWidth="1"/>
    <col min="11037" max="11037" width="10.81640625" style="1" customWidth="1"/>
    <col min="11038" max="11038" width="11.54296875" style="1" customWidth="1"/>
    <col min="11039" max="11039" width="5.54296875" style="1" customWidth="1"/>
    <col min="11040" max="11040" width="6" style="1" customWidth="1"/>
    <col min="11041" max="11041" width="6.54296875" style="1" customWidth="1"/>
    <col min="11042" max="11042" width="11.08984375" style="1" customWidth="1"/>
    <col min="11043" max="11043" width="7.08984375" style="1" customWidth="1"/>
    <col min="11044" max="11045" width="5.81640625" style="1" customWidth="1"/>
    <col min="11046" max="11046" width="6" style="1" customWidth="1"/>
    <col min="11047" max="11047" width="6.81640625" style="1" customWidth="1"/>
    <col min="11048" max="11048" width="6" style="1" customWidth="1"/>
    <col min="11049" max="11049" width="18.08984375" style="1" customWidth="1"/>
    <col min="11050" max="11287" width="9" style="1"/>
    <col min="11288" max="11288" width="2.08984375" style="1" customWidth="1"/>
    <col min="11289" max="11289" width="5.81640625" style="1" customWidth="1"/>
    <col min="11290" max="11290" width="6.81640625" style="1" customWidth="1"/>
    <col min="11291" max="11291" width="6.08984375" style="1" customWidth="1"/>
    <col min="11292" max="11292" width="6.81640625" style="1" customWidth="1"/>
    <col min="11293" max="11293" width="10.81640625" style="1" customWidth="1"/>
    <col min="11294" max="11294" width="11.54296875" style="1" customWidth="1"/>
    <col min="11295" max="11295" width="5.54296875" style="1" customWidth="1"/>
    <col min="11296" max="11296" width="6" style="1" customWidth="1"/>
    <col min="11297" max="11297" width="6.54296875" style="1" customWidth="1"/>
    <col min="11298" max="11298" width="11.08984375" style="1" customWidth="1"/>
    <col min="11299" max="11299" width="7.08984375" style="1" customWidth="1"/>
    <col min="11300" max="11301" width="5.81640625" style="1" customWidth="1"/>
    <col min="11302" max="11302" width="6" style="1" customWidth="1"/>
    <col min="11303" max="11303" width="6.81640625" style="1" customWidth="1"/>
    <col min="11304" max="11304" width="6" style="1" customWidth="1"/>
    <col min="11305" max="11305" width="18.08984375" style="1" customWidth="1"/>
    <col min="11306" max="11543" width="9" style="1"/>
    <col min="11544" max="11544" width="2.08984375" style="1" customWidth="1"/>
    <col min="11545" max="11545" width="5.81640625" style="1" customWidth="1"/>
    <col min="11546" max="11546" width="6.81640625" style="1" customWidth="1"/>
    <col min="11547" max="11547" width="6.08984375" style="1" customWidth="1"/>
    <col min="11548" max="11548" width="6.81640625" style="1" customWidth="1"/>
    <col min="11549" max="11549" width="10.81640625" style="1" customWidth="1"/>
    <col min="11550" max="11550" width="11.54296875" style="1" customWidth="1"/>
    <col min="11551" max="11551" width="5.54296875" style="1" customWidth="1"/>
    <col min="11552" max="11552" width="6" style="1" customWidth="1"/>
    <col min="11553" max="11553" width="6.54296875" style="1" customWidth="1"/>
    <col min="11554" max="11554" width="11.08984375" style="1" customWidth="1"/>
    <col min="11555" max="11555" width="7.08984375" style="1" customWidth="1"/>
    <col min="11556" max="11557" width="5.81640625" style="1" customWidth="1"/>
    <col min="11558" max="11558" width="6" style="1" customWidth="1"/>
    <col min="11559" max="11559" width="6.81640625" style="1" customWidth="1"/>
    <col min="11560" max="11560" width="6" style="1" customWidth="1"/>
    <col min="11561" max="11561" width="18.08984375" style="1" customWidth="1"/>
    <col min="11562" max="11799" width="9" style="1"/>
    <col min="11800" max="11800" width="2.08984375" style="1" customWidth="1"/>
    <col min="11801" max="11801" width="5.81640625" style="1" customWidth="1"/>
    <col min="11802" max="11802" width="6.81640625" style="1" customWidth="1"/>
    <col min="11803" max="11803" width="6.08984375" style="1" customWidth="1"/>
    <col min="11804" max="11804" width="6.81640625" style="1" customWidth="1"/>
    <col min="11805" max="11805" width="10.81640625" style="1" customWidth="1"/>
    <col min="11806" max="11806" width="11.54296875" style="1" customWidth="1"/>
    <col min="11807" max="11807" width="5.54296875" style="1" customWidth="1"/>
    <col min="11808" max="11808" width="6" style="1" customWidth="1"/>
    <col min="11809" max="11809" width="6.54296875" style="1" customWidth="1"/>
    <col min="11810" max="11810" width="11.08984375" style="1" customWidth="1"/>
    <col min="11811" max="11811" width="7.08984375" style="1" customWidth="1"/>
    <col min="11812" max="11813" width="5.81640625" style="1" customWidth="1"/>
    <col min="11814" max="11814" width="6" style="1" customWidth="1"/>
    <col min="11815" max="11815" width="6.81640625" style="1" customWidth="1"/>
    <col min="11816" max="11816" width="6" style="1" customWidth="1"/>
    <col min="11817" max="11817" width="18.08984375" style="1" customWidth="1"/>
    <col min="11818" max="12055" width="9" style="1"/>
    <col min="12056" max="12056" width="2.08984375" style="1" customWidth="1"/>
    <col min="12057" max="12057" width="5.81640625" style="1" customWidth="1"/>
    <col min="12058" max="12058" width="6.81640625" style="1" customWidth="1"/>
    <col min="12059" max="12059" width="6.08984375" style="1" customWidth="1"/>
    <col min="12060" max="12060" width="6.81640625" style="1" customWidth="1"/>
    <col min="12061" max="12061" width="10.81640625" style="1" customWidth="1"/>
    <col min="12062" max="12062" width="11.54296875" style="1" customWidth="1"/>
    <col min="12063" max="12063" width="5.54296875" style="1" customWidth="1"/>
    <col min="12064" max="12064" width="6" style="1" customWidth="1"/>
    <col min="12065" max="12065" width="6.54296875" style="1" customWidth="1"/>
    <col min="12066" max="12066" width="11.08984375" style="1" customWidth="1"/>
    <col min="12067" max="12067" width="7.08984375" style="1" customWidth="1"/>
    <col min="12068" max="12069" width="5.81640625" style="1" customWidth="1"/>
    <col min="12070" max="12070" width="6" style="1" customWidth="1"/>
    <col min="12071" max="12071" width="6.81640625" style="1" customWidth="1"/>
    <col min="12072" max="12072" width="6" style="1" customWidth="1"/>
    <col min="12073" max="12073" width="18.08984375" style="1" customWidth="1"/>
    <col min="12074" max="12311" width="9" style="1"/>
    <col min="12312" max="12312" width="2.08984375" style="1" customWidth="1"/>
    <col min="12313" max="12313" width="5.81640625" style="1" customWidth="1"/>
    <col min="12314" max="12314" width="6.81640625" style="1" customWidth="1"/>
    <col min="12315" max="12315" width="6.08984375" style="1" customWidth="1"/>
    <col min="12316" max="12316" width="6.81640625" style="1" customWidth="1"/>
    <col min="12317" max="12317" width="10.81640625" style="1" customWidth="1"/>
    <col min="12318" max="12318" width="11.54296875" style="1" customWidth="1"/>
    <col min="12319" max="12319" width="5.54296875" style="1" customWidth="1"/>
    <col min="12320" max="12320" width="6" style="1" customWidth="1"/>
    <col min="12321" max="12321" width="6.54296875" style="1" customWidth="1"/>
    <col min="12322" max="12322" width="11.08984375" style="1" customWidth="1"/>
    <col min="12323" max="12323" width="7.08984375" style="1" customWidth="1"/>
    <col min="12324" max="12325" width="5.81640625" style="1" customWidth="1"/>
    <col min="12326" max="12326" width="6" style="1" customWidth="1"/>
    <col min="12327" max="12327" width="6.81640625" style="1" customWidth="1"/>
    <col min="12328" max="12328" width="6" style="1" customWidth="1"/>
    <col min="12329" max="12329" width="18.08984375" style="1" customWidth="1"/>
    <col min="12330" max="12567" width="9" style="1"/>
    <col min="12568" max="12568" width="2.08984375" style="1" customWidth="1"/>
    <col min="12569" max="12569" width="5.81640625" style="1" customWidth="1"/>
    <col min="12570" max="12570" width="6.81640625" style="1" customWidth="1"/>
    <col min="12571" max="12571" width="6.08984375" style="1" customWidth="1"/>
    <col min="12572" max="12572" width="6.81640625" style="1" customWidth="1"/>
    <col min="12573" max="12573" width="10.81640625" style="1" customWidth="1"/>
    <col min="12574" max="12574" width="11.54296875" style="1" customWidth="1"/>
    <col min="12575" max="12575" width="5.54296875" style="1" customWidth="1"/>
    <col min="12576" max="12576" width="6" style="1" customWidth="1"/>
    <col min="12577" max="12577" width="6.54296875" style="1" customWidth="1"/>
    <col min="12578" max="12578" width="11.08984375" style="1" customWidth="1"/>
    <col min="12579" max="12579" width="7.08984375" style="1" customWidth="1"/>
    <col min="12580" max="12581" width="5.81640625" style="1" customWidth="1"/>
    <col min="12582" max="12582" width="6" style="1" customWidth="1"/>
    <col min="12583" max="12583" width="6.81640625" style="1" customWidth="1"/>
    <col min="12584" max="12584" width="6" style="1" customWidth="1"/>
    <col min="12585" max="12585" width="18.08984375" style="1" customWidth="1"/>
    <col min="12586" max="12823" width="9" style="1"/>
    <col min="12824" max="12824" width="2.08984375" style="1" customWidth="1"/>
    <col min="12825" max="12825" width="5.81640625" style="1" customWidth="1"/>
    <col min="12826" max="12826" width="6.81640625" style="1" customWidth="1"/>
    <col min="12827" max="12827" width="6.08984375" style="1" customWidth="1"/>
    <col min="12828" max="12828" width="6.81640625" style="1" customWidth="1"/>
    <col min="12829" max="12829" width="10.81640625" style="1" customWidth="1"/>
    <col min="12830" max="12830" width="11.54296875" style="1" customWidth="1"/>
    <col min="12831" max="12831" width="5.54296875" style="1" customWidth="1"/>
    <col min="12832" max="12832" width="6" style="1" customWidth="1"/>
    <col min="12833" max="12833" width="6.54296875" style="1" customWidth="1"/>
    <col min="12834" max="12834" width="11.08984375" style="1" customWidth="1"/>
    <col min="12835" max="12835" width="7.08984375" style="1" customWidth="1"/>
    <col min="12836" max="12837" width="5.81640625" style="1" customWidth="1"/>
    <col min="12838" max="12838" width="6" style="1" customWidth="1"/>
    <col min="12839" max="12839" width="6.81640625" style="1" customWidth="1"/>
    <col min="12840" max="12840" width="6" style="1" customWidth="1"/>
    <col min="12841" max="12841" width="18.08984375" style="1" customWidth="1"/>
    <col min="12842" max="13079" width="9" style="1"/>
    <col min="13080" max="13080" width="2.08984375" style="1" customWidth="1"/>
    <col min="13081" max="13081" width="5.81640625" style="1" customWidth="1"/>
    <col min="13082" max="13082" width="6.81640625" style="1" customWidth="1"/>
    <col min="13083" max="13083" width="6.08984375" style="1" customWidth="1"/>
    <col min="13084" max="13084" width="6.81640625" style="1" customWidth="1"/>
    <col min="13085" max="13085" width="10.81640625" style="1" customWidth="1"/>
    <col min="13086" max="13086" width="11.54296875" style="1" customWidth="1"/>
    <col min="13087" max="13087" width="5.54296875" style="1" customWidth="1"/>
    <col min="13088" max="13088" width="6" style="1" customWidth="1"/>
    <col min="13089" max="13089" width="6.54296875" style="1" customWidth="1"/>
    <col min="13090" max="13090" width="11.08984375" style="1" customWidth="1"/>
    <col min="13091" max="13091" width="7.08984375" style="1" customWidth="1"/>
    <col min="13092" max="13093" width="5.81640625" style="1" customWidth="1"/>
    <col min="13094" max="13094" width="6" style="1" customWidth="1"/>
    <col min="13095" max="13095" width="6.81640625" style="1" customWidth="1"/>
    <col min="13096" max="13096" width="6" style="1" customWidth="1"/>
    <col min="13097" max="13097" width="18.08984375" style="1" customWidth="1"/>
    <col min="13098" max="13335" width="9" style="1"/>
    <col min="13336" max="13336" width="2.08984375" style="1" customWidth="1"/>
    <col min="13337" max="13337" width="5.81640625" style="1" customWidth="1"/>
    <col min="13338" max="13338" width="6.81640625" style="1" customWidth="1"/>
    <col min="13339" max="13339" width="6.08984375" style="1" customWidth="1"/>
    <col min="13340" max="13340" width="6.81640625" style="1" customWidth="1"/>
    <col min="13341" max="13341" width="10.81640625" style="1" customWidth="1"/>
    <col min="13342" max="13342" width="11.54296875" style="1" customWidth="1"/>
    <col min="13343" max="13343" width="5.54296875" style="1" customWidth="1"/>
    <col min="13344" max="13344" width="6" style="1" customWidth="1"/>
    <col min="13345" max="13345" width="6.54296875" style="1" customWidth="1"/>
    <col min="13346" max="13346" width="11.08984375" style="1" customWidth="1"/>
    <col min="13347" max="13347" width="7.08984375" style="1" customWidth="1"/>
    <col min="13348" max="13349" width="5.81640625" style="1" customWidth="1"/>
    <col min="13350" max="13350" width="6" style="1" customWidth="1"/>
    <col min="13351" max="13351" width="6.81640625" style="1" customWidth="1"/>
    <col min="13352" max="13352" width="6" style="1" customWidth="1"/>
    <col min="13353" max="13353" width="18.08984375" style="1" customWidth="1"/>
    <col min="13354" max="13591" width="9" style="1"/>
    <col min="13592" max="13592" width="2.08984375" style="1" customWidth="1"/>
    <col min="13593" max="13593" width="5.81640625" style="1" customWidth="1"/>
    <col min="13594" max="13594" width="6.81640625" style="1" customWidth="1"/>
    <col min="13595" max="13595" width="6.08984375" style="1" customWidth="1"/>
    <col min="13596" max="13596" width="6.81640625" style="1" customWidth="1"/>
    <col min="13597" max="13597" width="10.81640625" style="1" customWidth="1"/>
    <col min="13598" max="13598" width="11.54296875" style="1" customWidth="1"/>
    <col min="13599" max="13599" width="5.54296875" style="1" customWidth="1"/>
    <col min="13600" max="13600" width="6" style="1" customWidth="1"/>
    <col min="13601" max="13601" width="6.54296875" style="1" customWidth="1"/>
    <col min="13602" max="13602" width="11.08984375" style="1" customWidth="1"/>
    <col min="13603" max="13603" width="7.08984375" style="1" customWidth="1"/>
    <col min="13604" max="13605" width="5.81640625" style="1" customWidth="1"/>
    <col min="13606" max="13606" width="6" style="1" customWidth="1"/>
    <col min="13607" max="13607" width="6.81640625" style="1" customWidth="1"/>
    <col min="13608" max="13608" width="6" style="1" customWidth="1"/>
    <col min="13609" max="13609" width="18.08984375" style="1" customWidth="1"/>
    <col min="13610" max="13847" width="9" style="1"/>
    <col min="13848" max="13848" width="2.08984375" style="1" customWidth="1"/>
    <col min="13849" max="13849" width="5.81640625" style="1" customWidth="1"/>
    <col min="13850" max="13850" width="6.81640625" style="1" customWidth="1"/>
    <col min="13851" max="13851" width="6.08984375" style="1" customWidth="1"/>
    <col min="13852" max="13852" width="6.81640625" style="1" customWidth="1"/>
    <col min="13853" max="13853" width="10.81640625" style="1" customWidth="1"/>
    <col min="13854" max="13854" width="11.54296875" style="1" customWidth="1"/>
    <col min="13855" max="13855" width="5.54296875" style="1" customWidth="1"/>
    <col min="13856" max="13856" width="6" style="1" customWidth="1"/>
    <col min="13857" max="13857" width="6.54296875" style="1" customWidth="1"/>
    <col min="13858" max="13858" width="11.08984375" style="1" customWidth="1"/>
    <col min="13859" max="13859" width="7.08984375" style="1" customWidth="1"/>
    <col min="13860" max="13861" width="5.81640625" style="1" customWidth="1"/>
    <col min="13862" max="13862" width="6" style="1" customWidth="1"/>
    <col min="13863" max="13863" width="6.81640625" style="1" customWidth="1"/>
    <col min="13864" max="13864" width="6" style="1" customWidth="1"/>
    <col min="13865" max="13865" width="18.08984375" style="1" customWidth="1"/>
    <col min="13866" max="14103" width="9" style="1"/>
    <col min="14104" max="14104" width="2.08984375" style="1" customWidth="1"/>
    <col min="14105" max="14105" width="5.81640625" style="1" customWidth="1"/>
    <col min="14106" max="14106" width="6.81640625" style="1" customWidth="1"/>
    <col min="14107" max="14107" width="6.08984375" style="1" customWidth="1"/>
    <col min="14108" max="14108" width="6.81640625" style="1" customWidth="1"/>
    <col min="14109" max="14109" width="10.81640625" style="1" customWidth="1"/>
    <col min="14110" max="14110" width="11.54296875" style="1" customWidth="1"/>
    <col min="14111" max="14111" width="5.54296875" style="1" customWidth="1"/>
    <col min="14112" max="14112" width="6" style="1" customWidth="1"/>
    <col min="14113" max="14113" width="6.54296875" style="1" customWidth="1"/>
    <col min="14114" max="14114" width="11.08984375" style="1" customWidth="1"/>
    <col min="14115" max="14115" width="7.08984375" style="1" customWidth="1"/>
    <col min="14116" max="14117" width="5.81640625" style="1" customWidth="1"/>
    <col min="14118" max="14118" width="6" style="1" customWidth="1"/>
    <col min="14119" max="14119" width="6.81640625" style="1" customWidth="1"/>
    <col min="14120" max="14120" width="6" style="1" customWidth="1"/>
    <col min="14121" max="14121" width="18.08984375" style="1" customWidth="1"/>
    <col min="14122" max="14359" width="9" style="1"/>
    <col min="14360" max="14360" width="2.08984375" style="1" customWidth="1"/>
    <col min="14361" max="14361" width="5.81640625" style="1" customWidth="1"/>
    <col min="14362" max="14362" width="6.81640625" style="1" customWidth="1"/>
    <col min="14363" max="14363" width="6.08984375" style="1" customWidth="1"/>
    <col min="14364" max="14364" width="6.81640625" style="1" customWidth="1"/>
    <col min="14365" max="14365" width="10.81640625" style="1" customWidth="1"/>
    <col min="14366" max="14366" width="11.54296875" style="1" customWidth="1"/>
    <col min="14367" max="14367" width="5.54296875" style="1" customWidth="1"/>
    <col min="14368" max="14368" width="6" style="1" customWidth="1"/>
    <col min="14369" max="14369" width="6.54296875" style="1" customWidth="1"/>
    <col min="14370" max="14370" width="11.08984375" style="1" customWidth="1"/>
    <col min="14371" max="14371" width="7.08984375" style="1" customWidth="1"/>
    <col min="14372" max="14373" width="5.81640625" style="1" customWidth="1"/>
    <col min="14374" max="14374" width="6" style="1" customWidth="1"/>
    <col min="14375" max="14375" width="6.81640625" style="1" customWidth="1"/>
    <col min="14376" max="14376" width="6" style="1" customWidth="1"/>
    <col min="14377" max="14377" width="18.08984375" style="1" customWidth="1"/>
    <col min="14378" max="14615" width="9" style="1"/>
    <col min="14616" max="14616" width="2.08984375" style="1" customWidth="1"/>
    <col min="14617" max="14617" width="5.81640625" style="1" customWidth="1"/>
    <col min="14618" max="14618" width="6.81640625" style="1" customWidth="1"/>
    <col min="14619" max="14619" width="6.08984375" style="1" customWidth="1"/>
    <col min="14620" max="14620" width="6.81640625" style="1" customWidth="1"/>
    <col min="14621" max="14621" width="10.81640625" style="1" customWidth="1"/>
    <col min="14622" max="14622" width="11.54296875" style="1" customWidth="1"/>
    <col min="14623" max="14623" width="5.54296875" style="1" customWidth="1"/>
    <col min="14624" max="14624" width="6" style="1" customWidth="1"/>
    <col min="14625" max="14625" width="6.54296875" style="1" customWidth="1"/>
    <col min="14626" max="14626" width="11.08984375" style="1" customWidth="1"/>
    <col min="14627" max="14627" width="7.08984375" style="1" customWidth="1"/>
    <col min="14628" max="14629" width="5.81640625" style="1" customWidth="1"/>
    <col min="14630" max="14630" width="6" style="1" customWidth="1"/>
    <col min="14631" max="14631" width="6.81640625" style="1" customWidth="1"/>
    <col min="14632" max="14632" width="6" style="1" customWidth="1"/>
    <col min="14633" max="14633" width="18.08984375" style="1" customWidth="1"/>
    <col min="14634" max="14871" width="9" style="1"/>
    <col min="14872" max="14872" width="2.08984375" style="1" customWidth="1"/>
    <col min="14873" max="14873" width="5.81640625" style="1" customWidth="1"/>
    <col min="14874" max="14874" width="6.81640625" style="1" customWidth="1"/>
    <col min="14875" max="14875" width="6.08984375" style="1" customWidth="1"/>
    <col min="14876" max="14876" width="6.81640625" style="1" customWidth="1"/>
    <col min="14877" max="14877" width="10.81640625" style="1" customWidth="1"/>
    <col min="14878" max="14878" width="11.54296875" style="1" customWidth="1"/>
    <col min="14879" max="14879" width="5.54296875" style="1" customWidth="1"/>
    <col min="14880" max="14880" width="6" style="1" customWidth="1"/>
    <col min="14881" max="14881" width="6.54296875" style="1" customWidth="1"/>
    <col min="14882" max="14882" width="11.08984375" style="1" customWidth="1"/>
    <col min="14883" max="14883" width="7.08984375" style="1" customWidth="1"/>
    <col min="14884" max="14885" width="5.81640625" style="1" customWidth="1"/>
    <col min="14886" max="14886" width="6" style="1" customWidth="1"/>
    <col min="14887" max="14887" width="6.81640625" style="1" customWidth="1"/>
    <col min="14888" max="14888" width="6" style="1" customWidth="1"/>
    <col min="14889" max="14889" width="18.08984375" style="1" customWidth="1"/>
    <col min="14890" max="15127" width="9" style="1"/>
    <col min="15128" max="15128" width="2.08984375" style="1" customWidth="1"/>
    <col min="15129" max="15129" width="5.81640625" style="1" customWidth="1"/>
    <col min="15130" max="15130" width="6.81640625" style="1" customWidth="1"/>
    <col min="15131" max="15131" width="6.08984375" style="1" customWidth="1"/>
    <col min="15132" max="15132" width="6.81640625" style="1" customWidth="1"/>
    <col min="15133" max="15133" width="10.81640625" style="1" customWidth="1"/>
    <col min="15134" max="15134" width="11.54296875" style="1" customWidth="1"/>
    <col min="15135" max="15135" width="5.54296875" style="1" customWidth="1"/>
    <col min="15136" max="15136" width="6" style="1" customWidth="1"/>
    <col min="15137" max="15137" width="6.54296875" style="1" customWidth="1"/>
    <col min="15138" max="15138" width="11.08984375" style="1" customWidth="1"/>
    <col min="15139" max="15139" width="7.08984375" style="1" customWidth="1"/>
    <col min="15140" max="15141" width="5.81640625" style="1" customWidth="1"/>
    <col min="15142" max="15142" width="6" style="1" customWidth="1"/>
    <col min="15143" max="15143" width="6.81640625" style="1" customWidth="1"/>
    <col min="15144" max="15144" width="6" style="1" customWidth="1"/>
    <col min="15145" max="15145" width="18.08984375" style="1" customWidth="1"/>
    <col min="15146" max="15383" width="9" style="1"/>
    <col min="15384" max="15384" width="2.08984375" style="1" customWidth="1"/>
    <col min="15385" max="15385" width="5.81640625" style="1" customWidth="1"/>
    <col min="15386" max="15386" width="6.81640625" style="1" customWidth="1"/>
    <col min="15387" max="15387" width="6.08984375" style="1" customWidth="1"/>
    <col min="15388" max="15388" width="6.81640625" style="1" customWidth="1"/>
    <col min="15389" max="15389" width="10.81640625" style="1" customWidth="1"/>
    <col min="15390" max="15390" width="11.54296875" style="1" customWidth="1"/>
    <col min="15391" max="15391" width="5.54296875" style="1" customWidth="1"/>
    <col min="15392" max="15392" width="6" style="1" customWidth="1"/>
    <col min="15393" max="15393" width="6.54296875" style="1" customWidth="1"/>
    <col min="15394" max="15394" width="11.08984375" style="1" customWidth="1"/>
    <col min="15395" max="15395" width="7.08984375" style="1" customWidth="1"/>
    <col min="15396" max="15397" width="5.81640625" style="1" customWidth="1"/>
    <col min="15398" max="15398" width="6" style="1" customWidth="1"/>
    <col min="15399" max="15399" width="6.81640625" style="1" customWidth="1"/>
    <col min="15400" max="15400" width="6" style="1" customWidth="1"/>
    <col min="15401" max="15401" width="18.08984375" style="1" customWidth="1"/>
    <col min="15402" max="15639" width="9" style="1"/>
    <col min="15640" max="15640" width="2.08984375" style="1" customWidth="1"/>
    <col min="15641" max="15641" width="5.81640625" style="1" customWidth="1"/>
    <col min="15642" max="15642" width="6.81640625" style="1" customWidth="1"/>
    <col min="15643" max="15643" width="6.08984375" style="1" customWidth="1"/>
    <col min="15644" max="15644" width="6.81640625" style="1" customWidth="1"/>
    <col min="15645" max="15645" width="10.81640625" style="1" customWidth="1"/>
    <col min="15646" max="15646" width="11.54296875" style="1" customWidth="1"/>
    <col min="15647" max="15647" width="5.54296875" style="1" customWidth="1"/>
    <col min="15648" max="15648" width="6" style="1" customWidth="1"/>
    <col min="15649" max="15649" width="6.54296875" style="1" customWidth="1"/>
    <col min="15650" max="15650" width="11.08984375" style="1" customWidth="1"/>
    <col min="15651" max="15651" width="7.08984375" style="1" customWidth="1"/>
    <col min="15652" max="15653" width="5.81640625" style="1" customWidth="1"/>
    <col min="15654" max="15654" width="6" style="1" customWidth="1"/>
    <col min="15655" max="15655" width="6.81640625" style="1" customWidth="1"/>
    <col min="15656" max="15656" width="6" style="1" customWidth="1"/>
    <col min="15657" max="15657" width="18.08984375" style="1" customWidth="1"/>
    <col min="15658" max="15895" width="9" style="1"/>
    <col min="15896" max="15896" width="2.08984375" style="1" customWidth="1"/>
    <col min="15897" max="15897" width="5.81640625" style="1" customWidth="1"/>
    <col min="15898" max="15898" width="6.81640625" style="1" customWidth="1"/>
    <col min="15899" max="15899" width="6.08984375" style="1" customWidth="1"/>
    <col min="15900" max="15900" width="6.81640625" style="1" customWidth="1"/>
    <col min="15901" max="15901" width="10.81640625" style="1" customWidth="1"/>
    <col min="15902" max="15902" width="11.54296875" style="1" customWidth="1"/>
    <col min="15903" max="15903" width="5.54296875" style="1" customWidth="1"/>
    <col min="15904" max="15904" width="6" style="1" customWidth="1"/>
    <col min="15905" max="15905" width="6.54296875" style="1" customWidth="1"/>
    <col min="15906" max="15906" width="11.08984375" style="1" customWidth="1"/>
    <col min="15907" max="15907" width="7.08984375" style="1" customWidth="1"/>
    <col min="15908" max="15909" width="5.81640625" style="1" customWidth="1"/>
    <col min="15910" max="15910" width="6" style="1" customWidth="1"/>
    <col min="15911" max="15911" width="6.81640625" style="1" customWidth="1"/>
    <col min="15912" max="15912" width="6" style="1" customWidth="1"/>
    <col min="15913" max="15913" width="18.08984375" style="1" customWidth="1"/>
    <col min="15914" max="16151" width="9" style="1"/>
    <col min="16152" max="16152" width="2.08984375" style="1" customWidth="1"/>
    <col min="16153" max="16153" width="5.81640625" style="1" customWidth="1"/>
    <col min="16154" max="16154" width="6.81640625" style="1" customWidth="1"/>
    <col min="16155" max="16155" width="6.08984375" style="1" customWidth="1"/>
    <col min="16156" max="16156" width="6.81640625" style="1" customWidth="1"/>
    <col min="16157" max="16157" width="10.81640625" style="1" customWidth="1"/>
    <col min="16158" max="16158" width="11.54296875" style="1" customWidth="1"/>
    <col min="16159" max="16159" width="5.54296875" style="1" customWidth="1"/>
    <col min="16160" max="16160" width="6" style="1" customWidth="1"/>
    <col min="16161" max="16161" width="6.54296875" style="1" customWidth="1"/>
    <col min="16162" max="16162" width="11.08984375" style="1" customWidth="1"/>
    <col min="16163" max="16163" width="7.08984375" style="1" customWidth="1"/>
    <col min="16164" max="16165" width="5.81640625" style="1" customWidth="1"/>
    <col min="16166" max="16166" width="6" style="1" customWidth="1"/>
    <col min="16167" max="16167" width="6.81640625" style="1" customWidth="1"/>
    <col min="16168" max="16168" width="6" style="1" customWidth="1"/>
    <col min="16169" max="16169" width="18.08984375" style="1" customWidth="1"/>
  </cols>
  <sheetData>
    <row r="1" spans="2:47" ht="5.15" customHeight="1" x14ac:dyDescent="0.25"/>
    <row r="2" spans="2:47" ht="17.5" customHeight="1" thickBot="1" x14ac:dyDescent="0.3">
      <c r="B2" s="131" t="s">
        <v>220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</row>
    <row r="3" spans="2:47" ht="20.15" customHeight="1" x14ac:dyDescent="0.25">
      <c r="B3" s="135" t="s">
        <v>175</v>
      </c>
      <c r="C3" s="141" t="s">
        <v>157</v>
      </c>
      <c r="D3" s="142"/>
      <c r="E3" s="142"/>
      <c r="F3" s="142"/>
      <c r="G3" s="142"/>
      <c r="H3" s="142"/>
      <c r="I3" s="133" t="s">
        <v>8</v>
      </c>
      <c r="J3" s="142"/>
      <c r="K3" s="142"/>
      <c r="L3" s="142"/>
      <c r="M3" s="142"/>
      <c r="N3" s="142"/>
      <c r="O3" s="142"/>
      <c r="P3" s="142"/>
      <c r="Q3" s="133" t="s">
        <v>71</v>
      </c>
      <c r="R3" s="142"/>
      <c r="S3" s="142"/>
      <c r="T3" s="133" t="s">
        <v>10</v>
      </c>
      <c r="U3" s="142"/>
      <c r="V3" s="142"/>
      <c r="W3" s="142"/>
      <c r="X3" s="133" t="s">
        <v>74</v>
      </c>
      <c r="Y3" s="134"/>
      <c r="Z3" s="133" t="s">
        <v>11</v>
      </c>
      <c r="AA3" s="134"/>
      <c r="AB3" s="117" t="s">
        <v>13</v>
      </c>
      <c r="AC3" s="133" t="s">
        <v>14</v>
      </c>
      <c r="AD3" s="134"/>
      <c r="AE3" s="166" t="s">
        <v>82</v>
      </c>
      <c r="AF3" s="167"/>
      <c r="AG3" s="167"/>
      <c r="AH3" s="167"/>
      <c r="AI3" s="167"/>
      <c r="AJ3" s="167"/>
      <c r="AK3" s="167"/>
      <c r="AL3" s="133" t="s">
        <v>18</v>
      </c>
      <c r="AM3" s="134"/>
      <c r="AN3" s="134"/>
      <c r="AO3" s="134" t="s">
        <v>16</v>
      </c>
      <c r="AP3" s="134"/>
      <c r="AQ3" s="134"/>
      <c r="AR3" s="140"/>
    </row>
    <row r="4" spans="2:47" ht="30" customHeight="1" x14ac:dyDescent="0.25">
      <c r="B4" s="136"/>
      <c r="C4" s="80" t="s">
        <v>46</v>
      </c>
      <c r="D4" s="72" t="s">
        <v>47</v>
      </c>
      <c r="E4" s="72" t="s">
        <v>50</v>
      </c>
      <c r="F4" s="72" t="s">
        <v>51</v>
      </c>
      <c r="G4" s="72" t="s">
        <v>53</v>
      </c>
      <c r="H4" s="72" t="s">
        <v>156</v>
      </c>
      <c r="I4" s="137" t="s">
        <v>56</v>
      </c>
      <c r="J4" s="137"/>
      <c r="K4" s="72" t="s">
        <v>6</v>
      </c>
      <c r="L4" s="72" t="s">
        <v>60</v>
      </c>
      <c r="M4" s="72" t="s">
        <v>158</v>
      </c>
      <c r="N4" s="72" t="s">
        <v>159</v>
      </c>
      <c r="O4" s="128" t="s">
        <v>7</v>
      </c>
      <c r="P4" s="129"/>
      <c r="Q4" s="137" t="s">
        <v>65</v>
      </c>
      <c r="R4" s="129"/>
      <c r="S4" s="72" t="s">
        <v>45</v>
      </c>
      <c r="T4" s="72" t="s">
        <v>69</v>
      </c>
      <c r="U4" s="137" t="s">
        <v>72</v>
      </c>
      <c r="V4" s="129"/>
      <c r="W4" s="72" t="s">
        <v>9</v>
      </c>
      <c r="X4" s="72" t="s">
        <v>151</v>
      </c>
      <c r="Y4" s="72" t="s">
        <v>152</v>
      </c>
      <c r="Z4" s="72" t="s">
        <v>1</v>
      </c>
      <c r="AA4" s="72" t="s">
        <v>12</v>
      </c>
      <c r="AB4" s="72" t="s">
        <v>153</v>
      </c>
      <c r="AC4" s="72" t="s">
        <v>1</v>
      </c>
      <c r="AD4" s="72" t="s">
        <v>12</v>
      </c>
      <c r="AE4" s="138" t="s">
        <v>83</v>
      </c>
      <c r="AF4" s="126"/>
      <c r="AG4" s="138" t="s">
        <v>86</v>
      </c>
      <c r="AH4" s="126"/>
      <c r="AI4" s="73" t="s">
        <v>160</v>
      </c>
      <c r="AJ4" s="73" t="s">
        <v>161</v>
      </c>
      <c r="AK4" s="76" t="s">
        <v>109</v>
      </c>
      <c r="AL4" s="137" t="s">
        <v>104</v>
      </c>
      <c r="AM4" s="129"/>
      <c r="AN4" s="71" t="s">
        <v>105</v>
      </c>
      <c r="AO4" s="72" t="s">
        <v>12</v>
      </c>
      <c r="AP4" s="72" t="s">
        <v>1</v>
      </c>
      <c r="AQ4" s="129" t="s">
        <v>155</v>
      </c>
      <c r="AR4" s="139"/>
      <c r="AU4" s="3"/>
    </row>
    <row r="5" spans="2:47" ht="20.15" customHeight="1" x14ac:dyDescent="0.25">
      <c r="B5" s="136"/>
      <c r="C5" s="81" t="s">
        <v>0</v>
      </c>
      <c r="D5" s="77" t="s">
        <v>48</v>
      </c>
      <c r="E5" s="77" t="s">
        <v>49</v>
      </c>
      <c r="F5" s="77" t="s">
        <v>52</v>
      </c>
      <c r="G5" s="77" t="s">
        <v>54</v>
      </c>
      <c r="H5" s="77" t="s">
        <v>55</v>
      </c>
      <c r="I5" s="74" t="s">
        <v>57</v>
      </c>
      <c r="J5" s="74" t="s">
        <v>58</v>
      </c>
      <c r="K5" s="77" t="s">
        <v>59</v>
      </c>
      <c r="L5" s="77" t="s">
        <v>61</v>
      </c>
      <c r="M5" s="77" t="s">
        <v>62</v>
      </c>
      <c r="N5" s="77" t="s">
        <v>63</v>
      </c>
      <c r="O5" s="74" t="s">
        <v>64</v>
      </c>
      <c r="P5" s="74" t="s">
        <v>58</v>
      </c>
      <c r="Q5" s="74" t="s">
        <v>66</v>
      </c>
      <c r="R5" s="74" t="s">
        <v>67</v>
      </c>
      <c r="S5" s="77" t="s">
        <v>68</v>
      </c>
      <c r="T5" s="77" t="s">
        <v>70</v>
      </c>
      <c r="U5" s="72" t="s">
        <v>95</v>
      </c>
      <c r="V5" s="72" t="s">
        <v>278</v>
      </c>
      <c r="W5" s="77" t="s">
        <v>73</v>
      </c>
      <c r="X5" s="72" t="s">
        <v>75</v>
      </c>
      <c r="Y5" s="78" t="s">
        <v>4</v>
      </c>
      <c r="Z5" s="77" t="s">
        <v>77</v>
      </c>
      <c r="AA5" s="77" t="s">
        <v>78</v>
      </c>
      <c r="AB5" s="77" t="s">
        <v>79</v>
      </c>
      <c r="AC5" s="77" t="s">
        <v>80</v>
      </c>
      <c r="AD5" s="77" t="s">
        <v>81</v>
      </c>
      <c r="AE5" s="73" t="s">
        <v>84</v>
      </c>
      <c r="AF5" s="73" t="s">
        <v>85</v>
      </c>
      <c r="AG5" s="73" t="s">
        <v>87</v>
      </c>
      <c r="AH5" s="79" t="s">
        <v>88</v>
      </c>
      <c r="AI5" s="79" t="s">
        <v>88</v>
      </c>
      <c r="AJ5" s="79" t="s">
        <v>88</v>
      </c>
      <c r="AK5" s="76" t="s">
        <v>76</v>
      </c>
      <c r="AL5" s="74" t="s">
        <v>89</v>
      </c>
      <c r="AM5" s="71" t="s">
        <v>103</v>
      </c>
      <c r="AN5" s="71" t="s">
        <v>106</v>
      </c>
      <c r="AO5" s="72" t="s">
        <v>90</v>
      </c>
      <c r="AP5" s="72" t="s">
        <v>91</v>
      </c>
      <c r="AQ5" s="72" t="s">
        <v>92</v>
      </c>
      <c r="AR5" s="119" t="s">
        <v>154</v>
      </c>
    </row>
    <row r="6" spans="2:47" ht="13.5" customHeight="1" x14ac:dyDescent="0.25">
      <c r="B6" s="120" t="s">
        <v>5</v>
      </c>
      <c r="C6" s="82">
        <v>5.584491</v>
      </c>
      <c r="D6" s="62">
        <v>18.78798</v>
      </c>
      <c r="E6" s="62">
        <v>415.2903</v>
      </c>
      <c r="F6" s="62"/>
      <c r="G6" s="62"/>
      <c r="H6" s="63">
        <v>416.1189</v>
      </c>
      <c r="I6" s="64">
        <v>17.82407</v>
      </c>
      <c r="J6" s="62"/>
      <c r="K6" s="62">
        <v>41.90538</v>
      </c>
      <c r="L6" s="62">
        <v>1.317998</v>
      </c>
      <c r="M6" s="62">
        <v>111.7242</v>
      </c>
      <c r="N6" s="62">
        <v>113.4983</v>
      </c>
      <c r="O6" s="62">
        <v>20.18036</v>
      </c>
      <c r="P6" s="62"/>
      <c r="Q6" s="62"/>
      <c r="R6" s="62"/>
      <c r="S6" s="62">
        <v>139.8003</v>
      </c>
      <c r="T6" s="62">
        <v>1.508464</v>
      </c>
      <c r="U6" s="62">
        <v>0.2981011</v>
      </c>
      <c r="V6" s="62"/>
      <c r="W6" s="62">
        <v>90.14757</v>
      </c>
      <c r="X6" s="62">
        <v>0.5308738</v>
      </c>
      <c r="Y6" s="62"/>
      <c r="Z6" s="62">
        <v>0.7412037</v>
      </c>
      <c r="AA6" s="62">
        <v>150.0651</v>
      </c>
      <c r="AB6" s="62">
        <v>162.4494</v>
      </c>
      <c r="AC6" s="62">
        <v>0.370081</v>
      </c>
      <c r="AD6" s="62">
        <v>154.4705</v>
      </c>
      <c r="AE6" s="65">
        <v>33.67</v>
      </c>
      <c r="AF6" s="65"/>
      <c r="AG6" s="65"/>
      <c r="AH6" s="65">
        <v>9.6</v>
      </c>
      <c r="AI6" s="65">
        <v>20.28</v>
      </c>
      <c r="AJ6" s="65">
        <v>8.33</v>
      </c>
      <c r="AK6" s="65">
        <v>7.2</v>
      </c>
      <c r="AL6" s="62">
        <v>3.092448</v>
      </c>
      <c r="AM6" s="66"/>
      <c r="AN6" s="67">
        <v>61.18345</v>
      </c>
      <c r="AO6" s="68"/>
      <c r="AP6" s="69">
        <v>-79.62963</v>
      </c>
      <c r="AQ6" s="69">
        <v>0.30136</v>
      </c>
      <c r="AR6" s="70"/>
    </row>
    <row r="7" spans="2:47" ht="13.5" customHeight="1" x14ac:dyDescent="0.25">
      <c r="B7" s="121">
        <v>0.375</v>
      </c>
      <c r="C7" s="20">
        <v>6.835938</v>
      </c>
      <c r="D7" s="62">
        <v>18.89648</v>
      </c>
      <c r="E7" s="4">
        <v>418.8764</v>
      </c>
      <c r="F7" s="4">
        <v>0.3364219</v>
      </c>
      <c r="G7" s="4">
        <v>0</v>
      </c>
      <c r="H7" s="5">
        <v>416.7717</v>
      </c>
      <c r="I7" s="6">
        <v>23.01432</v>
      </c>
      <c r="J7" s="4">
        <v>0.02001953</v>
      </c>
      <c r="K7" s="4">
        <v>44.22743</v>
      </c>
      <c r="L7" s="4">
        <v>1.410952</v>
      </c>
      <c r="M7" s="4">
        <v>107.5629</v>
      </c>
      <c r="N7" s="4">
        <v>112.6374</v>
      </c>
      <c r="O7" s="4">
        <v>20.16488</v>
      </c>
      <c r="P7" s="4">
        <v>20.16895</v>
      </c>
      <c r="Q7" s="4"/>
      <c r="R7" s="4">
        <v>2.734863</v>
      </c>
      <c r="S7" s="4">
        <v>140.1259</v>
      </c>
      <c r="T7" s="4">
        <v>1.504919</v>
      </c>
      <c r="U7" s="4">
        <v>0.2986475</v>
      </c>
      <c r="V7" s="4">
        <v>0.2998516</v>
      </c>
      <c r="W7" s="4">
        <v>90.94328</v>
      </c>
      <c r="X7" s="4">
        <v>0.5318801</v>
      </c>
      <c r="Y7" s="4" t="s">
        <v>76</v>
      </c>
      <c r="Z7" s="4">
        <v>0.7130209</v>
      </c>
      <c r="AA7" s="4">
        <v>149.6528</v>
      </c>
      <c r="AB7" s="4">
        <v>162.2396</v>
      </c>
      <c r="AC7" s="4">
        <v>0.36386</v>
      </c>
      <c r="AD7" s="4">
        <v>153.6675</v>
      </c>
      <c r="AE7" s="7"/>
      <c r="AF7" s="7"/>
      <c r="AG7" s="7"/>
      <c r="AH7" s="7"/>
      <c r="AI7" s="7"/>
      <c r="AJ7" s="7"/>
      <c r="AK7" s="7"/>
      <c r="AL7" s="4">
        <v>0</v>
      </c>
      <c r="AM7" s="8">
        <v>0.02321484</v>
      </c>
      <c r="AN7" s="9">
        <v>61.34621</v>
      </c>
      <c r="AO7" s="10"/>
      <c r="AP7" s="11">
        <v>-79.60069</v>
      </c>
      <c r="AQ7" s="11">
        <v>0.2926071</v>
      </c>
      <c r="AR7" s="12">
        <v>0.0002916641</v>
      </c>
    </row>
    <row r="8" spans="2:47" ht="13.5" customHeight="1" x14ac:dyDescent="0.25">
      <c r="B8" s="121">
        <v>0.41666666666666669</v>
      </c>
      <c r="C8" s="20">
        <v>5.551939</v>
      </c>
      <c r="D8" s="62">
        <v>19.22201</v>
      </c>
      <c r="E8" s="4">
        <v>418.9828</v>
      </c>
      <c r="F8" s="4">
        <v>0.2606016</v>
      </c>
      <c r="G8" s="4">
        <v>0</v>
      </c>
      <c r="H8" s="5">
        <v>417.3663</v>
      </c>
      <c r="I8" s="6">
        <v>26.15379</v>
      </c>
      <c r="J8" s="4">
        <v>0.01978857</v>
      </c>
      <c r="K8" s="4">
        <v>42.09346</v>
      </c>
      <c r="L8" s="4">
        <v>1.319264</v>
      </c>
      <c r="M8" s="4">
        <v>109.8307</v>
      </c>
      <c r="N8" s="4">
        <v>113.5706</v>
      </c>
      <c r="O8" s="4">
        <v>20.62389</v>
      </c>
      <c r="P8" s="4">
        <v>20.16113</v>
      </c>
      <c r="Q8" s="4"/>
      <c r="R8" s="4">
        <v>2.72583</v>
      </c>
      <c r="S8" s="4">
        <v>139.974</v>
      </c>
      <c r="T8" s="4">
        <v>1.505805</v>
      </c>
      <c r="U8" s="4">
        <v>0.3078198</v>
      </c>
      <c r="V8" s="4">
        <v>0.2998984</v>
      </c>
      <c r="W8" s="4">
        <v>90.57436</v>
      </c>
      <c r="X8" s="4">
        <v>0.5280567</v>
      </c>
      <c r="Y8" s="4" t="s">
        <v>76</v>
      </c>
      <c r="Z8" s="4">
        <v>0.7284144</v>
      </c>
      <c r="AA8" s="4">
        <v>148.9294</v>
      </c>
      <c r="AB8" s="4">
        <v>162.5651</v>
      </c>
      <c r="AC8" s="4">
        <v>0.3345269</v>
      </c>
      <c r="AD8" s="4">
        <v>154.1088</v>
      </c>
      <c r="AE8" s="7"/>
      <c r="AF8" s="7"/>
      <c r="AG8" s="7"/>
      <c r="AH8" s="7"/>
      <c r="AI8" s="7"/>
      <c r="AJ8" s="7"/>
      <c r="AK8" s="7"/>
      <c r="AL8" s="4">
        <v>8.293548</v>
      </c>
      <c r="AM8" s="8">
        <v>0.02222998</v>
      </c>
      <c r="AN8" s="9">
        <v>59.26649</v>
      </c>
      <c r="AO8" s="10"/>
      <c r="AP8" s="11">
        <v>-79.44878</v>
      </c>
      <c r="AQ8" s="11">
        <v>0.3062066</v>
      </c>
      <c r="AR8" s="12">
        <v>0.0002929001</v>
      </c>
    </row>
    <row r="9" spans="2:47" ht="13.5" customHeight="1" x14ac:dyDescent="0.25">
      <c r="B9" s="121">
        <v>0.45833333333333298</v>
      </c>
      <c r="C9" s="20">
        <v>6.542969</v>
      </c>
      <c r="D9" s="62">
        <v>19.48242</v>
      </c>
      <c r="E9" s="4">
        <v>418.657</v>
      </c>
      <c r="F9" s="4">
        <v>0.336875</v>
      </c>
      <c r="G9" s="4">
        <v>0</v>
      </c>
      <c r="H9" s="5">
        <v>418.011</v>
      </c>
      <c r="I9" s="6">
        <v>25.7487</v>
      </c>
      <c r="J9" s="4">
        <v>0.01981104</v>
      </c>
      <c r="K9" s="4">
        <v>43.68489</v>
      </c>
      <c r="L9" s="4">
        <v>1.380751</v>
      </c>
      <c r="M9" s="4">
        <v>110.7313</v>
      </c>
      <c r="N9" s="4">
        <v>113.5778</v>
      </c>
      <c r="O9" s="4">
        <v>20.0414</v>
      </c>
      <c r="P9" s="4">
        <v>20.18652</v>
      </c>
      <c r="Q9" s="4"/>
      <c r="R9" s="4">
        <v>2.733459</v>
      </c>
      <c r="S9" s="4">
        <v>140.0825</v>
      </c>
      <c r="T9" s="4">
        <v>1.505425</v>
      </c>
      <c r="U9" s="4">
        <v>0.3012347</v>
      </c>
      <c r="V9" s="4">
        <v>0.3001484</v>
      </c>
      <c r="W9" s="4">
        <v>90.57436</v>
      </c>
      <c r="X9" s="4">
        <v>0.5310533</v>
      </c>
      <c r="Y9" s="4" t="s">
        <v>76</v>
      </c>
      <c r="Z9" s="4">
        <v>0.7304398</v>
      </c>
      <c r="AA9" s="4">
        <v>150.0362</v>
      </c>
      <c r="AB9" s="4">
        <v>162.84</v>
      </c>
      <c r="AC9" s="4">
        <v>0.3709852</v>
      </c>
      <c r="AD9" s="4">
        <v>154.6803</v>
      </c>
      <c r="AE9" s="7"/>
      <c r="AF9" s="7"/>
      <c r="AG9" s="7"/>
      <c r="AH9" s="7"/>
      <c r="AI9" s="7"/>
      <c r="AJ9" s="7"/>
      <c r="AK9" s="7"/>
      <c r="AL9" s="4">
        <v>6.423611</v>
      </c>
      <c r="AM9" s="8">
        <v>0.01805811</v>
      </c>
      <c r="AN9" s="9">
        <v>56.99508</v>
      </c>
      <c r="AO9" s="10"/>
      <c r="AP9" s="11">
        <v>-79.62963</v>
      </c>
      <c r="AQ9" s="11">
        <v>0.2951389</v>
      </c>
      <c r="AR9" s="12">
        <v>0.0002930679</v>
      </c>
    </row>
    <row r="10" spans="2:47" ht="13.5" customHeight="1" x14ac:dyDescent="0.25">
      <c r="B10" s="121">
        <v>0.5</v>
      </c>
      <c r="C10" s="20">
        <v>5.692997</v>
      </c>
      <c r="D10" s="62">
        <v>20.07379</v>
      </c>
      <c r="E10" s="4">
        <v>418.6148</v>
      </c>
      <c r="F10" s="4">
        <v>0.2664766</v>
      </c>
      <c r="G10" s="4">
        <v>0</v>
      </c>
      <c r="H10" s="5">
        <v>418.3206</v>
      </c>
      <c r="I10" s="6">
        <v>24.48278</v>
      </c>
      <c r="J10" s="4">
        <v>0.02006396</v>
      </c>
      <c r="K10" s="4">
        <v>44.97251</v>
      </c>
      <c r="L10" s="4">
        <v>1.418095</v>
      </c>
      <c r="M10" s="4">
        <v>107.8451</v>
      </c>
      <c r="N10" s="4">
        <v>112.4855</v>
      </c>
      <c r="O10" s="4">
        <v>20.25254</v>
      </c>
      <c r="P10" s="4">
        <v>20.18115</v>
      </c>
      <c r="Q10" s="4"/>
      <c r="R10" s="4">
        <v>2.723267</v>
      </c>
      <c r="S10" s="4">
        <v>139.8293</v>
      </c>
      <c r="T10" s="4">
        <v>1.506058</v>
      </c>
      <c r="U10" s="4">
        <v>0.3027952</v>
      </c>
      <c r="V10" s="4">
        <v>0.3000859</v>
      </c>
      <c r="W10" s="4">
        <v>90.35735</v>
      </c>
      <c r="X10" s="4">
        <v>0.5271869</v>
      </c>
      <c r="Y10" s="4" t="s">
        <v>76</v>
      </c>
      <c r="Z10" s="4">
        <v>0.7220486</v>
      </c>
      <c r="AA10" s="4">
        <v>148.2639</v>
      </c>
      <c r="AB10" s="4">
        <v>162.5217</v>
      </c>
      <c r="AC10" s="4">
        <v>0.3489583</v>
      </c>
      <c r="AD10" s="4">
        <v>154.3113</v>
      </c>
      <c r="AE10" s="7"/>
      <c r="AF10" s="7"/>
      <c r="AG10" s="7"/>
      <c r="AH10" s="7"/>
      <c r="AI10" s="7"/>
      <c r="AJ10" s="7"/>
      <c r="AK10" s="7"/>
      <c r="AL10" s="4">
        <v>20.29803</v>
      </c>
      <c r="AM10" s="8">
        <v>0.02218604</v>
      </c>
      <c r="AN10" s="9">
        <v>60.76389</v>
      </c>
      <c r="AO10" s="10"/>
      <c r="AP10" s="11">
        <v>-79.49219</v>
      </c>
      <c r="AQ10" s="11">
        <v>0.2988281</v>
      </c>
      <c r="AR10" s="12">
        <v>0.0002919083</v>
      </c>
    </row>
    <row r="11" spans="2:47" ht="13.5" customHeight="1" x14ac:dyDescent="0.25">
      <c r="B11" s="121">
        <v>0.54166666666666696</v>
      </c>
      <c r="C11" s="20">
        <v>6.430845</v>
      </c>
      <c r="D11" s="62">
        <v>20.52951</v>
      </c>
      <c r="E11" s="4">
        <v>418.5582</v>
      </c>
      <c r="F11" s="4">
        <v>0.321</v>
      </c>
      <c r="G11" s="4">
        <v>0</v>
      </c>
      <c r="H11" s="5">
        <v>418.857</v>
      </c>
      <c r="I11" s="6">
        <v>21.16609</v>
      </c>
      <c r="J11" s="4">
        <v>0.01960449</v>
      </c>
      <c r="K11" s="4">
        <v>43.99595</v>
      </c>
      <c r="L11" s="4">
        <v>1.404532</v>
      </c>
      <c r="M11" s="4">
        <v>106.9445</v>
      </c>
      <c r="N11" s="4">
        <v>110.3877</v>
      </c>
      <c r="O11" s="4">
        <v>20.27634</v>
      </c>
      <c r="P11" s="4">
        <v>20.16797</v>
      </c>
      <c r="Q11" s="4"/>
      <c r="R11" s="4">
        <v>2.752075</v>
      </c>
      <c r="S11" s="4">
        <v>140.1837</v>
      </c>
      <c r="T11" s="4">
        <v>1.502134</v>
      </c>
      <c r="U11" s="4">
        <v>0.301781</v>
      </c>
      <c r="V11" s="4">
        <v>0.2999375</v>
      </c>
      <c r="W11" s="4">
        <v>90.82031</v>
      </c>
      <c r="X11" s="4">
        <v>0.5298294</v>
      </c>
      <c r="Y11" s="4" t="s">
        <v>76</v>
      </c>
      <c r="Z11" s="4">
        <v>0.7233218</v>
      </c>
      <c r="AA11" s="4">
        <v>149.32</v>
      </c>
      <c r="AB11" s="4">
        <v>162.4349</v>
      </c>
      <c r="AC11" s="4">
        <v>0.3543837</v>
      </c>
      <c r="AD11" s="4">
        <v>154.2028</v>
      </c>
      <c r="AE11" s="7">
        <v>33.99</v>
      </c>
      <c r="AF11" s="7"/>
      <c r="AG11" s="7"/>
      <c r="AH11" s="7">
        <v>14.63</v>
      </c>
      <c r="AI11" s="7">
        <v>24.21</v>
      </c>
      <c r="AJ11" s="7">
        <v>6.45</v>
      </c>
      <c r="AK11" s="7">
        <v>6.82</v>
      </c>
      <c r="AL11" s="4">
        <v>21.62905</v>
      </c>
      <c r="AM11" s="8">
        <v>0.02284766</v>
      </c>
      <c r="AN11" s="9">
        <v>61.42578</v>
      </c>
      <c r="AO11" s="10"/>
      <c r="AP11" s="11">
        <v>-79.5573</v>
      </c>
      <c r="AQ11" s="11">
        <v>0.2854456</v>
      </c>
      <c r="AR11" s="12">
        <v>0.0002929154</v>
      </c>
    </row>
    <row r="12" spans="2:47" ht="13.5" customHeight="1" x14ac:dyDescent="0.25">
      <c r="B12" s="121">
        <v>0.58333333333333304</v>
      </c>
      <c r="C12" s="20">
        <v>6.014902</v>
      </c>
      <c r="D12" s="62">
        <v>21.03407</v>
      </c>
      <c r="E12" s="4">
        <v>418.2856</v>
      </c>
      <c r="F12" s="4">
        <v>0.2855937</v>
      </c>
      <c r="G12" s="4">
        <v>0</v>
      </c>
      <c r="H12" s="5">
        <v>419.1172</v>
      </c>
      <c r="I12" s="6">
        <v>21.5965</v>
      </c>
      <c r="J12" s="4">
        <v>0.02026025</v>
      </c>
      <c r="K12" s="4">
        <v>44.60359</v>
      </c>
      <c r="L12" s="4">
        <v>1.41267</v>
      </c>
      <c r="M12" s="4">
        <v>107.8234</v>
      </c>
      <c r="N12" s="4">
        <v>111.9285</v>
      </c>
      <c r="O12" s="4">
        <v>20.13751</v>
      </c>
      <c r="P12" s="4">
        <v>20.16016</v>
      </c>
      <c r="Q12" s="4"/>
      <c r="R12" s="4">
        <v>2.746521</v>
      </c>
      <c r="S12" s="4">
        <v>140.1259</v>
      </c>
      <c r="T12" s="4">
        <v>1.502893</v>
      </c>
      <c r="U12" s="4">
        <v>0.2991662</v>
      </c>
      <c r="V12" s="4">
        <v>0.2998125</v>
      </c>
      <c r="W12" s="4">
        <v>90.35011</v>
      </c>
      <c r="X12" s="4">
        <v>0.5317749</v>
      </c>
      <c r="Y12" s="4" t="s">
        <v>76</v>
      </c>
      <c r="Z12" s="4">
        <v>0.7288774</v>
      </c>
      <c r="AA12" s="4">
        <v>148.9077</v>
      </c>
      <c r="AB12" s="4">
        <v>162.5</v>
      </c>
      <c r="AC12" s="4">
        <v>0.3354673</v>
      </c>
      <c r="AD12" s="4">
        <v>154.4198</v>
      </c>
      <c r="AE12" s="7"/>
      <c r="AF12" s="7"/>
      <c r="AG12" s="7"/>
      <c r="AH12" s="7"/>
      <c r="AI12" s="7"/>
      <c r="AJ12" s="7"/>
      <c r="AK12" s="7"/>
      <c r="AL12" s="4">
        <v>59.78009</v>
      </c>
      <c r="AM12" s="8">
        <v>0.02468359</v>
      </c>
      <c r="AN12" s="9">
        <v>59.70414</v>
      </c>
      <c r="AO12" s="10"/>
      <c r="AP12" s="11">
        <v>-79.00752</v>
      </c>
      <c r="AQ12" s="11">
        <v>0.2989005</v>
      </c>
      <c r="AR12" s="12">
        <v>0.0002911377</v>
      </c>
    </row>
    <row r="13" spans="2:47" ht="13.5" customHeight="1" x14ac:dyDescent="0.25">
      <c r="B13" s="121">
        <v>0.625</v>
      </c>
      <c r="C13" s="20">
        <v>5.280671</v>
      </c>
      <c r="D13" s="62">
        <v>21.09918</v>
      </c>
      <c r="E13" s="4">
        <v>414.433</v>
      </c>
      <c r="F13" s="4">
        <v>0.2694844</v>
      </c>
      <c r="G13" s="4">
        <v>0</v>
      </c>
      <c r="H13" s="5">
        <v>418.7041</v>
      </c>
      <c r="I13" s="6">
        <v>26.12847</v>
      </c>
      <c r="J13" s="4">
        <v>0.0195752</v>
      </c>
      <c r="K13" s="4">
        <v>42.33218</v>
      </c>
      <c r="L13" s="4">
        <v>1.305519</v>
      </c>
      <c r="M13" s="4">
        <v>109.5974</v>
      </c>
      <c r="N13" s="4">
        <v>112.5506</v>
      </c>
      <c r="O13" s="4">
        <v>20.22653</v>
      </c>
      <c r="P13" s="4">
        <v>20.17285</v>
      </c>
      <c r="Q13" s="4"/>
      <c r="R13" s="4">
        <v>2.688293</v>
      </c>
      <c r="S13" s="4">
        <v>139.9233</v>
      </c>
      <c r="T13" s="4">
        <v>1.50378</v>
      </c>
      <c r="U13" s="4">
        <v>0.3000715</v>
      </c>
      <c r="V13" s="4">
        <v>0.3000547</v>
      </c>
      <c r="W13" s="4">
        <v>90.40075</v>
      </c>
      <c r="X13" s="4">
        <v>0.5284051</v>
      </c>
      <c r="Y13" s="4" t="s">
        <v>76</v>
      </c>
      <c r="Z13" s="4">
        <v>0.73125</v>
      </c>
      <c r="AA13" s="4">
        <v>148.7558</v>
      </c>
      <c r="AB13" s="4">
        <v>162.4711</v>
      </c>
      <c r="AC13" s="4">
        <v>0.5091869</v>
      </c>
      <c r="AD13" s="4">
        <v>153.9424</v>
      </c>
      <c r="AE13" s="7"/>
      <c r="AF13" s="7"/>
      <c r="AG13" s="7"/>
      <c r="AH13" s="7"/>
      <c r="AI13" s="7"/>
      <c r="AJ13" s="7"/>
      <c r="AK13" s="7"/>
      <c r="AL13" s="4">
        <v>0</v>
      </c>
      <c r="AM13" s="8">
        <v>0.02031836</v>
      </c>
      <c r="AN13" s="9">
        <v>61.27749</v>
      </c>
      <c r="AO13" s="10"/>
      <c r="AP13" s="11">
        <v>-79.41985</v>
      </c>
      <c r="AQ13" s="11">
        <v>0.2918837</v>
      </c>
      <c r="AR13" s="12">
        <v>0.0002918549</v>
      </c>
    </row>
    <row r="14" spans="2:47" ht="13.5" customHeight="1" x14ac:dyDescent="0.25">
      <c r="B14" s="121">
        <v>0.66666666666666696</v>
      </c>
      <c r="C14" s="20">
        <v>5.881076</v>
      </c>
      <c r="D14" s="62">
        <v>21.32162</v>
      </c>
      <c r="E14" s="4">
        <v>414.5417</v>
      </c>
      <c r="F14" s="4">
        <v>0.3381797</v>
      </c>
      <c r="G14" s="4">
        <v>0</v>
      </c>
      <c r="H14" s="5">
        <v>417.6303</v>
      </c>
      <c r="I14" s="6">
        <v>26.91334</v>
      </c>
      <c r="J14" s="4">
        <v>0.01890967</v>
      </c>
      <c r="K14" s="4">
        <v>42.12239</v>
      </c>
      <c r="L14" s="4">
        <v>1.308413</v>
      </c>
      <c r="M14" s="4">
        <v>109.885</v>
      </c>
      <c r="N14" s="4">
        <v>113.3825</v>
      </c>
      <c r="O14" s="4">
        <v>20.37062</v>
      </c>
      <c r="P14" s="4">
        <v>20.16553</v>
      </c>
      <c r="Q14" s="4"/>
      <c r="R14" s="4">
        <v>2.662964</v>
      </c>
      <c r="S14" s="4">
        <v>139.8727</v>
      </c>
      <c r="T14" s="4">
        <v>1.501881</v>
      </c>
      <c r="U14" s="4">
        <v>0.3013373</v>
      </c>
      <c r="V14" s="4">
        <v>0.2999063</v>
      </c>
      <c r="W14" s="4">
        <v>90.68287</v>
      </c>
      <c r="X14" s="4">
        <v>0.5274678</v>
      </c>
      <c r="Y14" s="4" t="s">
        <v>76</v>
      </c>
      <c r="Z14" s="4">
        <v>0.7204862</v>
      </c>
      <c r="AA14" s="4">
        <v>148.5894</v>
      </c>
      <c r="AB14" s="4">
        <v>162.5868</v>
      </c>
      <c r="AC14" s="4">
        <v>0.5848163</v>
      </c>
      <c r="AD14" s="4">
        <v>154.116</v>
      </c>
      <c r="AE14" s="7"/>
      <c r="AF14" s="7"/>
      <c r="AG14" s="7"/>
      <c r="AH14" s="7"/>
      <c r="AI14" s="7"/>
      <c r="AJ14" s="7"/>
      <c r="AK14" s="7"/>
      <c r="AL14" s="4">
        <v>0</v>
      </c>
      <c r="AM14" s="8">
        <v>0.002987305</v>
      </c>
      <c r="AN14" s="9">
        <v>61.29919</v>
      </c>
      <c r="AO14" s="10"/>
      <c r="AP14" s="11">
        <v>-79.2607</v>
      </c>
      <c r="AQ14" s="11">
        <v>0.2901476</v>
      </c>
      <c r="AR14" s="12">
        <v>0.0002910767</v>
      </c>
    </row>
    <row r="15" spans="2:47" ht="13.5" customHeight="1" x14ac:dyDescent="0.25">
      <c r="B15" s="121">
        <v>0.70833333333333304</v>
      </c>
      <c r="C15" s="20">
        <v>5.400029</v>
      </c>
      <c r="D15" s="62">
        <v>21.0178</v>
      </c>
      <c r="E15" s="4">
        <v>414.4268</v>
      </c>
      <c r="F15" s="4">
        <v>0.2758047</v>
      </c>
      <c r="G15" s="4">
        <v>0</v>
      </c>
      <c r="H15" s="5">
        <v>417.0185</v>
      </c>
      <c r="I15" s="6">
        <v>0</v>
      </c>
      <c r="J15" s="4">
        <v>0.01928125</v>
      </c>
      <c r="K15" s="4">
        <v>41.23264</v>
      </c>
      <c r="L15" s="4">
        <v>1.267723</v>
      </c>
      <c r="M15" s="4">
        <v>108.3767</v>
      </c>
      <c r="N15" s="4">
        <v>110.5469</v>
      </c>
      <c r="O15" s="4">
        <v>20.08619</v>
      </c>
      <c r="P15" s="4">
        <v>20.17676</v>
      </c>
      <c r="Q15" s="4"/>
      <c r="R15" s="4">
        <v>2.688477</v>
      </c>
      <c r="S15" s="4">
        <v>140.0969</v>
      </c>
      <c r="T15" s="4">
        <v>1.506058</v>
      </c>
      <c r="U15" s="4">
        <v>0.2954847</v>
      </c>
      <c r="V15" s="4">
        <v>0.3001015</v>
      </c>
      <c r="W15" s="4">
        <v>90.47309</v>
      </c>
      <c r="X15" s="4">
        <v>0.529774</v>
      </c>
      <c r="Y15" s="4" t="s">
        <v>76</v>
      </c>
      <c r="Z15" s="4">
        <v>0.7344329</v>
      </c>
      <c r="AA15" s="4">
        <v>148.886</v>
      </c>
      <c r="AB15" s="4">
        <v>162.5796</v>
      </c>
      <c r="AC15" s="4">
        <v>0.3620515</v>
      </c>
      <c r="AD15" s="4">
        <v>154.6875</v>
      </c>
      <c r="AE15" s="7"/>
      <c r="AF15" s="7"/>
      <c r="AG15" s="7"/>
      <c r="AH15" s="7"/>
      <c r="AI15" s="7"/>
      <c r="AJ15" s="7"/>
      <c r="AK15" s="7"/>
      <c r="AL15" s="4">
        <v>0</v>
      </c>
      <c r="AM15" s="8">
        <v>0.02197266</v>
      </c>
      <c r="AN15" s="9">
        <v>59.77647</v>
      </c>
      <c r="AO15" s="10"/>
      <c r="AP15" s="11">
        <v>-79.93345</v>
      </c>
      <c r="AQ15" s="11">
        <v>0.2972367</v>
      </c>
      <c r="AR15" s="12">
        <v>0.0002972565</v>
      </c>
    </row>
    <row r="16" spans="2:47" ht="13.5" customHeight="1" x14ac:dyDescent="0.25">
      <c r="B16" s="121">
        <v>0.75</v>
      </c>
      <c r="C16" s="20">
        <v>5.924479</v>
      </c>
      <c r="D16" s="62">
        <v>20.84418</v>
      </c>
      <c r="E16" s="4">
        <v>415.3022</v>
      </c>
      <c r="F16" s="4">
        <v>0.3282422</v>
      </c>
      <c r="G16" s="4">
        <v>0</v>
      </c>
      <c r="H16" s="5">
        <v>416.5487</v>
      </c>
      <c r="I16" s="6">
        <v>27.90075</v>
      </c>
      <c r="J16" s="4">
        <v>0.01930518</v>
      </c>
      <c r="K16" s="4">
        <v>41.93431</v>
      </c>
      <c r="L16" s="4">
        <v>1.302445</v>
      </c>
      <c r="M16" s="4">
        <v>110.8995</v>
      </c>
      <c r="N16" s="4">
        <v>113.1076</v>
      </c>
      <c r="O16" s="4">
        <v>20.03395</v>
      </c>
      <c r="P16" s="4">
        <v>20.19531</v>
      </c>
      <c r="Q16" s="4"/>
      <c r="R16" s="4">
        <v>2.714355</v>
      </c>
      <c r="S16" s="4">
        <v>140.1331</v>
      </c>
      <c r="T16" s="4">
        <v>1.505046</v>
      </c>
      <c r="U16" s="4">
        <v>0.2985097</v>
      </c>
      <c r="V16" s="4">
        <v>0.3002891</v>
      </c>
      <c r="W16" s="4">
        <v>91.00116</v>
      </c>
      <c r="X16" s="4">
        <v>0.5318609</v>
      </c>
      <c r="Y16" s="4" t="s">
        <v>76</v>
      </c>
      <c r="Z16" s="4">
        <v>0.7358797</v>
      </c>
      <c r="AA16" s="4">
        <v>150.1953</v>
      </c>
      <c r="AB16" s="4">
        <v>162.6447</v>
      </c>
      <c r="AC16" s="4">
        <v>0.5968605</v>
      </c>
      <c r="AD16" s="4">
        <v>154.2028</v>
      </c>
      <c r="AE16" s="7"/>
      <c r="AF16" s="7"/>
      <c r="AG16" s="7"/>
      <c r="AH16" s="7"/>
      <c r="AI16" s="7"/>
      <c r="AJ16" s="7"/>
      <c r="AK16" s="7"/>
      <c r="AL16" s="4">
        <v>18.96701</v>
      </c>
      <c r="AM16" s="8">
        <v>0.02472754</v>
      </c>
      <c r="AN16" s="9">
        <v>61.1726</v>
      </c>
      <c r="AO16" s="10"/>
      <c r="AP16" s="11">
        <v>-79.78154</v>
      </c>
      <c r="AQ16" s="11">
        <v>0.2786458</v>
      </c>
      <c r="AR16" s="12">
        <v>0.0002932587</v>
      </c>
    </row>
    <row r="17" spans="2:44" ht="13.5" customHeight="1" x14ac:dyDescent="0.25">
      <c r="B17" s="121">
        <v>0.79166666666666696</v>
      </c>
      <c r="C17" s="20">
        <v>6.698495</v>
      </c>
      <c r="D17" s="62">
        <v>20.45356</v>
      </c>
      <c r="E17" s="4">
        <v>415.6133</v>
      </c>
      <c r="F17" s="4">
        <v>0.3372656</v>
      </c>
      <c r="G17" s="4">
        <v>0</v>
      </c>
      <c r="H17" s="5">
        <v>416.2585</v>
      </c>
      <c r="I17" s="6">
        <v>22.12818</v>
      </c>
      <c r="J17" s="4">
        <v>0.01980859</v>
      </c>
      <c r="K17" s="4">
        <v>44.25637</v>
      </c>
      <c r="L17" s="4">
        <v>1.398835</v>
      </c>
      <c r="M17" s="4">
        <v>110.1454</v>
      </c>
      <c r="N17" s="4">
        <v>114.9957</v>
      </c>
      <c r="O17" s="4">
        <v>19.91421</v>
      </c>
      <c r="P17" s="4">
        <v>20.1792</v>
      </c>
      <c r="Q17" s="4"/>
      <c r="R17" s="4">
        <v>2.664368</v>
      </c>
      <c r="S17" s="4">
        <v>140.162</v>
      </c>
      <c r="T17" s="4">
        <v>1.507451</v>
      </c>
      <c r="U17" s="4">
        <v>0.2982829</v>
      </c>
      <c r="V17" s="4">
        <v>0.3000234</v>
      </c>
      <c r="W17" s="4">
        <v>90.32118</v>
      </c>
      <c r="X17" s="4">
        <v>0.5303225</v>
      </c>
      <c r="Y17" s="4" t="s">
        <v>76</v>
      </c>
      <c r="Z17" s="4">
        <v>0.7421876</v>
      </c>
      <c r="AA17" s="4">
        <v>148.8426</v>
      </c>
      <c r="AB17" s="4">
        <v>162.9919</v>
      </c>
      <c r="AC17" s="4">
        <v>0.6475333</v>
      </c>
      <c r="AD17" s="4">
        <v>155.5194</v>
      </c>
      <c r="AE17" s="7"/>
      <c r="AF17" s="7"/>
      <c r="AG17" s="7"/>
      <c r="AH17" s="7"/>
      <c r="AI17" s="7"/>
      <c r="AJ17" s="7"/>
      <c r="AK17" s="7"/>
      <c r="AL17" s="4">
        <v>26.93142</v>
      </c>
      <c r="AM17" s="8">
        <v>0.02517139</v>
      </c>
      <c r="AN17" s="9">
        <v>61.58131</v>
      </c>
      <c r="AO17" s="10"/>
      <c r="AP17" s="11">
        <v>-79.74537</v>
      </c>
      <c r="AQ17" s="11">
        <v>0.339048</v>
      </c>
      <c r="AR17" s="12">
        <v>0.0002912827</v>
      </c>
    </row>
    <row r="18" spans="2:44" ht="13.5" customHeight="1" x14ac:dyDescent="0.25">
      <c r="B18" s="121">
        <v>0.83333333333333404</v>
      </c>
      <c r="C18" s="23">
        <v>5.689381</v>
      </c>
      <c r="D18" s="62">
        <v>20.16059</v>
      </c>
      <c r="E18" s="13">
        <v>415.6393</v>
      </c>
      <c r="F18" s="13">
        <v>0.2675547</v>
      </c>
      <c r="G18" s="13">
        <v>0</v>
      </c>
      <c r="H18" s="14">
        <v>416.1075</v>
      </c>
      <c r="I18" s="15">
        <v>1.392506</v>
      </c>
      <c r="J18" s="13">
        <v>0.01962646</v>
      </c>
      <c r="K18" s="13">
        <v>42.60706</v>
      </c>
      <c r="L18" s="13">
        <v>1.313567</v>
      </c>
      <c r="M18" s="13">
        <v>109.6354</v>
      </c>
      <c r="N18" s="13">
        <v>115.2416</v>
      </c>
      <c r="O18" s="13">
        <v>20.08</v>
      </c>
      <c r="P18" s="13">
        <v>20.1626</v>
      </c>
      <c r="Q18" s="13"/>
      <c r="R18" s="13">
        <v>2.659546</v>
      </c>
      <c r="S18" s="13">
        <v>140.2054</v>
      </c>
      <c r="T18" s="13">
        <v>1.503147</v>
      </c>
      <c r="U18" s="13">
        <v>0.2989607</v>
      </c>
      <c r="V18" s="13">
        <v>0.2998828</v>
      </c>
      <c r="W18" s="13">
        <v>90.32118</v>
      </c>
      <c r="X18" s="13">
        <v>0.5294133</v>
      </c>
      <c r="Y18" s="13">
        <v>0.5302765</v>
      </c>
      <c r="Z18" s="13">
        <v>0.7316551</v>
      </c>
      <c r="AA18" s="13">
        <v>149.2477</v>
      </c>
      <c r="AB18" s="13">
        <v>162.9051</v>
      </c>
      <c r="AC18" s="13">
        <v>0.557364</v>
      </c>
      <c r="AD18" s="13">
        <v>154.9407</v>
      </c>
      <c r="AE18" s="16">
        <v>33.38</v>
      </c>
      <c r="AF18" s="16"/>
      <c r="AG18" s="16"/>
      <c r="AH18" s="16">
        <v>16.46</v>
      </c>
      <c r="AI18" s="16"/>
      <c r="AJ18" s="16"/>
      <c r="AK18" s="16">
        <v>7.21</v>
      </c>
      <c r="AL18" s="13">
        <v>1.671007</v>
      </c>
      <c r="AM18" s="17">
        <v>0.02475439</v>
      </c>
      <c r="AN18" s="18">
        <v>60.41305</v>
      </c>
      <c r="AO18" s="10"/>
      <c r="AP18" s="11">
        <v>-79.78877</v>
      </c>
      <c r="AQ18" s="11">
        <v>0.2766204</v>
      </c>
      <c r="AR18" s="19">
        <v>0.0002920685</v>
      </c>
    </row>
    <row r="19" spans="2:44" ht="18" customHeight="1" x14ac:dyDescent="0.25">
      <c r="B19" s="143" t="s">
        <v>175</v>
      </c>
      <c r="C19" s="80" t="s">
        <v>162</v>
      </c>
      <c r="D19" s="72" t="s">
        <v>165</v>
      </c>
      <c r="E19" s="124" t="s">
        <v>17</v>
      </c>
      <c r="F19" s="129"/>
      <c r="G19" s="129"/>
      <c r="H19" s="128" t="s">
        <v>102</v>
      </c>
      <c r="I19" s="129"/>
      <c r="J19" s="129"/>
      <c r="K19" s="129"/>
      <c r="L19" s="129"/>
      <c r="M19" s="128" t="s">
        <v>117</v>
      </c>
      <c r="N19" s="129"/>
      <c r="O19" s="129"/>
      <c r="P19" s="129"/>
      <c r="Q19" s="129"/>
      <c r="R19" s="128" t="s">
        <v>141</v>
      </c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 t="s">
        <v>22</v>
      </c>
      <c r="AH19" s="129"/>
      <c r="AI19" s="126" t="s">
        <v>167</v>
      </c>
      <c r="AJ19" s="168"/>
      <c r="AK19" s="168"/>
      <c r="AL19" s="168"/>
      <c r="AM19" s="168"/>
      <c r="AN19" s="129" t="s">
        <v>42</v>
      </c>
      <c r="AO19" s="130"/>
      <c r="AP19" s="129" t="s">
        <v>174</v>
      </c>
      <c r="AQ19" s="130"/>
      <c r="AR19" s="162"/>
    </row>
    <row r="20" spans="2:44" ht="20.15" customHeight="1" x14ac:dyDescent="0.25">
      <c r="B20" s="136"/>
      <c r="C20" s="80" t="s">
        <v>163</v>
      </c>
      <c r="D20" s="72" t="s">
        <v>107</v>
      </c>
      <c r="E20" s="72" t="s">
        <v>15</v>
      </c>
      <c r="F20" s="128" t="s">
        <v>94</v>
      </c>
      <c r="G20" s="129"/>
      <c r="H20" s="86" t="s">
        <v>97</v>
      </c>
      <c r="I20" s="86" t="s">
        <v>99</v>
      </c>
      <c r="J20" s="83" t="s">
        <v>100</v>
      </c>
      <c r="K20" s="77" t="s">
        <v>101</v>
      </c>
      <c r="L20" s="86" t="s">
        <v>109</v>
      </c>
      <c r="M20" s="86" t="s">
        <v>110</v>
      </c>
      <c r="N20" s="86" t="s">
        <v>112</v>
      </c>
      <c r="O20" s="72" t="s">
        <v>221</v>
      </c>
      <c r="P20" s="72" t="s">
        <v>222</v>
      </c>
      <c r="Q20" s="72" t="s">
        <v>116</v>
      </c>
      <c r="R20" s="72" t="s">
        <v>118</v>
      </c>
      <c r="S20" s="86" t="s">
        <v>120</v>
      </c>
      <c r="T20" s="87" t="s">
        <v>135</v>
      </c>
      <c r="U20" s="86" t="s">
        <v>138</v>
      </c>
      <c r="V20" s="88" t="s">
        <v>125</v>
      </c>
      <c r="W20" s="88" t="s">
        <v>123</v>
      </c>
      <c r="X20" s="87" t="s">
        <v>136</v>
      </c>
      <c r="Y20" s="86" t="s">
        <v>137</v>
      </c>
      <c r="Z20" s="88" t="s">
        <v>127</v>
      </c>
      <c r="AA20" s="88" t="s">
        <v>128</v>
      </c>
      <c r="AB20" s="87" t="s">
        <v>133</v>
      </c>
      <c r="AC20" s="71" t="s">
        <v>139</v>
      </c>
      <c r="AD20" s="129" t="s">
        <v>142</v>
      </c>
      <c r="AE20" s="129"/>
      <c r="AF20" s="71" t="s">
        <v>145</v>
      </c>
      <c r="AG20" s="71" t="s">
        <v>147</v>
      </c>
      <c r="AH20" s="71" t="s">
        <v>149</v>
      </c>
      <c r="AI20" s="138" t="s">
        <v>83</v>
      </c>
      <c r="AJ20" s="126"/>
      <c r="AK20" s="138" t="s">
        <v>86</v>
      </c>
      <c r="AL20" s="126"/>
      <c r="AM20" s="75" t="s">
        <v>166</v>
      </c>
      <c r="AN20" s="71" t="s">
        <v>12</v>
      </c>
      <c r="AO20" s="71" t="s">
        <v>15</v>
      </c>
      <c r="AP20" s="71" t="s">
        <v>34</v>
      </c>
      <c r="AQ20" s="71" t="s">
        <v>33</v>
      </c>
      <c r="AR20" s="118" t="s">
        <v>172</v>
      </c>
    </row>
    <row r="21" spans="2:44" ht="22" customHeight="1" x14ac:dyDescent="0.25">
      <c r="B21" s="136"/>
      <c r="C21" s="81" t="s">
        <v>164</v>
      </c>
      <c r="D21" s="72" t="s">
        <v>108</v>
      </c>
      <c r="E21" s="77" t="s">
        <v>93</v>
      </c>
      <c r="F21" s="72" t="s">
        <v>95</v>
      </c>
      <c r="G21" s="86" t="s">
        <v>96</v>
      </c>
      <c r="H21" s="86" t="s">
        <v>98</v>
      </c>
      <c r="I21" s="86" t="s">
        <v>98</v>
      </c>
      <c r="J21" s="86" t="s">
        <v>98</v>
      </c>
      <c r="K21" s="86" t="s">
        <v>98</v>
      </c>
      <c r="L21" s="86" t="s">
        <v>76</v>
      </c>
      <c r="M21" s="86" t="s">
        <v>111</v>
      </c>
      <c r="N21" s="86" t="s">
        <v>113</v>
      </c>
      <c r="O21" s="86" t="s">
        <v>114</v>
      </c>
      <c r="P21" s="86" t="s">
        <v>115</v>
      </c>
      <c r="Q21" s="72" t="s">
        <v>21</v>
      </c>
      <c r="R21" s="72" t="s">
        <v>119</v>
      </c>
      <c r="S21" s="89" t="s">
        <v>121</v>
      </c>
      <c r="T21" s="87" t="s">
        <v>114</v>
      </c>
      <c r="U21" s="86" t="s">
        <v>122</v>
      </c>
      <c r="V21" s="88" t="s">
        <v>126</v>
      </c>
      <c r="W21" s="88" t="s">
        <v>124</v>
      </c>
      <c r="X21" s="87" t="s">
        <v>129</v>
      </c>
      <c r="Y21" s="86" t="s">
        <v>130</v>
      </c>
      <c r="Z21" s="88" t="s">
        <v>131</v>
      </c>
      <c r="AA21" s="88" t="s">
        <v>132</v>
      </c>
      <c r="AB21" s="87" t="s">
        <v>134</v>
      </c>
      <c r="AC21" s="71" t="s">
        <v>140</v>
      </c>
      <c r="AD21" s="71" t="s">
        <v>143</v>
      </c>
      <c r="AE21" s="71" t="s">
        <v>144</v>
      </c>
      <c r="AF21" s="71" t="s">
        <v>146</v>
      </c>
      <c r="AG21" s="71" t="s">
        <v>148</v>
      </c>
      <c r="AH21" s="71" t="s">
        <v>150</v>
      </c>
      <c r="AI21" s="73" t="s">
        <v>84</v>
      </c>
      <c r="AJ21" s="73" t="s">
        <v>85</v>
      </c>
      <c r="AK21" s="73" t="s">
        <v>87</v>
      </c>
      <c r="AL21" s="79" t="s">
        <v>88</v>
      </c>
      <c r="AM21" s="79" t="s">
        <v>88</v>
      </c>
      <c r="AN21" s="71" t="s">
        <v>168</v>
      </c>
      <c r="AO21" s="71" t="s">
        <v>169</v>
      </c>
      <c r="AP21" s="71" t="s">
        <v>170</v>
      </c>
      <c r="AQ21" s="71" t="s">
        <v>171</v>
      </c>
      <c r="AR21" s="118" t="s">
        <v>173</v>
      </c>
    </row>
    <row r="22" spans="2:44" ht="13.5" customHeight="1" x14ac:dyDescent="0.25">
      <c r="B22" s="121">
        <v>0.33333333333333331</v>
      </c>
      <c r="C22" s="82">
        <v>-79.62963</v>
      </c>
      <c r="D22" s="62">
        <v>-80.44705</v>
      </c>
      <c r="E22" s="62">
        <v>103.1286</v>
      </c>
      <c r="F22" s="62">
        <v>0.04868345</v>
      </c>
      <c r="G22" s="62"/>
      <c r="H22" s="62"/>
      <c r="I22" s="62"/>
      <c r="J22" s="62"/>
      <c r="K22" s="62"/>
      <c r="L22" s="63"/>
      <c r="M22" s="82">
        <v>81.15234</v>
      </c>
      <c r="N22" s="62">
        <v>47.19329</v>
      </c>
      <c r="O22" s="62">
        <v>39.5</v>
      </c>
      <c r="P22" s="62">
        <v>22</v>
      </c>
      <c r="Q22" s="62">
        <v>3.584201</v>
      </c>
      <c r="R22" s="62">
        <v>20.61632</v>
      </c>
      <c r="S22" s="84">
        <v>94.13701</v>
      </c>
      <c r="T22" s="84">
        <v>41</v>
      </c>
      <c r="U22" s="84">
        <v>83.94151</v>
      </c>
      <c r="V22" s="84">
        <v>17.27973</v>
      </c>
      <c r="W22" s="84">
        <v>20.14974</v>
      </c>
      <c r="X22" s="84">
        <v>32</v>
      </c>
      <c r="Y22" s="84">
        <v>0</v>
      </c>
      <c r="Z22" s="84">
        <v>17.56547</v>
      </c>
      <c r="AA22" s="84">
        <v>99.9132</v>
      </c>
      <c r="AB22" s="84"/>
      <c r="AC22" s="66"/>
      <c r="AD22" s="66">
        <v>1.548231</v>
      </c>
      <c r="AE22" s="66"/>
      <c r="AF22" s="66">
        <v>20.94184</v>
      </c>
      <c r="AG22" s="66">
        <v>17.87833</v>
      </c>
      <c r="AH22" s="66"/>
      <c r="AI22" s="85">
        <v>5.84</v>
      </c>
      <c r="AJ22" s="85"/>
      <c r="AK22" s="85"/>
      <c r="AL22" s="85"/>
      <c r="AM22" s="85"/>
      <c r="AN22" s="66">
        <v>51.17188</v>
      </c>
      <c r="AO22" s="67">
        <v>50</v>
      </c>
      <c r="AP22" s="68">
        <v>24.02525</v>
      </c>
      <c r="AQ22" s="69">
        <v>39.11675</v>
      </c>
      <c r="AR22" s="70">
        <v>0.08680725</v>
      </c>
    </row>
    <row r="23" spans="2:44" ht="13.5" customHeight="1" x14ac:dyDescent="0.25">
      <c r="B23" s="121">
        <v>0.375</v>
      </c>
      <c r="C23" s="20">
        <v>-79.60069</v>
      </c>
      <c r="D23" s="4">
        <v>-80.48322</v>
      </c>
      <c r="E23" s="4">
        <v>103.125</v>
      </c>
      <c r="F23" s="4">
        <v>0.0718316</v>
      </c>
      <c r="G23" s="4">
        <v>9.311485E-05</v>
      </c>
      <c r="H23" s="4"/>
      <c r="I23" s="4"/>
      <c r="J23" s="4"/>
      <c r="K23" s="4"/>
      <c r="L23" s="5"/>
      <c r="M23" s="20">
        <v>79.1088</v>
      </c>
      <c r="N23" s="4">
        <v>47.52242</v>
      </c>
      <c r="O23" s="4">
        <v>39.5</v>
      </c>
      <c r="P23" s="4">
        <v>22</v>
      </c>
      <c r="Q23" s="4">
        <v>3.447049</v>
      </c>
      <c r="R23" s="62">
        <v>20.38484</v>
      </c>
      <c r="S23" s="21">
        <v>94.27807</v>
      </c>
      <c r="T23" s="21">
        <v>39</v>
      </c>
      <c r="U23" s="21">
        <v>80.1237</v>
      </c>
      <c r="V23" s="84">
        <v>16.95421</v>
      </c>
      <c r="W23" s="21">
        <v>19.79167</v>
      </c>
      <c r="X23" s="21">
        <v>32</v>
      </c>
      <c r="Y23" s="21">
        <v>0</v>
      </c>
      <c r="Z23" s="21">
        <v>19.72837</v>
      </c>
      <c r="AA23" s="21">
        <v>76.28039</v>
      </c>
      <c r="AB23" s="21"/>
      <c r="AC23" s="8"/>
      <c r="AD23" s="8">
        <v>1.54834</v>
      </c>
      <c r="AE23" s="8">
        <v>0.001548462</v>
      </c>
      <c r="AF23" s="8">
        <v>20.58738</v>
      </c>
      <c r="AG23" s="8">
        <v>19.46614</v>
      </c>
      <c r="AH23" s="8">
        <v>624.5</v>
      </c>
      <c r="AI23" s="22"/>
      <c r="AJ23" s="22"/>
      <c r="AK23" s="22"/>
      <c r="AL23" s="22"/>
      <c r="AM23" s="22"/>
      <c r="AN23" s="8">
        <v>57.02401</v>
      </c>
      <c r="AO23" s="9">
        <v>50</v>
      </c>
      <c r="AP23" s="10">
        <v>24.24226</v>
      </c>
      <c r="AQ23" s="11">
        <v>39.3844</v>
      </c>
      <c r="AR23" s="12">
        <v>0.09766388</v>
      </c>
    </row>
    <row r="24" spans="2:44" ht="13.5" customHeight="1" x14ac:dyDescent="0.25">
      <c r="B24" s="121">
        <v>0.41666666666666702</v>
      </c>
      <c r="C24" s="20">
        <v>-79.44878</v>
      </c>
      <c r="D24" s="4">
        <v>-80.35301</v>
      </c>
      <c r="E24" s="4">
        <v>103.1322</v>
      </c>
      <c r="F24" s="4">
        <v>0.1030816</v>
      </c>
      <c r="G24" s="4">
        <v>8.786964E-05</v>
      </c>
      <c r="H24" s="4"/>
      <c r="I24" s="4"/>
      <c r="J24" s="4"/>
      <c r="K24" s="4"/>
      <c r="L24" s="5"/>
      <c r="M24" s="20">
        <v>77.85011</v>
      </c>
      <c r="N24" s="4">
        <v>47.59114</v>
      </c>
      <c r="O24" s="4">
        <v>39.5</v>
      </c>
      <c r="P24" s="4">
        <v>22</v>
      </c>
      <c r="Q24" s="4">
        <v>3.406684</v>
      </c>
      <c r="R24" s="62">
        <v>20.18229</v>
      </c>
      <c r="S24" s="21">
        <v>95.06655</v>
      </c>
      <c r="T24" s="21">
        <v>38.6</v>
      </c>
      <c r="U24" s="21">
        <v>78.60442</v>
      </c>
      <c r="V24" s="84">
        <v>16.69379</v>
      </c>
      <c r="W24" s="21">
        <v>19.5855</v>
      </c>
      <c r="X24" s="21">
        <v>32</v>
      </c>
      <c r="Y24" s="21">
        <v>0</v>
      </c>
      <c r="Z24" s="21">
        <v>21.07747</v>
      </c>
      <c r="AA24" s="21">
        <v>70.92557</v>
      </c>
      <c r="AB24" s="21"/>
      <c r="AC24" s="8"/>
      <c r="AD24" s="8">
        <v>1.548394</v>
      </c>
      <c r="AE24" s="8">
        <v>0.001548065</v>
      </c>
      <c r="AF24" s="8">
        <v>20.99609</v>
      </c>
      <c r="AG24" s="8">
        <v>23.93663</v>
      </c>
      <c r="AH24" s="8">
        <v>532.5</v>
      </c>
      <c r="AI24" s="22"/>
      <c r="AJ24" s="22"/>
      <c r="AK24" s="22"/>
      <c r="AL24" s="22"/>
      <c r="AM24" s="22"/>
      <c r="AN24" s="8">
        <v>56.98061</v>
      </c>
      <c r="AO24" s="9">
        <v>50</v>
      </c>
      <c r="AP24" s="10">
        <v>24.34172</v>
      </c>
      <c r="AQ24" s="11">
        <v>39.31207</v>
      </c>
      <c r="AR24" s="12">
        <v>0.08680725</v>
      </c>
    </row>
    <row r="25" spans="2:44" ht="13.5" customHeight="1" x14ac:dyDescent="0.25">
      <c r="B25" s="121">
        <v>0.45833333333333298</v>
      </c>
      <c r="C25" s="20">
        <v>-79.62963</v>
      </c>
      <c r="D25" s="4">
        <v>-80.61343</v>
      </c>
      <c r="E25" s="4">
        <v>103.1322</v>
      </c>
      <c r="F25" s="4">
        <v>0.09714989</v>
      </c>
      <c r="G25" s="4">
        <v>9.495735E-05</v>
      </c>
      <c r="H25" s="4"/>
      <c r="I25" s="4"/>
      <c r="J25" s="4"/>
      <c r="K25" s="4"/>
      <c r="L25" s="5"/>
      <c r="M25" s="20">
        <v>77.6548</v>
      </c>
      <c r="N25" s="4">
        <v>47.74305</v>
      </c>
      <c r="O25" s="4">
        <v>39.5</v>
      </c>
      <c r="P25" s="4">
        <v>22</v>
      </c>
      <c r="Q25" s="4">
        <v>3.261285</v>
      </c>
      <c r="R25" s="62">
        <v>19.88571</v>
      </c>
      <c r="S25" s="21">
        <v>93.35938</v>
      </c>
      <c r="T25" s="21">
        <v>38.6</v>
      </c>
      <c r="U25" s="21">
        <v>78.73336</v>
      </c>
      <c r="V25" s="84">
        <v>16.352</v>
      </c>
      <c r="W25" s="21">
        <v>19.40104</v>
      </c>
      <c r="X25" s="21">
        <v>32</v>
      </c>
      <c r="Y25" s="21">
        <v>0</v>
      </c>
      <c r="Z25" s="21">
        <v>22.21137</v>
      </c>
      <c r="AA25" s="21">
        <v>67.4642</v>
      </c>
      <c r="AB25" s="21"/>
      <c r="AC25" s="8"/>
      <c r="AD25" s="8">
        <v>1.548448</v>
      </c>
      <c r="AE25" s="8">
        <v>0.001541412</v>
      </c>
      <c r="AF25" s="8">
        <v>21.25289</v>
      </c>
      <c r="AG25" s="8">
        <v>24.30194</v>
      </c>
      <c r="AH25" s="8">
        <v>238.1</v>
      </c>
      <c r="AI25" s="22"/>
      <c r="AJ25" s="22"/>
      <c r="AK25" s="22"/>
      <c r="AL25" s="22"/>
      <c r="AM25" s="22"/>
      <c r="AN25" s="8">
        <v>55.72193</v>
      </c>
      <c r="AO25" s="9">
        <v>50</v>
      </c>
      <c r="AP25" s="10">
        <v>24.50448</v>
      </c>
      <c r="AQ25" s="11">
        <v>39.31568</v>
      </c>
      <c r="AR25" s="12">
        <v>0.1085129</v>
      </c>
    </row>
    <row r="26" spans="2:44" ht="13.5" customHeight="1" x14ac:dyDescent="0.25">
      <c r="B26" s="121">
        <v>0.5</v>
      </c>
      <c r="C26" s="20">
        <v>-79.49219</v>
      </c>
      <c r="D26" s="4">
        <v>-80.42535</v>
      </c>
      <c r="E26" s="4">
        <v>103.1358</v>
      </c>
      <c r="F26" s="4">
        <v>0.0766059</v>
      </c>
      <c r="G26" s="4">
        <v>9.080124E-05</v>
      </c>
      <c r="H26" s="4"/>
      <c r="I26" s="4"/>
      <c r="J26" s="4"/>
      <c r="K26" s="4"/>
      <c r="L26" s="5"/>
      <c r="M26" s="20">
        <v>77.53183</v>
      </c>
      <c r="N26" s="4">
        <v>47.52242</v>
      </c>
      <c r="O26" s="4">
        <v>39.5</v>
      </c>
      <c r="P26" s="4">
        <v>22</v>
      </c>
      <c r="Q26" s="4">
        <v>3.491319</v>
      </c>
      <c r="R26" s="62">
        <v>19.89656</v>
      </c>
      <c r="S26" s="21">
        <v>93.24363</v>
      </c>
      <c r="T26" s="21">
        <v>38</v>
      </c>
      <c r="U26" s="21">
        <v>77.25893</v>
      </c>
      <c r="V26" s="84">
        <v>16.41168</v>
      </c>
      <c r="W26" s="21">
        <v>19.477</v>
      </c>
      <c r="X26" s="21">
        <v>32</v>
      </c>
      <c r="Y26" s="21">
        <v>0</v>
      </c>
      <c r="Z26" s="21">
        <v>23.19517</v>
      </c>
      <c r="AA26" s="21">
        <v>64.58876</v>
      </c>
      <c r="AB26" s="21"/>
      <c r="AC26" s="8"/>
      <c r="AD26" s="8">
        <v>1.548394</v>
      </c>
      <c r="AE26" s="8">
        <v>0.001526794</v>
      </c>
      <c r="AF26" s="8">
        <v>21.23481</v>
      </c>
      <c r="AG26" s="8">
        <v>26.75781</v>
      </c>
      <c r="AH26" s="8"/>
      <c r="AI26" s="22"/>
      <c r="AJ26" s="22"/>
      <c r="AK26" s="22"/>
      <c r="AL26" s="22"/>
      <c r="AM26" s="22"/>
      <c r="AN26" s="8">
        <v>54.31134</v>
      </c>
      <c r="AO26" s="9">
        <v>50</v>
      </c>
      <c r="AP26" s="10">
        <v>24.84809</v>
      </c>
      <c r="AQ26" s="11">
        <v>39.13484</v>
      </c>
      <c r="AR26" s="12">
        <v>0.09766388</v>
      </c>
    </row>
    <row r="27" spans="2:44" ht="13.5" customHeight="1" x14ac:dyDescent="0.25">
      <c r="B27" s="121">
        <v>0.54166666666666596</v>
      </c>
      <c r="C27" s="20">
        <v>-79.5573</v>
      </c>
      <c r="D27" s="4">
        <v>-80.36024</v>
      </c>
      <c r="E27" s="4">
        <v>103.1358</v>
      </c>
      <c r="F27" s="4">
        <v>0.08463541</v>
      </c>
      <c r="G27" s="4">
        <v>9.283638E-05</v>
      </c>
      <c r="H27" s="4"/>
      <c r="I27" s="4"/>
      <c r="J27" s="4"/>
      <c r="K27" s="4"/>
      <c r="L27" s="5"/>
      <c r="M27" s="20">
        <v>77.41247</v>
      </c>
      <c r="N27" s="4">
        <v>47.71412</v>
      </c>
      <c r="O27" s="4">
        <v>39.5</v>
      </c>
      <c r="P27" s="4">
        <v>22</v>
      </c>
      <c r="Q27" s="4">
        <v>3.483073</v>
      </c>
      <c r="R27" s="62">
        <v>19.87124</v>
      </c>
      <c r="S27" s="21">
        <v>91.57986</v>
      </c>
      <c r="T27" s="21">
        <v>38</v>
      </c>
      <c r="U27" s="21">
        <v>77.34863</v>
      </c>
      <c r="V27" s="84">
        <v>16.15668</v>
      </c>
      <c r="W27" s="21">
        <v>19.31966</v>
      </c>
      <c r="X27" s="21">
        <v>32</v>
      </c>
      <c r="Y27" s="21">
        <v>0</v>
      </c>
      <c r="Z27" s="21">
        <v>24.0795</v>
      </c>
      <c r="AA27" s="21">
        <v>62.26129</v>
      </c>
      <c r="AB27" s="21"/>
      <c r="AC27" s="8"/>
      <c r="AD27" s="8">
        <v>0</v>
      </c>
      <c r="AE27" s="8">
        <v>0.001263611</v>
      </c>
      <c r="AF27" s="8">
        <v>21.29991</v>
      </c>
      <c r="AG27" s="8">
        <v>0.5208333</v>
      </c>
      <c r="AH27" s="8"/>
      <c r="AI27" s="22"/>
      <c r="AJ27" s="22"/>
      <c r="AK27" s="22"/>
      <c r="AL27" s="22"/>
      <c r="AM27" s="22"/>
      <c r="AN27" s="8">
        <v>53.04543</v>
      </c>
      <c r="AO27" s="9">
        <v>50</v>
      </c>
      <c r="AP27" s="10">
        <v>25.07415</v>
      </c>
      <c r="AQ27" s="11">
        <v>39.97034</v>
      </c>
      <c r="AR27" s="12">
        <v>0.07595825</v>
      </c>
    </row>
    <row r="28" spans="2:44" ht="13.5" customHeight="1" x14ac:dyDescent="0.25">
      <c r="B28" s="121">
        <v>0.58333333333333304</v>
      </c>
      <c r="C28" s="20">
        <v>-79.00752</v>
      </c>
      <c r="D28" s="4">
        <v>-79.78154</v>
      </c>
      <c r="E28" s="4">
        <v>103.1322</v>
      </c>
      <c r="F28" s="4">
        <v>0.09881366</v>
      </c>
      <c r="G28" s="4">
        <v>9.028244E-05</v>
      </c>
      <c r="H28" s="4"/>
      <c r="I28" s="4"/>
      <c r="J28" s="4"/>
      <c r="K28" s="4"/>
      <c r="L28" s="5"/>
      <c r="M28" s="20">
        <v>77.34375</v>
      </c>
      <c r="N28" s="4">
        <v>47.58391</v>
      </c>
      <c r="O28" s="4">
        <v>39.5</v>
      </c>
      <c r="P28" s="4">
        <v>22</v>
      </c>
      <c r="Q28" s="4">
        <v>3.365017</v>
      </c>
      <c r="R28" s="62">
        <v>20.3342</v>
      </c>
      <c r="S28" s="21">
        <v>90.6467</v>
      </c>
      <c r="T28" s="21">
        <v>15</v>
      </c>
      <c r="U28" s="21">
        <v>7.187139</v>
      </c>
      <c r="V28" s="84">
        <v>16.23264</v>
      </c>
      <c r="W28" s="21">
        <v>107.9698</v>
      </c>
      <c r="X28" s="21">
        <v>30</v>
      </c>
      <c r="Y28" s="21">
        <v>81.27296</v>
      </c>
      <c r="Z28" s="21">
        <v>17.16218</v>
      </c>
      <c r="AA28" s="21">
        <v>20.09006</v>
      </c>
      <c r="AB28" s="21"/>
      <c r="AC28" s="8"/>
      <c r="AD28" s="8">
        <v>1.548286</v>
      </c>
      <c r="AE28" s="8">
        <v>0.0007105102</v>
      </c>
      <c r="AF28" s="8">
        <v>20.91652</v>
      </c>
      <c r="AG28" s="8">
        <v>15.04991</v>
      </c>
      <c r="AH28" s="8"/>
      <c r="AI28" s="22"/>
      <c r="AJ28" s="22"/>
      <c r="AK28" s="22"/>
      <c r="AL28" s="22"/>
      <c r="AM28" s="22"/>
      <c r="AN28" s="8">
        <v>52.85735</v>
      </c>
      <c r="AO28" s="9">
        <v>50</v>
      </c>
      <c r="AP28" s="10">
        <v>25.3002</v>
      </c>
      <c r="AQ28" s="11">
        <v>39.72078</v>
      </c>
      <c r="AR28" s="12">
        <v>0.07595825</v>
      </c>
    </row>
    <row r="29" spans="2:44" ht="13.5" customHeight="1" x14ac:dyDescent="0.25">
      <c r="B29" s="121">
        <v>0.625</v>
      </c>
      <c r="C29" s="20">
        <v>-79.41985</v>
      </c>
      <c r="D29" s="4">
        <v>-80.15047</v>
      </c>
      <c r="E29" s="4">
        <v>103.1358</v>
      </c>
      <c r="F29" s="4">
        <v>0.08210359</v>
      </c>
      <c r="G29" s="4">
        <v>8.911705E-05</v>
      </c>
      <c r="H29" s="4"/>
      <c r="I29" s="4"/>
      <c r="J29" s="4"/>
      <c r="K29" s="4"/>
      <c r="L29" s="5"/>
      <c r="M29" s="20">
        <v>77.56438</v>
      </c>
      <c r="N29" s="4">
        <v>48.11921</v>
      </c>
      <c r="O29" s="4">
        <v>39.5</v>
      </c>
      <c r="P29" s="4">
        <v>22</v>
      </c>
      <c r="Q29" s="4">
        <v>2.684028</v>
      </c>
      <c r="R29" s="62">
        <v>19.74465</v>
      </c>
      <c r="S29" s="21">
        <v>91.06626</v>
      </c>
      <c r="T29" s="21">
        <v>15</v>
      </c>
      <c r="U29" s="21">
        <v>0</v>
      </c>
      <c r="V29" s="84">
        <v>14.56706</v>
      </c>
      <c r="W29" s="21">
        <v>75.73785</v>
      </c>
      <c r="X29" s="21">
        <v>26.5</v>
      </c>
      <c r="Y29" s="21">
        <v>80.15173</v>
      </c>
      <c r="Z29" s="21">
        <v>16.51657</v>
      </c>
      <c r="AA29" s="21">
        <v>18.97244</v>
      </c>
      <c r="AB29" s="21"/>
      <c r="AC29" s="8"/>
      <c r="AD29" s="8">
        <v>0</v>
      </c>
      <c r="AE29" s="8">
        <v>0.0009381714</v>
      </c>
      <c r="AF29" s="8">
        <v>21.47352</v>
      </c>
      <c r="AG29" s="8">
        <v>16.44242</v>
      </c>
      <c r="AH29" s="8"/>
      <c r="AI29" s="22"/>
      <c r="AJ29" s="22"/>
      <c r="AK29" s="22"/>
      <c r="AL29" s="22"/>
      <c r="AM29" s="22"/>
      <c r="AN29" s="8">
        <v>46.14439</v>
      </c>
      <c r="AO29" s="9">
        <v>50</v>
      </c>
      <c r="AP29" s="10">
        <v>25.57147</v>
      </c>
      <c r="AQ29" s="11">
        <v>39.98481</v>
      </c>
      <c r="AR29" s="12">
        <v>0.07595825</v>
      </c>
    </row>
    <row r="30" spans="2:44" ht="13.5" customHeight="1" x14ac:dyDescent="0.25">
      <c r="B30" s="121">
        <v>0.66666666666666596</v>
      </c>
      <c r="C30" s="20">
        <v>-79.2607</v>
      </c>
      <c r="D30" s="4">
        <v>-79.85388</v>
      </c>
      <c r="E30" s="4">
        <v>103.1322</v>
      </c>
      <c r="F30" s="4">
        <v>0.07841435</v>
      </c>
      <c r="G30" s="4">
        <v>9.15451E-05</v>
      </c>
      <c r="H30" s="4"/>
      <c r="I30" s="4"/>
      <c r="J30" s="4"/>
      <c r="K30" s="4"/>
      <c r="L30" s="5"/>
      <c r="M30" s="20">
        <v>77.61863</v>
      </c>
      <c r="N30" s="4">
        <v>47.37775</v>
      </c>
      <c r="O30" s="4">
        <v>39.5</v>
      </c>
      <c r="P30" s="4">
        <v>22</v>
      </c>
      <c r="Q30" s="4">
        <v>3.055122</v>
      </c>
      <c r="R30" s="62">
        <v>18.9851</v>
      </c>
      <c r="S30" s="21">
        <v>90.92882</v>
      </c>
      <c r="T30" s="21">
        <v>15</v>
      </c>
      <c r="U30" s="21">
        <v>0</v>
      </c>
      <c r="V30" s="84">
        <v>16.80773</v>
      </c>
      <c r="W30" s="21">
        <v>61.93034</v>
      </c>
      <c r="X30" s="21">
        <v>26.3</v>
      </c>
      <c r="Y30" s="21">
        <v>71.92184</v>
      </c>
      <c r="Z30" s="21">
        <v>15.75159</v>
      </c>
      <c r="AA30" s="21">
        <v>18.03386</v>
      </c>
      <c r="AB30" s="21"/>
      <c r="AC30" s="8"/>
      <c r="AD30" s="8">
        <v>0</v>
      </c>
      <c r="AE30" s="8">
        <v>0.0007642517</v>
      </c>
      <c r="AF30" s="8">
        <v>20.85865</v>
      </c>
      <c r="AG30" s="8">
        <v>20.3776</v>
      </c>
      <c r="AH30" s="8"/>
      <c r="AI30" s="22"/>
      <c r="AJ30" s="22"/>
      <c r="AK30" s="22"/>
      <c r="AL30" s="22"/>
      <c r="AM30" s="22"/>
      <c r="AN30" s="8">
        <v>41.99219</v>
      </c>
      <c r="AO30" s="9">
        <v>50</v>
      </c>
      <c r="AP30" s="10">
        <v>25.90603</v>
      </c>
      <c r="AQ30" s="11">
        <v>39.9197</v>
      </c>
      <c r="AR30" s="12">
        <v>0.07595825</v>
      </c>
    </row>
    <row r="31" spans="2:44" ht="13.5" customHeight="1" x14ac:dyDescent="0.25">
      <c r="B31" s="121">
        <v>0.70833333333333304</v>
      </c>
      <c r="C31" s="20">
        <v>-79.93345</v>
      </c>
      <c r="D31" s="4">
        <v>-80.46875</v>
      </c>
      <c r="E31" s="4">
        <v>103.1322</v>
      </c>
      <c r="F31" s="4">
        <v>0.1045284</v>
      </c>
      <c r="G31" s="4">
        <v>8.732605E-05</v>
      </c>
      <c r="H31" s="4"/>
      <c r="I31" s="4"/>
      <c r="J31" s="4"/>
      <c r="K31" s="4"/>
      <c r="L31" s="5"/>
      <c r="M31" s="20">
        <v>77.67651</v>
      </c>
      <c r="N31" s="4">
        <v>47.57306</v>
      </c>
      <c r="O31" s="4">
        <v>39.5</v>
      </c>
      <c r="P31" s="4">
        <v>22</v>
      </c>
      <c r="Q31" s="4">
        <v>3.188802</v>
      </c>
      <c r="R31" s="62">
        <v>18.54384</v>
      </c>
      <c r="S31" s="21">
        <v>90.55627</v>
      </c>
      <c r="T31" s="21">
        <v>15</v>
      </c>
      <c r="U31" s="21">
        <v>0</v>
      </c>
      <c r="V31" s="84">
        <v>17.94705</v>
      </c>
      <c r="W31" s="21">
        <v>53.50478</v>
      </c>
      <c r="X31" s="21">
        <v>26.3</v>
      </c>
      <c r="Y31" s="21">
        <v>71.50137</v>
      </c>
      <c r="Z31" s="21">
        <v>15.3031</v>
      </c>
      <c r="AA31" s="21">
        <v>17.65951</v>
      </c>
      <c r="AB31" s="21"/>
      <c r="AC31" s="8"/>
      <c r="AD31" s="8">
        <v>1.548286</v>
      </c>
      <c r="AE31" s="8">
        <v>0.0009148254</v>
      </c>
      <c r="AF31" s="8">
        <v>21.23481</v>
      </c>
      <c r="AG31" s="8">
        <v>34.26287</v>
      </c>
      <c r="AH31" s="8"/>
      <c r="AI31" s="22"/>
      <c r="AJ31" s="22"/>
      <c r="AK31" s="22"/>
      <c r="AL31" s="22"/>
      <c r="AM31" s="22"/>
      <c r="AN31" s="8">
        <v>40.66117</v>
      </c>
      <c r="AO31" s="9">
        <v>50</v>
      </c>
      <c r="AP31" s="10">
        <v>26.23155</v>
      </c>
      <c r="AQ31" s="11">
        <v>39.5544</v>
      </c>
      <c r="AR31" s="12">
        <v>0.08680725</v>
      </c>
    </row>
    <row r="32" spans="2:44" ht="13.5" customHeight="1" x14ac:dyDescent="0.25">
      <c r="B32" s="121">
        <v>0.75</v>
      </c>
      <c r="C32" s="20">
        <v>-79.78154</v>
      </c>
      <c r="D32" s="4">
        <v>-80.33131</v>
      </c>
      <c r="E32" s="4">
        <v>103.1358</v>
      </c>
      <c r="F32" s="4">
        <v>0.1035156</v>
      </c>
      <c r="G32" s="4">
        <v>9.95369E-05</v>
      </c>
      <c r="H32" s="4"/>
      <c r="I32" s="4"/>
      <c r="J32" s="4"/>
      <c r="K32" s="4"/>
      <c r="L32" s="5"/>
      <c r="M32" s="20">
        <v>77.79586</v>
      </c>
      <c r="N32" s="4">
        <v>47.48626</v>
      </c>
      <c r="O32" s="4">
        <v>39.5</v>
      </c>
      <c r="P32" s="4">
        <v>22</v>
      </c>
      <c r="Q32" s="4">
        <v>3.422743</v>
      </c>
      <c r="R32" s="62">
        <v>18.023</v>
      </c>
      <c r="S32" s="21">
        <v>92.853</v>
      </c>
      <c r="T32" s="21">
        <v>15</v>
      </c>
      <c r="U32" s="21">
        <v>0</v>
      </c>
      <c r="V32" s="84">
        <v>16.28147</v>
      </c>
      <c r="W32" s="21">
        <v>47.65625</v>
      </c>
      <c r="X32" s="21">
        <v>25.9</v>
      </c>
      <c r="Y32" s="21">
        <v>70.40816</v>
      </c>
      <c r="Z32" s="21">
        <v>15.03725</v>
      </c>
      <c r="AA32" s="21">
        <v>17.42622</v>
      </c>
      <c r="AB32" s="21"/>
      <c r="AC32" s="8"/>
      <c r="AD32" s="8">
        <v>1.548394</v>
      </c>
      <c r="AE32" s="8">
        <v>0.0006873169</v>
      </c>
      <c r="AF32" s="8">
        <v>22.08116</v>
      </c>
      <c r="AG32" s="8">
        <v>25.34722</v>
      </c>
      <c r="AH32" s="8"/>
      <c r="AI32" s="22"/>
      <c r="AJ32" s="22"/>
      <c r="AK32" s="22"/>
      <c r="AL32" s="22"/>
      <c r="AM32" s="22"/>
      <c r="AN32" s="8">
        <v>45.18953</v>
      </c>
      <c r="AO32" s="9">
        <v>50</v>
      </c>
      <c r="AP32" s="10">
        <v>26.52091</v>
      </c>
      <c r="AQ32" s="11">
        <v>39.87268</v>
      </c>
      <c r="AR32" s="12">
        <v>0.07595825</v>
      </c>
    </row>
    <row r="33" spans="2:44" ht="13.5" customHeight="1" x14ac:dyDescent="0.25">
      <c r="B33" s="121">
        <v>0.79166666666666696</v>
      </c>
      <c r="C33" s="20">
        <v>-79.74537</v>
      </c>
      <c r="D33" s="4">
        <v>-80.34578</v>
      </c>
      <c r="E33" s="4">
        <v>103.1286</v>
      </c>
      <c r="F33" s="4">
        <v>0.09852431</v>
      </c>
      <c r="G33" s="4">
        <v>9.298896E-05</v>
      </c>
      <c r="H33" s="4"/>
      <c r="I33" s="4"/>
      <c r="J33" s="4"/>
      <c r="K33" s="4"/>
      <c r="L33" s="5"/>
      <c r="M33" s="20">
        <v>77.56799</v>
      </c>
      <c r="N33" s="4">
        <v>47.57306</v>
      </c>
      <c r="O33" s="4">
        <v>39.5</v>
      </c>
      <c r="P33" s="4">
        <v>22</v>
      </c>
      <c r="Q33" s="4">
        <v>3.580295</v>
      </c>
      <c r="R33" s="62">
        <v>18.03024</v>
      </c>
      <c r="S33" s="21">
        <v>91.99942</v>
      </c>
      <c r="T33" s="21">
        <v>15</v>
      </c>
      <c r="U33" s="21">
        <v>0</v>
      </c>
      <c r="V33" s="84">
        <v>17.41537</v>
      </c>
      <c r="W33" s="21">
        <v>44.08637</v>
      </c>
      <c r="X33" s="21">
        <v>25.9</v>
      </c>
      <c r="Y33" s="21">
        <v>70.99121</v>
      </c>
      <c r="Z33" s="21">
        <v>14.68461</v>
      </c>
      <c r="AA33" s="21">
        <v>17.22548</v>
      </c>
      <c r="AB33" s="21"/>
      <c r="AC33" s="8"/>
      <c r="AD33" s="8">
        <v>1.54834</v>
      </c>
      <c r="AE33" s="8">
        <v>0.0009217224</v>
      </c>
      <c r="AF33" s="8">
        <v>21.52416</v>
      </c>
      <c r="AG33" s="8">
        <v>40.44415</v>
      </c>
      <c r="AH33" s="8"/>
      <c r="AI33" s="22"/>
      <c r="AJ33" s="22"/>
      <c r="AK33" s="22"/>
      <c r="AL33" s="22"/>
      <c r="AM33" s="22"/>
      <c r="AN33" s="8">
        <v>45.75376</v>
      </c>
      <c r="AO33" s="9">
        <v>50</v>
      </c>
      <c r="AP33" s="10">
        <v>26.73792</v>
      </c>
      <c r="AQ33" s="11">
        <v>39.5978</v>
      </c>
      <c r="AR33" s="12">
        <v>0.07595825</v>
      </c>
    </row>
    <row r="34" spans="2:44" ht="13.5" customHeight="1" x14ac:dyDescent="0.25">
      <c r="B34" s="121">
        <v>0.83333333333333304</v>
      </c>
      <c r="C34" s="23">
        <v>-79.78877</v>
      </c>
      <c r="D34" s="13">
        <v>-80.51215</v>
      </c>
      <c r="E34" s="13">
        <v>103.1286</v>
      </c>
      <c r="F34" s="13">
        <v>0.1029369</v>
      </c>
      <c r="G34" s="13">
        <v>9.290504E-05</v>
      </c>
      <c r="H34" s="13"/>
      <c r="I34" s="13"/>
      <c r="J34" s="13"/>
      <c r="K34" s="13"/>
      <c r="L34" s="14"/>
      <c r="M34" s="23">
        <v>77.54268</v>
      </c>
      <c r="N34" s="13">
        <v>47.68518</v>
      </c>
      <c r="O34" s="13">
        <v>39.5</v>
      </c>
      <c r="P34" s="13">
        <v>22</v>
      </c>
      <c r="Q34" s="13">
        <v>3.60026</v>
      </c>
      <c r="R34" s="13">
        <v>17.59983</v>
      </c>
      <c r="S34" s="24">
        <v>90.41522</v>
      </c>
      <c r="T34" s="24">
        <v>15</v>
      </c>
      <c r="U34" s="24">
        <v>0</v>
      </c>
      <c r="V34" s="84">
        <v>18.278</v>
      </c>
      <c r="W34" s="24">
        <v>42.08442</v>
      </c>
      <c r="X34" s="24">
        <v>26.2</v>
      </c>
      <c r="Y34" s="24">
        <v>71.29955</v>
      </c>
      <c r="Z34" s="24">
        <v>14.30483</v>
      </c>
      <c r="AA34" s="24">
        <v>16.83485</v>
      </c>
      <c r="AB34" s="24"/>
      <c r="AC34" s="17"/>
      <c r="AD34" s="17">
        <v>1.421929</v>
      </c>
      <c r="AE34" s="17">
        <v>0.0006097718</v>
      </c>
      <c r="AF34" s="17">
        <v>21.36502</v>
      </c>
      <c r="AG34" s="17">
        <v>24.35619</v>
      </c>
      <c r="AH34" s="17"/>
      <c r="AI34" s="25"/>
      <c r="AJ34" s="25"/>
      <c r="AK34" s="25"/>
      <c r="AL34" s="25"/>
      <c r="AM34" s="25"/>
      <c r="AN34" s="17">
        <v>44.92911</v>
      </c>
      <c r="AO34" s="18">
        <v>50</v>
      </c>
      <c r="AP34" s="26">
        <v>26.90972</v>
      </c>
      <c r="AQ34" s="27">
        <v>39.64844</v>
      </c>
      <c r="AR34" s="28">
        <v>0.09766388</v>
      </c>
    </row>
    <row r="35" spans="2:44" ht="15" customHeight="1" x14ac:dyDescent="0.25">
      <c r="B35" s="143" t="s">
        <v>175</v>
      </c>
      <c r="C35" s="123" t="s">
        <v>35</v>
      </c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5" t="s">
        <v>210</v>
      </c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9" t="s">
        <v>43</v>
      </c>
      <c r="AL35" s="129"/>
      <c r="AM35" s="126" t="s">
        <v>217</v>
      </c>
      <c r="AN35" s="126"/>
      <c r="AO35" s="93"/>
      <c r="AP35" s="93"/>
      <c r="AQ35" s="93"/>
      <c r="AR35" s="122"/>
    </row>
    <row r="36" spans="2:44" ht="20.15" customHeight="1" x14ac:dyDescent="0.25">
      <c r="B36" s="136"/>
      <c r="C36" s="165" t="s">
        <v>30</v>
      </c>
      <c r="D36" s="130"/>
      <c r="E36" s="128" t="s">
        <v>31</v>
      </c>
      <c r="F36" s="130"/>
      <c r="G36" s="130"/>
      <c r="H36" s="127" t="s">
        <v>265</v>
      </c>
      <c r="I36" s="127"/>
      <c r="J36" s="86" t="s">
        <v>25</v>
      </c>
      <c r="K36" s="86" t="s">
        <v>28</v>
      </c>
      <c r="L36" s="86" t="s">
        <v>185</v>
      </c>
      <c r="M36" s="124" t="s">
        <v>186</v>
      </c>
      <c r="N36" s="124"/>
      <c r="O36" s="86" t="s">
        <v>24</v>
      </c>
      <c r="P36" s="86" t="s">
        <v>191</v>
      </c>
      <c r="Q36" s="128" t="s">
        <v>193</v>
      </c>
      <c r="R36" s="128"/>
      <c r="S36" s="128" t="s">
        <v>196</v>
      </c>
      <c r="T36" s="128"/>
      <c r="U36" s="128" t="s">
        <v>195</v>
      </c>
      <c r="V36" s="128"/>
      <c r="W36" s="87" t="s">
        <v>15</v>
      </c>
      <c r="X36" s="86" t="s">
        <v>12</v>
      </c>
      <c r="Y36" s="88" t="s">
        <v>198</v>
      </c>
      <c r="Z36" s="88" t="s">
        <v>199</v>
      </c>
      <c r="AA36" s="88" t="s">
        <v>200</v>
      </c>
      <c r="AB36" s="89" t="s">
        <v>201</v>
      </c>
      <c r="AC36" s="88" t="s">
        <v>202</v>
      </c>
      <c r="AD36" s="88" t="s">
        <v>204</v>
      </c>
      <c r="AE36" s="88" t="s">
        <v>205</v>
      </c>
      <c r="AF36" s="89" t="s">
        <v>206</v>
      </c>
      <c r="AG36" s="71" t="s">
        <v>207</v>
      </c>
      <c r="AH36" s="129" t="s">
        <v>41</v>
      </c>
      <c r="AI36" s="129"/>
      <c r="AJ36" s="129"/>
      <c r="AK36" s="71" t="s">
        <v>15</v>
      </c>
      <c r="AL36" s="71" t="s">
        <v>12</v>
      </c>
      <c r="AM36" s="75" t="s">
        <v>218</v>
      </c>
      <c r="AN36" s="75" t="s">
        <v>219</v>
      </c>
      <c r="AO36" s="71"/>
      <c r="AP36" s="71"/>
      <c r="AQ36" s="71"/>
      <c r="AR36" s="118"/>
    </row>
    <row r="37" spans="2:44" ht="22" customHeight="1" x14ac:dyDescent="0.25">
      <c r="B37" s="136"/>
      <c r="C37" s="96" t="s">
        <v>180</v>
      </c>
      <c r="D37" s="86" t="s">
        <v>181</v>
      </c>
      <c r="E37" s="86" t="s">
        <v>32</v>
      </c>
      <c r="F37" s="86" t="s">
        <v>182</v>
      </c>
      <c r="G37" s="86" t="s">
        <v>183</v>
      </c>
      <c r="H37" s="86" t="s">
        <v>266</v>
      </c>
      <c r="I37" s="86" t="s">
        <v>267</v>
      </c>
      <c r="J37" s="86" t="s">
        <v>23</v>
      </c>
      <c r="K37" s="86" t="s">
        <v>29</v>
      </c>
      <c r="L37" s="83" t="s">
        <v>27</v>
      </c>
      <c r="M37" s="89" t="s">
        <v>187</v>
      </c>
      <c r="N37" s="89" t="s">
        <v>188</v>
      </c>
      <c r="O37" s="83" t="s">
        <v>26</v>
      </c>
      <c r="P37" s="83" t="s">
        <v>364</v>
      </c>
      <c r="Q37" s="72" t="s">
        <v>2</v>
      </c>
      <c r="R37" s="72" t="s">
        <v>3</v>
      </c>
      <c r="S37" s="72" t="s">
        <v>2</v>
      </c>
      <c r="T37" s="72" t="s">
        <v>3</v>
      </c>
      <c r="U37" s="72" t="s">
        <v>2</v>
      </c>
      <c r="V37" s="72" t="s">
        <v>3</v>
      </c>
      <c r="W37" s="88" t="s">
        <v>36</v>
      </c>
      <c r="X37" s="89" t="s">
        <v>37</v>
      </c>
      <c r="Y37" s="88" t="s">
        <v>38</v>
      </c>
      <c r="Z37" s="86" t="s">
        <v>39</v>
      </c>
      <c r="AA37" s="87" t="s">
        <v>365</v>
      </c>
      <c r="AB37" s="88" t="s">
        <v>366</v>
      </c>
      <c r="AC37" s="88" t="s">
        <v>203</v>
      </c>
      <c r="AD37" s="86" t="s">
        <v>40</v>
      </c>
      <c r="AE37" s="87" t="s">
        <v>367</v>
      </c>
      <c r="AF37" s="88" t="s">
        <v>368</v>
      </c>
      <c r="AG37" s="71" t="s">
        <v>208</v>
      </c>
      <c r="AH37" s="71" t="s">
        <v>211</v>
      </c>
      <c r="AI37" s="71" t="s">
        <v>212</v>
      </c>
      <c r="AJ37" s="71" t="s">
        <v>213</v>
      </c>
      <c r="AK37" s="71" t="s">
        <v>215</v>
      </c>
      <c r="AL37" s="71" t="s">
        <v>216</v>
      </c>
      <c r="AM37" s="75" t="s">
        <v>4</v>
      </c>
      <c r="AN37" s="75" t="s">
        <v>4</v>
      </c>
      <c r="AO37" s="71"/>
      <c r="AP37" s="71"/>
      <c r="AQ37" s="71"/>
      <c r="AR37" s="118"/>
    </row>
    <row r="38" spans="2:44" ht="14.15" customHeight="1" x14ac:dyDescent="0.25">
      <c r="B38" s="136"/>
      <c r="C38" s="97" t="s">
        <v>176</v>
      </c>
      <c r="D38" s="74" t="s">
        <v>177</v>
      </c>
      <c r="E38" s="72" t="s">
        <v>179</v>
      </c>
      <c r="F38" s="94" t="s">
        <v>176</v>
      </c>
      <c r="G38" s="74" t="s">
        <v>177</v>
      </c>
      <c r="H38" s="94" t="s">
        <v>268</v>
      </c>
      <c r="I38" s="74" t="s">
        <v>177</v>
      </c>
      <c r="J38" s="72" t="s">
        <v>179</v>
      </c>
      <c r="K38" s="77" t="s">
        <v>184</v>
      </c>
      <c r="L38" s="72" t="s">
        <v>179</v>
      </c>
      <c r="M38" s="77" t="s">
        <v>279</v>
      </c>
      <c r="N38" s="77" t="s">
        <v>280</v>
      </c>
      <c r="O38" s="72" t="s">
        <v>179</v>
      </c>
      <c r="P38" s="77" t="s">
        <v>192</v>
      </c>
      <c r="Q38" s="72" t="s">
        <v>194</v>
      </c>
      <c r="R38" s="74" t="s">
        <v>177</v>
      </c>
      <c r="S38" s="72" t="s">
        <v>194</v>
      </c>
      <c r="T38" s="74" t="s">
        <v>177</v>
      </c>
      <c r="U38" s="72" t="s">
        <v>194</v>
      </c>
      <c r="V38" s="74" t="s">
        <v>177</v>
      </c>
      <c r="W38" s="95" t="s">
        <v>197</v>
      </c>
      <c r="X38" s="89" t="s">
        <v>178</v>
      </c>
      <c r="Y38" s="88" t="s">
        <v>184</v>
      </c>
      <c r="Z38" s="89" t="s">
        <v>189</v>
      </c>
      <c r="AA38" s="89" t="s">
        <v>178</v>
      </c>
      <c r="AB38" s="89" t="s">
        <v>178</v>
      </c>
      <c r="AC38" s="88" t="s">
        <v>184</v>
      </c>
      <c r="AD38" s="89" t="s">
        <v>189</v>
      </c>
      <c r="AE38" s="89" t="s">
        <v>178</v>
      </c>
      <c r="AF38" s="89" t="s">
        <v>178</v>
      </c>
      <c r="AG38" s="71" t="s">
        <v>209</v>
      </c>
      <c r="AH38" s="95" t="s">
        <v>197</v>
      </c>
      <c r="AI38" s="89" t="s">
        <v>189</v>
      </c>
      <c r="AJ38" s="89" t="s">
        <v>190</v>
      </c>
      <c r="AK38" s="71" t="s">
        <v>197</v>
      </c>
      <c r="AL38" s="71" t="s">
        <v>214</v>
      </c>
      <c r="AM38" s="75" t="s">
        <v>197</v>
      </c>
      <c r="AN38" s="75" t="s">
        <v>197</v>
      </c>
      <c r="AO38" s="71"/>
      <c r="AP38" s="71"/>
      <c r="AQ38" s="71"/>
      <c r="AR38" s="118"/>
    </row>
    <row r="39" spans="2:44" ht="13.5" customHeight="1" x14ac:dyDescent="0.25">
      <c r="B39" s="121">
        <v>0.33333333333333331</v>
      </c>
      <c r="C39" s="82">
        <v>0</v>
      </c>
      <c r="D39" s="62"/>
      <c r="E39" s="62">
        <v>49.70341</v>
      </c>
      <c r="F39" s="62"/>
      <c r="G39" s="62"/>
      <c r="H39" s="62">
        <v>0</v>
      </c>
      <c r="I39" s="62"/>
      <c r="J39" s="62">
        <v>24.27843</v>
      </c>
      <c r="K39" s="62">
        <v>40</v>
      </c>
      <c r="L39" s="62">
        <v>47.27286</v>
      </c>
      <c r="M39" s="62">
        <v>0</v>
      </c>
      <c r="N39" s="62"/>
      <c r="O39" s="62">
        <v>25.98741</v>
      </c>
      <c r="P39" s="62">
        <v>0.05</v>
      </c>
      <c r="Q39" s="62">
        <v>0.2291667</v>
      </c>
      <c r="R39" s="62"/>
      <c r="S39" s="62">
        <v>0</v>
      </c>
      <c r="T39" s="62"/>
      <c r="U39" s="84">
        <v>0</v>
      </c>
      <c r="V39" s="90"/>
      <c r="W39" s="91">
        <v>90.44415</v>
      </c>
      <c r="X39" s="84">
        <v>16.77156</v>
      </c>
      <c r="Y39" s="84">
        <v>28</v>
      </c>
      <c r="Z39" s="84">
        <v>0</v>
      </c>
      <c r="AA39" s="84">
        <v>17.27973</v>
      </c>
      <c r="AB39" s="84">
        <v>20.14974</v>
      </c>
      <c r="AC39" s="84">
        <v>50</v>
      </c>
      <c r="AD39" s="84">
        <v>123.8021</v>
      </c>
      <c r="AE39" s="66">
        <v>17.56547</v>
      </c>
      <c r="AF39" s="66">
        <v>99.9132</v>
      </c>
      <c r="AG39" s="66"/>
      <c r="AH39" s="66">
        <v>0</v>
      </c>
      <c r="AI39" s="66">
        <v>0</v>
      </c>
      <c r="AJ39" s="66"/>
      <c r="AK39" s="66">
        <v>56.11979</v>
      </c>
      <c r="AL39" s="67">
        <v>45.81308</v>
      </c>
      <c r="AM39" s="92"/>
      <c r="AN39" s="85"/>
      <c r="AO39" s="66"/>
      <c r="AP39" s="66"/>
      <c r="AQ39" s="66"/>
      <c r="AR39" s="70"/>
    </row>
    <row r="40" spans="2:44" ht="13.5" customHeight="1" x14ac:dyDescent="0.25">
      <c r="B40" s="121">
        <v>0.375</v>
      </c>
      <c r="C40" s="20">
        <v>0</v>
      </c>
      <c r="D40" s="4">
        <v>0</v>
      </c>
      <c r="E40" s="4">
        <v>72.22222</v>
      </c>
      <c r="F40" s="4"/>
      <c r="G40" s="4"/>
      <c r="H40" s="4">
        <v>0</v>
      </c>
      <c r="I40" s="4">
        <v>0</v>
      </c>
      <c r="J40" s="4">
        <v>24.22417</v>
      </c>
      <c r="K40" s="4">
        <v>40</v>
      </c>
      <c r="L40" s="4">
        <v>46.82979</v>
      </c>
      <c r="M40" s="4">
        <v>0</v>
      </c>
      <c r="N40" s="4">
        <v>0</v>
      </c>
      <c r="O40" s="4">
        <v>26.37623</v>
      </c>
      <c r="P40" s="4">
        <v>0.05</v>
      </c>
      <c r="Q40" s="4">
        <v>0.2244647</v>
      </c>
      <c r="R40" s="4">
        <v>0.0002129784</v>
      </c>
      <c r="S40" s="4">
        <v>0</v>
      </c>
      <c r="T40" s="4">
        <v>0</v>
      </c>
      <c r="U40" s="21">
        <v>0</v>
      </c>
      <c r="V40" s="29">
        <v>0</v>
      </c>
      <c r="W40" s="30">
        <v>90.35735</v>
      </c>
      <c r="X40" s="21">
        <v>20.25101</v>
      </c>
      <c r="Y40" s="21">
        <v>28</v>
      </c>
      <c r="Z40" s="21">
        <v>0</v>
      </c>
      <c r="AA40" s="21">
        <v>16.95421</v>
      </c>
      <c r="AB40" s="21">
        <v>19.79167</v>
      </c>
      <c r="AC40" s="21">
        <v>50</v>
      </c>
      <c r="AD40" s="21">
        <v>123.7978</v>
      </c>
      <c r="AE40" s="8">
        <v>19.72837</v>
      </c>
      <c r="AF40" s="8">
        <v>76.28039</v>
      </c>
      <c r="AG40" s="8"/>
      <c r="AH40" s="8">
        <v>0.9657118</v>
      </c>
      <c r="AI40" s="8">
        <v>0</v>
      </c>
      <c r="AJ40" s="8">
        <v>0</v>
      </c>
      <c r="AK40" s="8">
        <v>71.79181</v>
      </c>
      <c r="AL40" s="9">
        <v>53.5272</v>
      </c>
      <c r="AM40" s="31"/>
      <c r="AN40" s="22"/>
      <c r="AO40" s="8"/>
      <c r="AP40" s="8"/>
      <c r="AQ40" s="8"/>
      <c r="AR40" s="12"/>
    </row>
    <row r="41" spans="2:44" ht="13.5" customHeight="1" x14ac:dyDescent="0.25">
      <c r="B41" s="121">
        <v>0.41666666666666702</v>
      </c>
      <c r="C41" s="20">
        <v>0</v>
      </c>
      <c r="D41" s="4">
        <v>1.23167E-06</v>
      </c>
      <c r="E41" s="4">
        <v>65.79137</v>
      </c>
      <c r="F41" s="4"/>
      <c r="G41" s="4"/>
      <c r="H41" s="4">
        <v>0</v>
      </c>
      <c r="I41" s="4">
        <v>0</v>
      </c>
      <c r="J41" s="4">
        <v>24.34172</v>
      </c>
      <c r="K41" s="4">
        <v>40</v>
      </c>
      <c r="L41" s="4">
        <v>46.44097</v>
      </c>
      <c r="M41" s="4">
        <v>0</v>
      </c>
      <c r="N41" s="4">
        <v>0</v>
      </c>
      <c r="O41" s="4">
        <v>26.8193</v>
      </c>
      <c r="P41" s="4">
        <v>0.05</v>
      </c>
      <c r="Q41" s="4">
        <v>0.1959635</v>
      </c>
      <c r="R41" s="4">
        <v>0.0002020226</v>
      </c>
      <c r="S41" s="4">
        <v>0</v>
      </c>
      <c r="T41" s="4">
        <v>0</v>
      </c>
      <c r="U41" s="21">
        <v>0</v>
      </c>
      <c r="V41" s="29">
        <v>0</v>
      </c>
      <c r="W41" s="30">
        <v>90.76968</v>
      </c>
      <c r="X41" s="21">
        <v>19.5855</v>
      </c>
      <c r="Y41" s="21">
        <v>50</v>
      </c>
      <c r="Z41" s="21">
        <v>123.8759</v>
      </c>
      <c r="AA41" s="21">
        <v>16.69379</v>
      </c>
      <c r="AB41" s="21">
        <v>19.5855</v>
      </c>
      <c r="AC41" s="21">
        <v>50</v>
      </c>
      <c r="AD41" s="21">
        <v>123.7934</v>
      </c>
      <c r="AE41" s="8">
        <v>21.07747</v>
      </c>
      <c r="AF41" s="8">
        <v>70.92557</v>
      </c>
      <c r="AG41" s="8"/>
      <c r="AH41" s="8">
        <v>0</v>
      </c>
      <c r="AI41" s="8">
        <v>0</v>
      </c>
      <c r="AJ41" s="8">
        <v>0</v>
      </c>
      <c r="AK41" s="8">
        <v>45.85142</v>
      </c>
      <c r="AL41" s="9">
        <v>56.85764</v>
      </c>
      <c r="AM41" s="31"/>
      <c r="AN41" s="22"/>
      <c r="AO41" s="8"/>
      <c r="AP41" s="8"/>
      <c r="AQ41" s="8"/>
      <c r="AR41" s="12"/>
    </row>
    <row r="42" spans="2:44" ht="13.5" customHeight="1" x14ac:dyDescent="0.25">
      <c r="B42" s="121">
        <v>0.45833333333333298</v>
      </c>
      <c r="C42" s="20">
        <v>0</v>
      </c>
      <c r="D42" s="4">
        <v>0</v>
      </c>
      <c r="E42" s="4">
        <v>61.27025</v>
      </c>
      <c r="F42" s="4"/>
      <c r="G42" s="4"/>
      <c r="H42" s="4">
        <v>0</v>
      </c>
      <c r="I42" s="4">
        <v>0</v>
      </c>
      <c r="J42" s="4">
        <v>24.51353</v>
      </c>
      <c r="K42" s="4">
        <v>40</v>
      </c>
      <c r="L42" s="4">
        <v>45.7628</v>
      </c>
      <c r="M42" s="4">
        <v>0</v>
      </c>
      <c r="N42" s="4">
        <v>0</v>
      </c>
      <c r="O42" s="4">
        <v>27.12674</v>
      </c>
      <c r="P42" s="4">
        <v>0.05</v>
      </c>
      <c r="Q42" s="4">
        <v>0.1933594</v>
      </c>
      <c r="R42" s="4">
        <v>0.0001886635</v>
      </c>
      <c r="S42" s="4">
        <v>0</v>
      </c>
      <c r="T42" s="4">
        <v>0</v>
      </c>
      <c r="U42" s="21">
        <v>0</v>
      </c>
      <c r="V42" s="29">
        <v>0</v>
      </c>
      <c r="W42" s="30">
        <v>96.32885</v>
      </c>
      <c r="X42" s="21">
        <v>17.7011</v>
      </c>
      <c r="Y42" s="21">
        <v>50</v>
      </c>
      <c r="Z42" s="21">
        <v>123.8802</v>
      </c>
      <c r="AA42" s="21">
        <v>16.352</v>
      </c>
      <c r="AB42" s="21">
        <v>19.40104</v>
      </c>
      <c r="AC42" s="21">
        <v>50</v>
      </c>
      <c r="AD42" s="21">
        <v>123.7978</v>
      </c>
      <c r="AE42" s="8">
        <v>22.21137</v>
      </c>
      <c r="AF42" s="8">
        <v>67.4642</v>
      </c>
      <c r="AG42" s="8"/>
      <c r="AH42" s="8">
        <v>0</v>
      </c>
      <c r="AI42" s="8">
        <v>0</v>
      </c>
      <c r="AJ42" s="8">
        <v>0</v>
      </c>
      <c r="AK42" s="8">
        <v>45.86588</v>
      </c>
      <c r="AL42" s="9">
        <v>54.38658</v>
      </c>
      <c r="AM42" s="31"/>
      <c r="AN42" s="22"/>
      <c r="AO42" s="8"/>
      <c r="AP42" s="8"/>
      <c r="AQ42" s="8"/>
      <c r="AR42" s="12"/>
    </row>
    <row r="43" spans="2:44" ht="13.5" customHeight="1" x14ac:dyDescent="0.25">
      <c r="B43" s="121">
        <v>0.5</v>
      </c>
      <c r="C43" s="20">
        <v>0</v>
      </c>
      <c r="D43" s="4">
        <v>6.151199E-08</v>
      </c>
      <c r="E43" s="4">
        <v>47.85156</v>
      </c>
      <c r="F43" s="4"/>
      <c r="G43" s="4"/>
      <c r="H43" s="4">
        <v>0</v>
      </c>
      <c r="I43" s="4">
        <v>0</v>
      </c>
      <c r="J43" s="4">
        <v>24.67629</v>
      </c>
      <c r="K43" s="4">
        <v>40</v>
      </c>
      <c r="L43" s="4">
        <v>45.88035</v>
      </c>
      <c r="M43" s="4">
        <v>0</v>
      </c>
      <c r="N43" s="4">
        <v>0</v>
      </c>
      <c r="O43" s="4">
        <v>27.50651</v>
      </c>
      <c r="P43" s="4">
        <v>0.05</v>
      </c>
      <c r="Q43" s="4">
        <v>0.2206308</v>
      </c>
      <c r="R43" s="4">
        <v>0.0002093925</v>
      </c>
      <c r="S43" s="4">
        <v>0</v>
      </c>
      <c r="T43" s="4">
        <v>0</v>
      </c>
      <c r="U43" s="21">
        <v>0</v>
      </c>
      <c r="V43" s="29">
        <v>0</v>
      </c>
      <c r="W43" s="30">
        <v>92.47685</v>
      </c>
      <c r="X43" s="21">
        <v>18.78617</v>
      </c>
      <c r="Y43" s="21">
        <v>50</v>
      </c>
      <c r="Z43" s="21">
        <v>123.8759</v>
      </c>
      <c r="AA43" s="21">
        <v>16.41168</v>
      </c>
      <c r="AB43" s="21">
        <v>19.477</v>
      </c>
      <c r="AC43" s="21">
        <v>50</v>
      </c>
      <c r="AD43" s="21">
        <v>123.7934</v>
      </c>
      <c r="AE43" s="8">
        <v>23.19517</v>
      </c>
      <c r="AF43" s="8">
        <v>64.58876</v>
      </c>
      <c r="AG43" s="8"/>
      <c r="AH43" s="8">
        <v>0</v>
      </c>
      <c r="AI43" s="8">
        <v>0</v>
      </c>
      <c r="AJ43" s="8">
        <v>0</v>
      </c>
      <c r="AK43" s="8">
        <v>45.88758</v>
      </c>
      <c r="AL43" s="9">
        <v>52.8154</v>
      </c>
      <c r="AM43" s="31"/>
      <c r="AN43" s="22"/>
      <c r="AO43" s="8"/>
      <c r="AP43" s="8"/>
      <c r="AQ43" s="8"/>
      <c r="AR43" s="12"/>
    </row>
    <row r="44" spans="2:44" ht="13.5" customHeight="1" x14ac:dyDescent="0.25">
      <c r="B44" s="121">
        <v>0.54166666666666596</v>
      </c>
      <c r="C44" s="20">
        <v>0</v>
      </c>
      <c r="D44" s="4">
        <v>8.888006E-06</v>
      </c>
      <c r="E44" s="4">
        <v>54.01476</v>
      </c>
      <c r="F44" s="4"/>
      <c r="G44" s="4"/>
      <c r="H44" s="4">
        <v>0</v>
      </c>
      <c r="I44" s="4">
        <v>0</v>
      </c>
      <c r="J44" s="4">
        <v>24.8933</v>
      </c>
      <c r="K44" s="4">
        <v>40</v>
      </c>
      <c r="L44" s="4">
        <v>45.86227</v>
      </c>
      <c r="M44" s="4">
        <v>0</v>
      </c>
      <c r="N44" s="4">
        <v>0</v>
      </c>
      <c r="O44" s="4">
        <v>28.05809</v>
      </c>
      <c r="P44" s="4">
        <v>0.05</v>
      </c>
      <c r="Q44" s="4">
        <v>0.2259838</v>
      </c>
      <c r="R44" s="4">
        <v>0.0002116127</v>
      </c>
      <c r="S44" s="4">
        <v>0</v>
      </c>
      <c r="T44" s="4">
        <v>0</v>
      </c>
      <c r="U44" s="21">
        <v>0</v>
      </c>
      <c r="V44" s="29">
        <v>0</v>
      </c>
      <c r="W44" s="30">
        <v>85.85793</v>
      </c>
      <c r="X44" s="21">
        <v>18.98148</v>
      </c>
      <c r="Y44" s="21">
        <v>50</v>
      </c>
      <c r="Z44" s="21">
        <v>31.65365</v>
      </c>
      <c r="AA44" s="21">
        <v>16.15668</v>
      </c>
      <c r="AB44" s="21">
        <v>19.31966</v>
      </c>
      <c r="AC44" s="21">
        <v>50</v>
      </c>
      <c r="AD44" s="21">
        <v>27.15278</v>
      </c>
      <c r="AE44" s="8">
        <v>24.0795</v>
      </c>
      <c r="AF44" s="8">
        <v>62.26129</v>
      </c>
      <c r="AG44" s="8"/>
      <c r="AH44" s="8">
        <v>0</v>
      </c>
      <c r="AI44" s="8">
        <v>0</v>
      </c>
      <c r="AJ44" s="8">
        <v>0</v>
      </c>
      <c r="AK44" s="8">
        <v>75.61125</v>
      </c>
      <c r="AL44" s="9">
        <v>44.11169</v>
      </c>
      <c r="AM44" s="31"/>
      <c r="AN44" s="22">
        <v>0.06</v>
      </c>
      <c r="AO44" s="8"/>
      <c r="AP44" s="8"/>
      <c r="AQ44" s="8"/>
      <c r="AR44" s="12"/>
    </row>
    <row r="45" spans="2:44" ht="13.5" customHeight="1" x14ac:dyDescent="0.25">
      <c r="B45" s="121">
        <v>0.58333333333333304</v>
      </c>
      <c r="C45" s="20">
        <v>0</v>
      </c>
      <c r="D45" s="4">
        <v>2.259254E-06</v>
      </c>
      <c r="E45" s="4">
        <v>53.81221</v>
      </c>
      <c r="F45" s="4"/>
      <c r="G45" s="4"/>
      <c r="H45" s="4">
        <v>0</v>
      </c>
      <c r="I45" s="4">
        <v>0</v>
      </c>
      <c r="J45" s="4">
        <v>25.1917</v>
      </c>
      <c r="K45" s="4">
        <v>40</v>
      </c>
      <c r="L45" s="4">
        <v>45.92556</v>
      </c>
      <c r="M45" s="4">
        <v>0</v>
      </c>
      <c r="N45" s="4">
        <v>0</v>
      </c>
      <c r="O45" s="4">
        <v>28.55541</v>
      </c>
      <c r="P45" s="4">
        <v>0.05</v>
      </c>
      <c r="Q45" s="4">
        <v>0.1430845</v>
      </c>
      <c r="R45" s="4">
        <v>0.0002014465</v>
      </c>
      <c r="S45" s="4">
        <v>0</v>
      </c>
      <c r="T45" s="4">
        <v>0</v>
      </c>
      <c r="U45" s="21">
        <v>0</v>
      </c>
      <c r="V45" s="29">
        <v>0</v>
      </c>
      <c r="W45" s="30">
        <v>94.14062</v>
      </c>
      <c r="X45" s="21">
        <v>18.87297</v>
      </c>
      <c r="Y45" s="21">
        <v>50</v>
      </c>
      <c r="Z45" s="21">
        <v>123.8759</v>
      </c>
      <c r="AA45" s="21">
        <v>16.23264</v>
      </c>
      <c r="AB45" s="21">
        <v>107.9698</v>
      </c>
      <c r="AC45" s="21">
        <v>50</v>
      </c>
      <c r="AD45" s="21">
        <v>123.7891</v>
      </c>
      <c r="AE45" s="8">
        <v>17.16218</v>
      </c>
      <c r="AF45" s="8">
        <v>20.09006</v>
      </c>
      <c r="AG45" s="8"/>
      <c r="AH45" s="8">
        <v>0</v>
      </c>
      <c r="AI45" s="8">
        <v>0</v>
      </c>
      <c r="AJ45" s="8">
        <v>0</v>
      </c>
      <c r="AK45" s="8">
        <v>81.54297</v>
      </c>
      <c r="AL45" s="9">
        <v>42.70544</v>
      </c>
      <c r="AM45" s="31"/>
      <c r="AN45" s="22"/>
      <c r="AO45" s="8"/>
      <c r="AP45" s="8"/>
      <c r="AQ45" s="8"/>
      <c r="AR45" s="12"/>
    </row>
    <row r="46" spans="2:44" ht="13.5" customHeight="1" x14ac:dyDescent="0.25">
      <c r="B46" s="121">
        <v>0.625</v>
      </c>
      <c r="C46" s="20">
        <v>0</v>
      </c>
      <c r="D46" s="4">
        <v>5.252361E-07</v>
      </c>
      <c r="E46" s="4">
        <v>41.7173</v>
      </c>
      <c r="F46" s="4"/>
      <c r="G46" s="4"/>
      <c r="H46" s="4">
        <v>0</v>
      </c>
      <c r="I46" s="4">
        <v>0</v>
      </c>
      <c r="J46" s="4">
        <v>25.45392</v>
      </c>
      <c r="K46" s="4">
        <v>40</v>
      </c>
      <c r="L46" s="4">
        <v>45.81706</v>
      </c>
      <c r="M46" s="4">
        <v>0</v>
      </c>
      <c r="N46" s="4">
        <v>0</v>
      </c>
      <c r="O46" s="4">
        <v>29.07082</v>
      </c>
      <c r="P46" s="4">
        <v>0.05</v>
      </c>
      <c r="Q46" s="4">
        <v>0.1945891</v>
      </c>
      <c r="R46" s="4">
        <v>0.0001608162</v>
      </c>
      <c r="S46" s="4">
        <v>0</v>
      </c>
      <c r="T46" s="4">
        <v>0</v>
      </c>
      <c r="U46" s="21">
        <v>0</v>
      </c>
      <c r="V46" s="29">
        <v>0</v>
      </c>
      <c r="W46" s="30">
        <v>94.99059</v>
      </c>
      <c r="X46" s="21">
        <v>18.47511</v>
      </c>
      <c r="Y46" s="21">
        <v>50</v>
      </c>
      <c r="Z46" s="21">
        <v>123.8715</v>
      </c>
      <c r="AA46" s="21">
        <v>14.56706</v>
      </c>
      <c r="AB46" s="21">
        <v>75.73785</v>
      </c>
      <c r="AC46" s="21">
        <v>50</v>
      </c>
      <c r="AD46" s="21">
        <v>123.7891</v>
      </c>
      <c r="AE46" s="8">
        <v>16.51657</v>
      </c>
      <c r="AF46" s="8">
        <v>18.97244</v>
      </c>
      <c r="AG46" s="8"/>
      <c r="AH46" s="8">
        <v>0</v>
      </c>
      <c r="AI46" s="8">
        <v>0</v>
      </c>
      <c r="AJ46" s="8">
        <v>0</v>
      </c>
      <c r="AK46" s="8">
        <v>81.52126</v>
      </c>
      <c r="AL46" s="9">
        <v>42.1441</v>
      </c>
      <c r="AM46" s="31"/>
      <c r="AN46" s="22"/>
      <c r="AO46" s="8"/>
      <c r="AP46" s="8"/>
      <c r="AQ46" s="8"/>
      <c r="AR46" s="12"/>
    </row>
    <row r="47" spans="2:44" ht="13.5" customHeight="1" x14ac:dyDescent="0.25">
      <c r="B47" s="121">
        <v>0.66666666666666596</v>
      </c>
      <c r="C47" s="20">
        <v>0</v>
      </c>
      <c r="D47" s="4">
        <v>5.115509E-06</v>
      </c>
      <c r="E47" s="4">
        <v>46.8967</v>
      </c>
      <c r="F47" s="4"/>
      <c r="G47" s="4"/>
      <c r="H47" s="4">
        <v>0</v>
      </c>
      <c r="I47" s="4">
        <v>0</v>
      </c>
      <c r="J47" s="4">
        <v>25.74327</v>
      </c>
      <c r="K47" s="4">
        <v>40</v>
      </c>
      <c r="L47" s="4">
        <v>46.14258</v>
      </c>
      <c r="M47" s="4">
        <v>0</v>
      </c>
      <c r="N47" s="4">
        <v>0</v>
      </c>
      <c r="O47" s="4">
        <v>29.53197</v>
      </c>
      <c r="P47" s="4">
        <v>0.05</v>
      </c>
      <c r="Q47" s="4">
        <v>0.2212095</v>
      </c>
      <c r="R47" s="4">
        <v>0.0002117462</v>
      </c>
      <c r="S47" s="4">
        <v>0</v>
      </c>
      <c r="T47" s="4">
        <v>0</v>
      </c>
      <c r="U47" s="21">
        <v>0</v>
      </c>
      <c r="V47" s="29">
        <v>0</v>
      </c>
      <c r="W47" s="30">
        <v>91.55454</v>
      </c>
      <c r="X47" s="21">
        <v>19.64337</v>
      </c>
      <c r="Y47" s="21">
        <v>50</v>
      </c>
      <c r="Z47" s="21">
        <v>123.8715</v>
      </c>
      <c r="AA47" s="21">
        <v>16.80773</v>
      </c>
      <c r="AB47" s="21">
        <v>61.93034</v>
      </c>
      <c r="AC47" s="21">
        <v>50</v>
      </c>
      <c r="AD47" s="21">
        <v>123.7891</v>
      </c>
      <c r="AE47" s="8">
        <v>15.75159</v>
      </c>
      <c r="AF47" s="8">
        <v>18.03386</v>
      </c>
      <c r="AG47" s="8"/>
      <c r="AH47" s="8">
        <v>0</v>
      </c>
      <c r="AI47" s="8">
        <v>0</v>
      </c>
      <c r="AJ47" s="8">
        <v>0</v>
      </c>
      <c r="AK47" s="8">
        <v>81.52488</v>
      </c>
      <c r="AL47" s="9">
        <v>41.62326</v>
      </c>
      <c r="AM47" s="31"/>
      <c r="AN47" s="22"/>
      <c r="AO47" s="8"/>
      <c r="AP47" s="8"/>
      <c r="AQ47" s="8"/>
      <c r="AR47" s="12"/>
    </row>
    <row r="48" spans="2:44" ht="13.5" customHeight="1" x14ac:dyDescent="0.25">
      <c r="B48" s="121">
        <v>0.70833333333333304</v>
      </c>
      <c r="C48" s="20">
        <v>0</v>
      </c>
      <c r="D48" s="4">
        <v>0</v>
      </c>
      <c r="E48" s="4">
        <v>44.11892</v>
      </c>
      <c r="F48" s="4"/>
      <c r="G48" s="4"/>
      <c r="H48" s="4">
        <v>0</v>
      </c>
      <c r="I48" s="4">
        <v>0</v>
      </c>
      <c r="J48" s="4">
        <v>26.02358</v>
      </c>
      <c r="K48" s="4">
        <v>40</v>
      </c>
      <c r="L48" s="4">
        <v>46.61277</v>
      </c>
      <c r="M48" s="4">
        <v>0</v>
      </c>
      <c r="N48" s="4">
        <v>0</v>
      </c>
      <c r="O48" s="4">
        <v>29.6224</v>
      </c>
      <c r="P48" s="4">
        <v>0.05</v>
      </c>
      <c r="Q48" s="4">
        <v>0.213614</v>
      </c>
      <c r="R48" s="4">
        <v>0.0002095985</v>
      </c>
      <c r="S48" s="4">
        <v>0</v>
      </c>
      <c r="T48" s="4">
        <v>0</v>
      </c>
      <c r="U48" s="21">
        <v>0</v>
      </c>
      <c r="V48" s="29">
        <v>0</v>
      </c>
      <c r="W48" s="30">
        <v>89.94502</v>
      </c>
      <c r="X48" s="21">
        <v>19.83869</v>
      </c>
      <c r="Y48" s="21">
        <v>50</v>
      </c>
      <c r="Z48" s="21">
        <v>123.8715</v>
      </c>
      <c r="AA48" s="21">
        <v>17.94705</v>
      </c>
      <c r="AB48" s="21">
        <v>53.50478</v>
      </c>
      <c r="AC48" s="21">
        <v>50</v>
      </c>
      <c r="AD48" s="21">
        <v>123.7891</v>
      </c>
      <c r="AE48" s="8">
        <v>15.3031</v>
      </c>
      <c r="AF48" s="8">
        <v>17.65951</v>
      </c>
      <c r="AG48" s="8"/>
      <c r="AH48" s="8">
        <v>0</v>
      </c>
      <c r="AI48" s="8">
        <v>0</v>
      </c>
      <c r="AJ48" s="8">
        <v>0</v>
      </c>
      <c r="AK48" s="8">
        <v>91.1169</v>
      </c>
      <c r="AL48" s="9">
        <v>35.5382</v>
      </c>
      <c r="AM48" s="31"/>
      <c r="AN48" s="22"/>
      <c r="AO48" s="8"/>
      <c r="AP48" s="8"/>
      <c r="AQ48" s="8"/>
      <c r="AR48" s="12"/>
    </row>
    <row r="49" spans="2:44" ht="13.5" customHeight="1" x14ac:dyDescent="0.25">
      <c r="B49" s="121">
        <v>0.75</v>
      </c>
      <c r="C49" s="20">
        <v>0</v>
      </c>
      <c r="D49" s="4">
        <v>5.029201E-06</v>
      </c>
      <c r="E49" s="4">
        <v>41.81858</v>
      </c>
      <c r="F49" s="4"/>
      <c r="G49" s="4"/>
      <c r="H49" s="4">
        <v>0</v>
      </c>
      <c r="I49" s="4">
        <v>0</v>
      </c>
      <c r="J49" s="4">
        <v>26.26772</v>
      </c>
      <c r="K49" s="4">
        <v>40</v>
      </c>
      <c r="L49" s="4">
        <v>47.22765</v>
      </c>
      <c r="M49" s="4">
        <v>0</v>
      </c>
      <c r="N49" s="4">
        <v>0</v>
      </c>
      <c r="O49" s="4">
        <v>29.69473</v>
      </c>
      <c r="P49" s="4">
        <v>0.05</v>
      </c>
      <c r="Q49" s="4">
        <v>0.1961806</v>
      </c>
      <c r="R49" s="4">
        <v>0.0002089539</v>
      </c>
      <c r="S49" s="4">
        <v>0</v>
      </c>
      <c r="T49" s="4">
        <v>0</v>
      </c>
      <c r="U49" s="21">
        <v>0</v>
      </c>
      <c r="V49" s="29">
        <v>0</v>
      </c>
      <c r="W49" s="30">
        <v>93.07002</v>
      </c>
      <c r="X49" s="21">
        <v>20.25463</v>
      </c>
      <c r="Y49" s="21">
        <v>10</v>
      </c>
      <c r="Z49" s="21">
        <v>23.49393</v>
      </c>
      <c r="AA49" s="21">
        <v>16.28147</v>
      </c>
      <c r="AB49" s="21">
        <v>47.65625</v>
      </c>
      <c r="AC49" s="21">
        <v>10</v>
      </c>
      <c r="AD49" s="21">
        <v>24.51389</v>
      </c>
      <c r="AE49" s="8">
        <v>15.03725</v>
      </c>
      <c r="AF49" s="8">
        <v>17.42622</v>
      </c>
      <c r="AG49" s="8"/>
      <c r="AH49" s="8">
        <v>0</v>
      </c>
      <c r="AI49" s="8">
        <v>0</v>
      </c>
      <c r="AJ49" s="8">
        <v>0</v>
      </c>
      <c r="AK49" s="8">
        <v>91.10966</v>
      </c>
      <c r="AL49" s="9">
        <v>35.70023</v>
      </c>
      <c r="AM49" s="31"/>
      <c r="AN49" s="22"/>
      <c r="AO49" s="8"/>
      <c r="AP49" s="8"/>
      <c r="AQ49" s="8"/>
      <c r="AR49" s="12"/>
    </row>
    <row r="50" spans="2:44" ht="13.5" customHeight="1" x14ac:dyDescent="0.25">
      <c r="B50" s="121">
        <v>0.79166666666666696</v>
      </c>
      <c r="C50" s="20">
        <v>0</v>
      </c>
      <c r="D50" s="4">
        <v>5.888939E-08</v>
      </c>
      <c r="E50" s="4">
        <v>39.94502</v>
      </c>
      <c r="F50" s="4"/>
      <c r="G50" s="4"/>
      <c r="H50" s="4">
        <v>0</v>
      </c>
      <c r="I50" s="4">
        <v>0</v>
      </c>
      <c r="J50" s="4">
        <v>26.46665</v>
      </c>
      <c r="K50" s="4">
        <v>40</v>
      </c>
      <c r="L50" s="4">
        <v>48.34888</v>
      </c>
      <c r="M50" s="4">
        <v>0</v>
      </c>
      <c r="N50" s="4">
        <v>0</v>
      </c>
      <c r="O50" s="4">
        <v>29.63144</v>
      </c>
      <c r="P50" s="4">
        <v>0.05</v>
      </c>
      <c r="Q50" s="4">
        <v>0.1642795</v>
      </c>
      <c r="R50" s="4">
        <v>0.000143074</v>
      </c>
      <c r="S50" s="4">
        <v>0</v>
      </c>
      <c r="T50" s="4">
        <v>0</v>
      </c>
      <c r="U50" s="21">
        <v>0</v>
      </c>
      <c r="V50" s="29">
        <v>0</v>
      </c>
      <c r="W50" s="30">
        <v>92.16218</v>
      </c>
      <c r="X50" s="21">
        <v>18.90191</v>
      </c>
      <c r="Y50" s="21">
        <v>50</v>
      </c>
      <c r="Z50" s="21">
        <v>123.8759</v>
      </c>
      <c r="AA50" s="21">
        <v>17.41537</v>
      </c>
      <c r="AB50" s="21">
        <v>44.08637</v>
      </c>
      <c r="AC50" s="21">
        <v>50</v>
      </c>
      <c r="AD50" s="21">
        <v>123.7847</v>
      </c>
      <c r="AE50" s="8">
        <v>14.68461</v>
      </c>
      <c r="AF50" s="8">
        <v>17.22548</v>
      </c>
      <c r="AG50" s="8"/>
      <c r="AH50" s="8">
        <v>0</v>
      </c>
      <c r="AI50" s="8">
        <v>0</v>
      </c>
      <c r="AJ50" s="8">
        <v>0</v>
      </c>
      <c r="AK50" s="8">
        <v>91.10605</v>
      </c>
      <c r="AL50" s="9">
        <v>35.69445</v>
      </c>
      <c r="AM50" s="31"/>
      <c r="AN50" s="22"/>
      <c r="AO50" s="8"/>
      <c r="AP50" s="8"/>
      <c r="AQ50" s="8"/>
      <c r="AR50" s="12"/>
    </row>
    <row r="51" spans="2:44" ht="13.5" customHeight="1" x14ac:dyDescent="0.25">
      <c r="B51" s="121">
        <v>0.83333333333333304</v>
      </c>
      <c r="C51" s="23">
        <v>0</v>
      </c>
      <c r="D51" s="13">
        <v>6.334782E-07</v>
      </c>
      <c r="E51" s="13">
        <v>38.37529</v>
      </c>
      <c r="F51" s="13"/>
      <c r="G51" s="13"/>
      <c r="H51" s="13">
        <v>0</v>
      </c>
      <c r="I51" s="13">
        <v>0</v>
      </c>
      <c r="J51" s="13">
        <v>26.59324</v>
      </c>
      <c r="K51" s="13">
        <v>40</v>
      </c>
      <c r="L51" s="13">
        <v>49.85894</v>
      </c>
      <c r="M51" s="13">
        <v>0</v>
      </c>
      <c r="N51" s="13">
        <v>0</v>
      </c>
      <c r="O51" s="13">
        <v>29.53197</v>
      </c>
      <c r="P51" s="13">
        <v>0.05</v>
      </c>
      <c r="Q51" s="13">
        <v>0.2212818</v>
      </c>
      <c r="R51" s="13">
        <v>0.0001670837</v>
      </c>
      <c r="S51" s="13">
        <v>0</v>
      </c>
      <c r="T51" s="13">
        <v>0</v>
      </c>
      <c r="U51" s="24">
        <v>0</v>
      </c>
      <c r="V51" s="32">
        <v>0</v>
      </c>
      <c r="W51" s="33">
        <v>97.70327</v>
      </c>
      <c r="X51" s="24">
        <v>19.12254</v>
      </c>
      <c r="Y51" s="24">
        <v>50</v>
      </c>
      <c r="Z51" s="24">
        <v>123.8759</v>
      </c>
      <c r="AA51" s="24">
        <v>18.278</v>
      </c>
      <c r="AB51" s="24">
        <v>42.08442</v>
      </c>
      <c r="AC51" s="24">
        <v>50</v>
      </c>
      <c r="AD51" s="24">
        <v>0</v>
      </c>
      <c r="AE51" s="17">
        <v>14.30483</v>
      </c>
      <c r="AF51" s="17">
        <v>16.83485</v>
      </c>
      <c r="AG51" s="17"/>
      <c r="AH51" s="17">
        <v>0</v>
      </c>
      <c r="AI51" s="17">
        <v>0</v>
      </c>
      <c r="AJ51" s="17">
        <v>0</v>
      </c>
      <c r="AK51" s="17">
        <v>91.08796</v>
      </c>
      <c r="AL51" s="18">
        <v>35.67998</v>
      </c>
      <c r="AM51" s="34"/>
      <c r="AN51" s="25"/>
      <c r="AO51" s="17"/>
      <c r="AP51" s="17"/>
      <c r="AQ51" s="17"/>
      <c r="AR51" s="28"/>
    </row>
    <row r="52" spans="2:44" ht="13.5" customHeight="1" x14ac:dyDescent="0.25">
      <c r="B52" s="163" t="s">
        <v>369</v>
      </c>
      <c r="C52" s="164"/>
      <c r="D52" s="72" t="s">
        <v>19</v>
      </c>
      <c r="E52" s="144" t="s">
        <v>20</v>
      </c>
      <c r="F52" s="147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  <c r="AA52" s="148"/>
      <c r="AB52" s="148"/>
      <c r="AC52" s="148"/>
      <c r="AD52" s="148"/>
      <c r="AE52" s="148"/>
      <c r="AF52" s="148"/>
      <c r="AG52" s="148"/>
      <c r="AH52" s="148"/>
      <c r="AI52" s="148"/>
      <c r="AJ52" s="148"/>
      <c r="AK52" s="148"/>
      <c r="AL52" s="148"/>
      <c r="AM52" s="148"/>
      <c r="AN52" s="148"/>
      <c r="AO52" s="148"/>
      <c r="AP52" s="148"/>
      <c r="AQ52" s="148"/>
      <c r="AR52" s="149"/>
    </row>
    <row r="53" spans="2:44" ht="13.5" customHeight="1" x14ac:dyDescent="0.25">
      <c r="B53" s="156"/>
      <c r="C53" s="157"/>
      <c r="D53" s="158"/>
      <c r="E53" s="145"/>
      <c r="F53" s="150"/>
      <c r="G53" s="151"/>
      <c r="H53" s="151"/>
      <c r="I53" s="151"/>
      <c r="J53" s="151"/>
      <c r="K53" s="151"/>
      <c r="L53" s="151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/>
      <c r="X53" s="151"/>
      <c r="Y53" s="151"/>
      <c r="Z53" s="151"/>
      <c r="AA53" s="151"/>
      <c r="AB53" s="151"/>
      <c r="AC53" s="151"/>
      <c r="AD53" s="151"/>
      <c r="AE53" s="151"/>
      <c r="AF53" s="151"/>
      <c r="AG53" s="151"/>
      <c r="AH53" s="151"/>
      <c r="AI53" s="151"/>
      <c r="AJ53" s="151"/>
      <c r="AK53" s="151"/>
      <c r="AL53" s="151"/>
      <c r="AM53" s="151"/>
      <c r="AN53" s="151"/>
      <c r="AO53" s="151"/>
      <c r="AP53" s="151"/>
      <c r="AQ53" s="151"/>
      <c r="AR53" s="152"/>
    </row>
    <row r="54" spans="2:44" ht="13.5" customHeight="1" thickBot="1" x14ac:dyDescent="0.3">
      <c r="B54" s="159"/>
      <c r="C54" s="160"/>
      <c r="D54" s="161"/>
      <c r="E54" s="146"/>
      <c r="F54" s="153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4"/>
      <c r="V54" s="154"/>
      <c r="W54" s="154"/>
      <c r="X54" s="154"/>
      <c r="Y54" s="154"/>
      <c r="Z54" s="154"/>
      <c r="AA54" s="154"/>
      <c r="AB54" s="154"/>
      <c r="AC54" s="154"/>
      <c r="AD54" s="154"/>
      <c r="AE54" s="154"/>
      <c r="AF54" s="154"/>
      <c r="AG54" s="154"/>
      <c r="AH54" s="154"/>
      <c r="AI54" s="154"/>
      <c r="AJ54" s="154"/>
      <c r="AK54" s="154"/>
      <c r="AL54" s="154"/>
      <c r="AM54" s="154"/>
      <c r="AN54" s="154"/>
      <c r="AO54" s="154"/>
      <c r="AP54" s="154"/>
      <c r="AQ54" s="154"/>
      <c r="AR54" s="155"/>
    </row>
    <row r="55" spans="2:44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</sheetData>
  <mergeCells count="50">
    <mergeCell ref="AC3:AD3"/>
    <mergeCell ref="AE4:AF4"/>
    <mergeCell ref="AE3:AK3"/>
    <mergeCell ref="O4:P4"/>
    <mergeCell ref="AI20:AJ20"/>
    <mergeCell ref="AK20:AL20"/>
    <mergeCell ref="AI19:AM19"/>
    <mergeCell ref="B19:B21"/>
    <mergeCell ref="E52:E54"/>
    <mergeCell ref="F52:AR54"/>
    <mergeCell ref="B53:D54"/>
    <mergeCell ref="B35:B38"/>
    <mergeCell ref="E19:G19"/>
    <mergeCell ref="F20:G20"/>
    <mergeCell ref="H19:L19"/>
    <mergeCell ref="M19:Q19"/>
    <mergeCell ref="AD20:AE20"/>
    <mergeCell ref="R19:AF19"/>
    <mergeCell ref="AG19:AH19"/>
    <mergeCell ref="AN19:AO19"/>
    <mergeCell ref="AP19:AR19"/>
    <mergeCell ref="B52:C52"/>
    <mergeCell ref="C36:D36"/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I4:J4"/>
    <mergeCell ref="I3:P3"/>
    <mergeCell ref="Q3:S3"/>
    <mergeCell ref="U4:V4"/>
    <mergeCell ref="T3:W3"/>
    <mergeCell ref="X3:Y3"/>
    <mergeCell ref="C35:V35"/>
    <mergeCell ref="W35:AJ35"/>
    <mergeCell ref="AM35:AN35"/>
    <mergeCell ref="H36:I36"/>
    <mergeCell ref="M36:N36"/>
    <mergeCell ref="U36:V36"/>
    <mergeCell ref="AH36:AJ36"/>
    <mergeCell ref="E36:G36"/>
    <mergeCell ref="Q36:R36"/>
    <mergeCell ref="S36:T36"/>
    <mergeCell ref="AK35:AL35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E548"/>
  <sheetViews>
    <sheetView zoomScale="85" zoomScaleNormal="85" workbookViewId="0">
      <selection activeCell="BR35" sqref="BR35"/>
    </sheetView>
  </sheetViews>
  <sheetFormatPr defaultColWidth="3.6328125" defaultRowHeight="12" customHeight="1" x14ac:dyDescent="0.25"/>
  <cols>
    <col min="1" max="55" width="3.6328125" style="1"/>
  </cols>
  <sheetData>
    <row r="1" spans="2:56" ht="12" customHeight="1" thickBot="1" x14ac:dyDescent="0.3">
      <c r="B1" s="169" t="s">
        <v>223</v>
      </c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  <c r="AM1" s="170"/>
      <c r="AN1" s="170"/>
      <c r="AO1" s="170"/>
      <c r="AP1" s="170"/>
      <c r="AQ1" s="170"/>
      <c r="AR1" s="170"/>
      <c r="AS1" s="170"/>
      <c r="AT1" s="170"/>
      <c r="AU1" s="170"/>
      <c r="AV1" s="170"/>
      <c r="AW1" s="170"/>
      <c r="AX1" s="170"/>
      <c r="AY1" s="170"/>
      <c r="AZ1" s="170"/>
      <c r="BA1" s="170"/>
      <c r="BB1" s="170"/>
      <c r="BC1" s="170"/>
      <c r="BD1" s="170"/>
    </row>
    <row r="2" spans="2:56" ht="12" customHeight="1" x14ac:dyDescent="0.25">
      <c r="B2" s="227" t="s">
        <v>225</v>
      </c>
      <c r="C2" s="228"/>
      <c r="D2" s="228"/>
      <c r="E2" s="228"/>
      <c r="F2" s="228"/>
      <c r="G2" s="228"/>
      <c r="H2" s="228"/>
      <c r="I2" s="228"/>
      <c r="J2" s="228"/>
      <c r="K2" s="228"/>
      <c r="L2" s="229"/>
      <c r="M2" s="230" t="s">
        <v>224</v>
      </c>
      <c r="N2" s="228"/>
      <c r="O2" s="228"/>
      <c r="P2" s="228"/>
      <c r="Q2" s="228"/>
      <c r="R2" s="228"/>
      <c r="S2" s="228"/>
      <c r="T2" s="228"/>
      <c r="U2" s="228"/>
      <c r="V2" s="228"/>
      <c r="W2" s="229"/>
      <c r="X2" s="231" t="s">
        <v>361</v>
      </c>
      <c r="Y2" s="228"/>
      <c r="Z2" s="228"/>
      <c r="AA2" s="228"/>
      <c r="AB2" s="228"/>
      <c r="AC2" s="228"/>
      <c r="AD2" s="228"/>
      <c r="AE2" s="228"/>
      <c r="AF2" s="228"/>
      <c r="AG2" s="228"/>
      <c r="AH2" s="229"/>
      <c r="AI2" s="230" t="s">
        <v>226</v>
      </c>
      <c r="AJ2" s="228"/>
      <c r="AK2" s="228"/>
      <c r="AL2" s="228"/>
      <c r="AM2" s="228"/>
      <c r="AN2" s="228"/>
      <c r="AO2" s="228"/>
      <c r="AP2" s="228"/>
      <c r="AQ2" s="228"/>
      <c r="AR2" s="228"/>
      <c r="AS2" s="228"/>
      <c r="AT2" s="231" t="s">
        <v>227</v>
      </c>
      <c r="AU2" s="228"/>
      <c r="AV2" s="228"/>
      <c r="AW2" s="228"/>
      <c r="AX2" s="228"/>
      <c r="AY2" s="228"/>
      <c r="AZ2" s="228"/>
      <c r="BA2" s="228"/>
      <c r="BB2" s="228"/>
      <c r="BC2" s="228"/>
      <c r="BD2" s="232"/>
    </row>
    <row r="3" spans="2:56" ht="12" customHeight="1" x14ac:dyDescent="0.25">
      <c r="B3" s="186"/>
      <c r="C3" s="187"/>
      <c r="D3" s="187"/>
      <c r="E3" s="187"/>
      <c r="F3" s="187"/>
      <c r="G3" s="187"/>
      <c r="H3" s="187"/>
      <c r="I3" s="187"/>
      <c r="J3" s="187"/>
      <c r="K3" s="187"/>
      <c r="L3" s="188"/>
      <c r="M3" s="194"/>
      <c r="N3" s="187"/>
      <c r="O3" s="187"/>
      <c r="P3" s="187"/>
      <c r="Q3" s="187"/>
      <c r="R3" s="187"/>
      <c r="S3" s="187"/>
      <c r="T3" s="187"/>
      <c r="U3" s="187"/>
      <c r="V3" s="187"/>
      <c r="W3" s="188"/>
      <c r="X3" s="198"/>
      <c r="Y3" s="187"/>
      <c r="Z3" s="187"/>
      <c r="AA3" s="187"/>
      <c r="AB3" s="187"/>
      <c r="AC3" s="187"/>
      <c r="AD3" s="187"/>
      <c r="AE3" s="187"/>
      <c r="AF3" s="187"/>
      <c r="AG3" s="187"/>
      <c r="AH3" s="188"/>
      <c r="AI3" s="199"/>
      <c r="AJ3" s="187"/>
      <c r="AK3" s="187"/>
      <c r="AL3" s="187"/>
      <c r="AM3" s="187"/>
      <c r="AN3" s="187"/>
      <c r="AO3" s="187"/>
      <c r="AP3" s="187"/>
      <c r="AQ3" s="187"/>
      <c r="AR3" s="187"/>
      <c r="AS3" s="187"/>
      <c r="AT3" s="198"/>
      <c r="AU3" s="187"/>
      <c r="AV3" s="187"/>
      <c r="AW3" s="187"/>
      <c r="AX3" s="187"/>
      <c r="AY3" s="187"/>
      <c r="AZ3" s="187"/>
      <c r="BA3" s="187"/>
      <c r="BB3" s="187"/>
      <c r="BC3" s="187"/>
      <c r="BD3" s="200"/>
    </row>
    <row r="4" spans="2:56" ht="12" customHeight="1" x14ac:dyDescent="0.25">
      <c r="B4" s="189"/>
      <c r="C4" s="190"/>
      <c r="D4" s="190"/>
      <c r="E4" s="190"/>
      <c r="F4" s="190"/>
      <c r="G4" s="190"/>
      <c r="H4" s="190"/>
      <c r="I4" s="190"/>
      <c r="J4" s="190"/>
      <c r="K4" s="190"/>
      <c r="L4" s="191"/>
      <c r="M4" s="195"/>
      <c r="N4" s="190"/>
      <c r="O4" s="190"/>
      <c r="P4" s="190"/>
      <c r="Q4" s="190"/>
      <c r="R4" s="190"/>
      <c r="S4" s="190"/>
      <c r="T4" s="190"/>
      <c r="U4" s="190"/>
      <c r="V4" s="190"/>
      <c r="W4" s="191"/>
      <c r="X4" s="195"/>
      <c r="Y4" s="190"/>
      <c r="Z4" s="190"/>
      <c r="AA4" s="190"/>
      <c r="AB4" s="190"/>
      <c r="AC4" s="190"/>
      <c r="AD4" s="190"/>
      <c r="AE4" s="190"/>
      <c r="AF4" s="190"/>
      <c r="AG4" s="190"/>
      <c r="AH4" s="191"/>
      <c r="AI4" s="195"/>
      <c r="AJ4" s="190"/>
      <c r="AK4" s="190"/>
      <c r="AL4" s="190"/>
      <c r="AM4" s="190"/>
      <c r="AN4" s="190"/>
      <c r="AO4" s="190"/>
      <c r="AP4" s="190"/>
      <c r="AQ4" s="190"/>
      <c r="AR4" s="190"/>
      <c r="AS4" s="190"/>
      <c r="AT4" s="195"/>
      <c r="AU4" s="190"/>
      <c r="AV4" s="190"/>
      <c r="AW4" s="190"/>
      <c r="AX4" s="190"/>
      <c r="AY4" s="190"/>
      <c r="AZ4" s="190"/>
      <c r="BA4" s="190"/>
      <c r="BB4" s="190"/>
      <c r="BC4" s="190"/>
      <c r="BD4" s="201"/>
    </row>
    <row r="5" spans="2:56" ht="12" customHeight="1" x14ac:dyDescent="0.25">
      <c r="B5" s="189"/>
      <c r="C5" s="190"/>
      <c r="D5" s="190"/>
      <c r="E5" s="190"/>
      <c r="F5" s="190"/>
      <c r="G5" s="190"/>
      <c r="H5" s="190"/>
      <c r="I5" s="190"/>
      <c r="J5" s="190"/>
      <c r="K5" s="190"/>
      <c r="L5" s="191"/>
      <c r="M5" s="195"/>
      <c r="N5" s="190"/>
      <c r="O5" s="190"/>
      <c r="P5" s="190"/>
      <c r="Q5" s="190"/>
      <c r="R5" s="190"/>
      <c r="S5" s="190"/>
      <c r="T5" s="190"/>
      <c r="U5" s="190"/>
      <c r="V5" s="190"/>
      <c r="W5" s="191"/>
      <c r="X5" s="195"/>
      <c r="Y5" s="190"/>
      <c r="Z5" s="190"/>
      <c r="AA5" s="190"/>
      <c r="AB5" s="190"/>
      <c r="AC5" s="190"/>
      <c r="AD5" s="190"/>
      <c r="AE5" s="190"/>
      <c r="AF5" s="190"/>
      <c r="AG5" s="190"/>
      <c r="AH5" s="191"/>
      <c r="AI5" s="195"/>
      <c r="AJ5" s="190"/>
      <c r="AK5" s="190"/>
      <c r="AL5" s="190"/>
      <c r="AM5" s="190"/>
      <c r="AN5" s="190"/>
      <c r="AO5" s="190"/>
      <c r="AP5" s="190"/>
      <c r="AQ5" s="190"/>
      <c r="AR5" s="190"/>
      <c r="AS5" s="190"/>
      <c r="AT5" s="195"/>
      <c r="AU5" s="190"/>
      <c r="AV5" s="190"/>
      <c r="AW5" s="190"/>
      <c r="AX5" s="190"/>
      <c r="AY5" s="190"/>
      <c r="AZ5" s="190"/>
      <c r="BA5" s="190"/>
      <c r="BB5" s="190"/>
      <c r="BC5" s="190"/>
      <c r="BD5" s="201"/>
    </row>
    <row r="6" spans="2:56" ht="12" customHeight="1" x14ac:dyDescent="0.25">
      <c r="B6" s="189"/>
      <c r="C6" s="190"/>
      <c r="D6" s="190"/>
      <c r="E6" s="190"/>
      <c r="F6" s="190"/>
      <c r="G6" s="190"/>
      <c r="H6" s="190"/>
      <c r="I6" s="190"/>
      <c r="J6" s="190"/>
      <c r="K6" s="190"/>
      <c r="L6" s="191"/>
      <c r="M6" s="195"/>
      <c r="N6" s="190"/>
      <c r="O6" s="190"/>
      <c r="P6" s="190"/>
      <c r="Q6" s="190"/>
      <c r="R6" s="190"/>
      <c r="S6" s="190"/>
      <c r="T6" s="190"/>
      <c r="U6" s="190"/>
      <c r="V6" s="190"/>
      <c r="W6" s="191"/>
      <c r="X6" s="195"/>
      <c r="Y6" s="190"/>
      <c r="Z6" s="190"/>
      <c r="AA6" s="190"/>
      <c r="AB6" s="190"/>
      <c r="AC6" s="190"/>
      <c r="AD6" s="190"/>
      <c r="AE6" s="190"/>
      <c r="AF6" s="190"/>
      <c r="AG6" s="190"/>
      <c r="AH6" s="191"/>
      <c r="AI6" s="195"/>
      <c r="AJ6" s="190"/>
      <c r="AK6" s="190"/>
      <c r="AL6" s="190"/>
      <c r="AM6" s="190"/>
      <c r="AN6" s="190"/>
      <c r="AO6" s="190"/>
      <c r="AP6" s="190"/>
      <c r="AQ6" s="190"/>
      <c r="AR6" s="190"/>
      <c r="AS6" s="190"/>
      <c r="AT6" s="195"/>
      <c r="AU6" s="190"/>
      <c r="AV6" s="190"/>
      <c r="AW6" s="190"/>
      <c r="AX6" s="190"/>
      <c r="AY6" s="190"/>
      <c r="AZ6" s="190"/>
      <c r="BA6" s="190"/>
      <c r="BB6" s="190"/>
      <c r="BC6" s="190"/>
      <c r="BD6" s="201"/>
    </row>
    <row r="7" spans="2:56" ht="12" customHeight="1" x14ac:dyDescent="0.25">
      <c r="B7" s="189"/>
      <c r="C7" s="190"/>
      <c r="D7" s="190"/>
      <c r="E7" s="190"/>
      <c r="F7" s="190"/>
      <c r="G7" s="190"/>
      <c r="H7" s="190"/>
      <c r="I7" s="190"/>
      <c r="J7" s="190"/>
      <c r="K7" s="190"/>
      <c r="L7" s="191"/>
      <c r="M7" s="195"/>
      <c r="N7" s="190"/>
      <c r="O7" s="190"/>
      <c r="P7" s="190"/>
      <c r="Q7" s="190"/>
      <c r="R7" s="190"/>
      <c r="S7" s="190"/>
      <c r="T7" s="190"/>
      <c r="U7" s="190"/>
      <c r="V7" s="190"/>
      <c r="W7" s="191"/>
      <c r="X7" s="195"/>
      <c r="Y7" s="190"/>
      <c r="Z7" s="190"/>
      <c r="AA7" s="190"/>
      <c r="AB7" s="190"/>
      <c r="AC7" s="190"/>
      <c r="AD7" s="190"/>
      <c r="AE7" s="190"/>
      <c r="AF7" s="190"/>
      <c r="AG7" s="190"/>
      <c r="AH7" s="191"/>
      <c r="AI7" s="195"/>
      <c r="AJ7" s="190"/>
      <c r="AK7" s="190"/>
      <c r="AL7" s="190"/>
      <c r="AM7" s="190"/>
      <c r="AN7" s="190"/>
      <c r="AO7" s="190"/>
      <c r="AP7" s="190"/>
      <c r="AQ7" s="190"/>
      <c r="AR7" s="190"/>
      <c r="AS7" s="190"/>
      <c r="AT7" s="195"/>
      <c r="AU7" s="190"/>
      <c r="AV7" s="190"/>
      <c r="AW7" s="190"/>
      <c r="AX7" s="190"/>
      <c r="AY7" s="190"/>
      <c r="AZ7" s="190"/>
      <c r="BA7" s="190"/>
      <c r="BB7" s="190"/>
      <c r="BC7" s="190"/>
      <c r="BD7" s="201"/>
    </row>
    <row r="8" spans="2:56" ht="12" customHeight="1" x14ac:dyDescent="0.25">
      <c r="B8" s="189"/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5"/>
      <c r="N8" s="190"/>
      <c r="O8" s="190"/>
      <c r="P8" s="190"/>
      <c r="Q8" s="190"/>
      <c r="R8" s="190"/>
      <c r="S8" s="190"/>
      <c r="T8" s="190"/>
      <c r="U8" s="190"/>
      <c r="V8" s="190"/>
      <c r="W8" s="191"/>
      <c r="X8" s="195"/>
      <c r="Y8" s="190"/>
      <c r="Z8" s="190"/>
      <c r="AA8" s="190"/>
      <c r="AB8" s="190"/>
      <c r="AC8" s="190"/>
      <c r="AD8" s="190"/>
      <c r="AE8" s="190"/>
      <c r="AF8" s="190"/>
      <c r="AG8" s="190"/>
      <c r="AH8" s="191"/>
      <c r="AI8" s="195"/>
      <c r="AJ8" s="190"/>
      <c r="AK8" s="190"/>
      <c r="AL8" s="190"/>
      <c r="AM8" s="190"/>
      <c r="AN8" s="190"/>
      <c r="AO8" s="190"/>
      <c r="AP8" s="190"/>
      <c r="AQ8" s="190"/>
      <c r="AR8" s="190"/>
      <c r="AS8" s="190"/>
      <c r="AT8" s="195"/>
      <c r="AU8" s="190"/>
      <c r="AV8" s="190"/>
      <c r="AW8" s="190"/>
      <c r="AX8" s="190"/>
      <c r="AY8" s="190"/>
      <c r="AZ8" s="190"/>
      <c r="BA8" s="190"/>
      <c r="BB8" s="190"/>
      <c r="BC8" s="190"/>
      <c r="BD8" s="201"/>
    </row>
    <row r="9" spans="2:56" ht="12" customHeight="1" x14ac:dyDescent="0.25">
      <c r="B9" s="192"/>
      <c r="C9" s="193"/>
      <c r="D9" s="193"/>
      <c r="E9" s="193"/>
      <c r="F9" s="193"/>
      <c r="G9" s="193"/>
      <c r="H9" s="193"/>
      <c r="I9" s="193"/>
      <c r="J9" s="193"/>
      <c r="K9" s="193"/>
      <c r="L9" s="172"/>
      <c r="M9" s="196"/>
      <c r="N9" s="193"/>
      <c r="O9" s="193"/>
      <c r="P9" s="193"/>
      <c r="Q9" s="193"/>
      <c r="R9" s="193"/>
      <c r="S9" s="193"/>
      <c r="T9" s="193"/>
      <c r="U9" s="193"/>
      <c r="V9" s="193"/>
      <c r="W9" s="172"/>
      <c r="X9" s="196"/>
      <c r="Y9" s="193"/>
      <c r="Z9" s="193"/>
      <c r="AA9" s="193"/>
      <c r="AB9" s="193"/>
      <c r="AC9" s="193"/>
      <c r="AD9" s="193"/>
      <c r="AE9" s="193"/>
      <c r="AF9" s="193"/>
      <c r="AG9" s="193"/>
      <c r="AH9" s="172"/>
      <c r="AI9" s="196"/>
      <c r="AJ9" s="193"/>
      <c r="AK9" s="193"/>
      <c r="AL9" s="193"/>
      <c r="AM9" s="193"/>
      <c r="AN9" s="193"/>
      <c r="AO9" s="193"/>
      <c r="AP9" s="193"/>
      <c r="AQ9" s="193"/>
      <c r="AR9" s="193"/>
      <c r="AS9" s="193"/>
      <c r="AT9" s="196"/>
      <c r="AU9" s="193"/>
      <c r="AV9" s="193"/>
      <c r="AW9" s="193"/>
      <c r="AX9" s="193"/>
      <c r="AY9" s="193"/>
      <c r="AZ9" s="193"/>
      <c r="BA9" s="193"/>
      <c r="BB9" s="193"/>
      <c r="BC9" s="193"/>
      <c r="BD9" s="202"/>
    </row>
    <row r="10" spans="2:56" ht="12" customHeight="1" x14ac:dyDescent="0.25">
      <c r="B10" s="210" t="s">
        <v>228</v>
      </c>
      <c r="C10" s="208"/>
      <c r="D10" s="208"/>
      <c r="E10" s="208"/>
      <c r="F10" s="208"/>
      <c r="G10" s="208"/>
      <c r="H10" s="208"/>
      <c r="I10" s="208"/>
      <c r="J10" s="208"/>
      <c r="K10" s="208"/>
      <c r="L10" s="209"/>
      <c r="M10" s="225" t="s">
        <v>229</v>
      </c>
      <c r="N10" s="208"/>
      <c r="O10" s="208"/>
      <c r="P10" s="208"/>
      <c r="Q10" s="208"/>
      <c r="R10" s="208"/>
      <c r="S10" s="208"/>
      <c r="T10" s="208"/>
      <c r="U10" s="208"/>
      <c r="V10" s="208"/>
      <c r="W10" s="209"/>
      <c r="X10" s="226" t="s">
        <v>230</v>
      </c>
      <c r="Y10" s="208"/>
      <c r="Z10" s="208"/>
      <c r="AA10" s="208"/>
      <c r="AB10" s="208"/>
      <c r="AC10" s="208"/>
      <c r="AD10" s="208"/>
      <c r="AE10" s="208"/>
      <c r="AF10" s="208"/>
      <c r="AG10" s="208"/>
      <c r="AH10" s="209"/>
      <c r="AI10" s="226" t="s">
        <v>231</v>
      </c>
      <c r="AJ10" s="208"/>
      <c r="AK10" s="208"/>
      <c r="AL10" s="208"/>
      <c r="AM10" s="208"/>
      <c r="AN10" s="208"/>
      <c r="AO10" s="208"/>
      <c r="AP10" s="208"/>
      <c r="AQ10" s="208"/>
      <c r="AR10" s="208"/>
      <c r="AS10" s="208"/>
      <c r="AT10" s="180" t="s">
        <v>232</v>
      </c>
      <c r="AU10" s="208"/>
      <c r="AV10" s="208"/>
      <c r="AW10" s="208"/>
      <c r="AX10" s="208"/>
      <c r="AY10" s="208"/>
      <c r="AZ10" s="208"/>
      <c r="BA10" s="208"/>
      <c r="BB10" s="208"/>
      <c r="BC10" s="208"/>
      <c r="BD10" s="215"/>
    </row>
    <row r="11" spans="2:56" ht="12" customHeight="1" x14ac:dyDescent="0.25">
      <c r="B11" s="186"/>
      <c r="C11" s="187"/>
      <c r="D11" s="187"/>
      <c r="E11" s="187"/>
      <c r="F11" s="187"/>
      <c r="G11" s="187"/>
      <c r="H11" s="187"/>
      <c r="I11" s="187"/>
      <c r="J11" s="187"/>
      <c r="K11" s="187"/>
      <c r="L11" s="188"/>
      <c r="M11" s="194"/>
      <c r="N11" s="187"/>
      <c r="O11" s="187"/>
      <c r="P11" s="187"/>
      <c r="Q11" s="187"/>
      <c r="R11" s="187"/>
      <c r="S11" s="187"/>
      <c r="T11" s="187"/>
      <c r="U11" s="187"/>
      <c r="V11" s="187"/>
      <c r="W11" s="188"/>
      <c r="X11" s="194"/>
      <c r="Y11" s="187"/>
      <c r="Z11" s="187"/>
      <c r="AA11" s="187"/>
      <c r="AB11" s="187"/>
      <c r="AC11" s="187"/>
      <c r="AD11" s="187"/>
      <c r="AE11" s="187"/>
      <c r="AF11" s="187"/>
      <c r="AG11" s="187"/>
      <c r="AH11" s="188"/>
      <c r="AI11" s="194"/>
      <c r="AJ11" s="187"/>
      <c r="AK11" s="187"/>
      <c r="AL11" s="187"/>
      <c r="AM11" s="187"/>
      <c r="AN11" s="187"/>
      <c r="AO11" s="187"/>
      <c r="AP11" s="187"/>
      <c r="AQ11" s="187"/>
      <c r="AR11" s="187"/>
      <c r="AS11" s="187"/>
      <c r="AT11" s="203"/>
      <c r="AU11" s="187"/>
      <c r="AV11" s="187"/>
      <c r="AW11" s="187"/>
      <c r="AX11" s="187"/>
      <c r="AY11" s="187"/>
      <c r="AZ11" s="187"/>
      <c r="BA11" s="187"/>
      <c r="BB11" s="187"/>
      <c r="BC11" s="187"/>
      <c r="BD11" s="200"/>
    </row>
    <row r="12" spans="2:56" ht="12" customHeight="1" x14ac:dyDescent="0.25">
      <c r="B12" s="189"/>
      <c r="C12" s="190"/>
      <c r="D12" s="190"/>
      <c r="E12" s="190"/>
      <c r="F12" s="190"/>
      <c r="G12" s="190"/>
      <c r="H12" s="190"/>
      <c r="I12" s="190"/>
      <c r="J12" s="190"/>
      <c r="K12" s="190"/>
      <c r="L12" s="191"/>
      <c r="M12" s="195"/>
      <c r="N12" s="190"/>
      <c r="O12" s="190"/>
      <c r="P12" s="190"/>
      <c r="Q12" s="190"/>
      <c r="R12" s="190"/>
      <c r="S12" s="190"/>
      <c r="T12" s="190"/>
      <c r="U12" s="190"/>
      <c r="V12" s="190"/>
      <c r="W12" s="191"/>
      <c r="X12" s="195"/>
      <c r="Y12" s="190"/>
      <c r="Z12" s="190"/>
      <c r="AA12" s="190"/>
      <c r="AB12" s="190"/>
      <c r="AC12" s="190"/>
      <c r="AD12" s="190"/>
      <c r="AE12" s="190"/>
      <c r="AF12" s="190"/>
      <c r="AG12" s="190"/>
      <c r="AH12" s="191"/>
      <c r="AI12" s="195"/>
      <c r="AJ12" s="190"/>
      <c r="AK12" s="190"/>
      <c r="AL12" s="190"/>
      <c r="AM12" s="190"/>
      <c r="AN12" s="190"/>
      <c r="AO12" s="190"/>
      <c r="AP12" s="190"/>
      <c r="AQ12" s="190"/>
      <c r="AR12" s="190"/>
      <c r="AS12" s="190"/>
      <c r="AT12" s="195"/>
      <c r="AU12" s="190"/>
      <c r="AV12" s="190"/>
      <c r="AW12" s="190"/>
      <c r="AX12" s="190"/>
      <c r="AY12" s="190"/>
      <c r="AZ12" s="190"/>
      <c r="BA12" s="190"/>
      <c r="BB12" s="190"/>
      <c r="BC12" s="190"/>
      <c r="BD12" s="201"/>
    </row>
    <row r="13" spans="2:56" ht="12" customHeight="1" x14ac:dyDescent="0.25">
      <c r="B13" s="189"/>
      <c r="C13" s="190"/>
      <c r="D13" s="190"/>
      <c r="E13" s="190"/>
      <c r="F13" s="190"/>
      <c r="G13" s="190"/>
      <c r="H13" s="190"/>
      <c r="I13" s="190"/>
      <c r="J13" s="190"/>
      <c r="K13" s="190"/>
      <c r="L13" s="191"/>
      <c r="M13" s="195"/>
      <c r="N13" s="190"/>
      <c r="O13" s="190"/>
      <c r="P13" s="190"/>
      <c r="Q13" s="190"/>
      <c r="R13" s="190"/>
      <c r="S13" s="190"/>
      <c r="T13" s="190"/>
      <c r="U13" s="190"/>
      <c r="V13" s="190"/>
      <c r="W13" s="191"/>
      <c r="X13" s="195"/>
      <c r="Y13" s="190"/>
      <c r="Z13" s="190"/>
      <c r="AA13" s="190"/>
      <c r="AB13" s="190"/>
      <c r="AC13" s="190"/>
      <c r="AD13" s="190"/>
      <c r="AE13" s="190"/>
      <c r="AF13" s="190"/>
      <c r="AG13" s="190"/>
      <c r="AH13" s="191"/>
      <c r="AI13" s="195"/>
      <c r="AJ13" s="190"/>
      <c r="AK13" s="190"/>
      <c r="AL13" s="190"/>
      <c r="AM13" s="190"/>
      <c r="AN13" s="190"/>
      <c r="AO13" s="190"/>
      <c r="AP13" s="190"/>
      <c r="AQ13" s="190"/>
      <c r="AR13" s="190"/>
      <c r="AS13" s="190"/>
      <c r="AT13" s="195"/>
      <c r="AU13" s="190"/>
      <c r="AV13" s="190"/>
      <c r="AW13" s="190"/>
      <c r="AX13" s="190"/>
      <c r="AY13" s="190"/>
      <c r="AZ13" s="190"/>
      <c r="BA13" s="190"/>
      <c r="BB13" s="190"/>
      <c r="BC13" s="190"/>
      <c r="BD13" s="201"/>
    </row>
    <row r="14" spans="2:56" ht="12" customHeight="1" x14ac:dyDescent="0.25">
      <c r="B14" s="189"/>
      <c r="C14" s="190"/>
      <c r="D14" s="190"/>
      <c r="E14" s="190"/>
      <c r="F14" s="190"/>
      <c r="G14" s="190"/>
      <c r="H14" s="190"/>
      <c r="I14" s="190"/>
      <c r="J14" s="190"/>
      <c r="K14" s="190"/>
      <c r="L14" s="191"/>
      <c r="M14" s="195"/>
      <c r="N14" s="190"/>
      <c r="O14" s="190"/>
      <c r="P14" s="190"/>
      <c r="Q14" s="190"/>
      <c r="R14" s="190"/>
      <c r="S14" s="190"/>
      <c r="T14" s="190"/>
      <c r="U14" s="190"/>
      <c r="V14" s="190"/>
      <c r="W14" s="191"/>
      <c r="X14" s="195"/>
      <c r="Y14" s="190"/>
      <c r="Z14" s="190"/>
      <c r="AA14" s="190"/>
      <c r="AB14" s="190"/>
      <c r="AC14" s="190"/>
      <c r="AD14" s="190"/>
      <c r="AE14" s="190"/>
      <c r="AF14" s="190"/>
      <c r="AG14" s="190"/>
      <c r="AH14" s="191"/>
      <c r="AI14" s="195"/>
      <c r="AJ14" s="190"/>
      <c r="AK14" s="190"/>
      <c r="AL14" s="190"/>
      <c r="AM14" s="190"/>
      <c r="AN14" s="190"/>
      <c r="AO14" s="190"/>
      <c r="AP14" s="190"/>
      <c r="AQ14" s="190"/>
      <c r="AR14" s="190"/>
      <c r="AS14" s="190"/>
      <c r="AT14" s="195"/>
      <c r="AU14" s="190"/>
      <c r="AV14" s="190"/>
      <c r="AW14" s="190"/>
      <c r="AX14" s="190"/>
      <c r="AY14" s="190"/>
      <c r="AZ14" s="190"/>
      <c r="BA14" s="190"/>
      <c r="BB14" s="190"/>
      <c r="BC14" s="190"/>
      <c r="BD14" s="201"/>
    </row>
    <row r="15" spans="2:56" ht="12" customHeight="1" x14ac:dyDescent="0.25">
      <c r="B15" s="189"/>
      <c r="C15" s="190"/>
      <c r="D15" s="190"/>
      <c r="E15" s="190"/>
      <c r="F15" s="190"/>
      <c r="G15" s="190"/>
      <c r="H15" s="190"/>
      <c r="I15" s="190"/>
      <c r="J15" s="190"/>
      <c r="K15" s="190"/>
      <c r="L15" s="191"/>
      <c r="M15" s="195"/>
      <c r="N15" s="190"/>
      <c r="O15" s="190"/>
      <c r="P15" s="190"/>
      <c r="Q15" s="190"/>
      <c r="R15" s="190"/>
      <c r="S15" s="190"/>
      <c r="T15" s="190"/>
      <c r="U15" s="190"/>
      <c r="V15" s="190"/>
      <c r="W15" s="191"/>
      <c r="X15" s="195"/>
      <c r="Y15" s="190"/>
      <c r="Z15" s="190"/>
      <c r="AA15" s="190"/>
      <c r="AB15" s="190"/>
      <c r="AC15" s="190"/>
      <c r="AD15" s="190"/>
      <c r="AE15" s="190"/>
      <c r="AF15" s="190"/>
      <c r="AG15" s="190"/>
      <c r="AH15" s="191"/>
      <c r="AI15" s="195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5"/>
      <c r="AU15" s="190"/>
      <c r="AV15" s="190"/>
      <c r="AW15" s="190"/>
      <c r="AX15" s="190"/>
      <c r="AY15" s="190"/>
      <c r="AZ15" s="190"/>
      <c r="BA15" s="190"/>
      <c r="BB15" s="190"/>
      <c r="BC15" s="190"/>
      <c r="BD15" s="201"/>
    </row>
    <row r="16" spans="2:56" ht="12" customHeight="1" x14ac:dyDescent="0.25">
      <c r="B16" s="189"/>
      <c r="C16" s="190"/>
      <c r="D16" s="190"/>
      <c r="E16" s="190"/>
      <c r="F16" s="190"/>
      <c r="G16" s="190"/>
      <c r="H16" s="190"/>
      <c r="I16" s="190"/>
      <c r="J16" s="190"/>
      <c r="K16" s="190"/>
      <c r="L16" s="191"/>
      <c r="M16" s="195"/>
      <c r="N16" s="190"/>
      <c r="O16" s="190"/>
      <c r="P16" s="190"/>
      <c r="Q16" s="190"/>
      <c r="R16" s="190"/>
      <c r="S16" s="190"/>
      <c r="T16" s="190"/>
      <c r="U16" s="190"/>
      <c r="V16" s="190"/>
      <c r="W16" s="191"/>
      <c r="X16" s="195"/>
      <c r="Y16" s="190"/>
      <c r="Z16" s="190"/>
      <c r="AA16" s="190"/>
      <c r="AB16" s="190"/>
      <c r="AC16" s="190"/>
      <c r="AD16" s="190"/>
      <c r="AE16" s="190"/>
      <c r="AF16" s="190"/>
      <c r="AG16" s="190"/>
      <c r="AH16" s="191"/>
      <c r="AI16" s="195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5"/>
      <c r="AU16" s="190"/>
      <c r="AV16" s="190"/>
      <c r="AW16" s="190"/>
      <c r="AX16" s="190"/>
      <c r="AY16" s="190"/>
      <c r="AZ16" s="190"/>
      <c r="BA16" s="190"/>
      <c r="BB16" s="190"/>
      <c r="BC16" s="190"/>
      <c r="BD16" s="201"/>
    </row>
    <row r="17" spans="2:56" ht="12" customHeight="1" x14ac:dyDescent="0.25">
      <c r="B17" s="192"/>
      <c r="C17" s="193"/>
      <c r="D17" s="193"/>
      <c r="E17" s="193"/>
      <c r="F17" s="193"/>
      <c r="G17" s="193"/>
      <c r="H17" s="193"/>
      <c r="I17" s="193"/>
      <c r="J17" s="193"/>
      <c r="K17" s="193"/>
      <c r="L17" s="172"/>
      <c r="M17" s="196"/>
      <c r="N17" s="193"/>
      <c r="O17" s="193"/>
      <c r="P17" s="193"/>
      <c r="Q17" s="193"/>
      <c r="R17" s="193"/>
      <c r="S17" s="193"/>
      <c r="T17" s="193"/>
      <c r="U17" s="193"/>
      <c r="V17" s="193"/>
      <c r="W17" s="172"/>
      <c r="X17" s="196"/>
      <c r="Y17" s="193"/>
      <c r="Z17" s="193"/>
      <c r="AA17" s="193"/>
      <c r="AB17" s="193"/>
      <c r="AC17" s="193"/>
      <c r="AD17" s="193"/>
      <c r="AE17" s="193"/>
      <c r="AF17" s="193"/>
      <c r="AG17" s="193"/>
      <c r="AH17" s="172"/>
      <c r="AI17" s="196"/>
      <c r="AJ17" s="193"/>
      <c r="AK17" s="193"/>
      <c r="AL17" s="193"/>
      <c r="AM17" s="193"/>
      <c r="AN17" s="193"/>
      <c r="AO17" s="193"/>
      <c r="AP17" s="193"/>
      <c r="AQ17" s="193"/>
      <c r="AR17" s="193"/>
      <c r="AS17" s="193"/>
      <c r="AT17" s="196"/>
      <c r="AU17" s="193"/>
      <c r="AV17" s="193"/>
      <c r="AW17" s="193"/>
      <c r="AX17" s="193"/>
      <c r="AY17" s="193"/>
      <c r="AZ17" s="193"/>
      <c r="BA17" s="193"/>
      <c r="BB17" s="193"/>
      <c r="BC17" s="193"/>
      <c r="BD17" s="202"/>
    </row>
    <row r="18" spans="2:56" ht="12" customHeight="1" x14ac:dyDescent="0.25">
      <c r="B18" s="210" t="s">
        <v>233</v>
      </c>
      <c r="C18" s="208"/>
      <c r="D18" s="208"/>
      <c r="E18" s="208"/>
      <c r="F18" s="208"/>
      <c r="G18" s="208"/>
      <c r="H18" s="208"/>
      <c r="I18" s="208"/>
      <c r="J18" s="208"/>
      <c r="K18" s="208"/>
      <c r="L18" s="208"/>
      <c r="M18" s="211" t="s">
        <v>234</v>
      </c>
      <c r="N18" s="208"/>
      <c r="O18" s="208"/>
      <c r="P18" s="208"/>
      <c r="Q18" s="208"/>
      <c r="R18" s="208"/>
      <c r="S18" s="208"/>
      <c r="T18" s="208"/>
      <c r="U18" s="208"/>
      <c r="V18" s="208"/>
      <c r="W18" s="209"/>
      <c r="X18" s="207" t="s">
        <v>235</v>
      </c>
      <c r="Y18" s="208"/>
      <c r="Z18" s="208"/>
      <c r="AA18" s="208"/>
      <c r="AB18" s="208"/>
      <c r="AC18" s="208"/>
      <c r="AD18" s="208"/>
      <c r="AE18" s="208"/>
      <c r="AF18" s="208"/>
      <c r="AG18" s="208"/>
      <c r="AH18" s="209"/>
      <c r="AI18" s="233" t="s">
        <v>236</v>
      </c>
      <c r="AJ18" s="208"/>
      <c r="AK18" s="208"/>
      <c r="AL18" s="208"/>
      <c r="AM18" s="208"/>
      <c r="AN18" s="208"/>
      <c r="AO18" s="208"/>
      <c r="AP18" s="208"/>
      <c r="AQ18" s="208"/>
      <c r="AR18" s="208"/>
      <c r="AS18" s="208"/>
      <c r="AT18" s="180" t="s">
        <v>237</v>
      </c>
      <c r="AU18" s="208"/>
      <c r="AV18" s="208"/>
      <c r="AW18" s="208"/>
      <c r="AX18" s="208"/>
      <c r="AY18" s="208"/>
      <c r="AZ18" s="208"/>
      <c r="BA18" s="208"/>
      <c r="BB18" s="208"/>
      <c r="BC18" s="208"/>
      <c r="BD18" s="215"/>
    </row>
    <row r="19" spans="2:56" ht="12" customHeight="1" x14ac:dyDescent="0.25">
      <c r="B19" s="186"/>
      <c r="C19" s="187"/>
      <c r="D19" s="187"/>
      <c r="E19" s="187"/>
      <c r="F19" s="187"/>
      <c r="G19" s="187"/>
      <c r="H19" s="187"/>
      <c r="I19" s="187"/>
      <c r="J19" s="187"/>
      <c r="K19" s="187"/>
      <c r="L19" s="188"/>
      <c r="M19" s="205"/>
      <c r="N19" s="187"/>
      <c r="O19" s="187"/>
      <c r="P19" s="187"/>
      <c r="Q19" s="187"/>
      <c r="R19" s="187"/>
      <c r="S19" s="187"/>
      <c r="T19" s="187"/>
      <c r="U19" s="187"/>
      <c r="V19" s="187"/>
      <c r="W19" s="188"/>
      <c r="X19" s="234"/>
      <c r="Y19" s="187"/>
      <c r="Z19" s="187"/>
      <c r="AA19" s="187"/>
      <c r="AB19" s="187"/>
      <c r="AC19" s="187"/>
      <c r="AD19" s="187"/>
      <c r="AE19" s="187"/>
      <c r="AF19" s="187"/>
      <c r="AG19" s="187"/>
      <c r="AH19" s="188"/>
      <c r="AI19" s="198"/>
      <c r="AJ19" s="187"/>
      <c r="AK19" s="187"/>
      <c r="AL19" s="187"/>
      <c r="AM19" s="187"/>
      <c r="AN19" s="187"/>
      <c r="AO19" s="187"/>
      <c r="AP19" s="187"/>
      <c r="AQ19" s="187"/>
      <c r="AR19" s="187"/>
      <c r="AS19" s="187"/>
      <c r="AT19" s="203"/>
      <c r="AU19" s="187"/>
      <c r="AV19" s="187"/>
      <c r="AW19" s="187"/>
      <c r="AX19" s="187"/>
      <c r="AY19" s="187"/>
      <c r="AZ19" s="187"/>
      <c r="BA19" s="187"/>
      <c r="BB19" s="187"/>
      <c r="BC19" s="187"/>
      <c r="BD19" s="200"/>
    </row>
    <row r="20" spans="2:56" ht="12" customHeight="1" x14ac:dyDescent="0.25">
      <c r="B20" s="204"/>
      <c r="C20" s="190"/>
      <c r="D20" s="190"/>
      <c r="E20" s="190"/>
      <c r="F20" s="190"/>
      <c r="G20" s="190"/>
      <c r="H20" s="190"/>
      <c r="I20" s="190"/>
      <c r="J20" s="190"/>
      <c r="K20" s="190"/>
      <c r="L20" s="191"/>
      <c r="M20" s="206"/>
      <c r="N20" s="190"/>
      <c r="O20" s="190"/>
      <c r="P20" s="190"/>
      <c r="Q20" s="190"/>
      <c r="R20" s="190"/>
      <c r="S20" s="190"/>
      <c r="T20" s="190"/>
      <c r="U20" s="190"/>
      <c r="V20" s="190"/>
      <c r="W20" s="191"/>
      <c r="X20" s="235"/>
      <c r="Y20" s="190"/>
      <c r="Z20" s="190"/>
      <c r="AA20" s="190"/>
      <c r="AB20" s="190"/>
      <c r="AC20" s="190"/>
      <c r="AD20" s="190"/>
      <c r="AE20" s="190"/>
      <c r="AF20" s="190"/>
      <c r="AG20" s="190"/>
      <c r="AH20" s="191"/>
      <c r="AI20" s="236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222"/>
      <c r="AU20" s="190"/>
      <c r="AV20" s="190"/>
      <c r="AW20" s="190"/>
      <c r="AX20" s="190"/>
      <c r="AY20" s="190"/>
      <c r="AZ20" s="190"/>
      <c r="BA20" s="190"/>
      <c r="BB20" s="190"/>
      <c r="BC20" s="190"/>
      <c r="BD20" s="201"/>
    </row>
    <row r="21" spans="2:56" ht="12" customHeight="1" x14ac:dyDescent="0.25">
      <c r="B21" s="189"/>
      <c r="C21" s="190"/>
      <c r="D21" s="190"/>
      <c r="E21" s="190"/>
      <c r="F21" s="190"/>
      <c r="G21" s="190"/>
      <c r="H21" s="190"/>
      <c r="I21" s="190"/>
      <c r="J21" s="190"/>
      <c r="K21" s="190"/>
      <c r="L21" s="191"/>
      <c r="M21" s="195"/>
      <c r="N21" s="190"/>
      <c r="O21" s="190"/>
      <c r="P21" s="190"/>
      <c r="Q21" s="190"/>
      <c r="R21" s="190"/>
      <c r="S21" s="190"/>
      <c r="T21" s="190"/>
      <c r="U21" s="190"/>
      <c r="V21" s="190"/>
      <c r="W21" s="191"/>
      <c r="X21" s="195"/>
      <c r="Y21" s="190"/>
      <c r="Z21" s="190"/>
      <c r="AA21" s="190"/>
      <c r="AB21" s="190"/>
      <c r="AC21" s="190"/>
      <c r="AD21" s="190"/>
      <c r="AE21" s="190"/>
      <c r="AF21" s="190"/>
      <c r="AG21" s="190"/>
      <c r="AH21" s="191"/>
      <c r="AI21" s="195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5"/>
      <c r="AU21" s="190"/>
      <c r="AV21" s="190"/>
      <c r="AW21" s="190"/>
      <c r="AX21" s="190"/>
      <c r="AY21" s="190"/>
      <c r="AZ21" s="190"/>
      <c r="BA21" s="190"/>
      <c r="BB21" s="190"/>
      <c r="BC21" s="190"/>
      <c r="BD21" s="201"/>
    </row>
    <row r="22" spans="2:56" ht="12" customHeight="1" x14ac:dyDescent="0.25">
      <c r="B22" s="189"/>
      <c r="C22" s="190"/>
      <c r="D22" s="190"/>
      <c r="E22" s="190"/>
      <c r="F22" s="190"/>
      <c r="G22" s="190"/>
      <c r="H22" s="190"/>
      <c r="I22" s="190"/>
      <c r="J22" s="190"/>
      <c r="K22" s="190"/>
      <c r="L22" s="191"/>
      <c r="M22" s="195"/>
      <c r="N22" s="190"/>
      <c r="O22" s="190"/>
      <c r="P22" s="190"/>
      <c r="Q22" s="190"/>
      <c r="R22" s="190"/>
      <c r="S22" s="190"/>
      <c r="T22" s="190"/>
      <c r="U22" s="190"/>
      <c r="V22" s="190"/>
      <c r="W22" s="191"/>
      <c r="X22" s="195"/>
      <c r="Y22" s="190"/>
      <c r="Z22" s="190"/>
      <c r="AA22" s="190"/>
      <c r="AB22" s="190"/>
      <c r="AC22" s="190"/>
      <c r="AD22" s="190"/>
      <c r="AE22" s="190"/>
      <c r="AF22" s="190"/>
      <c r="AG22" s="190"/>
      <c r="AH22" s="191"/>
      <c r="AI22" s="195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5"/>
      <c r="AU22" s="190"/>
      <c r="AV22" s="190"/>
      <c r="AW22" s="190"/>
      <c r="AX22" s="190"/>
      <c r="AY22" s="190"/>
      <c r="AZ22" s="190"/>
      <c r="BA22" s="190"/>
      <c r="BB22" s="190"/>
      <c r="BC22" s="190"/>
      <c r="BD22" s="201"/>
    </row>
    <row r="23" spans="2:56" ht="12" customHeight="1" x14ac:dyDescent="0.25">
      <c r="B23" s="189"/>
      <c r="C23" s="190"/>
      <c r="D23" s="190"/>
      <c r="E23" s="190"/>
      <c r="F23" s="190"/>
      <c r="G23" s="190"/>
      <c r="H23" s="190"/>
      <c r="I23" s="190"/>
      <c r="J23" s="190"/>
      <c r="K23" s="190"/>
      <c r="L23" s="191"/>
      <c r="M23" s="195"/>
      <c r="N23" s="190"/>
      <c r="O23" s="190"/>
      <c r="P23" s="190"/>
      <c r="Q23" s="190"/>
      <c r="R23" s="190"/>
      <c r="S23" s="190"/>
      <c r="T23" s="190"/>
      <c r="U23" s="190"/>
      <c r="V23" s="190"/>
      <c r="W23" s="191"/>
      <c r="X23" s="195"/>
      <c r="Y23" s="190"/>
      <c r="Z23" s="190"/>
      <c r="AA23" s="190"/>
      <c r="AB23" s="190"/>
      <c r="AC23" s="190"/>
      <c r="AD23" s="190"/>
      <c r="AE23" s="190"/>
      <c r="AF23" s="190"/>
      <c r="AG23" s="190"/>
      <c r="AH23" s="191"/>
      <c r="AI23" s="195"/>
      <c r="AJ23" s="190"/>
      <c r="AK23" s="190"/>
      <c r="AL23" s="190"/>
      <c r="AM23" s="190"/>
      <c r="AN23" s="190"/>
      <c r="AO23" s="190"/>
      <c r="AP23" s="190"/>
      <c r="AQ23" s="190"/>
      <c r="AR23" s="190"/>
      <c r="AS23" s="190"/>
      <c r="AT23" s="195"/>
      <c r="AU23" s="190"/>
      <c r="AV23" s="190"/>
      <c r="AW23" s="190"/>
      <c r="AX23" s="190"/>
      <c r="AY23" s="190"/>
      <c r="AZ23" s="190"/>
      <c r="BA23" s="190"/>
      <c r="BB23" s="190"/>
      <c r="BC23" s="190"/>
      <c r="BD23" s="201"/>
    </row>
    <row r="24" spans="2:56" ht="12" customHeight="1" x14ac:dyDescent="0.25">
      <c r="B24" s="189"/>
      <c r="C24" s="190"/>
      <c r="D24" s="190"/>
      <c r="E24" s="190"/>
      <c r="F24" s="190"/>
      <c r="G24" s="190"/>
      <c r="H24" s="190"/>
      <c r="I24" s="190"/>
      <c r="J24" s="190"/>
      <c r="K24" s="190"/>
      <c r="L24" s="191"/>
      <c r="M24" s="195"/>
      <c r="N24" s="190"/>
      <c r="O24" s="190"/>
      <c r="P24" s="190"/>
      <c r="Q24" s="190"/>
      <c r="R24" s="190"/>
      <c r="S24" s="190"/>
      <c r="T24" s="190"/>
      <c r="U24" s="190"/>
      <c r="V24" s="190"/>
      <c r="W24" s="191"/>
      <c r="X24" s="195"/>
      <c r="Y24" s="190"/>
      <c r="Z24" s="190"/>
      <c r="AA24" s="190"/>
      <c r="AB24" s="190"/>
      <c r="AC24" s="190"/>
      <c r="AD24" s="190"/>
      <c r="AE24" s="190"/>
      <c r="AF24" s="190"/>
      <c r="AG24" s="190"/>
      <c r="AH24" s="191"/>
      <c r="AI24" s="195"/>
      <c r="AJ24" s="190"/>
      <c r="AK24" s="190"/>
      <c r="AL24" s="190"/>
      <c r="AM24" s="190"/>
      <c r="AN24" s="190"/>
      <c r="AO24" s="190"/>
      <c r="AP24" s="190"/>
      <c r="AQ24" s="190"/>
      <c r="AR24" s="190"/>
      <c r="AS24" s="190"/>
      <c r="AT24" s="195"/>
      <c r="AU24" s="190"/>
      <c r="AV24" s="190"/>
      <c r="AW24" s="190"/>
      <c r="AX24" s="190"/>
      <c r="AY24" s="190"/>
      <c r="AZ24" s="190"/>
      <c r="BA24" s="190"/>
      <c r="BB24" s="190"/>
      <c r="BC24" s="190"/>
      <c r="BD24" s="201"/>
    </row>
    <row r="25" spans="2:56" ht="12" customHeight="1" x14ac:dyDescent="0.25">
      <c r="B25" s="192"/>
      <c r="C25" s="193"/>
      <c r="D25" s="193"/>
      <c r="E25" s="193"/>
      <c r="F25" s="193"/>
      <c r="G25" s="193"/>
      <c r="H25" s="193"/>
      <c r="I25" s="193"/>
      <c r="J25" s="193"/>
      <c r="K25" s="193"/>
      <c r="L25" s="172"/>
      <c r="M25" s="196"/>
      <c r="N25" s="193"/>
      <c r="O25" s="193"/>
      <c r="P25" s="193"/>
      <c r="Q25" s="193"/>
      <c r="R25" s="193"/>
      <c r="S25" s="193"/>
      <c r="T25" s="193"/>
      <c r="U25" s="193"/>
      <c r="V25" s="193"/>
      <c r="W25" s="172"/>
      <c r="X25" s="196"/>
      <c r="Y25" s="193"/>
      <c r="Z25" s="193"/>
      <c r="AA25" s="193"/>
      <c r="AB25" s="193"/>
      <c r="AC25" s="193"/>
      <c r="AD25" s="193"/>
      <c r="AE25" s="193"/>
      <c r="AF25" s="193"/>
      <c r="AG25" s="193"/>
      <c r="AH25" s="172"/>
      <c r="AI25" s="196"/>
      <c r="AJ25" s="193"/>
      <c r="AK25" s="193"/>
      <c r="AL25" s="193"/>
      <c r="AM25" s="193"/>
      <c r="AN25" s="193"/>
      <c r="AO25" s="193"/>
      <c r="AP25" s="193"/>
      <c r="AQ25" s="193"/>
      <c r="AR25" s="193"/>
      <c r="AS25" s="193"/>
      <c r="AT25" s="196"/>
      <c r="AU25" s="193"/>
      <c r="AV25" s="193"/>
      <c r="AW25" s="193"/>
      <c r="AX25" s="193"/>
      <c r="AY25" s="193"/>
      <c r="AZ25" s="193"/>
      <c r="BA25" s="193"/>
      <c r="BB25" s="193"/>
      <c r="BC25" s="193"/>
      <c r="BD25" s="202"/>
    </row>
    <row r="26" spans="2:56" ht="12" customHeight="1" x14ac:dyDescent="0.25">
      <c r="B26" s="210" t="s">
        <v>238</v>
      </c>
      <c r="C26" s="208"/>
      <c r="D26" s="208"/>
      <c r="E26" s="208"/>
      <c r="F26" s="208"/>
      <c r="G26" s="208"/>
      <c r="H26" s="208"/>
      <c r="I26" s="208"/>
      <c r="J26" s="208"/>
      <c r="K26" s="208"/>
      <c r="L26" s="209"/>
      <c r="M26" s="226" t="s">
        <v>239</v>
      </c>
      <c r="N26" s="208"/>
      <c r="O26" s="208"/>
      <c r="P26" s="208"/>
      <c r="Q26" s="208"/>
      <c r="R26" s="208"/>
      <c r="S26" s="208"/>
      <c r="T26" s="208"/>
      <c r="U26" s="208"/>
      <c r="V26" s="208"/>
      <c r="W26" s="209"/>
      <c r="X26" s="214" t="s">
        <v>240</v>
      </c>
      <c r="Y26" s="208"/>
      <c r="Z26" s="208"/>
      <c r="AA26" s="208"/>
      <c r="AB26" s="208"/>
      <c r="AC26" s="208"/>
      <c r="AD26" s="208"/>
      <c r="AE26" s="208"/>
      <c r="AF26" s="208"/>
      <c r="AG26" s="208"/>
      <c r="AH26" s="209"/>
      <c r="AI26" s="180" t="s">
        <v>241</v>
      </c>
      <c r="AJ26" s="208"/>
      <c r="AK26" s="208"/>
      <c r="AL26" s="208"/>
      <c r="AM26" s="208"/>
      <c r="AN26" s="208"/>
      <c r="AO26" s="208"/>
      <c r="AP26" s="208"/>
      <c r="AQ26" s="208"/>
      <c r="AR26" s="208"/>
      <c r="AS26" s="208"/>
      <c r="AT26" s="180" t="s">
        <v>242</v>
      </c>
      <c r="AU26" s="208"/>
      <c r="AV26" s="208"/>
      <c r="AW26" s="208"/>
      <c r="AX26" s="208"/>
      <c r="AY26" s="208"/>
      <c r="AZ26" s="208"/>
      <c r="BA26" s="208"/>
      <c r="BB26" s="208"/>
      <c r="BC26" s="208"/>
      <c r="BD26" s="215"/>
    </row>
    <row r="27" spans="2:56" ht="12" customHeight="1" x14ac:dyDescent="0.25">
      <c r="B27" s="186"/>
      <c r="C27" s="187"/>
      <c r="D27" s="187"/>
      <c r="E27" s="187"/>
      <c r="F27" s="187"/>
      <c r="G27" s="187"/>
      <c r="H27" s="187"/>
      <c r="I27" s="187"/>
      <c r="J27" s="187"/>
      <c r="K27" s="187"/>
      <c r="L27" s="188"/>
      <c r="M27" s="212"/>
      <c r="N27" s="187"/>
      <c r="O27" s="187"/>
      <c r="P27" s="187"/>
      <c r="Q27" s="187"/>
      <c r="R27" s="187"/>
      <c r="S27" s="187"/>
      <c r="T27" s="187"/>
      <c r="U27" s="187"/>
      <c r="V27" s="187"/>
      <c r="W27" s="188"/>
      <c r="X27" s="197"/>
      <c r="Y27" s="187"/>
      <c r="Z27" s="187"/>
      <c r="AA27" s="187"/>
      <c r="AB27" s="187"/>
      <c r="AC27" s="187"/>
      <c r="AD27" s="187"/>
      <c r="AE27" s="187"/>
      <c r="AF27" s="187"/>
      <c r="AG27" s="187"/>
      <c r="AH27" s="188"/>
      <c r="AI27" s="203"/>
      <c r="AJ27" s="187"/>
      <c r="AK27" s="187"/>
      <c r="AL27" s="187"/>
      <c r="AM27" s="187"/>
      <c r="AN27" s="187"/>
      <c r="AO27" s="187"/>
      <c r="AP27" s="187"/>
      <c r="AQ27" s="187"/>
      <c r="AR27" s="187"/>
      <c r="AS27" s="187"/>
      <c r="AT27" s="203"/>
      <c r="AU27" s="187"/>
      <c r="AV27" s="187"/>
      <c r="AW27" s="187"/>
      <c r="AX27" s="187"/>
      <c r="AY27" s="187"/>
      <c r="AZ27" s="187"/>
      <c r="BA27" s="187"/>
      <c r="BB27" s="187"/>
      <c r="BC27" s="187"/>
      <c r="BD27" s="200"/>
    </row>
    <row r="28" spans="2:56" ht="12" customHeight="1" x14ac:dyDescent="0.25">
      <c r="B28" s="189"/>
      <c r="C28" s="190"/>
      <c r="D28" s="190"/>
      <c r="E28" s="190"/>
      <c r="F28" s="190"/>
      <c r="G28" s="190"/>
      <c r="H28" s="190"/>
      <c r="I28" s="190"/>
      <c r="J28" s="190"/>
      <c r="K28" s="190"/>
      <c r="L28" s="191"/>
      <c r="M28" s="195"/>
      <c r="N28" s="190"/>
      <c r="O28" s="190"/>
      <c r="P28" s="190"/>
      <c r="Q28" s="190"/>
      <c r="R28" s="190"/>
      <c r="S28" s="190"/>
      <c r="T28" s="190"/>
      <c r="U28" s="190"/>
      <c r="V28" s="190"/>
      <c r="W28" s="191"/>
      <c r="X28" s="195"/>
      <c r="Y28" s="190"/>
      <c r="Z28" s="190"/>
      <c r="AA28" s="190"/>
      <c r="AB28" s="190"/>
      <c r="AC28" s="190"/>
      <c r="AD28" s="190"/>
      <c r="AE28" s="190"/>
      <c r="AF28" s="190"/>
      <c r="AG28" s="190"/>
      <c r="AH28" s="191"/>
      <c r="AI28" s="195"/>
      <c r="AJ28" s="190"/>
      <c r="AK28" s="190"/>
      <c r="AL28" s="190"/>
      <c r="AM28" s="190"/>
      <c r="AN28" s="190"/>
      <c r="AO28" s="190"/>
      <c r="AP28" s="190"/>
      <c r="AQ28" s="190"/>
      <c r="AR28" s="190"/>
      <c r="AS28" s="190"/>
      <c r="AT28" s="195"/>
      <c r="AU28" s="190"/>
      <c r="AV28" s="190"/>
      <c r="AW28" s="190"/>
      <c r="AX28" s="190"/>
      <c r="AY28" s="190"/>
      <c r="AZ28" s="190"/>
      <c r="BA28" s="190"/>
      <c r="BB28" s="190"/>
      <c r="BC28" s="190"/>
      <c r="BD28" s="201"/>
    </row>
    <row r="29" spans="2:56" ht="12" customHeight="1" x14ac:dyDescent="0.25">
      <c r="B29" s="189"/>
      <c r="C29" s="190"/>
      <c r="D29" s="190"/>
      <c r="E29" s="190"/>
      <c r="F29" s="190"/>
      <c r="G29" s="190"/>
      <c r="H29" s="190"/>
      <c r="I29" s="190"/>
      <c r="J29" s="190"/>
      <c r="K29" s="190"/>
      <c r="L29" s="191"/>
      <c r="M29" s="195"/>
      <c r="N29" s="190"/>
      <c r="O29" s="190"/>
      <c r="P29" s="190"/>
      <c r="Q29" s="190"/>
      <c r="R29" s="190"/>
      <c r="S29" s="190"/>
      <c r="T29" s="190"/>
      <c r="U29" s="190"/>
      <c r="V29" s="190"/>
      <c r="W29" s="191"/>
      <c r="X29" s="195"/>
      <c r="Y29" s="190"/>
      <c r="Z29" s="190"/>
      <c r="AA29" s="190"/>
      <c r="AB29" s="190"/>
      <c r="AC29" s="190"/>
      <c r="AD29" s="190"/>
      <c r="AE29" s="190"/>
      <c r="AF29" s="190"/>
      <c r="AG29" s="190"/>
      <c r="AH29" s="191"/>
      <c r="AI29" s="195"/>
      <c r="AJ29" s="190"/>
      <c r="AK29" s="190"/>
      <c r="AL29" s="190"/>
      <c r="AM29" s="190"/>
      <c r="AN29" s="190"/>
      <c r="AO29" s="190"/>
      <c r="AP29" s="190"/>
      <c r="AQ29" s="190"/>
      <c r="AR29" s="190"/>
      <c r="AS29" s="190"/>
      <c r="AT29" s="195"/>
      <c r="AU29" s="190"/>
      <c r="AV29" s="190"/>
      <c r="AW29" s="190"/>
      <c r="AX29" s="190"/>
      <c r="AY29" s="190"/>
      <c r="AZ29" s="190"/>
      <c r="BA29" s="190"/>
      <c r="BB29" s="190"/>
      <c r="BC29" s="190"/>
      <c r="BD29" s="201"/>
    </row>
    <row r="30" spans="2:56" ht="12" customHeight="1" x14ac:dyDescent="0.25">
      <c r="B30" s="189"/>
      <c r="C30" s="190"/>
      <c r="D30" s="190"/>
      <c r="E30" s="190"/>
      <c r="F30" s="190"/>
      <c r="G30" s="190"/>
      <c r="H30" s="190"/>
      <c r="I30" s="190"/>
      <c r="J30" s="190"/>
      <c r="K30" s="190"/>
      <c r="L30" s="191"/>
      <c r="M30" s="195"/>
      <c r="N30" s="190"/>
      <c r="O30" s="190"/>
      <c r="P30" s="190"/>
      <c r="Q30" s="190"/>
      <c r="R30" s="190"/>
      <c r="S30" s="190"/>
      <c r="T30" s="190"/>
      <c r="U30" s="190"/>
      <c r="V30" s="190"/>
      <c r="W30" s="191"/>
      <c r="X30" s="195"/>
      <c r="Y30" s="190"/>
      <c r="Z30" s="190"/>
      <c r="AA30" s="190"/>
      <c r="AB30" s="190"/>
      <c r="AC30" s="190"/>
      <c r="AD30" s="190"/>
      <c r="AE30" s="190"/>
      <c r="AF30" s="190"/>
      <c r="AG30" s="190"/>
      <c r="AH30" s="191"/>
      <c r="AI30" s="195"/>
      <c r="AJ30" s="190"/>
      <c r="AK30" s="190"/>
      <c r="AL30" s="190"/>
      <c r="AM30" s="190"/>
      <c r="AN30" s="190"/>
      <c r="AO30" s="190"/>
      <c r="AP30" s="190"/>
      <c r="AQ30" s="190"/>
      <c r="AR30" s="190"/>
      <c r="AS30" s="190"/>
      <c r="AT30" s="195"/>
      <c r="AU30" s="190"/>
      <c r="AV30" s="190"/>
      <c r="AW30" s="190"/>
      <c r="AX30" s="190"/>
      <c r="AY30" s="190"/>
      <c r="AZ30" s="190"/>
      <c r="BA30" s="190"/>
      <c r="BB30" s="190"/>
      <c r="BC30" s="190"/>
      <c r="BD30" s="201"/>
    </row>
    <row r="31" spans="2:56" ht="12" customHeight="1" x14ac:dyDescent="0.25">
      <c r="B31" s="189"/>
      <c r="C31" s="190"/>
      <c r="D31" s="190"/>
      <c r="E31" s="190"/>
      <c r="F31" s="190"/>
      <c r="G31" s="190"/>
      <c r="H31" s="190"/>
      <c r="I31" s="190"/>
      <c r="J31" s="190"/>
      <c r="K31" s="190"/>
      <c r="L31" s="191"/>
      <c r="M31" s="195"/>
      <c r="N31" s="190"/>
      <c r="O31" s="190"/>
      <c r="P31" s="190"/>
      <c r="Q31" s="190"/>
      <c r="R31" s="190"/>
      <c r="S31" s="190"/>
      <c r="T31" s="190"/>
      <c r="U31" s="190"/>
      <c r="V31" s="190"/>
      <c r="W31" s="191"/>
      <c r="X31" s="195"/>
      <c r="Y31" s="190"/>
      <c r="Z31" s="190"/>
      <c r="AA31" s="190"/>
      <c r="AB31" s="190"/>
      <c r="AC31" s="190"/>
      <c r="AD31" s="190"/>
      <c r="AE31" s="190"/>
      <c r="AF31" s="190"/>
      <c r="AG31" s="190"/>
      <c r="AH31" s="191"/>
      <c r="AI31" s="195"/>
      <c r="AJ31" s="190"/>
      <c r="AK31" s="190"/>
      <c r="AL31" s="190"/>
      <c r="AM31" s="190"/>
      <c r="AN31" s="190"/>
      <c r="AO31" s="190"/>
      <c r="AP31" s="190"/>
      <c r="AQ31" s="190"/>
      <c r="AR31" s="190"/>
      <c r="AS31" s="190"/>
      <c r="AT31" s="195"/>
      <c r="AU31" s="190"/>
      <c r="AV31" s="190"/>
      <c r="AW31" s="190"/>
      <c r="AX31" s="190"/>
      <c r="AY31" s="190"/>
      <c r="AZ31" s="190"/>
      <c r="BA31" s="190"/>
      <c r="BB31" s="190"/>
      <c r="BC31" s="190"/>
      <c r="BD31" s="201"/>
    </row>
    <row r="32" spans="2:56" ht="12" customHeight="1" x14ac:dyDescent="0.25">
      <c r="B32" s="189"/>
      <c r="C32" s="190"/>
      <c r="D32" s="190"/>
      <c r="E32" s="190"/>
      <c r="F32" s="190"/>
      <c r="G32" s="190"/>
      <c r="H32" s="190"/>
      <c r="I32" s="190"/>
      <c r="J32" s="190"/>
      <c r="K32" s="190"/>
      <c r="L32" s="191"/>
      <c r="M32" s="195"/>
      <c r="N32" s="190"/>
      <c r="O32" s="190"/>
      <c r="P32" s="190"/>
      <c r="Q32" s="190"/>
      <c r="R32" s="190"/>
      <c r="S32" s="190"/>
      <c r="T32" s="190"/>
      <c r="U32" s="190"/>
      <c r="V32" s="190"/>
      <c r="W32" s="191"/>
      <c r="X32" s="195"/>
      <c r="Y32" s="190"/>
      <c r="Z32" s="190"/>
      <c r="AA32" s="190"/>
      <c r="AB32" s="190"/>
      <c r="AC32" s="190"/>
      <c r="AD32" s="190"/>
      <c r="AE32" s="190"/>
      <c r="AF32" s="190"/>
      <c r="AG32" s="190"/>
      <c r="AH32" s="191"/>
      <c r="AI32" s="195"/>
      <c r="AJ32" s="190"/>
      <c r="AK32" s="190"/>
      <c r="AL32" s="190"/>
      <c r="AM32" s="190"/>
      <c r="AN32" s="190"/>
      <c r="AO32" s="190"/>
      <c r="AP32" s="190"/>
      <c r="AQ32" s="190"/>
      <c r="AR32" s="190"/>
      <c r="AS32" s="190"/>
      <c r="AT32" s="195"/>
      <c r="AU32" s="190"/>
      <c r="AV32" s="190"/>
      <c r="AW32" s="190"/>
      <c r="AX32" s="190"/>
      <c r="AY32" s="190"/>
      <c r="AZ32" s="190"/>
      <c r="BA32" s="190"/>
      <c r="BB32" s="190"/>
      <c r="BC32" s="190"/>
      <c r="BD32" s="201"/>
    </row>
    <row r="33" spans="2:56" ht="12" customHeight="1" x14ac:dyDescent="0.25">
      <c r="B33" s="192"/>
      <c r="C33" s="193"/>
      <c r="D33" s="193"/>
      <c r="E33" s="193"/>
      <c r="F33" s="193"/>
      <c r="G33" s="193"/>
      <c r="H33" s="193"/>
      <c r="I33" s="193"/>
      <c r="J33" s="193"/>
      <c r="K33" s="193"/>
      <c r="L33" s="172"/>
      <c r="M33" s="196"/>
      <c r="N33" s="193"/>
      <c r="O33" s="193"/>
      <c r="P33" s="193"/>
      <c r="Q33" s="193"/>
      <c r="R33" s="193"/>
      <c r="S33" s="193"/>
      <c r="T33" s="193"/>
      <c r="U33" s="193"/>
      <c r="V33" s="193"/>
      <c r="W33" s="172"/>
      <c r="X33" s="196"/>
      <c r="Y33" s="193"/>
      <c r="Z33" s="193"/>
      <c r="AA33" s="193"/>
      <c r="AB33" s="193"/>
      <c r="AC33" s="193"/>
      <c r="AD33" s="193"/>
      <c r="AE33" s="193"/>
      <c r="AF33" s="193"/>
      <c r="AG33" s="193"/>
      <c r="AH33" s="172"/>
      <c r="AI33" s="196"/>
      <c r="AJ33" s="193"/>
      <c r="AK33" s="193"/>
      <c r="AL33" s="193"/>
      <c r="AM33" s="193"/>
      <c r="AN33" s="193"/>
      <c r="AO33" s="193"/>
      <c r="AP33" s="193"/>
      <c r="AQ33" s="193"/>
      <c r="AR33" s="193"/>
      <c r="AS33" s="193"/>
      <c r="AT33" s="196"/>
      <c r="AU33" s="193"/>
      <c r="AV33" s="193"/>
      <c r="AW33" s="193"/>
      <c r="AX33" s="193"/>
      <c r="AY33" s="193"/>
      <c r="AZ33" s="193"/>
      <c r="BA33" s="193"/>
      <c r="BB33" s="193"/>
      <c r="BC33" s="193"/>
      <c r="BD33" s="202"/>
    </row>
    <row r="34" spans="2:56" ht="12" customHeight="1" x14ac:dyDescent="0.25">
      <c r="B34" s="210" t="s">
        <v>243</v>
      </c>
      <c r="C34" s="208"/>
      <c r="D34" s="208"/>
      <c r="E34" s="208"/>
      <c r="F34" s="208"/>
      <c r="G34" s="208"/>
      <c r="H34" s="208"/>
      <c r="I34" s="208"/>
      <c r="J34" s="208"/>
      <c r="K34" s="208"/>
      <c r="L34" s="209"/>
      <c r="M34" s="213" t="s">
        <v>244</v>
      </c>
      <c r="N34" s="208"/>
      <c r="O34" s="208"/>
      <c r="P34" s="208"/>
      <c r="Q34" s="208"/>
      <c r="R34" s="208"/>
      <c r="S34" s="208"/>
      <c r="T34" s="208"/>
      <c r="U34" s="208"/>
      <c r="V34" s="208"/>
      <c r="W34" s="209"/>
      <c r="X34" s="214" t="s">
        <v>245</v>
      </c>
      <c r="Y34" s="208"/>
      <c r="Z34" s="208"/>
      <c r="AA34" s="208"/>
      <c r="AB34" s="208"/>
      <c r="AC34" s="208"/>
      <c r="AD34" s="208"/>
      <c r="AE34" s="208"/>
      <c r="AF34" s="208"/>
      <c r="AG34" s="208"/>
      <c r="AH34" s="209"/>
      <c r="AI34" s="180" t="s">
        <v>246</v>
      </c>
      <c r="AJ34" s="208"/>
      <c r="AK34" s="208"/>
      <c r="AL34" s="208"/>
      <c r="AM34" s="208"/>
      <c r="AN34" s="208"/>
      <c r="AO34" s="208"/>
      <c r="AP34" s="208"/>
      <c r="AQ34" s="208"/>
      <c r="AR34" s="208"/>
      <c r="AS34" s="208"/>
      <c r="AT34" s="180" t="s">
        <v>247</v>
      </c>
      <c r="AU34" s="208"/>
      <c r="AV34" s="208"/>
      <c r="AW34" s="208"/>
      <c r="AX34" s="208"/>
      <c r="AY34" s="208"/>
      <c r="AZ34" s="208"/>
      <c r="BA34" s="208"/>
      <c r="BB34" s="208"/>
      <c r="BC34" s="208"/>
      <c r="BD34" s="215"/>
    </row>
    <row r="35" spans="2:56" ht="12" customHeight="1" x14ac:dyDescent="0.25">
      <c r="B35" s="186"/>
      <c r="C35" s="187"/>
      <c r="D35" s="187"/>
      <c r="E35" s="187"/>
      <c r="F35" s="187"/>
      <c r="G35" s="187"/>
      <c r="H35" s="187"/>
      <c r="I35" s="187"/>
      <c r="J35" s="187"/>
      <c r="K35" s="187"/>
      <c r="L35" s="188"/>
      <c r="M35" s="194"/>
      <c r="N35" s="187"/>
      <c r="O35" s="187"/>
      <c r="P35" s="187"/>
      <c r="Q35" s="187"/>
      <c r="R35" s="187"/>
      <c r="S35" s="187"/>
      <c r="T35" s="187"/>
      <c r="U35" s="187"/>
      <c r="V35" s="187"/>
      <c r="W35" s="188"/>
      <c r="X35" s="197"/>
      <c r="Y35" s="187"/>
      <c r="Z35" s="187"/>
      <c r="AA35" s="187"/>
      <c r="AB35" s="187"/>
      <c r="AC35" s="187"/>
      <c r="AD35" s="187"/>
      <c r="AE35" s="187"/>
      <c r="AF35" s="187"/>
      <c r="AG35" s="187"/>
      <c r="AH35" s="188"/>
      <c r="AI35" s="203"/>
      <c r="AJ35" s="187"/>
      <c r="AK35" s="187"/>
      <c r="AL35" s="187"/>
      <c r="AM35" s="187"/>
      <c r="AN35" s="187"/>
      <c r="AO35" s="187"/>
      <c r="AP35" s="187"/>
      <c r="AQ35" s="187"/>
      <c r="AR35" s="187"/>
      <c r="AS35" s="187"/>
      <c r="AT35" s="203"/>
      <c r="AU35" s="187"/>
      <c r="AV35" s="187"/>
      <c r="AW35" s="187"/>
      <c r="AX35" s="187"/>
      <c r="AY35" s="187"/>
      <c r="AZ35" s="187"/>
      <c r="BA35" s="187"/>
      <c r="BB35" s="187"/>
      <c r="BC35" s="187"/>
      <c r="BD35" s="200"/>
    </row>
    <row r="36" spans="2:56" ht="12" customHeight="1" x14ac:dyDescent="0.25">
      <c r="B36" s="189"/>
      <c r="C36" s="190"/>
      <c r="D36" s="190"/>
      <c r="E36" s="190"/>
      <c r="F36" s="190"/>
      <c r="G36" s="190"/>
      <c r="H36" s="190"/>
      <c r="I36" s="190"/>
      <c r="J36" s="190"/>
      <c r="K36" s="190"/>
      <c r="L36" s="191"/>
      <c r="M36" s="195"/>
      <c r="N36" s="190"/>
      <c r="O36" s="190"/>
      <c r="P36" s="190"/>
      <c r="Q36" s="190"/>
      <c r="R36" s="190"/>
      <c r="S36" s="190"/>
      <c r="T36" s="190"/>
      <c r="U36" s="190"/>
      <c r="V36" s="190"/>
      <c r="W36" s="191"/>
      <c r="X36" s="195"/>
      <c r="Y36" s="190"/>
      <c r="Z36" s="190"/>
      <c r="AA36" s="190"/>
      <c r="AB36" s="190"/>
      <c r="AC36" s="190"/>
      <c r="AD36" s="190"/>
      <c r="AE36" s="190"/>
      <c r="AF36" s="190"/>
      <c r="AG36" s="190"/>
      <c r="AH36" s="191"/>
      <c r="AI36" s="195"/>
      <c r="AJ36" s="190"/>
      <c r="AK36" s="190"/>
      <c r="AL36" s="190"/>
      <c r="AM36" s="190"/>
      <c r="AN36" s="190"/>
      <c r="AO36" s="190"/>
      <c r="AP36" s="190"/>
      <c r="AQ36" s="190"/>
      <c r="AR36" s="190"/>
      <c r="AS36" s="190"/>
      <c r="AT36" s="195"/>
      <c r="AU36" s="190"/>
      <c r="AV36" s="190"/>
      <c r="AW36" s="190"/>
      <c r="AX36" s="190"/>
      <c r="AY36" s="190"/>
      <c r="AZ36" s="190"/>
      <c r="BA36" s="190"/>
      <c r="BB36" s="190"/>
      <c r="BC36" s="190"/>
      <c r="BD36" s="201"/>
    </row>
    <row r="37" spans="2:56" ht="12" customHeight="1" x14ac:dyDescent="0.25">
      <c r="B37" s="189"/>
      <c r="C37" s="190"/>
      <c r="D37" s="190"/>
      <c r="E37" s="190"/>
      <c r="F37" s="190"/>
      <c r="G37" s="190"/>
      <c r="H37" s="190"/>
      <c r="I37" s="190"/>
      <c r="J37" s="190"/>
      <c r="K37" s="190"/>
      <c r="L37" s="191"/>
      <c r="M37" s="195"/>
      <c r="N37" s="190"/>
      <c r="O37" s="190"/>
      <c r="P37" s="190"/>
      <c r="Q37" s="190"/>
      <c r="R37" s="190"/>
      <c r="S37" s="190"/>
      <c r="T37" s="190"/>
      <c r="U37" s="190"/>
      <c r="V37" s="190"/>
      <c r="W37" s="191"/>
      <c r="X37" s="195"/>
      <c r="Y37" s="190"/>
      <c r="Z37" s="190"/>
      <c r="AA37" s="190"/>
      <c r="AB37" s="190"/>
      <c r="AC37" s="190"/>
      <c r="AD37" s="190"/>
      <c r="AE37" s="190"/>
      <c r="AF37" s="190"/>
      <c r="AG37" s="190"/>
      <c r="AH37" s="191"/>
      <c r="AI37" s="195"/>
      <c r="AJ37" s="190"/>
      <c r="AK37" s="190"/>
      <c r="AL37" s="190"/>
      <c r="AM37" s="190"/>
      <c r="AN37" s="190"/>
      <c r="AO37" s="190"/>
      <c r="AP37" s="190"/>
      <c r="AQ37" s="190"/>
      <c r="AR37" s="190"/>
      <c r="AS37" s="190"/>
      <c r="AT37" s="195"/>
      <c r="AU37" s="190"/>
      <c r="AV37" s="190"/>
      <c r="AW37" s="190"/>
      <c r="AX37" s="190"/>
      <c r="AY37" s="190"/>
      <c r="AZ37" s="190"/>
      <c r="BA37" s="190"/>
      <c r="BB37" s="190"/>
      <c r="BC37" s="190"/>
      <c r="BD37" s="201"/>
    </row>
    <row r="38" spans="2:56" ht="12" customHeight="1" x14ac:dyDescent="0.25">
      <c r="B38" s="189"/>
      <c r="C38" s="190"/>
      <c r="D38" s="190"/>
      <c r="E38" s="190"/>
      <c r="F38" s="190"/>
      <c r="G38" s="190"/>
      <c r="H38" s="190"/>
      <c r="I38" s="190"/>
      <c r="J38" s="190"/>
      <c r="K38" s="190"/>
      <c r="L38" s="191"/>
      <c r="M38" s="195"/>
      <c r="N38" s="190"/>
      <c r="O38" s="190"/>
      <c r="P38" s="190"/>
      <c r="Q38" s="190"/>
      <c r="R38" s="190"/>
      <c r="S38" s="190"/>
      <c r="T38" s="190"/>
      <c r="U38" s="190"/>
      <c r="V38" s="190"/>
      <c r="W38" s="191"/>
      <c r="X38" s="195"/>
      <c r="Y38" s="190"/>
      <c r="Z38" s="190"/>
      <c r="AA38" s="190"/>
      <c r="AB38" s="190"/>
      <c r="AC38" s="190"/>
      <c r="AD38" s="190"/>
      <c r="AE38" s="190"/>
      <c r="AF38" s="190"/>
      <c r="AG38" s="190"/>
      <c r="AH38" s="191"/>
      <c r="AI38" s="195"/>
      <c r="AJ38" s="190"/>
      <c r="AK38" s="190"/>
      <c r="AL38" s="190"/>
      <c r="AM38" s="190"/>
      <c r="AN38" s="190"/>
      <c r="AO38" s="190"/>
      <c r="AP38" s="190"/>
      <c r="AQ38" s="190"/>
      <c r="AR38" s="190"/>
      <c r="AS38" s="190"/>
      <c r="AT38" s="195"/>
      <c r="AU38" s="190"/>
      <c r="AV38" s="190"/>
      <c r="AW38" s="190"/>
      <c r="AX38" s="190"/>
      <c r="AY38" s="190"/>
      <c r="AZ38" s="190"/>
      <c r="BA38" s="190"/>
      <c r="BB38" s="190"/>
      <c r="BC38" s="190"/>
      <c r="BD38" s="201"/>
    </row>
    <row r="39" spans="2:56" ht="12" customHeight="1" x14ac:dyDescent="0.25">
      <c r="B39" s="189"/>
      <c r="C39" s="190"/>
      <c r="D39" s="190"/>
      <c r="E39" s="190"/>
      <c r="F39" s="190"/>
      <c r="G39" s="190"/>
      <c r="H39" s="190"/>
      <c r="I39" s="190"/>
      <c r="J39" s="190"/>
      <c r="K39" s="190"/>
      <c r="L39" s="191"/>
      <c r="M39" s="195"/>
      <c r="N39" s="190"/>
      <c r="O39" s="190"/>
      <c r="P39" s="190"/>
      <c r="Q39" s="190"/>
      <c r="R39" s="190"/>
      <c r="S39" s="190"/>
      <c r="T39" s="190"/>
      <c r="U39" s="190"/>
      <c r="V39" s="190"/>
      <c r="W39" s="191"/>
      <c r="X39" s="195"/>
      <c r="Y39" s="190"/>
      <c r="Z39" s="190"/>
      <c r="AA39" s="190"/>
      <c r="AB39" s="190"/>
      <c r="AC39" s="190"/>
      <c r="AD39" s="190"/>
      <c r="AE39" s="190"/>
      <c r="AF39" s="190"/>
      <c r="AG39" s="190"/>
      <c r="AH39" s="191"/>
      <c r="AI39" s="195"/>
      <c r="AJ39" s="190"/>
      <c r="AK39" s="190"/>
      <c r="AL39" s="190"/>
      <c r="AM39" s="190"/>
      <c r="AN39" s="190"/>
      <c r="AO39" s="190"/>
      <c r="AP39" s="190"/>
      <c r="AQ39" s="190"/>
      <c r="AR39" s="190"/>
      <c r="AS39" s="190"/>
      <c r="AT39" s="195"/>
      <c r="AU39" s="190"/>
      <c r="AV39" s="190"/>
      <c r="AW39" s="190"/>
      <c r="AX39" s="190"/>
      <c r="AY39" s="190"/>
      <c r="AZ39" s="190"/>
      <c r="BA39" s="190"/>
      <c r="BB39" s="190"/>
      <c r="BC39" s="190"/>
      <c r="BD39" s="201"/>
    </row>
    <row r="40" spans="2:56" ht="12" customHeight="1" x14ac:dyDescent="0.25">
      <c r="B40" s="189"/>
      <c r="C40" s="190"/>
      <c r="D40" s="190"/>
      <c r="E40" s="190"/>
      <c r="F40" s="190"/>
      <c r="G40" s="190"/>
      <c r="H40" s="190"/>
      <c r="I40" s="190"/>
      <c r="J40" s="190"/>
      <c r="K40" s="190"/>
      <c r="L40" s="191"/>
      <c r="M40" s="195"/>
      <c r="N40" s="190"/>
      <c r="O40" s="190"/>
      <c r="P40" s="190"/>
      <c r="Q40" s="190"/>
      <c r="R40" s="190"/>
      <c r="S40" s="190"/>
      <c r="T40" s="190"/>
      <c r="U40" s="190"/>
      <c r="V40" s="190"/>
      <c r="W40" s="191"/>
      <c r="X40" s="195"/>
      <c r="Y40" s="190"/>
      <c r="Z40" s="190"/>
      <c r="AA40" s="190"/>
      <c r="AB40" s="190"/>
      <c r="AC40" s="190"/>
      <c r="AD40" s="190"/>
      <c r="AE40" s="190"/>
      <c r="AF40" s="190"/>
      <c r="AG40" s="190"/>
      <c r="AH40" s="191"/>
      <c r="AI40" s="195"/>
      <c r="AJ40" s="190"/>
      <c r="AK40" s="190"/>
      <c r="AL40" s="190"/>
      <c r="AM40" s="190"/>
      <c r="AN40" s="190"/>
      <c r="AO40" s="190"/>
      <c r="AP40" s="190"/>
      <c r="AQ40" s="190"/>
      <c r="AR40" s="190"/>
      <c r="AS40" s="190"/>
      <c r="AT40" s="195"/>
      <c r="AU40" s="190"/>
      <c r="AV40" s="190"/>
      <c r="AW40" s="190"/>
      <c r="AX40" s="190"/>
      <c r="AY40" s="190"/>
      <c r="AZ40" s="190"/>
      <c r="BA40" s="190"/>
      <c r="BB40" s="190"/>
      <c r="BC40" s="190"/>
      <c r="BD40" s="201"/>
    </row>
    <row r="41" spans="2:56" ht="12" customHeight="1" x14ac:dyDescent="0.25">
      <c r="B41" s="192"/>
      <c r="C41" s="193"/>
      <c r="D41" s="193"/>
      <c r="E41" s="193"/>
      <c r="F41" s="193"/>
      <c r="G41" s="193"/>
      <c r="H41" s="193"/>
      <c r="I41" s="193"/>
      <c r="J41" s="193"/>
      <c r="K41" s="193"/>
      <c r="L41" s="172"/>
      <c r="M41" s="196"/>
      <c r="N41" s="193"/>
      <c r="O41" s="193"/>
      <c r="P41" s="193"/>
      <c r="Q41" s="193"/>
      <c r="R41" s="193"/>
      <c r="S41" s="193"/>
      <c r="T41" s="193"/>
      <c r="U41" s="193"/>
      <c r="V41" s="193"/>
      <c r="W41" s="172"/>
      <c r="X41" s="196"/>
      <c r="Y41" s="193"/>
      <c r="Z41" s="193"/>
      <c r="AA41" s="193"/>
      <c r="AB41" s="193"/>
      <c r="AC41" s="193"/>
      <c r="AD41" s="193"/>
      <c r="AE41" s="193"/>
      <c r="AF41" s="193"/>
      <c r="AG41" s="193"/>
      <c r="AH41" s="172"/>
      <c r="AI41" s="196"/>
      <c r="AJ41" s="193"/>
      <c r="AK41" s="193"/>
      <c r="AL41" s="193"/>
      <c r="AM41" s="193"/>
      <c r="AN41" s="193"/>
      <c r="AO41" s="193"/>
      <c r="AP41" s="193"/>
      <c r="AQ41" s="193"/>
      <c r="AR41" s="193"/>
      <c r="AS41" s="193"/>
      <c r="AT41" s="196"/>
      <c r="AU41" s="193"/>
      <c r="AV41" s="193"/>
      <c r="AW41" s="193"/>
      <c r="AX41" s="193"/>
      <c r="AY41" s="193"/>
      <c r="AZ41" s="193"/>
      <c r="BA41" s="193"/>
      <c r="BB41" s="193"/>
      <c r="BC41" s="193"/>
      <c r="BD41" s="202"/>
    </row>
    <row r="42" spans="2:56" ht="12" customHeight="1" x14ac:dyDescent="0.25">
      <c r="B42" s="210" t="s">
        <v>248</v>
      </c>
      <c r="C42" s="208"/>
      <c r="D42" s="208"/>
      <c r="E42" s="208"/>
      <c r="F42" s="208"/>
      <c r="G42" s="208"/>
      <c r="H42" s="208"/>
      <c r="I42" s="208"/>
      <c r="J42" s="208"/>
      <c r="K42" s="208"/>
      <c r="L42" s="209"/>
      <c r="M42" s="213" t="s">
        <v>249</v>
      </c>
      <c r="N42" s="208"/>
      <c r="O42" s="208"/>
      <c r="P42" s="208"/>
      <c r="Q42" s="208"/>
      <c r="R42" s="208"/>
      <c r="S42" s="208"/>
      <c r="T42" s="208"/>
      <c r="U42" s="208"/>
      <c r="V42" s="208"/>
      <c r="W42" s="209"/>
      <c r="X42" s="214" t="s">
        <v>362</v>
      </c>
      <c r="Y42" s="208"/>
      <c r="Z42" s="208"/>
      <c r="AA42" s="208"/>
      <c r="AB42" s="208"/>
      <c r="AC42" s="208"/>
      <c r="AD42" s="208"/>
      <c r="AE42" s="208"/>
      <c r="AF42" s="208"/>
      <c r="AG42" s="208"/>
      <c r="AH42" s="209"/>
      <c r="AI42" s="180" t="s">
        <v>250</v>
      </c>
      <c r="AJ42" s="208"/>
      <c r="AK42" s="208"/>
      <c r="AL42" s="208"/>
      <c r="AM42" s="208"/>
      <c r="AN42" s="208"/>
      <c r="AO42" s="208"/>
      <c r="AP42" s="208"/>
      <c r="AQ42" s="208"/>
      <c r="AR42" s="208"/>
      <c r="AS42" s="208"/>
      <c r="AT42" s="180" t="s">
        <v>251</v>
      </c>
      <c r="AU42" s="208"/>
      <c r="AV42" s="208"/>
      <c r="AW42" s="208"/>
      <c r="AX42" s="208"/>
      <c r="AY42" s="208"/>
      <c r="AZ42" s="208"/>
      <c r="BA42" s="208"/>
      <c r="BB42" s="208"/>
      <c r="BC42" s="208"/>
      <c r="BD42" s="215"/>
    </row>
    <row r="43" spans="2:56" ht="12" customHeight="1" x14ac:dyDescent="0.25">
      <c r="B43" s="186"/>
      <c r="C43" s="187"/>
      <c r="D43" s="187"/>
      <c r="E43" s="187"/>
      <c r="F43" s="187"/>
      <c r="G43" s="187"/>
      <c r="H43" s="187"/>
      <c r="I43" s="187"/>
      <c r="J43" s="187"/>
      <c r="K43" s="187"/>
      <c r="L43" s="188"/>
      <c r="M43" s="194"/>
      <c r="N43" s="187"/>
      <c r="O43" s="187"/>
      <c r="P43" s="187"/>
      <c r="Q43" s="187"/>
      <c r="R43" s="187"/>
      <c r="S43" s="187"/>
      <c r="T43" s="187"/>
      <c r="U43" s="187"/>
      <c r="V43" s="187"/>
      <c r="W43" s="188"/>
      <c r="X43" s="197"/>
      <c r="Y43" s="187"/>
      <c r="Z43" s="187"/>
      <c r="AA43" s="187"/>
      <c r="AB43" s="187"/>
      <c r="AC43" s="187"/>
      <c r="AD43" s="187"/>
      <c r="AE43" s="187"/>
      <c r="AF43" s="187"/>
      <c r="AG43" s="187"/>
      <c r="AH43" s="188"/>
      <c r="AI43" s="203"/>
      <c r="AJ43" s="187"/>
      <c r="AK43" s="187"/>
      <c r="AL43" s="187"/>
      <c r="AM43" s="187"/>
      <c r="AN43" s="187"/>
      <c r="AO43" s="187"/>
      <c r="AP43" s="187"/>
      <c r="AQ43" s="187"/>
      <c r="AR43" s="187"/>
      <c r="AS43" s="187"/>
      <c r="AT43" s="203"/>
      <c r="AU43" s="187"/>
      <c r="AV43" s="187"/>
      <c r="AW43" s="187"/>
      <c r="AX43" s="187"/>
      <c r="AY43" s="187"/>
      <c r="AZ43" s="187"/>
      <c r="BA43" s="187"/>
      <c r="BB43" s="187"/>
      <c r="BC43" s="187"/>
      <c r="BD43" s="200"/>
    </row>
    <row r="44" spans="2:56" ht="12" customHeight="1" x14ac:dyDescent="0.25">
      <c r="B44" s="189"/>
      <c r="C44" s="190"/>
      <c r="D44" s="190"/>
      <c r="E44" s="190"/>
      <c r="F44" s="190"/>
      <c r="G44" s="190"/>
      <c r="H44" s="190"/>
      <c r="I44" s="190"/>
      <c r="J44" s="190"/>
      <c r="K44" s="190"/>
      <c r="L44" s="191"/>
      <c r="M44" s="195"/>
      <c r="N44" s="190"/>
      <c r="O44" s="190"/>
      <c r="P44" s="190"/>
      <c r="Q44" s="190"/>
      <c r="R44" s="190"/>
      <c r="S44" s="190"/>
      <c r="T44" s="190"/>
      <c r="U44" s="190"/>
      <c r="V44" s="190"/>
      <c r="W44" s="191"/>
      <c r="X44" s="195"/>
      <c r="Y44" s="190"/>
      <c r="Z44" s="190"/>
      <c r="AA44" s="190"/>
      <c r="AB44" s="190"/>
      <c r="AC44" s="190"/>
      <c r="AD44" s="190"/>
      <c r="AE44" s="190"/>
      <c r="AF44" s="190"/>
      <c r="AG44" s="190"/>
      <c r="AH44" s="191"/>
      <c r="AI44" s="195"/>
      <c r="AJ44" s="190"/>
      <c r="AK44" s="190"/>
      <c r="AL44" s="190"/>
      <c r="AM44" s="190"/>
      <c r="AN44" s="190"/>
      <c r="AO44" s="190"/>
      <c r="AP44" s="190"/>
      <c r="AQ44" s="190"/>
      <c r="AR44" s="190"/>
      <c r="AS44" s="190"/>
      <c r="AT44" s="195"/>
      <c r="AU44" s="190"/>
      <c r="AV44" s="190"/>
      <c r="AW44" s="190"/>
      <c r="AX44" s="190"/>
      <c r="AY44" s="190"/>
      <c r="AZ44" s="190"/>
      <c r="BA44" s="190"/>
      <c r="BB44" s="190"/>
      <c r="BC44" s="190"/>
      <c r="BD44" s="201"/>
    </row>
    <row r="45" spans="2:56" ht="12" customHeight="1" x14ac:dyDescent="0.25">
      <c r="B45" s="189"/>
      <c r="C45" s="190"/>
      <c r="D45" s="190"/>
      <c r="E45" s="190"/>
      <c r="F45" s="190"/>
      <c r="G45" s="190"/>
      <c r="H45" s="190"/>
      <c r="I45" s="190"/>
      <c r="J45" s="190"/>
      <c r="K45" s="190"/>
      <c r="L45" s="191"/>
      <c r="M45" s="195"/>
      <c r="N45" s="190"/>
      <c r="O45" s="190"/>
      <c r="P45" s="190"/>
      <c r="Q45" s="190"/>
      <c r="R45" s="190"/>
      <c r="S45" s="190"/>
      <c r="T45" s="190"/>
      <c r="U45" s="190"/>
      <c r="V45" s="190"/>
      <c r="W45" s="191"/>
      <c r="X45" s="195"/>
      <c r="Y45" s="190"/>
      <c r="Z45" s="190"/>
      <c r="AA45" s="190"/>
      <c r="AB45" s="190"/>
      <c r="AC45" s="190"/>
      <c r="AD45" s="190"/>
      <c r="AE45" s="190"/>
      <c r="AF45" s="190"/>
      <c r="AG45" s="190"/>
      <c r="AH45" s="191"/>
      <c r="AI45" s="195"/>
      <c r="AJ45" s="190"/>
      <c r="AK45" s="190"/>
      <c r="AL45" s="190"/>
      <c r="AM45" s="190"/>
      <c r="AN45" s="190"/>
      <c r="AO45" s="190"/>
      <c r="AP45" s="190"/>
      <c r="AQ45" s="190"/>
      <c r="AR45" s="190"/>
      <c r="AS45" s="190"/>
      <c r="AT45" s="195"/>
      <c r="AU45" s="190"/>
      <c r="AV45" s="190"/>
      <c r="AW45" s="190"/>
      <c r="AX45" s="190"/>
      <c r="AY45" s="190"/>
      <c r="AZ45" s="190"/>
      <c r="BA45" s="190"/>
      <c r="BB45" s="190"/>
      <c r="BC45" s="190"/>
      <c r="BD45" s="201"/>
    </row>
    <row r="46" spans="2:56" ht="12" customHeight="1" x14ac:dyDescent="0.25">
      <c r="B46" s="189"/>
      <c r="C46" s="190"/>
      <c r="D46" s="190"/>
      <c r="E46" s="190"/>
      <c r="F46" s="190"/>
      <c r="G46" s="190"/>
      <c r="H46" s="190"/>
      <c r="I46" s="190"/>
      <c r="J46" s="190"/>
      <c r="K46" s="190"/>
      <c r="L46" s="191"/>
      <c r="M46" s="195"/>
      <c r="N46" s="190"/>
      <c r="O46" s="190"/>
      <c r="P46" s="190"/>
      <c r="Q46" s="190"/>
      <c r="R46" s="190"/>
      <c r="S46" s="190"/>
      <c r="T46" s="190"/>
      <c r="U46" s="190"/>
      <c r="V46" s="190"/>
      <c r="W46" s="191"/>
      <c r="X46" s="195"/>
      <c r="Y46" s="190"/>
      <c r="Z46" s="190"/>
      <c r="AA46" s="190"/>
      <c r="AB46" s="190"/>
      <c r="AC46" s="190"/>
      <c r="AD46" s="190"/>
      <c r="AE46" s="190"/>
      <c r="AF46" s="190"/>
      <c r="AG46" s="190"/>
      <c r="AH46" s="191"/>
      <c r="AI46" s="195"/>
      <c r="AJ46" s="190"/>
      <c r="AK46" s="190"/>
      <c r="AL46" s="190"/>
      <c r="AM46" s="190"/>
      <c r="AN46" s="190"/>
      <c r="AO46" s="190"/>
      <c r="AP46" s="190"/>
      <c r="AQ46" s="190"/>
      <c r="AR46" s="190"/>
      <c r="AS46" s="190"/>
      <c r="AT46" s="195"/>
      <c r="AU46" s="190"/>
      <c r="AV46" s="190"/>
      <c r="AW46" s="190"/>
      <c r="AX46" s="190"/>
      <c r="AY46" s="190"/>
      <c r="AZ46" s="190"/>
      <c r="BA46" s="190"/>
      <c r="BB46" s="190"/>
      <c r="BC46" s="190"/>
      <c r="BD46" s="201"/>
    </row>
    <row r="47" spans="2:56" ht="12" customHeight="1" x14ac:dyDescent="0.25">
      <c r="B47" s="189"/>
      <c r="C47" s="190"/>
      <c r="D47" s="190"/>
      <c r="E47" s="190"/>
      <c r="F47" s="190"/>
      <c r="G47" s="190"/>
      <c r="H47" s="190"/>
      <c r="I47" s="190"/>
      <c r="J47" s="190"/>
      <c r="K47" s="190"/>
      <c r="L47" s="191"/>
      <c r="M47" s="195"/>
      <c r="N47" s="190"/>
      <c r="O47" s="190"/>
      <c r="P47" s="190"/>
      <c r="Q47" s="190"/>
      <c r="R47" s="190"/>
      <c r="S47" s="190"/>
      <c r="T47" s="190"/>
      <c r="U47" s="190"/>
      <c r="V47" s="190"/>
      <c r="W47" s="191"/>
      <c r="X47" s="195"/>
      <c r="Y47" s="190"/>
      <c r="Z47" s="190"/>
      <c r="AA47" s="190"/>
      <c r="AB47" s="190"/>
      <c r="AC47" s="190"/>
      <c r="AD47" s="190"/>
      <c r="AE47" s="190"/>
      <c r="AF47" s="190"/>
      <c r="AG47" s="190"/>
      <c r="AH47" s="191"/>
      <c r="AI47" s="195"/>
      <c r="AJ47" s="190"/>
      <c r="AK47" s="190"/>
      <c r="AL47" s="190"/>
      <c r="AM47" s="190"/>
      <c r="AN47" s="190"/>
      <c r="AO47" s="190"/>
      <c r="AP47" s="190"/>
      <c r="AQ47" s="190"/>
      <c r="AR47" s="190"/>
      <c r="AS47" s="190"/>
      <c r="AT47" s="195"/>
      <c r="AU47" s="190"/>
      <c r="AV47" s="190"/>
      <c r="AW47" s="190"/>
      <c r="AX47" s="190"/>
      <c r="AY47" s="190"/>
      <c r="AZ47" s="190"/>
      <c r="BA47" s="190"/>
      <c r="BB47" s="190"/>
      <c r="BC47" s="190"/>
      <c r="BD47" s="201"/>
    </row>
    <row r="48" spans="2:56" ht="12" customHeight="1" x14ac:dyDescent="0.25">
      <c r="B48" s="189"/>
      <c r="C48" s="190"/>
      <c r="D48" s="190"/>
      <c r="E48" s="190"/>
      <c r="F48" s="190"/>
      <c r="G48" s="190"/>
      <c r="H48" s="190"/>
      <c r="I48" s="190"/>
      <c r="J48" s="190"/>
      <c r="K48" s="190"/>
      <c r="L48" s="191"/>
      <c r="M48" s="195"/>
      <c r="N48" s="190"/>
      <c r="O48" s="190"/>
      <c r="P48" s="190"/>
      <c r="Q48" s="190"/>
      <c r="R48" s="190"/>
      <c r="S48" s="190"/>
      <c r="T48" s="190"/>
      <c r="U48" s="190"/>
      <c r="V48" s="190"/>
      <c r="W48" s="191"/>
      <c r="X48" s="195"/>
      <c r="Y48" s="190"/>
      <c r="Z48" s="190"/>
      <c r="AA48" s="190"/>
      <c r="AB48" s="190"/>
      <c r="AC48" s="190"/>
      <c r="AD48" s="190"/>
      <c r="AE48" s="190"/>
      <c r="AF48" s="190"/>
      <c r="AG48" s="190"/>
      <c r="AH48" s="191"/>
      <c r="AI48" s="195"/>
      <c r="AJ48" s="190"/>
      <c r="AK48" s="190"/>
      <c r="AL48" s="190"/>
      <c r="AM48" s="190"/>
      <c r="AN48" s="190"/>
      <c r="AO48" s="190"/>
      <c r="AP48" s="190"/>
      <c r="AQ48" s="190"/>
      <c r="AR48" s="190"/>
      <c r="AS48" s="190"/>
      <c r="AT48" s="195"/>
      <c r="AU48" s="190"/>
      <c r="AV48" s="190"/>
      <c r="AW48" s="190"/>
      <c r="AX48" s="190"/>
      <c r="AY48" s="190"/>
      <c r="AZ48" s="190"/>
      <c r="BA48" s="190"/>
      <c r="BB48" s="190"/>
      <c r="BC48" s="190"/>
      <c r="BD48" s="201"/>
    </row>
    <row r="49" spans="2:56" ht="12" customHeight="1" x14ac:dyDescent="0.25">
      <c r="B49" s="192"/>
      <c r="C49" s="193"/>
      <c r="D49" s="193"/>
      <c r="E49" s="193"/>
      <c r="F49" s="193"/>
      <c r="G49" s="193"/>
      <c r="H49" s="193"/>
      <c r="I49" s="193"/>
      <c r="J49" s="193"/>
      <c r="K49" s="193"/>
      <c r="L49" s="172"/>
      <c r="M49" s="196"/>
      <c r="N49" s="193"/>
      <c r="O49" s="193"/>
      <c r="P49" s="193"/>
      <c r="Q49" s="193"/>
      <c r="R49" s="193"/>
      <c r="S49" s="193"/>
      <c r="T49" s="193"/>
      <c r="U49" s="193"/>
      <c r="V49" s="193"/>
      <c r="W49" s="172"/>
      <c r="X49" s="196"/>
      <c r="Y49" s="193"/>
      <c r="Z49" s="193"/>
      <c r="AA49" s="193"/>
      <c r="AB49" s="193"/>
      <c r="AC49" s="193"/>
      <c r="AD49" s="193"/>
      <c r="AE49" s="193"/>
      <c r="AF49" s="193"/>
      <c r="AG49" s="193"/>
      <c r="AH49" s="172"/>
      <c r="AI49" s="196"/>
      <c r="AJ49" s="193"/>
      <c r="AK49" s="193"/>
      <c r="AL49" s="193"/>
      <c r="AM49" s="193"/>
      <c r="AN49" s="193"/>
      <c r="AO49" s="193"/>
      <c r="AP49" s="193"/>
      <c r="AQ49" s="193"/>
      <c r="AR49" s="193"/>
      <c r="AS49" s="193"/>
      <c r="AT49" s="196"/>
      <c r="AU49" s="193"/>
      <c r="AV49" s="193"/>
      <c r="AW49" s="193"/>
      <c r="AX49" s="193"/>
      <c r="AY49" s="193"/>
      <c r="AZ49" s="193"/>
      <c r="BA49" s="193"/>
      <c r="BB49" s="193"/>
      <c r="BC49" s="193"/>
      <c r="BD49" s="202"/>
    </row>
    <row r="50" spans="2:56" ht="12" customHeight="1" x14ac:dyDescent="0.25">
      <c r="B50" s="210" t="s">
        <v>363</v>
      </c>
      <c r="C50" s="208"/>
      <c r="D50" s="208"/>
      <c r="E50" s="208"/>
      <c r="F50" s="208"/>
      <c r="G50" s="208"/>
      <c r="H50" s="208"/>
      <c r="I50" s="208"/>
      <c r="J50" s="208"/>
      <c r="K50" s="208"/>
      <c r="L50" s="209"/>
      <c r="M50" s="226" t="s">
        <v>252</v>
      </c>
      <c r="N50" s="208"/>
      <c r="O50" s="208"/>
      <c r="P50" s="208"/>
      <c r="Q50" s="208"/>
      <c r="R50" s="208"/>
      <c r="S50" s="208"/>
      <c r="T50" s="208"/>
      <c r="U50" s="208"/>
      <c r="V50" s="208"/>
      <c r="W50" s="209"/>
      <c r="X50" s="214" t="s">
        <v>253</v>
      </c>
      <c r="Y50" s="208"/>
      <c r="Z50" s="208"/>
      <c r="AA50" s="208"/>
      <c r="AB50" s="208"/>
      <c r="AC50" s="208"/>
      <c r="AD50" s="208"/>
      <c r="AE50" s="208"/>
      <c r="AF50" s="208"/>
      <c r="AG50" s="208"/>
      <c r="AH50" s="209"/>
      <c r="AI50" s="180" t="s">
        <v>254</v>
      </c>
      <c r="AJ50" s="208"/>
      <c r="AK50" s="208"/>
      <c r="AL50" s="208"/>
      <c r="AM50" s="208"/>
      <c r="AN50" s="208"/>
      <c r="AO50" s="208"/>
      <c r="AP50" s="208"/>
      <c r="AQ50" s="208"/>
      <c r="AR50" s="208"/>
      <c r="AS50" s="208"/>
      <c r="AT50" s="180" t="s">
        <v>255</v>
      </c>
      <c r="AU50" s="208"/>
      <c r="AV50" s="208"/>
      <c r="AW50" s="208"/>
      <c r="AX50" s="208"/>
      <c r="AY50" s="208"/>
      <c r="AZ50" s="208"/>
      <c r="BA50" s="208"/>
      <c r="BB50" s="208"/>
      <c r="BC50" s="208"/>
      <c r="BD50" s="215"/>
    </row>
    <row r="51" spans="2:56" ht="12" customHeight="1" x14ac:dyDescent="0.25">
      <c r="B51" s="186"/>
      <c r="C51" s="187"/>
      <c r="D51" s="187"/>
      <c r="E51" s="187"/>
      <c r="F51" s="187"/>
      <c r="G51" s="187"/>
      <c r="H51" s="187"/>
      <c r="I51" s="187"/>
      <c r="J51" s="187"/>
      <c r="K51" s="187"/>
      <c r="L51" s="188"/>
      <c r="M51" s="194"/>
      <c r="N51" s="187"/>
      <c r="O51" s="187"/>
      <c r="P51" s="187"/>
      <c r="Q51" s="187"/>
      <c r="R51" s="187"/>
      <c r="S51" s="187"/>
      <c r="T51" s="187"/>
      <c r="U51" s="187"/>
      <c r="V51" s="187"/>
      <c r="W51" s="188"/>
      <c r="X51" s="197"/>
      <c r="Y51" s="187"/>
      <c r="Z51" s="187"/>
      <c r="AA51" s="187"/>
      <c r="AB51" s="187"/>
      <c r="AC51" s="187"/>
      <c r="AD51" s="187"/>
      <c r="AE51" s="187"/>
      <c r="AF51" s="187"/>
      <c r="AG51" s="187"/>
      <c r="AH51" s="188"/>
      <c r="AI51" s="203"/>
      <c r="AJ51" s="187"/>
      <c r="AK51" s="187"/>
      <c r="AL51" s="187"/>
      <c r="AM51" s="187"/>
      <c r="AN51" s="187"/>
      <c r="AO51" s="187"/>
      <c r="AP51" s="187"/>
      <c r="AQ51" s="187"/>
      <c r="AR51" s="187"/>
      <c r="AS51" s="187"/>
      <c r="AT51" s="203"/>
      <c r="AU51" s="187"/>
      <c r="AV51" s="187"/>
      <c r="AW51" s="187"/>
      <c r="AX51" s="187"/>
      <c r="AY51" s="187"/>
      <c r="AZ51" s="187"/>
      <c r="BA51" s="187"/>
      <c r="BB51" s="187"/>
      <c r="BC51" s="187"/>
      <c r="BD51" s="200"/>
    </row>
    <row r="52" spans="2:56" ht="12" customHeight="1" x14ac:dyDescent="0.25">
      <c r="B52" s="204"/>
      <c r="C52" s="190"/>
      <c r="D52" s="190"/>
      <c r="E52" s="190"/>
      <c r="F52" s="190"/>
      <c r="G52" s="190"/>
      <c r="H52" s="190"/>
      <c r="I52" s="190"/>
      <c r="J52" s="190"/>
      <c r="K52" s="190"/>
      <c r="L52" s="191"/>
      <c r="M52" s="224"/>
      <c r="N52" s="190"/>
      <c r="O52" s="190"/>
      <c r="P52" s="190"/>
      <c r="Q52" s="190"/>
      <c r="R52" s="190"/>
      <c r="S52" s="190"/>
      <c r="T52" s="190"/>
      <c r="U52" s="190"/>
      <c r="V52" s="190"/>
      <c r="W52" s="191"/>
      <c r="X52" s="221"/>
      <c r="Y52" s="190"/>
      <c r="Z52" s="190"/>
      <c r="AA52" s="190"/>
      <c r="AB52" s="190"/>
      <c r="AC52" s="190"/>
      <c r="AD52" s="190"/>
      <c r="AE52" s="190"/>
      <c r="AF52" s="190"/>
      <c r="AG52" s="190"/>
      <c r="AH52" s="191"/>
      <c r="AI52" s="222"/>
      <c r="AJ52" s="190"/>
      <c r="AK52" s="190"/>
      <c r="AL52" s="190"/>
      <c r="AM52" s="190"/>
      <c r="AN52" s="190"/>
      <c r="AO52" s="190"/>
      <c r="AP52" s="190"/>
      <c r="AQ52" s="190"/>
      <c r="AR52" s="190"/>
      <c r="AS52" s="190"/>
      <c r="AT52" s="222"/>
      <c r="AU52" s="190"/>
      <c r="AV52" s="190"/>
      <c r="AW52" s="190"/>
      <c r="AX52" s="190"/>
      <c r="AY52" s="190"/>
      <c r="AZ52" s="190"/>
      <c r="BA52" s="190"/>
      <c r="BB52" s="190"/>
      <c r="BC52" s="190"/>
      <c r="BD52" s="201"/>
    </row>
    <row r="53" spans="2:56" ht="12" customHeight="1" x14ac:dyDescent="0.25">
      <c r="B53" s="189"/>
      <c r="C53" s="190"/>
      <c r="D53" s="190"/>
      <c r="E53" s="190"/>
      <c r="F53" s="190"/>
      <c r="G53" s="190"/>
      <c r="H53" s="190"/>
      <c r="I53" s="190"/>
      <c r="J53" s="190"/>
      <c r="K53" s="190"/>
      <c r="L53" s="191"/>
      <c r="M53" s="195"/>
      <c r="N53" s="190"/>
      <c r="O53" s="190"/>
      <c r="P53" s="190"/>
      <c r="Q53" s="190"/>
      <c r="R53" s="190"/>
      <c r="S53" s="190"/>
      <c r="T53" s="190"/>
      <c r="U53" s="190"/>
      <c r="V53" s="190"/>
      <c r="W53" s="191"/>
      <c r="X53" s="195"/>
      <c r="Y53" s="190"/>
      <c r="Z53" s="190"/>
      <c r="AA53" s="190"/>
      <c r="AB53" s="190"/>
      <c r="AC53" s="190"/>
      <c r="AD53" s="190"/>
      <c r="AE53" s="190"/>
      <c r="AF53" s="190"/>
      <c r="AG53" s="190"/>
      <c r="AH53" s="191"/>
      <c r="AI53" s="195"/>
      <c r="AJ53" s="190"/>
      <c r="AK53" s="190"/>
      <c r="AL53" s="190"/>
      <c r="AM53" s="190"/>
      <c r="AN53" s="190"/>
      <c r="AO53" s="190"/>
      <c r="AP53" s="190"/>
      <c r="AQ53" s="190"/>
      <c r="AR53" s="190"/>
      <c r="AS53" s="190"/>
      <c r="AT53" s="195"/>
      <c r="AU53" s="190"/>
      <c r="AV53" s="190"/>
      <c r="AW53" s="190"/>
      <c r="AX53" s="190"/>
      <c r="AY53" s="190"/>
      <c r="AZ53" s="190"/>
      <c r="BA53" s="190"/>
      <c r="BB53" s="190"/>
      <c r="BC53" s="190"/>
      <c r="BD53" s="201"/>
    </row>
    <row r="54" spans="2:56" ht="12" customHeight="1" x14ac:dyDescent="0.25">
      <c r="B54" s="189"/>
      <c r="C54" s="190"/>
      <c r="D54" s="190"/>
      <c r="E54" s="190"/>
      <c r="F54" s="190"/>
      <c r="G54" s="190"/>
      <c r="H54" s="190"/>
      <c r="I54" s="190"/>
      <c r="J54" s="190"/>
      <c r="K54" s="190"/>
      <c r="L54" s="191"/>
      <c r="M54" s="195"/>
      <c r="N54" s="190"/>
      <c r="O54" s="190"/>
      <c r="P54" s="190"/>
      <c r="Q54" s="190"/>
      <c r="R54" s="190"/>
      <c r="S54" s="190"/>
      <c r="T54" s="190"/>
      <c r="U54" s="190"/>
      <c r="V54" s="190"/>
      <c r="W54" s="191"/>
      <c r="X54" s="195"/>
      <c r="Y54" s="190"/>
      <c r="Z54" s="190"/>
      <c r="AA54" s="190"/>
      <c r="AB54" s="190"/>
      <c r="AC54" s="190"/>
      <c r="AD54" s="190"/>
      <c r="AE54" s="190"/>
      <c r="AF54" s="190"/>
      <c r="AG54" s="190"/>
      <c r="AH54" s="191"/>
      <c r="AI54" s="195"/>
      <c r="AJ54" s="190"/>
      <c r="AK54" s="190"/>
      <c r="AL54" s="190"/>
      <c r="AM54" s="190"/>
      <c r="AN54" s="190"/>
      <c r="AO54" s="190"/>
      <c r="AP54" s="190"/>
      <c r="AQ54" s="190"/>
      <c r="AR54" s="190"/>
      <c r="AS54" s="190"/>
      <c r="AT54" s="195"/>
      <c r="AU54" s="190"/>
      <c r="AV54" s="190"/>
      <c r="AW54" s="190"/>
      <c r="AX54" s="190"/>
      <c r="AY54" s="190"/>
      <c r="AZ54" s="190"/>
      <c r="BA54" s="190"/>
      <c r="BB54" s="190"/>
      <c r="BC54" s="190"/>
      <c r="BD54" s="201"/>
    </row>
    <row r="55" spans="2:56" ht="12" customHeight="1" x14ac:dyDescent="0.25">
      <c r="B55" s="189"/>
      <c r="C55" s="190"/>
      <c r="D55" s="190"/>
      <c r="E55" s="190"/>
      <c r="F55" s="190"/>
      <c r="G55" s="190"/>
      <c r="H55" s="190"/>
      <c r="I55" s="190"/>
      <c r="J55" s="190"/>
      <c r="K55" s="190"/>
      <c r="L55" s="191"/>
      <c r="M55" s="195"/>
      <c r="N55" s="190"/>
      <c r="O55" s="190"/>
      <c r="P55" s="190"/>
      <c r="Q55" s="190"/>
      <c r="R55" s="190"/>
      <c r="S55" s="190"/>
      <c r="T55" s="190"/>
      <c r="U55" s="190"/>
      <c r="V55" s="190"/>
      <c r="W55" s="191"/>
      <c r="X55" s="195"/>
      <c r="Y55" s="190"/>
      <c r="Z55" s="190"/>
      <c r="AA55" s="190"/>
      <c r="AB55" s="190"/>
      <c r="AC55" s="190"/>
      <c r="AD55" s="190"/>
      <c r="AE55" s="190"/>
      <c r="AF55" s="190"/>
      <c r="AG55" s="190"/>
      <c r="AH55" s="191"/>
      <c r="AI55" s="195"/>
      <c r="AJ55" s="190"/>
      <c r="AK55" s="190"/>
      <c r="AL55" s="190"/>
      <c r="AM55" s="190"/>
      <c r="AN55" s="190"/>
      <c r="AO55" s="190"/>
      <c r="AP55" s="190"/>
      <c r="AQ55" s="190"/>
      <c r="AR55" s="190"/>
      <c r="AS55" s="190"/>
      <c r="AT55" s="195"/>
      <c r="AU55" s="190"/>
      <c r="AV55" s="190"/>
      <c r="AW55" s="190"/>
      <c r="AX55" s="190"/>
      <c r="AY55" s="190"/>
      <c r="AZ55" s="190"/>
      <c r="BA55" s="190"/>
      <c r="BB55" s="190"/>
      <c r="BC55" s="190"/>
      <c r="BD55" s="201"/>
    </row>
    <row r="56" spans="2:56" ht="12" customHeight="1" x14ac:dyDescent="0.25">
      <c r="B56" s="189"/>
      <c r="C56" s="190"/>
      <c r="D56" s="190"/>
      <c r="E56" s="190"/>
      <c r="F56" s="190"/>
      <c r="G56" s="190"/>
      <c r="H56" s="190"/>
      <c r="I56" s="190"/>
      <c r="J56" s="190"/>
      <c r="K56" s="190"/>
      <c r="L56" s="191"/>
      <c r="M56" s="195"/>
      <c r="N56" s="190"/>
      <c r="O56" s="190"/>
      <c r="P56" s="190"/>
      <c r="Q56" s="190"/>
      <c r="R56" s="190"/>
      <c r="S56" s="190"/>
      <c r="T56" s="190"/>
      <c r="U56" s="190"/>
      <c r="V56" s="190"/>
      <c r="W56" s="191"/>
      <c r="X56" s="195"/>
      <c r="Y56" s="190"/>
      <c r="Z56" s="190"/>
      <c r="AA56" s="190"/>
      <c r="AB56" s="190"/>
      <c r="AC56" s="190"/>
      <c r="AD56" s="190"/>
      <c r="AE56" s="190"/>
      <c r="AF56" s="190"/>
      <c r="AG56" s="190"/>
      <c r="AH56" s="191"/>
      <c r="AI56" s="195"/>
      <c r="AJ56" s="190"/>
      <c r="AK56" s="190"/>
      <c r="AL56" s="190"/>
      <c r="AM56" s="190"/>
      <c r="AN56" s="190"/>
      <c r="AO56" s="190"/>
      <c r="AP56" s="190"/>
      <c r="AQ56" s="190"/>
      <c r="AR56" s="190"/>
      <c r="AS56" s="190"/>
      <c r="AT56" s="195"/>
      <c r="AU56" s="190"/>
      <c r="AV56" s="190"/>
      <c r="AW56" s="190"/>
      <c r="AX56" s="190"/>
      <c r="AY56" s="190"/>
      <c r="AZ56" s="190"/>
      <c r="BA56" s="190"/>
      <c r="BB56" s="190"/>
      <c r="BC56" s="190"/>
      <c r="BD56" s="201"/>
    </row>
    <row r="57" spans="2:56" ht="12" customHeight="1" x14ac:dyDescent="0.25">
      <c r="B57" s="192"/>
      <c r="C57" s="193"/>
      <c r="D57" s="193"/>
      <c r="E57" s="193"/>
      <c r="F57" s="193"/>
      <c r="G57" s="193"/>
      <c r="H57" s="193"/>
      <c r="I57" s="193"/>
      <c r="J57" s="193"/>
      <c r="K57" s="193"/>
      <c r="L57" s="172"/>
      <c r="M57" s="196"/>
      <c r="N57" s="193"/>
      <c r="O57" s="193"/>
      <c r="P57" s="193"/>
      <c r="Q57" s="193"/>
      <c r="R57" s="193"/>
      <c r="S57" s="193"/>
      <c r="T57" s="193"/>
      <c r="U57" s="193"/>
      <c r="V57" s="193"/>
      <c r="W57" s="172"/>
      <c r="X57" s="196"/>
      <c r="Y57" s="193"/>
      <c r="Z57" s="193"/>
      <c r="AA57" s="193"/>
      <c r="AB57" s="193"/>
      <c r="AC57" s="193"/>
      <c r="AD57" s="193"/>
      <c r="AE57" s="193"/>
      <c r="AF57" s="193"/>
      <c r="AG57" s="193"/>
      <c r="AH57" s="172"/>
      <c r="AI57" s="196"/>
      <c r="AJ57" s="193"/>
      <c r="AK57" s="193"/>
      <c r="AL57" s="193"/>
      <c r="AM57" s="193"/>
      <c r="AN57" s="193"/>
      <c r="AO57" s="193"/>
      <c r="AP57" s="193"/>
      <c r="AQ57" s="193"/>
      <c r="AR57" s="193"/>
      <c r="AS57" s="193"/>
      <c r="AT57" s="196"/>
      <c r="AU57" s="193"/>
      <c r="AV57" s="193"/>
      <c r="AW57" s="193"/>
      <c r="AX57" s="193"/>
      <c r="AY57" s="193"/>
      <c r="AZ57" s="193"/>
      <c r="BA57" s="193"/>
      <c r="BB57" s="193"/>
      <c r="BC57" s="193"/>
      <c r="BD57" s="202"/>
    </row>
    <row r="58" spans="2:56" ht="12" customHeight="1" x14ac:dyDescent="0.25">
      <c r="B58" s="210" t="s">
        <v>256</v>
      </c>
      <c r="C58" s="208"/>
      <c r="D58" s="208"/>
      <c r="E58" s="208"/>
      <c r="F58" s="208"/>
      <c r="G58" s="208"/>
      <c r="H58" s="208"/>
      <c r="I58" s="208"/>
      <c r="J58" s="208"/>
      <c r="K58" s="208"/>
      <c r="L58" s="209"/>
      <c r="M58" s="213" t="s">
        <v>257</v>
      </c>
      <c r="N58" s="208"/>
      <c r="O58" s="208"/>
      <c r="P58" s="208"/>
      <c r="Q58" s="208"/>
      <c r="R58" s="208"/>
      <c r="S58" s="208"/>
      <c r="T58" s="208"/>
      <c r="U58" s="208"/>
      <c r="V58" s="208"/>
      <c r="W58" s="209"/>
      <c r="X58" s="214" t="s">
        <v>258</v>
      </c>
      <c r="Y58" s="208"/>
      <c r="Z58" s="208"/>
      <c r="AA58" s="208"/>
      <c r="AB58" s="208"/>
      <c r="AC58" s="208"/>
      <c r="AD58" s="208"/>
      <c r="AE58" s="208"/>
      <c r="AF58" s="208"/>
      <c r="AG58" s="208"/>
      <c r="AH58" s="209"/>
      <c r="AI58" s="180" t="s">
        <v>259</v>
      </c>
      <c r="AJ58" s="208"/>
      <c r="AK58" s="208"/>
      <c r="AL58" s="208"/>
      <c r="AM58" s="208"/>
      <c r="AN58" s="208"/>
      <c r="AO58" s="208"/>
      <c r="AP58" s="208"/>
      <c r="AQ58" s="208"/>
      <c r="AR58" s="208"/>
      <c r="AS58" s="208"/>
      <c r="AT58" s="180" t="s">
        <v>260</v>
      </c>
      <c r="AU58" s="208"/>
      <c r="AV58" s="208"/>
      <c r="AW58" s="208"/>
      <c r="AX58" s="208"/>
      <c r="AY58" s="208"/>
      <c r="AZ58" s="208"/>
      <c r="BA58" s="208"/>
      <c r="BB58" s="208"/>
      <c r="BC58" s="208"/>
      <c r="BD58" s="215"/>
    </row>
    <row r="59" spans="2:56" ht="12" customHeight="1" x14ac:dyDescent="0.25">
      <c r="B59" s="186"/>
      <c r="C59" s="187"/>
      <c r="D59" s="187"/>
      <c r="E59" s="187"/>
      <c r="F59" s="187"/>
      <c r="G59" s="187"/>
      <c r="H59" s="187"/>
      <c r="I59" s="187"/>
      <c r="J59" s="187"/>
      <c r="K59" s="187"/>
      <c r="L59" s="188"/>
      <c r="M59" s="212"/>
      <c r="N59" s="187"/>
      <c r="O59" s="187"/>
      <c r="P59" s="187"/>
      <c r="Q59" s="187"/>
      <c r="R59" s="187"/>
      <c r="S59" s="187"/>
      <c r="T59" s="187"/>
      <c r="U59" s="187"/>
      <c r="V59" s="187"/>
      <c r="W59" s="188"/>
      <c r="X59" s="197"/>
      <c r="Y59" s="187"/>
      <c r="Z59" s="187"/>
      <c r="AA59" s="187"/>
      <c r="AB59" s="187"/>
      <c r="AC59" s="187"/>
      <c r="AD59" s="187"/>
      <c r="AE59" s="187"/>
      <c r="AF59" s="187"/>
      <c r="AG59" s="187"/>
      <c r="AH59" s="188"/>
      <c r="AI59" s="203"/>
      <c r="AJ59" s="187"/>
      <c r="AK59" s="187"/>
      <c r="AL59" s="187"/>
      <c r="AM59" s="187"/>
      <c r="AN59" s="187"/>
      <c r="AO59" s="187"/>
      <c r="AP59" s="187"/>
      <c r="AQ59" s="187"/>
      <c r="AR59" s="187"/>
      <c r="AS59" s="187"/>
      <c r="AT59" s="203"/>
      <c r="AU59" s="187"/>
      <c r="AV59" s="187"/>
      <c r="AW59" s="187"/>
      <c r="AX59" s="187"/>
      <c r="AY59" s="187"/>
      <c r="AZ59" s="187"/>
      <c r="BA59" s="187"/>
      <c r="BB59" s="187"/>
      <c r="BC59" s="187"/>
      <c r="BD59" s="200"/>
    </row>
    <row r="60" spans="2:56" ht="12" customHeight="1" x14ac:dyDescent="0.25">
      <c r="B60" s="204" t="s">
        <v>369</v>
      </c>
      <c r="C60" s="190"/>
      <c r="D60" s="190"/>
      <c r="E60" s="190"/>
      <c r="F60" s="190"/>
      <c r="G60" s="190"/>
      <c r="H60" s="190"/>
      <c r="I60" s="190"/>
      <c r="J60" s="190"/>
      <c r="K60" s="190"/>
      <c r="L60" s="191"/>
      <c r="M60" s="219"/>
      <c r="N60" s="190"/>
      <c r="O60" s="190"/>
      <c r="P60" s="190"/>
      <c r="Q60" s="190"/>
      <c r="R60" s="190"/>
      <c r="S60" s="190"/>
      <c r="T60" s="190"/>
      <c r="U60" s="190"/>
      <c r="V60" s="190"/>
      <c r="W60" s="191"/>
      <c r="X60" s="221"/>
      <c r="Y60" s="190"/>
      <c r="Z60" s="190"/>
      <c r="AA60" s="190"/>
      <c r="AB60" s="190"/>
      <c r="AC60" s="190"/>
      <c r="AD60" s="190"/>
      <c r="AE60" s="190"/>
      <c r="AF60" s="190"/>
      <c r="AG60" s="190"/>
      <c r="AH60" s="191"/>
      <c r="AI60" s="222"/>
      <c r="AJ60" s="190"/>
      <c r="AK60" s="190"/>
      <c r="AL60" s="190"/>
      <c r="AM60" s="190"/>
      <c r="AN60" s="190"/>
      <c r="AO60" s="190"/>
      <c r="AP60" s="190"/>
      <c r="AQ60" s="190"/>
      <c r="AR60" s="190"/>
      <c r="AS60" s="190"/>
      <c r="AT60" s="222"/>
      <c r="AU60" s="190"/>
      <c r="AV60" s="190"/>
      <c r="AW60" s="190"/>
      <c r="AX60" s="190"/>
      <c r="AY60" s="190"/>
      <c r="AZ60" s="190"/>
      <c r="BA60" s="190"/>
      <c r="BB60" s="190"/>
      <c r="BC60" s="190"/>
      <c r="BD60" s="201"/>
    </row>
    <row r="61" spans="2:56" ht="12" customHeight="1" x14ac:dyDescent="0.25">
      <c r="B61" s="189"/>
      <c r="C61" s="190"/>
      <c r="D61" s="190"/>
      <c r="E61" s="190"/>
      <c r="F61" s="190"/>
      <c r="G61" s="190"/>
      <c r="H61" s="190"/>
      <c r="I61" s="190"/>
      <c r="J61" s="190"/>
      <c r="K61" s="190"/>
      <c r="L61" s="191"/>
      <c r="M61" s="195"/>
      <c r="N61" s="190"/>
      <c r="O61" s="190"/>
      <c r="P61" s="190"/>
      <c r="Q61" s="190"/>
      <c r="R61" s="190"/>
      <c r="S61" s="190"/>
      <c r="T61" s="190"/>
      <c r="U61" s="190"/>
      <c r="V61" s="190"/>
      <c r="W61" s="191"/>
      <c r="X61" s="195"/>
      <c r="Y61" s="190"/>
      <c r="Z61" s="190"/>
      <c r="AA61" s="190"/>
      <c r="AB61" s="190"/>
      <c r="AC61" s="190"/>
      <c r="AD61" s="190"/>
      <c r="AE61" s="190"/>
      <c r="AF61" s="190"/>
      <c r="AG61" s="190"/>
      <c r="AH61" s="191"/>
      <c r="AI61" s="195"/>
      <c r="AJ61" s="190"/>
      <c r="AK61" s="190"/>
      <c r="AL61" s="190"/>
      <c r="AM61" s="190"/>
      <c r="AN61" s="190"/>
      <c r="AO61" s="190"/>
      <c r="AP61" s="190"/>
      <c r="AQ61" s="190"/>
      <c r="AR61" s="190"/>
      <c r="AS61" s="190"/>
      <c r="AT61" s="195"/>
      <c r="AU61" s="190"/>
      <c r="AV61" s="190"/>
      <c r="AW61" s="190"/>
      <c r="AX61" s="190"/>
      <c r="AY61" s="190"/>
      <c r="AZ61" s="190"/>
      <c r="BA61" s="190"/>
      <c r="BB61" s="190"/>
      <c r="BC61" s="190"/>
      <c r="BD61" s="201"/>
    </row>
    <row r="62" spans="2:56" ht="12" customHeight="1" x14ac:dyDescent="0.25">
      <c r="B62" s="189"/>
      <c r="C62" s="190"/>
      <c r="D62" s="190"/>
      <c r="E62" s="190"/>
      <c r="F62" s="190"/>
      <c r="G62" s="190"/>
      <c r="H62" s="190"/>
      <c r="I62" s="190"/>
      <c r="J62" s="190"/>
      <c r="K62" s="190"/>
      <c r="L62" s="191"/>
      <c r="M62" s="195"/>
      <c r="N62" s="190"/>
      <c r="O62" s="190"/>
      <c r="P62" s="190"/>
      <c r="Q62" s="190"/>
      <c r="R62" s="190"/>
      <c r="S62" s="190"/>
      <c r="T62" s="190"/>
      <c r="U62" s="190"/>
      <c r="V62" s="190"/>
      <c r="W62" s="191"/>
      <c r="X62" s="195"/>
      <c r="Y62" s="190"/>
      <c r="Z62" s="190"/>
      <c r="AA62" s="190"/>
      <c r="AB62" s="190"/>
      <c r="AC62" s="190"/>
      <c r="AD62" s="190"/>
      <c r="AE62" s="190"/>
      <c r="AF62" s="190"/>
      <c r="AG62" s="190"/>
      <c r="AH62" s="191"/>
      <c r="AI62" s="195"/>
      <c r="AJ62" s="190"/>
      <c r="AK62" s="190"/>
      <c r="AL62" s="190"/>
      <c r="AM62" s="190"/>
      <c r="AN62" s="190"/>
      <c r="AO62" s="190"/>
      <c r="AP62" s="190"/>
      <c r="AQ62" s="190"/>
      <c r="AR62" s="190"/>
      <c r="AS62" s="190"/>
      <c r="AT62" s="195"/>
      <c r="AU62" s="190"/>
      <c r="AV62" s="190"/>
      <c r="AW62" s="190"/>
      <c r="AX62" s="190"/>
      <c r="AY62" s="190"/>
      <c r="AZ62" s="190"/>
      <c r="BA62" s="190"/>
      <c r="BB62" s="190"/>
      <c r="BC62" s="190"/>
      <c r="BD62" s="201"/>
    </row>
    <row r="63" spans="2:56" ht="12" customHeight="1" x14ac:dyDescent="0.25">
      <c r="B63" s="189"/>
      <c r="C63" s="190"/>
      <c r="D63" s="190"/>
      <c r="E63" s="190"/>
      <c r="F63" s="190"/>
      <c r="G63" s="190"/>
      <c r="H63" s="190"/>
      <c r="I63" s="190"/>
      <c r="J63" s="190"/>
      <c r="K63" s="190"/>
      <c r="L63" s="191"/>
      <c r="M63" s="195"/>
      <c r="N63" s="190"/>
      <c r="O63" s="190"/>
      <c r="P63" s="190"/>
      <c r="Q63" s="190"/>
      <c r="R63" s="190"/>
      <c r="S63" s="190"/>
      <c r="T63" s="190"/>
      <c r="U63" s="190"/>
      <c r="V63" s="190"/>
      <c r="W63" s="191"/>
      <c r="X63" s="195"/>
      <c r="Y63" s="190"/>
      <c r="Z63" s="190"/>
      <c r="AA63" s="190"/>
      <c r="AB63" s="190"/>
      <c r="AC63" s="190"/>
      <c r="AD63" s="190"/>
      <c r="AE63" s="190"/>
      <c r="AF63" s="190"/>
      <c r="AG63" s="190"/>
      <c r="AH63" s="191"/>
      <c r="AI63" s="195"/>
      <c r="AJ63" s="190"/>
      <c r="AK63" s="190"/>
      <c r="AL63" s="190"/>
      <c r="AM63" s="190"/>
      <c r="AN63" s="190"/>
      <c r="AO63" s="190"/>
      <c r="AP63" s="190"/>
      <c r="AQ63" s="190"/>
      <c r="AR63" s="190"/>
      <c r="AS63" s="190"/>
      <c r="AT63" s="195"/>
      <c r="AU63" s="190"/>
      <c r="AV63" s="190"/>
      <c r="AW63" s="190"/>
      <c r="AX63" s="190"/>
      <c r="AY63" s="190"/>
      <c r="AZ63" s="190"/>
      <c r="BA63" s="190"/>
      <c r="BB63" s="190"/>
      <c r="BC63" s="190"/>
      <c r="BD63" s="201"/>
    </row>
    <row r="64" spans="2:56" ht="12" customHeight="1" x14ac:dyDescent="0.25">
      <c r="B64" s="189"/>
      <c r="C64" s="190"/>
      <c r="D64" s="190"/>
      <c r="E64" s="190"/>
      <c r="F64" s="190"/>
      <c r="G64" s="190"/>
      <c r="H64" s="190"/>
      <c r="I64" s="190"/>
      <c r="J64" s="190"/>
      <c r="K64" s="190"/>
      <c r="L64" s="191"/>
      <c r="M64" s="195"/>
      <c r="N64" s="190"/>
      <c r="O64" s="190"/>
      <c r="P64" s="190"/>
      <c r="Q64" s="190"/>
      <c r="R64" s="190"/>
      <c r="S64" s="190"/>
      <c r="T64" s="190"/>
      <c r="U64" s="190"/>
      <c r="V64" s="190"/>
      <c r="W64" s="191"/>
      <c r="X64" s="195"/>
      <c r="Y64" s="190"/>
      <c r="Z64" s="190"/>
      <c r="AA64" s="190"/>
      <c r="AB64" s="190"/>
      <c r="AC64" s="190"/>
      <c r="AD64" s="190"/>
      <c r="AE64" s="190"/>
      <c r="AF64" s="190"/>
      <c r="AG64" s="190"/>
      <c r="AH64" s="191"/>
      <c r="AI64" s="195"/>
      <c r="AJ64" s="190"/>
      <c r="AK64" s="190"/>
      <c r="AL64" s="190"/>
      <c r="AM64" s="190"/>
      <c r="AN64" s="190"/>
      <c r="AO64" s="190"/>
      <c r="AP64" s="190"/>
      <c r="AQ64" s="190"/>
      <c r="AR64" s="190"/>
      <c r="AS64" s="190"/>
      <c r="AT64" s="195"/>
      <c r="AU64" s="190"/>
      <c r="AV64" s="190"/>
      <c r="AW64" s="190"/>
      <c r="AX64" s="190"/>
      <c r="AY64" s="190"/>
      <c r="AZ64" s="190"/>
      <c r="BA64" s="190"/>
      <c r="BB64" s="190"/>
      <c r="BC64" s="190"/>
      <c r="BD64" s="201"/>
    </row>
    <row r="65" spans="2:56" ht="12" customHeight="1" x14ac:dyDescent="0.25">
      <c r="B65" s="216"/>
      <c r="C65" s="217"/>
      <c r="D65" s="217"/>
      <c r="E65" s="217"/>
      <c r="F65" s="217"/>
      <c r="G65" s="217"/>
      <c r="H65" s="217"/>
      <c r="I65" s="217"/>
      <c r="J65" s="217"/>
      <c r="K65" s="217"/>
      <c r="L65" s="218"/>
      <c r="M65" s="220"/>
      <c r="N65" s="217"/>
      <c r="O65" s="217"/>
      <c r="P65" s="217"/>
      <c r="Q65" s="217"/>
      <c r="R65" s="217"/>
      <c r="S65" s="217"/>
      <c r="T65" s="217"/>
      <c r="U65" s="217"/>
      <c r="V65" s="217"/>
      <c r="W65" s="218"/>
      <c r="X65" s="220"/>
      <c r="Y65" s="217"/>
      <c r="Z65" s="217"/>
      <c r="AA65" s="217"/>
      <c r="AB65" s="217"/>
      <c r="AC65" s="217"/>
      <c r="AD65" s="217"/>
      <c r="AE65" s="217"/>
      <c r="AF65" s="217"/>
      <c r="AG65" s="217"/>
      <c r="AH65" s="218"/>
      <c r="AI65" s="220"/>
      <c r="AJ65" s="217"/>
      <c r="AK65" s="217"/>
      <c r="AL65" s="217"/>
      <c r="AM65" s="217"/>
      <c r="AN65" s="217"/>
      <c r="AO65" s="217"/>
      <c r="AP65" s="217"/>
      <c r="AQ65" s="217"/>
      <c r="AR65" s="217"/>
      <c r="AS65" s="217"/>
      <c r="AT65" s="220"/>
      <c r="AU65" s="217"/>
      <c r="AV65" s="217"/>
      <c r="AW65" s="217"/>
      <c r="AX65" s="217"/>
      <c r="AY65" s="217"/>
      <c r="AZ65" s="217"/>
      <c r="BA65" s="217"/>
      <c r="BB65" s="217"/>
      <c r="BC65" s="217"/>
      <c r="BD65" s="223"/>
    </row>
    <row r="66" spans="2:56" ht="12" customHeight="1" x14ac:dyDescent="0.25">
      <c r="B66" s="171">
        <f>白班过程记录!B52</f>
        <v>0</v>
      </c>
      <c r="C66" s="172"/>
      <c r="D66" s="2" t="s">
        <v>19</v>
      </c>
      <c r="E66" s="173" t="s">
        <v>20</v>
      </c>
      <c r="F66" s="176"/>
      <c r="G66" s="177"/>
      <c r="H66" s="177"/>
      <c r="I66" s="177"/>
      <c r="J66" s="177"/>
      <c r="K66" s="177"/>
      <c r="L66" s="177"/>
      <c r="M66" s="177"/>
      <c r="N66" s="177"/>
      <c r="O66" s="177"/>
      <c r="P66" s="177"/>
      <c r="Q66" s="177"/>
      <c r="R66" s="177"/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  <c r="AH66" s="177"/>
      <c r="AI66" s="177"/>
      <c r="AJ66" s="177"/>
      <c r="AK66" s="177"/>
      <c r="AL66" s="177"/>
      <c r="AM66" s="177"/>
      <c r="AN66" s="177"/>
      <c r="AO66" s="178"/>
      <c r="AP66" s="178"/>
      <c r="AQ66" s="178"/>
      <c r="AR66" s="178"/>
      <c r="AS66" s="178"/>
      <c r="AT66" s="178"/>
      <c r="AU66" s="178"/>
      <c r="AV66" s="178"/>
      <c r="AW66" s="178"/>
      <c r="AX66" s="178"/>
      <c r="AY66" s="178"/>
      <c r="AZ66" s="178"/>
      <c r="BA66" s="178"/>
      <c r="BB66" s="178"/>
      <c r="BC66" s="178"/>
      <c r="BD66" s="179"/>
    </row>
    <row r="67" spans="2:56" ht="12" customHeight="1" x14ac:dyDescent="0.25">
      <c r="B67" s="184"/>
      <c r="C67" s="174"/>
      <c r="D67" s="174"/>
      <c r="E67" s="174"/>
      <c r="F67" s="174"/>
      <c r="G67" s="174"/>
      <c r="H67" s="174"/>
      <c r="I67" s="174"/>
      <c r="J67" s="174"/>
      <c r="K67" s="174"/>
      <c r="L67" s="174"/>
      <c r="M67" s="174"/>
      <c r="N67" s="174"/>
      <c r="O67" s="174"/>
      <c r="P67" s="174"/>
      <c r="Q67" s="174"/>
      <c r="R67" s="174"/>
      <c r="S67" s="174"/>
      <c r="T67" s="174"/>
      <c r="U67" s="174"/>
      <c r="V67" s="174"/>
      <c r="W67" s="174"/>
      <c r="X67" s="174"/>
      <c r="Y67" s="174"/>
      <c r="Z67" s="174"/>
      <c r="AA67" s="174"/>
      <c r="AB67" s="174"/>
      <c r="AC67" s="174"/>
      <c r="AD67" s="174"/>
      <c r="AE67" s="174"/>
      <c r="AF67" s="174"/>
      <c r="AG67" s="174"/>
      <c r="AH67" s="174"/>
      <c r="AI67" s="174"/>
      <c r="AJ67" s="174"/>
      <c r="AK67" s="174"/>
      <c r="AL67" s="174"/>
      <c r="AM67" s="174"/>
      <c r="AN67" s="174"/>
      <c r="AO67" s="180"/>
      <c r="AP67" s="180"/>
      <c r="AQ67" s="180"/>
      <c r="AR67" s="180"/>
      <c r="AS67" s="180"/>
      <c r="AT67" s="180"/>
      <c r="AU67" s="180"/>
      <c r="AV67" s="180"/>
      <c r="AW67" s="180"/>
      <c r="AX67" s="180"/>
      <c r="AY67" s="180"/>
      <c r="AZ67" s="180"/>
      <c r="BA67" s="180"/>
      <c r="BB67" s="180"/>
      <c r="BC67" s="180"/>
      <c r="BD67" s="181"/>
    </row>
    <row r="68" spans="2:56" ht="12" customHeight="1" thickBot="1" x14ac:dyDescent="0.3">
      <c r="B68" s="185"/>
      <c r="C68" s="175"/>
      <c r="D68" s="175"/>
      <c r="E68" s="175"/>
      <c r="F68" s="175"/>
      <c r="G68" s="175"/>
      <c r="H68" s="175"/>
      <c r="I68" s="175"/>
      <c r="J68" s="175"/>
      <c r="K68" s="175"/>
      <c r="L68" s="175"/>
      <c r="M68" s="175"/>
      <c r="N68" s="175"/>
      <c r="O68" s="175"/>
      <c r="P68" s="175"/>
      <c r="Q68" s="175"/>
      <c r="R68" s="175"/>
      <c r="S68" s="175"/>
      <c r="T68" s="175"/>
      <c r="U68" s="175"/>
      <c r="V68" s="175"/>
      <c r="W68" s="175"/>
      <c r="X68" s="175"/>
      <c r="Y68" s="175"/>
      <c r="Z68" s="175"/>
      <c r="AA68" s="175"/>
      <c r="AB68" s="175"/>
      <c r="AC68" s="175"/>
      <c r="AD68" s="175"/>
      <c r="AE68" s="175"/>
      <c r="AF68" s="175"/>
      <c r="AG68" s="175"/>
      <c r="AH68" s="175"/>
      <c r="AI68" s="175"/>
      <c r="AJ68" s="175"/>
      <c r="AK68" s="175"/>
      <c r="AL68" s="175"/>
      <c r="AM68" s="175"/>
      <c r="AN68" s="175"/>
      <c r="AO68" s="182"/>
      <c r="AP68" s="182"/>
      <c r="AQ68" s="182"/>
      <c r="AR68" s="182"/>
      <c r="AS68" s="182"/>
      <c r="AT68" s="182"/>
      <c r="AU68" s="182"/>
      <c r="AV68" s="182"/>
      <c r="AW68" s="182"/>
      <c r="AX68" s="182"/>
      <c r="AY68" s="182"/>
      <c r="AZ68" s="182"/>
      <c r="BA68" s="182"/>
      <c r="BB68" s="182"/>
      <c r="BC68" s="182"/>
      <c r="BD68" s="183"/>
    </row>
    <row r="81" s="1" customFormat="1" ht="12" customHeight="1" x14ac:dyDescent="0.25"/>
    <row r="82" s="1" customFormat="1" ht="12" customHeight="1" x14ac:dyDescent="0.25"/>
    <row r="83" s="1" customFormat="1" ht="12" customHeight="1" x14ac:dyDescent="0.25"/>
    <row r="84" s="1" customFormat="1" ht="12" customHeight="1" x14ac:dyDescent="0.25"/>
    <row r="85" s="1" customFormat="1" ht="12" customHeight="1" x14ac:dyDescent="0.25"/>
    <row r="86" s="1" customFormat="1" ht="12" customHeight="1" x14ac:dyDescent="0.25"/>
    <row r="87" s="1" customFormat="1" ht="12" customHeight="1" x14ac:dyDescent="0.25"/>
    <row r="88" s="1" customFormat="1" ht="12" customHeight="1" x14ac:dyDescent="0.25"/>
    <row r="89" s="1" customFormat="1" ht="12" customHeight="1" x14ac:dyDescent="0.25"/>
    <row r="90" s="1" customFormat="1" ht="12" customHeight="1" x14ac:dyDescent="0.25"/>
    <row r="91" s="1" customFormat="1" ht="12" customHeight="1" x14ac:dyDescent="0.25"/>
    <row r="92" s="1" customFormat="1" ht="12" customHeight="1" x14ac:dyDescent="0.25"/>
    <row r="93" s="1" customFormat="1" ht="12" customHeight="1" x14ac:dyDescent="0.25"/>
    <row r="94" s="1" customFormat="1" ht="12" customHeight="1" x14ac:dyDescent="0.25"/>
    <row r="95" s="1" customFormat="1" ht="12" customHeight="1" x14ac:dyDescent="0.25"/>
    <row r="96" s="1" customFormat="1" ht="12" customHeight="1" x14ac:dyDescent="0.25"/>
    <row r="97" s="1" customFormat="1" ht="12" customHeight="1" x14ac:dyDescent="0.25"/>
    <row r="98" s="1" customFormat="1" ht="12" customHeight="1" x14ac:dyDescent="0.25"/>
    <row r="99" s="1" customFormat="1" ht="12" customHeight="1" x14ac:dyDescent="0.25"/>
    <row r="100" s="1" customFormat="1" ht="12" customHeight="1" x14ac:dyDescent="0.25"/>
    <row r="101" s="1" customFormat="1" ht="12" customHeight="1" x14ac:dyDescent="0.25"/>
    <row r="102" s="1" customFormat="1" ht="12" customHeight="1" x14ac:dyDescent="0.25"/>
    <row r="103" s="1" customFormat="1" ht="12" customHeight="1" x14ac:dyDescent="0.25"/>
    <row r="104" s="1" customFormat="1" ht="12" customHeight="1" x14ac:dyDescent="0.25"/>
    <row r="105" s="1" customFormat="1" ht="12" customHeight="1" x14ac:dyDescent="0.25"/>
    <row r="106" s="1" customFormat="1" ht="12" customHeight="1" x14ac:dyDescent="0.25"/>
    <row r="107" s="1" customFormat="1" ht="12" customHeight="1" x14ac:dyDescent="0.25"/>
    <row r="108" s="1" customFormat="1" ht="12" customHeight="1" x14ac:dyDescent="0.25"/>
    <row r="109" s="1" customFormat="1" ht="12" customHeight="1" x14ac:dyDescent="0.25"/>
    <row r="110" s="1" customFormat="1" ht="12" customHeight="1" x14ac:dyDescent="0.25"/>
    <row r="111" s="1" customFormat="1" ht="12" customHeight="1" x14ac:dyDescent="0.25"/>
    <row r="112" s="1" customFormat="1" ht="12" customHeight="1" x14ac:dyDescent="0.25"/>
    <row r="113" s="1" customFormat="1" ht="12" customHeight="1" x14ac:dyDescent="0.25"/>
    <row r="114" s="1" customFormat="1" ht="12" customHeight="1" x14ac:dyDescent="0.25"/>
    <row r="115" s="1" customFormat="1" ht="12" customHeight="1" x14ac:dyDescent="0.25"/>
    <row r="116" s="1" customFormat="1" ht="12" customHeight="1" x14ac:dyDescent="0.25"/>
    <row r="117" s="1" customFormat="1" ht="12" customHeight="1" x14ac:dyDescent="0.25"/>
    <row r="118" s="1" customFormat="1" ht="12" customHeight="1" x14ac:dyDescent="0.25"/>
    <row r="119" s="1" customFormat="1" ht="12" customHeight="1" x14ac:dyDescent="0.25"/>
    <row r="120" s="1" customFormat="1" ht="12" customHeight="1" x14ac:dyDescent="0.25"/>
    <row r="121" s="1" customFormat="1" ht="12" customHeight="1" x14ac:dyDescent="0.25"/>
    <row r="122" s="1" customFormat="1" ht="12" customHeight="1" x14ac:dyDescent="0.25"/>
    <row r="123" s="1" customFormat="1" ht="12" customHeight="1" x14ac:dyDescent="0.25"/>
    <row r="124" s="1" customFormat="1" ht="12" customHeight="1" x14ac:dyDescent="0.25"/>
    <row r="125" s="1" customFormat="1" ht="12" customHeight="1" x14ac:dyDescent="0.25"/>
    <row r="126" s="1" customFormat="1" ht="12" customHeight="1" x14ac:dyDescent="0.25"/>
    <row r="127" s="1" customFormat="1" ht="12" customHeight="1" x14ac:dyDescent="0.25"/>
    <row r="128" s="1" customFormat="1" ht="12" customHeight="1" x14ac:dyDescent="0.25"/>
    <row r="129" s="1" customFormat="1" ht="12" customHeight="1" x14ac:dyDescent="0.25"/>
    <row r="130" s="1" customFormat="1" ht="12" customHeight="1" x14ac:dyDescent="0.25"/>
    <row r="131" s="1" customFormat="1" ht="12" customHeight="1" x14ac:dyDescent="0.25"/>
    <row r="132" s="1" customFormat="1" ht="12" customHeight="1" x14ac:dyDescent="0.25"/>
    <row r="133" s="1" customFormat="1" ht="12" customHeight="1" x14ac:dyDescent="0.25"/>
    <row r="134" s="1" customFormat="1" ht="12" customHeight="1" x14ac:dyDescent="0.25"/>
    <row r="135" s="1" customFormat="1" ht="12" customHeight="1" x14ac:dyDescent="0.25"/>
    <row r="136" s="1" customFormat="1" ht="12" customHeight="1" x14ac:dyDescent="0.25"/>
    <row r="137" s="1" customFormat="1" ht="12" customHeight="1" x14ac:dyDescent="0.25"/>
    <row r="138" s="1" customFormat="1" ht="12" customHeight="1" x14ac:dyDescent="0.25"/>
    <row r="139" s="1" customFormat="1" ht="12" customHeight="1" x14ac:dyDescent="0.25"/>
    <row r="140" s="1" customFormat="1" ht="12" customHeight="1" x14ac:dyDescent="0.25"/>
    <row r="141" s="1" customFormat="1" ht="12" customHeight="1" x14ac:dyDescent="0.25"/>
    <row r="142" s="1" customFormat="1" ht="12" customHeight="1" x14ac:dyDescent="0.25"/>
    <row r="143" s="1" customFormat="1" ht="12" customHeight="1" x14ac:dyDescent="0.25"/>
    <row r="144" s="1" customFormat="1" ht="12" customHeight="1" x14ac:dyDescent="0.25"/>
    <row r="145" s="1" customFormat="1" ht="12" customHeight="1" x14ac:dyDescent="0.25"/>
    <row r="146" s="1" customFormat="1" ht="12" customHeight="1" x14ac:dyDescent="0.25"/>
    <row r="147" s="1" customFormat="1" ht="12" customHeight="1" x14ac:dyDescent="0.25"/>
    <row r="148" s="1" customFormat="1" ht="12" customHeight="1" x14ac:dyDescent="0.25"/>
    <row r="149" s="1" customFormat="1" ht="12" customHeight="1" x14ac:dyDescent="0.25"/>
    <row r="150" s="1" customFormat="1" ht="12" customHeight="1" x14ac:dyDescent="0.25"/>
    <row r="151" s="1" customFormat="1" ht="12" customHeight="1" x14ac:dyDescent="0.25"/>
    <row r="152" s="1" customFormat="1" ht="12" customHeight="1" x14ac:dyDescent="0.25"/>
    <row r="153" s="1" customFormat="1" ht="12" customHeight="1" x14ac:dyDescent="0.25"/>
    <row r="154" s="1" customFormat="1" ht="12" customHeight="1" x14ac:dyDescent="0.25"/>
    <row r="155" s="1" customFormat="1" ht="12" customHeight="1" x14ac:dyDescent="0.25"/>
    <row r="156" s="1" customFormat="1" ht="12" customHeight="1" x14ac:dyDescent="0.25"/>
    <row r="157" s="1" customFormat="1" ht="12" customHeight="1" x14ac:dyDescent="0.25"/>
    <row r="158" s="1" customFormat="1" ht="12" customHeight="1" x14ac:dyDescent="0.25"/>
    <row r="159" s="1" customFormat="1" ht="12" customHeight="1" x14ac:dyDescent="0.25"/>
    <row r="160" s="1" customFormat="1" ht="12" customHeight="1" x14ac:dyDescent="0.25"/>
    <row r="161" s="1" customFormat="1" ht="12" customHeight="1" x14ac:dyDescent="0.25"/>
    <row r="162" s="1" customFormat="1" ht="12" customHeight="1" x14ac:dyDescent="0.25"/>
    <row r="163" s="1" customFormat="1" ht="12" customHeight="1" x14ac:dyDescent="0.25"/>
    <row r="164" s="1" customFormat="1" ht="12" customHeight="1" x14ac:dyDescent="0.25"/>
    <row r="165" s="1" customFormat="1" ht="12" customHeight="1" x14ac:dyDescent="0.25"/>
    <row r="166" s="1" customFormat="1" ht="12" customHeight="1" x14ac:dyDescent="0.25"/>
    <row r="167" s="1" customFormat="1" ht="12" customHeight="1" x14ac:dyDescent="0.25"/>
    <row r="168" s="1" customFormat="1" ht="12" customHeight="1" x14ac:dyDescent="0.25"/>
    <row r="169" s="1" customFormat="1" ht="12" customHeight="1" x14ac:dyDescent="0.25"/>
    <row r="170" s="1" customFormat="1" ht="12" customHeight="1" x14ac:dyDescent="0.25"/>
    <row r="171" s="1" customFormat="1" ht="12" customHeight="1" x14ac:dyDescent="0.25"/>
    <row r="172" s="1" customFormat="1" ht="12" customHeight="1" x14ac:dyDescent="0.25"/>
    <row r="173" s="1" customFormat="1" ht="12" customHeight="1" x14ac:dyDescent="0.25"/>
    <row r="174" s="1" customFormat="1" ht="12" customHeight="1" x14ac:dyDescent="0.25"/>
    <row r="175" s="1" customFormat="1" ht="12" customHeight="1" x14ac:dyDescent="0.25"/>
    <row r="176" s="1" customFormat="1" ht="12" customHeight="1" x14ac:dyDescent="0.25"/>
    <row r="177" s="1" customFormat="1" ht="12" customHeight="1" x14ac:dyDescent="0.25"/>
    <row r="178" s="1" customFormat="1" ht="12" customHeight="1" x14ac:dyDescent="0.25"/>
    <row r="179" s="1" customFormat="1" ht="12" customHeight="1" x14ac:dyDescent="0.25"/>
    <row r="180" s="1" customFormat="1" ht="12" customHeight="1" x14ac:dyDescent="0.25"/>
    <row r="181" s="1" customFormat="1" ht="12" customHeight="1" x14ac:dyDescent="0.25"/>
    <row r="182" s="1" customFormat="1" ht="12" customHeight="1" x14ac:dyDescent="0.25"/>
    <row r="183" s="1" customFormat="1" ht="12" customHeight="1" x14ac:dyDescent="0.25"/>
    <row r="184" s="1" customFormat="1" ht="12" customHeight="1" x14ac:dyDescent="0.25"/>
    <row r="185" s="1" customFormat="1" ht="12" customHeight="1" x14ac:dyDescent="0.25"/>
    <row r="186" s="1" customFormat="1" ht="12" customHeight="1" x14ac:dyDescent="0.25"/>
    <row r="187" s="1" customFormat="1" ht="12" customHeight="1" x14ac:dyDescent="0.25"/>
    <row r="188" s="1" customFormat="1" ht="12" customHeight="1" x14ac:dyDescent="0.25"/>
    <row r="189" s="1" customFormat="1" ht="12" customHeight="1" x14ac:dyDescent="0.25"/>
    <row r="190" s="1" customFormat="1" ht="12" customHeight="1" x14ac:dyDescent="0.25"/>
    <row r="191" s="1" customFormat="1" ht="12" customHeight="1" x14ac:dyDescent="0.25"/>
    <row r="192" s="1" customFormat="1" ht="12" customHeight="1" x14ac:dyDescent="0.25"/>
    <row r="193" s="1" customFormat="1" ht="12" customHeight="1" x14ac:dyDescent="0.25"/>
    <row r="194" s="1" customFormat="1" ht="12" customHeight="1" x14ac:dyDescent="0.25"/>
    <row r="195" s="1" customFormat="1" ht="12" customHeight="1" x14ac:dyDescent="0.25"/>
    <row r="196" s="1" customFormat="1" ht="12" customHeight="1" x14ac:dyDescent="0.25"/>
    <row r="197" s="1" customFormat="1" ht="12" customHeight="1" x14ac:dyDescent="0.25"/>
    <row r="198" s="1" customFormat="1" ht="12" customHeight="1" x14ac:dyDescent="0.25"/>
    <row r="199" s="1" customFormat="1" ht="12" customHeight="1" x14ac:dyDescent="0.25"/>
    <row r="200" s="1" customFormat="1" ht="12" customHeight="1" x14ac:dyDescent="0.25"/>
    <row r="201" s="1" customFormat="1" ht="12" customHeight="1" x14ac:dyDescent="0.25"/>
    <row r="202" s="1" customFormat="1" ht="12" customHeight="1" x14ac:dyDescent="0.25"/>
    <row r="203" s="1" customFormat="1" ht="12" customHeight="1" x14ac:dyDescent="0.25"/>
    <row r="204" s="1" customFormat="1" ht="12" customHeight="1" x14ac:dyDescent="0.25"/>
    <row r="205" s="1" customFormat="1" ht="12" customHeight="1" x14ac:dyDescent="0.25"/>
    <row r="206" s="1" customFormat="1" ht="12" customHeight="1" x14ac:dyDescent="0.25"/>
    <row r="207" s="1" customFormat="1" ht="12" customHeight="1" x14ac:dyDescent="0.25"/>
    <row r="208" s="1" customFormat="1" ht="12" customHeight="1" x14ac:dyDescent="0.25"/>
    <row r="209" s="1" customFormat="1" ht="12" customHeight="1" x14ac:dyDescent="0.25"/>
    <row r="210" s="1" customFormat="1" ht="12" customHeight="1" x14ac:dyDescent="0.25"/>
    <row r="211" s="1" customFormat="1" ht="12" customHeight="1" x14ac:dyDescent="0.25"/>
    <row r="212" s="1" customFormat="1" ht="12" customHeight="1" x14ac:dyDescent="0.25"/>
    <row r="213" s="1" customFormat="1" ht="12" customHeight="1" x14ac:dyDescent="0.25"/>
    <row r="214" s="1" customFormat="1" ht="12" customHeight="1" x14ac:dyDescent="0.25"/>
    <row r="215" s="1" customFormat="1" ht="12" customHeight="1" x14ac:dyDescent="0.25"/>
    <row r="216" s="1" customFormat="1" ht="12" customHeight="1" x14ac:dyDescent="0.25"/>
    <row r="217" s="1" customFormat="1" ht="12" customHeight="1" x14ac:dyDescent="0.25"/>
    <row r="218" s="1" customFormat="1" ht="12" customHeight="1" x14ac:dyDescent="0.25"/>
    <row r="219" s="1" customFormat="1" ht="12" customHeight="1" x14ac:dyDescent="0.25"/>
    <row r="220" s="1" customFormat="1" ht="12" customHeight="1" x14ac:dyDescent="0.25"/>
    <row r="221" s="1" customFormat="1" ht="12" customHeight="1" x14ac:dyDescent="0.25"/>
    <row r="222" s="1" customFormat="1" ht="12" customHeight="1" x14ac:dyDescent="0.25"/>
    <row r="223" s="1" customFormat="1" ht="12" customHeight="1" x14ac:dyDescent="0.25"/>
    <row r="224" s="1" customFormat="1" ht="12" customHeight="1" x14ac:dyDescent="0.25"/>
    <row r="225" s="1" customFormat="1" ht="12" customHeight="1" x14ac:dyDescent="0.25"/>
    <row r="226" s="1" customFormat="1" ht="12" customHeight="1" x14ac:dyDescent="0.25"/>
    <row r="227" s="1" customFormat="1" ht="12" customHeight="1" x14ac:dyDescent="0.25"/>
    <row r="228" s="1" customFormat="1" ht="12" customHeight="1" x14ac:dyDescent="0.25"/>
    <row r="229" s="1" customFormat="1" ht="12" customHeight="1" x14ac:dyDescent="0.25"/>
    <row r="230" s="1" customFormat="1" ht="12" customHeight="1" x14ac:dyDescent="0.25"/>
    <row r="231" s="1" customFormat="1" ht="12" customHeight="1" x14ac:dyDescent="0.25"/>
    <row r="232" s="1" customFormat="1" ht="12" customHeight="1" x14ac:dyDescent="0.25"/>
    <row r="233" s="1" customFormat="1" ht="12" customHeight="1" x14ac:dyDescent="0.25"/>
    <row r="234" s="1" customFormat="1" ht="12" customHeight="1" x14ac:dyDescent="0.25"/>
    <row r="235" s="1" customFormat="1" ht="12" customHeight="1" x14ac:dyDescent="0.25"/>
    <row r="236" s="1" customFormat="1" ht="12" customHeight="1" x14ac:dyDescent="0.25"/>
    <row r="237" s="1" customFormat="1" ht="12" customHeight="1" x14ac:dyDescent="0.25"/>
    <row r="238" s="1" customFormat="1" ht="12" customHeight="1" x14ac:dyDescent="0.25"/>
    <row r="239" s="1" customFormat="1" ht="12" customHeight="1" x14ac:dyDescent="0.25"/>
    <row r="240" s="1" customFormat="1" ht="12" customHeight="1" x14ac:dyDescent="0.25"/>
    <row r="241" s="1" customFormat="1" ht="12" customHeight="1" x14ac:dyDescent="0.25"/>
    <row r="242" s="1" customFormat="1" ht="12" customHeight="1" x14ac:dyDescent="0.25"/>
    <row r="243" s="1" customFormat="1" ht="12" customHeight="1" x14ac:dyDescent="0.25"/>
    <row r="244" s="1" customFormat="1" ht="12" customHeight="1" x14ac:dyDescent="0.25"/>
    <row r="245" s="1" customFormat="1" ht="12" customHeight="1" x14ac:dyDescent="0.25"/>
    <row r="246" s="1" customFormat="1" ht="12" customHeight="1" x14ac:dyDescent="0.25"/>
    <row r="247" s="1" customFormat="1" ht="12" customHeight="1" x14ac:dyDescent="0.25"/>
    <row r="248" s="1" customFormat="1" ht="12" customHeight="1" x14ac:dyDescent="0.25"/>
    <row r="249" s="1" customFormat="1" ht="12" customHeight="1" x14ac:dyDescent="0.25"/>
    <row r="250" s="1" customFormat="1" ht="12" customHeight="1" x14ac:dyDescent="0.25"/>
    <row r="251" s="1" customFormat="1" ht="12" customHeight="1" x14ac:dyDescent="0.25"/>
    <row r="252" s="1" customFormat="1" ht="12" customHeight="1" x14ac:dyDescent="0.25"/>
    <row r="253" s="1" customFormat="1" ht="12" customHeight="1" x14ac:dyDescent="0.25"/>
    <row r="254" s="1" customFormat="1" ht="12" customHeight="1" x14ac:dyDescent="0.25"/>
    <row r="255" s="1" customFormat="1" ht="12" customHeight="1" x14ac:dyDescent="0.25"/>
    <row r="256" s="1" customFormat="1" ht="12" customHeight="1" x14ac:dyDescent="0.25"/>
    <row r="257" s="1" customFormat="1" ht="12" customHeight="1" x14ac:dyDescent="0.25"/>
    <row r="258" s="1" customFormat="1" ht="12" customHeight="1" x14ac:dyDescent="0.25"/>
    <row r="259" s="1" customFormat="1" ht="12" customHeight="1" x14ac:dyDescent="0.25"/>
    <row r="260" s="1" customFormat="1" ht="12" customHeight="1" x14ac:dyDescent="0.25"/>
    <row r="261" s="1" customFormat="1" ht="12" customHeight="1" x14ac:dyDescent="0.25"/>
    <row r="262" s="1" customFormat="1" ht="12" customHeight="1" x14ac:dyDescent="0.25"/>
    <row r="263" s="1" customFormat="1" ht="12" customHeight="1" x14ac:dyDescent="0.25"/>
    <row r="264" s="1" customFormat="1" ht="12" customHeight="1" x14ac:dyDescent="0.25"/>
    <row r="265" s="1" customFormat="1" ht="12" customHeight="1" x14ac:dyDescent="0.25"/>
    <row r="266" s="1" customFormat="1" ht="12" customHeight="1" x14ac:dyDescent="0.25"/>
    <row r="267" s="1" customFormat="1" ht="12" customHeight="1" x14ac:dyDescent="0.25"/>
    <row r="268" s="1" customFormat="1" ht="12" customHeight="1" x14ac:dyDescent="0.25"/>
    <row r="269" s="1" customFormat="1" ht="12" customHeight="1" x14ac:dyDescent="0.25"/>
    <row r="270" s="1" customFormat="1" ht="12" customHeight="1" x14ac:dyDescent="0.25"/>
    <row r="271" s="1" customFormat="1" ht="12" customHeight="1" x14ac:dyDescent="0.25"/>
    <row r="272" s="1" customFormat="1" ht="12" customHeight="1" x14ac:dyDescent="0.25"/>
    <row r="273" s="1" customFormat="1" ht="12" customHeight="1" x14ac:dyDescent="0.25"/>
    <row r="274" s="1" customFormat="1" ht="12" customHeight="1" x14ac:dyDescent="0.25"/>
    <row r="275" s="1" customFormat="1" ht="12" customHeight="1" x14ac:dyDescent="0.25"/>
    <row r="276" s="1" customFormat="1" ht="12" customHeight="1" x14ac:dyDescent="0.25"/>
    <row r="277" s="1" customFormat="1" ht="12" customHeight="1" x14ac:dyDescent="0.25"/>
    <row r="278" s="1" customFormat="1" ht="12" customHeight="1" x14ac:dyDescent="0.25"/>
    <row r="279" s="1" customFormat="1" ht="12" customHeight="1" x14ac:dyDescent="0.25"/>
    <row r="280" s="1" customFormat="1" ht="12" customHeight="1" x14ac:dyDescent="0.25"/>
    <row r="281" s="1" customFormat="1" ht="12" customHeight="1" x14ac:dyDescent="0.25"/>
    <row r="282" s="1" customFormat="1" ht="12" customHeight="1" x14ac:dyDescent="0.25"/>
    <row r="283" s="1" customFormat="1" ht="12" customHeight="1" x14ac:dyDescent="0.25"/>
    <row r="284" s="1" customFormat="1" ht="12" customHeight="1" x14ac:dyDescent="0.25"/>
    <row r="285" s="1" customFormat="1" ht="12" customHeight="1" x14ac:dyDescent="0.25"/>
    <row r="286" s="1" customFormat="1" ht="12" customHeight="1" x14ac:dyDescent="0.25"/>
    <row r="287" s="1" customFormat="1" ht="12" customHeight="1" x14ac:dyDescent="0.25"/>
    <row r="288" s="1" customFormat="1" ht="12" customHeight="1" x14ac:dyDescent="0.25"/>
    <row r="289" s="1" customFormat="1" ht="12" customHeight="1" x14ac:dyDescent="0.25"/>
    <row r="290" s="1" customFormat="1" ht="12" customHeight="1" x14ac:dyDescent="0.25"/>
    <row r="291" s="1" customFormat="1" ht="12" customHeight="1" x14ac:dyDescent="0.25"/>
    <row r="292" s="1" customFormat="1" ht="12" customHeight="1" x14ac:dyDescent="0.25"/>
    <row r="293" s="1" customFormat="1" ht="12" customHeight="1" x14ac:dyDescent="0.25"/>
    <row r="294" s="1" customFormat="1" ht="12" customHeight="1" x14ac:dyDescent="0.25"/>
    <row r="295" s="1" customFormat="1" ht="12" customHeight="1" x14ac:dyDescent="0.25"/>
    <row r="296" s="1" customFormat="1" ht="12" customHeight="1" x14ac:dyDescent="0.25"/>
    <row r="297" s="1" customFormat="1" ht="12" customHeight="1" x14ac:dyDescent="0.25"/>
    <row r="298" s="1" customFormat="1" ht="12" customHeight="1" x14ac:dyDescent="0.25"/>
    <row r="299" s="1" customFormat="1" ht="12" customHeight="1" x14ac:dyDescent="0.25"/>
    <row r="300" s="1" customFormat="1" ht="12" customHeight="1" x14ac:dyDescent="0.25"/>
    <row r="301" s="1" customFormat="1" ht="12" customHeight="1" x14ac:dyDescent="0.25"/>
    <row r="302" s="1" customFormat="1" ht="12" customHeight="1" x14ac:dyDescent="0.25"/>
    <row r="303" s="1" customFormat="1" ht="12" customHeight="1" x14ac:dyDescent="0.25"/>
    <row r="304" s="1" customFormat="1" ht="12" customHeight="1" x14ac:dyDescent="0.25"/>
    <row r="305" s="1" customFormat="1" ht="12" customHeight="1" x14ac:dyDescent="0.25"/>
    <row r="306" s="1" customFormat="1" ht="12" customHeight="1" x14ac:dyDescent="0.25"/>
    <row r="307" s="1" customFormat="1" ht="12" customHeight="1" x14ac:dyDescent="0.25"/>
    <row r="308" s="1" customFormat="1" ht="12" customHeight="1" x14ac:dyDescent="0.25"/>
    <row r="309" s="1" customFormat="1" ht="12" customHeight="1" x14ac:dyDescent="0.25"/>
    <row r="310" s="1" customFormat="1" ht="12" customHeight="1" x14ac:dyDescent="0.25"/>
    <row r="311" s="1" customFormat="1" ht="12" customHeight="1" x14ac:dyDescent="0.25"/>
    <row r="312" s="1" customFormat="1" ht="12" customHeight="1" x14ac:dyDescent="0.25"/>
    <row r="313" s="1" customFormat="1" ht="12" customHeight="1" x14ac:dyDescent="0.25"/>
    <row r="314" s="1" customFormat="1" ht="12" customHeight="1" x14ac:dyDescent="0.25"/>
    <row r="315" s="1" customFormat="1" ht="12" customHeight="1" x14ac:dyDescent="0.25"/>
    <row r="316" s="1" customFormat="1" ht="12" customHeight="1" x14ac:dyDescent="0.25"/>
    <row r="317" s="1" customFormat="1" ht="12" customHeight="1" x14ac:dyDescent="0.25"/>
    <row r="318" s="1" customFormat="1" ht="12" customHeight="1" x14ac:dyDescent="0.25"/>
    <row r="319" s="1" customFormat="1" ht="12" customHeight="1" x14ac:dyDescent="0.25"/>
    <row r="320" s="1" customFormat="1" ht="12" customHeight="1" x14ac:dyDescent="0.25"/>
    <row r="321" s="1" customFormat="1" ht="12" customHeight="1" x14ac:dyDescent="0.25"/>
    <row r="322" s="1" customFormat="1" ht="12" customHeight="1" x14ac:dyDescent="0.25"/>
    <row r="323" s="1" customFormat="1" ht="12" customHeight="1" x14ac:dyDescent="0.25"/>
    <row r="324" s="1" customFormat="1" ht="12" customHeight="1" x14ac:dyDescent="0.25"/>
    <row r="325" s="1" customFormat="1" ht="12" customHeight="1" x14ac:dyDescent="0.25"/>
    <row r="326" s="1" customFormat="1" ht="12" customHeight="1" x14ac:dyDescent="0.25"/>
    <row r="327" s="1" customFormat="1" ht="12" customHeight="1" x14ac:dyDescent="0.25"/>
    <row r="328" s="1" customFormat="1" ht="12" customHeight="1" x14ac:dyDescent="0.25"/>
    <row r="329" s="1" customFormat="1" ht="12" customHeight="1" x14ac:dyDescent="0.25"/>
    <row r="330" s="1" customFormat="1" ht="12" customHeight="1" x14ac:dyDescent="0.25"/>
    <row r="331" s="1" customFormat="1" ht="12" customHeight="1" x14ac:dyDescent="0.25"/>
    <row r="332" s="1" customFormat="1" ht="12" customHeight="1" x14ac:dyDescent="0.25"/>
    <row r="333" s="1" customFormat="1" ht="12" customHeight="1" x14ac:dyDescent="0.25"/>
    <row r="334" s="1" customFormat="1" ht="12" customHeight="1" x14ac:dyDescent="0.25"/>
    <row r="335" s="1" customFormat="1" ht="12" customHeight="1" x14ac:dyDescent="0.25"/>
    <row r="336" s="1" customFormat="1" ht="12" customHeight="1" x14ac:dyDescent="0.25"/>
    <row r="337" s="1" customFormat="1" ht="12" customHeight="1" x14ac:dyDescent="0.25"/>
    <row r="338" s="1" customFormat="1" ht="12" customHeight="1" x14ac:dyDescent="0.25"/>
    <row r="339" s="1" customFormat="1" ht="12" customHeight="1" x14ac:dyDescent="0.25"/>
    <row r="340" s="1" customFormat="1" ht="12" customHeight="1" x14ac:dyDescent="0.25"/>
    <row r="341" s="1" customFormat="1" ht="12" customHeight="1" x14ac:dyDescent="0.25"/>
    <row r="342" s="1" customFormat="1" ht="12" customHeight="1" x14ac:dyDescent="0.25"/>
    <row r="343" s="1" customFormat="1" ht="12" customHeight="1" x14ac:dyDescent="0.25"/>
    <row r="344" s="1" customFormat="1" ht="12" customHeight="1" x14ac:dyDescent="0.25"/>
    <row r="345" s="1" customFormat="1" ht="12" customHeight="1" x14ac:dyDescent="0.25"/>
    <row r="346" s="1" customFormat="1" ht="12" customHeight="1" x14ac:dyDescent="0.25"/>
    <row r="347" s="1" customFormat="1" ht="12" customHeight="1" x14ac:dyDescent="0.25"/>
    <row r="348" s="1" customFormat="1" ht="12" customHeight="1" x14ac:dyDescent="0.25"/>
    <row r="349" s="1" customFormat="1" ht="12" customHeight="1" x14ac:dyDescent="0.25"/>
    <row r="350" s="1" customFormat="1" ht="12" customHeight="1" x14ac:dyDescent="0.25"/>
    <row r="351" s="1" customFormat="1" ht="12" customHeight="1" x14ac:dyDescent="0.25"/>
    <row r="352" s="1" customFormat="1" ht="12" customHeight="1" x14ac:dyDescent="0.25"/>
    <row r="353" s="1" customFormat="1" ht="12" customHeight="1" x14ac:dyDescent="0.25"/>
    <row r="354" s="1" customFormat="1" ht="12" customHeight="1" x14ac:dyDescent="0.25"/>
    <row r="355" s="1" customFormat="1" ht="12" customHeight="1" x14ac:dyDescent="0.25"/>
    <row r="356" s="1" customFormat="1" ht="12" customHeight="1" x14ac:dyDescent="0.25"/>
    <row r="357" s="1" customFormat="1" ht="12" customHeight="1" x14ac:dyDescent="0.25"/>
    <row r="358" s="1" customFormat="1" ht="12" customHeight="1" x14ac:dyDescent="0.25"/>
    <row r="359" s="1" customFormat="1" ht="12" customHeight="1" x14ac:dyDescent="0.25"/>
    <row r="360" s="1" customFormat="1" ht="12" customHeight="1" x14ac:dyDescent="0.25"/>
    <row r="361" s="1" customFormat="1" ht="12" customHeight="1" x14ac:dyDescent="0.25"/>
    <row r="362" s="1" customFormat="1" ht="12" customHeight="1" x14ac:dyDescent="0.25"/>
    <row r="363" s="1" customFormat="1" ht="12" customHeight="1" x14ac:dyDescent="0.25"/>
    <row r="364" s="1" customFormat="1" ht="12" customHeight="1" x14ac:dyDescent="0.25"/>
    <row r="365" s="1" customFormat="1" ht="12" customHeight="1" x14ac:dyDescent="0.25"/>
    <row r="366" s="1" customFormat="1" ht="12" customHeight="1" x14ac:dyDescent="0.25"/>
    <row r="367" s="1" customFormat="1" ht="12" customHeight="1" x14ac:dyDescent="0.25"/>
    <row r="368" s="1" customFormat="1" ht="12" customHeight="1" x14ac:dyDescent="0.25"/>
    <row r="369" s="1" customFormat="1" ht="12" customHeight="1" x14ac:dyDescent="0.25"/>
    <row r="370" s="1" customFormat="1" ht="12" customHeight="1" x14ac:dyDescent="0.25"/>
    <row r="371" s="1" customFormat="1" ht="12" customHeight="1" x14ac:dyDescent="0.25"/>
    <row r="372" s="1" customFormat="1" ht="12" customHeight="1" x14ac:dyDescent="0.25"/>
    <row r="373" s="1" customFormat="1" ht="12" customHeight="1" x14ac:dyDescent="0.25"/>
    <row r="374" s="1" customFormat="1" ht="12" customHeight="1" x14ac:dyDescent="0.25"/>
    <row r="375" s="1" customFormat="1" ht="12" customHeight="1" x14ac:dyDescent="0.25"/>
    <row r="376" s="1" customFormat="1" ht="12" customHeight="1" x14ac:dyDescent="0.25"/>
    <row r="377" s="1" customFormat="1" ht="12" customHeight="1" x14ac:dyDescent="0.25"/>
    <row r="378" s="1" customFormat="1" ht="12" customHeight="1" x14ac:dyDescent="0.25"/>
    <row r="379" s="1" customFormat="1" ht="12" customHeight="1" x14ac:dyDescent="0.25"/>
    <row r="380" s="1" customFormat="1" ht="12" customHeight="1" x14ac:dyDescent="0.25"/>
    <row r="381" s="1" customFormat="1" ht="12" customHeight="1" x14ac:dyDescent="0.25"/>
    <row r="382" s="1" customFormat="1" ht="12" customHeight="1" x14ac:dyDescent="0.25"/>
    <row r="383" s="1" customFormat="1" ht="12" customHeight="1" x14ac:dyDescent="0.25"/>
    <row r="384" s="1" customFormat="1" ht="12" customHeight="1" x14ac:dyDescent="0.25"/>
    <row r="385" s="1" customFormat="1" ht="12" customHeight="1" x14ac:dyDescent="0.25"/>
    <row r="386" s="1" customFormat="1" ht="12" customHeight="1" x14ac:dyDescent="0.25"/>
    <row r="387" s="1" customFormat="1" ht="12" customHeight="1" x14ac:dyDescent="0.25"/>
    <row r="388" s="1" customFormat="1" ht="12" customHeight="1" x14ac:dyDescent="0.25"/>
    <row r="389" s="1" customFormat="1" ht="12" customHeight="1" x14ac:dyDescent="0.25"/>
    <row r="390" s="1" customFormat="1" ht="12" customHeight="1" x14ac:dyDescent="0.25"/>
    <row r="391" s="1" customFormat="1" ht="12" customHeight="1" x14ac:dyDescent="0.25"/>
    <row r="392" s="1" customFormat="1" ht="12" customHeight="1" x14ac:dyDescent="0.25"/>
    <row r="393" s="1" customFormat="1" ht="12" customHeight="1" x14ac:dyDescent="0.25"/>
    <row r="394" s="1" customFormat="1" ht="12" customHeight="1" x14ac:dyDescent="0.25"/>
    <row r="395" s="1" customFormat="1" ht="12" customHeight="1" x14ac:dyDescent="0.25"/>
    <row r="396" s="1" customFormat="1" ht="12" customHeight="1" x14ac:dyDescent="0.25"/>
    <row r="397" s="1" customFormat="1" ht="12" customHeight="1" x14ac:dyDescent="0.25"/>
    <row r="398" s="1" customFormat="1" ht="12" customHeight="1" x14ac:dyDescent="0.25"/>
    <row r="399" s="1" customFormat="1" ht="12" customHeight="1" x14ac:dyDescent="0.25"/>
    <row r="400" s="1" customFormat="1" ht="12" customHeight="1" x14ac:dyDescent="0.25"/>
    <row r="401" s="1" customFormat="1" ht="12" customHeight="1" x14ac:dyDescent="0.25"/>
    <row r="402" s="1" customFormat="1" ht="12" customHeight="1" x14ac:dyDescent="0.25"/>
    <row r="403" s="1" customFormat="1" ht="12" customHeight="1" x14ac:dyDescent="0.25"/>
    <row r="404" s="1" customFormat="1" ht="12" customHeight="1" x14ac:dyDescent="0.25"/>
    <row r="405" s="1" customFormat="1" ht="12" customHeight="1" x14ac:dyDescent="0.25"/>
    <row r="406" s="1" customFormat="1" ht="12" customHeight="1" x14ac:dyDescent="0.25"/>
    <row r="407" s="1" customFormat="1" ht="12" customHeight="1" x14ac:dyDescent="0.25"/>
    <row r="408" s="1" customFormat="1" ht="12" customHeight="1" x14ac:dyDescent="0.25"/>
    <row r="409" s="1" customFormat="1" ht="12" customHeight="1" x14ac:dyDescent="0.25"/>
    <row r="410" s="1" customFormat="1" ht="12" customHeight="1" x14ac:dyDescent="0.25"/>
    <row r="411" s="1" customFormat="1" ht="12" customHeight="1" x14ac:dyDescent="0.25"/>
    <row r="412" s="1" customFormat="1" ht="12" customHeight="1" x14ac:dyDescent="0.25"/>
    <row r="413" s="1" customFormat="1" ht="12" customHeight="1" x14ac:dyDescent="0.25"/>
    <row r="414" s="1" customFormat="1" ht="12" customHeight="1" x14ac:dyDescent="0.25"/>
    <row r="415" s="1" customFormat="1" ht="12" customHeight="1" x14ac:dyDescent="0.25"/>
    <row r="416" s="1" customFormat="1" ht="12" customHeight="1" x14ac:dyDescent="0.25"/>
    <row r="417" s="1" customFormat="1" ht="12" customHeight="1" x14ac:dyDescent="0.25"/>
    <row r="418" s="1" customFormat="1" ht="12" customHeight="1" x14ac:dyDescent="0.25"/>
    <row r="419" s="1" customFormat="1" ht="12" customHeight="1" x14ac:dyDescent="0.25"/>
    <row r="420" s="1" customFormat="1" ht="12" customHeight="1" x14ac:dyDescent="0.25"/>
    <row r="421" s="1" customFormat="1" ht="12" customHeight="1" x14ac:dyDescent="0.25"/>
    <row r="422" s="1" customFormat="1" ht="12" customHeight="1" x14ac:dyDescent="0.25"/>
    <row r="423" s="1" customFormat="1" ht="12" customHeight="1" x14ac:dyDescent="0.25"/>
    <row r="424" s="1" customFormat="1" ht="12" customHeight="1" x14ac:dyDescent="0.25"/>
    <row r="425" s="1" customFormat="1" ht="12" customHeight="1" x14ac:dyDescent="0.25"/>
    <row r="426" s="1" customFormat="1" ht="12" customHeight="1" x14ac:dyDescent="0.25"/>
    <row r="427" s="1" customFormat="1" ht="12" customHeight="1" x14ac:dyDescent="0.25"/>
    <row r="428" s="1" customFormat="1" ht="12" customHeight="1" x14ac:dyDescent="0.25"/>
    <row r="429" s="1" customFormat="1" ht="12" customHeight="1" x14ac:dyDescent="0.25"/>
    <row r="430" s="1" customFormat="1" ht="12" customHeight="1" x14ac:dyDescent="0.25"/>
    <row r="431" s="1" customFormat="1" ht="12" customHeight="1" x14ac:dyDescent="0.25"/>
    <row r="432" s="1" customFormat="1" ht="12" customHeight="1" x14ac:dyDescent="0.25"/>
    <row r="433" s="1" customFormat="1" ht="12" customHeight="1" x14ac:dyDescent="0.25"/>
    <row r="434" s="1" customFormat="1" ht="12" customHeight="1" x14ac:dyDescent="0.25"/>
    <row r="435" s="1" customFormat="1" ht="12" customHeight="1" x14ac:dyDescent="0.25"/>
    <row r="436" s="1" customFormat="1" ht="12" customHeight="1" x14ac:dyDescent="0.25"/>
    <row r="437" s="1" customFormat="1" ht="12" customHeight="1" x14ac:dyDescent="0.25"/>
    <row r="438" s="1" customFormat="1" ht="12" customHeight="1" x14ac:dyDescent="0.25"/>
    <row r="439" s="1" customFormat="1" ht="12" customHeight="1" x14ac:dyDescent="0.25"/>
    <row r="440" s="1" customFormat="1" ht="12" customHeight="1" x14ac:dyDescent="0.25"/>
    <row r="441" s="1" customFormat="1" ht="12" customHeight="1" x14ac:dyDescent="0.25"/>
    <row r="442" s="1" customFormat="1" ht="12" customHeight="1" x14ac:dyDescent="0.25"/>
    <row r="443" s="1" customFormat="1" ht="12" customHeight="1" x14ac:dyDescent="0.25"/>
    <row r="444" s="1" customFormat="1" ht="12" customHeight="1" x14ac:dyDescent="0.25"/>
    <row r="445" s="1" customFormat="1" ht="12" customHeight="1" x14ac:dyDescent="0.25"/>
    <row r="446" s="1" customFormat="1" ht="12" customHeight="1" x14ac:dyDescent="0.25"/>
    <row r="447" s="1" customFormat="1" ht="12" customHeight="1" x14ac:dyDescent="0.25"/>
    <row r="448" s="1" customFormat="1" ht="12" customHeight="1" x14ac:dyDescent="0.25"/>
    <row r="449" s="1" customFormat="1" ht="12" customHeight="1" x14ac:dyDescent="0.25"/>
    <row r="450" s="1" customFormat="1" ht="12" customHeight="1" x14ac:dyDescent="0.25"/>
    <row r="451" s="1" customFormat="1" ht="12" customHeight="1" x14ac:dyDescent="0.25"/>
    <row r="452" s="1" customFormat="1" ht="12" customHeight="1" x14ac:dyDescent="0.25"/>
    <row r="453" s="1" customFormat="1" ht="12" customHeight="1" x14ac:dyDescent="0.25"/>
    <row r="454" s="1" customFormat="1" ht="12" customHeight="1" x14ac:dyDescent="0.25"/>
    <row r="455" s="1" customFormat="1" ht="12" customHeight="1" x14ac:dyDescent="0.25"/>
    <row r="456" s="1" customFormat="1" ht="12" customHeight="1" x14ac:dyDescent="0.25"/>
    <row r="457" s="1" customFormat="1" ht="12" customHeight="1" x14ac:dyDescent="0.25"/>
    <row r="458" s="1" customFormat="1" ht="12" customHeight="1" x14ac:dyDescent="0.25"/>
    <row r="459" s="1" customFormat="1" ht="12" customHeight="1" x14ac:dyDescent="0.25"/>
    <row r="460" s="1" customFormat="1" ht="12" customHeight="1" x14ac:dyDescent="0.25"/>
    <row r="461" s="1" customFormat="1" ht="12" customHeight="1" x14ac:dyDescent="0.25"/>
    <row r="462" s="1" customFormat="1" ht="12" customHeight="1" x14ac:dyDescent="0.25"/>
    <row r="463" s="1" customFormat="1" ht="12" customHeight="1" x14ac:dyDescent="0.25"/>
    <row r="464" s="1" customFormat="1" ht="12" customHeight="1" x14ac:dyDescent="0.25"/>
    <row r="465" s="1" customFormat="1" ht="12" customHeight="1" x14ac:dyDescent="0.25"/>
    <row r="466" s="1" customFormat="1" ht="12" customHeight="1" x14ac:dyDescent="0.25"/>
    <row r="467" s="1" customFormat="1" ht="12" customHeight="1" x14ac:dyDescent="0.25"/>
    <row r="468" s="1" customFormat="1" ht="12" customHeight="1" x14ac:dyDescent="0.25"/>
    <row r="469" s="1" customFormat="1" ht="12" customHeight="1" x14ac:dyDescent="0.25"/>
    <row r="470" s="1" customFormat="1" ht="12" customHeight="1" x14ac:dyDescent="0.25"/>
    <row r="471" s="1" customFormat="1" ht="12" customHeight="1" x14ac:dyDescent="0.25"/>
    <row r="472" s="1" customFormat="1" ht="12" customHeight="1" x14ac:dyDescent="0.25"/>
    <row r="473" s="1" customFormat="1" ht="12" customHeight="1" x14ac:dyDescent="0.25"/>
    <row r="474" s="1" customFormat="1" ht="12" customHeight="1" x14ac:dyDescent="0.25"/>
    <row r="475" s="1" customFormat="1" ht="12" customHeight="1" x14ac:dyDescent="0.25"/>
    <row r="476" s="1" customFormat="1" ht="12" customHeight="1" x14ac:dyDescent="0.25"/>
    <row r="477" s="1" customFormat="1" ht="12" customHeight="1" x14ac:dyDescent="0.25"/>
    <row r="478" s="1" customFormat="1" ht="12" customHeight="1" x14ac:dyDescent="0.25"/>
    <row r="479" s="1" customFormat="1" ht="12" customHeight="1" x14ac:dyDescent="0.25"/>
    <row r="480" s="1" customFormat="1" ht="12" customHeight="1" x14ac:dyDescent="0.25"/>
    <row r="481" s="1" customFormat="1" ht="12" customHeight="1" x14ac:dyDescent="0.25"/>
    <row r="482" s="1" customFormat="1" ht="12" customHeight="1" x14ac:dyDescent="0.25"/>
    <row r="483" s="1" customFormat="1" ht="12" customHeight="1" x14ac:dyDescent="0.25"/>
    <row r="484" s="1" customFormat="1" ht="12" customHeight="1" x14ac:dyDescent="0.25"/>
    <row r="485" s="1" customFormat="1" ht="12" customHeight="1" x14ac:dyDescent="0.25"/>
    <row r="486" s="1" customFormat="1" ht="12" customHeight="1" x14ac:dyDescent="0.25"/>
    <row r="487" s="1" customFormat="1" ht="12" customHeight="1" x14ac:dyDescent="0.25"/>
    <row r="488" s="1" customFormat="1" ht="12" customHeight="1" x14ac:dyDescent="0.25"/>
    <row r="489" s="1" customFormat="1" ht="12" customHeight="1" x14ac:dyDescent="0.25"/>
    <row r="490" s="1" customFormat="1" ht="12" customHeight="1" x14ac:dyDescent="0.25"/>
    <row r="491" s="1" customFormat="1" ht="12" customHeight="1" x14ac:dyDescent="0.25"/>
    <row r="492" s="1" customFormat="1" ht="12" customHeight="1" x14ac:dyDescent="0.25"/>
    <row r="493" s="1" customFormat="1" ht="12" customHeight="1" x14ac:dyDescent="0.25"/>
    <row r="494" s="1" customFormat="1" ht="12" customHeight="1" x14ac:dyDescent="0.25"/>
    <row r="495" s="1" customFormat="1" ht="12" customHeight="1" x14ac:dyDescent="0.25"/>
    <row r="496" s="1" customFormat="1" ht="12" customHeight="1" x14ac:dyDescent="0.25"/>
    <row r="497" s="1" customFormat="1" ht="12" customHeight="1" x14ac:dyDescent="0.25"/>
    <row r="498" s="1" customFormat="1" ht="12" customHeight="1" x14ac:dyDescent="0.25"/>
    <row r="499" s="1" customFormat="1" ht="12" customHeight="1" x14ac:dyDescent="0.25"/>
    <row r="500" s="1" customFormat="1" ht="12" customHeight="1" x14ac:dyDescent="0.25"/>
    <row r="501" s="1" customFormat="1" ht="12" customHeight="1" x14ac:dyDescent="0.25"/>
    <row r="502" s="1" customFormat="1" ht="12" customHeight="1" x14ac:dyDescent="0.25"/>
    <row r="503" s="1" customFormat="1" ht="12" customHeight="1" x14ac:dyDescent="0.25"/>
    <row r="504" s="1" customFormat="1" ht="12" customHeight="1" x14ac:dyDescent="0.25"/>
    <row r="505" s="1" customFormat="1" ht="12" customHeight="1" x14ac:dyDescent="0.25"/>
    <row r="506" s="1" customFormat="1" ht="12" customHeight="1" x14ac:dyDescent="0.25"/>
    <row r="507" s="1" customFormat="1" ht="12" customHeight="1" x14ac:dyDescent="0.25"/>
    <row r="508" s="1" customFormat="1" ht="12" customHeight="1" x14ac:dyDescent="0.25"/>
    <row r="509" s="1" customFormat="1" ht="12" customHeight="1" x14ac:dyDescent="0.25"/>
    <row r="510" s="1" customFormat="1" ht="12" customHeight="1" x14ac:dyDescent="0.25"/>
    <row r="511" s="1" customFormat="1" ht="12" customHeight="1" x14ac:dyDescent="0.25"/>
    <row r="512" s="1" customFormat="1" ht="12" customHeight="1" x14ac:dyDescent="0.25"/>
    <row r="513" s="1" customFormat="1" ht="12" customHeight="1" x14ac:dyDescent="0.25"/>
    <row r="514" s="1" customFormat="1" ht="12" customHeight="1" x14ac:dyDescent="0.25"/>
    <row r="515" s="1" customFormat="1" ht="12" customHeight="1" x14ac:dyDescent="0.25"/>
    <row r="516" s="1" customFormat="1" ht="12" customHeight="1" x14ac:dyDescent="0.25"/>
    <row r="517" s="1" customFormat="1" ht="12" customHeight="1" x14ac:dyDescent="0.25"/>
    <row r="518" s="1" customFormat="1" ht="12" customHeight="1" x14ac:dyDescent="0.25"/>
    <row r="519" s="1" customFormat="1" ht="12" customHeight="1" x14ac:dyDescent="0.25"/>
    <row r="520" s="1" customFormat="1" ht="12" customHeight="1" x14ac:dyDescent="0.25"/>
    <row r="521" s="1" customFormat="1" ht="12" customHeight="1" x14ac:dyDescent="0.25"/>
    <row r="522" s="1" customFormat="1" ht="12" customHeight="1" x14ac:dyDescent="0.25"/>
    <row r="523" s="1" customFormat="1" ht="12" customHeight="1" x14ac:dyDescent="0.25"/>
    <row r="524" s="1" customFormat="1" ht="12" customHeight="1" x14ac:dyDescent="0.25"/>
    <row r="525" s="1" customFormat="1" ht="12" customHeight="1" x14ac:dyDescent="0.25"/>
    <row r="526" s="1" customFormat="1" ht="12" customHeight="1" x14ac:dyDescent="0.25"/>
    <row r="527" s="1" customFormat="1" ht="12" customHeight="1" x14ac:dyDescent="0.25"/>
    <row r="528" s="1" customFormat="1" ht="12" customHeight="1" x14ac:dyDescent="0.25"/>
    <row r="529" s="1" customFormat="1" ht="12" customHeight="1" x14ac:dyDescent="0.25"/>
    <row r="530" s="1" customFormat="1" ht="12" customHeight="1" x14ac:dyDescent="0.25"/>
    <row r="531" s="1" customFormat="1" ht="12" customHeight="1" x14ac:dyDescent="0.25"/>
    <row r="532" s="1" customFormat="1" ht="12" customHeight="1" x14ac:dyDescent="0.25"/>
    <row r="533" s="1" customFormat="1" ht="12" customHeight="1" x14ac:dyDescent="0.25"/>
    <row r="534" s="1" customFormat="1" ht="12" customHeight="1" x14ac:dyDescent="0.25"/>
    <row r="535" s="1" customFormat="1" ht="12" customHeight="1" x14ac:dyDescent="0.25"/>
    <row r="536" s="1" customFormat="1" ht="12" customHeight="1" x14ac:dyDescent="0.25"/>
    <row r="537" s="1" customFormat="1" ht="12" customHeight="1" x14ac:dyDescent="0.25"/>
    <row r="538" s="1" customFormat="1" ht="12" customHeight="1" x14ac:dyDescent="0.25"/>
    <row r="539" s="1" customFormat="1" ht="12" customHeight="1" x14ac:dyDescent="0.25"/>
    <row r="540" s="1" customFormat="1" ht="12" customHeight="1" x14ac:dyDescent="0.25"/>
    <row r="541" s="1" customFormat="1" ht="12" customHeight="1" x14ac:dyDescent="0.25"/>
    <row r="542" s="1" customFormat="1" ht="12" customHeight="1" x14ac:dyDescent="0.25"/>
    <row r="543" s="1" customFormat="1" ht="12" customHeight="1" x14ac:dyDescent="0.25"/>
    <row r="544" s="1" customFormat="1" ht="12" customHeight="1" x14ac:dyDescent="0.25"/>
    <row r="545" s="1" customFormat="1" ht="12" customHeight="1" x14ac:dyDescent="0.25"/>
    <row r="546" s="1" customFormat="1" ht="12" customHeight="1" x14ac:dyDescent="0.25"/>
    <row r="547" s="1" customFormat="1" ht="12" customHeight="1" x14ac:dyDescent="0.25"/>
    <row r="548" s="1" customFormat="1" ht="12" customHeight="1" x14ac:dyDescent="0.25"/>
  </sheetData>
  <mergeCells count="85">
    <mergeCell ref="B50:L50"/>
    <mergeCell ref="M50:W50"/>
    <mergeCell ref="X50:AH50"/>
    <mergeCell ref="AI50:AS50"/>
    <mergeCell ref="AT50:BD50"/>
    <mergeCell ref="B58:L58"/>
    <mergeCell ref="M58:W58"/>
    <mergeCell ref="X58:AH58"/>
    <mergeCell ref="AI58:AS58"/>
    <mergeCell ref="AT58:BD58"/>
    <mergeCell ref="B34:L34"/>
    <mergeCell ref="M34:W34"/>
    <mergeCell ref="X34:AH34"/>
    <mergeCell ref="AI34:AS34"/>
    <mergeCell ref="AT34:BD34"/>
    <mergeCell ref="M26:W26"/>
    <mergeCell ref="AI18:AS18"/>
    <mergeCell ref="AT18:BD18"/>
    <mergeCell ref="B26:L26"/>
    <mergeCell ref="X26:AH26"/>
    <mergeCell ref="AI26:AS26"/>
    <mergeCell ref="AT26:BD26"/>
    <mergeCell ref="X19:AH25"/>
    <mergeCell ref="AI19:AS25"/>
    <mergeCell ref="AT19:BD25"/>
    <mergeCell ref="B2:L2"/>
    <mergeCell ref="M2:W2"/>
    <mergeCell ref="X2:AH2"/>
    <mergeCell ref="AI2:AS2"/>
    <mergeCell ref="AT2:BD2"/>
    <mergeCell ref="B10:L10"/>
    <mergeCell ref="M10:W10"/>
    <mergeCell ref="X10:AH10"/>
    <mergeCell ref="AI10:AS10"/>
    <mergeCell ref="AT10:BD10"/>
    <mergeCell ref="B51:L57"/>
    <mergeCell ref="M51:W57"/>
    <mergeCell ref="X51:AH57"/>
    <mergeCell ref="AI51:AS57"/>
    <mergeCell ref="AT51:BD57"/>
    <mergeCell ref="B59:L65"/>
    <mergeCell ref="M59:W65"/>
    <mergeCell ref="X59:AH65"/>
    <mergeCell ref="AI59:AS65"/>
    <mergeCell ref="AT59:BD65"/>
    <mergeCell ref="AI35:AS41"/>
    <mergeCell ref="AT35:BD41"/>
    <mergeCell ref="B43:L49"/>
    <mergeCell ref="M43:W49"/>
    <mergeCell ref="X43:AH49"/>
    <mergeCell ref="AI43:AS49"/>
    <mergeCell ref="AT43:BD49"/>
    <mergeCell ref="B42:L42"/>
    <mergeCell ref="M42:W42"/>
    <mergeCell ref="X42:AH42"/>
    <mergeCell ref="AI42:AS42"/>
    <mergeCell ref="AT42:BD42"/>
    <mergeCell ref="B27:L33"/>
    <mergeCell ref="M27:W33"/>
    <mergeCell ref="X27:AH33"/>
    <mergeCell ref="AI27:AS33"/>
    <mergeCell ref="AT27:BD33"/>
    <mergeCell ref="B11:L17"/>
    <mergeCell ref="M11:W17"/>
    <mergeCell ref="X11:AH17"/>
    <mergeCell ref="AI11:AS17"/>
    <mergeCell ref="X18:AH18"/>
    <mergeCell ref="B18:L18"/>
    <mergeCell ref="M18:W18"/>
    <mergeCell ref="B1:BD1"/>
    <mergeCell ref="B66:C66"/>
    <mergeCell ref="E66:E68"/>
    <mergeCell ref="F66:BD68"/>
    <mergeCell ref="B67:D68"/>
    <mergeCell ref="B35:L41"/>
    <mergeCell ref="M35:W41"/>
    <mergeCell ref="X35:AH41"/>
    <mergeCell ref="B3:L9"/>
    <mergeCell ref="M3:W9"/>
    <mergeCell ref="X3:AH9"/>
    <mergeCell ref="AI3:AS9"/>
    <mergeCell ref="AT3:BD9"/>
    <mergeCell ref="AT11:BD17"/>
    <mergeCell ref="B19:L25"/>
    <mergeCell ref="M19:W25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zoomScale="85" zoomScaleNormal="85" workbookViewId="0">
      <selection activeCell="K67" sqref="K67"/>
    </sheetView>
  </sheetViews>
  <sheetFormatPr defaultColWidth="6.36328125" defaultRowHeight="8" x14ac:dyDescent="0.25"/>
  <cols>
    <col min="1" max="46" width="6.36328125" style="1"/>
  </cols>
  <sheetData>
    <row r="1" spans="2:47" ht="5.15" customHeight="1" thickBot="1" x14ac:dyDescent="0.3"/>
    <row r="2" spans="2:47" ht="17.5" customHeight="1" x14ac:dyDescent="0.25">
      <c r="B2" s="237" t="s">
        <v>220</v>
      </c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238"/>
      <c r="Q2" s="238"/>
      <c r="R2" s="238"/>
      <c r="S2" s="238"/>
      <c r="T2" s="238"/>
      <c r="U2" s="238"/>
      <c r="V2" s="238"/>
      <c r="W2" s="238"/>
      <c r="X2" s="238"/>
      <c r="Y2" s="238"/>
      <c r="Z2" s="238"/>
      <c r="AA2" s="238"/>
      <c r="AB2" s="238"/>
      <c r="AC2" s="238"/>
      <c r="AD2" s="238"/>
      <c r="AE2" s="238"/>
      <c r="AF2" s="238"/>
      <c r="AG2" s="238"/>
      <c r="AH2" s="238"/>
      <c r="AI2" s="238"/>
      <c r="AJ2" s="238"/>
      <c r="AK2" s="238"/>
      <c r="AL2" s="238"/>
      <c r="AM2" s="238"/>
      <c r="AN2" s="238"/>
      <c r="AO2" s="238"/>
      <c r="AP2" s="238"/>
      <c r="AQ2" s="238"/>
      <c r="AR2" s="239"/>
    </row>
    <row r="3" spans="2:47" ht="20.15" customHeight="1" x14ac:dyDescent="0.25">
      <c r="B3" s="136" t="s">
        <v>175</v>
      </c>
      <c r="C3" s="165" t="s">
        <v>157</v>
      </c>
      <c r="D3" s="130"/>
      <c r="E3" s="130"/>
      <c r="F3" s="130"/>
      <c r="G3" s="130"/>
      <c r="H3" s="130"/>
      <c r="I3" s="128" t="s">
        <v>8</v>
      </c>
      <c r="J3" s="130"/>
      <c r="K3" s="130"/>
      <c r="L3" s="130"/>
      <c r="M3" s="130"/>
      <c r="N3" s="130"/>
      <c r="O3" s="130"/>
      <c r="P3" s="130"/>
      <c r="Q3" s="128" t="s">
        <v>71</v>
      </c>
      <c r="R3" s="130"/>
      <c r="S3" s="130"/>
      <c r="T3" s="128" t="s">
        <v>10</v>
      </c>
      <c r="U3" s="130"/>
      <c r="V3" s="130"/>
      <c r="W3" s="130"/>
      <c r="X3" s="128" t="s">
        <v>74</v>
      </c>
      <c r="Y3" s="129"/>
      <c r="Z3" s="128" t="s">
        <v>11</v>
      </c>
      <c r="AA3" s="129"/>
      <c r="AB3" s="72" t="s">
        <v>13</v>
      </c>
      <c r="AC3" s="128" t="s">
        <v>14</v>
      </c>
      <c r="AD3" s="129"/>
      <c r="AE3" s="138" t="s">
        <v>82</v>
      </c>
      <c r="AF3" s="168"/>
      <c r="AG3" s="168"/>
      <c r="AH3" s="168"/>
      <c r="AI3" s="168"/>
      <c r="AJ3" s="168"/>
      <c r="AK3" s="168"/>
      <c r="AL3" s="128" t="s">
        <v>18</v>
      </c>
      <c r="AM3" s="129"/>
      <c r="AN3" s="129"/>
      <c r="AO3" s="129" t="s">
        <v>16</v>
      </c>
      <c r="AP3" s="129"/>
      <c r="AQ3" s="129"/>
      <c r="AR3" s="139"/>
    </row>
    <row r="4" spans="2:47" ht="30" customHeight="1" x14ac:dyDescent="0.25">
      <c r="B4" s="136"/>
      <c r="C4" s="80" t="s">
        <v>46</v>
      </c>
      <c r="D4" s="72" t="s">
        <v>47</v>
      </c>
      <c r="E4" s="72" t="s">
        <v>50</v>
      </c>
      <c r="F4" s="72" t="s">
        <v>51</v>
      </c>
      <c r="G4" s="72" t="s">
        <v>53</v>
      </c>
      <c r="H4" s="72" t="s">
        <v>156</v>
      </c>
      <c r="I4" s="137" t="s">
        <v>56</v>
      </c>
      <c r="J4" s="137"/>
      <c r="K4" s="72" t="s">
        <v>6</v>
      </c>
      <c r="L4" s="72" t="s">
        <v>60</v>
      </c>
      <c r="M4" s="72" t="s">
        <v>158</v>
      </c>
      <c r="N4" s="72" t="s">
        <v>159</v>
      </c>
      <c r="O4" s="128" t="s">
        <v>7</v>
      </c>
      <c r="P4" s="129"/>
      <c r="Q4" s="137" t="s">
        <v>65</v>
      </c>
      <c r="R4" s="129"/>
      <c r="S4" s="72" t="s">
        <v>45</v>
      </c>
      <c r="T4" s="72" t="s">
        <v>69</v>
      </c>
      <c r="U4" s="137" t="s">
        <v>72</v>
      </c>
      <c r="V4" s="129"/>
      <c r="W4" s="72" t="s">
        <v>9</v>
      </c>
      <c r="X4" s="72" t="s">
        <v>151</v>
      </c>
      <c r="Y4" s="72" t="s">
        <v>152</v>
      </c>
      <c r="Z4" s="72" t="s">
        <v>1</v>
      </c>
      <c r="AA4" s="72" t="s">
        <v>12</v>
      </c>
      <c r="AB4" s="72" t="s">
        <v>153</v>
      </c>
      <c r="AC4" s="72" t="s">
        <v>1</v>
      </c>
      <c r="AD4" s="72" t="s">
        <v>12</v>
      </c>
      <c r="AE4" s="138" t="s">
        <v>83</v>
      </c>
      <c r="AF4" s="126"/>
      <c r="AG4" s="138" t="s">
        <v>86</v>
      </c>
      <c r="AH4" s="126"/>
      <c r="AI4" s="73" t="s">
        <v>160</v>
      </c>
      <c r="AJ4" s="73" t="s">
        <v>161</v>
      </c>
      <c r="AK4" s="76" t="s">
        <v>109</v>
      </c>
      <c r="AL4" s="137" t="s">
        <v>104</v>
      </c>
      <c r="AM4" s="129"/>
      <c r="AN4" s="71" t="s">
        <v>105</v>
      </c>
      <c r="AO4" s="72" t="s">
        <v>12</v>
      </c>
      <c r="AP4" s="72" t="s">
        <v>1</v>
      </c>
      <c r="AQ4" s="129" t="s">
        <v>155</v>
      </c>
      <c r="AR4" s="139"/>
      <c r="AU4" s="3"/>
    </row>
    <row r="5" spans="2:47" ht="20.15" customHeight="1" x14ac:dyDescent="0.25">
      <c r="B5" s="136"/>
      <c r="C5" s="81" t="s">
        <v>0</v>
      </c>
      <c r="D5" s="77" t="s">
        <v>48</v>
      </c>
      <c r="E5" s="77" t="s">
        <v>49</v>
      </c>
      <c r="F5" s="77" t="s">
        <v>52</v>
      </c>
      <c r="G5" s="77" t="s">
        <v>54</v>
      </c>
      <c r="H5" s="77" t="s">
        <v>55</v>
      </c>
      <c r="I5" s="74" t="s">
        <v>57</v>
      </c>
      <c r="J5" s="74" t="s">
        <v>58</v>
      </c>
      <c r="K5" s="77" t="s">
        <v>59</v>
      </c>
      <c r="L5" s="77" t="s">
        <v>61</v>
      </c>
      <c r="M5" s="77" t="s">
        <v>62</v>
      </c>
      <c r="N5" s="77" t="s">
        <v>63</v>
      </c>
      <c r="O5" s="74" t="s">
        <v>64</v>
      </c>
      <c r="P5" s="74" t="s">
        <v>58</v>
      </c>
      <c r="Q5" s="74" t="s">
        <v>66</v>
      </c>
      <c r="R5" s="74" t="s">
        <v>67</v>
      </c>
      <c r="S5" s="77" t="s">
        <v>68</v>
      </c>
      <c r="T5" s="77" t="s">
        <v>70</v>
      </c>
      <c r="U5" s="72" t="s">
        <v>95</v>
      </c>
      <c r="V5" s="72" t="s">
        <v>278</v>
      </c>
      <c r="W5" s="77" t="s">
        <v>73</v>
      </c>
      <c r="X5" s="72" t="s">
        <v>75</v>
      </c>
      <c r="Y5" s="78" t="s">
        <v>4</v>
      </c>
      <c r="Z5" s="77" t="s">
        <v>77</v>
      </c>
      <c r="AA5" s="77" t="s">
        <v>78</v>
      </c>
      <c r="AB5" s="77" t="s">
        <v>79</v>
      </c>
      <c r="AC5" s="77" t="s">
        <v>80</v>
      </c>
      <c r="AD5" s="77" t="s">
        <v>81</v>
      </c>
      <c r="AE5" s="73" t="s">
        <v>84</v>
      </c>
      <c r="AF5" s="73" t="s">
        <v>85</v>
      </c>
      <c r="AG5" s="73" t="s">
        <v>87</v>
      </c>
      <c r="AH5" s="79" t="s">
        <v>88</v>
      </c>
      <c r="AI5" s="79" t="s">
        <v>88</v>
      </c>
      <c r="AJ5" s="79" t="s">
        <v>88</v>
      </c>
      <c r="AK5" s="76" t="s">
        <v>76</v>
      </c>
      <c r="AL5" s="74" t="s">
        <v>89</v>
      </c>
      <c r="AM5" s="71" t="s">
        <v>103</v>
      </c>
      <c r="AN5" s="71" t="s">
        <v>106</v>
      </c>
      <c r="AO5" s="72" t="s">
        <v>90</v>
      </c>
      <c r="AP5" s="72" t="s">
        <v>91</v>
      </c>
      <c r="AQ5" s="72" t="s">
        <v>92</v>
      </c>
      <c r="AR5" s="119" t="s">
        <v>154</v>
      </c>
    </row>
    <row r="6" spans="2:47" ht="13.5" customHeight="1" x14ac:dyDescent="0.25">
      <c r="B6" s="120" t="s">
        <v>44</v>
      </c>
      <c r="C6" s="82">
        <v>5.689381</v>
      </c>
      <c r="D6" s="62">
        <v>20.16059</v>
      </c>
      <c r="E6" s="62">
        <v>415.6393</v>
      </c>
      <c r="F6" s="62"/>
      <c r="G6" s="62"/>
      <c r="H6" s="63">
        <v>416.1075</v>
      </c>
      <c r="I6" s="64">
        <v>1.392506</v>
      </c>
      <c r="J6" s="62"/>
      <c r="K6" s="62">
        <v>42.60706</v>
      </c>
      <c r="L6" s="62">
        <v>1.313567</v>
      </c>
      <c r="M6" s="62">
        <v>109.6354</v>
      </c>
      <c r="N6" s="62">
        <v>115.2416</v>
      </c>
      <c r="O6" s="62">
        <v>20.08</v>
      </c>
      <c r="P6" s="62"/>
      <c r="Q6" s="62"/>
      <c r="R6" s="62"/>
      <c r="S6" s="62">
        <v>140.2054</v>
      </c>
      <c r="T6" s="62">
        <v>1.503147</v>
      </c>
      <c r="U6" s="62">
        <v>0.2989607</v>
      </c>
      <c r="V6" s="62"/>
      <c r="W6" s="62">
        <v>90.32118</v>
      </c>
      <c r="X6" s="62">
        <v>0.5294133</v>
      </c>
      <c r="Y6" s="62" t="s">
        <v>4</v>
      </c>
      <c r="Z6" s="62">
        <v>0.7316551</v>
      </c>
      <c r="AA6" s="62">
        <v>149.2477</v>
      </c>
      <c r="AB6" s="62">
        <v>162.9051</v>
      </c>
      <c r="AC6" s="62">
        <v>0.557364</v>
      </c>
      <c r="AD6" s="62">
        <v>154.9407</v>
      </c>
      <c r="AE6" s="65">
        <v>33.38</v>
      </c>
      <c r="AF6" s="65"/>
      <c r="AG6" s="65"/>
      <c r="AH6" s="65">
        <v>16.46</v>
      </c>
      <c r="AI6" s="65"/>
      <c r="AJ6" s="65"/>
      <c r="AK6" s="65">
        <v>7.21</v>
      </c>
      <c r="AL6" s="62">
        <v>1.671007</v>
      </c>
      <c r="AM6" s="66"/>
      <c r="AN6" s="67">
        <v>60.41305</v>
      </c>
      <c r="AO6" s="68"/>
      <c r="AP6" s="69">
        <v>-79.78877</v>
      </c>
      <c r="AQ6" s="69">
        <v>0.2766204</v>
      </c>
      <c r="AR6" s="70"/>
    </row>
    <row r="7" spans="2:47" ht="13.5" customHeight="1" x14ac:dyDescent="0.25">
      <c r="B7" s="121">
        <v>0.875</v>
      </c>
      <c r="C7" s="20">
        <v>6.66956</v>
      </c>
      <c r="D7" s="4">
        <v>19.87847</v>
      </c>
      <c r="E7" s="4">
        <v>417.9516</v>
      </c>
      <c r="F7" s="4">
        <v>0.3366797</v>
      </c>
      <c r="G7" s="4">
        <v>0</v>
      </c>
      <c r="H7" s="5">
        <v>416.9045</v>
      </c>
      <c r="I7" s="6">
        <v>23.36878</v>
      </c>
      <c r="J7" s="4">
        <v>0.01977148</v>
      </c>
      <c r="K7" s="4">
        <v>44.79166</v>
      </c>
      <c r="L7" s="4">
        <v>1.423249</v>
      </c>
      <c r="M7" s="4">
        <v>107.525</v>
      </c>
      <c r="N7" s="4">
        <v>114.3374</v>
      </c>
      <c r="O7" s="4">
        <v>20.24572</v>
      </c>
      <c r="P7" s="4">
        <v>20.16797</v>
      </c>
      <c r="Q7" s="4"/>
      <c r="R7" s="4">
        <v>2.610474</v>
      </c>
      <c r="S7" s="4">
        <v>140.0752</v>
      </c>
      <c r="T7" s="4">
        <v>1.507704</v>
      </c>
      <c r="U7" s="4">
        <v>0.3000043</v>
      </c>
      <c r="V7" s="4">
        <v>0.2998672</v>
      </c>
      <c r="W7" s="4">
        <v>90.39352</v>
      </c>
      <c r="X7" s="4">
        <v>0.5318074</v>
      </c>
      <c r="Y7" s="4" t="s">
        <v>76</v>
      </c>
      <c r="Z7" s="4">
        <v>0.7271991</v>
      </c>
      <c r="AA7" s="4">
        <v>149.1102</v>
      </c>
      <c r="AB7" s="4">
        <v>162.6953</v>
      </c>
      <c r="AC7" s="4">
        <v>0.375</v>
      </c>
      <c r="AD7" s="4">
        <v>154.7309</v>
      </c>
      <c r="AE7" s="7"/>
      <c r="AF7" s="7"/>
      <c r="AG7" s="7"/>
      <c r="AH7" s="7"/>
      <c r="AI7" s="7"/>
      <c r="AJ7" s="7"/>
      <c r="AK7" s="7"/>
      <c r="AL7" s="4">
        <v>24.97106</v>
      </c>
      <c r="AM7" s="8">
        <v>0.01745312</v>
      </c>
      <c r="AN7" s="9">
        <v>56.81062</v>
      </c>
      <c r="AO7" s="10"/>
      <c r="AP7" s="11">
        <v>-79.76707</v>
      </c>
      <c r="AQ7" s="11">
        <v>0.2834201</v>
      </c>
      <c r="AR7" s="12">
        <v>0.0002917099</v>
      </c>
    </row>
    <row r="8" spans="2:47" ht="13.5" customHeight="1" x14ac:dyDescent="0.25">
      <c r="B8" s="120" t="s">
        <v>261</v>
      </c>
      <c r="C8" s="20">
        <v>5.548322</v>
      </c>
      <c r="D8" s="4">
        <v>19.87847</v>
      </c>
      <c r="E8" s="4">
        <v>418.0257</v>
      </c>
      <c r="F8" s="4">
        <v>0.2684844</v>
      </c>
      <c r="G8" s="4">
        <v>0</v>
      </c>
      <c r="H8" s="5">
        <v>417.4858</v>
      </c>
      <c r="I8" s="6">
        <v>21.01418</v>
      </c>
      <c r="J8" s="4">
        <v>0.02009131</v>
      </c>
      <c r="K8" s="4">
        <v>45.3776</v>
      </c>
      <c r="L8" s="4">
        <v>1.433015</v>
      </c>
      <c r="M8" s="4">
        <v>110.2105</v>
      </c>
      <c r="N8" s="4">
        <v>112.8545</v>
      </c>
      <c r="O8" s="4">
        <v>20.35104</v>
      </c>
      <c r="P8" s="4">
        <v>20.16064</v>
      </c>
      <c r="Q8" s="4"/>
      <c r="R8" s="4">
        <v>2.703674</v>
      </c>
      <c r="S8" s="4">
        <v>139.974</v>
      </c>
      <c r="T8" s="4">
        <v>1.501754</v>
      </c>
      <c r="U8" s="4">
        <v>0.3036272</v>
      </c>
      <c r="V8" s="4">
        <v>0.2998203</v>
      </c>
      <c r="W8" s="4">
        <v>90.6684</v>
      </c>
      <c r="X8" s="4">
        <v>0.5281823</v>
      </c>
      <c r="Y8" s="4" t="s">
        <v>76</v>
      </c>
      <c r="Z8" s="4">
        <v>0.7315394</v>
      </c>
      <c r="AA8" s="4">
        <v>149.3345</v>
      </c>
      <c r="AB8" s="4">
        <v>162.594</v>
      </c>
      <c r="AC8" s="4">
        <v>0.4552951</v>
      </c>
      <c r="AD8" s="4">
        <v>154.4415</v>
      </c>
      <c r="AE8" s="7"/>
      <c r="AF8" s="7"/>
      <c r="AG8" s="7"/>
      <c r="AH8" s="7"/>
      <c r="AI8" s="7"/>
      <c r="AJ8" s="7"/>
      <c r="AK8" s="7"/>
      <c r="AL8" s="4">
        <v>0</v>
      </c>
      <c r="AM8" s="8">
        <v>0.01126318</v>
      </c>
      <c r="AN8" s="9">
        <v>55.85576</v>
      </c>
      <c r="AO8" s="10"/>
      <c r="AP8" s="11">
        <v>-79.67303</v>
      </c>
      <c r="AQ8" s="11">
        <v>0.2798756</v>
      </c>
      <c r="AR8" s="12">
        <v>0.0002926941</v>
      </c>
    </row>
    <row r="9" spans="2:47" ht="13.5" customHeight="1" x14ac:dyDescent="0.25">
      <c r="B9" s="121">
        <v>0.95833333333333337</v>
      </c>
      <c r="C9" s="20">
        <v>6.539352</v>
      </c>
      <c r="D9" s="4">
        <v>19.9924</v>
      </c>
      <c r="E9" s="4">
        <v>420.951</v>
      </c>
      <c r="F9" s="4">
        <v>0.3365</v>
      </c>
      <c r="G9" s="4">
        <v>0</v>
      </c>
      <c r="H9" s="5">
        <v>418.2478</v>
      </c>
      <c r="I9" s="6">
        <v>24.45747</v>
      </c>
      <c r="J9" s="4">
        <v>0.01961963</v>
      </c>
      <c r="K9" s="4">
        <v>42.54919</v>
      </c>
      <c r="L9" s="4">
        <v>1.335901</v>
      </c>
      <c r="M9" s="4">
        <v>108.9138</v>
      </c>
      <c r="N9" s="4">
        <v>114.0263</v>
      </c>
      <c r="O9" s="4">
        <v>20.27207</v>
      </c>
      <c r="P9" s="4">
        <v>20.16162</v>
      </c>
      <c r="Q9" s="4"/>
      <c r="R9" s="4">
        <v>2.722778</v>
      </c>
      <c r="S9" s="4">
        <v>139.8438</v>
      </c>
      <c r="T9" s="4">
        <v>1.505172</v>
      </c>
      <c r="U9" s="4">
        <v>0.3000652</v>
      </c>
      <c r="V9" s="4">
        <v>0.2999063</v>
      </c>
      <c r="W9" s="4">
        <v>90.57436</v>
      </c>
      <c r="X9" s="4">
        <v>0.5296446</v>
      </c>
      <c r="Y9" s="4" t="s">
        <v>76</v>
      </c>
      <c r="Z9" s="4">
        <v>0.7284144</v>
      </c>
      <c r="AA9" s="4">
        <v>149.6311</v>
      </c>
      <c r="AB9" s="4">
        <v>162.5</v>
      </c>
      <c r="AC9" s="4">
        <v>0.6710793</v>
      </c>
      <c r="AD9" s="4">
        <v>154.3764</v>
      </c>
      <c r="AE9" s="7"/>
      <c r="AF9" s="7"/>
      <c r="AG9" s="7"/>
      <c r="AH9" s="7"/>
      <c r="AI9" s="7"/>
      <c r="AJ9" s="7"/>
      <c r="AK9" s="7"/>
      <c r="AL9" s="4">
        <v>1.895255</v>
      </c>
      <c r="AM9" s="8">
        <v>0.01005859</v>
      </c>
      <c r="AN9" s="9">
        <v>53.48669</v>
      </c>
      <c r="AO9" s="10"/>
      <c r="AP9" s="11">
        <v>-79.99855</v>
      </c>
      <c r="AQ9" s="11">
        <v>0.2850839</v>
      </c>
      <c r="AR9" s="12">
        <v>0.0002938309</v>
      </c>
    </row>
    <row r="10" spans="2:47" ht="13.5" customHeight="1" x14ac:dyDescent="0.25">
      <c r="B10" s="120" t="s">
        <v>262</v>
      </c>
      <c r="C10" s="20">
        <v>5.700232</v>
      </c>
      <c r="D10" s="4">
        <v>19.9707</v>
      </c>
      <c r="E10" s="4">
        <v>421.8206</v>
      </c>
      <c r="F10" s="4">
        <v>0.2662812</v>
      </c>
      <c r="G10" s="4">
        <v>0</v>
      </c>
      <c r="H10" s="5">
        <v>419.8947</v>
      </c>
      <c r="I10" s="6">
        <v>26.8627</v>
      </c>
      <c r="J10" s="4">
        <v>0.01966016</v>
      </c>
      <c r="K10" s="4">
        <v>43.20747</v>
      </c>
      <c r="L10" s="4">
        <v>1.353534</v>
      </c>
      <c r="M10" s="4">
        <v>108.8216</v>
      </c>
      <c r="N10" s="4">
        <v>113.1004</v>
      </c>
      <c r="O10" s="4">
        <v>20.39489</v>
      </c>
      <c r="P10" s="4">
        <v>20.1665</v>
      </c>
      <c r="Q10" s="4"/>
      <c r="R10" s="4">
        <v>2.720093</v>
      </c>
      <c r="S10" s="4">
        <v>139.945</v>
      </c>
      <c r="T10" s="4">
        <v>1.50821</v>
      </c>
      <c r="U10" s="4">
        <v>0.2996286</v>
      </c>
      <c r="V10" s="4">
        <v>0.2998906</v>
      </c>
      <c r="W10" s="4">
        <v>90.31394</v>
      </c>
      <c r="X10" s="4">
        <v>0.529168</v>
      </c>
      <c r="Y10" s="4" t="s">
        <v>76</v>
      </c>
      <c r="Z10" s="4">
        <v>0.7332176</v>
      </c>
      <c r="AA10" s="4">
        <v>149.6238</v>
      </c>
      <c r="AB10" s="4">
        <v>162.7604</v>
      </c>
      <c r="AC10" s="4">
        <v>0.4521846</v>
      </c>
      <c r="AD10" s="4">
        <v>154.8177</v>
      </c>
      <c r="AE10" s="7"/>
      <c r="AF10" s="7"/>
      <c r="AG10" s="7"/>
      <c r="AH10" s="7"/>
      <c r="AI10" s="7"/>
      <c r="AJ10" s="7"/>
      <c r="AK10" s="7"/>
      <c r="AL10" s="4">
        <v>5.682147</v>
      </c>
      <c r="AM10" s="8">
        <v>0.007233399</v>
      </c>
      <c r="AN10" s="9">
        <v>51.34549</v>
      </c>
      <c r="AO10" s="10"/>
      <c r="AP10" s="11">
        <v>-79.95515</v>
      </c>
      <c r="AQ10" s="11">
        <v>0.2937645</v>
      </c>
      <c r="AR10" s="12">
        <v>0.0002920303</v>
      </c>
    </row>
    <row r="11" spans="2:47" ht="13.5" customHeight="1" x14ac:dyDescent="0.25">
      <c r="B11" s="121">
        <v>4.1666666666666664E-2</v>
      </c>
      <c r="C11" s="20">
        <v>6.488715</v>
      </c>
      <c r="D11" s="4">
        <v>19.75369</v>
      </c>
      <c r="E11" s="4">
        <v>421.8781</v>
      </c>
      <c r="F11" s="4">
        <v>0.3360938</v>
      </c>
      <c r="G11" s="4">
        <v>0</v>
      </c>
      <c r="H11" s="5">
        <v>421.4102</v>
      </c>
      <c r="I11" s="6">
        <v>18.78617</v>
      </c>
      <c r="J11" s="4">
        <v>0.0200044</v>
      </c>
      <c r="K11" s="4">
        <v>43.22193</v>
      </c>
      <c r="L11" s="4">
        <v>1.353805</v>
      </c>
      <c r="M11" s="4">
        <v>106.7925</v>
      </c>
      <c r="N11" s="4">
        <v>110.5035</v>
      </c>
      <c r="O11" s="4">
        <v>20.28394</v>
      </c>
      <c r="P11" s="4">
        <v>20.18018</v>
      </c>
      <c r="Q11" s="4"/>
      <c r="R11" s="4">
        <v>2.755676</v>
      </c>
      <c r="S11" s="4">
        <v>140.1114</v>
      </c>
      <c r="T11" s="4">
        <v>1.506818</v>
      </c>
      <c r="U11" s="4">
        <v>0.3015324</v>
      </c>
      <c r="V11" s="4">
        <v>0.3001094</v>
      </c>
      <c r="W11" s="4">
        <v>90.27055</v>
      </c>
      <c r="X11" s="4">
        <v>0.5301077</v>
      </c>
      <c r="Y11" s="4" t="s">
        <v>76</v>
      </c>
      <c r="Z11" s="4">
        <v>0.7282408</v>
      </c>
      <c r="AA11" s="4">
        <v>149.7034</v>
      </c>
      <c r="AB11" s="4">
        <v>162.6736</v>
      </c>
      <c r="AC11" s="4">
        <v>0.4242983</v>
      </c>
      <c r="AD11" s="4">
        <v>154.7454</v>
      </c>
      <c r="AE11" s="7"/>
      <c r="AF11" s="7"/>
      <c r="AG11" s="7"/>
      <c r="AH11" s="7"/>
      <c r="AI11" s="7"/>
      <c r="AJ11" s="7"/>
      <c r="AK11" s="7"/>
      <c r="AL11" s="4">
        <v>0.08318865</v>
      </c>
      <c r="AM11" s="8">
        <v>0.005915039</v>
      </c>
      <c r="AN11" s="9">
        <v>49.81192</v>
      </c>
      <c r="AO11" s="10"/>
      <c r="AP11" s="11">
        <v>-79.96962</v>
      </c>
      <c r="AQ11" s="11">
        <v>0.2973814</v>
      </c>
      <c r="AR11" s="12">
        <v>0.0002930908</v>
      </c>
    </row>
    <row r="12" spans="2:47" ht="13.5" customHeight="1" x14ac:dyDescent="0.25">
      <c r="B12" s="120" t="s">
        <v>263</v>
      </c>
      <c r="C12" s="20">
        <v>5.450665</v>
      </c>
      <c r="D12" s="4">
        <v>19.51497</v>
      </c>
      <c r="E12" s="4">
        <v>415.5218</v>
      </c>
      <c r="F12" s="4">
        <v>0.2656953</v>
      </c>
      <c r="G12" s="4">
        <v>0</v>
      </c>
      <c r="H12" s="5">
        <v>421.823</v>
      </c>
      <c r="I12" s="6">
        <v>17.06453</v>
      </c>
      <c r="J12" s="4">
        <v>0.01971631</v>
      </c>
      <c r="K12" s="4">
        <v>42.51302</v>
      </c>
      <c r="L12" s="4">
        <v>1.323694</v>
      </c>
      <c r="M12" s="4">
        <v>104.7797</v>
      </c>
      <c r="N12" s="4">
        <v>108.6227</v>
      </c>
      <c r="O12" s="4">
        <v>20.26173</v>
      </c>
      <c r="P12" s="4">
        <v>20.16992</v>
      </c>
      <c r="Q12" s="4"/>
      <c r="R12" s="4">
        <v>2.785828</v>
      </c>
      <c r="S12" s="4">
        <v>140.0463</v>
      </c>
      <c r="T12" s="4">
        <v>1.506818</v>
      </c>
      <c r="U12" s="4">
        <v>0.2989075</v>
      </c>
      <c r="V12" s="4">
        <v>0.2999844</v>
      </c>
      <c r="W12" s="4">
        <v>90.57436</v>
      </c>
      <c r="X12" s="4">
        <v>0.5290393</v>
      </c>
      <c r="Y12" s="4" t="s">
        <v>76</v>
      </c>
      <c r="Z12" s="4">
        <v>0.7282987</v>
      </c>
      <c r="AA12" s="4">
        <v>149.66</v>
      </c>
      <c r="AB12" s="4">
        <v>162.5506</v>
      </c>
      <c r="AC12" s="4">
        <v>0.3175637</v>
      </c>
      <c r="AD12" s="4">
        <v>154.3258</v>
      </c>
      <c r="AE12" s="7"/>
      <c r="AF12" s="7"/>
      <c r="AG12" s="7"/>
      <c r="AH12" s="7"/>
      <c r="AI12" s="7"/>
      <c r="AJ12" s="7"/>
      <c r="AK12" s="7"/>
      <c r="AL12" s="4">
        <v>6.846788</v>
      </c>
      <c r="AM12" s="8">
        <v>0.004712402</v>
      </c>
      <c r="AN12" s="9">
        <v>47.96007</v>
      </c>
      <c r="AO12" s="10"/>
      <c r="AP12" s="11">
        <v>-80.02026</v>
      </c>
      <c r="AQ12" s="11">
        <v>0.2950666</v>
      </c>
      <c r="AR12" s="12">
        <v>0.0002939453</v>
      </c>
    </row>
    <row r="13" spans="2:47" ht="13.5" customHeight="1" x14ac:dyDescent="0.25">
      <c r="B13" s="121">
        <v>0.125</v>
      </c>
      <c r="C13" s="20">
        <v>6.456163</v>
      </c>
      <c r="D13" s="4">
        <v>19.29254</v>
      </c>
      <c r="E13" s="4">
        <v>415.1775</v>
      </c>
      <c r="F13" s="4">
        <v>0.3364453</v>
      </c>
      <c r="G13" s="4">
        <v>0</v>
      </c>
      <c r="H13" s="5">
        <v>420.8388</v>
      </c>
      <c r="I13" s="6">
        <v>24.48278</v>
      </c>
      <c r="J13" s="4">
        <v>0.02017285</v>
      </c>
      <c r="K13" s="4">
        <v>44.34317</v>
      </c>
      <c r="L13" s="4">
        <v>1.397931</v>
      </c>
      <c r="M13" s="4">
        <v>109.1471</v>
      </c>
      <c r="N13" s="4">
        <v>113.6574</v>
      </c>
      <c r="O13" s="4">
        <v>20.1112</v>
      </c>
      <c r="P13" s="4">
        <v>20.16602</v>
      </c>
      <c r="Q13" s="4"/>
      <c r="R13" s="4">
        <v>2.805298</v>
      </c>
      <c r="S13" s="4">
        <v>140.1186</v>
      </c>
      <c r="T13" s="4">
        <v>1.508464</v>
      </c>
      <c r="U13" s="4">
        <v>0.3000511</v>
      </c>
      <c r="V13" s="4">
        <v>0.2998516</v>
      </c>
      <c r="W13" s="4">
        <v>89.93779</v>
      </c>
      <c r="X13" s="4">
        <v>0.5294017</v>
      </c>
      <c r="Y13" s="4" t="s">
        <v>76</v>
      </c>
      <c r="Z13" s="4">
        <v>0.7293982</v>
      </c>
      <c r="AA13" s="4">
        <v>149.2549</v>
      </c>
      <c r="AB13" s="4">
        <v>162.6808</v>
      </c>
      <c r="AC13" s="4">
        <v>0.3456669</v>
      </c>
      <c r="AD13" s="4">
        <v>154.6947</v>
      </c>
      <c r="AE13" s="7"/>
      <c r="AF13" s="7"/>
      <c r="AG13" s="7"/>
      <c r="AH13" s="7"/>
      <c r="AI13" s="7"/>
      <c r="AJ13" s="7"/>
      <c r="AK13" s="7"/>
      <c r="AL13" s="4">
        <v>7.725694</v>
      </c>
      <c r="AM13" s="8">
        <v>0.003605957</v>
      </c>
      <c r="AN13" s="9">
        <v>46.83883</v>
      </c>
      <c r="AO13" s="10"/>
      <c r="AP13" s="11">
        <v>-80.04919</v>
      </c>
      <c r="AQ13" s="11">
        <v>0.2951389</v>
      </c>
      <c r="AR13" s="12">
        <v>0.000293251</v>
      </c>
    </row>
    <row r="14" spans="2:47" ht="13.5" customHeight="1" x14ac:dyDescent="0.25">
      <c r="B14" s="121">
        <v>0.16666666666666666</v>
      </c>
      <c r="C14" s="20">
        <v>5.345776</v>
      </c>
      <c r="D14" s="4">
        <v>19.31424</v>
      </c>
      <c r="E14" s="4">
        <v>414.9749</v>
      </c>
      <c r="F14" s="4">
        <v>0.2670313</v>
      </c>
      <c r="G14" s="4">
        <v>0</v>
      </c>
      <c r="H14" s="5">
        <v>419.967</v>
      </c>
      <c r="I14" s="6">
        <v>22.45732</v>
      </c>
      <c r="J14" s="4">
        <v>0.01949658</v>
      </c>
      <c r="K14" s="4">
        <v>41.56539</v>
      </c>
      <c r="L14" s="4">
        <v>1.299823</v>
      </c>
      <c r="M14" s="4">
        <v>108.5015</v>
      </c>
      <c r="N14" s="4">
        <v>110.6047</v>
      </c>
      <c r="O14" s="4">
        <v>20.13556</v>
      </c>
      <c r="P14" s="4">
        <v>20.17822</v>
      </c>
      <c r="Q14" s="4"/>
      <c r="R14" s="4">
        <v>2.824646</v>
      </c>
      <c r="S14" s="4">
        <v>139.8944</v>
      </c>
      <c r="T14" s="4">
        <v>1.50302</v>
      </c>
      <c r="U14" s="4">
        <v>0.3001649</v>
      </c>
      <c r="V14" s="4">
        <v>0.3001641</v>
      </c>
      <c r="W14" s="4">
        <v>90.54543</v>
      </c>
      <c r="X14" s="4">
        <v>0.5322905</v>
      </c>
      <c r="Y14" s="4" t="s">
        <v>76</v>
      </c>
      <c r="Z14" s="4">
        <v>0.7314236</v>
      </c>
      <c r="AA14" s="4">
        <v>149.2549</v>
      </c>
      <c r="AB14" s="4">
        <v>162.0443</v>
      </c>
      <c r="AC14" s="4">
        <v>0.3400608</v>
      </c>
      <c r="AD14" s="4">
        <v>153.7471</v>
      </c>
      <c r="AE14" s="7"/>
      <c r="AF14" s="7"/>
      <c r="AG14" s="7"/>
      <c r="AH14" s="7"/>
      <c r="AI14" s="7"/>
      <c r="AJ14" s="7"/>
      <c r="AK14" s="7"/>
      <c r="AL14" s="4">
        <v>24.49002</v>
      </c>
      <c r="AM14" s="8">
        <v>0.01071728</v>
      </c>
      <c r="AN14" s="9">
        <v>59.77647</v>
      </c>
      <c r="AO14" s="10"/>
      <c r="AP14" s="11">
        <v>-80.02749</v>
      </c>
      <c r="AQ14" s="11">
        <v>0.2915943</v>
      </c>
      <c r="AR14" s="12">
        <v>0.0002952728</v>
      </c>
    </row>
    <row r="15" spans="2:47" ht="13.5" customHeight="1" x14ac:dyDescent="0.25">
      <c r="B15" s="121">
        <v>0.20833333333333334</v>
      </c>
      <c r="C15" s="20">
        <v>6.405527</v>
      </c>
      <c r="D15" s="4">
        <v>18.99414</v>
      </c>
      <c r="E15" s="4">
        <v>415.8808</v>
      </c>
      <c r="F15" s="4">
        <v>0.3363047</v>
      </c>
      <c r="G15" s="4">
        <v>0</v>
      </c>
      <c r="H15" s="5">
        <v>419.436</v>
      </c>
      <c r="I15" s="6">
        <v>22.10287</v>
      </c>
      <c r="J15" s="4">
        <v>0.02021435</v>
      </c>
      <c r="K15" s="4">
        <v>44.46614</v>
      </c>
      <c r="L15" s="4">
        <v>1.405617</v>
      </c>
      <c r="M15" s="4">
        <v>105.561</v>
      </c>
      <c r="N15" s="4">
        <v>107.9427</v>
      </c>
      <c r="O15" s="4">
        <v>20.26229</v>
      </c>
      <c r="P15" s="4">
        <v>20.16602</v>
      </c>
      <c r="Q15" s="4"/>
      <c r="R15" s="4">
        <v>2.850403</v>
      </c>
      <c r="S15" s="4">
        <v>140.162</v>
      </c>
      <c r="T15" s="4">
        <v>1.504539</v>
      </c>
      <c r="U15" s="4">
        <v>0.3010994</v>
      </c>
      <c r="V15" s="4">
        <v>0.2997969</v>
      </c>
      <c r="W15" s="4">
        <v>90.79137</v>
      </c>
      <c r="X15" s="4">
        <v>0.5301183</v>
      </c>
      <c r="Y15" s="4" t="s">
        <v>76</v>
      </c>
      <c r="Z15" s="4">
        <v>0.7292824</v>
      </c>
      <c r="AA15" s="4">
        <v>150.1013</v>
      </c>
      <c r="AB15" s="4">
        <v>162.066</v>
      </c>
      <c r="AC15" s="4">
        <v>0.3540943</v>
      </c>
      <c r="AD15" s="4">
        <v>153.6458</v>
      </c>
      <c r="AE15" s="7"/>
      <c r="AF15" s="7"/>
      <c r="AG15" s="7"/>
      <c r="AH15" s="7"/>
      <c r="AI15" s="7"/>
      <c r="AJ15" s="7"/>
      <c r="AK15" s="7"/>
      <c r="AL15" s="4">
        <v>4.191985</v>
      </c>
      <c r="AM15" s="8">
        <v>0.01164063</v>
      </c>
      <c r="AN15" s="9">
        <v>56.5285</v>
      </c>
      <c r="AO15" s="10"/>
      <c r="AP15" s="11">
        <v>-79.91175</v>
      </c>
      <c r="AQ15" s="11">
        <v>0.3039641</v>
      </c>
      <c r="AR15" s="12">
        <v>0.0002952576</v>
      </c>
    </row>
    <row r="16" spans="2:47" ht="13.5" customHeight="1" x14ac:dyDescent="0.25">
      <c r="B16" s="121">
        <v>0.25</v>
      </c>
      <c r="C16" s="20">
        <v>5.425347</v>
      </c>
      <c r="D16" s="4">
        <v>18.96701</v>
      </c>
      <c r="E16" s="4">
        <v>415.7964</v>
      </c>
      <c r="F16" s="4">
        <v>0.2660625</v>
      </c>
      <c r="G16" s="4">
        <v>0</v>
      </c>
      <c r="H16" s="5">
        <v>419.4164</v>
      </c>
      <c r="I16" s="6">
        <v>15.0897</v>
      </c>
      <c r="J16" s="4">
        <v>0.02015723</v>
      </c>
      <c r="K16" s="4">
        <v>44.74103</v>
      </c>
      <c r="L16" s="4">
        <v>1.421622</v>
      </c>
      <c r="M16" s="4">
        <v>109.809</v>
      </c>
      <c r="N16" s="4">
        <v>111.8345</v>
      </c>
      <c r="O16" s="4">
        <v>20.1475</v>
      </c>
      <c r="P16" s="4">
        <v>20.16846</v>
      </c>
      <c r="Q16" s="4"/>
      <c r="R16" s="4">
        <v>2.850586</v>
      </c>
      <c r="S16" s="4">
        <v>140.0029</v>
      </c>
      <c r="T16" s="4">
        <v>1.503906</v>
      </c>
      <c r="U16" s="4">
        <v>0.2984446</v>
      </c>
      <c r="V16" s="4">
        <v>0.2999219</v>
      </c>
      <c r="W16" s="4">
        <v>90.31394</v>
      </c>
      <c r="X16" s="4">
        <v>0.5323736</v>
      </c>
      <c r="Y16" s="4" t="s">
        <v>76</v>
      </c>
      <c r="Z16" s="4">
        <v>0.7347223</v>
      </c>
      <c r="AA16" s="4">
        <v>149.66</v>
      </c>
      <c r="AB16" s="4">
        <v>162.0081</v>
      </c>
      <c r="AC16" s="4">
        <v>0.3444372</v>
      </c>
      <c r="AD16" s="4">
        <v>153.8194</v>
      </c>
      <c r="AE16" s="7"/>
      <c r="AF16" s="7"/>
      <c r="AG16" s="7"/>
      <c r="AH16" s="7"/>
      <c r="AI16" s="7"/>
      <c r="AJ16" s="7"/>
      <c r="AK16" s="7"/>
      <c r="AL16" s="4">
        <v>0</v>
      </c>
      <c r="AM16" s="8">
        <v>0.008156738</v>
      </c>
      <c r="AN16" s="9">
        <v>55.86661</v>
      </c>
      <c r="AO16" s="10"/>
      <c r="AP16" s="11">
        <v>-80.1794</v>
      </c>
      <c r="AQ16" s="11">
        <v>0.2974537</v>
      </c>
      <c r="AR16" s="12">
        <v>0.0002941742</v>
      </c>
    </row>
    <row r="17" spans="2:44" ht="13.5" customHeight="1" x14ac:dyDescent="0.25">
      <c r="B17" s="121">
        <v>0.29166666666666669</v>
      </c>
      <c r="C17" s="20">
        <v>6.329572</v>
      </c>
      <c r="D17" s="4">
        <v>18.76085</v>
      </c>
      <c r="E17" s="4">
        <v>415.9457</v>
      </c>
      <c r="F17" s="4">
        <v>0.3361484</v>
      </c>
      <c r="G17" s="4">
        <v>0</v>
      </c>
      <c r="H17" s="5">
        <v>419.4669</v>
      </c>
      <c r="I17" s="6">
        <v>23.01432</v>
      </c>
      <c r="J17" s="4">
        <v>0.0199585</v>
      </c>
      <c r="K17" s="4">
        <v>44.33594</v>
      </c>
      <c r="L17" s="4">
        <v>1.400101</v>
      </c>
      <c r="M17" s="4">
        <v>107.3459</v>
      </c>
      <c r="N17" s="4">
        <v>110.4456</v>
      </c>
      <c r="O17" s="4">
        <v>20.19503</v>
      </c>
      <c r="P17" s="4">
        <v>20.17041</v>
      </c>
      <c r="Q17" s="4"/>
      <c r="R17" s="4">
        <v>2.786499</v>
      </c>
      <c r="S17" s="4">
        <v>139.9306</v>
      </c>
      <c r="T17" s="4">
        <v>1.508337</v>
      </c>
      <c r="U17" s="4">
        <v>0.3004633</v>
      </c>
      <c r="V17" s="4">
        <v>0.2999531</v>
      </c>
      <c r="W17" s="4">
        <v>90.40075</v>
      </c>
      <c r="X17" s="4">
        <v>0.5309114</v>
      </c>
      <c r="Y17" s="4" t="s">
        <v>76</v>
      </c>
      <c r="Z17" s="4">
        <v>0.7254051</v>
      </c>
      <c r="AA17" s="4">
        <v>148.8643</v>
      </c>
      <c r="AB17" s="4">
        <v>162.1021</v>
      </c>
      <c r="AC17" s="4">
        <v>0.3415437</v>
      </c>
      <c r="AD17" s="4">
        <v>153.9207</v>
      </c>
      <c r="AE17" s="7"/>
      <c r="AF17" s="7"/>
      <c r="AG17" s="7"/>
      <c r="AH17" s="7"/>
      <c r="AI17" s="7"/>
      <c r="AJ17" s="7"/>
      <c r="AK17" s="7"/>
      <c r="AL17" s="4">
        <v>11.91406</v>
      </c>
      <c r="AM17" s="8">
        <v>0.00774707</v>
      </c>
      <c r="AN17" s="9">
        <v>53.37095</v>
      </c>
      <c r="AO17" s="10"/>
      <c r="AP17" s="11">
        <v>-79.7309</v>
      </c>
      <c r="AQ17" s="11">
        <v>0.2931134</v>
      </c>
      <c r="AR17" s="12">
        <v>0.0002936783</v>
      </c>
    </row>
    <row r="18" spans="2:44" ht="13.5" customHeight="1" x14ac:dyDescent="0.25">
      <c r="B18" s="121">
        <v>0.33333333333333331</v>
      </c>
      <c r="C18" s="23">
        <v>5.475984</v>
      </c>
      <c r="D18" s="13">
        <v>18.81511</v>
      </c>
      <c r="E18" s="13">
        <v>418.1809</v>
      </c>
      <c r="F18" s="13">
        <v>0.2654922</v>
      </c>
      <c r="G18" s="13">
        <v>0</v>
      </c>
      <c r="H18" s="14">
        <v>420.0625</v>
      </c>
      <c r="I18" s="15">
        <v>27.03993</v>
      </c>
      <c r="J18" s="13">
        <v>0.02008008</v>
      </c>
      <c r="K18" s="13">
        <v>42.6794</v>
      </c>
      <c r="L18" s="13">
        <v>1.326226</v>
      </c>
      <c r="M18" s="13">
        <v>109.7277</v>
      </c>
      <c r="N18" s="13">
        <v>111.0605</v>
      </c>
      <c r="O18" s="13">
        <v>20.21766</v>
      </c>
      <c r="P18" s="13">
        <v>20.16699</v>
      </c>
      <c r="Q18" s="13"/>
      <c r="R18" s="13">
        <v>2.818542</v>
      </c>
      <c r="S18" s="13">
        <v>140.1259</v>
      </c>
      <c r="T18" s="13">
        <v>1.508337</v>
      </c>
      <c r="U18" s="13">
        <v>0.2999453</v>
      </c>
      <c r="V18" s="13">
        <v>0.2999375</v>
      </c>
      <c r="W18" s="13">
        <v>90.74074</v>
      </c>
      <c r="X18" s="13">
        <v>0.5325558</v>
      </c>
      <c r="Y18" s="13">
        <v>0.5302666</v>
      </c>
      <c r="Z18" s="13">
        <v>0.7344908</v>
      </c>
      <c r="AA18" s="13">
        <v>149.6817</v>
      </c>
      <c r="AB18" s="13">
        <v>162.3553</v>
      </c>
      <c r="AC18" s="13">
        <v>0.3310185</v>
      </c>
      <c r="AD18" s="13">
        <v>154.3041</v>
      </c>
      <c r="AE18" s="16">
        <v>32.33</v>
      </c>
      <c r="AF18" s="16"/>
      <c r="AG18" s="16"/>
      <c r="AH18" s="16">
        <v>16.46</v>
      </c>
      <c r="AI18" s="16">
        <v>32.08</v>
      </c>
      <c r="AJ18" s="16">
        <v>11.56</v>
      </c>
      <c r="AK18" s="16">
        <v>6.99</v>
      </c>
      <c r="AL18" s="13">
        <v>10.39858</v>
      </c>
      <c r="AM18" s="17">
        <v>0.005767578</v>
      </c>
      <c r="AN18" s="18">
        <v>51.77228</v>
      </c>
      <c r="AO18" s="10"/>
      <c r="AP18" s="11">
        <v>-79.74537</v>
      </c>
      <c r="AQ18" s="11">
        <v>0.3164786</v>
      </c>
      <c r="AR18" s="19">
        <v>0.0002943878</v>
      </c>
    </row>
    <row r="19" spans="2:44" ht="18" customHeight="1" x14ac:dyDescent="0.25">
      <c r="B19" s="143" t="s">
        <v>175</v>
      </c>
      <c r="C19" s="80" t="s">
        <v>162</v>
      </c>
      <c r="D19" s="72" t="s">
        <v>165</v>
      </c>
      <c r="E19" s="124" t="s">
        <v>17</v>
      </c>
      <c r="F19" s="129"/>
      <c r="G19" s="129"/>
      <c r="H19" s="128" t="s">
        <v>102</v>
      </c>
      <c r="I19" s="129"/>
      <c r="J19" s="129"/>
      <c r="K19" s="129"/>
      <c r="L19" s="129"/>
      <c r="M19" s="128" t="s">
        <v>117</v>
      </c>
      <c r="N19" s="129"/>
      <c r="O19" s="129"/>
      <c r="P19" s="129"/>
      <c r="Q19" s="129"/>
      <c r="R19" s="128" t="s">
        <v>141</v>
      </c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 t="s">
        <v>22</v>
      </c>
      <c r="AH19" s="129"/>
      <c r="AI19" s="126" t="s">
        <v>167</v>
      </c>
      <c r="AJ19" s="168"/>
      <c r="AK19" s="168"/>
      <c r="AL19" s="168"/>
      <c r="AM19" s="168"/>
      <c r="AN19" s="129" t="s">
        <v>42</v>
      </c>
      <c r="AO19" s="130"/>
      <c r="AP19" s="129" t="s">
        <v>174</v>
      </c>
      <c r="AQ19" s="130"/>
      <c r="AR19" s="162"/>
    </row>
    <row r="20" spans="2:44" ht="20.15" customHeight="1" x14ac:dyDescent="0.25">
      <c r="B20" s="136"/>
      <c r="C20" s="80" t="s">
        <v>163</v>
      </c>
      <c r="D20" s="72" t="s">
        <v>107</v>
      </c>
      <c r="E20" s="72" t="s">
        <v>15</v>
      </c>
      <c r="F20" s="128" t="s">
        <v>94</v>
      </c>
      <c r="G20" s="129"/>
      <c r="H20" s="86" t="s">
        <v>97</v>
      </c>
      <c r="I20" s="86" t="s">
        <v>99</v>
      </c>
      <c r="J20" s="83" t="s">
        <v>100</v>
      </c>
      <c r="K20" s="77" t="s">
        <v>101</v>
      </c>
      <c r="L20" s="86" t="s">
        <v>109</v>
      </c>
      <c r="M20" s="86" t="s">
        <v>110</v>
      </c>
      <c r="N20" s="86" t="s">
        <v>112</v>
      </c>
      <c r="O20" s="72" t="s">
        <v>221</v>
      </c>
      <c r="P20" s="72" t="s">
        <v>222</v>
      </c>
      <c r="Q20" s="72" t="s">
        <v>116</v>
      </c>
      <c r="R20" s="72" t="s">
        <v>118</v>
      </c>
      <c r="S20" s="86" t="s">
        <v>120</v>
      </c>
      <c r="T20" s="87" t="s">
        <v>135</v>
      </c>
      <c r="U20" s="86" t="s">
        <v>138</v>
      </c>
      <c r="V20" s="88" t="s">
        <v>125</v>
      </c>
      <c r="W20" s="88" t="s">
        <v>123</v>
      </c>
      <c r="X20" s="87" t="s">
        <v>136</v>
      </c>
      <c r="Y20" s="86" t="s">
        <v>137</v>
      </c>
      <c r="Z20" s="88" t="s">
        <v>127</v>
      </c>
      <c r="AA20" s="88" t="s">
        <v>128</v>
      </c>
      <c r="AB20" s="87" t="s">
        <v>133</v>
      </c>
      <c r="AC20" s="71" t="s">
        <v>139</v>
      </c>
      <c r="AD20" s="129" t="s">
        <v>142</v>
      </c>
      <c r="AE20" s="129"/>
      <c r="AF20" s="71" t="s">
        <v>145</v>
      </c>
      <c r="AG20" s="71" t="s">
        <v>147</v>
      </c>
      <c r="AH20" s="71" t="s">
        <v>149</v>
      </c>
      <c r="AI20" s="138" t="s">
        <v>83</v>
      </c>
      <c r="AJ20" s="126"/>
      <c r="AK20" s="138" t="s">
        <v>86</v>
      </c>
      <c r="AL20" s="126"/>
      <c r="AM20" s="75" t="s">
        <v>166</v>
      </c>
      <c r="AN20" s="71" t="s">
        <v>12</v>
      </c>
      <c r="AO20" s="71" t="s">
        <v>15</v>
      </c>
      <c r="AP20" s="71" t="s">
        <v>34</v>
      </c>
      <c r="AQ20" s="71" t="s">
        <v>33</v>
      </c>
      <c r="AR20" s="118" t="s">
        <v>172</v>
      </c>
    </row>
    <row r="21" spans="2:44" ht="22" customHeight="1" x14ac:dyDescent="0.25">
      <c r="B21" s="136"/>
      <c r="C21" s="81" t="s">
        <v>164</v>
      </c>
      <c r="D21" s="72" t="s">
        <v>108</v>
      </c>
      <c r="E21" s="77" t="s">
        <v>93</v>
      </c>
      <c r="F21" s="72" t="s">
        <v>95</v>
      </c>
      <c r="G21" s="86" t="s">
        <v>96</v>
      </c>
      <c r="H21" s="86" t="s">
        <v>98</v>
      </c>
      <c r="I21" s="86" t="s">
        <v>98</v>
      </c>
      <c r="J21" s="86" t="s">
        <v>98</v>
      </c>
      <c r="K21" s="86" t="s">
        <v>98</v>
      </c>
      <c r="L21" s="86" t="s">
        <v>76</v>
      </c>
      <c r="M21" s="86" t="s">
        <v>111</v>
      </c>
      <c r="N21" s="86" t="s">
        <v>113</v>
      </c>
      <c r="O21" s="86" t="s">
        <v>114</v>
      </c>
      <c r="P21" s="86" t="s">
        <v>115</v>
      </c>
      <c r="Q21" s="72" t="s">
        <v>21</v>
      </c>
      <c r="R21" s="72" t="s">
        <v>119</v>
      </c>
      <c r="S21" s="89" t="s">
        <v>121</v>
      </c>
      <c r="T21" s="87" t="s">
        <v>114</v>
      </c>
      <c r="U21" s="86" t="s">
        <v>122</v>
      </c>
      <c r="V21" s="88" t="s">
        <v>126</v>
      </c>
      <c r="W21" s="88" t="s">
        <v>124</v>
      </c>
      <c r="X21" s="87" t="s">
        <v>129</v>
      </c>
      <c r="Y21" s="86" t="s">
        <v>130</v>
      </c>
      <c r="Z21" s="88" t="s">
        <v>131</v>
      </c>
      <c r="AA21" s="88" t="s">
        <v>132</v>
      </c>
      <c r="AB21" s="87" t="s">
        <v>134</v>
      </c>
      <c r="AC21" s="71" t="s">
        <v>140</v>
      </c>
      <c r="AD21" s="71" t="s">
        <v>143</v>
      </c>
      <c r="AE21" s="71" t="s">
        <v>144</v>
      </c>
      <c r="AF21" s="71" t="s">
        <v>146</v>
      </c>
      <c r="AG21" s="71" t="s">
        <v>148</v>
      </c>
      <c r="AH21" s="71" t="s">
        <v>150</v>
      </c>
      <c r="AI21" s="73" t="s">
        <v>84</v>
      </c>
      <c r="AJ21" s="73" t="s">
        <v>85</v>
      </c>
      <c r="AK21" s="73" t="s">
        <v>87</v>
      </c>
      <c r="AL21" s="79" t="s">
        <v>88</v>
      </c>
      <c r="AM21" s="79" t="s">
        <v>88</v>
      </c>
      <c r="AN21" s="71" t="s">
        <v>168</v>
      </c>
      <c r="AO21" s="71" t="s">
        <v>169</v>
      </c>
      <c r="AP21" s="71" t="s">
        <v>170</v>
      </c>
      <c r="AQ21" s="71" t="s">
        <v>171</v>
      </c>
      <c r="AR21" s="118" t="s">
        <v>173</v>
      </c>
    </row>
    <row r="22" spans="2:44" ht="13.5" customHeight="1" x14ac:dyDescent="0.25">
      <c r="B22" s="120" t="s">
        <v>44</v>
      </c>
      <c r="C22" s="82">
        <v>-79.78877</v>
      </c>
      <c r="D22" s="62">
        <v>-80.51215</v>
      </c>
      <c r="E22" s="62">
        <v>103.1286</v>
      </c>
      <c r="F22" s="62">
        <v>0.1029369</v>
      </c>
      <c r="G22" s="62"/>
      <c r="H22" s="62"/>
      <c r="I22" s="62"/>
      <c r="J22" s="62"/>
      <c r="K22" s="62"/>
      <c r="L22" s="63"/>
      <c r="M22" s="82">
        <v>77.54268</v>
      </c>
      <c r="N22" s="62">
        <v>47.68518</v>
      </c>
      <c r="O22" s="62">
        <v>39.5</v>
      </c>
      <c r="P22" s="62">
        <v>22</v>
      </c>
      <c r="Q22" s="62">
        <v>3.60026</v>
      </c>
      <c r="R22" s="62">
        <v>17.59983</v>
      </c>
      <c r="S22" s="84">
        <v>90.41522</v>
      </c>
      <c r="T22" s="84">
        <v>15</v>
      </c>
      <c r="U22" s="84">
        <v>0</v>
      </c>
      <c r="V22" s="84">
        <v>18.278</v>
      </c>
      <c r="W22" s="84">
        <v>42.08442</v>
      </c>
      <c r="X22" s="84">
        <v>26.2</v>
      </c>
      <c r="Y22" s="84">
        <v>71.29955</v>
      </c>
      <c r="Z22" s="84">
        <v>14.30483</v>
      </c>
      <c r="AA22" s="84">
        <v>16.83485</v>
      </c>
      <c r="AB22" s="84"/>
      <c r="AC22" s="66"/>
      <c r="AD22" s="66">
        <v>1.421929</v>
      </c>
      <c r="AE22" s="66"/>
      <c r="AF22" s="66">
        <v>21.36502</v>
      </c>
      <c r="AG22" s="66">
        <v>24.35619</v>
      </c>
      <c r="AH22" s="66"/>
      <c r="AI22" s="85"/>
      <c r="AJ22" s="85"/>
      <c r="AK22" s="85"/>
      <c r="AL22" s="85"/>
      <c r="AM22" s="85"/>
      <c r="AN22" s="66">
        <v>44.92911</v>
      </c>
      <c r="AO22" s="67">
        <v>50</v>
      </c>
      <c r="AP22" s="68">
        <v>26.90972</v>
      </c>
      <c r="AQ22" s="69">
        <v>39.64844</v>
      </c>
      <c r="AR22" s="70">
        <v>0.09766388</v>
      </c>
    </row>
    <row r="23" spans="2:44" ht="13.5" customHeight="1" x14ac:dyDescent="0.25">
      <c r="B23" s="121">
        <v>0.875</v>
      </c>
      <c r="C23" s="20">
        <v>-79.76707</v>
      </c>
      <c r="D23" s="4">
        <v>-80.41088</v>
      </c>
      <c r="E23" s="4">
        <v>103.1322</v>
      </c>
      <c r="F23" s="4">
        <v>0.1007668</v>
      </c>
      <c r="G23" s="4">
        <v>9.676361E-05</v>
      </c>
      <c r="H23" s="4"/>
      <c r="I23" s="4"/>
      <c r="J23" s="4"/>
      <c r="K23" s="4"/>
      <c r="L23" s="5"/>
      <c r="M23" s="20">
        <v>77.67651</v>
      </c>
      <c r="N23" s="4">
        <v>47.4971</v>
      </c>
      <c r="O23" s="4">
        <v>39.5</v>
      </c>
      <c r="P23" s="4">
        <v>22</v>
      </c>
      <c r="Q23" s="4">
        <v>3.139757</v>
      </c>
      <c r="R23" s="4">
        <v>18.52575</v>
      </c>
      <c r="S23" s="21">
        <v>94.85677</v>
      </c>
      <c r="T23" s="21">
        <v>15</v>
      </c>
      <c r="U23" s="21">
        <v>0</v>
      </c>
      <c r="V23" s="21">
        <v>18.31597</v>
      </c>
      <c r="W23" s="21">
        <v>40.78776</v>
      </c>
      <c r="X23" s="21">
        <v>26.2</v>
      </c>
      <c r="Y23" s="21">
        <v>70.22316</v>
      </c>
      <c r="Z23" s="21">
        <v>14.61588</v>
      </c>
      <c r="AA23" s="21">
        <v>17.83854</v>
      </c>
      <c r="AB23" s="21"/>
      <c r="AC23" s="8"/>
      <c r="AD23" s="8">
        <v>1.548394</v>
      </c>
      <c r="AE23" s="8">
        <v>0.001423645</v>
      </c>
      <c r="AF23" s="8">
        <v>20.58015</v>
      </c>
      <c r="AG23" s="8">
        <v>15.22714</v>
      </c>
      <c r="AH23" s="8">
        <v>671.8</v>
      </c>
      <c r="AI23" s="22"/>
      <c r="AJ23" s="22"/>
      <c r="AK23" s="22"/>
      <c r="AL23" s="22"/>
      <c r="AM23" s="22"/>
      <c r="AN23" s="8">
        <v>52.1629</v>
      </c>
      <c r="AO23" s="9">
        <v>50</v>
      </c>
      <c r="AP23" s="10">
        <v>26.53899</v>
      </c>
      <c r="AQ23" s="11">
        <v>39.60503</v>
      </c>
      <c r="AR23" s="12">
        <v>0.07595825</v>
      </c>
    </row>
    <row r="24" spans="2:44" ht="13.5" customHeight="1" x14ac:dyDescent="0.25">
      <c r="B24" s="120" t="s">
        <v>261</v>
      </c>
      <c r="C24" s="20">
        <v>-79.67303</v>
      </c>
      <c r="D24" s="4">
        <v>-80.57002</v>
      </c>
      <c r="E24" s="4">
        <v>103.1286</v>
      </c>
      <c r="F24" s="4">
        <v>0.1019965</v>
      </c>
      <c r="G24" s="4">
        <v>0.0001005287</v>
      </c>
      <c r="H24" s="4"/>
      <c r="I24" s="4"/>
      <c r="J24" s="4"/>
      <c r="K24" s="4"/>
      <c r="L24" s="5"/>
      <c r="M24" s="20">
        <v>78.28776</v>
      </c>
      <c r="N24" s="4">
        <v>47.31988</v>
      </c>
      <c r="O24" s="4">
        <v>39.5</v>
      </c>
      <c r="P24" s="4">
        <v>22</v>
      </c>
      <c r="Q24" s="4">
        <v>3.442274</v>
      </c>
      <c r="R24" s="4">
        <v>18.65958</v>
      </c>
      <c r="S24" s="21">
        <v>94.03935</v>
      </c>
      <c r="T24" s="21">
        <v>15</v>
      </c>
      <c r="U24" s="21">
        <v>0</v>
      </c>
      <c r="V24" s="21">
        <v>19.07552</v>
      </c>
      <c r="W24" s="21">
        <v>39.68099</v>
      </c>
      <c r="X24" s="21">
        <v>26.2</v>
      </c>
      <c r="Y24" s="21">
        <v>69.73543</v>
      </c>
      <c r="Z24" s="21">
        <v>14.80758</v>
      </c>
      <c r="AA24" s="21">
        <v>18.03386</v>
      </c>
      <c r="AB24" s="21"/>
      <c r="AC24" s="8"/>
      <c r="AD24" s="8">
        <v>1.548394</v>
      </c>
      <c r="AE24" s="8">
        <v>0.001544525</v>
      </c>
      <c r="AF24" s="8">
        <v>21.148</v>
      </c>
      <c r="AG24" s="8">
        <v>13.36082</v>
      </c>
      <c r="AH24" s="8">
        <v>642.1</v>
      </c>
      <c r="AI24" s="22"/>
      <c r="AJ24" s="22"/>
      <c r="AK24" s="22"/>
      <c r="AL24" s="22"/>
      <c r="AM24" s="22"/>
      <c r="AN24" s="8">
        <v>45.8478</v>
      </c>
      <c r="AO24" s="9">
        <v>50</v>
      </c>
      <c r="AP24" s="10">
        <v>26.42144</v>
      </c>
      <c r="AQ24" s="11">
        <v>39.47121</v>
      </c>
      <c r="AR24" s="12">
        <v>0.06510925</v>
      </c>
    </row>
    <row r="25" spans="2:44" ht="13.5" customHeight="1" x14ac:dyDescent="0.25">
      <c r="B25" s="121">
        <v>0.95833333333333337</v>
      </c>
      <c r="C25" s="20">
        <v>-79.99855</v>
      </c>
      <c r="D25" s="4">
        <v>-80.96065</v>
      </c>
      <c r="E25" s="4">
        <v>103.1286</v>
      </c>
      <c r="F25" s="4">
        <v>0.1007668</v>
      </c>
      <c r="G25" s="4">
        <v>8.550835E-05</v>
      </c>
      <c r="H25" s="4"/>
      <c r="I25" s="4"/>
      <c r="J25" s="4"/>
      <c r="K25" s="4"/>
      <c r="L25" s="5"/>
      <c r="M25" s="20">
        <v>77.87182</v>
      </c>
      <c r="N25" s="4">
        <v>47.48264</v>
      </c>
      <c r="O25" s="4">
        <v>39.5</v>
      </c>
      <c r="P25" s="4">
        <v>22</v>
      </c>
      <c r="Q25" s="4">
        <v>3.305122</v>
      </c>
      <c r="R25" s="4">
        <v>18.65958</v>
      </c>
      <c r="S25" s="21">
        <v>92.80237</v>
      </c>
      <c r="T25" s="21">
        <v>15</v>
      </c>
      <c r="U25" s="21">
        <v>0</v>
      </c>
      <c r="V25" s="21">
        <v>19.62348</v>
      </c>
      <c r="W25" s="21">
        <v>39.01367</v>
      </c>
      <c r="X25" s="21">
        <v>26.5</v>
      </c>
      <c r="Y25" s="21">
        <v>70.78378</v>
      </c>
      <c r="Z25" s="21">
        <v>14.73705</v>
      </c>
      <c r="AA25" s="21">
        <v>18.01758</v>
      </c>
      <c r="AB25" s="21"/>
      <c r="AC25" s="8"/>
      <c r="AD25" s="8">
        <v>1.548394</v>
      </c>
      <c r="AE25" s="8">
        <v>0.00142102</v>
      </c>
      <c r="AF25" s="8">
        <v>20.78631</v>
      </c>
      <c r="AG25" s="8">
        <v>16.01201</v>
      </c>
      <c r="AH25" s="8">
        <v>259.7</v>
      </c>
      <c r="AI25" s="22"/>
      <c r="AJ25" s="22"/>
      <c r="AK25" s="22"/>
      <c r="AL25" s="22"/>
      <c r="AM25" s="22"/>
      <c r="AN25" s="8">
        <v>45.21123</v>
      </c>
      <c r="AO25" s="9">
        <v>50</v>
      </c>
      <c r="AP25" s="10">
        <v>25.96933</v>
      </c>
      <c r="AQ25" s="11">
        <v>42.58897</v>
      </c>
      <c r="AR25" s="12">
        <v>0.06510925</v>
      </c>
    </row>
    <row r="26" spans="2:44" ht="13.5" customHeight="1" x14ac:dyDescent="0.25">
      <c r="B26" s="120" t="s">
        <v>262</v>
      </c>
      <c r="C26" s="20">
        <v>-79.95515</v>
      </c>
      <c r="D26" s="4">
        <v>-80.97511</v>
      </c>
      <c r="E26" s="4">
        <v>103.1322</v>
      </c>
      <c r="F26" s="4">
        <v>0.08007812</v>
      </c>
      <c r="G26" s="4">
        <v>9.213066E-05</v>
      </c>
      <c r="H26" s="4"/>
      <c r="I26" s="4"/>
      <c r="J26" s="4"/>
      <c r="K26" s="4"/>
      <c r="L26" s="5"/>
      <c r="M26" s="20">
        <v>77.97671</v>
      </c>
      <c r="N26" s="4">
        <v>47.27286</v>
      </c>
      <c r="O26" s="4">
        <v>39.5</v>
      </c>
      <c r="P26" s="4">
        <v>22</v>
      </c>
      <c r="Q26" s="4">
        <v>3.200521</v>
      </c>
      <c r="R26" s="4">
        <v>19.00318</v>
      </c>
      <c r="S26" s="21">
        <v>91.50752</v>
      </c>
      <c r="T26" s="21">
        <v>15</v>
      </c>
      <c r="U26" s="21">
        <v>0</v>
      </c>
      <c r="V26" s="21">
        <v>27.44141</v>
      </c>
      <c r="W26" s="21">
        <v>44.91103</v>
      </c>
      <c r="X26" s="21">
        <v>26.5</v>
      </c>
      <c r="Y26" s="21">
        <v>70.50908</v>
      </c>
      <c r="Z26" s="21">
        <v>14.73524</v>
      </c>
      <c r="AA26" s="21">
        <v>18.28342</v>
      </c>
      <c r="AB26" s="21"/>
      <c r="AC26" s="8"/>
      <c r="AD26" s="8">
        <v>1.548286</v>
      </c>
      <c r="AE26" s="8">
        <v>0.001327087</v>
      </c>
      <c r="AF26" s="8">
        <v>22.02691</v>
      </c>
      <c r="AG26" s="8">
        <v>12.08767</v>
      </c>
      <c r="AH26" s="8"/>
      <c r="AI26" s="22"/>
      <c r="AJ26" s="22"/>
      <c r="AK26" s="22"/>
      <c r="AL26" s="22"/>
      <c r="AM26" s="22"/>
      <c r="AN26" s="8">
        <v>52.51013</v>
      </c>
      <c r="AO26" s="9">
        <v>50</v>
      </c>
      <c r="AP26" s="10">
        <v>26.06879</v>
      </c>
      <c r="AQ26" s="11">
        <v>40.45862</v>
      </c>
      <c r="AR26" s="12">
        <v>0.08680725</v>
      </c>
    </row>
    <row r="27" spans="2:44" ht="13.5" customHeight="1" x14ac:dyDescent="0.25">
      <c r="B27" s="121">
        <v>4.1666666666666664E-2</v>
      </c>
      <c r="C27" s="20">
        <v>-79.96962</v>
      </c>
      <c r="D27" s="4">
        <v>-80.96065</v>
      </c>
      <c r="E27" s="4">
        <v>103.1286</v>
      </c>
      <c r="F27" s="4">
        <v>0.07877604</v>
      </c>
      <c r="G27" s="4">
        <v>8.792496E-05</v>
      </c>
      <c r="H27" s="4"/>
      <c r="I27" s="4"/>
      <c r="J27" s="4"/>
      <c r="K27" s="4"/>
      <c r="L27" s="5"/>
      <c r="M27" s="20">
        <v>78.54094</v>
      </c>
      <c r="N27" s="4">
        <v>47.4754</v>
      </c>
      <c r="O27" s="4">
        <v>39.5</v>
      </c>
      <c r="P27" s="4">
        <v>22</v>
      </c>
      <c r="Q27" s="4">
        <v>3.302517</v>
      </c>
      <c r="R27" s="4">
        <v>18.99957</v>
      </c>
      <c r="S27" s="21">
        <v>92.67578</v>
      </c>
      <c r="T27" s="21">
        <v>15</v>
      </c>
      <c r="U27" s="21">
        <v>0</v>
      </c>
      <c r="V27" s="21">
        <v>29.42708</v>
      </c>
      <c r="W27" s="21">
        <v>45.70855</v>
      </c>
      <c r="X27" s="21">
        <v>26.5</v>
      </c>
      <c r="Y27" s="21">
        <v>70.71651</v>
      </c>
      <c r="Z27" s="21">
        <v>14.65025</v>
      </c>
      <c r="AA27" s="21">
        <v>18.38108</v>
      </c>
      <c r="AB27" s="21"/>
      <c r="AC27" s="8"/>
      <c r="AD27" s="8">
        <v>1.54834</v>
      </c>
      <c r="AE27" s="8">
        <v>0.001505951</v>
      </c>
      <c r="AF27" s="8">
        <v>21.93649</v>
      </c>
      <c r="AG27" s="8">
        <v>13.29933</v>
      </c>
      <c r="AH27" s="8"/>
      <c r="AI27" s="22"/>
      <c r="AJ27" s="22"/>
      <c r="AK27" s="22"/>
      <c r="AL27" s="22"/>
      <c r="AM27" s="22"/>
      <c r="AN27" s="8">
        <v>51.46123</v>
      </c>
      <c r="AO27" s="9">
        <v>50</v>
      </c>
      <c r="AP27" s="10">
        <v>25.79753</v>
      </c>
      <c r="AQ27" s="11">
        <v>40.45501</v>
      </c>
      <c r="AR27" s="12">
        <v>0.07595825</v>
      </c>
    </row>
    <row r="28" spans="2:44" ht="13.5" customHeight="1" x14ac:dyDescent="0.25">
      <c r="B28" s="120" t="s">
        <v>263</v>
      </c>
      <c r="C28" s="20">
        <v>-80.02026</v>
      </c>
      <c r="D28" s="4">
        <v>-80.94618</v>
      </c>
      <c r="E28" s="4">
        <v>103.125</v>
      </c>
      <c r="F28" s="4">
        <v>0.07863136</v>
      </c>
      <c r="G28" s="4">
        <v>8.807373E-05</v>
      </c>
      <c r="H28" s="4"/>
      <c r="I28" s="4"/>
      <c r="J28" s="4"/>
      <c r="K28" s="4"/>
      <c r="L28" s="5"/>
      <c r="M28" s="20">
        <v>78.42882</v>
      </c>
      <c r="N28" s="4">
        <v>47.26924</v>
      </c>
      <c r="O28" s="4">
        <v>39.5</v>
      </c>
      <c r="P28" s="4">
        <v>22</v>
      </c>
      <c r="Q28" s="4">
        <v>3.25</v>
      </c>
      <c r="R28" s="4">
        <v>19.00318</v>
      </c>
      <c r="S28" s="21">
        <v>91.61603</v>
      </c>
      <c r="T28" s="21">
        <v>15</v>
      </c>
      <c r="U28" s="21">
        <v>0</v>
      </c>
      <c r="V28" s="21">
        <v>29.24262</v>
      </c>
      <c r="W28" s="21">
        <v>45.03581</v>
      </c>
      <c r="X28" s="21">
        <v>26.5</v>
      </c>
      <c r="Y28" s="21">
        <v>70.24559</v>
      </c>
      <c r="Z28" s="21">
        <v>14.17824</v>
      </c>
      <c r="AA28" s="21">
        <v>18.29427</v>
      </c>
      <c r="AB28" s="21"/>
      <c r="AC28" s="8"/>
      <c r="AD28" s="8">
        <v>1.54834</v>
      </c>
      <c r="AE28" s="8">
        <v>0.001220276</v>
      </c>
      <c r="AF28" s="8">
        <v>21.90032</v>
      </c>
      <c r="AG28" s="8">
        <v>17.90726</v>
      </c>
      <c r="AH28" s="8"/>
      <c r="AI28" s="22"/>
      <c r="AJ28" s="22"/>
      <c r="AK28" s="22"/>
      <c r="AL28" s="22"/>
      <c r="AM28" s="22"/>
      <c r="AN28" s="8">
        <v>48.76302</v>
      </c>
      <c r="AO28" s="9">
        <v>50</v>
      </c>
      <c r="AP28" s="10">
        <v>25.13744</v>
      </c>
      <c r="AQ28" s="11">
        <v>40.31033</v>
      </c>
      <c r="AR28" s="12">
        <v>0.09766388</v>
      </c>
    </row>
    <row r="29" spans="2:44" ht="13.5" customHeight="1" x14ac:dyDescent="0.25">
      <c r="B29" s="121">
        <v>0.125</v>
      </c>
      <c r="C29" s="20">
        <v>-80.04919</v>
      </c>
      <c r="D29" s="4">
        <v>-81.02576</v>
      </c>
      <c r="E29" s="4">
        <v>103.125</v>
      </c>
      <c r="F29" s="4">
        <v>0.09686054</v>
      </c>
      <c r="G29" s="4">
        <v>8.776093E-05</v>
      </c>
      <c r="H29" s="4"/>
      <c r="I29" s="4"/>
      <c r="J29" s="4"/>
      <c r="K29" s="4"/>
      <c r="L29" s="5"/>
      <c r="M29" s="20">
        <v>77.78501</v>
      </c>
      <c r="N29" s="4">
        <v>47.39583</v>
      </c>
      <c r="O29" s="4">
        <v>39.5</v>
      </c>
      <c r="P29" s="4">
        <v>22</v>
      </c>
      <c r="Q29" s="4">
        <v>3.43533</v>
      </c>
      <c r="R29" s="4">
        <v>19.10084</v>
      </c>
      <c r="S29" s="21">
        <v>93.99957</v>
      </c>
      <c r="T29" s="21">
        <v>15</v>
      </c>
      <c r="U29" s="21">
        <v>0</v>
      </c>
      <c r="V29" s="21">
        <v>28.60243</v>
      </c>
      <c r="W29" s="21">
        <v>43.80426</v>
      </c>
      <c r="X29" s="21">
        <v>26.5</v>
      </c>
      <c r="Y29" s="21">
        <v>69.8868</v>
      </c>
      <c r="Z29" s="21">
        <v>14.2126</v>
      </c>
      <c r="AA29" s="21">
        <v>18.53841</v>
      </c>
      <c r="AB29" s="21"/>
      <c r="AC29" s="8"/>
      <c r="AD29" s="8">
        <v>1.54834</v>
      </c>
      <c r="AE29" s="8">
        <v>0.001540039</v>
      </c>
      <c r="AF29" s="8">
        <v>22.59114</v>
      </c>
      <c r="AG29" s="8">
        <v>13.48741</v>
      </c>
      <c r="AH29" s="8"/>
      <c r="AI29" s="22"/>
      <c r="AJ29" s="22"/>
      <c r="AK29" s="22"/>
      <c r="AL29" s="22"/>
      <c r="AM29" s="22"/>
      <c r="AN29" s="8">
        <v>46.69415</v>
      </c>
      <c r="AO29" s="9">
        <v>50</v>
      </c>
      <c r="AP29" s="10">
        <v>25.07415</v>
      </c>
      <c r="AQ29" s="11">
        <v>39.79311</v>
      </c>
      <c r="AR29" s="12">
        <v>0.09766388</v>
      </c>
    </row>
    <row r="30" spans="2:44" ht="13.5" customHeight="1" x14ac:dyDescent="0.25">
      <c r="B30" s="121">
        <v>0.16666666666666666</v>
      </c>
      <c r="C30" s="20">
        <v>-80.02749</v>
      </c>
      <c r="D30" s="4">
        <v>-80.98235</v>
      </c>
      <c r="E30" s="4">
        <v>103.125</v>
      </c>
      <c r="F30" s="4">
        <v>0.08463541</v>
      </c>
      <c r="G30" s="4">
        <v>9.586716E-05</v>
      </c>
      <c r="H30" s="4"/>
      <c r="I30" s="4"/>
      <c r="J30" s="4"/>
      <c r="K30" s="4"/>
      <c r="L30" s="5"/>
      <c r="M30" s="20">
        <v>77.8899</v>
      </c>
      <c r="N30" s="4">
        <v>47.19329</v>
      </c>
      <c r="O30" s="4">
        <v>39.5</v>
      </c>
      <c r="P30" s="4">
        <v>22</v>
      </c>
      <c r="Q30" s="4">
        <v>3.463976</v>
      </c>
      <c r="R30" s="4">
        <v>19.27083</v>
      </c>
      <c r="S30" s="21">
        <v>91.78603</v>
      </c>
      <c r="T30" s="21">
        <v>15</v>
      </c>
      <c r="U30" s="21">
        <v>0</v>
      </c>
      <c r="V30" s="21">
        <v>29.6875</v>
      </c>
      <c r="W30" s="21">
        <v>46.12088</v>
      </c>
      <c r="X30" s="21">
        <v>26.5</v>
      </c>
      <c r="Y30" s="21">
        <v>70.98</v>
      </c>
      <c r="Z30" s="21">
        <v>14.14388</v>
      </c>
      <c r="AA30" s="21">
        <v>18.60352</v>
      </c>
      <c r="AB30" s="21"/>
      <c r="AC30" s="8"/>
      <c r="AD30" s="8">
        <v>1.548286</v>
      </c>
      <c r="AE30" s="8">
        <v>0.001431305</v>
      </c>
      <c r="AF30" s="8">
        <v>22.37775</v>
      </c>
      <c r="AG30" s="8">
        <v>11.39685</v>
      </c>
      <c r="AH30" s="8"/>
      <c r="AI30" s="22"/>
      <c r="AJ30" s="22"/>
      <c r="AK30" s="22"/>
      <c r="AL30" s="22"/>
      <c r="AM30" s="22"/>
      <c r="AN30" s="8">
        <v>50.44126</v>
      </c>
      <c r="AO30" s="9">
        <v>50</v>
      </c>
      <c r="AP30" s="10">
        <v>25.08319</v>
      </c>
      <c r="AQ30" s="11">
        <v>39.70992</v>
      </c>
      <c r="AR30" s="12">
        <v>0.07595825</v>
      </c>
    </row>
    <row r="31" spans="2:44" ht="13.5" customHeight="1" x14ac:dyDescent="0.25">
      <c r="B31" s="121">
        <v>0.20833333333333334</v>
      </c>
      <c r="C31" s="20">
        <v>-79.91175</v>
      </c>
      <c r="D31" s="4">
        <v>-80.88107</v>
      </c>
      <c r="E31" s="4">
        <v>103.1286</v>
      </c>
      <c r="F31" s="4">
        <v>0.09483507</v>
      </c>
      <c r="G31" s="4">
        <v>8.481598E-05</v>
      </c>
      <c r="H31" s="4"/>
      <c r="I31" s="4"/>
      <c r="J31" s="4"/>
      <c r="K31" s="4"/>
      <c r="L31" s="5"/>
      <c r="M31" s="20">
        <v>77.69459</v>
      </c>
      <c r="N31" s="4">
        <v>47.27286</v>
      </c>
      <c r="O31" s="4">
        <v>39.5</v>
      </c>
      <c r="P31" s="4">
        <v>22</v>
      </c>
      <c r="Q31" s="4">
        <v>3.06467</v>
      </c>
      <c r="R31" s="4">
        <v>19.27083</v>
      </c>
      <c r="S31" s="21">
        <v>90.79861</v>
      </c>
      <c r="T31" s="21">
        <v>15</v>
      </c>
      <c r="U31" s="21">
        <v>0</v>
      </c>
      <c r="V31" s="21">
        <v>32.49783</v>
      </c>
      <c r="W31" s="21">
        <v>45.97982</v>
      </c>
      <c r="X31" s="21">
        <v>26.5</v>
      </c>
      <c r="Y31" s="21">
        <v>70.59878</v>
      </c>
      <c r="Z31" s="21">
        <v>14.02271</v>
      </c>
      <c r="AA31" s="21">
        <v>18.70117</v>
      </c>
      <c r="AB31" s="21"/>
      <c r="AC31" s="8"/>
      <c r="AD31" s="8">
        <v>0</v>
      </c>
      <c r="AE31" s="8">
        <v>0.001498779</v>
      </c>
      <c r="AF31" s="8">
        <v>21.97627</v>
      </c>
      <c r="AG31" s="8">
        <v>49.19343</v>
      </c>
      <c r="AH31" s="8"/>
      <c r="AI31" s="22"/>
      <c r="AJ31" s="22"/>
      <c r="AK31" s="22"/>
      <c r="AL31" s="22"/>
      <c r="AM31" s="22"/>
      <c r="AN31" s="8">
        <v>50.32552</v>
      </c>
      <c r="AO31" s="9">
        <v>50</v>
      </c>
      <c r="AP31" s="10">
        <v>24.51353</v>
      </c>
      <c r="AQ31" s="11">
        <v>39.56525</v>
      </c>
      <c r="AR31" s="12">
        <v>0.08680725</v>
      </c>
    </row>
    <row r="32" spans="2:44" ht="13.5" customHeight="1" x14ac:dyDescent="0.25">
      <c r="B32" s="121">
        <v>0.25</v>
      </c>
      <c r="C32" s="20">
        <v>-80.1794</v>
      </c>
      <c r="D32" s="4">
        <v>-81.13426</v>
      </c>
      <c r="E32" s="4">
        <v>103.125</v>
      </c>
      <c r="F32" s="4">
        <v>0.08355035</v>
      </c>
      <c r="G32" s="4">
        <v>9.08699E-05</v>
      </c>
      <c r="H32" s="4"/>
      <c r="I32" s="4"/>
      <c r="J32" s="4"/>
      <c r="K32" s="4"/>
      <c r="L32" s="5"/>
      <c r="M32" s="20">
        <v>77.67651</v>
      </c>
      <c r="N32" s="4">
        <v>47.19329</v>
      </c>
      <c r="O32" s="4">
        <v>39.5</v>
      </c>
      <c r="P32" s="4">
        <v>22</v>
      </c>
      <c r="Q32" s="4">
        <v>3.487847</v>
      </c>
      <c r="R32" s="4">
        <v>19.41189</v>
      </c>
      <c r="S32" s="21">
        <v>91.53284</v>
      </c>
      <c r="T32" s="21">
        <v>15</v>
      </c>
      <c r="U32" s="21">
        <v>0</v>
      </c>
      <c r="V32" s="21">
        <v>32.44358</v>
      </c>
      <c r="W32" s="21">
        <v>44.59636</v>
      </c>
      <c r="X32" s="21">
        <v>27</v>
      </c>
      <c r="Y32" s="21">
        <v>71.81532</v>
      </c>
      <c r="Z32" s="21">
        <v>14.04622</v>
      </c>
      <c r="AA32" s="21">
        <v>18.91819</v>
      </c>
      <c r="AB32" s="21"/>
      <c r="AC32" s="8"/>
      <c r="AD32" s="8">
        <v>1.548286</v>
      </c>
      <c r="AE32" s="8">
        <v>0.001282867</v>
      </c>
      <c r="AF32" s="8">
        <v>22.92752</v>
      </c>
      <c r="AG32" s="8">
        <v>14.33377</v>
      </c>
      <c r="AH32" s="8"/>
      <c r="AI32" s="22"/>
      <c r="AJ32" s="22"/>
      <c r="AK32" s="22"/>
      <c r="AL32" s="22"/>
      <c r="AM32" s="22"/>
      <c r="AN32" s="8">
        <v>47.71412</v>
      </c>
      <c r="AO32" s="9">
        <v>50</v>
      </c>
      <c r="AP32" s="10">
        <v>23.78111</v>
      </c>
      <c r="AQ32" s="11">
        <v>39.341</v>
      </c>
      <c r="AR32" s="12">
        <v>0.07595825</v>
      </c>
    </row>
    <row r="33" spans="2:44" ht="13.5" customHeight="1" x14ac:dyDescent="0.25">
      <c r="B33" s="121">
        <v>0.29166666666666669</v>
      </c>
      <c r="C33" s="20">
        <v>-79.7309</v>
      </c>
      <c r="D33" s="4">
        <v>-80.83044</v>
      </c>
      <c r="E33" s="4">
        <v>103.125</v>
      </c>
      <c r="F33" s="4">
        <v>0.09903067</v>
      </c>
      <c r="G33" s="4">
        <v>9.379768E-05</v>
      </c>
      <c r="H33" s="4"/>
      <c r="I33" s="4"/>
      <c r="J33" s="4"/>
      <c r="K33" s="4"/>
      <c r="L33" s="5"/>
      <c r="M33" s="20">
        <v>78.22627</v>
      </c>
      <c r="N33" s="4">
        <v>47.50434</v>
      </c>
      <c r="O33" s="4">
        <v>39.5</v>
      </c>
      <c r="P33" s="4">
        <v>22</v>
      </c>
      <c r="Q33" s="4">
        <v>3.326389</v>
      </c>
      <c r="R33" s="4">
        <v>19.42274</v>
      </c>
      <c r="S33" s="21">
        <v>93.88744</v>
      </c>
      <c r="T33" s="21">
        <v>15</v>
      </c>
      <c r="U33" s="21">
        <v>0</v>
      </c>
      <c r="V33" s="21">
        <v>31.25</v>
      </c>
      <c r="W33" s="21">
        <v>43.14236</v>
      </c>
      <c r="X33" s="21">
        <v>27</v>
      </c>
      <c r="Y33" s="21">
        <v>71.2547</v>
      </c>
      <c r="Z33" s="21">
        <v>13.83102</v>
      </c>
      <c r="AA33" s="21">
        <v>18.79883</v>
      </c>
      <c r="AB33" s="21"/>
      <c r="AC33" s="8"/>
      <c r="AD33" s="8">
        <v>1.548286</v>
      </c>
      <c r="AE33" s="8">
        <v>0.001537689</v>
      </c>
      <c r="AF33" s="8">
        <v>21.86053</v>
      </c>
      <c r="AG33" s="8">
        <v>12.37341</v>
      </c>
      <c r="AH33" s="8"/>
      <c r="AI33" s="22"/>
      <c r="AJ33" s="22"/>
      <c r="AK33" s="22"/>
      <c r="AL33" s="22"/>
      <c r="AM33" s="22"/>
      <c r="AN33" s="8">
        <v>45.29803</v>
      </c>
      <c r="AO33" s="9">
        <v>50</v>
      </c>
      <c r="AP33" s="10">
        <v>23.5008</v>
      </c>
      <c r="AQ33" s="11">
        <v>39.40972</v>
      </c>
      <c r="AR33" s="12">
        <v>0.08680725</v>
      </c>
    </row>
    <row r="34" spans="2:44" ht="13.5" customHeight="1" x14ac:dyDescent="0.25">
      <c r="B34" s="121">
        <v>0.33333333333333331</v>
      </c>
      <c r="C34" s="100">
        <v>-79.74537</v>
      </c>
      <c r="D34" s="98">
        <v>-80.79427</v>
      </c>
      <c r="E34" s="98">
        <v>103.125</v>
      </c>
      <c r="F34" s="98">
        <v>0.08369502</v>
      </c>
      <c r="G34" s="98">
        <v>9.431649E-05</v>
      </c>
      <c r="H34" s="98"/>
      <c r="I34" s="98"/>
      <c r="J34" s="98"/>
      <c r="K34" s="98"/>
      <c r="L34" s="99"/>
      <c r="M34" s="100">
        <v>78.41797</v>
      </c>
      <c r="N34" s="98">
        <v>47.22222</v>
      </c>
      <c r="O34" s="98">
        <v>39.5</v>
      </c>
      <c r="P34" s="98">
        <v>22</v>
      </c>
      <c r="Q34" s="98">
        <v>3.447917</v>
      </c>
      <c r="R34" s="98">
        <v>18.79702</v>
      </c>
      <c r="S34" s="101">
        <v>91.38093</v>
      </c>
      <c r="T34" s="101">
        <v>15</v>
      </c>
      <c r="U34" s="101">
        <v>0</v>
      </c>
      <c r="V34" s="101">
        <v>66.60699</v>
      </c>
      <c r="W34" s="101">
        <v>103.89</v>
      </c>
      <c r="X34" s="101">
        <v>27</v>
      </c>
      <c r="Y34" s="101">
        <v>71.58546</v>
      </c>
      <c r="Z34" s="101">
        <v>13.54709</v>
      </c>
      <c r="AA34" s="101">
        <v>17.9796</v>
      </c>
      <c r="AB34" s="101"/>
      <c r="AC34" s="102"/>
      <c r="AD34" s="102">
        <v>0</v>
      </c>
      <c r="AE34" s="102">
        <v>0.0004503174</v>
      </c>
      <c r="AF34" s="102">
        <v>22.6454</v>
      </c>
      <c r="AG34" s="102">
        <v>15.53458</v>
      </c>
      <c r="AH34" s="102"/>
      <c r="AI34" s="103"/>
      <c r="AJ34" s="103"/>
      <c r="AK34" s="103"/>
      <c r="AL34" s="103"/>
      <c r="AM34" s="103"/>
      <c r="AN34" s="102">
        <v>44.39381</v>
      </c>
      <c r="AO34" s="104">
        <v>50</v>
      </c>
      <c r="AP34" s="105">
        <v>23.6726</v>
      </c>
      <c r="AQ34" s="106">
        <v>39.71354</v>
      </c>
      <c r="AR34" s="19">
        <v>0.08680725</v>
      </c>
    </row>
    <row r="35" spans="2:44" ht="15" customHeight="1" x14ac:dyDescent="0.25">
      <c r="B35" s="143" t="s">
        <v>175</v>
      </c>
      <c r="C35" s="123" t="s">
        <v>35</v>
      </c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5" t="s">
        <v>210</v>
      </c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9" t="s">
        <v>43</v>
      </c>
      <c r="AL35" s="129"/>
      <c r="AM35" s="126" t="s">
        <v>217</v>
      </c>
      <c r="AN35" s="126"/>
      <c r="AO35" s="93"/>
      <c r="AP35" s="93"/>
      <c r="AQ35" s="93"/>
      <c r="AR35" s="122"/>
    </row>
    <row r="36" spans="2:44" ht="20.15" customHeight="1" x14ac:dyDescent="0.25">
      <c r="B36" s="136"/>
      <c r="C36" s="165" t="s">
        <v>30</v>
      </c>
      <c r="D36" s="130"/>
      <c r="E36" s="128" t="s">
        <v>31</v>
      </c>
      <c r="F36" s="130"/>
      <c r="G36" s="130"/>
      <c r="H36" s="127" t="s">
        <v>265</v>
      </c>
      <c r="I36" s="127"/>
      <c r="J36" s="86" t="s">
        <v>25</v>
      </c>
      <c r="K36" s="86" t="s">
        <v>28</v>
      </c>
      <c r="L36" s="86" t="s">
        <v>185</v>
      </c>
      <c r="M36" s="124" t="s">
        <v>186</v>
      </c>
      <c r="N36" s="124"/>
      <c r="O36" s="86" t="s">
        <v>24</v>
      </c>
      <c r="P36" s="86" t="s">
        <v>191</v>
      </c>
      <c r="Q36" s="128" t="s">
        <v>193</v>
      </c>
      <c r="R36" s="128"/>
      <c r="S36" s="128" t="s">
        <v>196</v>
      </c>
      <c r="T36" s="128"/>
      <c r="U36" s="128" t="s">
        <v>195</v>
      </c>
      <c r="V36" s="128"/>
      <c r="W36" s="87" t="s">
        <v>15</v>
      </c>
      <c r="X36" s="86" t="s">
        <v>12</v>
      </c>
      <c r="Y36" s="88" t="s">
        <v>198</v>
      </c>
      <c r="Z36" s="88" t="s">
        <v>199</v>
      </c>
      <c r="AA36" s="88" t="s">
        <v>200</v>
      </c>
      <c r="AB36" s="89" t="s">
        <v>201</v>
      </c>
      <c r="AC36" s="88" t="s">
        <v>202</v>
      </c>
      <c r="AD36" s="88" t="s">
        <v>204</v>
      </c>
      <c r="AE36" s="88" t="s">
        <v>205</v>
      </c>
      <c r="AF36" s="89" t="s">
        <v>206</v>
      </c>
      <c r="AG36" s="71" t="s">
        <v>207</v>
      </c>
      <c r="AH36" s="129" t="s">
        <v>41</v>
      </c>
      <c r="AI36" s="129"/>
      <c r="AJ36" s="129"/>
      <c r="AK36" s="71" t="s">
        <v>15</v>
      </c>
      <c r="AL36" s="71" t="s">
        <v>12</v>
      </c>
      <c r="AM36" s="75" t="s">
        <v>218</v>
      </c>
      <c r="AN36" s="75" t="s">
        <v>219</v>
      </c>
      <c r="AO36" s="71"/>
      <c r="AP36" s="71"/>
      <c r="AQ36" s="71"/>
      <c r="AR36" s="118"/>
    </row>
    <row r="37" spans="2:44" ht="22" customHeight="1" x14ac:dyDescent="0.25">
      <c r="B37" s="136"/>
      <c r="C37" s="96" t="s">
        <v>180</v>
      </c>
      <c r="D37" s="86" t="s">
        <v>181</v>
      </c>
      <c r="E37" s="86" t="s">
        <v>32</v>
      </c>
      <c r="F37" s="86" t="s">
        <v>182</v>
      </c>
      <c r="G37" s="86" t="s">
        <v>183</v>
      </c>
      <c r="H37" s="86" t="s">
        <v>266</v>
      </c>
      <c r="I37" s="86" t="s">
        <v>267</v>
      </c>
      <c r="J37" s="86" t="s">
        <v>23</v>
      </c>
      <c r="K37" s="86" t="s">
        <v>29</v>
      </c>
      <c r="L37" s="83" t="s">
        <v>27</v>
      </c>
      <c r="M37" s="89" t="s">
        <v>187</v>
      </c>
      <c r="N37" s="89" t="s">
        <v>188</v>
      </c>
      <c r="O37" s="83" t="s">
        <v>26</v>
      </c>
      <c r="P37" s="83" t="s">
        <v>364</v>
      </c>
      <c r="Q37" s="72" t="s">
        <v>2</v>
      </c>
      <c r="R37" s="72" t="s">
        <v>3</v>
      </c>
      <c r="S37" s="72" t="s">
        <v>2</v>
      </c>
      <c r="T37" s="72" t="s">
        <v>3</v>
      </c>
      <c r="U37" s="72" t="s">
        <v>2</v>
      </c>
      <c r="V37" s="72" t="s">
        <v>3</v>
      </c>
      <c r="W37" s="88" t="s">
        <v>36</v>
      </c>
      <c r="X37" s="89" t="s">
        <v>37</v>
      </c>
      <c r="Y37" s="88" t="s">
        <v>38</v>
      </c>
      <c r="Z37" s="86" t="s">
        <v>39</v>
      </c>
      <c r="AA37" s="87" t="s">
        <v>365</v>
      </c>
      <c r="AB37" s="88" t="s">
        <v>366</v>
      </c>
      <c r="AC37" s="88" t="s">
        <v>203</v>
      </c>
      <c r="AD37" s="86" t="s">
        <v>40</v>
      </c>
      <c r="AE37" s="87" t="s">
        <v>367</v>
      </c>
      <c r="AF37" s="88" t="s">
        <v>368</v>
      </c>
      <c r="AG37" s="71" t="s">
        <v>208</v>
      </c>
      <c r="AH37" s="71" t="s">
        <v>211</v>
      </c>
      <c r="AI37" s="71" t="s">
        <v>212</v>
      </c>
      <c r="AJ37" s="71" t="s">
        <v>213</v>
      </c>
      <c r="AK37" s="71" t="s">
        <v>215</v>
      </c>
      <c r="AL37" s="71" t="s">
        <v>216</v>
      </c>
      <c r="AM37" s="75" t="s">
        <v>4</v>
      </c>
      <c r="AN37" s="75" t="s">
        <v>4</v>
      </c>
      <c r="AO37" s="71"/>
      <c r="AP37" s="71"/>
      <c r="AQ37" s="71"/>
      <c r="AR37" s="118"/>
    </row>
    <row r="38" spans="2:44" ht="14.15" customHeight="1" x14ac:dyDescent="0.25">
      <c r="B38" s="136"/>
      <c r="C38" s="97" t="s">
        <v>176</v>
      </c>
      <c r="D38" s="74" t="s">
        <v>177</v>
      </c>
      <c r="E38" s="72" t="s">
        <v>179</v>
      </c>
      <c r="F38" s="94" t="s">
        <v>176</v>
      </c>
      <c r="G38" s="74" t="s">
        <v>177</v>
      </c>
      <c r="H38" s="94" t="s">
        <v>268</v>
      </c>
      <c r="I38" s="74" t="s">
        <v>177</v>
      </c>
      <c r="J38" s="72" t="s">
        <v>179</v>
      </c>
      <c r="K38" s="77" t="s">
        <v>184</v>
      </c>
      <c r="L38" s="72" t="s">
        <v>179</v>
      </c>
      <c r="M38" s="77" t="s">
        <v>279</v>
      </c>
      <c r="N38" s="77" t="s">
        <v>280</v>
      </c>
      <c r="O38" s="72" t="s">
        <v>179</v>
      </c>
      <c r="P38" s="77" t="s">
        <v>192</v>
      </c>
      <c r="Q38" s="72" t="s">
        <v>194</v>
      </c>
      <c r="R38" s="74" t="s">
        <v>177</v>
      </c>
      <c r="S38" s="72" t="s">
        <v>194</v>
      </c>
      <c r="T38" s="74" t="s">
        <v>177</v>
      </c>
      <c r="U38" s="72" t="s">
        <v>194</v>
      </c>
      <c r="V38" s="74" t="s">
        <v>177</v>
      </c>
      <c r="W38" s="95" t="s">
        <v>197</v>
      </c>
      <c r="X38" s="89" t="s">
        <v>178</v>
      </c>
      <c r="Y38" s="88" t="s">
        <v>184</v>
      </c>
      <c r="Z38" s="89" t="s">
        <v>189</v>
      </c>
      <c r="AA38" s="89" t="s">
        <v>178</v>
      </c>
      <c r="AB38" s="89" t="s">
        <v>178</v>
      </c>
      <c r="AC38" s="88" t="s">
        <v>184</v>
      </c>
      <c r="AD38" s="89" t="s">
        <v>189</v>
      </c>
      <c r="AE38" s="89" t="s">
        <v>178</v>
      </c>
      <c r="AF38" s="89" t="s">
        <v>178</v>
      </c>
      <c r="AG38" s="71" t="s">
        <v>209</v>
      </c>
      <c r="AH38" s="95" t="s">
        <v>197</v>
      </c>
      <c r="AI38" s="89" t="s">
        <v>189</v>
      </c>
      <c r="AJ38" s="89" t="s">
        <v>190</v>
      </c>
      <c r="AK38" s="71" t="s">
        <v>197</v>
      </c>
      <c r="AL38" s="71" t="s">
        <v>214</v>
      </c>
      <c r="AM38" s="75" t="s">
        <v>197</v>
      </c>
      <c r="AN38" s="75" t="s">
        <v>197</v>
      </c>
      <c r="AO38" s="71"/>
      <c r="AP38" s="71"/>
      <c r="AQ38" s="71"/>
      <c r="AR38" s="118"/>
    </row>
    <row r="39" spans="2:44" ht="13.5" customHeight="1" x14ac:dyDescent="0.25">
      <c r="B39" s="120" t="s">
        <v>44</v>
      </c>
      <c r="C39" s="116">
        <v>0</v>
      </c>
      <c r="D39" s="107"/>
      <c r="E39" s="107">
        <v>38.37529</v>
      </c>
      <c r="F39" s="107"/>
      <c r="G39" s="107"/>
      <c r="H39" s="107">
        <v>0</v>
      </c>
      <c r="I39" s="107"/>
      <c r="J39" s="107">
        <v>26.59324</v>
      </c>
      <c r="K39" s="107">
        <v>40</v>
      </c>
      <c r="L39" s="107">
        <v>49.85894</v>
      </c>
      <c r="M39" s="107">
        <v>0</v>
      </c>
      <c r="N39" s="107"/>
      <c r="O39" s="107">
        <v>29.53197</v>
      </c>
      <c r="P39" s="107">
        <v>0.05</v>
      </c>
      <c r="Q39" s="107">
        <v>0.2212818</v>
      </c>
      <c r="R39" s="107"/>
      <c r="S39" s="107">
        <v>0</v>
      </c>
      <c r="T39" s="107"/>
      <c r="U39" s="108">
        <v>0</v>
      </c>
      <c r="V39" s="109"/>
      <c r="W39" s="110">
        <v>97.70327</v>
      </c>
      <c r="X39" s="108">
        <v>19.12254</v>
      </c>
      <c r="Y39" s="108">
        <v>50</v>
      </c>
      <c r="Z39" s="108">
        <v>123.8759</v>
      </c>
      <c r="AA39" s="108">
        <v>18.278</v>
      </c>
      <c r="AB39" s="108">
        <v>42.08442</v>
      </c>
      <c r="AC39" s="108">
        <v>50</v>
      </c>
      <c r="AD39" s="108">
        <v>0</v>
      </c>
      <c r="AE39" s="111">
        <v>14.30483</v>
      </c>
      <c r="AF39" s="111">
        <v>16.83485</v>
      </c>
      <c r="AG39" s="111"/>
      <c r="AH39" s="111">
        <v>0</v>
      </c>
      <c r="AI39" s="111">
        <v>0</v>
      </c>
      <c r="AJ39" s="111"/>
      <c r="AK39" s="111">
        <v>91.08796</v>
      </c>
      <c r="AL39" s="112">
        <v>35.67998</v>
      </c>
      <c r="AM39" s="113"/>
      <c r="AN39" s="114"/>
      <c r="AO39" s="111"/>
      <c r="AP39" s="111"/>
      <c r="AQ39" s="111"/>
      <c r="AR39" s="115"/>
    </row>
    <row r="40" spans="2:44" ht="13.5" customHeight="1" x14ac:dyDescent="0.25">
      <c r="B40" s="121">
        <v>0.875</v>
      </c>
      <c r="C40" s="20">
        <v>0</v>
      </c>
      <c r="D40" s="4">
        <v>9.226799E-08</v>
      </c>
      <c r="E40" s="4">
        <v>47.19329</v>
      </c>
      <c r="F40" s="4"/>
      <c r="G40" s="4"/>
      <c r="H40" s="4">
        <v>0</v>
      </c>
      <c r="I40" s="4">
        <v>0</v>
      </c>
      <c r="J40" s="4">
        <v>26.69271</v>
      </c>
      <c r="K40" s="4">
        <v>40</v>
      </c>
      <c r="L40" s="4">
        <v>50.4286</v>
      </c>
      <c r="M40" s="4">
        <v>0</v>
      </c>
      <c r="N40" s="4">
        <v>0</v>
      </c>
      <c r="O40" s="4">
        <v>29.40538</v>
      </c>
      <c r="P40" s="4">
        <v>0.05</v>
      </c>
      <c r="Q40" s="4">
        <v>0.2220052</v>
      </c>
      <c r="R40" s="4">
        <v>0.0002121201</v>
      </c>
      <c r="S40" s="4">
        <v>0</v>
      </c>
      <c r="T40" s="4">
        <v>0</v>
      </c>
      <c r="U40" s="21">
        <v>0</v>
      </c>
      <c r="V40" s="29">
        <v>0</v>
      </c>
      <c r="W40" s="30">
        <v>93.88383</v>
      </c>
      <c r="X40" s="21">
        <v>19.01042</v>
      </c>
      <c r="Y40" s="21">
        <v>40</v>
      </c>
      <c r="Z40" s="21">
        <v>102.513</v>
      </c>
      <c r="AA40" s="21">
        <v>18.31597</v>
      </c>
      <c r="AB40" s="21">
        <v>40.78776</v>
      </c>
      <c r="AC40" s="21">
        <v>40</v>
      </c>
      <c r="AD40" s="21">
        <v>105.4731</v>
      </c>
      <c r="AE40" s="8">
        <v>14.61588</v>
      </c>
      <c r="AF40" s="8">
        <v>17.83854</v>
      </c>
      <c r="AG40" s="8"/>
      <c r="AH40" s="8">
        <v>0</v>
      </c>
      <c r="AI40" s="8">
        <v>0</v>
      </c>
      <c r="AJ40" s="8">
        <v>0</v>
      </c>
      <c r="AK40" s="8">
        <v>91.08434</v>
      </c>
      <c r="AL40" s="9">
        <v>35.61343</v>
      </c>
      <c r="AM40" s="31"/>
      <c r="AN40" s="22"/>
      <c r="AO40" s="8"/>
      <c r="AP40" s="8"/>
      <c r="AQ40" s="8"/>
      <c r="AR40" s="12"/>
    </row>
    <row r="41" spans="2:44" ht="13.5" customHeight="1" x14ac:dyDescent="0.25">
      <c r="B41" s="120" t="s">
        <v>261</v>
      </c>
      <c r="C41" s="20">
        <v>0</v>
      </c>
      <c r="D41" s="4">
        <v>1.254082E-07</v>
      </c>
      <c r="E41" s="4">
        <v>57.08189</v>
      </c>
      <c r="F41" s="4"/>
      <c r="G41" s="4"/>
      <c r="H41" s="4">
        <v>0</v>
      </c>
      <c r="I41" s="4">
        <v>0</v>
      </c>
      <c r="J41" s="4">
        <v>26.76505</v>
      </c>
      <c r="K41" s="4">
        <v>40</v>
      </c>
      <c r="L41" s="4">
        <v>49.91319</v>
      </c>
      <c r="M41" s="4">
        <v>0</v>
      </c>
      <c r="N41" s="4">
        <v>0</v>
      </c>
      <c r="O41" s="4">
        <v>29.07082</v>
      </c>
      <c r="P41" s="4">
        <v>0.05</v>
      </c>
      <c r="Q41" s="4">
        <v>0.1643519</v>
      </c>
      <c r="R41" s="4">
        <v>0.0002118072</v>
      </c>
      <c r="S41" s="4">
        <v>0</v>
      </c>
      <c r="T41" s="4">
        <v>0</v>
      </c>
      <c r="U41" s="21">
        <v>0</v>
      </c>
      <c r="V41" s="29">
        <v>0</v>
      </c>
      <c r="W41" s="30">
        <v>96.15524</v>
      </c>
      <c r="X41" s="21">
        <v>18.1713</v>
      </c>
      <c r="Y41" s="21">
        <v>40</v>
      </c>
      <c r="Z41" s="21">
        <v>102.3047</v>
      </c>
      <c r="AA41" s="21">
        <v>19.07552</v>
      </c>
      <c r="AB41" s="21">
        <v>39.68099</v>
      </c>
      <c r="AC41" s="21">
        <v>40</v>
      </c>
      <c r="AD41" s="21">
        <v>103.98</v>
      </c>
      <c r="AE41" s="8">
        <v>14.80758</v>
      </c>
      <c r="AF41" s="8">
        <v>18.03386</v>
      </c>
      <c r="AG41" s="8"/>
      <c r="AH41" s="8">
        <v>0</v>
      </c>
      <c r="AI41" s="8">
        <v>0</v>
      </c>
      <c r="AJ41" s="8">
        <v>0</v>
      </c>
      <c r="AK41" s="8">
        <v>91.06988</v>
      </c>
      <c r="AL41" s="9">
        <v>35.67419</v>
      </c>
      <c r="AM41" s="31"/>
      <c r="AN41" s="22"/>
      <c r="AO41" s="8"/>
      <c r="AP41" s="8"/>
      <c r="AQ41" s="8"/>
      <c r="AR41" s="12"/>
    </row>
    <row r="42" spans="2:44" ht="13.5" customHeight="1" x14ac:dyDescent="0.25">
      <c r="B42" s="121">
        <v>0.95833333333333337</v>
      </c>
      <c r="C42" s="20">
        <v>0</v>
      </c>
      <c r="D42" s="4">
        <v>2.213716E-06</v>
      </c>
      <c r="E42" s="4">
        <v>54.01476</v>
      </c>
      <c r="F42" s="4"/>
      <c r="G42" s="4"/>
      <c r="H42" s="4">
        <v>0</v>
      </c>
      <c r="I42" s="4">
        <v>0</v>
      </c>
      <c r="J42" s="4">
        <v>26.62941</v>
      </c>
      <c r="K42" s="4">
        <v>40</v>
      </c>
      <c r="L42" s="4">
        <v>48.96376</v>
      </c>
      <c r="M42" s="4">
        <v>0</v>
      </c>
      <c r="N42" s="4">
        <v>0</v>
      </c>
      <c r="O42" s="4">
        <v>28.3384</v>
      </c>
      <c r="P42" s="4">
        <v>0.05</v>
      </c>
      <c r="Q42" s="4">
        <v>0.2123119</v>
      </c>
      <c r="R42" s="4">
        <v>0.0002136497</v>
      </c>
      <c r="S42" s="4">
        <v>0</v>
      </c>
      <c r="T42" s="4">
        <v>0</v>
      </c>
      <c r="U42" s="21">
        <v>0</v>
      </c>
      <c r="V42" s="29">
        <v>0</v>
      </c>
      <c r="W42" s="30">
        <v>94.08637</v>
      </c>
      <c r="X42" s="21">
        <v>17.01027</v>
      </c>
      <c r="Y42" s="21">
        <v>35</v>
      </c>
      <c r="Z42" s="21">
        <v>88.94965</v>
      </c>
      <c r="AA42" s="21">
        <v>19.62348</v>
      </c>
      <c r="AB42" s="21">
        <v>39.01367</v>
      </c>
      <c r="AC42" s="21">
        <v>35</v>
      </c>
      <c r="AD42" s="21">
        <v>84.30122</v>
      </c>
      <c r="AE42" s="8">
        <v>14.73705</v>
      </c>
      <c r="AF42" s="8">
        <v>18.01758</v>
      </c>
      <c r="AG42" s="8"/>
      <c r="AH42" s="8">
        <v>0</v>
      </c>
      <c r="AI42" s="8">
        <v>0</v>
      </c>
      <c r="AJ42" s="8">
        <v>0</v>
      </c>
      <c r="AK42" s="8">
        <v>91.01201</v>
      </c>
      <c r="AL42" s="9">
        <v>35.6713</v>
      </c>
      <c r="AM42" s="31"/>
      <c r="AN42" s="22"/>
      <c r="AO42" s="8"/>
      <c r="AP42" s="8"/>
      <c r="AQ42" s="8"/>
      <c r="AR42" s="12"/>
    </row>
    <row r="43" spans="2:44" ht="13.5" customHeight="1" x14ac:dyDescent="0.25">
      <c r="B43" s="120" t="s">
        <v>262</v>
      </c>
      <c r="C43" s="20">
        <v>0</v>
      </c>
      <c r="D43" s="4">
        <v>1.111269E-06</v>
      </c>
      <c r="E43" s="4">
        <v>62.24681</v>
      </c>
      <c r="F43" s="4"/>
      <c r="G43" s="4"/>
      <c r="H43" s="4">
        <v>0</v>
      </c>
      <c r="I43" s="4">
        <v>0</v>
      </c>
      <c r="J43" s="4">
        <v>26.5842</v>
      </c>
      <c r="K43" s="4">
        <v>40</v>
      </c>
      <c r="L43" s="4">
        <v>48.96376</v>
      </c>
      <c r="M43" s="4">
        <v>0</v>
      </c>
      <c r="N43" s="4">
        <v>0</v>
      </c>
      <c r="O43" s="4">
        <v>28.22085</v>
      </c>
      <c r="P43" s="4">
        <v>0.05</v>
      </c>
      <c r="Q43" s="4">
        <v>0.2137587</v>
      </c>
      <c r="R43" s="4">
        <v>0.000212429</v>
      </c>
      <c r="S43" s="4">
        <v>0</v>
      </c>
      <c r="T43" s="4">
        <v>0</v>
      </c>
      <c r="U43" s="21">
        <v>0</v>
      </c>
      <c r="V43" s="29">
        <v>0</v>
      </c>
      <c r="W43" s="30">
        <v>99.97468</v>
      </c>
      <c r="X43" s="21">
        <v>16.45327</v>
      </c>
      <c r="Y43" s="21">
        <v>30</v>
      </c>
      <c r="Z43" s="21">
        <v>75.43403</v>
      </c>
      <c r="AA43" s="21">
        <v>27.44141</v>
      </c>
      <c r="AB43" s="21">
        <v>44.91103</v>
      </c>
      <c r="AC43" s="21">
        <v>30</v>
      </c>
      <c r="AD43" s="21">
        <v>80.40799</v>
      </c>
      <c r="AE43" s="8">
        <v>14.73524</v>
      </c>
      <c r="AF43" s="8">
        <v>18.28342</v>
      </c>
      <c r="AG43" s="8"/>
      <c r="AH43" s="8">
        <v>0</v>
      </c>
      <c r="AI43" s="8">
        <v>0</v>
      </c>
      <c r="AJ43" s="8">
        <v>0</v>
      </c>
      <c r="AK43" s="8">
        <v>91.00116</v>
      </c>
      <c r="AL43" s="9">
        <v>35.64815</v>
      </c>
      <c r="AM43" s="31"/>
      <c r="AN43" s="22"/>
      <c r="AO43" s="8"/>
      <c r="AP43" s="8"/>
      <c r="AQ43" s="8"/>
      <c r="AR43" s="12"/>
    </row>
    <row r="44" spans="2:44" ht="13.5" customHeight="1" x14ac:dyDescent="0.25">
      <c r="B44" s="121">
        <v>4.1666666666666664E-2</v>
      </c>
      <c r="C44" s="20">
        <v>0</v>
      </c>
      <c r="D44" s="4">
        <v>4.113198E-06</v>
      </c>
      <c r="E44" s="4">
        <v>50.44849</v>
      </c>
      <c r="F44" s="4"/>
      <c r="G44" s="4"/>
      <c r="H44" s="4">
        <v>0</v>
      </c>
      <c r="I44" s="4">
        <v>0</v>
      </c>
      <c r="J44" s="4">
        <v>26.36719</v>
      </c>
      <c r="K44" s="4">
        <v>40</v>
      </c>
      <c r="L44" s="4">
        <v>48.84621</v>
      </c>
      <c r="M44" s="4">
        <v>0</v>
      </c>
      <c r="N44" s="4">
        <v>0</v>
      </c>
      <c r="O44" s="4">
        <v>27.89533</v>
      </c>
      <c r="P44" s="4">
        <v>0.05</v>
      </c>
      <c r="Q44" s="4">
        <v>0.2487703</v>
      </c>
      <c r="R44" s="4">
        <v>0.0002109566</v>
      </c>
      <c r="S44" s="4">
        <v>0</v>
      </c>
      <c r="T44" s="4">
        <v>0</v>
      </c>
      <c r="U44" s="21">
        <v>0</v>
      </c>
      <c r="V44" s="29">
        <v>0</v>
      </c>
      <c r="W44" s="30">
        <v>94.69401</v>
      </c>
      <c r="X44" s="21">
        <v>17.00665</v>
      </c>
      <c r="Y44" s="21">
        <v>30</v>
      </c>
      <c r="Z44" s="21">
        <v>75.54254</v>
      </c>
      <c r="AA44" s="21">
        <v>29.42708</v>
      </c>
      <c r="AB44" s="21">
        <v>45.70855</v>
      </c>
      <c r="AC44" s="21">
        <v>30</v>
      </c>
      <c r="AD44" s="21">
        <v>79.76129</v>
      </c>
      <c r="AE44" s="8">
        <v>14.65025</v>
      </c>
      <c r="AF44" s="8">
        <v>18.38108</v>
      </c>
      <c r="AG44" s="8"/>
      <c r="AH44" s="8">
        <v>0</v>
      </c>
      <c r="AI44" s="8">
        <v>0</v>
      </c>
      <c r="AJ44" s="8">
        <v>0</v>
      </c>
      <c r="AK44" s="8">
        <v>90.96499</v>
      </c>
      <c r="AL44" s="9">
        <v>35.64815</v>
      </c>
      <c r="AM44" s="31"/>
      <c r="AN44" s="22"/>
      <c r="AO44" s="8"/>
      <c r="AP44" s="8"/>
      <c r="AQ44" s="8"/>
      <c r="AR44" s="12"/>
    </row>
    <row r="45" spans="2:44" ht="13.5" customHeight="1" x14ac:dyDescent="0.25">
      <c r="B45" s="120" t="s">
        <v>263</v>
      </c>
      <c r="C45" s="20">
        <v>0</v>
      </c>
      <c r="D45" s="4">
        <v>3.284693E-06</v>
      </c>
      <c r="E45" s="4">
        <v>52.60416</v>
      </c>
      <c r="F45" s="4"/>
      <c r="G45" s="4"/>
      <c r="H45" s="4">
        <v>0</v>
      </c>
      <c r="I45" s="4">
        <v>0</v>
      </c>
      <c r="J45" s="4">
        <v>26.12305</v>
      </c>
      <c r="K45" s="4">
        <v>40</v>
      </c>
      <c r="L45" s="4">
        <v>48.06858</v>
      </c>
      <c r="M45" s="4">
        <v>0</v>
      </c>
      <c r="N45" s="4">
        <v>0</v>
      </c>
      <c r="O45" s="4">
        <v>27.43417</v>
      </c>
      <c r="P45" s="4">
        <v>0.05</v>
      </c>
      <c r="Q45" s="4">
        <v>0.2101418</v>
      </c>
      <c r="R45" s="4">
        <v>0.0002108688</v>
      </c>
      <c r="S45" s="4">
        <v>0</v>
      </c>
      <c r="T45" s="4">
        <v>0</v>
      </c>
      <c r="U45" s="21">
        <v>0</v>
      </c>
      <c r="V45" s="29">
        <v>0</v>
      </c>
      <c r="W45" s="30">
        <v>94.50231</v>
      </c>
      <c r="X45" s="21">
        <v>17.39728</v>
      </c>
      <c r="Y45" s="21">
        <v>30</v>
      </c>
      <c r="Z45" s="21">
        <v>75.79427</v>
      </c>
      <c r="AA45" s="21">
        <v>29.24262</v>
      </c>
      <c r="AB45" s="21">
        <v>45.03581</v>
      </c>
      <c r="AC45" s="21">
        <v>30</v>
      </c>
      <c r="AD45" s="21">
        <v>86.23698</v>
      </c>
      <c r="AE45" s="8">
        <v>14.17824</v>
      </c>
      <c r="AF45" s="8">
        <v>18.29427</v>
      </c>
      <c r="AG45" s="8"/>
      <c r="AH45" s="8">
        <v>0</v>
      </c>
      <c r="AI45" s="8">
        <v>0</v>
      </c>
      <c r="AJ45" s="8">
        <v>0</v>
      </c>
      <c r="AK45" s="8">
        <v>90.94328</v>
      </c>
      <c r="AL45" s="9">
        <v>35.70023</v>
      </c>
      <c r="AM45" s="31"/>
      <c r="AN45" s="22"/>
      <c r="AO45" s="8"/>
      <c r="AP45" s="8"/>
      <c r="AQ45" s="8"/>
      <c r="AR45" s="12"/>
    </row>
    <row r="46" spans="2:44" ht="13.5" customHeight="1" x14ac:dyDescent="0.25">
      <c r="B46" s="121">
        <v>0.125</v>
      </c>
      <c r="C46" s="20">
        <v>0</v>
      </c>
      <c r="D46" s="4">
        <v>1.242161E-07</v>
      </c>
      <c r="E46" s="4">
        <v>55.57726</v>
      </c>
      <c r="F46" s="4"/>
      <c r="G46" s="4"/>
      <c r="H46" s="4">
        <v>0</v>
      </c>
      <c r="I46" s="4">
        <v>0</v>
      </c>
      <c r="J46" s="4">
        <v>25.79753</v>
      </c>
      <c r="K46" s="4">
        <v>40</v>
      </c>
      <c r="L46" s="4">
        <v>47.56221</v>
      </c>
      <c r="M46" s="4">
        <v>0</v>
      </c>
      <c r="N46" s="4">
        <v>0</v>
      </c>
      <c r="O46" s="4">
        <v>26.8826</v>
      </c>
      <c r="P46" s="4">
        <v>0.05</v>
      </c>
      <c r="Q46" s="4">
        <v>0.2078993</v>
      </c>
      <c r="R46" s="4">
        <v>0.000193058</v>
      </c>
      <c r="S46" s="4">
        <v>0</v>
      </c>
      <c r="T46" s="4">
        <v>0</v>
      </c>
      <c r="U46" s="21">
        <v>0</v>
      </c>
      <c r="V46" s="29">
        <v>0</v>
      </c>
      <c r="W46" s="30">
        <v>92.12963</v>
      </c>
      <c r="X46" s="21">
        <v>16.6088</v>
      </c>
      <c r="Y46" s="21">
        <v>30</v>
      </c>
      <c r="Z46" s="21">
        <v>76.02865</v>
      </c>
      <c r="AA46" s="21">
        <v>28.60243</v>
      </c>
      <c r="AB46" s="21">
        <v>43.80426</v>
      </c>
      <c r="AC46" s="21">
        <v>30</v>
      </c>
      <c r="AD46" s="21">
        <v>76.80122</v>
      </c>
      <c r="AE46" s="8">
        <v>14.2126</v>
      </c>
      <c r="AF46" s="8">
        <v>18.53841</v>
      </c>
      <c r="AG46" s="8"/>
      <c r="AH46" s="8">
        <v>0</v>
      </c>
      <c r="AI46" s="8">
        <v>0</v>
      </c>
      <c r="AJ46" s="8">
        <v>0</v>
      </c>
      <c r="AK46" s="8">
        <v>90.93243</v>
      </c>
      <c r="AL46" s="9">
        <v>35.71759</v>
      </c>
      <c r="AM46" s="31"/>
      <c r="AN46" s="22"/>
      <c r="AO46" s="8"/>
      <c r="AP46" s="8"/>
      <c r="AQ46" s="8"/>
      <c r="AR46" s="12"/>
    </row>
    <row r="47" spans="2:44" ht="13.5" customHeight="1" x14ac:dyDescent="0.25">
      <c r="B47" s="121">
        <v>0.16666666666666666</v>
      </c>
      <c r="C47" s="20">
        <v>0</v>
      </c>
      <c r="D47" s="4">
        <v>1.877308E-06</v>
      </c>
      <c r="E47" s="4">
        <v>50.69444</v>
      </c>
      <c r="F47" s="4"/>
      <c r="G47" s="4"/>
      <c r="H47" s="4">
        <v>0</v>
      </c>
      <c r="I47" s="4">
        <v>0</v>
      </c>
      <c r="J47" s="4">
        <v>25.45392</v>
      </c>
      <c r="K47" s="4">
        <v>40</v>
      </c>
      <c r="L47" s="4">
        <v>47.72497</v>
      </c>
      <c r="M47" s="4">
        <v>0</v>
      </c>
      <c r="N47" s="4">
        <v>0</v>
      </c>
      <c r="O47" s="4">
        <v>26.78313</v>
      </c>
      <c r="P47" s="4">
        <v>0.05</v>
      </c>
      <c r="Q47" s="4">
        <v>0.1941551</v>
      </c>
      <c r="R47" s="4">
        <v>0.0001852608</v>
      </c>
      <c r="S47" s="4">
        <v>0</v>
      </c>
      <c r="T47" s="4">
        <v>0</v>
      </c>
      <c r="U47" s="21">
        <v>0</v>
      </c>
      <c r="V47" s="29">
        <v>0</v>
      </c>
      <c r="W47" s="30">
        <v>98.19155</v>
      </c>
      <c r="X47" s="21">
        <v>16.05903</v>
      </c>
      <c r="Y47" s="21">
        <v>30</v>
      </c>
      <c r="Z47" s="21">
        <v>76.15452</v>
      </c>
      <c r="AA47" s="21">
        <v>29.6875</v>
      </c>
      <c r="AB47" s="21">
        <v>46.12088</v>
      </c>
      <c r="AC47" s="21">
        <v>30</v>
      </c>
      <c r="AD47" s="21">
        <v>75.73785</v>
      </c>
      <c r="AE47" s="8">
        <v>14.14388</v>
      </c>
      <c r="AF47" s="8">
        <v>18.60352</v>
      </c>
      <c r="AG47" s="8"/>
      <c r="AH47" s="8">
        <v>0</v>
      </c>
      <c r="AI47" s="8">
        <v>0</v>
      </c>
      <c r="AJ47" s="8">
        <v>0</v>
      </c>
      <c r="AK47" s="8">
        <v>90.86372</v>
      </c>
      <c r="AL47" s="9">
        <v>35.72628</v>
      </c>
      <c r="AM47" s="31"/>
      <c r="AN47" s="22"/>
      <c r="AO47" s="8"/>
      <c r="AP47" s="8"/>
      <c r="AQ47" s="8"/>
      <c r="AR47" s="12"/>
    </row>
    <row r="48" spans="2:44" ht="13.5" customHeight="1" x14ac:dyDescent="0.25">
      <c r="B48" s="121">
        <v>0.20833333333333334</v>
      </c>
      <c r="C48" s="20">
        <v>0</v>
      </c>
      <c r="D48" s="4">
        <v>7.486344E-08</v>
      </c>
      <c r="E48" s="4">
        <v>44.61805</v>
      </c>
      <c r="F48" s="4"/>
      <c r="G48" s="4"/>
      <c r="H48" s="4">
        <v>0</v>
      </c>
      <c r="I48" s="4">
        <v>0</v>
      </c>
      <c r="J48" s="4">
        <v>25.01085</v>
      </c>
      <c r="K48" s="4">
        <v>40</v>
      </c>
      <c r="L48" s="4">
        <v>47.72497</v>
      </c>
      <c r="M48" s="4">
        <v>0</v>
      </c>
      <c r="N48" s="4">
        <v>0</v>
      </c>
      <c r="O48" s="4">
        <v>26.22251</v>
      </c>
      <c r="P48" s="4">
        <v>0.05</v>
      </c>
      <c r="Q48" s="4">
        <v>0.1553819</v>
      </c>
      <c r="R48" s="4">
        <v>0.0001796608</v>
      </c>
      <c r="S48" s="4">
        <v>0</v>
      </c>
      <c r="T48" s="4">
        <v>0</v>
      </c>
      <c r="U48" s="21">
        <v>0</v>
      </c>
      <c r="V48" s="29">
        <v>0</v>
      </c>
      <c r="W48" s="30">
        <v>92.73727</v>
      </c>
      <c r="X48" s="21">
        <v>16.44604</v>
      </c>
      <c r="Y48" s="21">
        <v>28</v>
      </c>
      <c r="Z48" s="21">
        <v>70.23872</v>
      </c>
      <c r="AA48" s="21">
        <v>32.49783</v>
      </c>
      <c r="AB48" s="21">
        <v>45.97982</v>
      </c>
      <c r="AC48" s="21">
        <v>28</v>
      </c>
      <c r="AD48" s="21">
        <v>71.51476</v>
      </c>
      <c r="AE48" s="8">
        <v>14.02271</v>
      </c>
      <c r="AF48" s="8">
        <v>18.70117</v>
      </c>
      <c r="AG48" s="8"/>
      <c r="AH48" s="8">
        <v>0</v>
      </c>
      <c r="AI48" s="8">
        <v>0</v>
      </c>
      <c r="AJ48" s="8">
        <v>0</v>
      </c>
      <c r="AK48" s="8">
        <v>90.80946</v>
      </c>
      <c r="AL48" s="9">
        <v>35.41378</v>
      </c>
      <c r="AM48" s="31"/>
      <c r="AN48" s="22"/>
      <c r="AO48" s="8"/>
      <c r="AP48" s="8"/>
      <c r="AQ48" s="8"/>
      <c r="AR48" s="12"/>
    </row>
    <row r="49" spans="2:44" ht="13.5" customHeight="1" x14ac:dyDescent="0.25">
      <c r="B49" s="121">
        <v>0.25</v>
      </c>
      <c r="C49" s="20">
        <v>0</v>
      </c>
      <c r="D49" s="4">
        <v>1.563787E-06</v>
      </c>
      <c r="E49" s="4">
        <v>55.99681</v>
      </c>
      <c r="F49" s="4"/>
      <c r="G49" s="4"/>
      <c r="H49" s="4">
        <v>0</v>
      </c>
      <c r="I49" s="4">
        <v>0</v>
      </c>
      <c r="J49" s="4">
        <v>24.61299</v>
      </c>
      <c r="K49" s="4">
        <v>40</v>
      </c>
      <c r="L49" s="4">
        <v>47.72497</v>
      </c>
      <c r="M49" s="4">
        <v>0</v>
      </c>
      <c r="N49" s="4">
        <v>0</v>
      </c>
      <c r="O49" s="4">
        <v>25.88795</v>
      </c>
      <c r="P49" s="4">
        <v>0.05</v>
      </c>
      <c r="Q49" s="4">
        <v>0.1697049</v>
      </c>
      <c r="R49" s="4">
        <v>0.0001787033</v>
      </c>
      <c r="S49" s="4">
        <v>0</v>
      </c>
      <c r="T49" s="4">
        <v>0</v>
      </c>
      <c r="U49" s="21">
        <v>0</v>
      </c>
      <c r="V49" s="29">
        <v>0</v>
      </c>
      <c r="W49" s="30">
        <v>95.96716</v>
      </c>
      <c r="X49" s="21">
        <v>17.03559</v>
      </c>
      <c r="Y49" s="21">
        <v>28</v>
      </c>
      <c r="Z49" s="21">
        <v>70.90712</v>
      </c>
      <c r="AA49" s="21">
        <v>32.44358</v>
      </c>
      <c r="AB49" s="21">
        <v>44.59636</v>
      </c>
      <c r="AC49" s="21">
        <v>28</v>
      </c>
      <c r="AD49" s="21">
        <v>71.1849</v>
      </c>
      <c r="AE49" s="8">
        <v>14.04622</v>
      </c>
      <c r="AF49" s="8">
        <v>18.91819</v>
      </c>
      <c r="AG49" s="8"/>
      <c r="AH49" s="8">
        <v>0</v>
      </c>
      <c r="AI49" s="8">
        <v>0</v>
      </c>
      <c r="AJ49" s="8">
        <v>0</v>
      </c>
      <c r="AK49" s="8">
        <v>90.81308</v>
      </c>
      <c r="AL49" s="9">
        <v>35.25753</v>
      </c>
      <c r="AM49" s="31"/>
      <c r="AN49" s="22"/>
      <c r="AO49" s="8"/>
      <c r="AP49" s="8"/>
      <c r="AQ49" s="8"/>
      <c r="AR49" s="12"/>
    </row>
    <row r="50" spans="2:44" ht="13.5" customHeight="1" x14ac:dyDescent="0.25">
      <c r="B50" s="121">
        <v>0.29166666666666669</v>
      </c>
      <c r="C50" s="20">
        <v>0</v>
      </c>
      <c r="D50" s="4">
        <v>1.978874E-08</v>
      </c>
      <c r="E50" s="4">
        <v>56.08362</v>
      </c>
      <c r="F50" s="4"/>
      <c r="G50" s="4"/>
      <c r="H50" s="4">
        <v>0</v>
      </c>
      <c r="I50" s="4">
        <v>0</v>
      </c>
      <c r="J50" s="4">
        <v>24.26939</v>
      </c>
      <c r="K50" s="4">
        <v>40</v>
      </c>
      <c r="L50" s="4">
        <v>47.0468</v>
      </c>
      <c r="M50" s="4">
        <v>0</v>
      </c>
      <c r="N50" s="4">
        <v>0</v>
      </c>
      <c r="O50" s="4">
        <v>25.71615</v>
      </c>
      <c r="P50" s="4">
        <v>0.05</v>
      </c>
      <c r="Q50" s="4">
        <v>0.1181279</v>
      </c>
      <c r="R50" s="4">
        <v>0.0001339073</v>
      </c>
      <c r="S50" s="4">
        <v>0</v>
      </c>
      <c r="T50" s="4">
        <v>0</v>
      </c>
      <c r="U50" s="21">
        <v>0</v>
      </c>
      <c r="V50" s="29">
        <v>0</v>
      </c>
      <c r="W50" s="30">
        <v>92.67216</v>
      </c>
      <c r="X50" s="21">
        <v>15.98669</v>
      </c>
      <c r="Y50" s="21">
        <v>28</v>
      </c>
      <c r="Z50" s="21">
        <v>69.83508</v>
      </c>
      <c r="AA50" s="21">
        <v>31.25</v>
      </c>
      <c r="AB50" s="21">
        <v>43.14236</v>
      </c>
      <c r="AC50" s="21">
        <v>28</v>
      </c>
      <c r="AD50" s="21">
        <v>72.04861</v>
      </c>
      <c r="AE50" s="8">
        <v>13.83102</v>
      </c>
      <c r="AF50" s="8">
        <v>18.79883</v>
      </c>
      <c r="AG50" s="8"/>
      <c r="AH50" s="8">
        <v>0</v>
      </c>
      <c r="AI50" s="8">
        <v>0</v>
      </c>
      <c r="AJ50" s="8">
        <v>0</v>
      </c>
      <c r="AK50" s="8">
        <v>90.81308</v>
      </c>
      <c r="AL50" s="9">
        <v>35.10128</v>
      </c>
      <c r="AM50" s="31"/>
      <c r="AN50" s="22"/>
      <c r="AO50" s="8"/>
      <c r="AP50" s="8"/>
      <c r="AQ50" s="8"/>
      <c r="AR50" s="12"/>
    </row>
    <row r="51" spans="2:44" ht="13.5" customHeight="1" x14ac:dyDescent="0.25">
      <c r="B51" s="121">
        <v>0.33333333333333331</v>
      </c>
      <c r="C51" s="23">
        <v>0</v>
      </c>
      <c r="D51" s="13">
        <v>1.981497E-06</v>
      </c>
      <c r="E51" s="13">
        <v>51.14294</v>
      </c>
      <c r="F51" s="13"/>
      <c r="G51" s="13"/>
      <c r="H51" s="13">
        <v>0</v>
      </c>
      <c r="I51" s="13">
        <v>0</v>
      </c>
      <c r="J51" s="13">
        <v>24.04333</v>
      </c>
      <c r="K51" s="13">
        <v>40</v>
      </c>
      <c r="L51" s="13">
        <v>46.37768</v>
      </c>
      <c r="M51" s="13">
        <v>0</v>
      </c>
      <c r="N51" s="13">
        <v>0</v>
      </c>
      <c r="O51" s="13">
        <v>25.72519</v>
      </c>
      <c r="P51" s="13">
        <v>0.05</v>
      </c>
      <c r="Q51" s="13">
        <v>0.125</v>
      </c>
      <c r="R51" s="13">
        <v>0.0001139183</v>
      </c>
      <c r="S51" s="13">
        <v>0</v>
      </c>
      <c r="T51" s="13">
        <v>0</v>
      </c>
      <c r="U51" s="24">
        <v>0</v>
      </c>
      <c r="V51" s="32">
        <v>0</v>
      </c>
      <c r="W51" s="33">
        <v>96.43736</v>
      </c>
      <c r="X51" s="24">
        <v>15.10417</v>
      </c>
      <c r="Y51" s="24">
        <v>0</v>
      </c>
      <c r="Z51" s="24">
        <v>0</v>
      </c>
      <c r="AA51" s="24">
        <v>66.60699</v>
      </c>
      <c r="AB51" s="24">
        <v>103.89</v>
      </c>
      <c r="AC51" s="24">
        <v>28</v>
      </c>
      <c r="AD51" s="24">
        <v>72.6823</v>
      </c>
      <c r="AE51" s="17">
        <v>13.54709</v>
      </c>
      <c r="AF51" s="17">
        <v>17.9796</v>
      </c>
      <c r="AG51" s="17"/>
      <c r="AH51" s="17">
        <v>0</v>
      </c>
      <c r="AI51" s="17">
        <v>0</v>
      </c>
      <c r="AJ51" s="17">
        <v>0</v>
      </c>
      <c r="AK51" s="17">
        <v>90.82755</v>
      </c>
      <c r="AL51" s="18">
        <v>34.97975</v>
      </c>
      <c r="AM51" s="34"/>
      <c r="AN51" s="25"/>
      <c r="AO51" s="17"/>
      <c r="AP51" s="17"/>
      <c r="AQ51" s="17"/>
      <c r="AR51" s="28"/>
    </row>
    <row r="52" spans="2:44" ht="13.5" customHeight="1" x14ac:dyDescent="0.25">
      <c r="B52" s="240" t="s">
        <v>369</v>
      </c>
      <c r="C52" s="241"/>
      <c r="D52" s="72" t="s">
        <v>264</v>
      </c>
      <c r="E52" s="144" t="s">
        <v>20</v>
      </c>
      <c r="F52" s="147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  <c r="AA52" s="148"/>
      <c r="AB52" s="148"/>
      <c r="AC52" s="148"/>
      <c r="AD52" s="148"/>
      <c r="AE52" s="148"/>
      <c r="AF52" s="148"/>
      <c r="AG52" s="148"/>
      <c r="AH52" s="148"/>
      <c r="AI52" s="148"/>
      <c r="AJ52" s="148"/>
      <c r="AK52" s="148"/>
      <c r="AL52" s="148"/>
      <c r="AM52" s="148"/>
      <c r="AN52" s="148"/>
      <c r="AO52" s="148"/>
      <c r="AP52" s="148"/>
      <c r="AQ52" s="148"/>
      <c r="AR52" s="149"/>
    </row>
    <row r="53" spans="2:44" ht="13.5" customHeight="1" x14ac:dyDescent="0.25">
      <c r="B53" s="156"/>
      <c r="C53" s="157"/>
      <c r="D53" s="158"/>
      <c r="E53" s="145"/>
      <c r="F53" s="150"/>
      <c r="G53" s="151"/>
      <c r="H53" s="151"/>
      <c r="I53" s="151"/>
      <c r="J53" s="151"/>
      <c r="K53" s="151"/>
      <c r="L53" s="151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/>
      <c r="X53" s="151"/>
      <c r="Y53" s="151"/>
      <c r="Z53" s="151"/>
      <c r="AA53" s="151"/>
      <c r="AB53" s="151"/>
      <c r="AC53" s="151"/>
      <c r="AD53" s="151"/>
      <c r="AE53" s="151"/>
      <c r="AF53" s="151"/>
      <c r="AG53" s="151"/>
      <c r="AH53" s="151"/>
      <c r="AI53" s="151"/>
      <c r="AJ53" s="151"/>
      <c r="AK53" s="151"/>
      <c r="AL53" s="151"/>
      <c r="AM53" s="151"/>
      <c r="AN53" s="151"/>
      <c r="AO53" s="151"/>
      <c r="AP53" s="151"/>
      <c r="AQ53" s="151"/>
      <c r="AR53" s="152"/>
    </row>
    <row r="54" spans="2:44" ht="13.5" customHeight="1" thickBot="1" x14ac:dyDescent="0.3">
      <c r="B54" s="159"/>
      <c r="C54" s="160"/>
      <c r="D54" s="161"/>
      <c r="E54" s="146"/>
      <c r="F54" s="153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4"/>
      <c r="V54" s="154"/>
      <c r="W54" s="154"/>
      <c r="X54" s="154"/>
      <c r="Y54" s="154"/>
      <c r="Z54" s="154"/>
      <c r="AA54" s="154"/>
      <c r="AB54" s="154"/>
      <c r="AC54" s="154"/>
      <c r="AD54" s="154"/>
      <c r="AE54" s="154"/>
      <c r="AF54" s="154"/>
      <c r="AG54" s="154"/>
      <c r="AH54" s="154"/>
      <c r="AI54" s="154"/>
      <c r="AJ54" s="154"/>
      <c r="AK54" s="154"/>
      <c r="AL54" s="154"/>
      <c r="AM54" s="154"/>
      <c r="AN54" s="154"/>
      <c r="AO54" s="154"/>
      <c r="AP54" s="154"/>
      <c r="AQ54" s="154"/>
      <c r="AR54" s="155"/>
    </row>
    <row r="55" spans="2:44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</sheetData>
  <mergeCells count="50">
    <mergeCell ref="B52:C52"/>
    <mergeCell ref="E52:E54"/>
    <mergeCell ref="F52:AR54"/>
    <mergeCell ref="B53:D54"/>
    <mergeCell ref="B35:B38"/>
    <mergeCell ref="AK35:AL35"/>
    <mergeCell ref="C36:D36"/>
    <mergeCell ref="E36:G36"/>
    <mergeCell ref="AG19:AH19"/>
    <mergeCell ref="C35:V35"/>
    <mergeCell ref="W35:AJ35"/>
    <mergeCell ref="AM35:AN35"/>
    <mergeCell ref="H36:I36"/>
    <mergeCell ref="M36:N36"/>
    <mergeCell ref="U36:V36"/>
    <mergeCell ref="AH36:AJ36"/>
    <mergeCell ref="Q36:R36"/>
    <mergeCell ref="S36:T36"/>
    <mergeCell ref="AE4:AF4"/>
    <mergeCell ref="AG4:AH4"/>
    <mergeCell ref="AL4:AM4"/>
    <mergeCell ref="AQ4:AR4"/>
    <mergeCell ref="B19:B21"/>
    <mergeCell ref="E19:G19"/>
    <mergeCell ref="H19:L19"/>
    <mergeCell ref="M19:Q19"/>
    <mergeCell ref="R19:AF19"/>
    <mergeCell ref="AI19:AM19"/>
    <mergeCell ref="AN19:AO19"/>
    <mergeCell ref="AP19:AR19"/>
    <mergeCell ref="F20:G20"/>
    <mergeCell ref="AD20:AE20"/>
    <mergeCell ref="AI20:AJ20"/>
    <mergeCell ref="AK20:AL20"/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E68"/>
  <sheetViews>
    <sheetView zoomScale="85" zoomScaleNormal="85" workbookViewId="0">
      <selection activeCell="BP13" sqref="BP13"/>
    </sheetView>
  </sheetViews>
  <sheetFormatPr defaultColWidth="3.6328125" defaultRowHeight="12" customHeight="1" x14ac:dyDescent="0.25"/>
  <cols>
    <col min="1" max="55" width="3.6328125" style="1"/>
  </cols>
  <sheetData>
    <row r="1" spans="2:56" ht="12" customHeight="1" thickBot="1" x14ac:dyDescent="0.3">
      <c r="B1" s="169" t="s">
        <v>223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  <c r="AI1" s="169"/>
      <c r="AJ1" s="169"/>
      <c r="AK1" s="169"/>
      <c r="AL1" s="169"/>
      <c r="AM1" s="169"/>
      <c r="AN1" s="169"/>
      <c r="AO1" s="169"/>
      <c r="AP1" s="169"/>
      <c r="AQ1" s="169"/>
      <c r="AR1" s="169"/>
      <c r="AS1" s="169"/>
      <c r="AT1" s="169"/>
      <c r="AU1" s="169"/>
      <c r="AV1" s="169"/>
      <c r="AW1" s="169"/>
      <c r="AX1" s="169"/>
      <c r="AY1" s="169"/>
      <c r="AZ1" s="169"/>
      <c r="BA1" s="169"/>
      <c r="BB1" s="169"/>
      <c r="BC1" s="169"/>
      <c r="BD1" s="169"/>
    </row>
    <row r="2" spans="2:56" ht="12" customHeight="1" x14ac:dyDescent="0.25">
      <c r="B2" s="227" t="s">
        <v>225</v>
      </c>
      <c r="C2" s="388"/>
      <c r="D2" s="388"/>
      <c r="E2" s="388"/>
      <c r="F2" s="388"/>
      <c r="G2" s="388"/>
      <c r="H2" s="388"/>
      <c r="I2" s="388"/>
      <c r="J2" s="388"/>
      <c r="K2" s="388"/>
      <c r="L2" s="389"/>
      <c r="M2" s="230" t="s">
        <v>224</v>
      </c>
      <c r="N2" s="385"/>
      <c r="O2" s="385"/>
      <c r="P2" s="385"/>
      <c r="Q2" s="385"/>
      <c r="R2" s="385"/>
      <c r="S2" s="385"/>
      <c r="T2" s="385"/>
      <c r="U2" s="385"/>
      <c r="V2" s="385"/>
      <c r="W2" s="386"/>
      <c r="X2" s="231" t="s">
        <v>361</v>
      </c>
      <c r="Y2" s="383"/>
      <c r="Z2" s="383"/>
      <c r="AA2" s="383"/>
      <c r="AB2" s="383"/>
      <c r="AC2" s="383"/>
      <c r="AD2" s="383"/>
      <c r="AE2" s="383"/>
      <c r="AF2" s="383"/>
      <c r="AG2" s="383"/>
      <c r="AH2" s="387"/>
      <c r="AI2" s="230" t="s">
        <v>226</v>
      </c>
      <c r="AJ2" s="385"/>
      <c r="AK2" s="385"/>
      <c r="AL2" s="385"/>
      <c r="AM2" s="385"/>
      <c r="AN2" s="385"/>
      <c r="AO2" s="385"/>
      <c r="AP2" s="385"/>
      <c r="AQ2" s="385"/>
      <c r="AR2" s="385"/>
      <c r="AS2" s="386"/>
      <c r="AT2" s="231" t="s">
        <v>227</v>
      </c>
      <c r="AU2" s="383"/>
      <c r="AV2" s="383"/>
      <c r="AW2" s="383"/>
      <c r="AX2" s="383"/>
      <c r="AY2" s="383"/>
      <c r="AZ2" s="383"/>
      <c r="BA2" s="383"/>
      <c r="BB2" s="383"/>
      <c r="BC2" s="383"/>
      <c r="BD2" s="384"/>
    </row>
    <row r="3" spans="2:56" ht="12" customHeight="1" x14ac:dyDescent="0.25">
      <c r="B3" s="186"/>
      <c r="C3" s="312"/>
      <c r="D3" s="312"/>
      <c r="E3" s="312"/>
      <c r="F3" s="312"/>
      <c r="G3" s="312"/>
      <c r="H3" s="312"/>
      <c r="I3" s="312"/>
      <c r="J3" s="312"/>
      <c r="K3" s="312"/>
      <c r="L3" s="313"/>
      <c r="M3" s="194"/>
      <c r="N3" s="333"/>
      <c r="O3" s="333"/>
      <c r="P3" s="333"/>
      <c r="Q3" s="333"/>
      <c r="R3" s="333"/>
      <c r="S3" s="333"/>
      <c r="T3" s="333"/>
      <c r="U3" s="333"/>
      <c r="V3" s="333"/>
      <c r="W3" s="334"/>
      <c r="X3" s="198"/>
      <c r="Y3" s="347"/>
      <c r="Z3" s="347"/>
      <c r="AA3" s="347"/>
      <c r="AB3" s="347"/>
      <c r="AC3" s="347"/>
      <c r="AD3" s="347"/>
      <c r="AE3" s="347"/>
      <c r="AF3" s="347"/>
      <c r="AG3" s="347"/>
      <c r="AH3" s="348"/>
      <c r="AI3" s="199"/>
      <c r="AJ3" s="375"/>
      <c r="AK3" s="375"/>
      <c r="AL3" s="375"/>
      <c r="AM3" s="375"/>
      <c r="AN3" s="375"/>
      <c r="AO3" s="375"/>
      <c r="AP3" s="375"/>
      <c r="AQ3" s="375"/>
      <c r="AR3" s="375"/>
      <c r="AS3" s="376"/>
      <c r="AT3" s="198"/>
      <c r="AU3" s="347"/>
      <c r="AV3" s="347"/>
      <c r="AW3" s="347"/>
      <c r="AX3" s="347"/>
      <c r="AY3" s="347"/>
      <c r="AZ3" s="347"/>
      <c r="BA3" s="347"/>
      <c r="BB3" s="347"/>
      <c r="BC3" s="347"/>
      <c r="BD3" s="372"/>
    </row>
    <row r="4" spans="2:56" ht="12" customHeight="1" x14ac:dyDescent="0.25">
      <c r="B4" s="204"/>
      <c r="C4" s="314"/>
      <c r="D4" s="314"/>
      <c r="E4" s="314"/>
      <c r="F4" s="314"/>
      <c r="G4" s="314"/>
      <c r="H4" s="314"/>
      <c r="I4" s="314"/>
      <c r="J4" s="314"/>
      <c r="K4" s="314"/>
      <c r="L4" s="315"/>
      <c r="M4" s="224"/>
      <c r="N4" s="283"/>
      <c r="O4" s="283"/>
      <c r="P4" s="283"/>
      <c r="Q4" s="283"/>
      <c r="R4" s="283"/>
      <c r="S4" s="283"/>
      <c r="T4" s="283"/>
      <c r="U4" s="283"/>
      <c r="V4" s="283"/>
      <c r="W4" s="335"/>
      <c r="X4" s="236"/>
      <c r="Y4" s="349"/>
      <c r="Z4" s="349"/>
      <c r="AA4" s="349"/>
      <c r="AB4" s="349"/>
      <c r="AC4" s="349"/>
      <c r="AD4" s="349"/>
      <c r="AE4" s="349"/>
      <c r="AF4" s="349"/>
      <c r="AG4" s="349"/>
      <c r="AH4" s="350"/>
      <c r="AI4" s="377"/>
      <c r="AJ4" s="378"/>
      <c r="AK4" s="378"/>
      <c r="AL4" s="378"/>
      <c r="AM4" s="378"/>
      <c r="AN4" s="378"/>
      <c r="AO4" s="378"/>
      <c r="AP4" s="378"/>
      <c r="AQ4" s="378"/>
      <c r="AR4" s="378"/>
      <c r="AS4" s="379"/>
      <c r="AT4" s="236"/>
      <c r="AU4" s="349"/>
      <c r="AV4" s="349"/>
      <c r="AW4" s="349"/>
      <c r="AX4" s="349"/>
      <c r="AY4" s="349"/>
      <c r="AZ4" s="349"/>
      <c r="BA4" s="349"/>
      <c r="BB4" s="349"/>
      <c r="BC4" s="349"/>
      <c r="BD4" s="373"/>
    </row>
    <row r="5" spans="2:56" ht="12" customHeight="1" x14ac:dyDescent="0.25">
      <c r="B5" s="204"/>
      <c r="C5" s="314"/>
      <c r="D5" s="314"/>
      <c r="E5" s="314"/>
      <c r="F5" s="314"/>
      <c r="G5" s="314"/>
      <c r="H5" s="314"/>
      <c r="I5" s="314"/>
      <c r="J5" s="314"/>
      <c r="K5" s="314"/>
      <c r="L5" s="315"/>
      <c r="M5" s="224"/>
      <c r="N5" s="283"/>
      <c r="O5" s="283"/>
      <c r="P5" s="283"/>
      <c r="Q5" s="283"/>
      <c r="R5" s="283"/>
      <c r="S5" s="283"/>
      <c r="T5" s="283"/>
      <c r="U5" s="283"/>
      <c r="V5" s="283"/>
      <c r="W5" s="335"/>
      <c r="X5" s="236"/>
      <c r="Y5" s="349"/>
      <c r="Z5" s="349"/>
      <c r="AA5" s="349"/>
      <c r="AB5" s="349"/>
      <c r="AC5" s="349"/>
      <c r="AD5" s="349"/>
      <c r="AE5" s="349"/>
      <c r="AF5" s="349"/>
      <c r="AG5" s="349"/>
      <c r="AH5" s="350"/>
      <c r="AI5" s="377"/>
      <c r="AJ5" s="378"/>
      <c r="AK5" s="378"/>
      <c r="AL5" s="378"/>
      <c r="AM5" s="378"/>
      <c r="AN5" s="378"/>
      <c r="AO5" s="378"/>
      <c r="AP5" s="378"/>
      <c r="AQ5" s="378"/>
      <c r="AR5" s="378"/>
      <c r="AS5" s="379"/>
      <c r="AT5" s="236"/>
      <c r="AU5" s="349"/>
      <c r="AV5" s="349"/>
      <c r="AW5" s="349"/>
      <c r="AX5" s="349"/>
      <c r="AY5" s="349"/>
      <c r="AZ5" s="349"/>
      <c r="BA5" s="349"/>
      <c r="BB5" s="349"/>
      <c r="BC5" s="349"/>
      <c r="BD5" s="373"/>
    </row>
    <row r="6" spans="2:56" ht="12" customHeight="1" x14ac:dyDescent="0.25">
      <c r="B6" s="204"/>
      <c r="C6" s="314"/>
      <c r="D6" s="314"/>
      <c r="E6" s="314"/>
      <c r="F6" s="314"/>
      <c r="G6" s="314"/>
      <c r="H6" s="314"/>
      <c r="I6" s="314"/>
      <c r="J6" s="314"/>
      <c r="K6" s="314"/>
      <c r="L6" s="315"/>
      <c r="M6" s="224"/>
      <c r="N6" s="283"/>
      <c r="O6" s="283"/>
      <c r="P6" s="283"/>
      <c r="Q6" s="283"/>
      <c r="R6" s="283"/>
      <c r="S6" s="283"/>
      <c r="T6" s="283"/>
      <c r="U6" s="283"/>
      <c r="V6" s="283"/>
      <c r="W6" s="335"/>
      <c r="X6" s="236"/>
      <c r="Y6" s="349"/>
      <c r="Z6" s="349"/>
      <c r="AA6" s="349"/>
      <c r="AB6" s="349"/>
      <c r="AC6" s="349"/>
      <c r="AD6" s="349"/>
      <c r="AE6" s="349"/>
      <c r="AF6" s="349"/>
      <c r="AG6" s="349"/>
      <c r="AH6" s="350"/>
      <c r="AI6" s="377"/>
      <c r="AJ6" s="378"/>
      <c r="AK6" s="378"/>
      <c r="AL6" s="378"/>
      <c r="AM6" s="378"/>
      <c r="AN6" s="378"/>
      <c r="AO6" s="378"/>
      <c r="AP6" s="378"/>
      <c r="AQ6" s="378"/>
      <c r="AR6" s="378"/>
      <c r="AS6" s="379"/>
      <c r="AT6" s="236"/>
      <c r="AU6" s="349"/>
      <c r="AV6" s="349"/>
      <c r="AW6" s="349"/>
      <c r="AX6" s="349"/>
      <c r="AY6" s="349"/>
      <c r="AZ6" s="349"/>
      <c r="BA6" s="349"/>
      <c r="BB6" s="349"/>
      <c r="BC6" s="349"/>
      <c r="BD6" s="373"/>
    </row>
    <row r="7" spans="2:56" ht="12" customHeight="1" x14ac:dyDescent="0.25">
      <c r="B7" s="204"/>
      <c r="C7" s="314"/>
      <c r="D7" s="314"/>
      <c r="E7" s="314"/>
      <c r="F7" s="314"/>
      <c r="G7" s="314"/>
      <c r="H7" s="314"/>
      <c r="I7" s="314"/>
      <c r="J7" s="314"/>
      <c r="K7" s="314"/>
      <c r="L7" s="315"/>
      <c r="M7" s="224"/>
      <c r="N7" s="283"/>
      <c r="O7" s="283"/>
      <c r="P7" s="283"/>
      <c r="Q7" s="283"/>
      <c r="R7" s="283"/>
      <c r="S7" s="283"/>
      <c r="T7" s="283"/>
      <c r="U7" s="283"/>
      <c r="V7" s="283"/>
      <c r="W7" s="335"/>
      <c r="X7" s="236"/>
      <c r="Y7" s="349"/>
      <c r="Z7" s="349"/>
      <c r="AA7" s="349"/>
      <c r="AB7" s="349"/>
      <c r="AC7" s="349"/>
      <c r="AD7" s="349"/>
      <c r="AE7" s="349"/>
      <c r="AF7" s="349"/>
      <c r="AG7" s="349"/>
      <c r="AH7" s="350"/>
      <c r="AI7" s="377"/>
      <c r="AJ7" s="378"/>
      <c r="AK7" s="378"/>
      <c r="AL7" s="378"/>
      <c r="AM7" s="378"/>
      <c r="AN7" s="378"/>
      <c r="AO7" s="378"/>
      <c r="AP7" s="378"/>
      <c r="AQ7" s="378"/>
      <c r="AR7" s="378"/>
      <c r="AS7" s="379"/>
      <c r="AT7" s="236"/>
      <c r="AU7" s="349"/>
      <c r="AV7" s="349"/>
      <c r="AW7" s="349"/>
      <c r="AX7" s="349"/>
      <c r="AY7" s="349"/>
      <c r="AZ7" s="349"/>
      <c r="BA7" s="349"/>
      <c r="BB7" s="349"/>
      <c r="BC7" s="349"/>
      <c r="BD7" s="373"/>
    </row>
    <row r="8" spans="2:56" ht="12" customHeight="1" x14ac:dyDescent="0.25">
      <c r="B8" s="204"/>
      <c r="C8" s="314"/>
      <c r="D8" s="314"/>
      <c r="E8" s="314"/>
      <c r="F8" s="314"/>
      <c r="G8" s="314"/>
      <c r="H8" s="314"/>
      <c r="I8" s="314"/>
      <c r="J8" s="314"/>
      <c r="K8" s="314"/>
      <c r="L8" s="315"/>
      <c r="M8" s="224"/>
      <c r="N8" s="283"/>
      <c r="O8" s="283"/>
      <c r="P8" s="283"/>
      <c r="Q8" s="283"/>
      <c r="R8" s="283"/>
      <c r="S8" s="283"/>
      <c r="T8" s="283"/>
      <c r="U8" s="283"/>
      <c r="V8" s="283"/>
      <c r="W8" s="335"/>
      <c r="X8" s="236"/>
      <c r="Y8" s="349"/>
      <c r="Z8" s="349"/>
      <c r="AA8" s="349"/>
      <c r="AB8" s="349"/>
      <c r="AC8" s="349"/>
      <c r="AD8" s="349"/>
      <c r="AE8" s="349"/>
      <c r="AF8" s="349"/>
      <c r="AG8" s="349"/>
      <c r="AH8" s="350"/>
      <c r="AI8" s="377"/>
      <c r="AJ8" s="378"/>
      <c r="AK8" s="378"/>
      <c r="AL8" s="378"/>
      <c r="AM8" s="378"/>
      <c r="AN8" s="378"/>
      <c r="AO8" s="378"/>
      <c r="AP8" s="378"/>
      <c r="AQ8" s="378"/>
      <c r="AR8" s="378"/>
      <c r="AS8" s="379"/>
      <c r="AT8" s="236"/>
      <c r="AU8" s="349"/>
      <c r="AV8" s="349"/>
      <c r="AW8" s="349"/>
      <c r="AX8" s="349"/>
      <c r="AY8" s="349"/>
      <c r="AZ8" s="349"/>
      <c r="BA8" s="349"/>
      <c r="BB8" s="349"/>
      <c r="BC8" s="349"/>
      <c r="BD8" s="373"/>
    </row>
    <row r="9" spans="2:56" ht="12" customHeight="1" x14ac:dyDescent="0.25">
      <c r="B9" s="339"/>
      <c r="C9" s="340"/>
      <c r="D9" s="340"/>
      <c r="E9" s="340"/>
      <c r="F9" s="340"/>
      <c r="G9" s="340"/>
      <c r="H9" s="340"/>
      <c r="I9" s="340"/>
      <c r="J9" s="340"/>
      <c r="K9" s="340"/>
      <c r="L9" s="341"/>
      <c r="M9" s="336"/>
      <c r="N9" s="337"/>
      <c r="O9" s="337"/>
      <c r="P9" s="337"/>
      <c r="Q9" s="337"/>
      <c r="R9" s="337"/>
      <c r="S9" s="337"/>
      <c r="T9" s="337"/>
      <c r="U9" s="337"/>
      <c r="V9" s="337"/>
      <c r="W9" s="338"/>
      <c r="X9" s="351"/>
      <c r="Y9" s="352"/>
      <c r="Z9" s="352"/>
      <c r="AA9" s="352"/>
      <c r="AB9" s="352"/>
      <c r="AC9" s="352"/>
      <c r="AD9" s="352"/>
      <c r="AE9" s="352"/>
      <c r="AF9" s="352"/>
      <c r="AG9" s="352"/>
      <c r="AH9" s="353"/>
      <c r="AI9" s="380"/>
      <c r="AJ9" s="381"/>
      <c r="AK9" s="381"/>
      <c r="AL9" s="381"/>
      <c r="AM9" s="381"/>
      <c r="AN9" s="381"/>
      <c r="AO9" s="381"/>
      <c r="AP9" s="381"/>
      <c r="AQ9" s="381"/>
      <c r="AR9" s="381"/>
      <c r="AS9" s="382"/>
      <c r="AT9" s="351"/>
      <c r="AU9" s="352"/>
      <c r="AV9" s="352"/>
      <c r="AW9" s="352"/>
      <c r="AX9" s="352"/>
      <c r="AY9" s="352"/>
      <c r="AZ9" s="352"/>
      <c r="BA9" s="352"/>
      <c r="BB9" s="352"/>
      <c r="BC9" s="352"/>
      <c r="BD9" s="374"/>
    </row>
    <row r="10" spans="2:56" ht="12" customHeight="1" x14ac:dyDescent="0.25">
      <c r="B10" s="210" t="s">
        <v>228</v>
      </c>
      <c r="C10" s="207"/>
      <c r="D10" s="207"/>
      <c r="E10" s="207"/>
      <c r="F10" s="207"/>
      <c r="G10" s="207"/>
      <c r="H10" s="207"/>
      <c r="I10" s="207"/>
      <c r="J10" s="207"/>
      <c r="K10" s="207"/>
      <c r="L10" s="326"/>
      <c r="M10" s="225" t="s">
        <v>229</v>
      </c>
      <c r="N10" s="370"/>
      <c r="O10" s="370"/>
      <c r="P10" s="370"/>
      <c r="Q10" s="370"/>
      <c r="R10" s="370"/>
      <c r="S10" s="370"/>
      <c r="T10" s="370"/>
      <c r="U10" s="370"/>
      <c r="V10" s="370"/>
      <c r="W10" s="371"/>
      <c r="X10" s="226" t="s">
        <v>230</v>
      </c>
      <c r="Y10" s="342"/>
      <c r="Z10" s="342"/>
      <c r="AA10" s="342"/>
      <c r="AB10" s="342"/>
      <c r="AC10" s="342"/>
      <c r="AD10" s="342"/>
      <c r="AE10" s="342"/>
      <c r="AF10" s="342"/>
      <c r="AG10" s="342"/>
      <c r="AH10" s="343"/>
      <c r="AI10" s="226" t="s">
        <v>231</v>
      </c>
      <c r="AJ10" s="342"/>
      <c r="AK10" s="342"/>
      <c r="AL10" s="342"/>
      <c r="AM10" s="342"/>
      <c r="AN10" s="342"/>
      <c r="AO10" s="342"/>
      <c r="AP10" s="342"/>
      <c r="AQ10" s="342"/>
      <c r="AR10" s="342"/>
      <c r="AS10" s="343"/>
      <c r="AT10" s="180" t="s">
        <v>232</v>
      </c>
      <c r="AU10" s="319"/>
      <c r="AV10" s="319"/>
      <c r="AW10" s="319"/>
      <c r="AX10" s="319"/>
      <c r="AY10" s="319"/>
      <c r="AZ10" s="319"/>
      <c r="BA10" s="319"/>
      <c r="BB10" s="319"/>
      <c r="BC10" s="319"/>
      <c r="BD10" s="320"/>
    </row>
    <row r="11" spans="2:56" ht="12" customHeight="1" x14ac:dyDescent="0.25">
      <c r="B11" s="186"/>
      <c r="C11" s="312"/>
      <c r="D11" s="312"/>
      <c r="E11" s="312"/>
      <c r="F11" s="312"/>
      <c r="G11" s="312"/>
      <c r="H11" s="312"/>
      <c r="I11" s="312"/>
      <c r="J11" s="312"/>
      <c r="K11" s="312"/>
      <c r="L11" s="313"/>
      <c r="M11" s="194"/>
      <c r="N11" s="333"/>
      <c r="O11" s="333"/>
      <c r="P11" s="333"/>
      <c r="Q11" s="333"/>
      <c r="R11" s="333"/>
      <c r="S11" s="333"/>
      <c r="T11" s="333"/>
      <c r="U11" s="333"/>
      <c r="V11" s="333"/>
      <c r="W11" s="334"/>
      <c r="X11" s="194"/>
      <c r="Y11" s="333"/>
      <c r="Z11" s="333"/>
      <c r="AA11" s="333"/>
      <c r="AB11" s="333"/>
      <c r="AC11" s="333"/>
      <c r="AD11" s="333"/>
      <c r="AE11" s="333"/>
      <c r="AF11" s="333"/>
      <c r="AG11" s="333"/>
      <c r="AH11" s="334"/>
      <c r="AI11" s="194"/>
      <c r="AJ11" s="333"/>
      <c r="AK11" s="333"/>
      <c r="AL11" s="333"/>
      <c r="AM11" s="333"/>
      <c r="AN11" s="333"/>
      <c r="AO11" s="333"/>
      <c r="AP11" s="333"/>
      <c r="AQ11" s="333"/>
      <c r="AR11" s="333"/>
      <c r="AS11" s="334"/>
      <c r="AT11" s="203"/>
      <c r="AU11" s="279"/>
      <c r="AV11" s="279"/>
      <c r="AW11" s="279"/>
      <c r="AX11" s="279"/>
      <c r="AY11" s="279"/>
      <c r="AZ11" s="279"/>
      <c r="BA11" s="279"/>
      <c r="BB11" s="279"/>
      <c r="BC11" s="279"/>
      <c r="BD11" s="290"/>
    </row>
    <row r="12" spans="2:56" ht="12" customHeight="1" x14ac:dyDescent="0.25">
      <c r="B12" s="204"/>
      <c r="C12" s="314"/>
      <c r="D12" s="314"/>
      <c r="E12" s="314"/>
      <c r="F12" s="314"/>
      <c r="G12" s="314"/>
      <c r="H12" s="314"/>
      <c r="I12" s="314"/>
      <c r="J12" s="314"/>
      <c r="K12" s="314"/>
      <c r="L12" s="315"/>
      <c r="M12" s="224"/>
      <c r="N12" s="283"/>
      <c r="O12" s="283"/>
      <c r="P12" s="283"/>
      <c r="Q12" s="283"/>
      <c r="R12" s="283"/>
      <c r="S12" s="283"/>
      <c r="T12" s="283"/>
      <c r="U12" s="283"/>
      <c r="V12" s="283"/>
      <c r="W12" s="335"/>
      <c r="X12" s="224"/>
      <c r="Y12" s="283"/>
      <c r="Z12" s="283"/>
      <c r="AA12" s="283"/>
      <c r="AB12" s="283"/>
      <c r="AC12" s="283"/>
      <c r="AD12" s="283"/>
      <c r="AE12" s="283"/>
      <c r="AF12" s="283"/>
      <c r="AG12" s="283"/>
      <c r="AH12" s="335"/>
      <c r="AI12" s="224"/>
      <c r="AJ12" s="283"/>
      <c r="AK12" s="283"/>
      <c r="AL12" s="283"/>
      <c r="AM12" s="283"/>
      <c r="AN12" s="283"/>
      <c r="AO12" s="283"/>
      <c r="AP12" s="283"/>
      <c r="AQ12" s="283"/>
      <c r="AR12" s="283"/>
      <c r="AS12" s="335"/>
      <c r="AT12" s="222"/>
      <c r="AU12" s="291"/>
      <c r="AV12" s="291"/>
      <c r="AW12" s="291"/>
      <c r="AX12" s="291"/>
      <c r="AY12" s="291"/>
      <c r="AZ12" s="291"/>
      <c r="BA12" s="291"/>
      <c r="BB12" s="291"/>
      <c r="BC12" s="291"/>
      <c r="BD12" s="292"/>
    </row>
    <row r="13" spans="2:56" ht="12" customHeight="1" x14ac:dyDescent="0.25">
      <c r="B13" s="204"/>
      <c r="C13" s="314"/>
      <c r="D13" s="314"/>
      <c r="E13" s="314"/>
      <c r="F13" s="314"/>
      <c r="G13" s="314"/>
      <c r="H13" s="314"/>
      <c r="I13" s="314"/>
      <c r="J13" s="314"/>
      <c r="K13" s="314"/>
      <c r="L13" s="315"/>
      <c r="M13" s="224"/>
      <c r="N13" s="283"/>
      <c r="O13" s="283"/>
      <c r="P13" s="283"/>
      <c r="Q13" s="283"/>
      <c r="R13" s="283"/>
      <c r="S13" s="283"/>
      <c r="T13" s="283"/>
      <c r="U13" s="283"/>
      <c r="V13" s="283"/>
      <c r="W13" s="335"/>
      <c r="X13" s="224"/>
      <c r="Y13" s="283"/>
      <c r="Z13" s="283"/>
      <c r="AA13" s="283"/>
      <c r="AB13" s="283"/>
      <c r="AC13" s="283"/>
      <c r="AD13" s="283"/>
      <c r="AE13" s="283"/>
      <c r="AF13" s="283"/>
      <c r="AG13" s="283"/>
      <c r="AH13" s="335"/>
      <c r="AI13" s="224"/>
      <c r="AJ13" s="283"/>
      <c r="AK13" s="283"/>
      <c r="AL13" s="283"/>
      <c r="AM13" s="283"/>
      <c r="AN13" s="283"/>
      <c r="AO13" s="283"/>
      <c r="AP13" s="283"/>
      <c r="AQ13" s="283"/>
      <c r="AR13" s="283"/>
      <c r="AS13" s="335"/>
      <c r="AT13" s="222"/>
      <c r="AU13" s="291"/>
      <c r="AV13" s="291"/>
      <c r="AW13" s="291"/>
      <c r="AX13" s="291"/>
      <c r="AY13" s="291"/>
      <c r="AZ13" s="291"/>
      <c r="BA13" s="291"/>
      <c r="BB13" s="291"/>
      <c r="BC13" s="291"/>
      <c r="BD13" s="292"/>
    </row>
    <row r="14" spans="2:56" ht="12" customHeight="1" x14ac:dyDescent="0.25">
      <c r="B14" s="204"/>
      <c r="C14" s="314"/>
      <c r="D14" s="314"/>
      <c r="E14" s="314"/>
      <c r="F14" s="314"/>
      <c r="G14" s="314"/>
      <c r="H14" s="314"/>
      <c r="I14" s="314"/>
      <c r="J14" s="314"/>
      <c r="K14" s="314"/>
      <c r="L14" s="315"/>
      <c r="M14" s="224"/>
      <c r="N14" s="283"/>
      <c r="O14" s="283"/>
      <c r="P14" s="283"/>
      <c r="Q14" s="283"/>
      <c r="R14" s="283"/>
      <c r="S14" s="283"/>
      <c r="T14" s="283"/>
      <c r="U14" s="283"/>
      <c r="V14" s="283"/>
      <c r="W14" s="335"/>
      <c r="X14" s="224"/>
      <c r="Y14" s="283"/>
      <c r="Z14" s="283"/>
      <c r="AA14" s="283"/>
      <c r="AB14" s="283"/>
      <c r="AC14" s="283"/>
      <c r="AD14" s="283"/>
      <c r="AE14" s="283"/>
      <c r="AF14" s="283"/>
      <c r="AG14" s="283"/>
      <c r="AH14" s="335"/>
      <c r="AI14" s="224"/>
      <c r="AJ14" s="283"/>
      <c r="AK14" s="283"/>
      <c r="AL14" s="283"/>
      <c r="AM14" s="283"/>
      <c r="AN14" s="283"/>
      <c r="AO14" s="283"/>
      <c r="AP14" s="283"/>
      <c r="AQ14" s="283"/>
      <c r="AR14" s="283"/>
      <c r="AS14" s="335"/>
      <c r="AT14" s="222"/>
      <c r="AU14" s="291"/>
      <c r="AV14" s="291"/>
      <c r="AW14" s="291"/>
      <c r="AX14" s="291"/>
      <c r="AY14" s="291"/>
      <c r="AZ14" s="291"/>
      <c r="BA14" s="291"/>
      <c r="BB14" s="291"/>
      <c r="BC14" s="291"/>
      <c r="BD14" s="292"/>
    </row>
    <row r="15" spans="2:56" ht="12" customHeight="1" x14ac:dyDescent="0.25">
      <c r="B15" s="204"/>
      <c r="C15" s="314"/>
      <c r="D15" s="314"/>
      <c r="E15" s="314"/>
      <c r="F15" s="314"/>
      <c r="G15" s="314"/>
      <c r="H15" s="314"/>
      <c r="I15" s="314"/>
      <c r="J15" s="314"/>
      <c r="K15" s="314"/>
      <c r="L15" s="315"/>
      <c r="M15" s="224"/>
      <c r="N15" s="283"/>
      <c r="O15" s="283"/>
      <c r="P15" s="283"/>
      <c r="Q15" s="283"/>
      <c r="R15" s="283"/>
      <c r="S15" s="283"/>
      <c r="T15" s="283"/>
      <c r="U15" s="283"/>
      <c r="V15" s="283"/>
      <c r="W15" s="335"/>
      <c r="X15" s="224"/>
      <c r="Y15" s="283"/>
      <c r="Z15" s="283"/>
      <c r="AA15" s="283"/>
      <c r="AB15" s="283"/>
      <c r="AC15" s="283"/>
      <c r="AD15" s="283"/>
      <c r="AE15" s="283"/>
      <c r="AF15" s="283"/>
      <c r="AG15" s="283"/>
      <c r="AH15" s="335"/>
      <c r="AI15" s="224"/>
      <c r="AJ15" s="283"/>
      <c r="AK15" s="283"/>
      <c r="AL15" s="283"/>
      <c r="AM15" s="283"/>
      <c r="AN15" s="283"/>
      <c r="AO15" s="283"/>
      <c r="AP15" s="283"/>
      <c r="AQ15" s="283"/>
      <c r="AR15" s="283"/>
      <c r="AS15" s="335"/>
      <c r="AT15" s="222"/>
      <c r="AU15" s="291"/>
      <c r="AV15" s="291"/>
      <c r="AW15" s="291"/>
      <c r="AX15" s="291"/>
      <c r="AY15" s="291"/>
      <c r="AZ15" s="291"/>
      <c r="BA15" s="291"/>
      <c r="BB15" s="291"/>
      <c r="BC15" s="291"/>
      <c r="BD15" s="292"/>
    </row>
    <row r="16" spans="2:56" ht="12" customHeight="1" x14ac:dyDescent="0.25">
      <c r="B16" s="204"/>
      <c r="C16" s="314"/>
      <c r="D16" s="314"/>
      <c r="E16" s="314"/>
      <c r="F16" s="314"/>
      <c r="G16" s="314"/>
      <c r="H16" s="314"/>
      <c r="I16" s="314"/>
      <c r="J16" s="314"/>
      <c r="K16" s="314"/>
      <c r="L16" s="315"/>
      <c r="M16" s="224"/>
      <c r="N16" s="283"/>
      <c r="O16" s="283"/>
      <c r="P16" s="283"/>
      <c r="Q16" s="283"/>
      <c r="R16" s="283"/>
      <c r="S16" s="283"/>
      <c r="T16" s="283"/>
      <c r="U16" s="283"/>
      <c r="V16" s="283"/>
      <c r="W16" s="335"/>
      <c r="X16" s="224"/>
      <c r="Y16" s="283"/>
      <c r="Z16" s="283"/>
      <c r="AA16" s="283"/>
      <c r="AB16" s="283"/>
      <c r="AC16" s="283"/>
      <c r="AD16" s="283"/>
      <c r="AE16" s="283"/>
      <c r="AF16" s="283"/>
      <c r="AG16" s="283"/>
      <c r="AH16" s="335"/>
      <c r="AI16" s="224"/>
      <c r="AJ16" s="283"/>
      <c r="AK16" s="283"/>
      <c r="AL16" s="283"/>
      <c r="AM16" s="283"/>
      <c r="AN16" s="283"/>
      <c r="AO16" s="283"/>
      <c r="AP16" s="283"/>
      <c r="AQ16" s="283"/>
      <c r="AR16" s="283"/>
      <c r="AS16" s="335"/>
      <c r="AT16" s="222"/>
      <c r="AU16" s="291"/>
      <c r="AV16" s="291"/>
      <c r="AW16" s="291"/>
      <c r="AX16" s="291"/>
      <c r="AY16" s="291"/>
      <c r="AZ16" s="291"/>
      <c r="BA16" s="291"/>
      <c r="BB16" s="291"/>
      <c r="BC16" s="291"/>
      <c r="BD16" s="292"/>
    </row>
    <row r="17" spans="2:56" ht="12" customHeight="1" x14ac:dyDescent="0.25">
      <c r="B17" s="339"/>
      <c r="C17" s="340"/>
      <c r="D17" s="340"/>
      <c r="E17" s="340"/>
      <c r="F17" s="340"/>
      <c r="G17" s="340"/>
      <c r="H17" s="340"/>
      <c r="I17" s="340"/>
      <c r="J17" s="340"/>
      <c r="K17" s="340"/>
      <c r="L17" s="341"/>
      <c r="M17" s="336"/>
      <c r="N17" s="337"/>
      <c r="O17" s="337"/>
      <c r="P17" s="337"/>
      <c r="Q17" s="337"/>
      <c r="R17" s="337"/>
      <c r="S17" s="337"/>
      <c r="T17" s="337"/>
      <c r="U17" s="337"/>
      <c r="V17" s="337"/>
      <c r="W17" s="338"/>
      <c r="X17" s="336"/>
      <c r="Y17" s="337"/>
      <c r="Z17" s="337"/>
      <c r="AA17" s="337"/>
      <c r="AB17" s="337"/>
      <c r="AC17" s="337"/>
      <c r="AD17" s="337"/>
      <c r="AE17" s="337"/>
      <c r="AF17" s="337"/>
      <c r="AG17" s="337"/>
      <c r="AH17" s="338"/>
      <c r="AI17" s="336"/>
      <c r="AJ17" s="337"/>
      <c r="AK17" s="337"/>
      <c r="AL17" s="337"/>
      <c r="AM17" s="337"/>
      <c r="AN17" s="337"/>
      <c r="AO17" s="337"/>
      <c r="AP17" s="337"/>
      <c r="AQ17" s="337"/>
      <c r="AR17" s="337"/>
      <c r="AS17" s="338"/>
      <c r="AT17" s="178"/>
      <c r="AU17" s="327"/>
      <c r="AV17" s="327"/>
      <c r="AW17" s="327"/>
      <c r="AX17" s="327"/>
      <c r="AY17" s="327"/>
      <c r="AZ17" s="327"/>
      <c r="BA17" s="327"/>
      <c r="BB17" s="327"/>
      <c r="BC17" s="327"/>
      <c r="BD17" s="328"/>
    </row>
    <row r="18" spans="2:56" ht="12" customHeight="1" x14ac:dyDescent="0.25">
      <c r="B18" s="210" t="s">
        <v>233</v>
      </c>
      <c r="C18" s="207"/>
      <c r="D18" s="207"/>
      <c r="E18" s="207"/>
      <c r="F18" s="207"/>
      <c r="G18" s="207"/>
      <c r="H18" s="207"/>
      <c r="I18" s="207"/>
      <c r="J18" s="207"/>
      <c r="K18" s="207"/>
      <c r="L18" s="326"/>
      <c r="M18" s="211" t="s">
        <v>234</v>
      </c>
      <c r="N18" s="207"/>
      <c r="O18" s="207"/>
      <c r="P18" s="207"/>
      <c r="Q18" s="207"/>
      <c r="R18" s="207"/>
      <c r="S18" s="207"/>
      <c r="T18" s="207"/>
      <c r="U18" s="207"/>
      <c r="V18" s="207"/>
      <c r="W18" s="326"/>
      <c r="X18" s="211" t="s">
        <v>235</v>
      </c>
      <c r="Y18" s="207"/>
      <c r="Z18" s="207"/>
      <c r="AA18" s="207"/>
      <c r="AB18" s="207"/>
      <c r="AC18" s="207"/>
      <c r="AD18" s="207"/>
      <c r="AE18" s="207"/>
      <c r="AF18" s="207"/>
      <c r="AG18" s="207"/>
      <c r="AH18" s="326"/>
      <c r="AI18" s="233" t="s">
        <v>236</v>
      </c>
      <c r="AJ18" s="368"/>
      <c r="AK18" s="368"/>
      <c r="AL18" s="368"/>
      <c r="AM18" s="368"/>
      <c r="AN18" s="368"/>
      <c r="AO18" s="368"/>
      <c r="AP18" s="368"/>
      <c r="AQ18" s="368"/>
      <c r="AR18" s="368"/>
      <c r="AS18" s="369"/>
      <c r="AT18" s="180" t="s">
        <v>237</v>
      </c>
      <c r="AU18" s="319"/>
      <c r="AV18" s="319"/>
      <c r="AW18" s="319"/>
      <c r="AX18" s="319"/>
      <c r="AY18" s="319"/>
      <c r="AZ18" s="319"/>
      <c r="BA18" s="319"/>
      <c r="BB18" s="319"/>
      <c r="BC18" s="319"/>
      <c r="BD18" s="320"/>
    </row>
    <row r="19" spans="2:56" ht="12" customHeight="1" x14ac:dyDescent="0.25">
      <c r="B19" s="186"/>
      <c r="C19" s="312"/>
      <c r="D19" s="312"/>
      <c r="E19" s="312"/>
      <c r="F19" s="312"/>
      <c r="G19" s="312"/>
      <c r="H19" s="312"/>
      <c r="I19" s="312"/>
      <c r="J19" s="312"/>
      <c r="K19" s="312"/>
      <c r="L19" s="313"/>
      <c r="M19" s="205"/>
      <c r="N19" s="361"/>
      <c r="O19" s="361"/>
      <c r="P19" s="361"/>
      <c r="Q19" s="361"/>
      <c r="R19" s="361"/>
      <c r="S19" s="361"/>
      <c r="T19" s="361"/>
      <c r="U19" s="361"/>
      <c r="V19" s="361"/>
      <c r="W19" s="362"/>
      <c r="X19" s="234"/>
      <c r="Y19" s="354"/>
      <c r="Z19" s="354"/>
      <c r="AA19" s="354"/>
      <c r="AB19" s="354"/>
      <c r="AC19" s="354"/>
      <c r="AD19" s="354"/>
      <c r="AE19" s="354"/>
      <c r="AF19" s="354"/>
      <c r="AG19" s="354"/>
      <c r="AH19" s="355"/>
      <c r="AI19" s="198"/>
      <c r="AJ19" s="347"/>
      <c r="AK19" s="347"/>
      <c r="AL19" s="347"/>
      <c r="AM19" s="347"/>
      <c r="AN19" s="347"/>
      <c r="AO19" s="347"/>
      <c r="AP19" s="347"/>
      <c r="AQ19" s="347"/>
      <c r="AR19" s="347"/>
      <c r="AS19" s="348"/>
      <c r="AT19" s="203"/>
      <c r="AU19" s="279"/>
      <c r="AV19" s="279"/>
      <c r="AW19" s="279"/>
      <c r="AX19" s="279"/>
      <c r="AY19" s="279"/>
      <c r="AZ19" s="279"/>
      <c r="BA19" s="279"/>
      <c r="BB19" s="279"/>
      <c r="BC19" s="279"/>
      <c r="BD19" s="290"/>
    </row>
    <row r="20" spans="2:56" ht="12" customHeight="1" x14ac:dyDescent="0.25">
      <c r="B20" s="204"/>
      <c r="C20" s="314"/>
      <c r="D20" s="314"/>
      <c r="E20" s="314"/>
      <c r="F20" s="314"/>
      <c r="G20" s="314"/>
      <c r="H20" s="314"/>
      <c r="I20" s="314"/>
      <c r="J20" s="314"/>
      <c r="K20" s="314"/>
      <c r="L20" s="315"/>
      <c r="M20" s="206"/>
      <c r="N20" s="363"/>
      <c r="O20" s="363"/>
      <c r="P20" s="363"/>
      <c r="Q20" s="363"/>
      <c r="R20" s="363"/>
      <c r="S20" s="363"/>
      <c r="T20" s="363"/>
      <c r="U20" s="363"/>
      <c r="V20" s="363"/>
      <c r="W20" s="364"/>
      <c r="X20" s="235"/>
      <c r="Y20" s="356"/>
      <c r="Z20" s="356"/>
      <c r="AA20" s="356"/>
      <c r="AB20" s="356"/>
      <c r="AC20" s="356"/>
      <c r="AD20" s="356"/>
      <c r="AE20" s="356"/>
      <c r="AF20" s="356"/>
      <c r="AG20" s="356"/>
      <c r="AH20" s="357"/>
      <c r="AI20" s="236"/>
      <c r="AJ20" s="349"/>
      <c r="AK20" s="349"/>
      <c r="AL20" s="349"/>
      <c r="AM20" s="349"/>
      <c r="AN20" s="349"/>
      <c r="AO20" s="349"/>
      <c r="AP20" s="349"/>
      <c r="AQ20" s="349"/>
      <c r="AR20" s="349"/>
      <c r="AS20" s="350"/>
      <c r="AT20" s="222"/>
      <c r="AU20" s="291"/>
      <c r="AV20" s="291"/>
      <c r="AW20" s="291"/>
      <c r="AX20" s="291"/>
      <c r="AY20" s="291"/>
      <c r="AZ20" s="291"/>
      <c r="BA20" s="291"/>
      <c r="BB20" s="291"/>
      <c r="BC20" s="291"/>
      <c r="BD20" s="292"/>
    </row>
    <row r="21" spans="2:56" ht="12" customHeight="1" x14ac:dyDescent="0.25">
      <c r="B21" s="204"/>
      <c r="C21" s="314"/>
      <c r="D21" s="314"/>
      <c r="E21" s="314"/>
      <c r="F21" s="314"/>
      <c r="G21" s="314"/>
      <c r="H21" s="314"/>
      <c r="I21" s="314"/>
      <c r="J21" s="314"/>
      <c r="K21" s="314"/>
      <c r="L21" s="315"/>
      <c r="M21" s="206"/>
      <c r="N21" s="363"/>
      <c r="O21" s="363"/>
      <c r="P21" s="363"/>
      <c r="Q21" s="363"/>
      <c r="R21" s="363"/>
      <c r="S21" s="363"/>
      <c r="T21" s="363"/>
      <c r="U21" s="363"/>
      <c r="V21" s="363"/>
      <c r="W21" s="364"/>
      <c r="X21" s="235"/>
      <c r="Y21" s="356"/>
      <c r="Z21" s="356"/>
      <c r="AA21" s="356"/>
      <c r="AB21" s="356"/>
      <c r="AC21" s="356"/>
      <c r="AD21" s="356"/>
      <c r="AE21" s="356"/>
      <c r="AF21" s="356"/>
      <c r="AG21" s="356"/>
      <c r="AH21" s="357"/>
      <c r="AI21" s="236"/>
      <c r="AJ21" s="349"/>
      <c r="AK21" s="349"/>
      <c r="AL21" s="349"/>
      <c r="AM21" s="349"/>
      <c r="AN21" s="349"/>
      <c r="AO21" s="349"/>
      <c r="AP21" s="349"/>
      <c r="AQ21" s="349"/>
      <c r="AR21" s="349"/>
      <c r="AS21" s="350"/>
      <c r="AT21" s="222"/>
      <c r="AU21" s="291"/>
      <c r="AV21" s="291"/>
      <c r="AW21" s="291"/>
      <c r="AX21" s="291"/>
      <c r="AY21" s="291"/>
      <c r="AZ21" s="291"/>
      <c r="BA21" s="291"/>
      <c r="BB21" s="291"/>
      <c r="BC21" s="291"/>
      <c r="BD21" s="292"/>
    </row>
    <row r="22" spans="2:56" ht="12" customHeight="1" x14ac:dyDescent="0.25">
      <c r="B22" s="204"/>
      <c r="C22" s="314"/>
      <c r="D22" s="314"/>
      <c r="E22" s="314"/>
      <c r="F22" s="314"/>
      <c r="G22" s="314"/>
      <c r="H22" s="314"/>
      <c r="I22" s="314"/>
      <c r="J22" s="314"/>
      <c r="K22" s="314"/>
      <c r="L22" s="315"/>
      <c r="M22" s="206"/>
      <c r="N22" s="363"/>
      <c r="O22" s="363"/>
      <c r="P22" s="363"/>
      <c r="Q22" s="363"/>
      <c r="R22" s="363"/>
      <c r="S22" s="363"/>
      <c r="T22" s="363"/>
      <c r="U22" s="363"/>
      <c r="V22" s="363"/>
      <c r="W22" s="364"/>
      <c r="X22" s="235"/>
      <c r="Y22" s="356"/>
      <c r="Z22" s="356"/>
      <c r="AA22" s="356"/>
      <c r="AB22" s="356"/>
      <c r="AC22" s="356"/>
      <c r="AD22" s="356"/>
      <c r="AE22" s="356"/>
      <c r="AF22" s="356"/>
      <c r="AG22" s="356"/>
      <c r="AH22" s="357"/>
      <c r="AI22" s="236"/>
      <c r="AJ22" s="349"/>
      <c r="AK22" s="349"/>
      <c r="AL22" s="349"/>
      <c r="AM22" s="349"/>
      <c r="AN22" s="349"/>
      <c r="AO22" s="349"/>
      <c r="AP22" s="349"/>
      <c r="AQ22" s="349"/>
      <c r="AR22" s="349"/>
      <c r="AS22" s="350"/>
      <c r="AT22" s="222"/>
      <c r="AU22" s="291"/>
      <c r="AV22" s="291"/>
      <c r="AW22" s="291"/>
      <c r="AX22" s="291"/>
      <c r="AY22" s="291"/>
      <c r="AZ22" s="291"/>
      <c r="BA22" s="291"/>
      <c r="BB22" s="291"/>
      <c r="BC22" s="291"/>
      <c r="BD22" s="292"/>
    </row>
    <row r="23" spans="2:56" ht="12" customHeight="1" x14ac:dyDescent="0.25">
      <c r="B23" s="204"/>
      <c r="C23" s="314"/>
      <c r="D23" s="314"/>
      <c r="E23" s="314"/>
      <c r="F23" s="314"/>
      <c r="G23" s="314"/>
      <c r="H23" s="314"/>
      <c r="I23" s="314"/>
      <c r="J23" s="314"/>
      <c r="K23" s="314"/>
      <c r="L23" s="315"/>
      <c r="M23" s="206"/>
      <c r="N23" s="363"/>
      <c r="O23" s="363"/>
      <c r="P23" s="363"/>
      <c r="Q23" s="363"/>
      <c r="R23" s="363"/>
      <c r="S23" s="363"/>
      <c r="T23" s="363"/>
      <c r="U23" s="363"/>
      <c r="V23" s="363"/>
      <c r="W23" s="364"/>
      <c r="X23" s="235"/>
      <c r="Y23" s="356"/>
      <c r="Z23" s="356"/>
      <c r="AA23" s="356"/>
      <c r="AB23" s="356"/>
      <c r="AC23" s="356"/>
      <c r="AD23" s="356"/>
      <c r="AE23" s="356"/>
      <c r="AF23" s="356"/>
      <c r="AG23" s="356"/>
      <c r="AH23" s="357"/>
      <c r="AI23" s="236"/>
      <c r="AJ23" s="349"/>
      <c r="AK23" s="349"/>
      <c r="AL23" s="349"/>
      <c r="AM23" s="349"/>
      <c r="AN23" s="349"/>
      <c r="AO23" s="349"/>
      <c r="AP23" s="349"/>
      <c r="AQ23" s="349"/>
      <c r="AR23" s="349"/>
      <c r="AS23" s="350"/>
      <c r="AT23" s="222"/>
      <c r="AU23" s="291"/>
      <c r="AV23" s="291"/>
      <c r="AW23" s="291"/>
      <c r="AX23" s="291"/>
      <c r="AY23" s="291"/>
      <c r="AZ23" s="291"/>
      <c r="BA23" s="291"/>
      <c r="BB23" s="291"/>
      <c r="BC23" s="291"/>
      <c r="BD23" s="292"/>
    </row>
    <row r="24" spans="2:56" ht="12" customHeight="1" x14ac:dyDescent="0.25">
      <c r="B24" s="204"/>
      <c r="C24" s="314"/>
      <c r="D24" s="314"/>
      <c r="E24" s="314"/>
      <c r="F24" s="314"/>
      <c r="G24" s="314"/>
      <c r="H24" s="314"/>
      <c r="I24" s="314"/>
      <c r="J24" s="314"/>
      <c r="K24" s="314"/>
      <c r="L24" s="315"/>
      <c r="M24" s="206"/>
      <c r="N24" s="363"/>
      <c r="O24" s="363"/>
      <c r="P24" s="363"/>
      <c r="Q24" s="363"/>
      <c r="R24" s="363"/>
      <c r="S24" s="363"/>
      <c r="T24" s="363"/>
      <c r="U24" s="363"/>
      <c r="V24" s="363"/>
      <c r="W24" s="364"/>
      <c r="X24" s="235"/>
      <c r="Y24" s="356"/>
      <c r="Z24" s="356"/>
      <c r="AA24" s="356"/>
      <c r="AB24" s="356"/>
      <c r="AC24" s="356"/>
      <c r="AD24" s="356"/>
      <c r="AE24" s="356"/>
      <c r="AF24" s="356"/>
      <c r="AG24" s="356"/>
      <c r="AH24" s="357"/>
      <c r="AI24" s="236"/>
      <c r="AJ24" s="349"/>
      <c r="AK24" s="349"/>
      <c r="AL24" s="349"/>
      <c r="AM24" s="349"/>
      <c r="AN24" s="349"/>
      <c r="AO24" s="349"/>
      <c r="AP24" s="349"/>
      <c r="AQ24" s="349"/>
      <c r="AR24" s="349"/>
      <c r="AS24" s="350"/>
      <c r="AT24" s="222"/>
      <c r="AU24" s="291"/>
      <c r="AV24" s="291"/>
      <c r="AW24" s="291"/>
      <c r="AX24" s="291"/>
      <c r="AY24" s="291"/>
      <c r="AZ24" s="291"/>
      <c r="BA24" s="291"/>
      <c r="BB24" s="291"/>
      <c r="BC24" s="291"/>
      <c r="BD24" s="292"/>
    </row>
    <row r="25" spans="2:56" ht="12" customHeight="1" x14ac:dyDescent="0.25">
      <c r="B25" s="339"/>
      <c r="C25" s="340"/>
      <c r="D25" s="340"/>
      <c r="E25" s="340"/>
      <c r="F25" s="340"/>
      <c r="G25" s="340"/>
      <c r="H25" s="340"/>
      <c r="I25" s="340"/>
      <c r="J25" s="340"/>
      <c r="K25" s="340"/>
      <c r="L25" s="341"/>
      <c r="M25" s="365"/>
      <c r="N25" s="366"/>
      <c r="O25" s="366"/>
      <c r="P25" s="366"/>
      <c r="Q25" s="366"/>
      <c r="R25" s="366"/>
      <c r="S25" s="366"/>
      <c r="T25" s="366"/>
      <c r="U25" s="366"/>
      <c r="V25" s="366"/>
      <c r="W25" s="367"/>
      <c r="X25" s="358"/>
      <c r="Y25" s="359"/>
      <c r="Z25" s="359"/>
      <c r="AA25" s="359"/>
      <c r="AB25" s="359"/>
      <c r="AC25" s="359"/>
      <c r="AD25" s="359"/>
      <c r="AE25" s="359"/>
      <c r="AF25" s="359"/>
      <c r="AG25" s="359"/>
      <c r="AH25" s="360"/>
      <c r="AI25" s="351"/>
      <c r="AJ25" s="352"/>
      <c r="AK25" s="352"/>
      <c r="AL25" s="352"/>
      <c r="AM25" s="352"/>
      <c r="AN25" s="352"/>
      <c r="AO25" s="352"/>
      <c r="AP25" s="352"/>
      <c r="AQ25" s="352"/>
      <c r="AR25" s="352"/>
      <c r="AS25" s="353"/>
      <c r="AT25" s="178"/>
      <c r="AU25" s="327"/>
      <c r="AV25" s="327"/>
      <c r="AW25" s="327"/>
      <c r="AX25" s="327"/>
      <c r="AY25" s="327"/>
      <c r="AZ25" s="327"/>
      <c r="BA25" s="327"/>
      <c r="BB25" s="327"/>
      <c r="BC25" s="327"/>
      <c r="BD25" s="328"/>
    </row>
    <row r="26" spans="2:56" ht="12" customHeight="1" x14ac:dyDescent="0.25">
      <c r="B26" s="210" t="s">
        <v>238</v>
      </c>
      <c r="C26" s="207"/>
      <c r="D26" s="207"/>
      <c r="E26" s="207"/>
      <c r="F26" s="207"/>
      <c r="G26" s="207"/>
      <c r="H26" s="207"/>
      <c r="I26" s="207"/>
      <c r="J26" s="207"/>
      <c r="K26" s="207"/>
      <c r="L26" s="326"/>
      <c r="M26" s="226" t="s">
        <v>239</v>
      </c>
      <c r="N26" s="342"/>
      <c r="O26" s="342"/>
      <c r="P26" s="342"/>
      <c r="Q26" s="342"/>
      <c r="R26" s="342"/>
      <c r="S26" s="342"/>
      <c r="T26" s="342"/>
      <c r="U26" s="342"/>
      <c r="V26" s="342"/>
      <c r="W26" s="343"/>
      <c r="X26" s="214" t="s">
        <v>240</v>
      </c>
      <c r="Y26" s="322"/>
      <c r="Z26" s="322"/>
      <c r="AA26" s="322"/>
      <c r="AB26" s="322"/>
      <c r="AC26" s="322"/>
      <c r="AD26" s="322"/>
      <c r="AE26" s="322"/>
      <c r="AF26" s="322"/>
      <c r="AG26" s="322"/>
      <c r="AH26" s="323"/>
      <c r="AI26" s="180" t="s">
        <v>241</v>
      </c>
      <c r="AJ26" s="319"/>
      <c r="AK26" s="319"/>
      <c r="AL26" s="319"/>
      <c r="AM26" s="319"/>
      <c r="AN26" s="319"/>
      <c r="AO26" s="319"/>
      <c r="AP26" s="319"/>
      <c r="AQ26" s="319"/>
      <c r="AR26" s="319"/>
      <c r="AS26" s="321"/>
      <c r="AT26" s="180" t="s">
        <v>242</v>
      </c>
      <c r="AU26" s="319"/>
      <c r="AV26" s="319"/>
      <c r="AW26" s="319"/>
      <c r="AX26" s="319"/>
      <c r="AY26" s="319"/>
      <c r="AZ26" s="319"/>
      <c r="BA26" s="319"/>
      <c r="BB26" s="319"/>
      <c r="BC26" s="319"/>
      <c r="BD26" s="320"/>
    </row>
    <row r="27" spans="2:56" ht="12" customHeight="1" x14ac:dyDescent="0.25">
      <c r="B27" s="186"/>
      <c r="C27" s="312"/>
      <c r="D27" s="312"/>
      <c r="E27" s="312"/>
      <c r="F27" s="312"/>
      <c r="G27" s="312"/>
      <c r="H27" s="312"/>
      <c r="I27" s="312"/>
      <c r="J27" s="312"/>
      <c r="K27" s="312"/>
      <c r="L27" s="313"/>
      <c r="M27" s="212"/>
      <c r="N27" s="305"/>
      <c r="O27" s="305"/>
      <c r="P27" s="305"/>
      <c r="Q27" s="305"/>
      <c r="R27" s="305"/>
      <c r="S27" s="305"/>
      <c r="T27" s="305"/>
      <c r="U27" s="305"/>
      <c r="V27" s="305"/>
      <c r="W27" s="306"/>
      <c r="X27" s="197"/>
      <c r="Y27" s="298"/>
      <c r="Z27" s="298"/>
      <c r="AA27" s="298"/>
      <c r="AB27" s="298"/>
      <c r="AC27" s="298"/>
      <c r="AD27" s="298"/>
      <c r="AE27" s="298"/>
      <c r="AF27" s="298"/>
      <c r="AG27" s="298"/>
      <c r="AH27" s="299"/>
      <c r="AI27" s="203"/>
      <c r="AJ27" s="279"/>
      <c r="AK27" s="279"/>
      <c r="AL27" s="279"/>
      <c r="AM27" s="279"/>
      <c r="AN27" s="279"/>
      <c r="AO27" s="279"/>
      <c r="AP27" s="279"/>
      <c r="AQ27" s="279"/>
      <c r="AR27" s="279"/>
      <c r="AS27" s="280"/>
      <c r="AT27" s="203"/>
      <c r="AU27" s="279"/>
      <c r="AV27" s="279"/>
      <c r="AW27" s="279"/>
      <c r="AX27" s="279"/>
      <c r="AY27" s="279"/>
      <c r="AZ27" s="279"/>
      <c r="BA27" s="279"/>
      <c r="BB27" s="279"/>
      <c r="BC27" s="279"/>
      <c r="BD27" s="290"/>
    </row>
    <row r="28" spans="2:56" ht="12" customHeight="1" x14ac:dyDescent="0.25">
      <c r="B28" s="204"/>
      <c r="C28" s="314"/>
      <c r="D28" s="314"/>
      <c r="E28" s="314"/>
      <c r="F28" s="314"/>
      <c r="G28" s="314"/>
      <c r="H28" s="314"/>
      <c r="I28" s="314"/>
      <c r="J28" s="314"/>
      <c r="K28" s="314"/>
      <c r="L28" s="315"/>
      <c r="M28" s="219"/>
      <c r="N28" s="307"/>
      <c r="O28" s="307"/>
      <c r="P28" s="307"/>
      <c r="Q28" s="307"/>
      <c r="R28" s="307"/>
      <c r="S28" s="307"/>
      <c r="T28" s="307"/>
      <c r="U28" s="307"/>
      <c r="V28" s="307"/>
      <c r="W28" s="308"/>
      <c r="X28" s="221"/>
      <c r="Y28" s="300"/>
      <c r="Z28" s="300"/>
      <c r="AA28" s="300"/>
      <c r="AB28" s="300"/>
      <c r="AC28" s="300"/>
      <c r="AD28" s="300"/>
      <c r="AE28" s="300"/>
      <c r="AF28" s="300"/>
      <c r="AG28" s="300"/>
      <c r="AH28" s="301"/>
      <c r="AI28" s="222"/>
      <c r="AJ28" s="291"/>
      <c r="AK28" s="291"/>
      <c r="AL28" s="291"/>
      <c r="AM28" s="291"/>
      <c r="AN28" s="291"/>
      <c r="AO28" s="291"/>
      <c r="AP28" s="291"/>
      <c r="AQ28" s="291"/>
      <c r="AR28" s="291"/>
      <c r="AS28" s="296"/>
      <c r="AT28" s="222"/>
      <c r="AU28" s="291"/>
      <c r="AV28" s="291"/>
      <c r="AW28" s="291"/>
      <c r="AX28" s="291"/>
      <c r="AY28" s="291"/>
      <c r="AZ28" s="291"/>
      <c r="BA28" s="291"/>
      <c r="BB28" s="291"/>
      <c r="BC28" s="291"/>
      <c r="BD28" s="292"/>
    </row>
    <row r="29" spans="2:56" ht="12" customHeight="1" x14ac:dyDescent="0.25">
      <c r="B29" s="204"/>
      <c r="C29" s="314"/>
      <c r="D29" s="314"/>
      <c r="E29" s="314"/>
      <c r="F29" s="314"/>
      <c r="G29" s="314"/>
      <c r="H29" s="314"/>
      <c r="I29" s="314"/>
      <c r="J29" s="314"/>
      <c r="K29" s="314"/>
      <c r="L29" s="315"/>
      <c r="M29" s="219"/>
      <c r="N29" s="307"/>
      <c r="O29" s="307"/>
      <c r="P29" s="307"/>
      <c r="Q29" s="307"/>
      <c r="R29" s="307"/>
      <c r="S29" s="307"/>
      <c r="T29" s="307"/>
      <c r="U29" s="307"/>
      <c r="V29" s="307"/>
      <c r="W29" s="308"/>
      <c r="X29" s="221"/>
      <c r="Y29" s="300"/>
      <c r="Z29" s="300"/>
      <c r="AA29" s="300"/>
      <c r="AB29" s="300"/>
      <c r="AC29" s="300"/>
      <c r="AD29" s="300"/>
      <c r="AE29" s="300"/>
      <c r="AF29" s="300"/>
      <c r="AG29" s="300"/>
      <c r="AH29" s="301"/>
      <c r="AI29" s="222"/>
      <c r="AJ29" s="291"/>
      <c r="AK29" s="291"/>
      <c r="AL29" s="291"/>
      <c r="AM29" s="291"/>
      <c r="AN29" s="291"/>
      <c r="AO29" s="291"/>
      <c r="AP29" s="291"/>
      <c r="AQ29" s="291"/>
      <c r="AR29" s="291"/>
      <c r="AS29" s="296"/>
      <c r="AT29" s="222"/>
      <c r="AU29" s="291"/>
      <c r="AV29" s="291"/>
      <c r="AW29" s="291"/>
      <c r="AX29" s="291"/>
      <c r="AY29" s="291"/>
      <c r="AZ29" s="291"/>
      <c r="BA29" s="291"/>
      <c r="BB29" s="291"/>
      <c r="BC29" s="291"/>
      <c r="BD29" s="292"/>
    </row>
    <row r="30" spans="2:56" ht="12" customHeight="1" x14ac:dyDescent="0.25">
      <c r="B30" s="204"/>
      <c r="C30" s="314"/>
      <c r="D30" s="314"/>
      <c r="E30" s="314"/>
      <c r="F30" s="314"/>
      <c r="G30" s="314"/>
      <c r="H30" s="314"/>
      <c r="I30" s="314"/>
      <c r="J30" s="314"/>
      <c r="K30" s="314"/>
      <c r="L30" s="315"/>
      <c r="M30" s="219"/>
      <c r="N30" s="307"/>
      <c r="O30" s="307"/>
      <c r="P30" s="307"/>
      <c r="Q30" s="307"/>
      <c r="R30" s="307"/>
      <c r="S30" s="307"/>
      <c r="T30" s="307"/>
      <c r="U30" s="307"/>
      <c r="V30" s="307"/>
      <c r="W30" s="308"/>
      <c r="X30" s="221"/>
      <c r="Y30" s="300"/>
      <c r="Z30" s="300"/>
      <c r="AA30" s="300"/>
      <c r="AB30" s="300"/>
      <c r="AC30" s="300"/>
      <c r="AD30" s="300"/>
      <c r="AE30" s="300"/>
      <c r="AF30" s="300"/>
      <c r="AG30" s="300"/>
      <c r="AH30" s="301"/>
      <c r="AI30" s="222"/>
      <c r="AJ30" s="291"/>
      <c r="AK30" s="291"/>
      <c r="AL30" s="291"/>
      <c r="AM30" s="291"/>
      <c r="AN30" s="291"/>
      <c r="AO30" s="291"/>
      <c r="AP30" s="291"/>
      <c r="AQ30" s="291"/>
      <c r="AR30" s="291"/>
      <c r="AS30" s="296"/>
      <c r="AT30" s="222"/>
      <c r="AU30" s="291"/>
      <c r="AV30" s="291"/>
      <c r="AW30" s="291"/>
      <c r="AX30" s="291"/>
      <c r="AY30" s="291"/>
      <c r="AZ30" s="291"/>
      <c r="BA30" s="291"/>
      <c r="BB30" s="291"/>
      <c r="BC30" s="291"/>
      <c r="BD30" s="292"/>
    </row>
    <row r="31" spans="2:56" ht="12" customHeight="1" x14ac:dyDescent="0.25">
      <c r="B31" s="204"/>
      <c r="C31" s="314"/>
      <c r="D31" s="314"/>
      <c r="E31" s="314"/>
      <c r="F31" s="314"/>
      <c r="G31" s="314"/>
      <c r="H31" s="314"/>
      <c r="I31" s="314"/>
      <c r="J31" s="314"/>
      <c r="K31" s="314"/>
      <c r="L31" s="315"/>
      <c r="M31" s="219"/>
      <c r="N31" s="307"/>
      <c r="O31" s="307"/>
      <c r="P31" s="307"/>
      <c r="Q31" s="307"/>
      <c r="R31" s="307"/>
      <c r="S31" s="307"/>
      <c r="T31" s="307"/>
      <c r="U31" s="307"/>
      <c r="V31" s="307"/>
      <c r="W31" s="308"/>
      <c r="X31" s="221"/>
      <c r="Y31" s="300"/>
      <c r="Z31" s="300"/>
      <c r="AA31" s="300"/>
      <c r="AB31" s="300"/>
      <c r="AC31" s="300"/>
      <c r="AD31" s="300"/>
      <c r="AE31" s="300"/>
      <c r="AF31" s="300"/>
      <c r="AG31" s="300"/>
      <c r="AH31" s="301"/>
      <c r="AI31" s="222"/>
      <c r="AJ31" s="291"/>
      <c r="AK31" s="291"/>
      <c r="AL31" s="291"/>
      <c r="AM31" s="291"/>
      <c r="AN31" s="291"/>
      <c r="AO31" s="291"/>
      <c r="AP31" s="291"/>
      <c r="AQ31" s="291"/>
      <c r="AR31" s="291"/>
      <c r="AS31" s="296"/>
      <c r="AT31" s="222"/>
      <c r="AU31" s="291"/>
      <c r="AV31" s="291"/>
      <c r="AW31" s="291"/>
      <c r="AX31" s="291"/>
      <c r="AY31" s="291"/>
      <c r="AZ31" s="291"/>
      <c r="BA31" s="291"/>
      <c r="BB31" s="291"/>
      <c r="BC31" s="291"/>
      <c r="BD31" s="292"/>
    </row>
    <row r="32" spans="2:56" ht="12" customHeight="1" x14ac:dyDescent="0.25">
      <c r="B32" s="204"/>
      <c r="C32" s="314"/>
      <c r="D32" s="314"/>
      <c r="E32" s="314"/>
      <c r="F32" s="314"/>
      <c r="G32" s="314"/>
      <c r="H32" s="314"/>
      <c r="I32" s="314"/>
      <c r="J32" s="314"/>
      <c r="K32" s="314"/>
      <c r="L32" s="315"/>
      <c r="M32" s="219"/>
      <c r="N32" s="307"/>
      <c r="O32" s="307"/>
      <c r="P32" s="307"/>
      <c r="Q32" s="307"/>
      <c r="R32" s="307"/>
      <c r="S32" s="307"/>
      <c r="T32" s="307"/>
      <c r="U32" s="307"/>
      <c r="V32" s="307"/>
      <c r="W32" s="308"/>
      <c r="X32" s="221"/>
      <c r="Y32" s="300"/>
      <c r="Z32" s="300"/>
      <c r="AA32" s="300"/>
      <c r="AB32" s="300"/>
      <c r="AC32" s="300"/>
      <c r="AD32" s="300"/>
      <c r="AE32" s="300"/>
      <c r="AF32" s="300"/>
      <c r="AG32" s="300"/>
      <c r="AH32" s="301"/>
      <c r="AI32" s="222"/>
      <c r="AJ32" s="291"/>
      <c r="AK32" s="291"/>
      <c r="AL32" s="291"/>
      <c r="AM32" s="291"/>
      <c r="AN32" s="291"/>
      <c r="AO32" s="291"/>
      <c r="AP32" s="291"/>
      <c r="AQ32" s="291"/>
      <c r="AR32" s="291"/>
      <c r="AS32" s="296"/>
      <c r="AT32" s="222"/>
      <c r="AU32" s="291"/>
      <c r="AV32" s="291"/>
      <c r="AW32" s="291"/>
      <c r="AX32" s="291"/>
      <c r="AY32" s="291"/>
      <c r="AZ32" s="291"/>
      <c r="BA32" s="291"/>
      <c r="BB32" s="291"/>
      <c r="BC32" s="291"/>
      <c r="BD32" s="292"/>
    </row>
    <row r="33" spans="2:56" ht="12" customHeight="1" x14ac:dyDescent="0.25">
      <c r="B33" s="339"/>
      <c r="C33" s="340"/>
      <c r="D33" s="340"/>
      <c r="E33" s="340"/>
      <c r="F33" s="340"/>
      <c r="G33" s="340"/>
      <c r="H33" s="340"/>
      <c r="I33" s="340"/>
      <c r="J33" s="340"/>
      <c r="K33" s="340"/>
      <c r="L33" s="341"/>
      <c r="M33" s="344"/>
      <c r="N33" s="345"/>
      <c r="O33" s="345"/>
      <c r="P33" s="345"/>
      <c r="Q33" s="345"/>
      <c r="R33" s="345"/>
      <c r="S33" s="345"/>
      <c r="T33" s="345"/>
      <c r="U33" s="345"/>
      <c r="V33" s="345"/>
      <c r="W33" s="346"/>
      <c r="X33" s="330"/>
      <c r="Y33" s="331"/>
      <c r="Z33" s="331"/>
      <c r="AA33" s="331"/>
      <c r="AB33" s="331"/>
      <c r="AC33" s="331"/>
      <c r="AD33" s="331"/>
      <c r="AE33" s="331"/>
      <c r="AF33" s="331"/>
      <c r="AG33" s="331"/>
      <c r="AH33" s="332"/>
      <c r="AI33" s="178"/>
      <c r="AJ33" s="327"/>
      <c r="AK33" s="327"/>
      <c r="AL33" s="327"/>
      <c r="AM33" s="327"/>
      <c r="AN33" s="327"/>
      <c r="AO33" s="327"/>
      <c r="AP33" s="327"/>
      <c r="AQ33" s="327"/>
      <c r="AR33" s="327"/>
      <c r="AS33" s="329"/>
      <c r="AT33" s="178"/>
      <c r="AU33" s="327"/>
      <c r="AV33" s="327"/>
      <c r="AW33" s="327"/>
      <c r="AX33" s="327"/>
      <c r="AY33" s="327"/>
      <c r="AZ33" s="327"/>
      <c r="BA33" s="327"/>
      <c r="BB33" s="327"/>
      <c r="BC33" s="327"/>
      <c r="BD33" s="328"/>
    </row>
    <row r="34" spans="2:56" ht="12" customHeight="1" x14ac:dyDescent="0.25">
      <c r="B34" s="210" t="s">
        <v>243</v>
      </c>
      <c r="C34" s="207"/>
      <c r="D34" s="207"/>
      <c r="E34" s="207"/>
      <c r="F34" s="207"/>
      <c r="G34" s="207"/>
      <c r="H34" s="207"/>
      <c r="I34" s="207"/>
      <c r="J34" s="207"/>
      <c r="K34" s="207"/>
      <c r="L34" s="326"/>
      <c r="M34" s="213" t="s">
        <v>244</v>
      </c>
      <c r="N34" s="324"/>
      <c r="O34" s="324"/>
      <c r="P34" s="324"/>
      <c r="Q34" s="324"/>
      <c r="R34" s="324"/>
      <c r="S34" s="324"/>
      <c r="T34" s="324"/>
      <c r="U34" s="324"/>
      <c r="V34" s="324"/>
      <c r="W34" s="325"/>
      <c r="X34" s="214" t="s">
        <v>245</v>
      </c>
      <c r="Y34" s="322"/>
      <c r="Z34" s="322"/>
      <c r="AA34" s="322"/>
      <c r="AB34" s="322"/>
      <c r="AC34" s="322"/>
      <c r="AD34" s="322"/>
      <c r="AE34" s="322"/>
      <c r="AF34" s="322"/>
      <c r="AG34" s="322"/>
      <c r="AH34" s="323"/>
      <c r="AI34" s="180" t="s">
        <v>246</v>
      </c>
      <c r="AJ34" s="319"/>
      <c r="AK34" s="319"/>
      <c r="AL34" s="319"/>
      <c r="AM34" s="319"/>
      <c r="AN34" s="319"/>
      <c r="AO34" s="319"/>
      <c r="AP34" s="319"/>
      <c r="AQ34" s="319"/>
      <c r="AR34" s="319"/>
      <c r="AS34" s="321"/>
      <c r="AT34" s="180" t="s">
        <v>247</v>
      </c>
      <c r="AU34" s="319"/>
      <c r="AV34" s="319"/>
      <c r="AW34" s="319"/>
      <c r="AX34" s="319"/>
      <c r="AY34" s="319"/>
      <c r="AZ34" s="319"/>
      <c r="BA34" s="319"/>
      <c r="BB34" s="319"/>
      <c r="BC34" s="319"/>
      <c r="BD34" s="320"/>
    </row>
    <row r="35" spans="2:56" ht="12" customHeight="1" x14ac:dyDescent="0.25">
      <c r="B35" s="186"/>
      <c r="C35" s="312"/>
      <c r="D35" s="312"/>
      <c r="E35" s="312"/>
      <c r="F35" s="312"/>
      <c r="G35" s="312"/>
      <c r="H35" s="312"/>
      <c r="I35" s="312"/>
      <c r="J35" s="312"/>
      <c r="K35" s="312"/>
      <c r="L35" s="313"/>
      <c r="M35" s="194"/>
      <c r="N35" s="333"/>
      <c r="O35" s="333"/>
      <c r="P35" s="333"/>
      <c r="Q35" s="333"/>
      <c r="R35" s="333"/>
      <c r="S35" s="333"/>
      <c r="T35" s="333"/>
      <c r="U35" s="333"/>
      <c r="V35" s="333"/>
      <c r="W35" s="334"/>
      <c r="X35" s="197"/>
      <c r="Y35" s="298"/>
      <c r="Z35" s="298"/>
      <c r="AA35" s="298"/>
      <c r="AB35" s="298"/>
      <c r="AC35" s="298"/>
      <c r="AD35" s="298"/>
      <c r="AE35" s="298"/>
      <c r="AF35" s="298"/>
      <c r="AG35" s="298"/>
      <c r="AH35" s="299"/>
      <c r="AI35" s="203"/>
      <c r="AJ35" s="279"/>
      <c r="AK35" s="279"/>
      <c r="AL35" s="279"/>
      <c r="AM35" s="279"/>
      <c r="AN35" s="279"/>
      <c r="AO35" s="279"/>
      <c r="AP35" s="279"/>
      <c r="AQ35" s="279"/>
      <c r="AR35" s="279"/>
      <c r="AS35" s="280"/>
      <c r="AT35" s="203"/>
      <c r="AU35" s="279"/>
      <c r="AV35" s="279"/>
      <c r="AW35" s="279"/>
      <c r="AX35" s="279"/>
      <c r="AY35" s="279"/>
      <c r="AZ35" s="279"/>
      <c r="BA35" s="279"/>
      <c r="BB35" s="279"/>
      <c r="BC35" s="279"/>
      <c r="BD35" s="290"/>
    </row>
    <row r="36" spans="2:56" ht="12" customHeight="1" x14ac:dyDescent="0.25">
      <c r="B36" s="204"/>
      <c r="C36" s="314"/>
      <c r="D36" s="314"/>
      <c r="E36" s="314"/>
      <c r="F36" s="314"/>
      <c r="G36" s="314"/>
      <c r="H36" s="314"/>
      <c r="I36" s="314"/>
      <c r="J36" s="314"/>
      <c r="K36" s="314"/>
      <c r="L36" s="315"/>
      <c r="M36" s="224"/>
      <c r="N36" s="283"/>
      <c r="O36" s="283"/>
      <c r="P36" s="283"/>
      <c r="Q36" s="283"/>
      <c r="R36" s="283"/>
      <c r="S36" s="283"/>
      <c r="T36" s="283"/>
      <c r="U36" s="283"/>
      <c r="V36" s="283"/>
      <c r="W36" s="335"/>
      <c r="X36" s="221"/>
      <c r="Y36" s="300"/>
      <c r="Z36" s="300"/>
      <c r="AA36" s="300"/>
      <c r="AB36" s="300"/>
      <c r="AC36" s="300"/>
      <c r="AD36" s="300"/>
      <c r="AE36" s="300"/>
      <c r="AF36" s="300"/>
      <c r="AG36" s="300"/>
      <c r="AH36" s="301"/>
      <c r="AI36" s="222"/>
      <c r="AJ36" s="291"/>
      <c r="AK36" s="291"/>
      <c r="AL36" s="291"/>
      <c r="AM36" s="291"/>
      <c r="AN36" s="291"/>
      <c r="AO36" s="291"/>
      <c r="AP36" s="291"/>
      <c r="AQ36" s="291"/>
      <c r="AR36" s="291"/>
      <c r="AS36" s="296"/>
      <c r="AT36" s="222"/>
      <c r="AU36" s="291"/>
      <c r="AV36" s="291"/>
      <c r="AW36" s="291"/>
      <c r="AX36" s="291"/>
      <c r="AY36" s="291"/>
      <c r="AZ36" s="291"/>
      <c r="BA36" s="291"/>
      <c r="BB36" s="291"/>
      <c r="BC36" s="291"/>
      <c r="BD36" s="292"/>
    </row>
    <row r="37" spans="2:56" ht="12" customHeight="1" x14ac:dyDescent="0.25">
      <c r="B37" s="204"/>
      <c r="C37" s="314"/>
      <c r="D37" s="314"/>
      <c r="E37" s="314"/>
      <c r="F37" s="314"/>
      <c r="G37" s="314"/>
      <c r="H37" s="314"/>
      <c r="I37" s="314"/>
      <c r="J37" s="314"/>
      <c r="K37" s="314"/>
      <c r="L37" s="315"/>
      <c r="M37" s="224"/>
      <c r="N37" s="283"/>
      <c r="O37" s="283"/>
      <c r="P37" s="283"/>
      <c r="Q37" s="283"/>
      <c r="R37" s="283"/>
      <c r="S37" s="283"/>
      <c r="T37" s="283"/>
      <c r="U37" s="283"/>
      <c r="V37" s="283"/>
      <c r="W37" s="335"/>
      <c r="X37" s="221"/>
      <c r="Y37" s="300"/>
      <c r="Z37" s="300"/>
      <c r="AA37" s="300"/>
      <c r="AB37" s="300"/>
      <c r="AC37" s="300"/>
      <c r="AD37" s="300"/>
      <c r="AE37" s="300"/>
      <c r="AF37" s="300"/>
      <c r="AG37" s="300"/>
      <c r="AH37" s="301"/>
      <c r="AI37" s="222"/>
      <c r="AJ37" s="291"/>
      <c r="AK37" s="291"/>
      <c r="AL37" s="291"/>
      <c r="AM37" s="291"/>
      <c r="AN37" s="291"/>
      <c r="AO37" s="291"/>
      <c r="AP37" s="291"/>
      <c r="AQ37" s="291"/>
      <c r="AR37" s="291"/>
      <c r="AS37" s="296"/>
      <c r="AT37" s="222"/>
      <c r="AU37" s="291"/>
      <c r="AV37" s="291"/>
      <c r="AW37" s="291"/>
      <c r="AX37" s="291"/>
      <c r="AY37" s="291"/>
      <c r="AZ37" s="291"/>
      <c r="BA37" s="291"/>
      <c r="BB37" s="291"/>
      <c r="BC37" s="291"/>
      <c r="BD37" s="292"/>
    </row>
    <row r="38" spans="2:56" ht="12" customHeight="1" x14ac:dyDescent="0.25">
      <c r="B38" s="204"/>
      <c r="C38" s="314"/>
      <c r="D38" s="314"/>
      <c r="E38" s="314"/>
      <c r="F38" s="314"/>
      <c r="G38" s="314"/>
      <c r="H38" s="314"/>
      <c r="I38" s="314"/>
      <c r="J38" s="314"/>
      <c r="K38" s="314"/>
      <c r="L38" s="315"/>
      <c r="M38" s="224"/>
      <c r="N38" s="283"/>
      <c r="O38" s="283"/>
      <c r="P38" s="283"/>
      <c r="Q38" s="283"/>
      <c r="R38" s="283"/>
      <c r="S38" s="283"/>
      <c r="T38" s="283"/>
      <c r="U38" s="283"/>
      <c r="V38" s="283"/>
      <c r="W38" s="335"/>
      <c r="X38" s="221"/>
      <c r="Y38" s="300"/>
      <c r="Z38" s="300"/>
      <c r="AA38" s="300"/>
      <c r="AB38" s="300"/>
      <c r="AC38" s="300"/>
      <c r="AD38" s="300"/>
      <c r="AE38" s="300"/>
      <c r="AF38" s="300"/>
      <c r="AG38" s="300"/>
      <c r="AH38" s="301"/>
      <c r="AI38" s="222"/>
      <c r="AJ38" s="291"/>
      <c r="AK38" s="291"/>
      <c r="AL38" s="291"/>
      <c r="AM38" s="291"/>
      <c r="AN38" s="291"/>
      <c r="AO38" s="291"/>
      <c r="AP38" s="291"/>
      <c r="AQ38" s="291"/>
      <c r="AR38" s="291"/>
      <c r="AS38" s="296"/>
      <c r="AT38" s="222"/>
      <c r="AU38" s="291"/>
      <c r="AV38" s="291"/>
      <c r="AW38" s="291"/>
      <c r="AX38" s="291"/>
      <c r="AY38" s="291"/>
      <c r="AZ38" s="291"/>
      <c r="BA38" s="291"/>
      <c r="BB38" s="291"/>
      <c r="BC38" s="291"/>
      <c r="BD38" s="292"/>
    </row>
    <row r="39" spans="2:56" ht="12" customHeight="1" x14ac:dyDescent="0.25">
      <c r="B39" s="204"/>
      <c r="C39" s="314"/>
      <c r="D39" s="314"/>
      <c r="E39" s="314"/>
      <c r="F39" s="314"/>
      <c r="G39" s="314"/>
      <c r="H39" s="314"/>
      <c r="I39" s="314"/>
      <c r="J39" s="314"/>
      <c r="K39" s="314"/>
      <c r="L39" s="315"/>
      <c r="M39" s="224"/>
      <c r="N39" s="283"/>
      <c r="O39" s="283"/>
      <c r="P39" s="283"/>
      <c r="Q39" s="283"/>
      <c r="R39" s="283"/>
      <c r="S39" s="283"/>
      <c r="T39" s="283"/>
      <c r="U39" s="283"/>
      <c r="V39" s="283"/>
      <c r="W39" s="335"/>
      <c r="X39" s="221"/>
      <c r="Y39" s="300"/>
      <c r="Z39" s="300"/>
      <c r="AA39" s="300"/>
      <c r="AB39" s="300"/>
      <c r="AC39" s="300"/>
      <c r="AD39" s="300"/>
      <c r="AE39" s="300"/>
      <c r="AF39" s="300"/>
      <c r="AG39" s="300"/>
      <c r="AH39" s="301"/>
      <c r="AI39" s="222"/>
      <c r="AJ39" s="291"/>
      <c r="AK39" s="291"/>
      <c r="AL39" s="291"/>
      <c r="AM39" s="291"/>
      <c r="AN39" s="291"/>
      <c r="AO39" s="291"/>
      <c r="AP39" s="291"/>
      <c r="AQ39" s="291"/>
      <c r="AR39" s="291"/>
      <c r="AS39" s="296"/>
      <c r="AT39" s="222"/>
      <c r="AU39" s="291"/>
      <c r="AV39" s="291"/>
      <c r="AW39" s="291"/>
      <c r="AX39" s="291"/>
      <c r="AY39" s="291"/>
      <c r="AZ39" s="291"/>
      <c r="BA39" s="291"/>
      <c r="BB39" s="291"/>
      <c r="BC39" s="291"/>
      <c r="BD39" s="292"/>
    </row>
    <row r="40" spans="2:56" ht="12" customHeight="1" x14ac:dyDescent="0.25">
      <c r="B40" s="204"/>
      <c r="C40" s="314"/>
      <c r="D40" s="314"/>
      <c r="E40" s="314"/>
      <c r="F40" s="314"/>
      <c r="G40" s="314"/>
      <c r="H40" s="314"/>
      <c r="I40" s="314"/>
      <c r="J40" s="314"/>
      <c r="K40" s="314"/>
      <c r="L40" s="315"/>
      <c r="M40" s="224"/>
      <c r="N40" s="283"/>
      <c r="O40" s="283"/>
      <c r="P40" s="283"/>
      <c r="Q40" s="283"/>
      <c r="R40" s="283"/>
      <c r="S40" s="283"/>
      <c r="T40" s="283"/>
      <c r="U40" s="283"/>
      <c r="V40" s="283"/>
      <c r="W40" s="335"/>
      <c r="X40" s="221"/>
      <c r="Y40" s="300"/>
      <c r="Z40" s="300"/>
      <c r="AA40" s="300"/>
      <c r="AB40" s="300"/>
      <c r="AC40" s="300"/>
      <c r="AD40" s="300"/>
      <c r="AE40" s="300"/>
      <c r="AF40" s="300"/>
      <c r="AG40" s="300"/>
      <c r="AH40" s="301"/>
      <c r="AI40" s="222"/>
      <c r="AJ40" s="291"/>
      <c r="AK40" s="291"/>
      <c r="AL40" s="291"/>
      <c r="AM40" s="291"/>
      <c r="AN40" s="291"/>
      <c r="AO40" s="291"/>
      <c r="AP40" s="291"/>
      <c r="AQ40" s="291"/>
      <c r="AR40" s="291"/>
      <c r="AS40" s="296"/>
      <c r="AT40" s="222"/>
      <c r="AU40" s="291"/>
      <c r="AV40" s="291"/>
      <c r="AW40" s="291"/>
      <c r="AX40" s="291"/>
      <c r="AY40" s="291"/>
      <c r="AZ40" s="291"/>
      <c r="BA40" s="291"/>
      <c r="BB40" s="291"/>
      <c r="BC40" s="291"/>
      <c r="BD40" s="292"/>
    </row>
    <row r="41" spans="2:56" ht="12" customHeight="1" x14ac:dyDescent="0.25">
      <c r="B41" s="339"/>
      <c r="C41" s="340"/>
      <c r="D41" s="340"/>
      <c r="E41" s="340"/>
      <c r="F41" s="340"/>
      <c r="G41" s="340"/>
      <c r="H41" s="340"/>
      <c r="I41" s="340"/>
      <c r="J41" s="340"/>
      <c r="K41" s="340"/>
      <c r="L41" s="341"/>
      <c r="M41" s="336"/>
      <c r="N41" s="337"/>
      <c r="O41" s="337"/>
      <c r="P41" s="337"/>
      <c r="Q41" s="337"/>
      <c r="R41" s="337"/>
      <c r="S41" s="337"/>
      <c r="T41" s="337"/>
      <c r="U41" s="337"/>
      <c r="V41" s="337"/>
      <c r="W41" s="338"/>
      <c r="X41" s="330"/>
      <c r="Y41" s="331"/>
      <c r="Z41" s="331"/>
      <c r="AA41" s="331"/>
      <c r="AB41" s="331"/>
      <c r="AC41" s="331"/>
      <c r="AD41" s="331"/>
      <c r="AE41" s="331"/>
      <c r="AF41" s="331"/>
      <c r="AG41" s="331"/>
      <c r="AH41" s="332"/>
      <c r="AI41" s="178"/>
      <c r="AJ41" s="327"/>
      <c r="AK41" s="327"/>
      <c r="AL41" s="327"/>
      <c r="AM41" s="327"/>
      <c r="AN41" s="327"/>
      <c r="AO41" s="327"/>
      <c r="AP41" s="327"/>
      <c r="AQ41" s="327"/>
      <c r="AR41" s="327"/>
      <c r="AS41" s="329"/>
      <c r="AT41" s="178"/>
      <c r="AU41" s="327"/>
      <c r="AV41" s="327"/>
      <c r="AW41" s="327"/>
      <c r="AX41" s="327"/>
      <c r="AY41" s="327"/>
      <c r="AZ41" s="327"/>
      <c r="BA41" s="327"/>
      <c r="BB41" s="327"/>
      <c r="BC41" s="327"/>
      <c r="BD41" s="328"/>
    </row>
    <row r="42" spans="2:56" ht="12" customHeight="1" x14ac:dyDescent="0.25">
      <c r="B42" s="210" t="s">
        <v>248</v>
      </c>
      <c r="C42" s="207"/>
      <c r="D42" s="207"/>
      <c r="E42" s="207"/>
      <c r="F42" s="207"/>
      <c r="G42" s="207"/>
      <c r="H42" s="207"/>
      <c r="I42" s="207"/>
      <c r="J42" s="207"/>
      <c r="K42" s="207"/>
      <c r="L42" s="326"/>
      <c r="M42" s="213" t="s">
        <v>249</v>
      </c>
      <c r="N42" s="324"/>
      <c r="O42" s="324"/>
      <c r="P42" s="324"/>
      <c r="Q42" s="324"/>
      <c r="R42" s="324"/>
      <c r="S42" s="324"/>
      <c r="T42" s="324"/>
      <c r="U42" s="324"/>
      <c r="V42" s="324"/>
      <c r="W42" s="325"/>
      <c r="X42" s="214" t="s">
        <v>362</v>
      </c>
      <c r="Y42" s="322"/>
      <c r="Z42" s="322"/>
      <c r="AA42" s="322"/>
      <c r="AB42" s="322"/>
      <c r="AC42" s="322"/>
      <c r="AD42" s="322"/>
      <c r="AE42" s="322"/>
      <c r="AF42" s="322"/>
      <c r="AG42" s="322"/>
      <c r="AH42" s="323"/>
      <c r="AI42" s="180" t="s">
        <v>250</v>
      </c>
      <c r="AJ42" s="319"/>
      <c r="AK42" s="319"/>
      <c r="AL42" s="319"/>
      <c r="AM42" s="319"/>
      <c r="AN42" s="319"/>
      <c r="AO42" s="319"/>
      <c r="AP42" s="319"/>
      <c r="AQ42" s="319"/>
      <c r="AR42" s="319"/>
      <c r="AS42" s="321"/>
      <c r="AT42" s="180" t="s">
        <v>251</v>
      </c>
      <c r="AU42" s="319"/>
      <c r="AV42" s="319"/>
      <c r="AW42" s="319"/>
      <c r="AX42" s="319"/>
      <c r="AY42" s="319"/>
      <c r="AZ42" s="319"/>
      <c r="BA42" s="319"/>
      <c r="BB42" s="319"/>
      <c r="BC42" s="319"/>
      <c r="BD42" s="320"/>
    </row>
    <row r="43" spans="2:56" ht="12" customHeight="1" x14ac:dyDescent="0.25">
      <c r="B43" s="186"/>
      <c r="C43" s="312"/>
      <c r="D43" s="312"/>
      <c r="E43" s="312"/>
      <c r="F43" s="312"/>
      <c r="G43" s="312"/>
      <c r="H43" s="312"/>
      <c r="I43" s="312"/>
      <c r="J43" s="312"/>
      <c r="K43" s="312"/>
      <c r="L43" s="313"/>
      <c r="M43" s="194"/>
      <c r="N43" s="333"/>
      <c r="O43" s="333"/>
      <c r="P43" s="333"/>
      <c r="Q43" s="333"/>
      <c r="R43" s="333"/>
      <c r="S43" s="333"/>
      <c r="T43" s="333"/>
      <c r="U43" s="333"/>
      <c r="V43" s="333"/>
      <c r="W43" s="334"/>
      <c r="X43" s="197"/>
      <c r="Y43" s="298"/>
      <c r="Z43" s="298"/>
      <c r="AA43" s="298"/>
      <c r="AB43" s="298"/>
      <c r="AC43" s="298"/>
      <c r="AD43" s="298"/>
      <c r="AE43" s="298"/>
      <c r="AF43" s="298"/>
      <c r="AG43" s="298"/>
      <c r="AH43" s="299"/>
      <c r="AI43" s="203"/>
      <c r="AJ43" s="279"/>
      <c r="AK43" s="279"/>
      <c r="AL43" s="279"/>
      <c r="AM43" s="279"/>
      <c r="AN43" s="279"/>
      <c r="AO43" s="279"/>
      <c r="AP43" s="279"/>
      <c r="AQ43" s="279"/>
      <c r="AR43" s="279"/>
      <c r="AS43" s="280"/>
      <c r="AT43" s="203"/>
      <c r="AU43" s="279"/>
      <c r="AV43" s="279"/>
      <c r="AW43" s="279"/>
      <c r="AX43" s="279"/>
      <c r="AY43" s="279"/>
      <c r="AZ43" s="279"/>
      <c r="BA43" s="279"/>
      <c r="BB43" s="279"/>
      <c r="BC43" s="279"/>
      <c r="BD43" s="290"/>
    </row>
    <row r="44" spans="2:56" ht="12" customHeight="1" x14ac:dyDescent="0.25">
      <c r="B44" s="204"/>
      <c r="C44" s="314"/>
      <c r="D44" s="314"/>
      <c r="E44" s="314"/>
      <c r="F44" s="314"/>
      <c r="G44" s="314"/>
      <c r="H44" s="314"/>
      <c r="I44" s="314"/>
      <c r="J44" s="314"/>
      <c r="K44" s="314"/>
      <c r="L44" s="315"/>
      <c r="M44" s="224"/>
      <c r="N44" s="283"/>
      <c r="O44" s="283"/>
      <c r="P44" s="283"/>
      <c r="Q44" s="283"/>
      <c r="R44" s="283"/>
      <c r="S44" s="283"/>
      <c r="T44" s="283"/>
      <c r="U44" s="283"/>
      <c r="V44" s="283"/>
      <c r="W44" s="335"/>
      <c r="X44" s="221"/>
      <c r="Y44" s="300"/>
      <c r="Z44" s="300"/>
      <c r="AA44" s="300"/>
      <c r="AB44" s="300"/>
      <c r="AC44" s="300"/>
      <c r="AD44" s="300"/>
      <c r="AE44" s="300"/>
      <c r="AF44" s="300"/>
      <c r="AG44" s="300"/>
      <c r="AH44" s="301"/>
      <c r="AI44" s="222"/>
      <c r="AJ44" s="291"/>
      <c r="AK44" s="291"/>
      <c r="AL44" s="291"/>
      <c r="AM44" s="291"/>
      <c r="AN44" s="291"/>
      <c r="AO44" s="291"/>
      <c r="AP44" s="291"/>
      <c r="AQ44" s="291"/>
      <c r="AR44" s="291"/>
      <c r="AS44" s="296"/>
      <c r="AT44" s="222"/>
      <c r="AU44" s="291"/>
      <c r="AV44" s="291"/>
      <c r="AW44" s="291"/>
      <c r="AX44" s="291"/>
      <c r="AY44" s="291"/>
      <c r="AZ44" s="291"/>
      <c r="BA44" s="291"/>
      <c r="BB44" s="291"/>
      <c r="BC44" s="291"/>
      <c r="BD44" s="292"/>
    </row>
    <row r="45" spans="2:56" ht="12" customHeight="1" x14ac:dyDescent="0.25">
      <c r="B45" s="204"/>
      <c r="C45" s="314"/>
      <c r="D45" s="314"/>
      <c r="E45" s="314"/>
      <c r="F45" s="314"/>
      <c r="G45" s="314"/>
      <c r="H45" s="314"/>
      <c r="I45" s="314"/>
      <c r="J45" s="314"/>
      <c r="K45" s="314"/>
      <c r="L45" s="315"/>
      <c r="M45" s="224"/>
      <c r="N45" s="283"/>
      <c r="O45" s="283"/>
      <c r="P45" s="283"/>
      <c r="Q45" s="283"/>
      <c r="R45" s="283"/>
      <c r="S45" s="283"/>
      <c r="T45" s="283"/>
      <c r="U45" s="283"/>
      <c r="V45" s="283"/>
      <c r="W45" s="335"/>
      <c r="X45" s="221"/>
      <c r="Y45" s="300"/>
      <c r="Z45" s="300"/>
      <c r="AA45" s="300"/>
      <c r="AB45" s="300"/>
      <c r="AC45" s="300"/>
      <c r="AD45" s="300"/>
      <c r="AE45" s="300"/>
      <c r="AF45" s="300"/>
      <c r="AG45" s="300"/>
      <c r="AH45" s="301"/>
      <c r="AI45" s="222"/>
      <c r="AJ45" s="291"/>
      <c r="AK45" s="291"/>
      <c r="AL45" s="291"/>
      <c r="AM45" s="291"/>
      <c r="AN45" s="291"/>
      <c r="AO45" s="291"/>
      <c r="AP45" s="291"/>
      <c r="AQ45" s="291"/>
      <c r="AR45" s="291"/>
      <c r="AS45" s="296"/>
      <c r="AT45" s="222"/>
      <c r="AU45" s="291"/>
      <c r="AV45" s="291"/>
      <c r="AW45" s="291"/>
      <c r="AX45" s="291"/>
      <c r="AY45" s="291"/>
      <c r="AZ45" s="291"/>
      <c r="BA45" s="291"/>
      <c r="BB45" s="291"/>
      <c r="BC45" s="291"/>
      <c r="BD45" s="292"/>
    </row>
    <row r="46" spans="2:56" ht="12" customHeight="1" x14ac:dyDescent="0.25">
      <c r="B46" s="204"/>
      <c r="C46" s="314"/>
      <c r="D46" s="314"/>
      <c r="E46" s="314"/>
      <c r="F46" s="314"/>
      <c r="G46" s="314"/>
      <c r="H46" s="314"/>
      <c r="I46" s="314"/>
      <c r="J46" s="314"/>
      <c r="K46" s="314"/>
      <c r="L46" s="315"/>
      <c r="M46" s="224"/>
      <c r="N46" s="283"/>
      <c r="O46" s="283"/>
      <c r="P46" s="283"/>
      <c r="Q46" s="283"/>
      <c r="R46" s="283"/>
      <c r="S46" s="283"/>
      <c r="T46" s="283"/>
      <c r="U46" s="283"/>
      <c r="V46" s="283"/>
      <c r="W46" s="335"/>
      <c r="X46" s="221"/>
      <c r="Y46" s="300"/>
      <c r="Z46" s="300"/>
      <c r="AA46" s="300"/>
      <c r="AB46" s="300"/>
      <c r="AC46" s="300"/>
      <c r="AD46" s="300"/>
      <c r="AE46" s="300"/>
      <c r="AF46" s="300"/>
      <c r="AG46" s="300"/>
      <c r="AH46" s="301"/>
      <c r="AI46" s="222"/>
      <c r="AJ46" s="291"/>
      <c r="AK46" s="291"/>
      <c r="AL46" s="291"/>
      <c r="AM46" s="291"/>
      <c r="AN46" s="291"/>
      <c r="AO46" s="291"/>
      <c r="AP46" s="291"/>
      <c r="AQ46" s="291"/>
      <c r="AR46" s="291"/>
      <c r="AS46" s="296"/>
      <c r="AT46" s="222"/>
      <c r="AU46" s="291"/>
      <c r="AV46" s="291"/>
      <c r="AW46" s="291"/>
      <c r="AX46" s="291"/>
      <c r="AY46" s="291"/>
      <c r="AZ46" s="291"/>
      <c r="BA46" s="291"/>
      <c r="BB46" s="291"/>
      <c r="BC46" s="291"/>
      <c r="BD46" s="292"/>
    </row>
    <row r="47" spans="2:56" ht="12" customHeight="1" x14ac:dyDescent="0.25">
      <c r="B47" s="204"/>
      <c r="C47" s="314"/>
      <c r="D47" s="314"/>
      <c r="E47" s="314"/>
      <c r="F47" s="314"/>
      <c r="G47" s="314"/>
      <c r="H47" s="314"/>
      <c r="I47" s="314"/>
      <c r="J47" s="314"/>
      <c r="K47" s="314"/>
      <c r="L47" s="315"/>
      <c r="M47" s="224"/>
      <c r="N47" s="283"/>
      <c r="O47" s="283"/>
      <c r="P47" s="283"/>
      <c r="Q47" s="283"/>
      <c r="R47" s="283"/>
      <c r="S47" s="283"/>
      <c r="T47" s="283"/>
      <c r="U47" s="283"/>
      <c r="V47" s="283"/>
      <c r="W47" s="335"/>
      <c r="X47" s="221"/>
      <c r="Y47" s="300"/>
      <c r="Z47" s="300"/>
      <c r="AA47" s="300"/>
      <c r="AB47" s="300"/>
      <c r="AC47" s="300"/>
      <c r="AD47" s="300"/>
      <c r="AE47" s="300"/>
      <c r="AF47" s="300"/>
      <c r="AG47" s="300"/>
      <c r="AH47" s="301"/>
      <c r="AI47" s="222"/>
      <c r="AJ47" s="291"/>
      <c r="AK47" s="291"/>
      <c r="AL47" s="291"/>
      <c r="AM47" s="291"/>
      <c r="AN47" s="291"/>
      <c r="AO47" s="291"/>
      <c r="AP47" s="291"/>
      <c r="AQ47" s="291"/>
      <c r="AR47" s="291"/>
      <c r="AS47" s="296"/>
      <c r="AT47" s="222"/>
      <c r="AU47" s="291"/>
      <c r="AV47" s="291"/>
      <c r="AW47" s="291"/>
      <c r="AX47" s="291"/>
      <c r="AY47" s="291"/>
      <c r="AZ47" s="291"/>
      <c r="BA47" s="291"/>
      <c r="BB47" s="291"/>
      <c r="BC47" s="291"/>
      <c r="BD47" s="292"/>
    </row>
    <row r="48" spans="2:56" ht="12" customHeight="1" x14ac:dyDescent="0.25">
      <c r="B48" s="204"/>
      <c r="C48" s="314"/>
      <c r="D48" s="314"/>
      <c r="E48" s="314"/>
      <c r="F48" s="314"/>
      <c r="G48" s="314"/>
      <c r="H48" s="314"/>
      <c r="I48" s="314"/>
      <c r="J48" s="314"/>
      <c r="K48" s="314"/>
      <c r="L48" s="315"/>
      <c r="M48" s="224"/>
      <c r="N48" s="283"/>
      <c r="O48" s="283"/>
      <c r="P48" s="283"/>
      <c r="Q48" s="283"/>
      <c r="R48" s="283"/>
      <c r="S48" s="283"/>
      <c r="T48" s="283"/>
      <c r="U48" s="283"/>
      <c r="V48" s="283"/>
      <c r="W48" s="335"/>
      <c r="X48" s="221"/>
      <c r="Y48" s="300"/>
      <c r="Z48" s="300"/>
      <c r="AA48" s="300"/>
      <c r="AB48" s="300"/>
      <c r="AC48" s="300"/>
      <c r="AD48" s="300"/>
      <c r="AE48" s="300"/>
      <c r="AF48" s="300"/>
      <c r="AG48" s="300"/>
      <c r="AH48" s="301"/>
      <c r="AI48" s="222"/>
      <c r="AJ48" s="291"/>
      <c r="AK48" s="291"/>
      <c r="AL48" s="291"/>
      <c r="AM48" s="291"/>
      <c r="AN48" s="291"/>
      <c r="AO48" s="291"/>
      <c r="AP48" s="291"/>
      <c r="AQ48" s="291"/>
      <c r="AR48" s="291"/>
      <c r="AS48" s="296"/>
      <c r="AT48" s="222"/>
      <c r="AU48" s="291"/>
      <c r="AV48" s="291"/>
      <c r="AW48" s="291"/>
      <c r="AX48" s="291"/>
      <c r="AY48" s="291"/>
      <c r="AZ48" s="291"/>
      <c r="BA48" s="291"/>
      <c r="BB48" s="291"/>
      <c r="BC48" s="291"/>
      <c r="BD48" s="292"/>
    </row>
    <row r="49" spans="2:56" ht="12" customHeight="1" x14ac:dyDescent="0.25">
      <c r="B49" s="339"/>
      <c r="C49" s="340"/>
      <c r="D49" s="340"/>
      <c r="E49" s="340"/>
      <c r="F49" s="340"/>
      <c r="G49" s="340"/>
      <c r="H49" s="340"/>
      <c r="I49" s="340"/>
      <c r="J49" s="340"/>
      <c r="K49" s="340"/>
      <c r="L49" s="341"/>
      <c r="M49" s="336"/>
      <c r="N49" s="337"/>
      <c r="O49" s="337"/>
      <c r="P49" s="337"/>
      <c r="Q49" s="337"/>
      <c r="R49" s="337"/>
      <c r="S49" s="337"/>
      <c r="T49" s="337"/>
      <c r="U49" s="337"/>
      <c r="V49" s="337"/>
      <c r="W49" s="338"/>
      <c r="X49" s="330"/>
      <c r="Y49" s="331"/>
      <c r="Z49" s="331"/>
      <c r="AA49" s="331"/>
      <c r="AB49" s="331"/>
      <c r="AC49" s="331"/>
      <c r="AD49" s="331"/>
      <c r="AE49" s="331"/>
      <c r="AF49" s="331"/>
      <c r="AG49" s="331"/>
      <c r="AH49" s="332"/>
      <c r="AI49" s="178"/>
      <c r="AJ49" s="327"/>
      <c r="AK49" s="327"/>
      <c r="AL49" s="327"/>
      <c r="AM49" s="327"/>
      <c r="AN49" s="327"/>
      <c r="AO49" s="327"/>
      <c r="AP49" s="327"/>
      <c r="AQ49" s="327"/>
      <c r="AR49" s="327"/>
      <c r="AS49" s="329"/>
      <c r="AT49" s="178"/>
      <c r="AU49" s="327"/>
      <c r="AV49" s="327"/>
      <c r="AW49" s="327"/>
      <c r="AX49" s="327"/>
      <c r="AY49" s="327"/>
      <c r="AZ49" s="327"/>
      <c r="BA49" s="327"/>
      <c r="BB49" s="327"/>
      <c r="BC49" s="327"/>
      <c r="BD49" s="328"/>
    </row>
    <row r="50" spans="2:56" ht="12" customHeight="1" x14ac:dyDescent="0.25">
      <c r="B50" s="210" t="s">
        <v>363</v>
      </c>
      <c r="C50" s="207"/>
      <c r="D50" s="207"/>
      <c r="E50" s="207"/>
      <c r="F50" s="207"/>
      <c r="G50" s="207"/>
      <c r="H50" s="207"/>
      <c r="I50" s="207"/>
      <c r="J50" s="207"/>
      <c r="K50" s="207"/>
      <c r="L50" s="326"/>
      <c r="M50" s="226" t="s">
        <v>252</v>
      </c>
      <c r="N50" s="342"/>
      <c r="O50" s="342"/>
      <c r="P50" s="342"/>
      <c r="Q50" s="342"/>
      <c r="R50" s="342"/>
      <c r="S50" s="342"/>
      <c r="T50" s="342"/>
      <c r="U50" s="342"/>
      <c r="V50" s="342"/>
      <c r="W50" s="343"/>
      <c r="X50" s="214" t="s">
        <v>253</v>
      </c>
      <c r="Y50" s="322"/>
      <c r="Z50" s="322"/>
      <c r="AA50" s="322"/>
      <c r="AB50" s="322"/>
      <c r="AC50" s="322"/>
      <c r="AD50" s="322"/>
      <c r="AE50" s="322"/>
      <c r="AF50" s="322"/>
      <c r="AG50" s="322"/>
      <c r="AH50" s="323"/>
      <c r="AI50" s="180" t="s">
        <v>254</v>
      </c>
      <c r="AJ50" s="319"/>
      <c r="AK50" s="319"/>
      <c r="AL50" s="319"/>
      <c r="AM50" s="319"/>
      <c r="AN50" s="319"/>
      <c r="AO50" s="319"/>
      <c r="AP50" s="319"/>
      <c r="AQ50" s="319"/>
      <c r="AR50" s="319"/>
      <c r="AS50" s="321"/>
      <c r="AT50" s="180" t="s">
        <v>255</v>
      </c>
      <c r="AU50" s="319"/>
      <c r="AV50" s="319"/>
      <c r="AW50" s="319"/>
      <c r="AX50" s="319"/>
      <c r="AY50" s="319"/>
      <c r="AZ50" s="319"/>
      <c r="BA50" s="319"/>
      <c r="BB50" s="319"/>
      <c r="BC50" s="319"/>
      <c r="BD50" s="320"/>
    </row>
    <row r="51" spans="2:56" ht="12" customHeight="1" x14ac:dyDescent="0.25">
      <c r="B51" s="186"/>
      <c r="C51" s="312"/>
      <c r="D51" s="312"/>
      <c r="E51" s="312"/>
      <c r="F51" s="312"/>
      <c r="G51" s="312"/>
      <c r="H51" s="312"/>
      <c r="I51" s="312"/>
      <c r="J51" s="312"/>
      <c r="K51" s="312"/>
      <c r="L51" s="313"/>
      <c r="M51" s="194"/>
      <c r="N51" s="333"/>
      <c r="O51" s="333"/>
      <c r="P51" s="333"/>
      <c r="Q51" s="333"/>
      <c r="R51" s="333"/>
      <c r="S51" s="333"/>
      <c r="T51" s="333"/>
      <c r="U51" s="333"/>
      <c r="V51" s="333"/>
      <c r="W51" s="334"/>
      <c r="X51" s="197"/>
      <c r="Y51" s="298"/>
      <c r="Z51" s="298"/>
      <c r="AA51" s="298"/>
      <c r="AB51" s="298"/>
      <c r="AC51" s="298"/>
      <c r="AD51" s="298"/>
      <c r="AE51" s="298"/>
      <c r="AF51" s="298"/>
      <c r="AG51" s="298"/>
      <c r="AH51" s="299"/>
      <c r="AI51" s="203"/>
      <c r="AJ51" s="279"/>
      <c r="AK51" s="279"/>
      <c r="AL51" s="279"/>
      <c r="AM51" s="279"/>
      <c r="AN51" s="279"/>
      <c r="AO51" s="279"/>
      <c r="AP51" s="279"/>
      <c r="AQ51" s="279"/>
      <c r="AR51" s="279"/>
      <c r="AS51" s="280"/>
      <c r="AT51" s="203"/>
      <c r="AU51" s="279"/>
      <c r="AV51" s="279"/>
      <c r="AW51" s="279"/>
      <c r="AX51" s="279"/>
      <c r="AY51" s="279"/>
      <c r="AZ51" s="279"/>
      <c r="BA51" s="279"/>
      <c r="BB51" s="279"/>
      <c r="BC51" s="279"/>
      <c r="BD51" s="290"/>
    </row>
    <row r="52" spans="2:56" ht="12" customHeight="1" x14ac:dyDescent="0.25">
      <c r="B52" s="204"/>
      <c r="C52" s="314"/>
      <c r="D52" s="314"/>
      <c r="E52" s="314"/>
      <c r="F52" s="314"/>
      <c r="G52" s="314"/>
      <c r="H52" s="314"/>
      <c r="I52" s="314"/>
      <c r="J52" s="314"/>
      <c r="K52" s="314"/>
      <c r="L52" s="315"/>
      <c r="M52" s="224"/>
      <c r="N52" s="283"/>
      <c r="O52" s="283"/>
      <c r="P52" s="283"/>
      <c r="Q52" s="283"/>
      <c r="R52" s="283"/>
      <c r="S52" s="283"/>
      <c r="T52" s="283"/>
      <c r="U52" s="283"/>
      <c r="V52" s="283"/>
      <c r="W52" s="335"/>
      <c r="X52" s="221"/>
      <c r="Y52" s="300"/>
      <c r="Z52" s="300"/>
      <c r="AA52" s="300"/>
      <c r="AB52" s="300"/>
      <c r="AC52" s="300"/>
      <c r="AD52" s="300"/>
      <c r="AE52" s="300"/>
      <c r="AF52" s="300"/>
      <c r="AG52" s="300"/>
      <c r="AH52" s="301"/>
      <c r="AI52" s="222"/>
      <c r="AJ52" s="291"/>
      <c r="AK52" s="291"/>
      <c r="AL52" s="291"/>
      <c r="AM52" s="291"/>
      <c r="AN52" s="291"/>
      <c r="AO52" s="291"/>
      <c r="AP52" s="291"/>
      <c r="AQ52" s="291"/>
      <c r="AR52" s="291"/>
      <c r="AS52" s="296"/>
      <c r="AT52" s="222"/>
      <c r="AU52" s="291"/>
      <c r="AV52" s="291"/>
      <c r="AW52" s="291"/>
      <c r="AX52" s="291"/>
      <c r="AY52" s="291"/>
      <c r="AZ52" s="291"/>
      <c r="BA52" s="291"/>
      <c r="BB52" s="291"/>
      <c r="BC52" s="291"/>
      <c r="BD52" s="292"/>
    </row>
    <row r="53" spans="2:56" ht="12" customHeight="1" x14ac:dyDescent="0.25">
      <c r="B53" s="204"/>
      <c r="C53" s="314"/>
      <c r="D53" s="314"/>
      <c r="E53" s="314"/>
      <c r="F53" s="314"/>
      <c r="G53" s="314"/>
      <c r="H53" s="314"/>
      <c r="I53" s="314"/>
      <c r="J53" s="314"/>
      <c r="K53" s="314"/>
      <c r="L53" s="315"/>
      <c r="M53" s="224"/>
      <c r="N53" s="283"/>
      <c r="O53" s="283"/>
      <c r="P53" s="283"/>
      <c r="Q53" s="283"/>
      <c r="R53" s="283"/>
      <c r="S53" s="283"/>
      <c r="T53" s="283"/>
      <c r="U53" s="283"/>
      <c r="V53" s="283"/>
      <c r="W53" s="335"/>
      <c r="X53" s="221"/>
      <c r="Y53" s="300"/>
      <c r="Z53" s="300"/>
      <c r="AA53" s="300"/>
      <c r="AB53" s="300"/>
      <c r="AC53" s="300"/>
      <c r="AD53" s="300"/>
      <c r="AE53" s="300"/>
      <c r="AF53" s="300"/>
      <c r="AG53" s="300"/>
      <c r="AH53" s="301"/>
      <c r="AI53" s="222"/>
      <c r="AJ53" s="291"/>
      <c r="AK53" s="291"/>
      <c r="AL53" s="291"/>
      <c r="AM53" s="291"/>
      <c r="AN53" s="291"/>
      <c r="AO53" s="291"/>
      <c r="AP53" s="291"/>
      <c r="AQ53" s="291"/>
      <c r="AR53" s="291"/>
      <c r="AS53" s="296"/>
      <c r="AT53" s="222"/>
      <c r="AU53" s="291"/>
      <c r="AV53" s="291"/>
      <c r="AW53" s="291"/>
      <c r="AX53" s="291"/>
      <c r="AY53" s="291"/>
      <c r="AZ53" s="291"/>
      <c r="BA53" s="291"/>
      <c r="BB53" s="291"/>
      <c r="BC53" s="291"/>
      <c r="BD53" s="292"/>
    </row>
    <row r="54" spans="2:56" ht="12" customHeight="1" x14ac:dyDescent="0.25">
      <c r="B54" s="204"/>
      <c r="C54" s="314"/>
      <c r="D54" s="314"/>
      <c r="E54" s="314"/>
      <c r="F54" s="314"/>
      <c r="G54" s="314"/>
      <c r="H54" s="314"/>
      <c r="I54" s="314"/>
      <c r="J54" s="314"/>
      <c r="K54" s="314"/>
      <c r="L54" s="315"/>
      <c r="M54" s="224"/>
      <c r="N54" s="283"/>
      <c r="O54" s="283"/>
      <c r="P54" s="283"/>
      <c r="Q54" s="283"/>
      <c r="R54" s="283"/>
      <c r="S54" s="283"/>
      <c r="T54" s="283"/>
      <c r="U54" s="283"/>
      <c r="V54" s="283"/>
      <c r="W54" s="335"/>
      <c r="X54" s="221"/>
      <c r="Y54" s="300"/>
      <c r="Z54" s="300"/>
      <c r="AA54" s="300"/>
      <c r="AB54" s="300"/>
      <c r="AC54" s="300"/>
      <c r="AD54" s="300"/>
      <c r="AE54" s="300"/>
      <c r="AF54" s="300"/>
      <c r="AG54" s="300"/>
      <c r="AH54" s="301"/>
      <c r="AI54" s="222"/>
      <c r="AJ54" s="291"/>
      <c r="AK54" s="291"/>
      <c r="AL54" s="291"/>
      <c r="AM54" s="291"/>
      <c r="AN54" s="291"/>
      <c r="AO54" s="291"/>
      <c r="AP54" s="291"/>
      <c r="AQ54" s="291"/>
      <c r="AR54" s="291"/>
      <c r="AS54" s="296"/>
      <c r="AT54" s="222"/>
      <c r="AU54" s="291"/>
      <c r="AV54" s="291"/>
      <c r="AW54" s="291"/>
      <c r="AX54" s="291"/>
      <c r="AY54" s="291"/>
      <c r="AZ54" s="291"/>
      <c r="BA54" s="291"/>
      <c r="BB54" s="291"/>
      <c r="BC54" s="291"/>
      <c r="BD54" s="292"/>
    </row>
    <row r="55" spans="2:56" ht="12" customHeight="1" x14ac:dyDescent="0.25">
      <c r="B55" s="204"/>
      <c r="C55" s="314"/>
      <c r="D55" s="314"/>
      <c r="E55" s="314"/>
      <c r="F55" s="314"/>
      <c r="G55" s="314"/>
      <c r="H55" s="314"/>
      <c r="I55" s="314"/>
      <c r="J55" s="314"/>
      <c r="K55" s="314"/>
      <c r="L55" s="315"/>
      <c r="M55" s="224"/>
      <c r="N55" s="283"/>
      <c r="O55" s="283"/>
      <c r="P55" s="283"/>
      <c r="Q55" s="283"/>
      <c r="R55" s="283"/>
      <c r="S55" s="283"/>
      <c r="T55" s="283"/>
      <c r="U55" s="283"/>
      <c r="V55" s="283"/>
      <c r="W55" s="335"/>
      <c r="X55" s="221"/>
      <c r="Y55" s="300"/>
      <c r="Z55" s="300"/>
      <c r="AA55" s="300"/>
      <c r="AB55" s="300"/>
      <c r="AC55" s="300"/>
      <c r="AD55" s="300"/>
      <c r="AE55" s="300"/>
      <c r="AF55" s="300"/>
      <c r="AG55" s="300"/>
      <c r="AH55" s="301"/>
      <c r="AI55" s="222"/>
      <c r="AJ55" s="291"/>
      <c r="AK55" s="291"/>
      <c r="AL55" s="291"/>
      <c r="AM55" s="291"/>
      <c r="AN55" s="291"/>
      <c r="AO55" s="291"/>
      <c r="AP55" s="291"/>
      <c r="AQ55" s="291"/>
      <c r="AR55" s="291"/>
      <c r="AS55" s="296"/>
      <c r="AT55" s="222"/>
      <c r="AU55" s="291"/>
      <c r="AV55" s="291"/>
      <c r="AW55" s="291"/>
      <c r="AX55" s="291"/>
      <c r="AY55" s="291"/>
      <c r="AZ55" s="291"/>
      <c r="BA55" s="291"/>
      <c r="BB55" s="291"/>
      <c r="BC55" s="291"/>
      <c r="BD55" s="292"/>
    </row>
    <row r="56" spans="2:56" ht="12" customHeight="1" x14ac:dyDescent="0.25">
      <c r="B56" s="204"/>
      <c r="C56" s="314"/>
      <c r="D56" s="314"/>
      <c r="E56" s="314"/>
      <c r="F56" s="314"/>
      <c r="G56" s="314"/>
      <c r="H56" s="314"/>
      <c r="I56" s="314"/>
      <c r="J56" s="314"/>
      <c r="K56" s="314"/>
      <c r="L56" s="315"/>
      <c r="M56" s="224"/>
      <c r="N56" s="283"/>
      <c r="O56" s="283"/>
      <c r="P56" s="283"/>
      <c r="Q56" s="283"/>
      <c r="R56" s="283"/>
      <c r="S56" s="283"/>
      <c r="T56" s="283"/>
      <c r="U56" s="283"/>
      <c r="V56" s="283"/>
      <c r="W56" s="335"/>
      <c r="X56" s="221"/>
      <c r="Y56" s="300"/>
      <c r="Z56" s="300"/>
      <c r="AA56" s="300"/>
      <c r="AB56" s="300"/>
      <c r="AC56" s="300"/>
      <c r="AD56" s="300"/>
      <c r="AE56" s="300"/>
      <c r="AF56" s="300"/>
      <c r="AG56" s="300"/>
      <c r="AH56" s="301"/>
      <c r="AI56" s="222"/>
      <c r="AJ56" s="291"/>
      <c r="AK56" s="291"/>
      <c r="AL56" s="291"/>
      <c r="AM56" s="291"/>
      <c r="AN56" s="291"/>
      <c r="AO56" s="291"/>
      <c r="AP56" s="291"/>
      <c r="AQ56" s="291"/>
      <c r="AR56" s="291"/>
      <c r="AS56" s="296"/>
      <c r="AT56" s="222"/>
      <c r="AU56" s="291"/>
      <c r="AV56" s="291"/>
      <c r="AW56" s="291"/>
      <c r="AX56" s="291"/>
      <c r="AY56" s="291"/>
      <c r="AZ56" s="291"/>
      <c r="BA56" s="291"/>
      <c r="BB56" s="291"/>
      <c r="BC56" s="291"/>
      <c r="BD56" s="292"/>
    </row>
    <row r="57" spans="2:56" ht="12" customHeight="1" x14ac:dyDescent="0.25">
      <c r="B57" s="339"/>
      <c r="C57" s="340"/>
      <c r="D57" s="340"/>
      <c r="E57" s="340"/>
      <c r="F57" s="340"/>
      <c r="G57" s="340"/>
      <c r="H57" s="340"/>
      <c r="I57" s="340"/>
      <c r="J57" s="340"/>
      <c r="K57" s="340"/>
      <c r="L57" s="341"/>
      <c r="M57" s="336"/>
      <c r="N57" s="337"/>
      <c r="O57" s="337"/>
      <c r="P57" s="337"/>
      <c r="Q57" s="337"/>
      <c r="R57" s="337"/>
      <c r="S57" s="337"/>
      <c r="T57" s="337"/>
      <c r="U57" s="337"/>
      <c r="V57" s="337"/>
      <c r="W57" s="338"/>
      <c r="X57" s="330"/>
      <c r="Y57" s="331"/>
      <c r="Z57" s="331"/>
      <c r="AA57" s="331"/>
      <c r="AB57" s="331"/>
      <c r="AC57" s="331"/>
      <c r="AD57" s="331"/>
      <c r="AE57" s="331"/>
      <c r="AF57" s="331"/>
      <c r="AG57" s="331"/>
      <c r="AH57" s="332"/>
      <c r="AI57" s="178"/>
      <c r="AJ57" s="327"/>
      <c r="AK57" s="327"/>
      <c r="AL57" s="327"/>
      <c r="AM57" s="327"/>
      <c r="AN57" s="327"/>
      <c r="AO57" s="327"/>
      <c r="AP57" s="327"/>
      <c r="AQ57" s="327"/>
      <c r="AR57" s="327"/>
      <c r="AS57" s="329"/>
      <c r="AT57" s="178"/>
      <c r="AU57" s="327"/>
      <c r="AV57" s="327"/>
      <c r="AW57" s="327"/>
      <c r="AX57" s="327"/>
      <c r="AY57" s="327"/>
      <c r="AZ57" s="327"/>
      <c r="BA57" s="327"/>
      <c r="BB57" s="327"/>
      <c r="BC57" s="327"/>
      <c r="BD57" s="328"/>
    </row>
    <row r="58" spans="2:56" ht="12" customHeight="1" x14ac:dyDescent="0.25">
      <c r="B58" s="210" t="s">
        <v>256</v>
      </c>
      <c r="C58" s="207"/>
      <c r="D58" s="207"/>
      <c r="E58" s="207"/>
      <c r="F58" s="207"/>
      <c r="G58" s="207"/>
      <c r="H58" s="207"/>
      <c r="I58" s="207"/>
      <c r="J58" s="207"/>
      <c r="K58" s="207"/>
      <c r="L58" s="326"/>
      <c r="M58" s="213" t="s">
        <v>257</v>
      </c>
      <c r="N58" s="324"/>
      <c r="O58" s="324"/>
      <c r="P58" s="324"/>
      <c r="Q58" s="324"/>
      <c r="R58" s="324"/>
      <c r="S58" s="324"/>
      <c r="T58" s="324"/>
      <c r="U58" s="324"/>
      <c r="V58" s="324"/>
      <c r="W58" s="325"/>
      <c r="X58" s="214" t="s">
        <v>258</v>
      </c>
      <c r="Y58" s="322"/>
      <c r="Z58" s="322"/>
      <c r="AA58" s="322"/>
      <c r="AB58" s="322"/>
      <c r="AC58" s="322"/>
      <c r="AD58" s="322"/>
      <c r="AE58" s="322"/>
      <c r="AF58" s="322"/>
      <c r="AG58" s="322"/>
      <c r="AH58" s="323"/>
      <c r="AI58" s="180" t="s">
        <v>259</v>
      </c>
      <c r="AJ58" s="319"/>
      <c r="AK58" s="319"/>
      <c r="AL58" s="319"/>
      <c r="AM58" s="319"/>
      <c r="AN58" s="319"/>
      <c r="AO58" s="319"/>
      <c r="AP58" s="319"/>
      <c r="AQ58" s="319"/>
      <c r="AR58" s="319"/>
      <c r="AS58" s="321"/>
      <c r="AT58" s="180" t="s">
        <v>260</v>
      </c>
      <c r="AU58" s="319"/>
      <c r="AV58" s="319"/>
      <c r="AW58" s="319"/>
      <c r="AX58" s="319"/>
      <c r="AY58" s="319"/>
      <c r="AZ58" s="319"/>
      <c r="BA58" s="319"/>
      <c r="BB58" s="319"/>
      <c r="BC58" s="319"/>
      <c r="BD58" s="320"/>
    </row>
    <row r="59" spans="2:56" ht="12" customHeight="1" x14ac:dyDescent="0.25">
      <c r="B59" s="186"/>
      <c r="C59" s="312"/>
      <c r="D59" s="312"/>
      <c r="E59" s="312"/>
      <c r="F59" s="312"/>
      <c r="G59" s="312"/>
      <c r="H59" s="312"/>
      <c r="I59" s="312"/>
      <c r="J59" s="312"/>
      <c r="K59" s="312"/>
      <c r="L59" s="313"/>
      <c r="M59" s="212"/>
      <c r="N59" s="305"/>
      <c r="O59" s="305"/>
      <c r="P59" s="305"/>
      <c r="Q59" s="305"/>
      <c r="R59" s="305"/>
      <c r="S59" s="305"/>
      <c r="T59" s="305"/>
      <c r="U59" s="305"/>
      <c r="V59" s="305"/>
      <c r="W59" s="306"/>
      <c r="X59" s="197"/>
      <c r="Y59" s="298"/>
      <c r="Z59" s="298"/>
      <c r="AA59" s="298"/>
      <c r="AB59" s="298"/>
      <c r="AC59" s="298"/>
      <c r="AD59" s="298"/>
      <c r="AE59" s="298"/>
      <c r="AF59" s="298"/>
      <c r="AG59" s="298"/>
      <c r="AH59" s="299"/>
      <c r="AI59" s="203"/>
      <c r="AJ59" s="279"/>
      <c r="AK59" s="279"/>
      <c r="AL59" s="279"/>
      <c r="AM59" s="279"/>
      <c r="AN59" s="279"/>
      <c r="AO59" s="279"/>
      <c r="AP59" s="279"/>
      <c r="AQ59" s="279"/>
      <c r="AR59" s="279"/>
      <c r="AS59" s="280"/>
      <c r="AT59" s="203"/>
      <c r="AU59" s="279"/>
      <c r="AV59" s="279"/>
      <c r="AW59" s="279"/>
      <c r="AX59" s="279"/>
      <c r="AY59" s="279"/>
      <c r="AZ59" s="279"/>
      <c r="BA59" s="279"/>
      <c r="BB59" s="279"/>
      <c r="BC59" s="279"/>
      <c r="BD59" s="290"/>
    </row>
    <row r="60" spans="2:56" ht="12" customHeight="1" x14ac:dyDescent="0.25">
      <c r="B60" s="204" t="s">
        <v>369</v>
      </c>
      <c r="C60" s="314"/>
      <c r="D60" s="314"/>
      <c r="E60" s="314"/>
      <c r="F60" s="314"/>
      <c r="G60" s="314"/>
      <c r="H60" s="314"/>
      <c r="I60" s="314"/>
      <c r="J60" s="314"/>
      <c r="K60" s="314"/>
      <c r="L60" s="315"/>
      <c r="M60" s="219"/>
      <c r="N60" s="307"/>
      <c r="O60" s="307"/>
      <c r="P60" s="307"/>
      <c r="Q60" s="307"/>
      <c r="R60" s="307"/>
      <c r="S60" s="307"/>
      <c r="T60" s="307"/>
      <c r="U60" s="307"/>
      <c r="V60" s="307"/>
      <c r="W60" s="308"/>
      <c r="X60" s="221"/>
      <c r="Y60" s="300"/>
      <c r="Z60" s="300"/>
      <c r="AA60" s="300"/>
      <c r="AB60" s="300"/>
      <c r="AC60" s="300"/>
      <c r="AD60" s="300"/>
      <c r="AE60" s="300"/>
      <c r="AF60" s="300"/>
      <c r="AG60" s="300"/>
      <c r="AH60" s="301"/>
      <c r="AI60" s="222"/>
      <c r="AJ60" s="291"/>
      <c r="AK60" s="291"/>
      <c r="AL60" s="291"/>
      <c r="AM60" s="291"/>
      <c r="AN60" s="291"/>
      <c r="AO60" s="291"/>
      <c r="AP60" s="291"/>
      <c r="AQ60" s="291"/>
      <c r="AR60" s="291"/>
      <c r="AS60" s="296"/>
      <c r="AT60" s="222"/>
      <c r="AU60" s="291"/>
      <c r="AV60" s="291"/>
      <c r="AW60" s="291"/>
      <c r="AX60" s="291"/>
      <c r="AY60" s="291"/>
      <c r="AZ60" s="291"/>
      <c r="BA60" s="291"/>
      <c r="BB60" s="291"/>
      <c r="BC60" s="291"/>
      <c r="BD60" s="292"/>
    </row>
    <row r="61" spans="2:56" ht="12" customHeight="1" x14ac:dyDescent="0.25">
      <c r="B61" s="204"/>
      <c r="C61" s="314"/>
      <c r="D61" s="314"/>
      <c r="E61" s="314"/>
      <c r="F61" s="314"/>
      <c r="G61" s="314"/>
      <c r="H61" s="314"/>
      <c r="I61" s="314"/>
      <c r="J61" s="314"/>
      <c r="K61" s="314"/>
      <c r="L61" s="315"/>
      <c r="M61" s="219"/>
      <c r="N61" s="307"/>
      <c r="O61" s="307"/>
      <c r="P61" s="307"/>
      <c r="Q61" s="307"/>
      <c r="R61" s="307"/>
      <c r="S61" s="307"/>
      <c r="T61" s="307"/>
      <c r="U61" s="307"/>
      <c r="V61" s="307"/>
      <c r="W61" s="308"/>
      <c r="X61" s="221"/>
      <c r="Y61" s="300"/>
      <c r="Z61" s="300"/>
      <c r="AA61" s="300"/>
      <c r="AB61" s="300"/>
      <c r="AC61" s="300"/>
      <c r="AD61" s="300"/>
      <c r="AE61" s="300"/>
      <c r="AF61" s="300"/>
      <c r="AG61" s="300"/>
      <c r="AH61" s="301"/>
      <c r="AI61" s="222"/>
      <c r="AJ61" s="291"/>
      <c r="AK61" s="291"/>
      <c r="AL61" s="291"/>
      <c r="AM61" s="291"/>
      <c r="AN61" s="291"/>
      <c r="AO61" s="291"/>
      <c r="AP61" s="291"/>
      <c r="AQ61" s="291"/>
      <c r="AR61" s="291"/>
      <c r="AS61" s="296"/>
      <c r="AT61" s="222"/>
      <c r="AU61" s="291"/>
      <c r="AV61" s="291"/>
      <c r="AW61" s="291"/>
      <c r="AX61" s="291"/>
      <c r="AY61" s="291"/>
      <c r="AZ61" s="291"/>
      <c r="BA61" s="291"/>
      <c r="BB61" s="291"/>
      <c r="BC61" s="291"/>
      <c r="BD61" s="292"/>
    </row>
    <row r="62" spans="2:56" ht="12" customHeight="1" x14ac:dyDescent="0.25">
      <c r="B62" s="204"/>
      <c r="C62" s="314"/>
      <c r="D62" s="314"/>
      <c r="E62" s="314"/>
      <c r="F62" s="314"/>
      <c r="G62" s="314"/>
      <c r="H62" s="314"/>
      <c r="I62" s="314"/>
      <c r="J62" s="314"/>
      <c r="K62" s="314"/>
      <c r="L62" s="315"/>
      <c r="M62" s="219"/>
      <c r="N62" s="307"/>
      <c r="O62" s="307"/>
      <c r="P62" s="307"/>
      <c r="Q62" s="307"/>
      <c r="R62" s="307"/>
      <c r="S62" s="307"/>
      <c r="T62" s="307"/>
      <c r="U62" s="307"/>
      <c r="V62" s="307"/>
      <c r="W62" s="308"/>
      <c r="X62" s="221"/>
      <c r="Y62" s="300"/>
      <c r="Z62" s="300"/>
      <c r="AA62" s="300"/>
      <c r="AB62" s="300"/>
      <c r="AC62" s="300"/>
      <c r="AD62" s="300"/>
      <c r="AE62" s="300"/>
      <c r="AF62" s="300"/>
      <c r="AG62" s="300"/>
      <c r="AH62" s="301"/>
      <c r="AI62" s="222"/>
      <c r="AJ62" s="291"/>
      <c r="AK62" s="291"/>
      <c r="AL62" s="291"/>
      <c r="AM62" s="291"/>
      <c r="AN62" s="291"/>
      <c r="AO62" s="291"/>
      <c r="AP62" s="291"/>
      <c r="AQ62" s="291"/>
      <c r="AR62" s="291"/>
      <c r="AS62" s="296"/>
      <c r="AT62" s="222"/>
      <c r="AU62" s="291"/>
      <c r="AV62" s="291"/>
      <c r="AW62" s="291"/>
      <c r="AX62" s="291"/>
      <c r="AY62" s="291"/>
      <c r="AZ62" s="291"/>
      <c r="BA62" s="291"/>
      <c r="BB62" s="291"/>
      <c r="BC62" s="291"/>
      <c r="BD62" s="292"/>
    </row>
    <row r="63" spans="2:56" ht="12" customHeight="1" x14ac:dyDescent="0.25">
      <c r="B63" s="204"/>
      <c r="C63" s="314"/>
      <c r="D63" s="314"/>
      <c r="E63" s="314"/>
      <c r="F63" s="314"/>
      <c r="G63" s="314"/>
      <c r="H63" s="314"/>
      <c r="I63" s="314"/>
      <c r="J63" s="314"/>
      <c r="K63" s="314"/>
      <c r="L63" s="315"/>
      <c r="M63" s="219"/>
      <c r="N63" s="307"/>
      <c r="O63" s="307"/>
      <c r="P63" s="307"/>
      <c r="Q63" s="307"/>
      <c r="R63" s="307"/>
      <c r="S63" s="307"/>
      <c r="T63" s="307"/>
      <c r="U63" s="307"/>
      <c r="V63" s="307"/>
      <c r="W63" s="308"/>
      <c r="X63" s="221"/>
      <c r="Y63" s="300"/>
      <c r="Z63" s="300"/>
      <c r="AA63" s="300"/>
      <c r="AB63" s="300"/>
      <c r="AC63" s="300"/>
      <c r="AD63" s="300"/>
      <c r="AE63" s="300"/>
      <c r="AF63" s="300"/>
      <c r="AG63" s="300"/>
      <c r="AH63" s="301"/>
      <c r="AI63" s="222"/>
      <c r="AJ63" s="291"/>
      <c r="AK63" s="291"/>
      <c r="AL63" s="291"/>
      <c r="AM63" s="291"/>
      <c r="AN63" s="291"/>
      <c r="AO63" s="291"/>
      <c r="AP63" s="291"/>
      <c r="AQ63" s="291"/>
      <c r="AR63" s="291"/>
      <c r="AS63" s="296"/>
      <c r="AT63" s="222"/>
      <c r="AU63" s="291"/>
      <c r="AV63" s="291"/>
      <c r="AW63" s="291"/>
      <c r="AX63" s="291"/>
      <c r="AY63" s="291"/>
      <c r="AZ63" s="291"/>
      <c r="BA63" s="291"/>
      <c r="BB63" s="291"/>
      <c r="BC63" s="291"/>
      <c r="BD63" s="292"/>
    </row>
    <row r="64" spans="2:56" ht="12" customHeight="1" x14ac:dyDescent="0.25">
      <c r="B64" s="204"/>
      <c r="C64" s="314"/>
      <c r="D64" s="314"/>
      <c r="E64" s="314"/>
      <c r="F64" s="314"/>
      <c r="G64" s="314"/>
      <c r="H64" s="314"/>
      <c r="I64" s="314"/>
      <c r="J64" s="314"/>
      <c r="K64" s="314"/>
      <c r="L64" s="315"/>
      <c r="M64" s="219"/>
      <c r="N64" s="307"/>
      <c r="O64" s="307"/>
      <c r="P64" s="307"/>
      <c r="Q64" s="307"/>
      <c r="R64" s="307"/>
      <c r="S64" s="307"/>
      <c r="T64" s="307"/>
      <c r="U64" s="307"/>
      <c r="V64" s="307"/>
      <c r="W64" s="308"/>
      <c r="X64" s="221"/>
      <c r="Y64" s="300"/>
      <c r="Z64" s="300"/>
      <c r="AA64" s="300"/>
      <c r="AB64" s="300"/>
      <c r="AC64" s="300"/>
      <c r="AD64" s="300"/>
      <c r="AE64" s="300"/>
      <c r="AF64" s="300"/>
      <c r="AG64" s="300"/>
      <c r="AH64" s="301"/>
      <c r="AI64" s="222"/>
      <c r="AJ64" s="291"/>
      <c r="AK64" s="291"/>
      <c r="AL64" s="291"/>
      <c r="AM64" s="291"/>
      <c r="AN64" s="291"/>
      <c r="AO64" s="291"/>
      <c r="AP64" s="291"/>
      <c r="AQ64" s="291"/>
      <c r="AR64" s="291"/>
      <c r="AS64" s="296"/>
      <c r="AT64" s="222"/>
      <c r="AU64" s="291"/>
      <c r="AV64" s="291"/>
      <c r="AW64" s="291"/>
      <c r="AX64" s="291"/>
      <c r="AY64" s="291"/>
      <c r="AZ64" s="291"/>
      <c r="BA64" s="291"/>
      <c r="BB64" s="291"/>
      <c r="BC64" s="291"/>
      <c r="BD64" s="292"/>
    </row>
    <row r="65" spans="2:56" ht="12" customHeight="1" x14ac:dyDescent="0.25">
      <c r="B65" s="316"/>
      <c r="C65" s="317"/>
      <c r="D65" s="317"/>
      <c r="E65" s="317"/>
      <c r="F65" s="317"/>
      <c r="G65" s="317"/>
      <c r="H65" s="317"/>
      <c r="I65" s="317"/>
      <c r="J65" s="317"/>
      <c r="K65" s="317"/>
      <c r="L65" s="318"/>
      <c r="M65" s="309"/>
      <c r="N65" s="310"/>
      <c r="O65" s="310"/>
      <c r="P65" s="310"/>
      <c r="Q65" s="310"/>
      <c r="R65" s="310"/>
      <c r="S65" s="310"/>
      <c r="T65" s="310"/>
      <c r="U65" s="310"/>
      <c r="V65" s="310"/>
      <c r="W65" s="311"/>
      <c r="X65" s="302"/>
      <c r="Y65" s="303"/>
      <c r="Z65" s="303"/>
      <c r="AA65" s="303"/>
      <c r="AB65" s="303"/>
      <c r="AC65" s="303"/>
      <c r="AD65" s="303"/>
      <c r="AE65" s="303"/>
      <c r="AF65" s="303"/>
      <c r="AG65" s="303"/>
      <c r="AH65" s="304"/>
      <c r="AI65" s="293"/>
      <c r="AJ65" s="294"/>
      <c r="AK65" s="294"/>
      <c r="AL65" s="294"/>
      <c r="AM65" s="294"/>
      <c r="AN65" s="294"/>
      <c r="AO65" s="294"/>
      <c r="AP65" s="294"/>
      <c r="AQ65" s="294"/>
      <c r="AR65" s="294"/>
      <c r="AS65" s="297"/>
      <c r="AT65" s="293"/>
      <c r="AU65" s="294"/>
      <c r="AV65" s="294"/>
      <c r="AW65" s="294"/>
      <c r="AX65" s="294"/>
      <c r="AY65" s="294"/>
      <c r="AZ65" s="294"/>
      <c r="BA65" s="294"/>
      <c r="BB65" s="294"/>
      <c r="BC65" s="294"/>
      <c r="BD65" s="295"/>
    </row>
    <row r="66" spans="2:56" ht="12" customHeight="1" x14ac:dyDescent="0.25">
      <c r="B66" s="288">
        <f>白班过程记录!B52</f>
        <v>0</v>
      </c>
      <c r="C66" s="289"/>
      <c r="D66" s="2" t="s">
        <v>19</v>
      </c>
      <c r="E66" s="285" t="s">
        <v>20</v>
      </c>
      <c r="F66" s="282"/>
      <c r="G66" s="148"/>
      <c r="H66" s="148"/>
      <c r="I66" s="148"/>
      <c r="J66" s="148"/>
      <c r="K66" s="148"/>
      <c r="L66" s="148"/>
      <c r="M66" s="148"/>
      <c r="N66" s="148"/>
      <c r="O66" s="148"/>
      <c r="P66" s="148"/>
      <c r="Q66" s="148"/>
      <c r="R66" s="148"/>
      <c r="S66" s="148"/>
      <c r="T66" s="148"/>
      <c r="U66" s="148"/>
      <c r="V66" s="148"/>
      <c r="W66" s="148"/>
      <c r="X66" s="148"/>
      <c r="Y66" s="148"/>
      <c r="Z66" s="148"/>
      <c r="AA66" s="148"/>
      <c r="AB66" s="148"/>
      <c r="AC66" s="148"/>
      <c r="AD66" s="148"/>
      <c r="AE66" s="148"/>
      <c r="AF66" s="148"/>
      <c r="AG66" s="148"/>
      <c r="AH66" s="148"/>
      <c r="AI66" s="148"/>
      <c r="AJ66" s="148"/>
      <c r="AK66" s="148"/>
      <c r="AL66" s="148"/>
      <c r="AM66" s="148"/>
      <c r="AN66" s="148"/>
      <c r="AO66" s="148"/>
      <c r="AP66" s="148"/>
      <c r="AQ66" s="148"/>
      <c r="AR66" s="148"/>
      <c r="AS66" s="148"/>
      <c r="AT66" s="148"/>
      <c r="AU66" s="148"/>
      <c r="AV66" s="148"/>
      <c r="AW66" s="148"/>
      <c r="AX66" s="148"/>
      <c r="AY66" s="148"/>
      <c r="AZ66" s="148"/>
      <c r="BA66" s="148"/>
      <c r="BB66" s="148"/>
      <c r="BC66" s="148"/>
      <c r="BD66" s="149"/>
    </row>
    <row r="67" spans="2:56" ht="12" customHeight="1" x14ac:dyDescent="0.25">
      <c r="B67" s="278"/>
      <c r="C67" s="279"/>
      <c r="D67" s="280"/>
      <c r="E67" s="286"/>
      <c r="F67" s="224"/>
      <c r="G67" s="283"/>
      <c r="H67" s="283"/>
      <c r="I67" s="283"/>
      <c r="J67" s="283"/>
      <c r="K67" s="283"/>
      <c r="L67" s="283"/>
      <c r="M67" s="283"/>
      <c r="N67" s="283"/>
      <c r="O67" s="283"/>
      <c r="P67" s="283"/>
      <c r="Q67" s="283"/>
      <c r="R67" s="283"/>
      <c r="S67" s="283"/>
      <c r="T67" s="283"/>
      <c r="U67" s="283"/>
      <c r="V67" s="283"/>
      <c r="W67" s="283"/>
      <c r="X67" s="283"/>
      <c r="Y67" s="283"/>
      <c r="Z67" s="283"/>
      <c r="AA67" s="283"/>
      <c r="AB67" s="283"/>
      <c r="AC67" s="283"/>
      <c r="AD67" s="283"/>
      <c r="AE67" s="283"/>
      <c r="AF67" s="283"/>
      <c r="AG67" s="283"/>
      <c r="AH67" s="283"/>
      <c r="AI67" s="283"/>
      <c r="AJ67" s="283"/>
      <c r="AK67" s="283"/>
      <c r="AL67" s="283"/>
      <c r="AM67" s="283"/>
      <c r="AN67" s="283"/>
      <c r="AO67" s="283"/>
      <c r="AP67" s="283"/>
      <c r="AQ67" s="283"/>
      <c r="AR67" s="283"/>
      <c r="AS67" s="283"/>
      <c r="AT67" s="283"/>
      <c r="AU67" s="283"/>
      <c r="AV67" s="283"/>
      <c r="AW67" s="283"/>
      <c r="AX67" s="283"/>
      <c r="AY67" s="283"/>
      <c r="AZ67" s="283"/>
      <c r="BA67" s="283"/>
      <c r="BB67" s="283"/>
      <c r="BC67" s="283"/>
      <c r="BD67" s="152"/>
    </row>
    <row r="68" spans="2:56" ht="12" customHeight="1" thickBot="1" x14ac:dyDescent="0.3">
      <c r="B68" s="159"/>
      <c r="C68" s="160"/>
      <c r="D68" s="281"/>
      <c r="E68" s="287"/>
      <c r="F68" s="284"/>
      <c r="G68" s="154"/>
      <c r="H68" s="154"/>
      <c r="I68" s="154"/>
      <c r="J68" s="154"/>
      <c r="K68" s="154"/>
      <c r="L68" s="154"/>
      <c r="M68" s="154"/>
      <c r="N68" s="154"/>
      <c r="O68" s="154"/>
      <c r="P68" s="154"/>
      <c r="Q68" s="154"/>
      <c r="R68" s="154"/>
      <c r="S68" s="154"/>
      <c r="T68" s="154"/>
      <c r="U68" s="154"/>
      <c r="V68" s="154"/>
      <c r="W68" s="154"/>
      <c r="X68" s="154"/>
      <c r="Y68" s="154"/>
      <c r="Z68" s="154"/>
      <c r="AA68" s="154"/>
      <c r="AB68" s="154"/>
      <c r="AC68" s="154"/>
      <c r="AD68" s="154"/>
      <c r="AE68" s="154"/>
      <c r="AF68" s="154"/>
      <c r="AG68" s="154"/>
      <c r="AH68" s="154"/>
      <c r="AI68" s="154"/>
      <c r="AJ68" s="154"/>
      <c r="AK68" s="154"/>
      <c r="AL68" s="154"/>
      <c r="AM68" s="154"/>
      <c r="AN68" s="154"/>
      <c r="AO68" s="154"/>
      <c r="AP68" s="154"/>
      <c r="AQ68" s="154"/>
      <c r="AR68" s="154"/>
      <c r="AS68" s="154"/>
      <c r="AT68" s="154"/>
      <c r="AU68" s="154"/>
      <c r="AV68" s="154"/>
      <c r="AW68" s="154"/>
      <c r="AX68" s="154"/>
      <c r="AY68" s="154"/>
      <c r="AZ68" s="154"/>
      <c r="BA68" s="154"/>
      <c r="BB68" s="154"/>
      <c r="BC68" s="154"/>
      <c r="BD68" s="155"/>
    </row>
  </sheetData>
  <mergeCells count="85">
    <mergeCell ref="B66:C66"/>
    <mergeCell ref="E66:E68"/>
    <mergeCell ref="F66:BD68"/>
    <mergeCell ref="B67:D68"/>
    <mergeCell ref="X58:AH58"/>
    <mergeCell ref="AI58:AS58"/>
    <mergeCell ref="AT58:BD58"/>
    <mergeCell ref="B59:L65"/>
    <mergeCell ref="M59:W65"/>
    <mergeCell ref="X59:AH65"/>
    <mergeCell ref="AI59:AS65"/>
    <mergeCell ref="AT59:BD65"/>
    <mergeCell ref="B58:L58"/>
    <mergeCell ref="M58:W58"/>
    <mergeCell ref="B51:L57"/>
    <mergeCell ref="M51:W57"/>
    <mergeCell ref="X51:AH57"/>
    <mergeCell ref="AI51:AS57"/>
    <mergeCell ref="AT51:BD57"/>
    <mergeCell ref="B43:L49"/>
    <mergeCell ref="M43:W49"/>
    <mergeCell ref="X43:AH49"/>
    <mergeCell ref="AI43:AS49"/>
    <mergeCell ref="AT43:BD49"/>
    <mergeCell ref="B50:L50"/>
    <mergeCell ref="M50:W50"/>
    <mergeCell ref="X50:AH50"/>
    <mergeCell ref="AI50:AS50"/>
    <mergeCell ref="AT50:BD50"/>
    <mergeCell ref="B35:L41"/>
    <mergeCell ref="M35:W41"/>
    <mergeCell ref="X35:AH41"/>
    <mergeCell ref="AI35:AS41"/>
    <mergeCell ref="AT35:BD41"/>
    <mergeCell ref="B42:L42"/>
    <mergeCell ref="M42:W42"/>
    <mergeCell ref="X42:AH42"/>
    <mergeCell ref="AI42:AS42"/>
    <mergeCell ref="AT42:BD42"/>
    <mergeCell ref="B27:L33"/>
    <mergeCell ref="M27:W33"/>
    <mergeCell ref="X27:AH33"/>
    <mergeCell ref="AI27:AS33"/>
    <mergeCell ref="AT27:BD33"/>
    <mergeCell ref="B34:L34"/>
    <mergeCell ref="M34:W34"/>
    <mergeCell ref="X34:AH34"/>
    <mergeCell ref="AI34:AS34"/>
    <mergeCell ref="AT34:BD34"/>
    <mergeCell ref="B26:L26"/>
    <mergeCell ref="M26:W26"/>
    <mergeCell ref="X26:AH26"/>
    <mergeCell ref="AI26:AS26"/>
    <mergeCell ref="AT26:BD26"/>
    <mergeCell ref="B19:L25"/>
    <mergeCell ref="M19:W25"/>
    <mergeCell ref="X19:AH25"/>
    <mergeCell ref="AI19:AS25"/>
    <mergeCell ref="AT19:BD25"/>
    <mergeCell ref="B11:L17"/>
    <mergeCell ref="M11:W17"/>
    <mergeCell ref="X11:AH17"/>
    <mergeCell ref="AI11:AS17"/>
    <mergeCell ref="AT11:BD17"/>
    <mergeCell ref="B18:L18"/>
    <mergeCell ref="M18:W18"/>
    <mergeCell ref="X18:AH18"/>
    <mergeCell ref="AI18:AS18"/>
    <mergeCell ref="AT18:BD18"/>
    <mergeCell ref="B3:L9"/>
    <mergeCell ref="M3:W9"/>
    <mergeCell ref="X3:AH9"/>
    <mergeCell ref="AI3:AS9"/>
    <mergeCell ref="AT3:BD9"/>
    <mergeCell ref="B10:L10"/>
    <mergeCell ref="M10:W10"/>
    <mergeCell ref="X10:AH10"/>
    <mergeCell ref="AI10:AS10"/>
    <mergeCell ref="AT10:BD10"/>
    <mergeCell ref="B2:L2"/>
    <mergeCell ref="M2:W2"/>
    <mergeCell ref="X2:AH2"/>
    <mergeCell ref="B1:BD1"/>
    <mergeCell ref="AI2:AS2"/>
    <mergeCell ref="AT2:BD2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B2:U11"/>
  <sheetViews>
    <sheetView topLeftCell="C1" zoomScale="70" zoomScaleNormal="70" workbookViewId="0">
      <selection activeCell="W25" sqref="W25"/>
    </sheetView>
  </sheetViews>
  <sheetFormatPr defaultColWidth="9.81640625" defaultRowHeight="13" x14ac:dyDescent="0.25"/>
  <cols>
    <col min="1" max="1" width="1.7265625" style="55" customWidth="1"/>
    <col min="2" max="7" width="13.7265625" style="55" customWidth="1"/>
    <col min="8" max="10" width="13.90625" style="55" customWidth="1"/>
    <col min="11" max="11" width="12.7265625" style="55" bestFit="1" customWidth="1"/>
    <col min="12" max="12" width="11.36328125" style="55" bestFit="1" customWidth="1"/>
    <col min="13" max="15" width="9.90625" style="55" bestFit="1" customWidth="1"/>
    <col min="16" max="16" width="12.36328125" style="55" bestFit="1" customWidth="1"/>
    <col min="17" max="17" width="9.90625" style="55" bestFit="1" customWidth="1"/>
    <col min="18" max="19" width="9.81640625" style="55"/>
  </cols>
  <sheetData>
    <row r="2" spans="2:20" ht="14" x14ac:dyDescent="0.25">
      <c r="B2" s="242" t="s">
        <v>339</v>
      </c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3"/>
      <c r="R2" s="243"/>
      <c r="S2" s="244"/>
      <c r="T2" s="61"/>
    </row>
    <row r="3" spans="2:20" ht="14" x14ac:dyDescent="0.25">
      <c r="B3" s="245" t="s">
        <v>369</v>
      </c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S3" s="247"/>
      <c r="T3" s="61"/>
    </row>
    <row r="4" spans="2:20" x14ac:dyDescent="0.25">
      <c r="B4" s="248" t="s">
        <v>340</v>
      </c>
      <c r="C4" s="41" t="s">
        <v>281</v>
      </c>
      <c r="D4" s="56" t="s">
        <v>341</v>
      </c>
      <c r="E4" s="56" t="s">
        <v>276</v>
      </c>
      <c r="F4" s="56" t="s">
        <v>277</v>
      </c>
      <c r="G4" s="41" t="s">
        <v>342</v>
      </c>
      <c r="H4" s="41" t="s">
        <v>343</v>
      </c>
      <c r="I4" s="41" t="s">
        <v>344</v>
      </c>
      <c r="J4" s="41" t="s">
        <v>345</v>
      </c>
      <c r="K4" s="56" t="s">
        <v>346</v>
      </c>
      <c r="L4" s="56" t="s">
        <v>347</v>
      </c>
      <c r="M4" s="41" t="s">
        <v>348</v>
      </c>
      <c r="N4" s="41" t="s">
        <v>349</v>
      </c>
      <c r="O4" s="41" t="s">
        <v>350</v>
      </c>
      <c r="P4" s="41" t="s">
        <v>351</v>
      </c>
      <c r="Q4" s="41" t="s">
        <v>352</v>
      </c>
      <c r="R4" s="41" t="s">
        <v>359</v>
      </c>
      <c r="S4" s="41" t="s">
        <v>358</v>
      </c>
      <c r="T4" s="41" t="s">
        <v>360</v>
      </c>
    </row>
    <row r="5" spans="2:20" x14ac:dyDescent="0.25">
      <c r="B5" s="248"/>
      <c r="C5" s="41" t="s">
        <v>282</v>
      </c>
      <c r="D5" s="57" t="s">
        <v>353</v>
      </c>
      <c r="E5" s="41" t="s">
        <v>354</v>
      </c>
      <c r="F5" s="41" t="s">
        <v>355</v>
      </c>
      <c r="G5" s="41" t="s">
        <v>355</v>
      </c>
      <c r="H5" s="41" t="s">
        <v>355</v>
      </c>
      <c r="I5" s="41" t="s">
        <v>355</v>
      </c>
      <c r="J5" s="41" t="s">
        <v>355</v>
      </c>
      <c r="K5" s="41" t="s">
        <v>273</v>
      </c>
      <c r="L5" s="41" t="s">
        <v>271</v>
      </c>
      <c r="M5" s="41" t="s">
        <v>272</v>
      </c>
      <c r="N5" s="41" t="s">
        <v>272</v>
      </c>
      <c r="O5" s="41" t="s">
        <v>272</v>
      </c>
      <c r="P5" s="41" t="s">
        <v>270</v>
      </c>
      <c r="Q5" s="41" t="s">
        <v>270</v>
      </c>
      <c r="R5" s="41" t="s">
        <v>270</v>
      </c>
      <c r="S5" s="41" t="s">
        <v>270</v>
      </c>
      <c r="T5" s="41" t="s">
        <v>270</v>
      </c>
    </row>
    <row r="6" spans="2:20" x14ac:dyDescent="0.25">
      <c r="B6" s="249" t="s">
        <v>369</v>
      </c>
      <c r="C6" s="249"/>
      <c r="D6" s="58">
        <v>78.8</v>
      </c>
      <c r="E6" s="58">
        <v>15.97</v>
      </c>
      <c r="F6" s="58">
        <v>624.5</v>
      </c>
      <c r="G6" s="250">
        <f>F6+F7+F8</f>
        <v>0</v>
      </c>
      <c r="H6" s="59">
        <f t="shared" ref="H6:H11" si="0">F6*D6/100</f>
        <v>0</v>
      </c>
      <c r="I6" s="251">
        <f>H6+H7+H8</f>
        <v>0</v>
      </c>
      <c r="J6" s="251">
        <f>I6</f>
        <v>0</v>
      </c>
      <c r="K6" s="251">
        <v>3.599992</v>
      </c>
      <c r="L6" s="251">
        <v>417.5602333333333</v>
      </c>
      <c r="M6" s="251">
        <f>K6*L6/1000</f>
        <v>0</v>
      </c>
      <c r="N6" s="251">
        <f>M6</f>
        <v>0</v>
      </c>
      <c r="O6" s="251" t="e">
        <f>I6/M6*1.2/10</f>
        <v>#DIV/0!</v>
      </c>
      <c r="P6" s="60" t="s">
        <v>356</v>
      </c>
      <c r="Q6" s="251" t="e">
        <f>(I6+I9)/(K6+K9)/AVERAGE(L6:L11)*1.2*100</f>
        <v>#DIV/0!</v>
      </c>
      <c r="R6" s="251">
        <v>2332.20409</v>
      </c>
      <c r="S6" s="251">
        <v>2968.7</v>
      </c>
      <c r="T6" s="251" t="e">
        <f>SUM(K6:K11)*AVERAGE(L6:L11)/SUM(I6:I11)*1000</f>
        <v>#DIV/0!</v>
      </c>
    </row>
    <row r="7" spans="2:20" x14ac:dyDescent="0.25">
      <c r="B7" s="249"/>
      <c r="C7" s="249"/>
      <c r="D7" s="58">
        <v>79.9</v>
      </c>
      <c r="E7" s="58">
        <v>16.01</v>
      </c>
      <c r="F7" s="58">
        <v>532.5</v>
      </c>
      <c r="G7" s="250"/>
      <c r="H7" s="59">
        <f t="shared" si="0"/>
        <v>0</v>
      </c>
      <c r="I7" s="251"/>
      <c r="J7" s="251"/>
      <c r="K7" s="251"/>
      <c r="L7" s="251"/>
      <c r="M7" s="251"/>
      <c r="N7" s="251"/>
      <c r="O7" s="251"/>
      <c r="P7" s="60" t="s">
        <v>356</v>
      </c>
      <c r="Q7" s="251"/>
      <c r="R7" s="251"/>
      <c r="S7" s="251"/>
      <c r="T7" s="251"/>
    </row>
    <row r="8" spans="2:20" x14ac:dyDescent="0.25">
      <c r="B8" s="249"/>
      <c r="C8" s="249"/>
      <c r="D8" s="58">
        <v>84.94</v>
      </c>
      <c r="E8" s="58">
        <v>6.95</v>
      </c>
      <c r="F8" s="58">
        <v>238.1</v>
      </c>
      <c r="G8" s="250"/>
      <c r="H8" s="59">
        <f t="shared" si="0"/>
        <v>0</v>
      </c>
      <c r="I8" s="251"/>
      <c r="J8" s="251"/>
      <c r="K8" s="251"/>
      <c r="L8" s="251"/>
      <c r="M8" s="251"/>
      <c r="N8" s="251"/>
      <c r="O8" s="251"/>
      <c r="P8" s="60" t="s">
        <v>357</v>
      </c>
      <c r="Q8" s="251"/>
      <c r="R8" s="251"/>
      <c r="S8" s="251"/>
      <c r="T8" s="251"/>
    </row>
    <row r="9" spans="2:20" x14ac:dyDescent="0.25">
      <c r="B9" s="249"/>
      <c r="C9" s="249"/>
      <c r="D9" s="58">
        <v>75.49</v>
      </c>
      <c r="E9" s="58">
        <v>20.7</v>
      </c>
      <c r="F9" s="58">
        <v>671.8</v>
      </c>
      <c r="G9" s="250">
        <f>F9+F10+F11</f>
        <v>0</v>
      </c>
      <c r="H9" s="59">
        <f t="shared" si="0"/>
        <v>0</v>
      </c>
      <c r="I9" s="251">
        <f>H9+H10+H11</f>
        <v>0</v>
      </c>
      <c r="J9" s="251">
        <f>J6+I9</f>
        <v>0</v>
      </c>
      <c r="K9" s="251">
        <v>3.599203</v>
      </c>
      <c r="L9" s="251">
        <v>419.24988333333334</v>
      </c>
      <c r="M9" s="251">
        <f>K9*L9/1000</f>
        <v>0</v>
      </c>
      <c r="N9" s="251">
        <f>M9+N6</f>
        <v>0</v>
      </c>
      <c r="O9" s="251" t="e">
        <f>I9/M9*1.2/10</f>
        <v>#DIV/0!</v>
      </c>
      <c r="P9" s="60" t="s">
        <v>356</v>
      </c>
      <c r="Q9" s="251"/>
      <c r="R9" s="251"/>
      <c r="S9" s="251"/>
      <c r="T9" s="251"/>
    </row>
    <row r="10" spans="2:20" x14ac:dyDescent="0.25">
      <c r="B10" s="249"/>
      <c r="C10" s="249"/>
      <c r="D10" s="58">
        <v>74.93</v>
      </c>
      <c r="E10" s="58">
        <v>20.26</v>
      </c>
      <c r="F10" s="58">
        <v>642.1</v>
      </c>
      <c r="G10" s="250"/>
      <c r="H10" s="59">
        <f t="shared" si="0"/>
        <v>0</v>
      </c>
      <c r="I10" s="251"/>
      <c r="J10" s="251"/>
      <c r="K10" s="251"/>
      <c r="L10" s="251"/>
      <c r="M10" s="251"/>
      <c r="N10" s="251"/>
      <c r="O10" s="251"/>
      <c r="P10" s="60" t="s">
        <v>356</v>
      </c>
      <c r="Q10" s="251"/>
      <c r="R10" s="251"/>
      <c r="S10" s="251"/>
      <c r="T10" s="251"/>
    </row>
    <row r="11" spans="2:20" x14ac:dyDescent="0.25">
      <c r="B11" s="249"/>
      <c r="C11" s="249"/>
      <c r="D11" s="58">
        <v>86.3</v>
      </c>
      <c r="E11" s="58">
        <v>11</v>
      </c>
      <c r="F11" s="58">
        <v>259.7</v>
      </c>
      <c r="G11" s="250"/>
      <c r="H11" s="59">
        <f t="shared" si="0"/>
        <v>0</v>
      </c>
      <c r="I11" s="251"/>
      <c r="J11" s="251"/>
      <c r="K11" s="251"/>
      <c r="L11" s="251"/>
      <c r="M11" s="251"/>
      <c r="N11" s="251"/>
      <c r="O11" s="251"/>
      <c r="P11" s="60" t="s">
        <v>357</v>
      </c>
      <c r="Q11" s="251"/>
      <c r="R11" s="251"/>
      <c r="S11" s="251"/>
      <c r="T11" s="251"/>
    </row>
  </sheetData>
  <mergeCells count="25">
    <mergeCell ref="K6:K8"/>
    <mergeCell ref="L6:L8"/>
    <mergeCell ref="M6:M8"/>
    <mergeCell ref="T6:T11"/>
    <mergeCell ref="S6:S11"/>
    <mergeCell ref="R6:R11"/>
    <mergeCell ref="N9:N11"/>
    <mergeCell ref="O9:O11"/>
    <mergeCell ref="N6:N8"/>
    <mergeCell ref="B2:S2"/>
    <mergeCell ref="B3:S3"/>
    <mergeCell ref="B4:B5"/>
    <mergeCell ref="B6:B11"/>
    <mergeCell ref="C6:C11"/>
    <mergeCell ref="G6:G8"/>
    <mergeCell ref="I6:I8"/>
    <mergeCell ref="J6:J8"/>
    <mergeCell ref="O6:O8"/>
    <mergeCell ref="Q6:Q11"/>
    <mergeCell ref="G9:G11"/>
    <mergeCell ref="I9:I11"/>
    <mergeCell ref="J9:J11"/>
    <mergeCell ref="K9:K11"/>
    <mergeCell ref="L9:L11"/>
    <mergeCell ref="M9:M11"/>
  </mergeCells>
  <phoneticPr fontId="1" type="noConversion"/>
  <printOptions horizontalCentered="1" verticalCentered="1"/>
  <pageMargins left="0.25" right="0.25" top="0.75" bottom="0.75" header="0.3" footer="0.3"/>
  <pageSetup paperSize="8" scale="8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K35"/>
  <sheetViews>
    <sheetView tabSelected="1" zoomScaleNormal="100" workbookViewId="0">
      <selection activeCell="N24" sqref="N24"/>
    </sheetView>
  </sheetViews>
  <sheetFormatPr defaultRowHeight="14" x14ac:dyDescent="0.25"/>
  <cols>
    <col min="1" max="1" width="2" customWidth="1"/>
    <col min="2" max="2" width="13.26953125" bestFit="1" customWidth="1"/>
    <col min="3" max="3" width="11.08984375" bestFit="1" customWidth="1"/>
    <col min="4" max="4" width="15.36328125" bestFit="1" customWidth="1"/>
    <col min="5" max="5" width="7.90625" bestFit="1" customWidth="1"/>
    <col min="6" max="7" width="21.1796875" bestFit="1" customWidth="1"/>
    <col min="8" max="8" width="9" customWidth="1"/>
    <col min="9" max="9" width="2.453125" bestFit="1" customWidth="1"/>
    <col min="10" max="10" width="7.90625" bestFit="1" customWidth="1"/>
    <col min="16" max="16" width="12.6328125" customWidth="1"/>
  </cols>
  <sheetData>
    <row r="1" spans="2:10" ht="14.5" thickBot="1" x14ac:dyDescent="0.3"/>
    <row r="2" spans="2:10" ht="20.15" customHeight="1" x14ac:dyDescent="0.25">
      <c r="B2" s="269" t="s">
        <v>338</v>
      </c>
      <c r="C2" s="270"/>
      <c r="D2" s="270"/>
      <c r="E2" s="270"/>
      <c r="F2" s="270"/>
      <c r="G2" s="270"/>
      <c r="H2" s="270"/>
      <c r="I2" s="270"/>
      <c r="J2" s="271"/>
    </row>
    <row r="3" spans="2:10" ht="20.15" customHeight="1" x14ac:dyDescent="0.25">
      <c r="B3" s="35"/>
      <c r="C3" s="36"/>
      <c r="D3" s="36"/>
      <c r="E3" s="36"/>
      <c r="F3" s="36"/>
      <c r="G3" s="37"/>
      <c r="H3" s="272"/>
      <c r="I3" s="272"/>
      <c r="J3" s="273"/>
    </row>
    <row r="4" spans="2:10" ht="21" x14ac:dyDescent="0.25">
      <c r="B4" s="274" t="s">
        <v>281</v>
      </c>
      <c r="C4" s="275"/>
      <c r="D4" s="276"/>
      <c r="E4" s="38" t="s">
        <v>282</v>
      </c>
      <c r="F4" s="38" t="s">
        <v>283</v>
      </c>
      <c r="G4" s="38" t="s">
        <v>284</v>
      </c>
      <c r="H4" s="277" t="s">
        <v>285</v>
      </c>
      <c r="I4" s="276"/>
      <c r="J4" s="39" t="s">
        <v>286</v>
      </c>
    </row>
    <row r="5" spans="2:10" x14ac:dyDescent="0.25">
      <c r="B5" s="40" t="s">
        <v>287</v>
      </c>
      <c r="C5" s="248" t="s">
        <v>288</v>
      </c>
      <c r="D5" s="248"/>
      <c r="E5" s="41" t="s">
        <v>272</v>
      </c>
      <c r="F5" s="42">
        <v>90</v>
      </c>
      <c r="G5" s="43">
        <v>92.91095737951412</v>
      </c>
      <c r="H5" s="44">
        <f>(G5-F5)/F5*100</f>
        <v>-100</v>
      </c>
      <c r="I5" s="45" t="s">
        <v>272</v>
      </c>
      <c r="J5" s="46"/>
    </row>
    <row r="6" spans="2:10" x14ac:dyDescent="0.25">
      <c r="B6" s="253" t="s">
        <v>289</v>
      </c>
      <c r="C6" s="248" t="s">
        <v>290</v>
      </c>
      <c r="D6" s="248"/>
      <c r="E6" s="41" t="s">
        <v>269</v>
      </c>
      <c r="F6" s="42" t="s">
        <v>291</v>
      </c>
      <c r="G6" s="43">
        <v>1291.5591807953829</v>
      </c>
      <c r="H6" s="47" t="str">
        <f>IF($G6="","",IF(AND($G6&gt;=0,$G6&lt;=1427),"合格","不合格"))</f>
        <v/>
      </c>
      <c r="I6" s="48" t="s">
        <v>4</v>
      </c>
      <c r="J6" s="46"/>
    </row>
    <row r="7" spans="2:10" x14ac:dyDescent="0.25">
      <c r="B7" s="267"/>
      <c r="C7" s="248" t="s">
        <v>292</v>
      </c>
      <c r="D7" s="248"/>
      <c r="E7" s="41" t="s">
        <v>269</v>
      </c>
      <c r="F7" s="42" t="s">
        <v>293</v>
      </c>
      <c r="G7" s="43">
        <v>203.66875353520197</v>
      </c>
      <c r="H7" s="47" t="str">
        <f>IF($G7="","",IF(AND($G7&gt;=210,$G7&lt;=220),"合格","不合格"))</f>
        <v/>
      </c>
      <c r="I7" s="48" t="s">
        <v>4</v>
      </c>
      <c r="J7" s="46"/>
    </row>
    <row r="8" spans="2:10" x14ac:dyDescent="0.25">
      <c r="B8" s="268"/>
      <c r="C8" s="248" t="s">
        <v>294</v>
      </c>
      <c r="D8" s="248"/>
      <c r="E8" s="41" t="s">
        <v>269</v>
      </c>
      <c r="F8" s="42" t="s">
        <v>295</v>
      </c>
      <c r="G8" s="43">
        <v>265.13186373839176</v>
      </c>
      <c r="H8" s="47" t="str">
        <f>IF($G8="","",IF(AND($G8&gt;=190,$G8&lt;=210),"合格","不合格"))</f>
        <v/>
      </c>
      <c r="I8" s="48" t="s">
        <v>4</v>
      </c>
      <c r="J8" s="46"/>
    </row>
    <row r="9" spans="2:10" x14ac:dyDescent="0.25">
      <c r="B9" s="253" t="s">
        <v>296</v>
      </c>
      <c r="C9" s="41" t="s">
        <v>297</v>
      </c>
      <c r="D9" s="41" t="s">
        <v>298</v>
      </c>
      <c r="E9" s="41" t="s">
        <v>299</v>
      </c>
      <c r="F9" s="42" t="s">
        <v>300</v>
      </c>
      <c r="G9" s="43">
        <v>418.40505833333333</v>
      </c>
      <c r="H9" s="47" t="str">
        <f>IF($G9="","",IF(AND($G9&gt;=412,$G9&lt;=422),"合格","不合格"))</f>
        <v/>
      </c>
      <c r="I9" s="48" t="s">
        <v>4</v>
      </c>
      <c r="J9" s="46"/>
    </row>
    <row r="10" spans="2:10" x14ac:dyDescent="0.25">
      <c r="B10" s="267"/>
      <c r="C10" s="248" t="s">
        <v>301</v>
      </c>
      <c r="D10" s="41" t="s">
        <v>302</v>
      </c>
      <c r="E10" s="48" t="s">
        <v>4</v>
      </c>
      <c r="F10" s="42" t="s">
        <v>303</v>
      </c>
      <c r="G10" s="43">
        <v>0.5302770791666668</v>
      </c>
      <c r="H10" s="47" t="str">
        <f>IF($G10="","",IF(AND($G10&gt;=0.525,$G10&lt;=0.5357),"合格","不合格"))</f>
        <v/>
      </c>
      <c r="I10" s="48" t="s">
        <v>4</v>
      </c>
      <c r="J10" s="46"/>
    </row>
    <row r="11" spans="2:10" x14ac:dyDescent="0.25">
      <c r="B11" s="267"/>
      <c r="C11" s="248"/>
      <c r="D11" s="41" t="s">
        <v>304</v>
      </c>
      <c r="E11" s="41" t="s">
        <v>305</v>
      </c>
      <c r="F11" s="42">
        <v>46.63</v>
      </c>
      <c r="G11" s="43">
        <v>46.652650905808386</v>
      </c>
      <c r="H11" s="47" t="s">
        <v>306</v>
      </c>
      <c r="I11" s="48" t="s">
        <v>4</v>
      </c>
      <c r="J11" s="46"/>
    </row>
    <row r="12" spans="2:10" x14ac:dyDescent="0.25">
      <c r="B12" s="267"/>
      <c r="C12" s="248"/>
      <c r="D12" s="41" t="s">
        <v>307</v>
      </c>
      <c r="E12" s="41" t="s">
        <v>274</v>
      </c>
      <c r="F12" s="42" t="s">
        <v>308</v>
      </c>
      <c r="G12" s="43">
        <v>0.7295983208333333</v>
      </c>
      <c r="H12" s="47" t="str">
        <f>IF($G12="","",IF(AND($G12&gt;=0.745,$G12&lt;=0.755),"合格","不合格"))</f>
        <v/>
      </c>
      <c r="I12" s="48" t="s">
        <v>4</v>
      </c>
      <c r="J12" s="46"/>
    </row>
    <row r="13" spans="2:10" x14ac:dyDescent="0.25">
      <c r="B13" s="267"/>
      <c r="C13" s="248"/>
      <c r="D13" s="41" t="s">
        <v>309</v>
      </c>
      <c r="E13" s="41" t="s">
        <v>275</v>
      </c>
      <c r="F13" s="42" t="s">
        <v>310</v>
      </c>
      <c r="G13" s="43">
        <v>90.48966583333332</v>
      </c>
      <c r="H13" s="47" t="str">
        <f>IF($G13="","",IF(AND($G13&gt;=88,$G13&lt;=92),"合格","不合格"))</f>
        <v/>
      </c>
      <c r="I13" s="48" t="s">
        <v>4</v>
      </c>
      <c r="J13" s="46"/>
    </row>
    <row r="14" spans="2:10" x14ac:dyDescent="0.25">
      <c r="B14" s="267"/>
      <c r="C14" s="248"/>
      <c r="D14" s="41" t="s">
        <v>311</v>
      </c>
      <c r="E14" s="41" t="s">
        <v>275</v>
      </c>
      <c r="F14" s="42" t="s">
        <v>312</v>
      </c>
      <c r="G14" s="43">
        <v>140.0258</v>
      </c>
      <c r="H14" s="47" t="str">
        <f>IF($G14="","",IF(AND($G14&gt;=143,$G14&lt;=147),"合格","不合格"))</f>
        <v/>
      </c>
      <c r="I14" s="48" t="s">
        <v>4</v>
      </c>
      <c r="J14" s="46"/>
    </row>
    <row r="15" spans="2:10" x14ac:dyDescent="0.25">
      <c r="B15" s="267"/>
      <c r="C15" s="248"/>
      <c r="D15" s="41" t="s">
        <v>313</v>
      </c>
      <c r="E15" s="41" t="s">
        <v>275</v>
      </c>
      <c r="F15" s="42" t="s">
        <v>314</v>
      </c>
      <c r="G15" s="43">
        <v>162.51687916666666</v>
      </c>
      <c r="H15" s="47" t="str">
        <f>IF($G15="","",IF(AND($G15&gt;=166,$G15&lt;=170),"合格","不合格"))</f>
        <v/>
      </c>
      <c r="I15" s="48" t="s">
        <v>4</v>
      </c>
      <c r="J15" s="46"/>
    </row>
    <row r="16" spans="2:10" x14ac:dyDescent="0.25">
      <c r="B16" s="267"/>
      <c r="C16" s="248" t="s">
        <v>315</v>
      </c>
      <c r="D16" s="41" t="s">
        <v>316</v>
      </c>
      <c r="E16" s="41" t="s">
        <v>275</v>
      </c>
      <c r="F16" s="42" t="s">
        <v>317</v>
      </c>
      <c r="G16" s="43">
        <v>47.48173333333333</v>
      </c>
      <c r="H16" s="47" t="str">
        <f>IF($G16="","",IF(AND($G16&gt;=0,$G16&lt;=45),"合格","不合格"))</f>
        <v/>
      </c>
      <c r="I16" s="48" t="s">
        <v>4</v>
      </c>
      <c r="J16" s="46"/>
    </row>
    <row r="17" spans="2:10" x14ac:dyDescent="0.25">
      <c r="B17" s="267"/>
      <c r="C17" s="248"/>
      <c r="D17" s="41" t="s">
        <v>318</v>
      </c>
      <c r="E17" s="41" t="s">
        <v>275</v>
      </c>
      <c r="F17" s="42" t="s">
        <v>319</v>
      </c>
      <c r="G17" s="43">
        <v>19.226074583333332</v>
      </c>
      <c r="H17" s="47" t="str">
        <f>IF($G17="","",IF(AND($G17&gt;=0,$G17&lt;=20),"合格","不合格"))</f>
        <v/>
      </c>
      <c r="I17" s="48" t="s">
        <v>4</v>
      </c>
      <c r="J17" s="46"/>
    </row>
    <row r="18" spans="2:10" x14ac:dyDescent="0.25">
      <c r="B18" s="267"/>
      <c r="C18" s="248"/>
      <c r="D18" s="41" t="s">
        <v>320</v>
      </c>
      <c r="E18" s="41" t="s">
        <v>275</v>
      </c>
      <c r="F18" s="42" t="s">
        <v>321</v>
      </c>
      <c r="G18" s="43">
        <v>0</v>
      </c>
      <c r="H18" s="47" t="str">
        <f>IF($G18="","",IF(AND($G18&gt;=46,$G18&lt;=50),"合格","不合格"))</f>
        <v/>
      </c>
      <c r="I18" s="48" t="s">
        <v>4</v>
      </c>
      <c r="J18" s="46"/>
    </row>
    <row r="19" spans="2:10" x14ac:dyDescent="0.25">
      <c r="B19" s="267"/>
      <c r="C19" s="248"/>
      <c r="D19" s="41" t="s">
        <v>322</v>
      </c>
      <c r="E19" s="41" t="s">
        <v>275</v>
      </c>
      <c r="F19" s="42" t="s">
        <v>323</v>
      </c>
      <c r="G19" s="43">
        <v>18.0988075</v>
      </c>
      <c r="H19" s="47" t="str">
        <f>IF($G19="","",IF(AND($G19&gt;=0,$G19&lt;=20),"合格","不合格"))</f>
        <v/>
      </c>
      <c r="I19" s="48" t="s">
        <v>4</v>
      </c>
      <c r="J19" s="46"/>
    </row>
    <row r="20" spans="2:10" x14ac:dyDescent="0.25">
      <c r="B20" s="267"/>
      <c r="C20" s="248" t="s">
        <v>324</v>
      </c>
      <c r="D20" s="41" t="s">
        <v>83</v>
      </c>
      <c r="E20" s="41" t="s">
        <v>272</v>
      </c>
      <c r="F20" s="49" t="s">
        <v>76</v>
      </c>
      <c r="G20" s="43">
        <v>33.3425</v>
      </c>
      <c r="H20" s="50" t="s">
        <v>325</v>
      </c>
      <c r="I20" s="48" t="s">
        <v>4</v>
      </c>
      <c r="J20" s="46"/>
    </row>
    <row r="21" spans="2:10" x14ac:dyDescent="0.25">
      <c r="B21" s="267"/>
      <c r="C21" s="248"/>
      <c r="D21" s="41" t="s">
        <v>86</v>
      </c>
      <c r="E21" s="41" t="s">
        <v>272</v>
      </c>
      <c r="F21" s="49" t="s">
        <v>76</v>
      </c>
      <c r="G21" s="43"/>
      <c r="H21" s="50" t="s">
        <v>325</v>
      </c>
      <c r="I21" s="48" t="s">
        <v>4</v>
      </c>
      <c r="J21" s="46"/>
    </row>
    <row r="22" spans="2:10" x14ac:dyDescent="0.25">
      <c r="B22" s="267"/>
      <c r="C22" s="248"/>
      <c r="D22" s="41" t="s">
        <v>326</v>
      </c>
      <c r="E22" s="48" t="s">
        <v>4</v>
      </c>
      <c r="F22" s="49" t="s">
        <v>76</v>
      </c>
      <c r="G22" s="43">
        <v>7.055</v>
      </c>
      <c r="H22" s="50" t="s">
        <v>325</v>
      </c>
      <c r="I22" s="48" t="s">
        <v>4</v>
      </c>
      <c r="J22" s="46"/>
    </row>
    <row r="23" spans="2:10" x14ac:dyDescent="0.25">
      <c r="B23" s="267"/>
      <c r="C23" s="248"/>
      <c r="D23" s="41" t="s">
        <v>160</v>
      </c>
      <c r="E23" s="41" t="s">
        <v>299</v>
      </c>
      <c r="F23" s="49" t="s">
        <v>76</v>
      </c>
      <c r="G23" s="43">
        <v>25.523333333333333</v>
      </c>
      <c r="H23" s="50" t="s">
        <v>325</v>
      </c>
      <c r="I23" s="48" t="s">
        <v>4</v>
      </c>
      <c r="J23" s="46"/>
    </row>
    <row r="24" spans="2:10" x14ac:dyDescent="0.25">
      <c r="B24" s="268"/>
      <c r="C24" s="248"/>
      <c r="D24" s="41" t="s">
        <v>161</v>
      </c>
      <c r="E24" s="41" t="s">
        <v>299</v>
      </c>
      <c r="F24" s="49" t="s">
        <v>76</v>
      </c>
      <c r="G24" s="43">
        <v>8.78</v>
      </c>
      <c r="H24" s="50" t="s">
        <v>325</v>
      </c>
      <c r="I24" s="48" t="s">
        <v>4</v>
      </c>
      <c r="J24" s="46"/>
    </row>
    <row r="25" spans="2:10" x14ac:dyDescent="0.25">
      <c r="B25" s="252" t="s">
        <v>327</v>
      </c>
      <c r="C25" s="41" t="s">
        <v>328</v>
      </c>
      <c r="D25" s="41" t="s">
        <v>329</v>
      </c>
      <c r="E25" s="41" t="s">
        <v>330</v>
      </c>
      <c r="F25" s="42" t="s">
        <v>331</v>
      </c>
      <c r="G25" s="43">
        <v>0</v>
      </c>
      <c r="H25" s="47" t="str">
        <f>IF($G25="","",IF(AND($G25&gt;=0,$G25&lt;=0.38),"合格","不合格"))</f>
        <v/>
      </c>
      <c r="I25" s="48" t="s">
        <v>4</v>
      </c>
      <c r="J25" s="46"/>
    </row>
    <row r="26" spans="2:10" x14ac:dyDescent="0.25">
      <c r="B26" s="252"/>
      <c r="C26" s="248" t="s">
        <v>332</v>
      </c>
      <c r="D26" s="41" t="s">
        <v>10</v>
      </c>
      <c r="E26" s="41" t="s">
        <v>272</v>
      </c>
      <c r="F26" s="42">
        <v>7</v>
      </c>
      <c r="G26" s="43">
        <v>111</v>
      </c>
      <c r="H26" s="44">
        <f t="shared" ref="H26:H32" si="0">(G26-F26)</f>
        <v>-7</v>
      </c>
      <c r="I26" s="48" t="s">
        <v>272</v>
      </c>
      <c r="J26" s="46"/>
    </row>
    <row r="27" spans="2:10" x14ac:dyDescent="0.25">
      <c r="B27" s="252"/>
      <c r="C27" s="248"/>
      <c r="D27" s="41" t="s">
        <v>333</v>
      </c>
      <c r="E27" s="41" t="s">
        <v>272</v>
      </c>
      <c r="F27" s="42">
        <v>15</v>
      </c>
      <c r="G27" s="43">
        <v>222</v>
      </c>
      <c r="H27" s="44">
        <f t="shared" si="0"/>
        <v>-15</v>
      </c>
      <c r="I27" s="48" t="s">
        <v>272</v>
      </c>
      <c r="J27" s="46"/>
    </row>
    <row r="28" spans="2:10" x14ac:dyDescent="0.25">
      <c r="B28" s="252"/>
      <c r="C28" s="248"/>
      <c r="D28" s="41" t="s">
        <v>334</v>
      </c>
      <c r="E28" s="41" t="s">
        <v>272</v>
      </c>
      <c r="F28" s="42">
        <v>4</v>
      </c>
      <c r="G28" s="43">
        <v>333</v>
      </c>
      <c r="H28" s="44">
        <f t="shared" si="0"/>
        <v>-4</v>
      </c>
      <c r="I28" s="48" t="s">
        <v>272</v>
      </c>
      <c r="J28" s="46"/>
    </row>
    <row r="29" spans="2:10" x14ac:dyDescent="0.25">
      <c r="B29" s="252"/>
      <c r="C29" s="248"/>
      <c r="D29" s="41" t="s">
        <v>160</v>
      </c>
      <c r="E29" s="41" t="s">
        <v>272</v>
      </c>
      <c r="F29" s="42">
        <v>7</v>
      </c>
      <c r="G29" s="43">
        <v>444</v>
      </c>
      <c r="H29" s="44">
        <f t="shared" si="0"/>
        <v>-7</v>
      </c>
      <c r="I29" s="48" t="s">
        <v>272</v>
      </c>
      <c r="J29" s="46"/>
    </row>
    <row r="30" spans="2:10" x14ac:dyDescent="0.25">
      <c r="B30" s="252"/>
      <c r="C30" s="248"/>
      <c r="D30" s="41" t="s">
        <v>161</v>
      </c>
      <c r="E30" s="41" t="s">
        <v>272</v>
      </c>
      <c r="F30" s="42">
        <v>7</v>
      </c>
      <c r="G30" s="43">
        <v>555</v>
      </c>
      <c r="H30" s="44">
        <f t="shared" si="0"/>
        <v>-7</v>
      </c>
      <c r="I30" s="48" t="s">
        <v>272</v>
      </c>
      <c r="J30" s="46"/>
    </row>
    <row r="31" spans="2:10" x14ac:dyDescent="0.25">
      <c r="B31" s="252"/>
      <c r="C31" s="248"/>
      <c r="D31" s="41" t="s">
        <v>335</v>
      </c>
      <c r="E31" s="41" t="s">
        <v>336</v>
      </c>
      <c r="F31" s="42">
        <v>10</v>
      </c>
      <c r="G31" s="43">
        <v>666</v>
      </c>
      <c r="H31" s="44">
        <f t="shared" si="0"/>
        <v>-10</v>
      </c>
      <c r="I31" s="48" t="s">
        <v>272</v>
      </c>
      <c r="J31" s="46"/>
    </row>
    <row r="32" spans="2:10" ht="14.5" thickBot="1" x14ac:dyDescent="0.3">
      <c r="B32" s="253"/>
      <c r="C32" s="254"/>
      <c r="D32" s="51" t="s">
        <v>276</v>
      </c>
      <c r="E32" s="51" t="s">
        <v>272</v>
      </c>
      <c r="F32" s="52">
        <v>50</v>
      </c>
      <c r="G32" s="53">
        <v>777</v>
      </c>
      <c r="H32" s="44">
        <f t="shared" si="0"/>
        <v>-50</v>
      </c>
      <c r="I32" s="48" t="s">
        <v>272</v>
      </c>
      <c r="J32" s="54"/>
    </row>
    <row r="33" spans="2:10" x14ac:dyDescent="0.25">
      <c r="B33" s="255" t="s">
        <v>337</v>
      </c>
      <c r="C33" s="258"/>
      <c r="D33" s="259"/>
      <c r="E33" s="259"/>
      <c r="F33" s="259"/>
      <c r="G33" s="259"/>
      <c r="H33" s="259"/>
      <c r="I33" s="259"/>
      <c r="J33" s="260"/>
    </row>
    <row r="34" spans="2:10" x14ac:dyDescent="0.25">
      <c r="B34" s="256"/>
      <c r="C34" s="261"/>
      <c r="D34" s="262"/>
      <c r="E34" s="262"/>
      <c r="F34" s="262"/>
      <c r="G34" s="262"/>
      <c r="H34" s="262"/>
      <c r="I34" s="262"/>
      <c r="J34" s="263"/>
    </row>
    <row r="35" spans="2:10" ht="14.5" thickBot="1" x14ac:dyDescent="0.3">
      <c r="B35" s="257"/>
      <c r="C35" s="264"/>
      <c r="D35" s="265"/>
      <c r="E35" s="265"/>
      <c r="F35" s="265"/>
      <c r="G35" s="265"/>
      <c r="H35" s="265"/>
      <c r="I35" s="265"/>
      <c r="J35" s="266"/>
    </row>
  </sheetData>
  <sheetCalcPr fullCalcOnLoad="1"/>
  <mergeCells count="17">
    <mergeCell ref="B6:B8"/>
    <mergeCell ref="C6:D6"/>
    <mergeCell ref="C7:D7"/>
    <mergeCell ref="C8:D8"/>
    <mergeCell ref="B2:J2"/>
    <mergeCell ref="H3:J3"/>
    <mergeCell ref="B4:D4"/>
    <mergeCell ref="H4:I4"/>
    <mergeCell ref="C5:D5"/>
    <mergeCell ref="B25:B32"/>
    <mergeCell ref="C26:C32"/>
    <mergeCell ref="B33:B35"/>
    <mergeCell ref="C33:J35"/>
    <mergeCell ref="B9:B24"/>
    <mergeCell ref="C20:C24"/>
    <mergeCell ref="C16:C19"/>
    <mergeCell ref="C10:C15"/>
  </mergeCells>
  <phoneticPr fontId="1" type="noConversion"/>
  <conditionalFormatting sqref="H5">
    <cfRule type="cellIs" dxfId="15" priority="10" aboveAverage="1" operator="equal">
      <formula>0</formula>
    </cfRule>
    <cfRule type="cellIs" dxfId="14" priority="11" aboveAverage="1" operator="lessThan">
      <formula>0</formula>
    </cfRule>
    <cfRule type="cellIs" dxfId="13" priority="12" aboveAverage="1" operator="greaterThan">
      <formula>0</formula>
    </cfRule>
  </conditionalFormatting>
  <conditionalFormatting sqref="H6:H19">
    <cfRule type="cellIs" dxfId="12" priority="13" aboveAverage="1" operator="equal">
      <formula>"合格"</formula>
    </cfRule>
    <cfRule type="cellIs" dxfId="11" priority="14" aboveAverage="1" operator="equal">
      <formula>"不合格"</formula>
    </cfRule>
    <cfRule type="containsText" dxfId="10" priority="15" aboveAverage="1" operator="containsText" text="不合格">
      <formula>NOT(ISERROR(SEARCH("不合格",H6)))</formula>
    </cfRule>
    <cfRule type="cellIs" dxfId="9" priority="16" aboveAverage="1" operator="equal">
      <formula>"合格"</formula>
    </cfRule>
  </conditionalFormatting>
  <conditionalFormatting sqref="H25">
    <cfRule type="cellIs" dxfId="8" priority="6" aboveAverage="1" operator="equal">
      <formula>"合格"</formula>
    </cfRule>
    <cfRule type="cellIs" dxfId="7" priority="7" aboveAverage="1" operator="equal">
      <formula>"不合格"</formula>
    </cfRule>
    <cfRule type="containsText" dxfId="6" priority="8" aboveAverage="1" operator="containsText" text="不合格">
      <formula>NOT(ISERROR(SEARCH("不合格",H25)))</formula>
    </cfRule>
    <cfRule type="cellIs" dxfId="5" priority="9" aboveAverage="1" operator="equal">
      <formula>"合格"</formula>
    </cfRule>
  </conditionalFormatting>
  <conditionalFormatting sqref="H26:H31">
    <cfRule type="cellIs" dxfId="4" priority="4" aboveAverage="1" operator="greaterThan">
      <formula>0</formula>
    </cfRule>
    <cfRule type="cellIs" dxfId="3" priority="5" aboveAverage="1" operator="lessThan">
      <formula>0</formula>
    </cfRule>
  </conditionalFormatting>
  <conditionalFormatting sqref="H26:H32">
    <cfRule type="cellIs" dxfId="2" priority="1" aboveAverage="1" operator="equal">
      <formula>0</formula>
    </cfRule>
  </conditionalFormatting>
  <conditionalFormatting sqref="H32">
    <cfRule type="cellIs" dxfId="1" priority="2" aboveAverage="1" operator="lessThan">
      <formula>0</formula>
    </cfRule>
    <cfRule type="cellIs" dxfId="0" priority="3" aboveAverage="1" operator="greaterThan">
      <formula>0</formula>
    </cfRule>
  </conditionalFormatting>
  <printOptions horizontalCentered="1" verticalCentered="1"/>
  <pageMargins left="0" right="0" top="0" bottom="0" header="0" footer="0"/>
  <pageSetup paperSize="9" scale="80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4">
      <vt:variant>
        <vt:lpstr>工作表</vt:lpstr>
      </vt:variant>
      <vt:variant>
        <vt:i4>6</vt:i4>
      </vt:variant>
      <vt:variant>
        <vt:lpstr>命名范围</vt:lpstr>
      </vt:variant>
      <vt:variant>
        <vt:i4>1</vt:i4>
      </vt:variant>
    </vt:vector>
  </HeadingPairs>
  <TitlesOfParts>
    <vt:vector baseType="lpstr" size="7">
      <vt:lpstr>白班过程记录</vt:lpstr>
      <vt:lpstr>白班曲线</vt:lpstr>
      <vt:lpstr>夜班过程记录</vt:lpstr>
      <vt:lpstr>夜班曲线</vt:lpstr>
      <vt:lpstr>台账</vt:lpstr>
      <vt:lpstr>日报表</vt:lpstr>
      <vt:lpstr>白班曲线!Print_Area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2026-06-02T10:58:51Z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