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<sst xmlns="http://schemas.openxmlformats.org/spreadsheetml/2006/main" count="1556" uniqueCount="472">
  <si>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</si>
  <si>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</si>
  <si>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</si>
  <si>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</si>
  <si>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</si>
  <si>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</si>
  <si>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</si>
  <si>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</si>
  <si>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</si>
  <si>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</si>
  <si>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</si>
  <si>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</si>
  <si>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</si>
  <si>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</si>
  <si>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</si>
  <si>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</si>
  <si>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</si>
  <si>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</si>
  <si>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</si>
  <si>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</si>
  <si>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</si>
  <si>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</si>
  <si>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</si>
  <si>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</si>
  <si>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</si>
  <si>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</si>
  <si>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</si>
  <si>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</si>
  <si>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</si>
  <si>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</si>
  <si>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</si>
  <si>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</si>
  <si>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</si>
  <si>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</si>
  <si>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</si>
  <si>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</si>
  <si>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</si>
  <si>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</si>
  <si>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</si>
  <si>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</si>
  <si>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</si>
  <si>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</si>
  <si>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</si>
  <si>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</si>
  <si>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</si>
  <si>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</si>
  <si>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</si>
  <si>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</si>
  <si>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</si>
  <si>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</si>
  <si>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</si>
  <si>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</si>
  <si>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</si>
  <si>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</si>
  <si>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</si>
  <si>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</si>
  <si>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</si>
  <si>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</si>
  <si>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</si>
  <si>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</si>
  <si>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</si>
  <si>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</si>
  <si>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</si>
  <si>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</si>
  <si>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</si>
  <si>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</si>
  <si>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</si>
  <si>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</si>
  <si>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</si>
  <si>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</si>
  <si>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</si>
  <si>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</si>
  <si>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</si>
  <si>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</si>
  <si>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</si>
  <si>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</si>
  <si>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</si>
  <si>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</si>
  <si>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</si>
  <si>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</si>
  <si>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</si>
  <si>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</si>
  <si>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</si>
  <si>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</si>
  <si>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</si>
  <si>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</si>
  <si>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</si>
  <si>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</si>
  <si>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</si>
  <si>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</si>
  <si>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</si>
  <si>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</si>
  <si>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</si>
  <si>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</si>
  <si>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</si>
  <si>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</si>
  <si>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</si>
  <si>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</si>
  <si>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</si>
  <si>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</si>
  <si>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</si>
  <si>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</si>
  <si>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</si>
  <si>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</si>
  <si>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</si>
  <si>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</si>
  <si>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</si>
  <si>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</si>
  <si>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</si>
  <si>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</si>
  <si>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</si>
  <si>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</si>
  <si>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</si>
  <si>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</si>
  <si>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</si>
  <si>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</si>
  <si>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</si>
  <si>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</si>
  <si>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</si>
  <si>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</si>
  <si>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</si>
  <si>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</si>
  <si>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</si>
  <si>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</si>
  <si>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</si>
  <si>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</si>
  <si>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</si>
  <si>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</si>
  <si>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</si>
  <si>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</si>
  <si>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</si>
  <si>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</si>
  <si>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</si>
  <si>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</si>
  <si>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</si>
  <si>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</si>
  <si>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</si>
  <si>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</si>
  <si>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</si>
  <si>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</si>
  <si>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</si>
  <si>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</si>
  <si>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</si>
  <si>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</si>
  <si>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</si>
  <si>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</si>
  <si>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</si>
  <si>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</si>
  <si>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</si>
  <si>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</si>
  <si>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</si>
  <si>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</si>
  <si>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</si>
  <si>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</si>
  <si>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</si>
  <si>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</si>
  <si>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</si>
  <si>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</si>
  <si>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</si>
  <si>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</si>
  <si>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</si>
  <si>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</si>
  <si>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</si>
  <si>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</si>
  <si>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</si>
  <si>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</si>
  <si>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</si>
  <si>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</si>
  <si>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</si>
  <si>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</si>
  <si>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</si>
  <si>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</si>
  <si>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</si>
  <si>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</si>
  <si>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</si>
  <si>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</si>
  <si>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</si>
  <si>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</si>
  <si>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</si>
  <si>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</si>
  <si>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</si>
  <si>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</si>
  <si>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</si>
  <si>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</si>
  <si>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</si>
  <si>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</si>
  <si>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</si>
  <si>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</si>
  <si>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</si>
  <si>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</si>
  <si>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</si>
  <si>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</si>
  <si>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</si>
  <si>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</si>
  <si>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</si>
  <si>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</si>
  <si>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</si>
  <si>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</si>
  <si>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</si>
  <si>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</si>
  <si>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</si>
  <si>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</si>
  <si>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</si>
  <si>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</si>
  <si>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</si>
  <si>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</si>
  <si>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</si>
  <si>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</si>
  <si>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</si>
  <si>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</si>
  <si>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</si>
  <si>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</si>
  <si>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</si>
  <si>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</si>
  <si>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</si>
  <si>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</si>
  <si>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</si>
  <si>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</si>
  <si>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</si>
  <si>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</si>
  <si>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</si>
  <si>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</si>
  <si>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</si>
  <si>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</si>
  <si>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</si>
  <si>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</si>
  <si>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</si>
  <si>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</si>
  <si>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</si>
  <si>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</si>
  <si>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</si>
  <si>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</si>
  <si>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</si>
  <si>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</si>
  <si>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</si>
  <si>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</si>
  <si>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</si>
  <si>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</si>
  <si>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</si>
  <si>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</si>
  <si>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</si>
  <si>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</si>
  <si>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</si>
  <si>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</si>
  <si>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</si>
  <si>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</si>
  <si>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</si>
  <si>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</si>
  <si>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</si>
  <si>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</si>
  <si>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</si>
  <si>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</si>
  <si>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</si>
  <si>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</si>
  <si>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</si>
  <si>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</si>
  <si>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</si>
  <si>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</si>
  <si>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</si>
  <si>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</si>
  <si>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</si>
  <si>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</si>
  <si>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</si>
  <si>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</si>
  <si>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</si>
  <si>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</si>
  <si>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</si>
  <si>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</si>
  <si>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</si>
  <si>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</si>
  <si>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</si>
  <si>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</si>
  <si>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</si>
  <si>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</si>
  <si>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</si>
  <si>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</si>
  <si>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</si>
  <si>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</si>
  <si>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</si>
  <si>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</si>
  <si>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</si>
  <si>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</si>
  <si>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</si>
  <si>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</si>
  <si>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</si>
  <si>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</si>
  <si>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</si>
  <si>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</si>
  <si>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</si>
  <si>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</si>
  <si>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</si>
  <si>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</si>
  <si>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</si>
  <si>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</si>
  <si>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</si>
  <si>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</si>
  <si>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</si>
  <si>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</si>
  <si>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</si>
  <si>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</si>
  <si>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</si>
  <si>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</si>
  <si>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</si>
  <si>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</si>
  <si>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</si>
  <si>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</si>
  <si>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</si>
  <si>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</si>
  <si>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</si>
  <si>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</si>
  <si>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</si>
  <si>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</si>
  <si>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</si>
  <si>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</si>
  <si>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</si>
  <si>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</si>
  <si>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</si>
  <si>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</si>
  <si>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</si>
  <si>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</si>
  <si>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</si>
  <si>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</si>
  <si>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</si>
  <si>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</si>
  <si>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</si>
  <si>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</si>
  <si>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</si>
  <si>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</si>
  <si>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</si>
  <si>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</si>
  <si>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</si>
  <si>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</si>
  <si>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</si>
  <si>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</si>
  <si>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</si>
  <si>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</si>
  <si>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</si>
  <si>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</si>
  <si>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</si>
  <si>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</si>
  <si>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</si>
  <si>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</si>
  <si>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</si>
  <si>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</si>
  <si>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</si>
  <si>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</si>
  <si>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</si>
  <si>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</si>
  <si>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</si>
  <si>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</si>
  <si>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</si>
  <si>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</si>
  <si>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</si>
  <si>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</si>
  <si>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</si>
  <si>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</si>
  <si>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</si>
  <si>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</si>
  <si>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</si>
  <si>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</si>
  <si>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</si>
  <si>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</si>
  <si>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</si>
  <si>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</si>
  <si>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</si>
  <si>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</si>
  <si>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</si>
  <si>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</si>
  <si>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</si>
  <si>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</si>
  <si>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</si>
  <si>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</si>
  <si>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</si>
  <si>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</si>
  <si>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</si>
  <si>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</si>
  <si>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</si>
  <si>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</si>
  <si>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</si>
  <si>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</si>
  <si>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</si>
  <si>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</si>
  <si>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</si>
  <si>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</si>
  <si>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</si>
  <si>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</si>
  <si>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</si>
  <si>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</si>
  <si>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</si>
  <si>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</si>
  <si>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</si>
  <si>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</si>
  <si>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</si>
  <si>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</si>
  <si>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</si>
  <si>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</si>
  <si>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</si>
  <si>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</si>
  <si>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</si>
  <si>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</si>
  <si>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</si>
  <si>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</si>
  <si>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</si>
  <si>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</si>
  <si>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</si>
  <si>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</si>
  <si>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</si>
  <si>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</si>
  <si>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</si>
  <si>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</si>
  <si>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</si>
  <si>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</si>
  <si>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</si>
  <si>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</si>
  <si>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</si>
  <si>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</si>
  <si>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</si>
  <si>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</si>
  <si>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</si>
  <si>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</si>
  <si>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</si>
  <si>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</si>
  <si>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</si>
  <si>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</si>
  <si>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</si>
  <si>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</si>
  <si>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</si>
  <si>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</si>
  <si>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</si>
  <si>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</si>
  <si>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</si>
  <si>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</si>
  <si>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</si>
  <si>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</si>
  <si>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</si>
  <si>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</si>
  <si>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</si>
  <si>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</si>
  <si>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</si>
  <si>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</si>
  <si>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</si>
  <si>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</si>
  <si>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</si>
  <si>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</si>
  <si>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</si>
  <si>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</si>
  <si>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</si>
  <si>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</si>
  <si>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</si>
  <si>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</si>
  <si>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</si>
  <si>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</si>
  <si>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</si>
  <si>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</si>
  <si>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</si>
  <si>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</si>
  <si>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</si>
  <si>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</si>
  <si>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</si>
  <si>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</si>
  <si>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</si>
  <si>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</si>
  <si>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</si>
  <si>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</si>
  <si>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</si>
  <si>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</si>
  <si>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</si>
  <si>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</si>
  <si>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</si>
  <si>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</si>
  <si>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</si>
  <si>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2026-05-07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</si>
</sst>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3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35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89" xfId="0" applyFont="1" applyFill="1" applyBorder="1" applyAlignment="1">
      <alignment horizontal="center" vertical="center"/>
    </xf>
    <xf numFmtId="49" fontId="19" fillId="4" borderId="90" xfId="0" applyNumberFormat="1" applyFont="1" applyFill="1" applyBorder="1" applyAlignment="1">
      <alignment horizontal="center" vertical="center" wrapText="1"/>
    </xf>
    <xf numFmtId="176" fontId="28" fillId="0" borderId="4" xfId="0" applyNumberFormat="1" applyFont="1" applyBorder="1" applyAlignment="1">
      <alignment horizontal="center" vertical="center" wrapText="1"/>
    </xf>
    <xf numFmtId="176" fontId="29" fillId="0" borderId="4" xfId="0" applyNumberFormat="1" applyFont="1" applyBorder="1" applyAlignment="1">
      <alignment horizontal="center" vertical="center" wrapText="1"/>
    </xf>
    <xf numFmtId="176" fontId="29" fillId="0" borderId="47" xfId="0" applyNumberFormat="1" applyFont="1" applyBorder="1" applyAlignment="1">
      <alignment horizontal="center" vertical="center" wrapText="1"/>
    </xf>
    <xf numFmtId="176" fontId="29" fillId="0" borderId="51" xfId="0" applyNumberFormat="1" applyFont="1" applyBorder="1" applyAlignment="1">
      <alignment horizontal="center" vertical="center" wrapText="1"/>
    </xf>
    <xf numFmtId="177" fontId="28" fillId="0" borderId="4" xfId="0" applyNumberFormat="1" applyFont="1" applyBorder="1" applyAlignment="1">
      <alignment horizontal="center" vertical="center" wrapText="1"/>
    </xf>
    <xf numFmtId="177" fontId="28" fillId="0" borderId="47" xfId="0" applyNumberFormat="1" applyFont="1" applyBorder="1" applyAlignment="1">
      <alignment horizontal="center" vertical="center" wrapText="1"/>
    </xf>
    <xf numFmtId="177" fontId="28" fillId="0" borderId="51" xfId="0" applyNumberFormat="1" applyFont="1" applyBorder="1" applyAlignment="1">
      <alignment horizontal="center" vertical="center" wrapText="1"/>
    </xf>
    <xf numFmtId="177" fontId="28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28" fillId="0" borderId="30" xfId="0" applyNumberFormat="1" applyFont="1" applyBorder="1" applyAlignment="1">
      <alignment horizontal="center" vertical="center" wrapText="1"/>
    </xf>
    <xf numFmtId="177" fontId="28" fillId="0" borderId="48" xfId="0" applyNumberFormat="1" applyFont="1" applyBorder="1" applyAlignment="1">
      <alignment horizontal="center" vertical="center" wrapText="1"/>
    </xf>
    <xf numFmtId="177" fontId="28" fillId="0" borderId="52" xfId="0" applyNumberFormat="1" applyFont="1" applyBorder="1" applyAlignment="1">
      <alignment horizontal="center" vertical="center" wrapText="1"/>
    </xf>
    <xf numFmtId="177" fontId="28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28" fillId="0" borderId="12" xfId="0" applyNumberFormat="1" applyFont="1" applyBorder="1" applyAlignment="1">
      <alignment horizontal="center" vertical="center" wrapText="1"/>
    </xf>
    <xf numFmtId="177" fontId="29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28" fillId="0" borderId="45" xfId="0" applyNumberFormat="1" applyFont="1" applyBorder="1" applyAlignment="1">
      <alignment horizontal="center" vertical="center" wrapText="1"/>
    </xf>
    <xf numFmtId="177" fontId="29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29" fillId="0" borderId="47" xfId="0" applyNumberFormat="1" applyFont="1" applyBorder="1" applyAlignment="1">
      <alignment horizontal="center" vertical="center" wrapText="1"/>
    </xf>
    <xf numFmtId="177" fontId="29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29" fillId="0" borderId="48" xfId="0" applyNumberFormat="1" applyFont="1" applyBorder="1" applyAlignment="1">
      <alignment horizontal="center" vertical="center" wrapText="1"/>
    </xf>
    <xf numFmtId="177" fontId="29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23" fillId="0" borderId="30" xfId="0" applyNumberFormat="1" applyFont="1" applyBorder="1" applyAlignment="1">
      <alignment horizontal="center" vertical="center" wrapText="1"/>
    </xf>
    <xf numFmtId="177" fontId="30" fillId="0" borderId="52" xfId="0" applyNumberFormat="1" applyFont="1" applyBorder="1" applyAlignment="1">
      <alignment horizontal="center" vertical="center" wrapText="1"/>
    </xf>
    <xf numFmtId="177" fontId="31" fillId="0" borderId="52" xfId="0" applyNumberFormat="1" applyFont="1" applyBorder="1" applyAlignment="1">
      <alignment horizontal="center" vertical="center" wrapText="1"/>
    </xf>
    <xf numFmtId="177" fontId="31" fillId="0" borderId="30" xfId="0" applyNumberFormat="1" applyFont="1" applyBorder="1" applyAlignment="1">
      <alignment horizontal="center" vertical="center" wrapText="1"/>
    </xf>
    <xf numFmtId="177" fontId="31" fillId="0" borderId="76" xfId="0" applyNumberFormat="1" applyFont="1" applyBorder="1" applyAlignment="1">
      <alignment horizontal="center" vertical="center" wrapText="1"/>
    </xf>
    <xf numFmtId="177" fontId="31" fillId="0" borderId="48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4" fillId="0" borderId="82" xfId="0" applyFont="1" applyBorder="1" applyAlignment="1">
      <alignment horizontal="left" vertical="center"/>
    </xf>
    <xf numFmtId="0" fontId="24" fillId="0" borderId="83" xfId="0" applyFont="1" applyBorder="1" applyAlignment="1">
      <alignment horizontal="left" vertical="center"/>
    </xf>
    <xf numFmtId="0" fontId="24" fillId="0" borderId="84" xfId="0" applyFont="1" applyBorder="1" applyAlignment="1">
      <alignment horizontal="left" vertical="center"/>
    </xf>
    <xf numFmtId="0" fontId="21" fillId="0" borderId="85" xfId="0" applyFont="1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25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25" fillId="0" borderId="28" xfId="0" applyFont="1" applyBorder="1" applyAlignment="1">
      <alignment horizontal="center" vertical="center" wrapText="1"/>
    </xf>
    <xf numFmtId="0" fontId="25" fillId="0" borderId="69" xfId="0" applyFont="1" applyBorder="1" applyAlignment="1">
      <alignment horizontal="center" vertical="center" wrapText="1"/>
    </xf>
    <xf numFmtId="0" fontId="25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25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87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26" fillId="0" borderId="72" xfId="0" applyNumberFormat="1" applyFont="1" applyBorder="1" applyAlignment="1">
      <alignment horizontal="center" vertical="center" wrapText="1"/>
    </xf>
    <xf numFmtId="0" fontId="27" fillId="0" borderId="62" xfId="0" applyFont="1" applyBorder="1" applyAlignment="1">
      <alignment horizontal="center" vertical="center" wrapText="1"/>
    </xf>
    <xf numFmtId="0" fontId="27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0" fontId="0" fillId="0" borderId="9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3" fillId="3" borderId="81" xfId="0" applyFont="1" applyFill="1" applyBorder="1" applyAlignment="1">
      <alignment horizontal="center" vertical="center"/>
    </xf>
    <xf numFmtId="0" fontId="33" fillId="3" borderId="78" xfId="0" applyFont="1" applyFill="1" applyBorder="1" applyAlignment="1">
      <alignment horizontal="center" vertical="center"/>
    </xf>
    <xf numFmtId="0" fontId="33" fillId="3" borderId="77" xfId="0" applyFont="1" applyFill="1" applyBorder="1" applyAlignment="1">
      <alignment horizontal="center" vertical="center"/>
    </xf>
    <xf numFmtId="0" fontId="34" fillId="3" borderId="61" xfId="0" applyFont="1" applyFill="1" applyBorder="1" applyAlignment="1">
      <alignment vertical="center"/>
    </xf>
    <xf numFmtId="0" fontId="34" fillId="3" borderId="62" xfId="0" applyFont="1" applyFill="1" applyBorder="1" applyAlignment="1">
      <alignment vertical="center"/>
    </xf>
    <xf numFmtId="0" fontId="34" fillId="3" borderId="62" xfId="0" applyFont="1" applyFill="1" applyBorder="1" applyAlignment="1">
      <alignment horizontal="right" vertical="center"/>
    </xf>
    <xf numFmtId="0" fontId="34" fillId="3" borderId="62" xfId="0" applyFont="1" applyFill="1" applyBorder="1" applyAlignment="1">
      <alignment horizontal="center" vertical="center"/>
    </xf>
    <xf numFmtId="0" fontId="34" fillId="3" borderId="65" xfId="0" applyFont="1" applyFill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73" xfId="0" applyFont="1" applyBorder="1" applyAlignment="1">
      <alignment horizontal="center" vertical="center"/>
    </xf>
    <xf numFmtId="0" fontId="33" fillId="0" borderId="90" xfId="0" applyFont="1" applyBorder="1" applyAlignment="1">
      <alignment horizontal="center" vertical="center"/>
    </xf>
    <xf numFmtId="0" fontId="33" fillId="0" borderId="94" xfId="0" applyFont="1" applyBorder="1" applyAlignment="1">
      <alignment horizontal="center" vertical="center"/>
    </xf>
    <xf numFmtId="0" fontId="33" fillId="0" borderId="89" xfId="0" applyFont="1" applyBorder="1" applyAlignment="1">
      <alignment horizontal="center" vertical="center"/>
    </xf>
    <xf numFmtId="0" fontId="33" fillId="0" borderId="95" xfId="0" applyFont="1" applyBorder="1" applyAlignment="1">
      <alignment horizontal="center" vertical="center"/>
    </xf>
    <xf numFmtId="0" fontId="35" fillId="0" borderId="96" xfId="0" applyFont="1" applyBorder="1" applyAlignment="1">
      <alignment horizontal="left" vertical="center"/>
    </xf>
    <xf numFmtId="0" fontId="35" fillId="0" borderId="94" xfId="0" applyFont="1" applyBorder="1" applyAlignment="1">
      <alignment horizontal="center" vertical="center"/>
    </xf>
    <xf numFmtId="0" fontId="35" fillId="0" borderId="94" xfId="0" applyFont="1" applyBorder="1" applyAlignment="1">
      <alignment horizontal="center" vertical="center"/>
    </xf>
    <xf numFmtId="177" fontId="36" fillId="0" borderId="94" xfId="0" applyNumberFormat="1" applyFont="1" applyBorder="1" applyAlignment="1">
      <alignment horizontal="center" vertical="center"/>
    </xf>
    <xf numFmtId="177" fontId="16" fillId="0" borderId="94" xfId="0" applyNumberFormat="1" applyFont="1" applyBorder="1" applyAlignment="1">
      <alignment horizontal="center" vertical="center"/>
    </xf>
    <xf numFmtId="178" fontId="36" fillId="0" borderId="94" xfId="0" applyNumberFormat="1" applyFont="1" applyBorder="1" applyAlignment="1">
      <alignment horizontal="center" vertical="center"/>
    </xf>
    <xf numFmtId="178" fontId="36" fillId="0" borderId="89" xfId="0" applyNumberFormat="1" applyFont="1" applyBorder="1" applyAlignment="1">
      <alignment horizontal="center" vertical="center"/>
    </xf>
    <xf numFmtId="0" fontId="36" fillId="0" borderId="95" xfId="0" applyFont="1" applyBorder="1" applyAlignment="1">
      <alignment horizontal="center" vertical="center"/>
    </xf>
    <xf numFmtId="0" fontId="35" fillId="0" borderId="97" xfId="0" applyFont="1" applyBorder="1" applyAlignment="1">
      <alignment horizontal="center" vertical="center"/>
    </xf>
    <xf numFmtId="0" fontId="36" fillId="0" borderId="94" xfId="0" applyFont="1" applyBorder="1" applyAlignment="1">
      <alignment horizontal="center" vertical="center"/>
    </xf>
    <xf numFmtId="0" fontId="35" fillId="0" borderId="94" xfId="0" quotePrefix="1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177" fontId="35" fillId="0" borderId="94" xfId="0" quotePrefix="1" applyNumberFormat="1" applyFont="1" applyBorder="1" applyAlignment="1">
      <alignment horizontal="center" vertical="center"/>
    </xf>
    <xf numFmtId="0" fontId="36" fillId="0" borderId="94" xfId="0" quotePrefix="1" applyFont="1" applyBorder="1" applyAlignment="1">
      <alignment horizontal="center" vertical="center"/>
    </xf>
    <xf numFmtId="0" fontId="35" fillId="0" borderId="96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0" fontId="35" fillId="0" borderId="100" xfId="0" applyFont="1" applyBorder="1" applyAlignment="1">
      <alignment horizontal="center" vertical="center"/>
    </xf>
    <xf numFmtId="177" fontId="36" fillId="0" borderId="100" xfId="0" applyNumberFormat="1" applyFont="1" applyBorder="1" applyAlignment="1">
      <alignment horizontal="center" vertical="center"/>
    </xf>
    <xf numFmtId="177" fontId="16" fillId="0" borderId="100" xfId="0" applyNumberFormat="1" applyFont="1" applyBorder="1" applyAlignment="1">
      <alignment horizontal="center" vertical="center"/>
    </xf>
    <xf numFmtId="0" fontId="36" fillId="0" borderId="101" xfId="0" applyFont="1" applyBorder="1" applyAlignment="1">
      <alignment horizontal="center" vertical="center"/>
    </xf>
    <xf numFmtId="0" fontId="35" fillId="0" borderId="102" xfId="0" applyFont="1" applyBorder="1" applyAlignment="1">
      <alignment horizontal="center" vertical="center"/>
    </xf>
    <xf numFmtId="0" fontId="35" fillId="0" borderId="103" xfId="0" applyFont="1" applyBorder="1" applyAlignment="1">
      <alignment horizontal="center" vertical="center"/>
    </xf>
    <xf numFmtId="0" fontId="35" fillId="0" borderId="104" xfId="0" applyFont="1" applyBorder="1" applyAlignment="1">
      <alignment horizontal="center" vertical="center"/>
    </xf>
    <xf numFmtId="0" fontId="35" fillId="0" borderId="105" xfId="0" applyFont="1" applyBorder="1" applyAlignment="1">
      <alignment horizontal="center" vertical="center"/>
    </xf>
    <xf numFmtId="0" fontId="35" fillId="0" borderId="106" xfId="0" applyFont="1" applyBorder="1" applyAlignment="1">
      <alignment horizontal="center" vertical="center"/>
    </xf>
    <xf numFmtId="0" fontId="35" fillId="0" borderId="107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08" xfId="0" applyFont="1" applyBorder="1" applyAlignment="1">
      <alignment horizontal="center" vertical="center"/>
    </xf>
    <xf numFmtId="0" fontId="35" fillId="0" borderId="109" xfId="0" applyFont="1" applyBorder="1" applyAlignment="1">
      <alignment horizontal="center" vertical="center"/>
    </xf>
    <xf numFmtId="0" fontId="35" fillId="0" borderId="110" xfId="0" applyFont="1" applyBorder="1" applyAlignment="1">
      <alignment horizontal="center" vertical="center"/>
    </xf>
    <xf numFmtId="0" fontId="35" fillId="0" borderId="111" xfId="0" applyFont="1" applyBorder="1" applyAlignment="1">
      <alignment horizontal="center" vertical="center"/>
    </xf>
    <xf numFmtId="0" fontId="35" fillId="0" borderId="112" xfId="0" applyFont="1" applyBorder="1" applyAlignment="1">
      <alignment horizontal="center" vertical="center"/>
    </xf>
  </cellXfs>
  <cellStyles count="1">
    <cellStyle name="常规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91">
        <v>5.584490776062012</v>
      </c>
      <c r="D6" s="91">
        <v>18.787979125976562</v>
      </c>
      <c r="E6" s="91">
        <v>415.2902526855469</v>
      </c>
      <c r="F6" s="91"/>
      <c r="G6" s="91"/>
      <c r="H6" s="92">
        <v>416.1188659667969</v>
      </c>
      <c r="I6" s="93">
        <v>17.824073791503906</v>
      </c>
      <c r="J6" s="91"/>
      <c r="K6" s="91">
        <v>41.90538024902344</v>
      </c>
      <c r="L6" s="91">
        <v>1.317997694015503</v>
      </c>
      <c r="M6" s="91">
        <v>111.72418212890625</v>
      </c>
      <c r="N6" s="91">
        <v>113.49826049804688</v>
      </c>
      <c r="O6" s="91">
        <v>20.180355072021484</v>
      </c>
      <c r="P6" s="91"/>
      <c r="Q6" s="91"/>
      <c r="R6" s="91"/>
      <c r="S6" s="91">
        <v>139.8003387451172</v>
      </c>
      <c r="T6" s="91">
        <v>1.5084635019302368</v>
      </c>
      <c r="U6" s="91">
        <v>0.2981010973453522</v>
      </c>
      <c r="V6" s="91"/>
      <c r="W6" s="91">
        <v>90.14756774902344</v>
      </c>
      <c r="X6" s="91">
        <v>0.5308738350868225</v>
      </c>
      <c r="Y6" s="91"/>
      <c r="Z6" s="91">
        <v>0.7412037253379822</v>
      </c>
      <c r="AA6" s="91">
        <v>150.0651092529297</v>
      </c>
      <c r="AB6" s="91">
        <v>162.44935607910156</v>
      </c>
      <c r="AC6" s="91">
        <v>0.37008100748062134</v>
      </c>
      <c r="AD6" s="91">
        <v>154.47048950195312</v>
      </c>
      <c r="AE6" s="94">
        <v>33.66999816894531</v>
      </c>
      <c r="AF6" s="94"/>
      <c r="AG6" s="94"/>
      <c r="AH6" s="94">
        <v>9.600000381469727</v>
      </c>
      <c r="AI6" s="94">
        <v>20.280000686645508</v>
      </c>
      <c r="AJ6" s="94">
        <v>8.329999923706055</v>
      </c>
      <c r="AK6" s="94">
        <v>7.199999809265137</v>
      </c>
      <c r="AL6" s="91">
        <v>3.0924477577209473</v>
      </c>
      <c r="AM6" s="95"/>
      <c r="AN6" s="96">
        <v>61.183448791503906</v>
      </c>
      <c r="AO6" s="97"/>
      <c r="AP6" s="98">
        <v>-79.62963104248047</v>
      </c>
      <c r="AQ6" s="98">
        <v>0.30135995149612427</v>
      </c>
      <c r="AR6" s="99"/>
    </row>
    <row r="7" spans="2:47" ht="13.5" customHeight="1" x14ac:dyDescent="0.25">
      <c r="B7" s="14">
        <v>0.375</v>
      </c>
      <c r="C7" s="91">
        <v>6.8359375</v>
      </c>
      <c r="D7" s="91">
        <v>18.896484375</v>
      </c>
      <c r="E7" s="91">
        <v>418.87640380859375</v>
      </c>
      <c r="F7" s="91">
        <v>0.3364218771457672</v>
      </c>
      <c r="G7" s="91">
        <v>0</v>
      </c>
      <c r="H7" s="92">
        <v>416.771728515625</v>
      </c>
      <c r="I7" s="93">
        <v>23.01432228088379</v>
      </c>
      <c r="J7" s="91">
        <v>0.02001953125</v>
      </c>
      <c r="K7" s="91">
        <v>44.2274284362793</v>
      </c>
      <c r="L7" s="91">
        <v>1.410952091217041</v>
      </c>
      <c r="M7" s="91">
        <v>107.56294250488281</v>
      </c>
      <c r="N7" s="91">
        <v>112.63744354248047</v>
      </c>
      <c r="O7" s="91">
        <v>20.16488265991211</v>
      </c>
      <c r="P7" s="91">
        <v>20.1689453125</v>
      </c>
      <c r="Q7" s="91"/>
      <c r="R7" s="91">
        <v>2.73486328125</v>
      </c>
      <c r="S7" s="91">
        <v>140.12586975097656</v>
      </c>
      <c r="T7" s="91">
        <v>1.5049189329147339</v>
      </c>
      <c r="U7" s="91">
        <v>0.2986474633216858</v>
      </c>
      <c r="V7" s="91">
        <v>0.29985156655311584</v>
      </c>
      <c r="W7" s="91">
        <v>90.94328308105469</v>
      </c>
      <c r="X7" s="91">
        <v>0.5318800806999207</v>
      </c>
      <c r="Y7" s="91" t="s">
        <v>82</v>
      </c>
      <c r="Z7" s="91">
        <v>0.7130208611488342</v>
      </c>
      <c r="AA7" s="91">
        <v>149.65277099609375</v>
      </c>
      <c r="AB7" s="91">
        <v>162.2395782470703</v>
      </c>
      <c r="AC7" s="91">
        <v>0.36385995149612427</v>
      </c>
      <c r="AD7" s="91">
        <v>153.6675262451172</v>
      </c>
      <c r="AE7" s="94"/>
      <c r="AF7" s="94"/>
      <c r="AG7" s="94"/>
      <c r="AH7" s="94"/>
      <c r="AI7" s="94"/>
      <c r="AJ7" s="94"/>
      <c r="AK7" s="94"/>
      <c r="AL7" s="91">
        <v>0</v>
      </c>
      <c r="AM7" s="95">
        <v>0.02321484312415123</v>
      </c>
      <c r="AN7" s="96">
        <v>61.34620666503906</v>
      </c>
      <c r="AO7" s="97"/>
      <c r="AP7" s="98">
        <v>-79.60069274902344</v>
      </c>
      <c r="AQ7" s="98">
        <v>0.29260706901550293</v>
      </c>
      <c r="AR7" s="99">
        <v>0.0002916641242336482</v>
      </c>
    </row>
    <row r="8" spans="2:47" ht="13.5" customHeight="1" x14ac:dyDescent="0.25">
      <c r="B8" s="14">
        <v>0.41666666666666669</v>
      </c>
      <c r="C8" s="91">
        <v>5.551938533782959</v>
      </c>
      <c r="D8" s="91">
        <v>19.22200584411621</v>
      </c>
      <c r="E8" s="91">
        <v>418.9827575683594</v>
      </c>
      <c r="F8" s="91">
        <v>0.26060155034065247</v>
      </c>
      <c r="G8" s="91">
        <v>0</v>
      </c>
      <c r="H8" s="92">
        <v>417.36627197265625</v>
      </c>
      <c r="I8" s="93">
        <v>26.153791427612305</v>
      </c>
      <c r="J8" s="91">
        <v>0.019788574427366257</v>
      </c>
      <c r="K8" s="91">
        <v>42.09346008300781</v>
      </c>
      <c r="L8" s="91">
        <v>1.3192636966705322</v>
      </c>
      <c r="M8" s="91">
        <v>109.83073425292969</v>
      </c>
      <c r="N8" s="91">
        <v>113.57060241699219</v>
      </c>
      <c r="O8" s="91">
        <v>20.62389373779297</v>
      </c>
      <c r="P8" s="91">
        <v>20.1611328125</v>
      </c>
      <c r="Q8" s="91"/>
      <c r="R8" s="91">
        <v>2.725830078125</v>
      </c>
      <c r="S8" s="91">
        <v>139.9739532470703</v>
      </c>
      <c r="T8" s="91">
        <v>1.5058051347732544</v>
      </c>
      <c r="U8" s="91">
        <v>0.30781984329223633</v>
      </c>
      <c r="V8" s="91">
        <v>0.2998984456062317</v>
      </c>
      <c r="W8" s="91">
        <v>90.5743637084961</v>
      </c>
      <c r="X8" s="91">
        <v>0.5280566811561584</v>
      </c>
      <c r="Y8" s="91" t="s">
        <v>82</v>
      </c>
      <c r="Z8" s="91">
        <v>0.7284143567085266</v>
      </c>
      <c r="AA8" s="91">
        <v>148.9293975830078</v>
      </c>
      <c r="AB8" s="91">
        <v>162.56509399414062</v>
      </c>
      <c r="AC8" s="91">
        <v>0.334526926279068</v>
      </c>
      <c r="AD8" s="91">
        <v>154.10879516601562</v>
      </c>
      <c r="AE8" s="94"/>
      <c r="AF8" s="94"/>
      <c r="AG8" s="94"/>
      <c r="AH8" s="94"/>
      <c r="AI8" s="94"/>
      <c r="AJ8" s="94"/>
      <c r="AK8" s="94"/>
      <c r="AL8" s="91">
        <v>8.293547630310059</v>
      </c>
      <c r="AM8" s="95">
        <v>0.022229980677366257</v>
      </c>
      <c r="AN8" s="96">
        <v>59.2664909362793</v>
      </c>
      <c r="AO8" s="97"/>
      <c r="AP8" s="98">
        <v>-79.44878387451172</v>
      </c>
      <c r="AQ8" s="98">
        <v>0.306206613779068</v>
      </c>
      <c r="AR8" s="99">
        <v>0.0002929000766016543</v>
      </c>
    </row>
    <row r="9" spans="2:47" ht="13.5" customHeight="1" x14ac:dyDescent="0.25">
      <c r="B9" s="14">
        <v>0.45833333333333298</v>
      </c>
      <c r="C9" s="91">
        <v>6.54296875</v>
      </c>
      <c r="D9" s="91">
        <v>19.482421875</v>
      </c>
      <c r="E9" s="91">
        <v>418.65704345703125</v>
      </c>
      <c r="F9" s="91">
        <v>0.33687499165534973</v>
      </c>
      <c r="G9" s="91">
        <v>0</v>
      </c>
      <c r="H9" s="92">
        <v>418.0109558105469</v>
      </c>
      <c r="I9" s="93">
        <v>25.74869728088379</v>
      </c>
      <c r="J9" s="91">
        <v>0.019811036065220833</v>
      </c>
      <c r="K9" s="91">
        <v>43.68489456176758</v>
      </c>
      <c r="L9" s="91">
        <v>1.3807508945465088</v>
      </c>
      <c r="M9" s="91">
        <v>110.73133850097656</v>
      </c>
      <c r="N9" s="91">
        <v>113.57783508300781</v>
      </c>
      <c r="O9" s="91">
        <v>20.041397094726562</v>
      </c>
      <c r="P9" s="91">
        <v>20.1865234375</v>
      </c>
      <c r="Q9" s="91"/>
      <c r="R9" s="91">
        <v>2.73345947265625</v>
      </c>
      <c r="S9" s="91">
        <v>140.08245849609375</v>
      </c>
      <c r="T9" s="91">
        <v>1.5054253339767456</v>
      </c>
      <c r="U9" s="91">
        <v>0.3012346923351288</v>
      </c>
      <c r="V9" s="91">
        <v>0.3001484274864197</v>
      </c>
      <c r="W9" s="91">
        <v>90.5743637084961</v>
      </c>
      <c r="X9" s="91">
        <v>0.5310533046722412</v>
      </c>
      <c r="Y9" s="91" t="s">
        <v>82</v>
      </c>
      <c r="Z9" s="91">
        <v>0.7304398417472839</v>
      </c>
      <c r="AA9" s="91">
        <v>150.03616333007812</v>
      </c>
      <c r="AB9" s="91">
        <v>162.83998107910156</v>
      </c>
      <c r="AC9" s="91">
        <v>0.3709852397441864</v>
      </c>
      <c r="AD9" s="91">
        <v>154.68026733398438</v>
      </c>
      <c r="AE9" s="94"/>
      <c r="AF9" s="94"/>
      <c r="AG9" s="94"/>
      <c r="AH9" s="94"/>
      <c r="AI9" s="94"/>
      <c r="AJ9" s="94"/>
      <c r="AK9" s="94"/>
      <c r="AL9" s="91">
        <v>6.423611164093018</v>
      </c>
      <c r="AM9" s="95">
        <v>0.018058106303215027</v>
      </c>
      <c r="AN9" s="96">
        <v>56.995079040527344</v>
      </c>
      <c r="AO9" s="97"/>
      <c r="AP9" s="98">
        <v>-79.62963104248047</v>
      </c>
      <c r="AQ9" s="98">
        <v>0.2951388955116272</v>
      </c>
      <c r="AR9" s="99">
        <v>0.0002930679183918983</v>
      </c>
    </row>
    <row r="10" spans="2:47" ht="13.5" customHeight="1" x14ac:dyDescent="0.25">
      <c r="B10" s="14">
        <v>0.5</v>
      </c>
      <c r="C10" s="91">
        <v>5.692997455596924</v>
      </c>
      <c r="D10" s="91">
        <v>20.07378578186035</v>
      </c>
      <c r="E10" s="91">
        <v>418.6147766113281</v>
      </c>
      <c r="F10" s="91">
        <v>0.266476571559906</v>
      </c>
      <c r="G10" s="91">
        <v>0</v>
      </c>
      <c r="H10" s="92">
        <v>418.32061767578125</v>
      </c>
      <c r="I10" s="93">
        <v>24.482784271240234</v>
      </c>
      <c r="J10" s="91">
        <v>0.020063964650034904</v>
      </c>
      <c r="K10" s="91">
        <v>44.972511291503906</v>
      </c>
      <c r="L10" s="91">
        <v>1.418095350265503</v>
      </c>
      <c r="M10" s="91">
        <v>107.84505462646484</v>
      </c>
      <c r="N10" s="91">
        <v>112.48552703857422</v>
      </c>
      <c r="O10" s="91">
        <v>20.25253677368164</v>
      </c>
      <c r="P10" s="91">
        <v>20.18115234375</v>
      </c>
      <c r="Q10" s="91"/>
      <c r="R10" s="91">
        <v>2.7232666015625</v>
      </c>
      <c r="S10" s="91">
        <v>139.82928466796875</v>
      </c>
      <c r="T10" s="91">
        <v>1.5060582160949707</v>
      </c>
      <c r="U10" s="91">
        <v>0.3027952313423157</v>
      </c>
      <c r="V10" s="91">
        <v>0.3000859320163727</v>
      </c>
      <c r="W10" s="91">
        <v>90.35734558105469</v>
      </c>
      <c r="X10" s="91">
        <v>0.527186930179596</v>
      </c>
      <c r="Y10" s="91" t="s">
        <v>82</v>
      </c>
      <c r="Z10" s="91">
        <v>0.7220486402511597</v>
      </c>
      <c r="AA10" s="91">
        <v>148.26388549804688</v>
      </c>
      <c r="AB10" s="91">
        <v>162.52169799804688</v>
      </c>
      <c r="AC10" s="91">
        <v>0.3489583432674408</v>
      </c>
      <c r="AD10" s="91">
        <v>154.31134033203125</v>
      </c>
      <c r="AE10" s="94"/>
      <c r="AF10" s="94"/>
      <c r="AG10" s="94"/>
      <c r="AH10" s="94"/>
      <c r="AI10" s="94"/>
      <c r="AJ10" s="94"/>
      <c r="AK10" s="94"/>
      <c r="AL10" s="91">
        <v>20.298032760620117</v>
      </c>
      <c r="AM10" s="95">
        <v>0.02218603529036045</v>
      </c>
      <c r="AN10" s="96">
        <v>60.76388931274414</v>
      </c>
      <c r="AO10" s="97"/>
      <c r="AP10" s="98">
        <v>-79.4921875</v>
      </c>
      <c r="AQ10" s="98">
        <v>0.298828125</v>
      </c>
      <c r="AR10" s="99">
        <v>0.0002919082762673497</v>
      </c>
    </row>
    <row r="11" spans="2:47" ht="13.5" customHeight="1" x14ac:dyDescent="0.25">
      <c r="B11" s="14">
        <v>0.54166666666666696</v>
      </c>
      <c r="C11" s="91">
        <v>6.430844783782959</v>
      </c>
      <c r="D11" s="91">
        <v>20.52951431274414</v>
      </c>
      <c r="E11" s="91">
        <v>418.5581970214844</v>
      </c>
      <c r="F11" s="91">
        <v>0.32100000977516174</v>
      </c>
      <c r="G11" s="91">
        <v>0</v>
      </c>
      <c r="H11" s="92">
        <v>418.8569641113281</v>
      </c>
      <c r="I11" s="93">
        <v>21.166088104248047</v>
      </c>
      <c r="J11" s="91">
        <v>0.01960449293255806</v>
      </c>
      <c r="K11" s="91">
        <v>43.995948791503906</v>
      </c>
      <c r="L11" s="91">
        <v>1.4045320749282837</v>
      </c>
      <c r="M11" s="91">
        <v>106.94445037841797</v>
      </c>
      <c r="N11" s="91">
        <v>110.38772583007812</v>
      </c>
      <c r="O11" s="91">
        <v>20.276344299316406</v>
      </c>
      <c r="P11" s="91">
        <v>20.16796875</v>
      </c>
      <c r="Q11" s="91"/>
      <c r="R11" s="91">
        <v>2.7520751953125</v>
      </c>
      <c r="S11" s="91">
        <v>140.18373107910156</v>
      </c>
      <c r="T11" s="91">
        <v>1.5021339654922485</v>
      </c>
      <c r="U11" s="91">
        <v>0.3017809987068176</v>
      </c>
      <c r="V11" s="91">
        <v>0.29993748664855957</v>
      </c>
      <c r="W11" s="91">
        <v>90.8203125</v>
      </c>
      <c r="X11" s="91">
        <v>0.5298294425010681</v>
      </c>
      <c r="Y11" s="91" t="s">
        <v>82</v>
      </c>
      <c r="Z11" s="91">
        <v>0.723321795463562</v>
      </c>
      <c r="AA11" s="91">
        <v>149.3200225830078</v>
      </c>
      <c r="AB11" s="91">
        <v>162.4348907470703</v>
      </c>
      <c r="AC11" s="91">
        <v>0.3543836772441864</v>
      </c>
      <c r="AD11" s="91">
        <v>154.2028350830078</v>
      </c>
      <c r="AE11" s="94">
        <v>33.9900016784668</v>
      </c>
      <c r="AF11" s="94"/>
      <c r="AG11" s="94"/>
      <c r="AH11" s="94">
        <v>14.630000114440918</v>
      </c>
      <c r="AI11" s="94">
        <v>24.209999084472656</v>
      </c>
      <c r="AJ11" s="94">
        <v>6.449999809265137</v>
      </c>
      <c r="AK11" s="94">
        <v>6.820000171661377</v>
      </c>
      <c r="AL11" s="91">
        <v>21.629051208496094</v>
      </c>
      <c r="AM11" s="95">
        <v>0.022847656160593033</v>
      </c>
      <c r="AN11" s="96">
        <v>61.42578125</v>
      </c>
      <c r="AO11" s="97"/>
      <c r="AP11" s="98">
        <v>-79.55729675292969</v>
      </c>
      <c r="AQ11" s="98">
        <v>0.28544560074806213</v>
      </c>
      <c r="AR11" s="99">
        <v>0.0002929153561126441</v>
      </c>
    </row>
    <row r="12" spans="2:47" ht="13.5" customHeight="1" x14ac:dyDescent="0.25">
      <c r="B12" s="14">
        <v>0.58333333333333304</v>
      </c>
      <c r="C12" s="91">
        <v>6.014901638031006</v>
      </c>
      <c r="D12" s="91">
        <v>21.034072875976562</v>
      </c>
      <c r="E12" s="91">
        <v>418.2855529785156</v>
      </c>
      <c r="F12" s="91">
        <v>0.28559374809265137</v>
      </c>
      <c r="G12" s="91">
        <v>0</v>
      </c>
      <c r="H12" s="92">
        <v>419.1172180175781</v>
      </c>
      <c r="I12" s="93">
        <v>21.596498489379883</v>
      </c>
      <c r="J12" s="91">
        <v>0.02026025392115116</v>
      </c>
      <c r="K12" s="91">
        <v>44.60358810424805</v>
      </c>
      <c r="L12" s="91">
        <v>1.4126700162887573</v>
      </c>
      <c r="M12" s="91">
        <v>107.82335662841797</v>
      </c>
      <c r="N12" s="91">
        <v>111.92852783203125</v>
      </c>
      <c r="O12" s="91">
        <v>20.137510299682617</v>
      </c>
      <c r="P12" s="91">
        <v>20.16015625</v>
      </c>
      <c r="Q12" s="91"/>
      <c r="R12" s="91">
        <v>2.74652099609375</v>
      </c>
      <c r="S12" s="91">
        <v>140.12586975097656</v>
      </c>
      <c r="T12" s="91">
        <v>1.5028934478759766</v>
      </c>
      <c r="U12" s="91">
        <v>0.2991662323474884</v>
      </c>
      <c r="V12" s="91">
        <v>0.2998124957084656</v>
      </c>
      <c r="W12" s="91">
        <v>90.35011291503906</v>
      </c>
      <c r="X12" s="91">
        <v>0.5317748785018921</v>
      </c>
      <c r="Y12" s="91" t="s">
        <v>82</v>
      </c>
      <c r="Z12" s="91">
        <v>0.7288773655891418</v>
      </c>
      <c r="AA12" s="91">
        <v>148.90769958496094</v>
      </c>
      <c r="AB12" s="91">
        <v>162.5</v>
      </c>
      <c r="AC12" s="91">
        <v>0.33546730875968933</v>
      </c>
      <c r="AD12" s="91">
        <v>154.4198455810547</v>
      </c>
      <c r="AE12" s="94"/>
      <c r="AF12" s="94"/>
      <c r="AG12" s="94"/>
      <c r="AH12" s="94"/>
      <c r="AI12" s="94"/>
      <c r="AJ12" s="94"/>
      <c r="AK12" s="94"/>
      <c r="AL12" s="91">
        <v>59.78009033203125</v>
      </c>
      <c r="AM12" s="95">
        <v>0.024683592841029167</v>
      </c>
      <c r="AN12" s="96">
        <v>59.70413589477539</v>
      </c>
      <c r="AO12" s="97"/>
      <c r="AP12" s="98">
        <v>-79.00752258300781</v>
      </c>
      <c r="AQ12" s="98">
        <v>0.29890045523643494</v>
      </c>
      <c r="AR12" s="99">
        <v>0.0002911376941483468</v>
      </c>
    </row>
    <row r="13" spans="2:47" ht="13.5" customHeight="1" x14ac:dyDescent="0.25">
      <c r="B13" s="14">
        <v>0.625</v>
      </c>
      <c r="C13" s="91">
        <v>5.280671119689941</v>
      </c>
      <c r="D13" s="91">
        <v>21.09917640686035</v>
      </c>
      <c r="E13" s="91">
        <v>414.4329833984375</v>
      </c>
      <c r="F13" s="91">
        <v>0.26948437094688416</v>
      </c>
      <c r="G13" s="91">
        <v>0</v>
      </c>
      <c r="H13" s="92">
        <v>418.7041320800781</v>
      </c>
      <c r="I13" s="93">
        <v>26.12847328186035</v>
      </c>
      <c r="J13" s="91">
        <v>0.019575195387005806</v>
      </c>
      <c r="K13" s="91">
        <v>42.332176208496094</v>
      </c>
      <c r="L13" s="91">
        <v>1.305519461631775</v>
      </c>
      <c r="M13" s="91">
        <v>109.59744262695312</v>
      </c>
      <c r="N13" s="91">
        <v>112.5506362915039</v>
      </c>
      <c r="O13" s="91">
        <v>20.226531982421875</v>
      </c>
      <c r="P13" s="91">
        <v>20.1728515625</v>
      </c>
      <c r="Q13" s="91"/>
      <c r="R13" s="91">
        <v>2.68829345703125</v>
      </c>
      <c r="S13" s="91">
        <v>139.92332458496094</v>
      </c>
      <c r="T13" s="91">
        <v>1.503779649734497</v>
      </c>
      <c r="U13" s="91">
        <v>0.30007150769233704</v>
      </c>
      <c r="V13" s="91">
        <v>0.3000546991825104</v>
      </c>
      <c r="W13" s="91">
        <v>90.40074920654297</v>
      </c>
      <c r="X13" s="91">
        <v>0.5284051299095154</v>
      </c>
      <c r="Y13" s="91" t="s">
        <v>82</v>
      </c>
      <c r="Z13" s="91">
        <v>0.7312500476837158</v>
      </c>
      <c r="AA13" s="91">
        <v>148.7557830810547</v>
      </c>
      <c r="AB13" s="91">
        <v>162.4710693359375</v>
      </c>
      <c r="AC13" s="91">
        <v>0.5091869235038757</v>
      </c>
      <c r="AD13" s="91">
        <v>153.94241333007812</v>
      </c>
      <c r="AE13" s="94"/>
      <c r="AF13" s="94"/>
      <c r="AG13" s="94"/>
      <c r="AH13" s="94"/>
      <c r="AI13" s="94"/>
      <c r="AJ13" s="94"/>
      <c r="AK13" s="94"/>
      <c r="AL13" s="91">
        <v>0</v>
      </c>
      <c r="AM13" s="95">
        <v>0.02031835913658142</v>
      </c>
      <c r="AN13" s="96">
        <v>61.277488708496094</v>
      </c>
      <c r="AO13" s="97"/>
      <c r="AP13" s="98">
        <v>-79.41984558105469</v>
      </c>
      <c r="AQ13" s="98">
        <v>0.2918836772441864</v>
      </c>
      <c r="AR13" s="99">
        <v>0.0002918548707384616</v>
      </c>
    </row>
    <row r="14" spans="2:47" ht="13.5" customHeight="1" x14ac:dyDescent="0.25">
      <c r="B14" s="14">
        <v>0.66666666666666696</v>
      </c>
      <c r="C14" s="91">
        <v>5.881076335906982</v>
      </c>
      <c r="D14" s="91">
        <v>21.32161521911621</v>
      </c>
      <c r="E14" s="91">
        <v>414.54168701171875</v>
      </c>
      <c r="F14" s="91">
        <v>0.33817967772483826</v>
      </c>
      <c r="G14" s="91">
        <v>0</v>
      </c>
      <c r="H14" s="92">
        <v>417.6303405761719</v>
      </c>
      <c r="I14" s="93">
        <v>26.913339614868164</v>
      </c>
      <c r="J14" s="91">
        <v>0.018909668549895287</v>
      </c>
      <c r="K14" s="91">
        <v>42.12239456176758</v>
      </c>
      <c r="L14" s="91">
        <v>1.3084129095077515</v>
      </c>
      <c r="M14" s="91">
        <v>109.8849868774414</v>
      </c>
      <c r="N14" s="91">
        <v>113.38252258300781</v>
      </c>
      <c r="O14" s="91">
        <v>20.370624542236328</v>
      </c>
      <c r="P14" s="91">
        <v>20.16552734375</v>
      </c>
      <c r="Q14" s="91"/>
      <c r="R14" s="91">
        <v>2.6629638671875</v>
      </c>
      <c r="S14" s="91">
        <v>139.8726806640625</v>
      </c>
      <c r="T14" s="91">
        <v>1.5018807649612427</v>
      </c>
      <c r="U14" s="91">
        <v>0.301337331533432</v>
      </c>
      <c r="V14" s="91">
        <v>0.29990625381469727</v>
      </c>
      <c r="W14" s="91">
        <v>90.68286895751953</v>
      </c>
      <c r="X14" s="91">
        <v>0.5274677872657776</v>
      </c>
      <c r="Y14" s="91" t="s">
        <v>82</v>
      </c>
      <c r="Z14" s="91">
        <v>0.7204861640930176</v>
      </c>
      <c r="AA14" s="91">
        <v>148.5894012451172</v>
      </c>
      <c r="AB14" s="91">
        <v>162.58680725097656</v>
      </c>
      <c r="AC14" s="91">
        <v>0.5848162770271301</v>
      </c>
      <c r="AD14" s="91">
        <v>154.11602783203125</v>
      </c>
      <c r="AE14" s="94"/>
      <c r="AF14" s="94"/>
      <c r="AG14" s="94"/>
      <c r="AH14" s="94"/>
      <c r="AI14" s="94"/>
      <c r="AJ14" s="94"/>
      <c r="AK14" s="94"/>
      <c r="AL14" s="91">
        <v>0</v>
      </c>
      <c r="AM14" s="95">
        <v>0.002987304702401161</v>
      </c>
      <c r="AN14" s="96">
        <v>61.299190521240234</v>
      </c>
      <c r="AO14" s="97"/>
      <c r="AP14" s="98">
        <v>-79.26070404052734</v>
      </c>
      <c r="AQ14" s="98">
        <v>0.2901475727558136</v>
      </c>
      <c r="AR14" s="99">
        <v>0.000291076663415879</v>
      </c>
    </row>
    <row r="15" spans="2:47" ht="13.5" customHeight="1" x14ac:dyDescent="0.25">
      <c r="B15" s="14">
        <v>0.70833333333333304</v>
      </c>
      <c r="C15" s="91">
        <v>5.400028705596924</v>
      </c>
      <c r="D15" s="91">
        <v>21.01779556274414</v>
      </c>
      <c r="E15" s="91">
        <v>414.4268493652344</v>
      </c>
      <c r="F15" s="91">
        <v>0.27580469846725464</v>
      </c>
      <c r="G15" s="91">
        <v>0</v>
      </c>
      <c r="H15" s="92">
        <v>417.01849365234375</v>
      </c>
      <c r="I15" s="93">
        <v>0</v>
      </c>
      <c r="J15" s="91">
        <v>0.01928124949336052</v>
      </c>
      <c r="K15" s="91">
        <v>41.23263931274414</v>
      </c>
      <c r="L15" s="91">
        <v>1.2677228450775146</v>
      </c>
      <c r="M15" s="91">
        <v>108.37673950195312</v>
      </c>
      <c r="N15" s="91">
        <v>110.546875</v>
      </c>
      <c r="O15" s="91">
        <v>20.086193084716797</v>
      </c>
      <c r="P15" s="91">
        <v>20.1767578125</v>
      </c>
      <c r="Q15" s="91"/>
      <c r="R15" s="91">
        <v>2.6884765625</v>
      </c>
      <c r="S15" s="91">
        <v>140.096923828125</v>
      </c>
      <c r="T15" s="91">
        <v>1.5060582160949707</v>
      </c>
      <c r="U15" s="91">
        <v>0.2954846918582916</v>
      </c>
      <c r="V15" s="91">
        <v>0.30010154843330383</v>
      </c>
      <c r="W15" s="91">
        <v>90.47309112548828</v>
      </c>
      <c r="X15" s="91">
        <v>0.529774010181427</v>
      </c>
      <c r="Y15" s="91" t="s">
        <v>82</v>
      </c>
      <c r="Z15" s="91">
        <v>0.7344328761100769</v>
      </c>
      <c r="AA15" s="91">
        <v>148.885986328125</v>
      </c>
      <c r="AB15" s="91">
        <v>162.57957458496094</v>
      </c>
      <c r="AC15" s="91">
        <v>0.36205151677131653</v>
      </c>
      <c r="AD15" s="91">
        <v>154.6875</v>
      </c>
      <c r="AE15" s="94"/>
      <c r="AF15" s="94"/>
      <c r="AG15" s="94"/>
      <c r="AH15" s="94"/>
      <c r="AI15" s="94"/>
      <c r="AJ15" s="94"/>
      <c r="AK15" s="94"/>
      <c r="AL15" s="91">
        <v>0</v>
      </c>
      <c r="AM15" s="95">
        <v>0.02197265625</v>
      </c>
      <c r="AN15" s="96">
        <v>59.77647399902344</v>
      </c>
      <c r="AO15" s="97"/>
      <c r="AP15" s="98">
        <v>-79.9334487915039</v>
      </c>
      <c r="AQ15" s="98">
        <v>0.29723668098449707</v>
      </c>
      <c r="AR15" s="99">
        <v>0.0002972564834635705</v>
      </c>
    </row>
    <row r="16" spans="2:47" ht="13.5" customHeight="1" x14ac:dyDescent="0.25">
      <c r="B16" s="14">
        <v>0.75</v>
      </c>
      <c r="C16" s="91">
        <v>5.924479007720947</v>
      </c>
      <c r="D16" s="91">
        <v>20.84418487548828</v>
      </c>
      <c r="E16" s="91">
        <v>415.3022155761719</v>
      </c>
      <c r="F16" s="91">
        <v>0.3282421827316284</v>
      </c>
      <c r="G16" s="91">
        <v>0</v>
      </c>
      <c r="H16" s="92">
        <v>416.5487365722656</v>
      </c>
      <c r="I16" s="93">
        <v>27.900753021240234</v>
      </c>
      <c r="J16" s="91">
        <v>0.01930517517030239</v>
      </c>
      <c r="K16" s="91">
        <v>41.9343147277832</v>
      </c>
      <c r="L16" s="91">
        <v>1.3024450540542603</v>
      </c>
      <c r="M16" s="91">
        <v>110.89952850341797</v>
      </c>
      <c r="N16" s="91">
        <v>113.10763549804688</v>
      </c>
      <c r="O16" s="91">
        <v>20.033952713012695</v>
      </c>
      <c r="P16" s="91">
        <v>20.1953125</v>
      </c>
      <c r="Q16" s="91"/>
      <c r="R16" s="91">
        <v>2.71435546875</v>
      </c>
      <c r="S16" s="91">
        <v>140.1331024169922</v>
      </c>
      <c r="T16" s="91">
        <v>1.5050455331802368</v>
      </c>
      <c r="U16" s="91">
        <v>0.2985096871852875</v>
      </c>
      <c r="V16" s="91">
        <v>0.3002890646457672</v>
      </c>
      <c r="W16" s="91">
        <v>91.00115966796875</v>
      </c>
      <c r="X16" s="91">
        <v>0.5318609476089478</v>
      </c>
      <c r="Y16" s="91" t="s">
        <v>82</v>
      </c>
      <c r="Z16" s="91">
        <v>0.73587965965271</v>
      </c>
      <c r="AA16" s="91">
        <v>150.1953125</v>
      </c>
      <c r="AB16" s="91">
        <v>162.64466857910156</v>
      </c>
      <c r="AC16" s="91">
        <v>0.5968605279922485</v>
      </c>
      <c r="AD16" s="91">
        <v>154.2028350830078</v>
      </c>
      <c r="AE16" s="94"/>
      <c r="AF16" s="94"/>
      <c r="AG16" s="94"/>
      <c r="AH16" s="94"/>
      <c r="AI16" s="94"/>
      <c r="AJ16" s="94"/>
      <c r="AK16" s="94"/>
      <c r="AL16" s="91">
        <v>18.96701431274414</v>
      </c>
      <c r="AM16" s="95">
        <v>0.024727538228034973</v>
      </c>
      <c r="AN16" s="96">
        <v>61.1725959777832</v>
      </c>
      <c r="AO16" s="97"/>
      <c r="AP16" s="98">
        <v>-79.78153991699219</v>
      </c>
      <c r="AQ16" s="98">
        <v>0.2786458432674408</v>
      </c>
      <c r="AR16" s="99">
        <v>0.0002932586648967117</v>
      </c>
    </row>
    <row r="17" spans="2:44" ht="13.5" customHeight="1" x14ac:dyDescent="0.25">
      <c r="B17" s="14">
        <v>0.79166666666666696</v>
      </c>
      <c r="C17" s="91">
        <v>6.698495388031006</v>
      </c>
      <c r="D17" s="91">
        <v>20.45355987548828</v>
      </c>
      <c r="E17" s="91">
        <v>415.6133117675781</v>
      </c>
      <c r="F17" s="91">
        <v>0.33726561069488525</v>
      </c>
      <c r="G17" s="91">
        <v>0</v>
      </c>
      <c r="H17" s="92">
        <v>416.258544921875</v>
      </c>
      <c r="I17" s="93">
        <v>22.128183364868164</v>
      </c>
      <c r="J17" s="91">
        <v>0.01980859413743019</v>
      </c>
      <c r="K17" s="91">
        <v>44.25636672973633</v>
      </c>
      <c r="L17" s="91">
        <v>1.3988354206085205</v>
      </c>
      <c r="M17" s="91">
        <v>110.14540100097656</v>
      </c>
      <c r="N17" s="91">
        <v>114.99565887451172</v>
      </c>
      <c r="O17" s="91">
        <v>19.914207458496094</v>
      </c>
      <c r="P17" s="91">
        <v>20.17919921875</v>
      </c>
      <c r="Q17" s="91"/>
      <c r="R17" s="91">
        <v>2.66436767578125</v>
      </c>
      <c r="S17" s="91">
        <v>140.1620330810547</v>
      </c>
      <c r="T17" s="91">
        <v>1.507450819015503</v>
      </c>
      <c r="U17" s="91">
        <v>0.2982829213142395</v>
      </c>
      <c r="V17" s="91">
        <v>0.3000234365463257</v>
      </c>
      <c r="W17" s="91">
        <v>90.32118225097656</v>
      </c>
      <c r="X17" s="91">
        <v>0.5303224921226501</v>
      </c>
      <c r="Y17" s="91" t="s">
        <v>82</v>
      </c>
      <c r="Z17" s="91">
        <v>0.7421875596046448</v>
      </c>
      <c r="AA17" s="91">
        <v>148.84259033203125</v>
      </c>
      <c r="AB17" s="91">
        <v>162.9918975830078</v>
      </c>
      <c r="AC17" s="91">
        <v>0.6475332975387573</v>
      </c>
      <c r="AD17" s="91">
        <v>155.51937866210938</v>
      </c>
      <c r="AE17" s="94"/>
      <c r="AF17" s="94"/>
      <c r="AG17" s="94"/>
      <c r="AH17" s="94"/>
      <c r="AI17" s="94"/>
      <c r="AJ17" s="94"/>
      <c r="AK17" s="94"/>
      <c r="AL17" s="91">
        <v>26.93142318725586</v>
      </c>
      <c r="AM17" s="95">
        <v>0.02517138607800007</v>
      </c>
      <c r="AN17" s="96">
        <v>61.58130645751953</v>
      </c>
      <c r="AO17" s="97"/>
      <c r="AP17" s="98">
        <v>-79.74536895751953</v>
      </c>
      <c r="AQ17" s="98">
        <v>0.33904802799224854</v>
      </c>
      <c r="AR17" s="99">
        <v>0.00029128266032785177</v>
      </c>
    </row>
    <row r="18" spans="2:44" ht="13.5" customHeight="1" x14ac:dyDescent="0.25">
      <c r="B18" s="42">
        <v>0.83333333333333404</v>
      </c>
      <c r="C18" s="100">
        <v>5.689380645751953</v>
      </c>
      <c r="D18" s="100">
        <v>20.16059112548828</v>
      </c>
      <c r="E18" s="100">
        <v>415.6392517089844</v>
      </c>
      <c r="F18" s="100">
        <v>0.26755470037460327</v>
      </c>
      <c r="G18" s="100">
        <v>0</v>
      </c>
      <c r="H18" s="101">
        <v>416.1075134277344</v>
      </c>
      <c r="I18" s="102">
        <v>1.3925057649612427</v>
      </c>
      <c r="J18" s="100">
        <v>0.019626464694738388</v>
      </c>
      <c r="K18" s="100">
        <v>42.607059478759766</v>
      </c>
      <c r="L18" s="100">
        <v>1.313567042350769</v>
      </c>
      <c r="M18" s="100">
        <v>109.63542175292969</v>
      </c>
      <c r="N18" s="100">
        <v>115.24160766601562</v>
      </c>
      <c r="O18" s="100">
        <v>20.08000373840332</v>
      </c>
      <c r="P18" s="100">
        <v>20.16259765625</v>
      </c>
      <c r="Q18" s="100"/>
      <c r="R18" s="100">
        <v>2.6595458984375</v>
      </c>
      <c r="S18" s="100">
        <v>140.2054443359375</v>
      </c>
      <c r="T18" s="100">
        <v>1.5031466484069824</v>
      </c>
      <c r="U18" s="100">
        <v>0.29896074533462524</v>
      </c>
      <c r="V18" s="100">
        <v>0.29988279938697815</v>
      </c>
      <c r="W18" s="100">
        <v>90.32118225097656</v>
      </c>
      <c r="X18" s="100">
        <v>0.5294132828712463</v>
      </c>
      <c r="Y18" s="100">
        <v>0.5302765369415283</v>
      </c>
      <c r="Z18" s="100">
        <v>0.7316551208496094</v>
      </c>
      <c r="AA18" s="100">
        <v>149.2476806640625</v>
      </c>
      <c r="AB18" s="100">
        <v>162.90509033203125</v>
      </c>
      <c r="AC18" s="100">
        <v>0.5573639869689941</v>
      </c>
      <c r="AD18" s="100">
        <v>154.940673828125</v>
      </c>
      <c r="AE18" s="103">
        <v>33.380001068115234</v>
      </c>
      <c r="AF18" s="103"/>
      <c r="AG18" s="103"/>
      <c r="AH18" s="103">
        <v>16.459999084472656</v>
      </c>
      <c r="AI18" s="103"/>
      <c r="AJ18" s="103"/>
      <c r="AK18" s="103">
        <v>7.210000038146973</v>
      </c>
      <c r="AL18" s="100">
        <v>1.6710069179534912</v>
      </c>
      <c r="AM18" s="104">
        <v>0.024754393845796585</v>
      </c>
      <c r="AN18" s="105">
        <v>60.413047790527344</v>
      </c>
      <c r="AO18" s="97"/>
      <c r="AP18" s="98">
        <v>-79.78877258300781</v>
      </c>
      <c r="AQ18" s="98">
        <v>0.27662035822868347</v>
      </c>
      <c r="AR18" s="106">
        <v>0.00029206849285401404</v>
      </c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91">
        <v>-79.62963104248047</v>
      </c>
      <c r="D22" s="91">
        <v>-80.44705200195312</v>
      </c>
      <c r="E22" s="91">
        <v>103.12861633300781</v>
      </c>
      <c r="F22" s="91">
        <v>0.04868344962596893</v>
      </c>
      <c r="G22" s="91"/>
      <c r="H22" s="91"/>
      <c r="I22" s="91"/>
      <c r="J22" s="91"/>
      <c r="K22" s="91"/>
      <c r="L22" s="92"/>
      <c r="M22" s="107">
        <v>81.15234375</v>
      </c>
      <c r="N22" s="91">
        <v>47.19328689575195</v>
      </c>
      <c r="O22" s="91">
        <v>39.5</v>
      </c>
      <c r="P22" s="91">
        <v>22</v>
      </c>
      <c r="Q22" s="91">
        <v>3.5842013359069824</v>
      </c>
      <c r="R22" s="91">
        <v>20.61631965637207</v>
      </c>
      <c r="S22" s="108">
        <v>94.13700866699219</v>
      </c>
      <c r="T22" s="108">
        <v>41</v>
      </c>
      <c r="U22" s="108">
        <v>83.94151306152344</v>
      </c>
      <c r="V22" s="108">
        <v>17.27973175048828</v>
      </c>
      <c r="W22" s="108">
        <v>20.14974021911621</v>
      </c>
      <c r="X22" s="108">
        <v>32</v>
      </c>
      <c r="Y22" s="108">
        <v>0</v>
      </c>
      <c r="Z22" s="108">
        <v>17.565465927124023</v>
      </c>
      <c r="AA22" s="108">
        <v>99.91320037841797</v>
      </c>
      <c r="AB22" s="108"/>
      <c r="AC22" s="95"/>
      <c r="AD22" s="95">
        <v>1.5482313632965088</v>
      </c>
      <c r="AE22" s="95"/>
      <c r="AF22" s="95">
        <v>20.94183921813965</v>
      </c>
      <c r="AG22" s="95">
        <v>17.878326416015625</v>
      </c>
      <c r="AH22" s="95"/>
      <c r="AI22" s="109">
        <v>5.840000152587891</v>
      </c>
      <c r="AJ22" s="109"/>
      <c r="AK22" s="109"/>
      <c r="AL22" s="109"/>
      <c r="AM22" s="109"/>
      <c r="AN22" s="95">
        <v>51.171875</v>
      </c>
      <c r="AO22" s="96">
        <v>50</v>
      </c>
      <c r="AP22" s="97">
        <v>24.025245666503906</v>
      </c>
      <c r="AQ22" s="98">
        <v>39.11675262451172</v>
      </c>
      <c r="AR22" s="99">
        <v>0.0868072509765625</v>
      </c>
    </row>
    <row r="23" spans="2:44" ht="13.5" customHeight="1" x14ac:dyDescent="0.25">
      <c r="B23" s="14">
        <v>0.375</v>
      </c>
      <c r="C23" s="91">
        <v>-79.60069274902344</v>
      </c>
      <c r="D23" s="91">
        <v>-80.48321533203125</v>
      </c>
      <c r="E23" s="91">
        <v>103.125</v>
      </c>
      <c r="F23" s="91">
        <v>0.0718315988779068</v>
      </c>
      <c r="G23" s="91">
        <v>9.311485337093472E-05</v>
      </c>
      <c r="H23" s="91"/>
      <c r="I23" s="91"/>
      <c r="J23" s="91"/>
      <c r="K23" s="91"/>
      <c r="L23" s="92"/>
      <c r="M23" s="107">
        <v>79.10879516601562</v>
      </c>
      <c r="N23" s="91">
        <v>47.522422790527344</v>
      </c>
      <c r="O23" s="91">
        <v>39.5</v>
      </c>
      <c r="P23" s="91">
        <v>22</v>
      </c>
      <c r="Q23" s="91">
        <v>3.4470486640930176</v>
      </c>
      <c r="R23" s="91">
        <v>20.384838104248047</v>
      </c>
      <c r="S23" s="108">
        <v>94.27806854248047</v>
      </c>
      <c r="T23" s="108">
        <v>39</v>
      </c>
      <c r="U23" s="108">
        <v>80.12369537353516</v>
      </c>
      <c r="V23" s="108">
        <v>16.95421028137207</v>
      </c>
      <c r="W23" s="108">
        <v>19.791667938232422</v>
      </c>
      <c r="X23" s="108">
        <v>32</v>
      </c>
      <c r="Y23" s="108">
        <v>0</v>
      </c>
      <c r="Z23" s="108">
        <v>19.728370666503906</v>
      </c>
      <c r="AA23" s="108">
        <v>76.28038787841797</v>
      </c>
      <c r="AB23" s="108"/>
      <c r="AC23" s="95"/>
      <c r="AD23" s="95">
        <v>1.54833984375</v>
      </c>
      <c r="AE23" s="95">
        <v>0.0015484619652852416</v>
      </c>
      <c r="AF23" s="95">
        <v>20.587383270263672</v>
      </c>
      <c r="AG23" s="95">
        <v>19.466144561767578</v>
      </c>
      <c r="AH23" s="95"/>
      <c r="AI23" s="109"/>
      <c r="AJ23" s="109"/>
      <c r="AK23" s="109"/>
      <c r="AL23" s="109"/>
      <c r="AM23" s="109"/>
      <c r="AN23" s="95">
        <v>57.02401351928711</v>
      </c>
      <c r="AO23" s="96">
        <v>50</v>
      </c>
      <c r="AP23" s="97">
        <v>24.242259979248047</v>
      </c>
      <c r="AQ23" s="98">
        <v>39.384403228759766</v>
      </c>
      <c r="AR23" s="99">
        <v>0.09766387939453125</v>
      </c>
    </row>
    <row r="24" spans="2:44" ht="13.5" customHeight="1" x14ac:dyDescent="0.25">
      <c r="B24" s="14">
        <v>0.41666666666666702</v>
      </c>
      <c r="C24" s="91">
        <v>-79.44878387451172</v>
      </c>
      <c r="D24" s="91">
        <v>-80.35301208496094</v>
      </c>
      <c r="E24" s="91">
        <v>103.13223266601562</v>
      </c>
      <c r="F24" s="91">
        <v>0.1030815988779068</v>
      </c>
      <c r="G24" s="91">
        <v>8.786964463070035E-05</v>
      </c>
      <c r="H24" s="91"/>
      <c r="I24" s="91"/>
      <c r="J24" s="91"/>
      <c r="K24" s="91"/>
      <c r="L24" s="92"/>
      <c r="M24" s="107">
        <v>77.85011291503906</v>
      </c>
      <c r="N24" s="91">
        <v>47.59114456176758</v>
      </c>
      <c r="O24" s="91">
        <v>39.5</v>
      </c>
      <c r="P24" s="91">
        <v>22</v>
      </c>
      <c r="Q24" s="91">
        <v>3.406684160232544</v>
      </c>
      <c r="R24" s="91">
        <v>20.18229103088379</v>
      </c>
      <c r="S24" s="108">
        <v>95.0665512084961</v>
      </c>
      <c r="T24" s="108">
        <v>38.599998474121094</v>
      </c>
      <c r="U24" s="108">
        <v>78.60442352294922</v>
      </c>
      <c r="V24" s="108">
        <v>16.69379425048828</v>
      </c>
      <c r="W24" s="108">
        <v>19.58550453186035</v>
      </c>
      <c r="X24" s="108">
        <v>32</v>
      </c>
      <c r="Y24" s="108">
        <v>0</v>
      </c>
      <c r="Z24" s="108">
        <v>21.077472686767578</v>
      </c>
      <c r="AA24" s="108">
        <v>70.92556762695312</v>
      </c>
      <c r="AB24" s="108"/>
      <c r="AC24" s="95"/>
      <c r="AD24" s="95">
        <v>1.5483940839767456</v>
      </c>
      <c r="AE24" s="95">
        <v>0.0015480652218684554</v>
      </c>
      <c r="AF24" s="95">
        <v>20.99609375</v>
      </c>
      <c r="AG24" s="95">
        <v>23.93663215637207</v>
      </c>
      <c r="AH24" s="95"/>
      <c r="AI24" s="109"/>
      <c r="AJ24" s="109"/>
      <c r="AK24" s="109"/>
      <c r="AL24" s="109"/>
      <c r="AM24" s="109"/>
      <c r="AN24" s="95">
        <v>56.980613708496094</v>
      </c>
      <c r="AO24" s="96">
        <v>50</v>
      </c>
      <c r="AP24" s="97">
        <v>24.341724395751953</v>
      </c>
      <c r="AQ24" s="98">
        <v>39.31206512451172</v>
      </c>
      <c r="AR24" s="99">
        <v>0.0868072509765625</v>
      </c>
    </row>
    <row r="25" spans="2:44" ht="13.5" customHeight="1" x14ac:dyDescent="0.25">
      <c r="B25" s="14">
        <v>0.45833333333333298</v>
      </c>
      <c r="C25" s="91">
        <v>-79.62963104248047</v>
      </c>
      <c r="D25" s="91">
        <v>-80.6134262084961</v>
      </c>
      <c r="E25" s="91">
        <v>103.13223266601562</v>
      </c>
      <c r="F25" s="91">
        <v>0.09714988619089127</v>
      </c>
      <c r="G25" s="91">
        <v>9.495735139353201E-05</v>
      </c>
      <c r="H25" s="91"/>
      <c r="I25" s="91"/>
      <c r="J25" s="91"/>
      <c r="K25" s="91"/>
      <c r="L25" s="92"/>
      <c r="M25" s="107">
        <v>77.65480041503906</v>
      </c>
      <c r="N25" s="91">
        <v>47.7430534362793</v>
      </c>
      <c r="O25" s="91">
        <v>39.5</v>
      </c>
      <c r="P25" s="91">
        <v>22</v>
      </c>
      <c r="Q25" s="91">
        <v>3.261284828186035</v>
      </c>
      <c r="R25" s="91">
        <v>19.885705947875977</v>
      </c>
      <c r="S25" s="108">
        <v>93.359375</v>
      </c>
      <c r="T25" s="108">
        <v>38.599998474121094</v>
      </c>
      <c r="U25" s="108">
        <v>78.73336029052734</v>
      </c>
      <c r="V25" s="108">
        <v>16.35199737548828</v>
      </c>
      <c r="W25" s="108">
        <v>19.401042938232422</v>
      </c>
      <c r="X25" s="108">
        <v>32</v>
      </c>
      <c r="Y25" s="108">
        <v>0</v>
      </c>
      <c r="Z25" s="108">
        <v>22.21137046813965</v>
      </c>
      <c r="AA25" s="108">
        <v>67.46419525146484</v>
      </c>
      <c r="AB25" s="108"/>
      <c r="AC25" s="95"/>
      <c r="AD25" s="95">
        <v>1.5484483242034912</v>
      </c>
      <c r="AE25" s="95">
        <v>0.0015414123190566897</v>
      </c>
      <c r="AF25" s="95">
        <v>21.252893447875977</v>
      </c>
      <c r="AG25" s="95">
        <v>24.301939010620117</v>
      </c>
      <c r="AH25" s="95"/>
      <c r="AI25" s="109"/>
      <c r="AJ25" s="109"/>
      <c r="AK25" s="109"/>
      <c r="AL25" s="109"/>
      <c r="AM25" s="109"/>
      <c r="AN25" s="95">
        <v>55.72193145751953</v>
      </c>
      <c r="AO25" s="96">
        <v>50</v>
      </c>
      <c r="AP25" s="97">
        <v>24.504484176635742</v>
      </c>
      <c r="AQ25" s="98">
        <v>39.31568145751953</v>
      </c>
      <c r="AR25" s="99">
        <v>0.10851287841796875</v>
      </c>
    </row>
    <row r="26" spans="2:44" ht="13.5" customHeight="1" x14ac:dyDescent="0.25">
      <c r="B26" s="14">
        <v>0.5</v>
      </c>
      <c r="C26" s="91">
        <v>-79.4921875</v>
      </c>
      <c r="D26" s="91">
        <v>-80.42534637451172</v>
      </c>
      <c r="E26" s="91">
        <v>103.13584899902344</v>
      </c>
      <c r="F26" s="91">
        <v>0.0766059011220932</v>
      </c>
      <c r="G26" s="91">
        <v>9.080123709281906E-05</v>
      </c>
      <c r="H26" s="91"/>
      <c r="I26" s="91"/>
      <c r="J26" s="91"/>
      <c r="K26" s="91"/>
      <c r="L26" s="92"/>
      <c r="M26" s="107">
        <v>77.53182983398438</v>
      </c>
      <c r="N26" s="91">
        <v>47.522422790527344</v>
      </c>
      <c r="O26" s="91">
        <v>39.5</v>
      </c>
      <c r="P26" s="91">
        <v>22</v>
      </c>
      <c r="Q26" s="91">
        <v>3.491319417953491</v>
      </c>
      <c r="R26" s="91">
        <v>19.896556854248047</v>
      </c>
      <c r="S26" s="108">
        <v>93.2436294555664</v>
      </c>
      <c r="T26" s="108">
        <v>38</v>
      </c>
      <c r="U26" s="108">
        <v>77.2589340209961</v>
      </c>
      <c r="V26" s="108">
        <v>16.41167640686035</v>
      </c>
      <c r="W26" s="108">
        <v>19.47699737548828</v>
      </c>
      <c r="X26" s="108">
        <v>32</v>
      </c>
      <c r="Y26" s="108">
        <v>0</v>
      </c>
      <c r="Z26" s="108">
        <v>23.195167541503906</v>
      </c>
      <c r="AA26" s="108">
        <v>64.58876037597656</v>
      </c>
      <c r="AB26" s="108"/>
      <c r="AC26" s="95"/>
      <c r="AD26" s="95">
        <v>1.5483940839767456</v>
      </c>
      <c r="AE26" s="95">
        <v>0.001526794396340847</v>
      </c>
      <c r="AF26" s="95">
        <v>21.23480796813965</v>
      </c>
      <c r="AG26" s="95">
        <v>26.7578125</v>
      </c>
      <c r="AH26" s="95"/>
      <c r="AI26" s="109"/>
      <c r="AJ26" s="109"/>
      <c r="AK26" s="109"/>
      <c r="AL26" s="109"/>
      <c r="AM26" s="109"/>
      <c r="AN26" s="95">
        <v>54.31134033203125</v>
      </c>
      <c r="AO26" s="96">
        <v>50</v>
      </c>
      <c r="AP26" s="97">
        <v>24.84809112548828</v>
      </c>
      <c r="AQ26" s="98">
        <v>39.13483810424805</v>
      </c>
      <c r="AR26" s="99">
        <v>0.09766387939453125</v>
      </c>
    </row>
    <row r="27" spans="2:44" ht="13.5" customHeight="1" x14ac:dyDescent="0.25">
      <c r="B27" s="14">
        <v>0.54166666666666596</v>
      </c>
      <c r="C27" s="91">
        <v>-79.55729675292969</v>
      </c>
      <c r="D27" s="91">
        <v>-80.36024475097656</v>
      </c>
      <c r="E27" s="91">
        <v>103.13584899902344</v>
      </c>
      <c r="F27" s="91">
        <v>0.0846354141831398</v>
      </c>
      <c r="G27" s="91">
        <v>9.283638064516708E-05</v>
      </c>
      <c r="H27" s="91"/>
      <c r="I27" s="91"/>
      <c r="J27" s="91"/>
      <c r="K27" s="91"/>
      <c r="L27" s="92"/>
      <c r="M27" s="107">
        <v>77.41246795654297</v>
      </c>
      <c r="N27" s="91">
        <v>47.71411895751953</v>
      </c>
      <c r="O27" s="91">
        <v>39.5</v>
      </c>
      <c r="P27" s="91">
        <v>22</v>
      </c>
      <c r="Q27" s="91">
        <v>3.4830729961395264</v>
      </c>
      <c r="R27" s="91">
        <v>19.871238708496094</v>
      </c>
      <c r="S27" s="108">
        <v>91.5798568725586</v>
      </c>
      <c r="T27" s="108">
        <v>38</v>
      </c>
      <c r="U27" s="108">
        <v>77.3486328125</v>
      </c>
      <c r="V27" s="108">
        <v>16.15668487548828</v>
      </c>
      <c r="W27" s="108">
        <v>19.31966209411621</v>
      </c>
      <c r="X27" s="108">
        <v>32</v>
      </c>
      <c r="Y27" s="108">
        <v>0</v>
      </c>
      <c r="Z27" s="108">
        <v>24.079498291015625</v>
      </c>
      <c r="AA27" s="108">
        <v>62.261287689208984</v>
      </c>
      <c r="AB27" s="108"/>
      <c r="AC27" s="95"/>
      <c r="AD27" s="95">
        <v>0</v>
      </c>
      <c r="AE27" s="95">
        <v>0.0012636107858270407</v>
      </c>
      <c r="AF27" s="95">
        <v>21.29991340637207</v>
      </c>
      <c r="AG27" s="95">
        <v>0.5208333134651184</v>
      </c>
      <c r="AH27" s="95"/>
      <c r="AI27" s="109"/>
      <c r="AJ27" s="109"/>
      <c r="AK27" s="109"/>
      <c r="AL27" s="109"/>
      <c r="AM27" s="109"/>
      <c r="AN27" s="95">
        <v>53.04542922973633</v>
      </c>
      <c r="AO27" s="96">
        <v>50</v>
      </c>
      <c r="AP27" s="97">
        <v>25.074146270751953</v>
      </c>
      <c r="AQ27" s="98">
        <v>39.970340728759766</v>
      </c>
      <c r="AR27" s="99">
        <v>0.075958251953125</v>
      </c>
    </row>
    <row r="28" spans="2:44" ht="13.5" customHeight="1" x14ac:dyDescent="0.25">
      <c r="B28" s="14">
        <v>0.58333333333333304</v>
      </c>
      <c r="C28" s="91">
        <v>-79.00752258300781</v>
      </c>
      <c r="D28" s="91">
        <v>-79.78153991699219</v>
      </c>
      <c r="E28" s="91">
        <v>103.13223266601562</v>
      </c>
      <c r="F28" s="91">
        <v>0.09881366044282913</v>
      </c>
      <c r="G28" s="91">
        <v>9.028243948705494E-05</v>
      </c>
      <c r="H28" s="91"/>
      <c r="I28" s="91"/>
      <c r="J28" s="91"/>
      <c r="K28" s="91"/>
      <c r="L28" s="92"/>
      <c r="M28" s="107">
        <v>77.34375</v>
      </c>
      <c r="N28" s="91">
        <v>47.58391189575195</v>
      </c>
      <c r="O28" s="91">
        <v>39.5</v>
      </c>
      <c r="P28" s="91">
        <v>22</v>
      </c>
      <c r="Q28" s="91">
        <v>3.3650174140930176</v>
      </c>
      <c r="R28" s="91">
        <v>20.33420181274414</v>
      </c>
      <c r="S28" s="108">
        <v>90.64669799804688</v>
      </c>
      <c r="T28" s="108">
        <v>15</v>
      </c>
      <c r="U28" s="108">
        <v>7.187138557434082</v>
      </c>
      <c r="V28" s="108">
        <v>16.23263931274414</v>
      </c>
      <c r="W28" s="108">
        <v>107.96984100341797</v>
      </c>
      <c r="X28" s="108">
        <v>30</v>
      </c>
      <c r="Y28" s="108">
        <v>81.27296447753906</v>
      </c>
      <c r="Z28" s="108">
        <v>17.162181854248047</v>
      </c>
      <c r="AA28" s="108">
        <v>20.09006118774414</v>
      </c>
      <c r="AB28" s="108"/>
      <c r="AC28" s="95"/>
      <c r="AD28" s="95">
        <v>1.5482856035232544</v>
      </c>
      <c r="AE28" s="95">
        <v>0.0007105102413333952</v>
      </c>
      <c r="AF28" s="95">
        <v>20.916521072387695</v>
      </c>
      <c r="AG28" s="95">
        <v>15.04991340637207</v>
      </c>
      <c r="AH28" s="95"/>
      <c r="AI28" s="109"/>
      <c r="AJ28" s="109"/>
      <c r="AK28" s="109"/>
      <c r="AL28" s="109"/>
      <c r="AM28" s="109"/>
      <c r="AN28" s="95">
        <v>52.85734939575195</v>
      </c>
      <c r="AO28" s="96">
        <v>50</v>
      </c>
      <c r="AP28" s="97">
        <v>25.300203323364258</v>
      </c>
      <c r="AQ28" s="98">
        <v>39.72077560424805</v>
      </c>
      <c r="AR28" s="99">
        <v>0.075958251953125</v>
      </c>
    </row>
    <row r="29" spans="2:44" ht="13.5" customHeight="1" x14ac:dyDescent="0.25">
      <c r="B29" s="14">
        <v>0.625</v>
      </c>
      <c r="C29" s="91">
        <v>-79.41984558105469</v>
      </c>
      <c r="D29" s="91">
        <v>-80.15046691894531</v>
      </c>
      <c r="E29" s="91">
        <v>103.13584899902344</v>
      </c>
      <c r="F29" s="91">
        <v>0.08210358768701553</v>
      </c>
      <c r="G29" s="91">
        <v>8.911704935599118E-05</v>
      </c>
      <c r="H29" s="91"/>
      <c r="I29" s="91"/>
      <c r="J29" s="91"/>
      <c r="K29" s="91"/>
      <c r="L29" s="92"/>
      <c r="M29" s="107">
        <v>77.56437683105469</v>
      </c>
      <c r="N29" s="91">
        <v>48.11921310424805</v>
      </c>
      <c r="O29" s="91">
        <v>39.5</v>
      </c>
      <c r="P29" s="91">
        <v>22</v>
      </c>
      <c r="Q29" s="91">
        <v>2.684027910232544</v>
      </c>
      <c r="R29" s="91">
        <v>19.744646072387695</v>
      </c>
      <c r="S29" s="108">
        <v>91.0662612915039</v>
      </c>
      <c r="T29" s="108">
        <v>15</v>
      </c>
      <c r="U29" s="108">
        <v>0</v>
      </c>
      <c r="V29" s="108">
        <v>14.567057609558105</v>
      </c>
      <c r="W29" s="108">
        <v>75.73785400390625</v>
      </c>
      <c r="X29" s="108">
        <v>26.5</v>
      </c>
      <c r="Y29" s="108">
        <v>80.15172576904297</v>
      </c>
      <c r="Z29" s="108">
        <v>16.516565322875977</v>
      </c>
      <c r="AA29" s="108">
        <v>18.972440719604492</v>
      </c>
      <c r="AB29" s="108"/>
      <c r="AC29" s="95"/>
      <c r="AD29" s="95">
        <v>0</v>
      </c>
      <c r="AE29" s="95">
        <v>0.0009381714044138789</v>
      </c>
      <c r="AF29" s="95">
        <v>21.47352409362793</v>
      </c>
      <c r="AG29" s="95">
        <v>16.442419052124023</v>
      </c>
      <c r="AH29" s="95"/>
      <c r="AI29" s="109"/>
      <c r="AJ29" s="109"/>
      <c r="AK29" s="109"/>
      <c r="AL29" s="109"/>
      <c r="AM29" s="109"/>
      <c r="AN29" s="95">
        <v>46.144386291503906</v>
      </c>
      <c r="AO29" s="96">
        <v>50</v>
      </c>
      <c r="AP29" s="97">
        <v>25.571470260620117</v>
      </c>
      <c r="AQ29" s="98">
        <v>39.98480987548828</v>
      </c>
      <c r="AR29" s="99">
        <v>0.075958251953125</v>
      </c>
    </row>
    <row r="30" spans="2:44" ht="13.5" customHeight="1" x14ac:dyDescent="0.25">
      <c r="B30" s="14">
        <v>0.66666666666666596</v>
      </c>
      <c r="C30" s="91">
        <v>-79.26070404052734</v>
      </c>
      <c r="D30" s="91">
        <v>-79.8538818359375</v>
      </c>
      <c r="E30" s="91">
        <v>103.13223266601562</v>
      </c>
      <c r="F30" s="91">
        <v>0.07841435074806213</v>
      </c>
      <c r="G30" s="91">
        <v>9.154510189546272E-05</v>
      </c>
      <c r="H30" s="91"/>
      <c r="I30" s="91"/>
      <c r="J30" s="91"/>
      <c r="K30" s="91"/>
      <c r="L30" s="92"/>
      <c r="M30" s="107">
        <v>77.6186294555664</v>
      </c>
      <c r="N30" s="91">
        <v>47.37774658203125</v>
      </c>
      <c r="O30" s="91">
        <v>39.5</v>
      </c>
      <c r="P30" s="91">
        <v>22</v>
      </c>
      <c r="Q30" s="91">
        <v>3.055121660232544</v>
      </c>
      <c r="R30" s="91">
        <v>18.985097885131836</v>
      </c>
      <c r="S30" s="108">
        <v>90.92881774902344</v>
      </c>
      <c r="T30" s="108">
        <v>15</v>
      </c>
      <c r="U30" s="108">
        <v>0</v>
      </c>
      <c r="V30" s="108">
        <v>16.80772590637207</v>
      </c>
      <c r="W30" s="108">
        <v>61.93033981323242</v>
      </c>
      <c r="X30" s="108">
        <v>26.299999237060547</v>
      </c>
      <c r="Y30" s="108">
        <v>71.92183685302734</v>
      </c>
      <c r="Z30" s="108">
        <v>15.751590728759766</v>
      </c>
      <c r="AA30" s="108">
        <v>18.033855438232422</v>
      </c>
      <c r="AB30" s="108"/>
      <c r="AC30" s="95"/>
      <c r="AD30" s="95">
        <v>0</v>
      </c>
      <c r="AE30" s="95">
        <v>0.0007642516866326332</v>
      </c>
      <c r="AF30" s="95">
        <v>20.858652114868164</v>
      </c>
      <c r="AG30" s="95">
        <v>20.37760353088379</v>
      </c>
      <c r="AH30" s="95"/>
      <c r="AI30" s="109"/>
      <c r="AJ30" s="109"/>
      <c r="AK30" s="109"/>
      <c r="AL30" s="109"/>
      <c r="AM30" s="109"/>
      <c r="AN30" s="95">
        <v>41.9921875</v>
      </c>
      <c r="AO30" s="96">
        <v>50</v>
      </c>
      <c r="AP30" s="97">
        <v>25.90603256225586</v>
      </c>
      <c r="AQ30" s="98">
        <v>39.91970443725586</v>
      </c>
      <c r="AR30" s="99">
        <v>0.075958251953125</v>
      </c>
    </row>
    <row r="31" spans="2:44" ht="13.5" customHeight="1" x14ac:dyDescent="0.25">
      <c r="B31" s="14">
        <v>0.70833333333333304</v>
      </c>
      <c r="C31" s="91">
        <v>-79.9334487915039</v>
      </c>
      <c r="D31" s="91">
        <v>-80.46875</v>
      </c>
      <c r="E31" s="91">
        <v>103.13223266601562</v>
      </c>
      <c r="F31" s="91">
        <v>0.10452836006879807</v>
      </c>
      <c r="G31" s="91">
        <v>8.732605056138709E-05</v>
      </c>
      <c r="H31" s="91"/>
      <c r="I31" s="91"/>
      <c r="J31" s="91"/>
      <c r="K31" s="91"/>
      <c r="L31" s="92"/>
      <c r="M31" s="107">
        <v>77.67650604248047</v>
      </c>
      <c r="N31" s="91">
        <v>47.57305908203125</v>
      </c>
      <c r="O31" s="91">
        <v>39.5</v>
      </c>
      <c r="P31" s="91">
        <v>22</v>
      </c>
      <c r="Q31" s="91">
        <v>3.1888020038604736</v>
      </c>
      <c r="R31" s="91">
        <v>18.54383659362793</v>
      </c>
      <c r="S31" s="108">
        <v>90.5562744140625</v>
      </c>
      <c r="T31" s="108">
        <v>15</v>
      </c>
      <c r="U31" s="108">
        <v>0</v>
      </c>
      <c r="V31" s="108">
        <v>17.947050094604492</v>
      </c>
      <c r="W31" s="108">
        <v>53.50477600097656</v>
      </c>
      <c r="X31" s="108">
        <v>26.299999237060547</v>
      </c>
      <c r="Y31" s="108">
        <v>71.50137329101562</v>
      </c>
      <c r="Z31" s="108">
        <v>15.303095817565918</v>
      </c>
      <c r="AA31" s="108">
        <v>17.65950584411621</v>
      </c>
      <c r="AB31" s="108"/>
      <c r="AC31" s="95"/>
      <c r="AD31" s="95">
        <v>1.5482856035232544</v>
      </c>
      <c r="AE31" s="95">
        <v>0.0009148254175670445</v>
      </c>
      <c r="AF31" s="95">
        <v>21.23480796813965</v>
      </c>
      <c r="AG31" s="95">
        <v>34.262874603271484</v>
      </c>
      <c r="AH31" s="95"/>
      <c r="AI31" s="109"/>
      <c r="AJ31" s="109"/>
      <c r="AK31" s="109"/>
      <c r="AL31" s="109"/>
      <c r="AM31" s="109"/>
      <c r="AN31" s="95">
        <v>40.66116714477539</v>
      </c>
      <c r="AO31" s="96">
        <v>50</v>
      </c>
      <c r="AP31" s="97">
        <v>26.23155403137207</v>
      </c>
      <c r="AQ31" s="98">
        <v>39.55439758300781</v>
      </c>
      <c r="AR31" s="99">
        <v>0.0868072509765625</v>
      </c>
    </row>
    <row r="32" spans="2:44" ht="13.5" customHeight="1" x14ac:dyDescent="0.25">
      <c r="B32" s="14">
        <v>0.75</v>
      </c>
      <c r="C32" s="91">
        <v>-79.78153991699219</v>
      </c>
      <c r="D32" s="91">
        <v>-80.33130645751953</v>
      </c>
      <c r="E32" s="91">
        <v>103.13584899902344</v>
      </c>
      <c r="F32" s="91">
        <v>0.103515625</v>
      </c>
      <c r="G32" s="91">
        <v>9.953689732355997E-05</v>
      </c>
      <c r="H32" s="91"/>
      <c r="I32" s="91"/>
      <c r="J32" s="91"/>
      <c r="K32" s="91"/>
      <c r="L32" s="92"/>
      <c r="M32" s="107">
        <v>77.79586029052734</v>
      </c>
      <c r="N32" s="91">
        <v>47.48625564575195</v>
      </c>
      <c r="O32" s="91">
        <v>39.5</v>
      </c>
      <c r="P32" s="91">
        <v>22</v>
      </c>
      <c r="Q32" s="91">
        <v>3.422743082046509</v>
      </c>
      <c r="R32" s="91">
        <v>18.02300262451172</v>
      </c>
      <c r="S32" s="108">
        <v>92.8530044555664</v>
      </c>
      <c r="T32" s="108">
        <v>15</v>
      </c>
      <c r="U32" s="108">
        <v>0</v>
      </c>
      <c r="V32" s="108">
        <v>16.28146743774414</v>
      </c>
      <c r="W32" s="108">
        <v>47.656253814697266</v>
      </c>
      <c r="X32" s="108">
        <v>25.899999618530273</v>
      </c>
      <c r="Y32" s="108">
        <v>70.40816497802734</v>
      </c>
      <c r="Z32" s="108">
        <v>15.037253379821777</v>
      </c>
      <c r="AA32" s="108">
        <v>17.42621612548828</v>
      </c>
      <c r="AB32" s="108"/>
      <c r="AC32" s="95"/>
      <c r="AD32" s="95">
        <v>1.5483940839767456</v>
      </c>
      <c r="AE32" s="95">
        <v>0.0006873168749734759</v>
      </c>
      <c r="AF32" s="95">
        <v>22.08116340637207</v>
      </c>
      <c r="AG32" s="95">
        <v>25.34722137451172</v>
      </c>
      <c r="AH32" s="95"/>
      <c r="AI32" s="109"/>
      <c r="AJ32" s="109"/>
      <c r="AK32" s="109"/>
      <c r="AL32" s="109"/>
      <c r="AM32" s="109"/>
      <c r="AN32" s="95">
        <v>45.18952560424805</v>
      </c>
      <c r="AO32" s="96">
        <v>50</v>
      </c>
      <c r="AP32" s="97">
        <v>26.520906448364258</v>
      </c>
      <c r="AQ32" s="98">
        <v>39.872684478759766</v>
      </c>
      <c r="AR32" s="99">
        <v>0.075958251953125</v>
      </c>
    </row>
    <row r="33" spans="2:44" ht="13.5" customHeight="1" x14ac:dyDescent="0.25">
      <c r="B33" s="14">
        <v>0.79166666666666696</v>
      </c>
      <c r="C33" s="91">
        <v>-79.74536895751953</v>
      </c>
      <c r="D33" s="91">
        <v>-80.34577941894531</v>
      </c>
      <c r="E33" s="91">
        <v>103.12861633300781</v>
      </c>
      <c r="F33" s="91">
        <v>0.098524309694767</v>
      </c>
      <c r="G33" s="91">
        <v>9.298896475229412E-05</v>
      </c>
      <c r="H33" s="91"/>
      <c r="I33" s="91"/>
      <c r="J33" s="91"/>
      <c r="K33" s="91"/>
      <c r="L33" s="92"/>
      <c r="M33" s="107">
        <v>77.5679931640625</v>
      </c>
      <c r="N33" s="91">
        <v>47.57305908203125</v>
      </c>
      <c r="O33" s="91">
        <v>39.5</v>
      </c>
      <c r="P33" s="91">
        <v>22</v>
      </c>
      <c r="Q33" s="91">
        <v>3.5802950859069824</v>
      </c>
      <c r="R33" s="91">
        <v>18.030237197875977</v>
      </c>
      <c r="S33" s="108">
        <v>91.99942016601562</v>
      </c>
      <c r="T33" s="108">
        <v>15</v>
      </c>
      <c r="U33" s="108">
        <v>0</v>
      </c>
      <c r="V33" s="108">
        <v>17.41536521911621</v>
      </c>
      <c r="W33" s="108">
        <v>44.08637237548828</v>
      </c>
      <c r="X33" s="108">
        <v>25.899999618530273</v>
      </c>
      <c r="Y33" s="108">
        <v>70.9912109375</v>
      </c>
      <c r="Z33" s="108">
        <v>14.684606552124023</v>
      </c>
      <c r="AA33" s="108">
        <v>17.225479125976562</v>
      </c>
      <c r="AB33" s="108"/>
      <c r="AC33" s="95"/>
      <c r="AD33" s="95">
        <v>1.54833984375</v>
      </c>
      <c r="AE33" s="95">
        <v>0.0009217223851010203</v>
      </c>
      <c r="AF33" s="95">
        <v>21.524160385131836</v>
      </c>
      <c r="AG33" s="95">
        <v>40.44415283203125</v>
      </c>
      <c r="AH33" s="95"/>
      <c r="AI33" s="109"/>
      <c r="AJ33" s="109"/>
      <c r="AK33" s="109"/>
      <c r="AL33" s="109"/>
      <c r="AM33" s="109"/>
      <c r="AN33" s="95">
        <v>45.753761291503906</v>
      </c>
      <c r="AO33" s="96">
        <v>50</v>
      </c>
      <c r="AP33" s="97">
        <v>26.737918853759766</v>
      </c>
      <c r="AQ33" s="98">
        <v>39.597801208496094</v>
      </c>
      <c r="AR33" s="99">
        <v>0.075958251953125</v>
      </c>
    </row>
    <row r="34" spans="2:44" ht="13.5" customHeight="1" x14ac:dyDescent="0.25">
      <c r="B34" s="15">
        <v>0.83333333333333304</v>
      </c>
      <c r="C34" s="100">
        <v>-79.78877258300781</v>
      </c>
      <c r="D34" s="100">
        <v>-80.51215362548828</v>
      </c>
      <c r="E34" s="100">
        <v>103.12861633300781</v>
      </c>
      <c r="F34" s="100">
        <v>0.10293692350387573</v>
      </c>
      <c r="G34" s="100">
        <v>9.290504385717213E-05</v>
      </c>
      <c r="H34" s="100"/>
      <c r="I34" s="100"/>
      <c r="J34" s="100"/>
      <c r="K34" s="100"/>
      <c r="L34" s="101"/>
      <c r="M34" s="110">
        <v>77.54267883300781</v>
      </c>
      <c r="N34" s="100">
        <v>47.685184478759766</v>
      </c>
      <c r="O34" s="100">
        <v>39.5</v>
      </c>
      <c r="P34" s="100">
        <v>22</v>
      </c>
      <c r="Q34" s="100">
        <v>3.6002604961395264</v>
      </c>
      <c r="R34" s="100">
        <v>17.59982681274414</v>
      </c>
      <c r="S34" s="111">
        <v>90.41522216796875</v>
      </c>
      <c r="T34" s="111">
        <v>15</v>
      </c>
      <c r="U34" s="111">
        <v>0</v>
      </c>
      <c r="V34" s="111">
        <v>18.277996063232422</v>
      </c>
      <c r="W34" s="111">
        <v>42.08441925048828</v>
      </c>
      <c r="X34" s="111">
        <v>26.200000762939453</v>
      </c>
      <c r="Y34" s="111">
        <v>71.29955291748047</v>
      </c>
      <c r="Z34" s="111">
        <v>14.304831504821777</v>
      </c>
      <c r="AA34" s="111">
        <v>16.834854125976562</v>
      </c>
      <c r="AB34" s="111"/>
      <c r="AC34" s="104"/>
      <c r="AD34" s="104">
        <v>1.4219292402267456</v>
      </c>
      <c r="AE34" s="104">
        <v>0.000609771755989641</v>
      </c>
      <c r="AF34" s="104">
        <v>21.36501693725586</v>
      </c>
      <c r="AG34" s="104">
        <v>24.356191635131836</v>
      </c>
      <c r="AH34" s="104"/>
      <c r="AI34" s="112"/>
      <c r="AJ34" s="112"/>
      <c r="AK34" s="112"/>
      <c r="AL34" s="112"/>
      <c r="AM34" s="112"/>
      <c r="AN34" s="104">
        <v>44.929107666015625</v>
      </c>
      <c r="AO34" s="105">
        <v>50</v>
      </c>
      <c r="AP34" s="113">
        <v>26.90972137451172</v>
      </c>
      <c r="AQ34" s="114">
        <v>39.6484375</v>
      </c>
      <c r="AR34" s="115">
        <v>0.09766387939453125</v>
      </c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91">
        <v>0</v>
      </c>
      <c r="D39" s="91"/>
      <c r="E39" s="91">
        <v>49.70341491699219</v>
      </c>
      <c r="F39" s="91"/>
      <c r="G39" s="91"/>
      <c r="H39" s="91">
        <v>0</v>
      </c>
      <c r="I39" s="91"/>
      <c r="J39" s="91">
        <v>24.27842903137207</v>
      </c>
      <c r="K39" s="91">
        <v>40</v>
      </c>
      <c r="L39" s="91">
        <v>47.272857666015625</v>
      </c>
      <c r="M39" s="91">
        <v>0</v>
      </c>
      <c r="N39" s="91"/>
      <c r="O39" s="91">
        <v>25.98741340637207</v>
      </c>
      <c r="P39" s="91">
        <v>0.05000000074505806</v>
      </c>
      <c r="Q39" s="91">
        <v>0.2291666716337204</v>
      </c>
      <c r="R39" s="91"/>
      <c r="S39" s="91">
        <v>0</v>
      </c>
      <c r="T39" s="91"/>
      <c r="U39" s="108">
        <v>0</v>
      </c>
      <c r="V39" s="116"/>
      <c r="W39" s="117">
        <v>90.44415283203125</v>
      </c>
      <c r="X39" s="108">
        <v>16.771556854248047</v>
      </c>
      <c r="Y39" s="108">
        <v>28</v>
      </c>
      <c r="Z39" s="108">
        <v>0</v>
      </c>
      <c r="AA39" s="108">
        <v>17.27973175048828</v>
      </c>
      <c r="AB39" s="108">
        <v>20.14974021911621</v>
      </c>
      <c r="AC39" s="108">
        <v>50</v>
      </c>
      <c r="AD39" s="108">
        <v>123.80208587646484</v>
      </c>
      <c r="AE39" s="95">
        <v>17.565465927124023</v>
      </c>
      <c r="AF39" s="95">
        <v>99.91320037841797</v>
      </c>
      <c r="AG39" s="95"/>
      <c r="AH39" s="95">
        <v>0</v>
      </c>
      <c r="AI39" s="95">
        <v>0</v>
      </c>
      <c r="AJ39" s="95"/>
      <c r="AK39" s="95">
        <v>56.119789123535156</v>
      </c>
      <c r="AL39" s="96">
        <v>45.813079833984375</v>
      </c>
      <c r="AM39" s="118"/>
      <c r="AN39" s="109"/>
      <c r="AO39" s="95"/>
      <c r="AP39" s="95"/>
      <c r="AQ39" s="95"/>
      <c r="AR39" s="99"/>
    </row>
    <row r="40" spans="2:44" ht="13.5" customHeight="1" x14ac:dyDescent="0.25">
      <c r="B40" s="14">
        <v>0.375</v>
      </c>
      <c r="C40" s="91">
        <v>0</v>
      </c>
      <c r="D40" s="91">
        <v>0</v>
      </c>
      <c r="E40" s="91">
        <v>72.22222137451172</v>
      </c>
      <c r="F40" s="91"/>
      <c r="G40" s="91"/>
      <c r="H40" s="91">
        <v>0</v>
      </c>
      <c r="I40" s="91">
        <v>0</v>
      </c>
      <c r="J40" s="91">
        <v>24.22417449951172</v>
      </c>
      <c r="K40" s="91">
        <v>40</v>
      </c>
      <c r="L40" s="91">
        <v>46.82978820800781</v>
      </c>
      <c r="M40" s="91">
        <v>0</v>
      </c>
      <c r="N40" s="91">
        <v>0</v>
      </c>
      <c r="O40" s="91">
        <v>26.376230239868164</v>
      </c>
      <c r="P40" s="91">
        <v>0.05000000074505806</v>
      </c>
      <c r="Q40" s="91">
        <v>0.22446469962596893</v>
      </c>
      <c r="R40" s="91">
        <v>0.0002129783679265529</v>
      </c>
      <c r="S40" s="91">
        <v>0</v>
      </c>
      <c r="T40" s="91">
        <v>0</v>
      </c>
      <c r="U40" s="108">
        <v>0</v>
      </c>
      <c r="V40" s="116">
        <v>0</v>
      </c>
      <c r="W40" s="117">
        <v>90.35734558105469</v>
      </c>
      <c r="X40" s="108">
        <v>20.251012802124023</v>
      </c>
      <c r="Y40" s="108">
        <v>28</v>
      </c>
      <c r="Z40" s="108">
        <v>0</v>
      </c>
      <c r="AA40" s="108">
        <v>16.95421028137207</v>
      </c>
      <c r="AB40" s="108">
        <v>19.791667938232422</v>
      </c>
      <c r="AC40" s="108">
        <v>50</v>
      </c>
      <c r="AD40" s="108">
        <v>123.7977523803711</v>
      </c>
      <c r="AE40" s="95">
        <v>19.728370666503906</v>
      </c>
      <c r="AF40" s="95">
        <v>76.28038787841797</v>
      </c>
      <c r="AG40" s="95"/>
      <c r="AH40" s="95">
        <v>0.965711772441864</v>
      </c>
      <c r="AI40" s="95">
        <v>0</v>
      </c>
      <c r="AJ40" s="95">
        <v>0</v>
      </c>
      <c r="AK40" s="95">
        <v>71.79180908203125</v>
      </c>
      <c r="AL40" s="96">
        <v>53.52720260620117</v>
      </c>
      <c r="AM40" s="118"/>
      <c r="AN40" s="109"/>
      <c r="AO40" s="95"/>
      <c r="AP40" s="95"/>
      <c r="AQ40" s="95"/>
      <c r="AR40" s="99"/>
    </row>
    <row r="41" spans="2:44" ht="13.5" customHeight="1" x14ac:dyDescent="0.25">
      <c r="B41" s="14">
        <v>0.41666666666666702</v>
      </c>
      <c r="C41" s="91">
        <v>0</v>
      </c>
      <c r="D41" s="91">
        <v>1.2316703532633255E-06</v>
      </c>
      <c r="E41" s="91">
        <v>65.79137420654297</v>
      </c>
      <c r="F41" s="91"/>
      <c r="G41" s="91"/>
      <c r="H41" s="91">
        <v>0</v>
      </c>
      <c r="I41" s="91">
        <v>0</v>
      </c>
      <c r="J41" s="91">
        <v>24.341724395751953</v>
      </c>
      <c r="K41" s="91">
        <v>40</v>
      </c>
      <c r="L41" s="91">
        <v>46.44097137451172</v>
      </c>
      <c r="M41" s="91">
        <v>0</v>
      </c>
      <c r="N41" s="91">
        <v>0</v>
      </c>
      <c r="O41" s="91">
        <v>26.819299697875977</v>
      </c>
      <c r="P41" s="91">
        <v>0.05000000074505806</v>
      </c>
      <c r="Q41" s="91">
        <v>0.1959635466337204</v>
      </c>
      <c r="R41" s="91">
        <v>0.0002020225510932505</v>
      </c>
      <c r="S41" s="91">
        <v>0</v>
      </c>
      <c r="T41" s="91">
        <v>0</v>
      </c>
      <c r="U41" s="108">
        <v>0</v>
      </c>
      <c r="V41" s="116">
        <v>0</v>
      </c>
      <c r="W41" s="117">
        <v>90.7696762084961</v>
      </c>
      <c r="X41" s="108">
        <v>19.58550262451172</v>
      </c>
      <c r="Y41" s="108">
        <v>50</v>
      </c>
      <c r="Z41" s="108">
        <v>123.8758773803711</v>
      </c>
      <c r="AA41" s="108">
        <v>16.69379425048828</v>
      </c>
      <c r="AB41" s="108">
        <v>19.58550453186035</v>
      </c>
      <c r="AC41" s="108">
        <v>50</v>
      </c>
      <c r="AD41" s="108">
        <v>123.79341125488281</v>
      </c>
      <c r="AE41" s="95">
        <v>21.077472686767578</v>
      </c>
      <c r="AF41" s="95">
        <v>70.92556762695312</v>
      </c>
      <c r="AG41" s="95"/>
      <c r="AH41" s="95">
        <v>0</v>
      </c>
      <c r="AI41" s="95">
        <v>0</v>
      </c>
      <c r="AJ41" s="95">
        <v>0</v>
      </c>
      <c r="AK41" s="95">
        <v>45.851417541503906</v>
      </c>
      <c r="AL41" s="96">
        <v>56.857643127441406</v>
      </c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0.45833333333333298</v>
      </c>
      <c r="C42" s="91">
        <v>0</v>
      </c>
      <c r="D42" s="91">
        <v>0</v>
      </c>
      <c r="E42" s="91">
        <v>61.2702522277832</v>
      </c>
      <c r="F42" s="91"/>
      <c r="G42" s="91"/>
      <c r="H42" s="91">
        <v>0</v>
      </c>
      <c r="I42" s="91">
        <v>0</v>
      </c>
      <c r="J42" s="91">
        <v>24.513526916503906</v>
      </c>
      <c r="K42" s="91">
        <v>40</v>
      </c>
      <c r="L42" s="91">
        <v>45.76280212402344</v>
      </c>
      <c r="M42" s="91">
        <v>0</v>
      </c>
      <c r="N42" s="91">
        <v>0</v>
      </c>
      <c r="O42" s="91">
        <v>27.12673568725586</v>
      </c>
      <c r="P42" s="91">
        <v>0.05000000074505806</v>
      </c>
      <c r="Q42" s="91">
        <v>0.193359375</v>
      </c>
      <c r="R42" s="91">
        <v>0.00018866348545998335</v>
      </c>
      <c r="S42" s="91">
        <v>0</v>
      </c>
      <c r="T42" s="91">
        <v>0</v>
      </c>
      <c r="U42" s="108">
        <v>0</v>
      </c>
      <c r="V42" s="116">
        <v>0</v>
      </c>
      <c r="W42" s="117">
        <v>96.32884979248047</v>
      </c>
      <c r="X42" s="108">
        <v>17.701099395751953</v>
      </c>
      <c r="Y42" s="108">
        <v>50</v>
      </c>
      <c r="Z42" s="108">
        <v>123.88021087646484</v>
      </c>
      <c r="AA42" s="108">
        <v>16.35199737548828</v>
      </c>
      <c r="AB42" s="108">
        <v>19.401042938232422</v>
      </c>
      <c r="AC42" s="108">
        <v>50</v>
      </c>
      <c r="AD42" s="108">
        <v>123.7977523803711</v>
      </c>
      <c r="AE42" s="95">
        <v>22.21137046813965</v>
      </c>
      <c r="AF42" s="95">
        <v>67.46419525146484</v>
      </c>
      <c r="AG42" s="95"/>
      <c r="AH42" s="95">
        <v>0</v>
      </c>
      <c r="AI42" s="95">
        <v>0</v>
      </c>
      <c r="AJ42" s="95">
        <v>0</v>
      </c>
      <c r="AK42" s="95">
        <v>45.865882873535156</v>
      </c>
      <c r="AL42" s="96">
        <v>54.38657760620117</v>
      </c>
      <c r="AM42" s="118"/>
      <c r="AN42" s="109"/>
      <c r="AO42" s="95"/>
      <c r="AP42" s="95"/>
      <c r="AQ42" s="95"/>
      <c r="AR42" s="99"/>
    </row>
    <row r="43" spans="2:44" ht="13.5" customHeight="1" x14ac:dyDescent="0.25">
      <c r="B43" s="14">
        <v>0.5</v>
      </c>
      <c r="C43" s="91">
        <v>0</v>
      </c>
      <c r="D43" s="91">
        <v>6.151199016812825E-08</v>
      </c>
      <c r="E43" s="91">
        <v>47.8515625</v>
      </c>
      <c r="F43" s="91"/>
      <c r="G43" s="91"/>
      <c r="H43" s="91">
        <v>0</v>
      </c>
      <c r="I43" s="91">
        <v>0</v>
      </c>
      <c r="J43" s="91">
        <v>24.676286697387695</v>
      </c>
      <c r="K43" s="91">
        <v>40</v>
      </c>
      <c r="L43" s="91">
        <v>45.88035202026367</v>
      </c>
      <c r="M43" s="91">
        <v>0</v>
      </c>
      <c r="N43" s="91">
        <v>0</v>
      </c>
      <c r="O43" s="91">
        <v>27.50650978088379</v>
      </c>
      <c r="P43" s="91">
        <v>0.05000000074505806</v>
      </c>
      <c r="Q43" s="91">
        <v>0.22063079476356506</v>
      </c>
      <c r="R43" s="91">
        <v>0.00020939254318363965</v>
      </c>
      <c r="S43" s="91">
        <v>0</v>
      </c>
      <c r="T43" s="91">
        <v>0</v>
      </c>
      <c r="U43" s="108">
        <v>0</v>
      </c>
      <c r="V43" s="116">
        <v>0</v>
      </c>
      <c r="W43" s="117">
        <v>92.47685241699219</v>
      </c>
      <c r="X43" s="108">
        <v>18.786169052124023</v>
      </c>
      <c r="Y43" s="108">
        <v>50</v>
      </c>
      <c r="Z43" s="108">
        <v>123.8758773803711</v>
      </c>
      <c r="AA43" s="108">
        <v>16.41167640686035</v>
      </c>
      <c r="AB43" s="108">
        <v>19.47699737548828</v>
      </c>
      <c r="AC43" s="108">
        <v>50</v>
      </c>
      <c r="AD43" s="108">
        <v>123.79341125488281</v>
      </c>
      <c r="AE43" s="95">
        <v>23.195167541503906</v>
      </c>
      <c r="AF43" s="95">
        <v>64.58876037597656</v>
      </c>
      <c r="AG43" s="95"/>
      <c r="AH43" s="95">
        <v>0</v>
      </c>
      <c r="AI43" s="95">
        <v>0</v>
      </c>
      <c r="AJ43" s="95">
        <v>0</v>
      </c>
      <c r="AK43" s="95">
        <v>45.8875846862793</v>
      </c>
      <c r="AL43" s="96">
        <v>52.81539535522461</v>
      </c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0.54166666666666596</v>
      </c>
      <c r="C44" s="91">
        <v>0</v>
      </c>
      <c r="D44" s="91">
        <v>8.888006050256081E-06</v>
      </c>
      <c r="E44" s="91">
        <v>54.01475524902344</v>
      </c>
      <c r="F44" s="91"/>
      <c r="G44" s="91"/>
      <c r="H44" s="91">
        <v>0</v>
      </c>
      <c r="I44" s="91">
        <v>0</v>
      </c>
      <c r="J44" s="91">
        <v>24.893301010131836</v>
      </c>
      <c r="K44" s="91">
        <v>40</v>
      </c>
      <c r="L44" s="91">
        <v>45.862266540527344</v>
      </c>
      <c r="M44" s="91">
        <v>0</v>
      </c>
      <c r="N44" s="91">
        <v>0</v>
      </c>
      <c r="O44" s="91">
        <v>28.058086395263672</v>
      </c>
      <c r="P44" s="91">
        <v>0.05000000074505806</v>
      </c>
      <c r="Q44" s="91">
        <v>0.22598379850387573</v>
      </c>
      <c r="R44" s="91">
        <v>0.00021161269978620112</v>
      </c>
      <c r="S44" s="91">
        <v>0</v>
      </c>
      <c r="T44" s="91">
        <v>0</v>
      </c>
      <c r="U44" s="108">
        <v>0</v>
      </c>
      <c r="V44" s="116">
        <v>0</v>
      </c>
      <c r="W44" s="117">
        <v>85.85792541503906</v>
      </c>
      <c r="X44" s="108">
        <v>18.981481552124023</v>
      </c>
      <c r="Y44" s="108">
        <v>50</v>
      </c>
      <c r="Z44" s="108">
        <v>31.65364646911621</v>
      </c>
      <c r="AA44" s="108">
        <v>16.15668487548828</v>
      </c>
      <c r="AB44" s="108">
        <v>19.31966209411621</v>
      </c>
      <c r="AC44" s="108">
        <v>50</v>
      </c>
      <c r="AD44" s="108">
        <v>27.15277862548828</v>
      </c>
      <c r="AE44" s="95">
        <v>24.079498291015625</v>
      </c>
      <c r="AF44" s="95">
        <v>62.261287689208984</v>
      </c>
      <c r="AG44" s="95"/>
      <c r="AH44" s="95">
        <v>0</v>
      </c>
      <c r="AI44" s="95">
        <v>0</v>
      </c>
      <c r="AJ44" s="95">
        <v>0</v>
      </c>
      <c r="AK44" s="95">
        <v>75.61125183105469</v>
      </c>
      <c r="AL44" s="96">
        <v>44.111690521240234</v>
      </c>
      <c r="AM44" s="118"/>
      <c r="AN44" s="109">
        <v>0.05999999865889549</v>
      </c>
      <c r="AO44" s="95"/>
      <c r="AP44" s="95"/>
      <c r="AQ44" s="95"/>
      <c r="AR44" s="99"/>
    </row>
    <row r="45" spans="2:44" ht="13.5" customHeight="1" x14ac:dyDescent="0.25">
      <c r="B45" s="14">
        <v>0.58333333333333304</v>
      </c>
      <c r="C45" s="91">
        <v>0</v>
      </c>
      <c r="D45" s="91">
        <v>2.2592544155486394E-06</v>
      </c>
      <c r="E45" s="91">
        <v>53.81221008300781</v>
      </c>
      <c r="F45" s="91"/>
      <c r="G45" s="91"/>
      <c r="H45" s="91">
        <v>0</v>
      </c>
      <c r="I45" s="91">
        <v>0</v>
      </c>
      <c r="J45" s="91">
        <v>25.191696166992188</v>
      </c>
      <c r="K45" s="91">
        <v>40</v>
      </c>
      <c r="L45" s="91">
        <v>45.92556381225586</v>
      </c>
      <c r="M45" s="91">
        <v>0</v>
      </c>
      <c r="N45" s="91">
        <v>0</v>
      </c>
      <c r="O45" s="91">
        <v>28.555410385131836</v>
      </c>
      <c r="P45" s="91">
        <v>0.05000000074505806</v>
      </c>
      <c r="Q45" s="91">
        <v>0.14308449625968933</v>
      </c>
      <c r="R45" s="91">
        <v>0.00020144652808085084</v>
      </c>
      <c r="S45" s="91">
        <v>0</v>
      </c>
      <c r="T45" s="91">
        <v>0</v>
      </c>
      <c r="U45" s="108">
        <v>0</v>
      </c>
      <c r="V45" s="116">
        <v>0</v>
      </c>
      <c r="W45" s="117">
        <v>94.140625</v>
      </c>
      <c r="X45" s="108">
        <v>18.872974395751953</v>
      </c>
      <c r="Y45" s="108">
        <v>50</v>
      </c>
      <c r="Z45" s="108">
        <v>123.8758773803711</v>
      </c>
      <c r="AA45" s="108">
        <v>16.23263931274414</v>
      </c>
      <c r="AB45" s="108">
        <v>107.96984100341797</v>
      </c>
      <c r="AC45" s="108">
        <v>50</v>
      </c>
      <c r="AD45" s="108">
        <v>123.78907012939453</v>
      </c>
      <c r="AE45" s="95">
        <v>17.162181854248047</v>
      </c>
      <c r="AF45" s="95">
        <v>20.09006118774414</v>
      </c>
      <c r="AG45" s="95"/>
      <c r="AH45" s="95">
        <v>0</v>
      </c>
      <c r="AI45" s="95">
        <v>0</v>
      </c>
      <c r="AJ45" s="95">
        <v>0</v>
      </c>
      <c r="AK45" s="95">
        <v>81.54296875</v>
      </c>
      <c r="AL45" s="96">
        <v>42.705440521240234</v>
      </c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0.625</v>
      </c>
      <c r="C46" s="91">
        <v>0</v>
      </c>
      <c r="D46" s="91">
        <v>5.252361461316468E-07</v>
      </c>
      <c r="E46" s="91">
        <v>41.71730422973633</v>
      </c>
      <c r="F46" s="91"/>
      <c r="G46" s="91"/>
      <c r="H46" s="91">
        <v>0</v>
      </c>
      <c r="I46" s="91">
        <v>0</v>
      </c>
      <c r="J46" s="91">
        <v>25.453920364379883</v>
      </c>
      <c r="K46" s="91">
        <v>40</v>
      </c>
      <c r="L46" s="91">
        <v>45.81705856323242</v>
      </c>
      <c r="M46" s="91">
        <v>0</v>
      </c>
      <c r="N46" s="91">
        <v>0</v>
      </c>
      <c r="O46" s="91">
        <v>29.070817947387695</v>
      </c>
      <c r="P46" s="91">
        <v>0.05000000074505806</v>
      </c>
      <c r="Q46" s="91">
        <v>0.19458912312984467</v>
      </c>
      <c r="R46" s="91">
        <v>0.0001608161983313039</v>
      </c>
      <c r="S46" s="91">
        <v>0</v>
      </c>
      <c r="T46" s="91">
        <v>0</v>
      </c>
      <c r="U46" s="108">
        <v>0</v>
      </c>
      <c r="V46" s="116">
        <v>0</v>
      </c>
      <c r="W46" s="117">
        <v>94.99059295654297</v>
      </c>
      <c r="X46" s="108">
        <v>18.475114822387695</v>
      </c>
      <c r="Y46" s="108">
        <v>50</v>
      </c>
      <c r="Z46" s="108">
        <v>123.87153625488281</v>
      </c>
      <c r="AA46" s="108">
        <v>14.567057609558105</v>
      </c>
      <c r="AB46" s="108">
        <v>75.73785400390625</v>
      </c>
      <c r="AC46" s="108">
        <v>50</v>
      </c>
      <c r="AD46" s="108">
        <v>123.78907012939453</v>
      </c>
      <c r="AE46" s="95">
        <v>16.516565322875977</v>
      </c>
      <c r="AF46" s="95">
        <v>18.972440719604492</v>
      </c>
      <c r="AG46" s="95"/>
      <c r="AH46" s="95">
        <v>0</v>
      </c>
      <c r="AI46" s="95">
        <v>0</v>
      </c>
      <c r="AJ46" s="95">
        <v>0</v>
      </c>
      <c r="AK46" s="95">
        <v>81.5212631225586</v>
      </c>
      <c r="AL46" s="96">
        <v>42.144100189208984</v>
      </c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0.66666666666666596</v>
      </c>
      <c r="C47" s="91">
        <v>0</v>
      </c>
      <c r="D47" s="91">
        <v>5.115508884045994E-06</v>
      </c>
      <c r="E47" s="91">
        <v>46.89670181274414</v>
      </c>
      <c r="F47" s="91"/>
      <c r="G47" s="91"/>
      <c r="H47" s="91">
        <v>0</v>
      </c>
      <c r="I47" s="91">
        <v>0</v>
      </c>
      <c r="J47" s="91">
        <v>25.74327278137207</v>
      </c>
      <c r="K47" s="91">
        <v>40</v>
      </c>
      <c r="L47" s="91">
        <v>46.142578125</v>
      </c>
      <c r="M47" s="91">
        <v>0</v>
      </c>
      <c r="N47" s="91">
        <v>0</v>
      </c>
      <c r="O47" s="91">
        <v>29.531972885131836</v>
      </c>
      <c r="P47" s="91">
        <v>0.05000000074505806</v>
      </c>
      <c r="Q47" s="91">
        <v>0.22120949625968933</v>
      </c>
      <c r="R47" s="91">
        <v>0.00021174621360842139</v>
      </c>
      <c r="S47" s="91">
        <v>0</v>
      </c>
      <c r="T47" s="91">
        <v>0</v>
      </c>
      <c r="U47" s="108">
        <v>0</v>
      </c>
      <c r="V47" s="116">
        <v>0</v>
      </c>
      <c r="W47" s="117">
        <v>91.5545425415039</v>
      </c>
      <c r="X47" s="108">
        <v>19.643373489379883</v>
      </c>
      <c r="Y47" s="108">
        <v>50</v>
      </c>
      <c r="Z47" s="108">
        <v>123.87153625488281</v>
      </c>
      <c r="AA47" s="108">
        <v>16.80772590637207</v>
      </c>
      <c r="AB47" s="108">
        <v>61.93033981323242</v>
      </c>
      <c r="AC47" s="108">
        <v>50</v>
      </c>
      <c r="AD47" s="108">
        <v>123.78907012939453</v>
      </c>
      <c r="AE47" s="95">
        <v>15.751590728759766</v>
      </c>
      <c r="AF47" s="95">
        <v>18.033855438232422</v>
      </c>
      <c r="AG47" s="95"/>
      <c r="AH47" s="95">
        <v>0</v>
      </c>
      <c r="AI47" s="95">
        <v>0</v>
      </c>
      <c r="AJ47" s="95">
        <v>0</v>
      </c>
      <c r="AK47" s="95">
        <v>81.5248794555664</v>
      </c>
      <c r="AL47" s="96">
        <v>41.62326431274414</v>
      </c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0.70833333333333304</v>
      </c>
      <c r="C48" s="91">
        <v>0</v>
      </c>
      <c r="D48" s="91">
        <v>0</v>
      </c>
      <c r="E48" s="91">
        <v>44.11892318725586</v>
      </c>
      <c r="F48" s="91"/>
      <c r="G48" s="91"/>
      <c r="H48" s="91">
        <v>0</v>
      </c>
      <c r="I48" s="91">
        <v>0</v>
      </c>
      <c r="J48" s="91">
        <v>26.023582458496094</v>
      </c>
      <c r="K48" s="91">
        <v>40</v>
      </c>
      <c r="L48" s="91">
        <v>46.61277389526367</v>
      </c>
      <c r="M48" s="91">
        <v>0</v>
      </c>
      <c r="N48" s="91">
        <v>0</v>
      </c>
      <c r="O48" s="91">
        <v>29.62239646911621</v>
      </c>
      <c r="P48" s="91">
        <v>0.05000000074505806</v>
      </c>
      <c r="Q48" s="91">
        <v>0.21361400187015533</v>
      </c>
      <c r="R48" s="91">
        <v>0.0002095985400956124</v>
      </c>
      <c r="S48" s="91">
        <v>0</v>
      </c>
      <c r="T48" s="91">
        <v>0</v>
      </c>
      <c r="U48" s="108">
        <v>0</v>
      </c>
      <c r="V48" s="116">
        <v>0</v>
      </c>
      <c r="W48" s="117">
        <v>89.94502258300781</v>
      </c>
      <c r="X48" s="108">
        <v>19.838685989379883</v>
      </c>
      <c r="Y48" s="108">
        <v>50</v>
      </c>
      <c r="Z48" s="108">
        <v>123.87153625488281</v>
      </c>
      <c r="AA48" s="108">
        <v>17.947050094604492</v>
      </c>
      <c r="AB48" s="108">
        <v>53.50477600097656</v>
      </c>
      <c r="AC48" s="108">
        <v>50</v>
      </c>
      <c r="AD48" s="108">
        <v>123.78907012939453</v>
      </c>
      <c r="AE48" s="95">
        <v>15.303095817565918</v>
      </c>
      <c r="AF48" s="95">
        <v>17.65950584411621</v>
      </c>
      <c r="AG48" s="95"/>
      <c r="AH48" s="95">
        <v>0</v>
      </c>
      <c r="AI48" s="95">
        <v>0</v>
      </c>
      <c r="AJ48" s="95">
        <v>0</v>
      </c>
      <c r="AK48" s="95">
        <v>91.11689758300781</v>
      </c>
      <c r="AL48" s="96">
        <v>35.5381965637207</v>
      </c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0.75</v>
      </c>
      <c r="C49" s="91">
        <v>0</v>
      </c>
      <c r="D49" s="91">
        <v>5.02920147482655E-06</v>
      </c>
      <c r="E49" s="91">
        <v>41.81857681274414</v>
      </c>
      <c r="F49" s="91"/>
      <c r="G49" s="91"/>
      <c r="H49" s="91">
        <v>0</v>
      </c>
      <c r="I49" s="91">
        <v>0</v>
      </c>
      <c r="J49" s="91">
        <v>26.267723083496094</v>
      </c>
      <c r="K49" s="91">
        <v>40</v>
      </c>
      <c r="L49" s="91">
        <v>47.22764587402344</v>
      </c>
      <c r="M49" s="91">
        <v>0</v>
      </c>
      <c r="N49" s="91">
        <v>0</v>
      </c>
      <c r="O49" s="91">
        <v>29.694734573364258</v>
      </c>
      <c r="P49" s="91">
        <v>0.05000000074505806</v>
      </c>
      <c r="Q49" s="91">
        <v>0.1961805522441864</v>
      </c>
      <c r="R49" s="91">
        <v>0.0002089538611471653</v>
      </c>
      <c r="S49" s="91">
        <v>0</v>
      </c>
      <c r="T49" s="91">
        <v>0</v>
      </c>
      <c r="U49" s="108">
        <v>0</v>
      </c>
      <c r="V49" s="116">
        <v>0</v>
      </c>
      <c r="W49" s="117">
        <v>93.07002258300781</v>
      </c>
      <c r="X49" s="108">
        <v>20.254629135131836</v>
      </c>
      <c r="Y49" s="108">
        <v>10</v>
      </c>
      <c r="Z49" s="108">
        <v>23.493925094604492</v>
      </c>
      <c r="AA49" s="108">
        <v>16.28146743774414</v>
      </c>
      <c r="AB49" s="108">
        <v>47.656253814697266</v>
      </c>
      <c r="AC49" s="108">
        <v>10</v>
      </c>
      <c r="AD49" s="108">
        <v>24.51388931274414</v>
      </c>
      <c r="AE49" s="95">
        <v>15.037253379821777</v>
      </c>
      <c r="AF49" s="95">
        <v>17.42621612548828</v>
      </c>
      <c r="AG49" s="95"/>
      <c r="AH49" s="95">
        <v>0</v>
      </c>
      <c r="AI49" s="95">
        <v>0</v>
      </c>
      <c r="AJ49" s="95">
        <v>0</v>
      </c>
      <c r="AK49" s="95">
        <v>91.10966491699219</v>
      </c>
      <c r="AL49" s="96">
        <v>35.700233459472656</v>
      </c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0.79166666666666696</v>
      </c>
      <c r="C50" s="91">
        <v>0</v>
      </c>
      <c r="D50" s="91">
        <v>5.8889387588578757E-08</v>
      </c>
      <c r="E50" s="91">
        <v>39.94502258300781</v>
      </c>
      <c r="F50" s="91"/>
      <c r="G50" s="91"/>
      <c r="H50" s="91">
        <v>0</v>
      </c>
      <c r="I50" s="91">
        <v>0</v>
      </c>
      <c r="J50" s="91">
        <v>26.466651916503906</v>
      </c>
      <c r="K50" s="91">
        <v>40</v>
      </c>
      <c r="L50" s="91">
        <v>48.34888458251953</v>
      </c>
      <c r="M50" s="91">
        <v>0</v>
      </c>
      <c r="N50" s="91">
        <v>0</v>
      </c>
      <c r="O50" s="91">
        <v>29.631437301635742</v>
      </c>
      <c r="P50" s="91">
        <v>0.05000000074505806</v>
      </c>
      <c r="Q50" s="91">
        <v>0.1642795205116272</v>
      </c>
      <c r="R50" s="91">
        <v>0.00014307403762359172</v>
      </c>
      <c r="S50" s="91">
        <v>0</v>
      </c>
      <c r="T50" s="91">
        <v>0</v>
      </c>
      <c r="U50" s="108">
        <v>0</v>
      </c>
      <c r="V50" s="116">
        <v>0</v>
      </c>
      <c r="W50" s="117">
        <v>92.16217803955078</v>
      </c>
      <c r="X50" s="108">
        <v>18.90190887451172</v>
      </c>
      <c r="Y50" s="108">
        <v>50</v>
      </c>
      <c r="Z50" s="108">
        <v>123.8758773803711</v>
      </c>
      <c r="AA50" s="108">
        <v>17.41536521911621</v>
      </c>
      <c r="AB50" s="108">
        <v>44.08637237548828</v>
      </c>
      <c r="AC50" s="108">
        <v>50</v>
      </c>
      <c r="AD50" s="108">
        <v>123.78472900390625</v>
      </c>
      <c r="AE50" s="95">
        <v>14.684606552124023</v>
      </c>
      <c r="AF50" s="95">
        <v>17.225479125976562</v>
      </c>
      <c r="AG50" s="95"/>
      <c r="AH50" s="95">
        <v>0</v>
      </c>
      <c r="AI50" s="95">
        <v>0</v>
      </c>
      <c r="AJ50" s="95">
        <v>0</v>
      </c>
      <c r="AK50" s="95">
        <v>91.10604858398438</v>
      </c>
      <c r="AL50" s="96">
        <v>35.6944465637207</v>
      </c>
      <c r="AM50" s="118"/>
      <c r="AN50" s="109"/>
      <c r="AO50" s="95"/>
      <c r="AP50" s="95"/>
      <c r="AQ50" s="95"/>
      <c r="AR50" s="99"/>
    </row>
    <row r="51" spans="2:44" ht="13.5" customHeight="1" x14ac:dyDescent="0.25">
      <c r="B51" s="14">
        <v>0.83333333333333304</v>
      </c>
      <c r="C51" s="100">
        <v>0</v>
      </c>
      <c r="D51" s="100">
        <v>6.334781801342615E-07</v>
      </c>
      <c r="E51" s="100">
        <v>38.37528991699219</v>
      </c>
      <c r="F51" s="100"/>
      <c r="G51" s="100"/>
      <c r="H51" s="100">
        <v>0</v>
      </c>
      <c r="I51" s="100">
        <v>0</v>
      </c>
      <c r="J51" s="100">
        <v>26.593242645263672</v>
      </c>
      <c r="K51" s="100">
        <v>40</v>
      </c>
      <c r="L51" s="100">
        <v>49.85894012451172</v>
      </c>
      <c r="M51" s="100">
        <v>0</v>
      </c>
      <c r="N51" s="100">
        <v>0</v>
      </c>
      <c r="O51" s="100">
        <v>29.531972885131836</v>
      </c>
      <c r="P51" s="100">
        <v>0.05000000074505806</v>
      </c>
      <c r="Q51" s="100">
        <v>0.22128182649612427</v>
      </c>
      <c r="R51" s="100">
        <v>0.00016708373732399195</v>
      </c>
      <c r="S51" s="100">
        <v>0</v>
      </c>
      <c r="T51" s="100">
        <v>0</v>
      </c>
      <c r="U51" s="111">
        <v>0</v>
      </c>
      <c r="V51" s="119">
        <v>0</v>
      </c>
      <c r="W51" s="120">
        <v>97.7032699584961</v>
      </c>
      <c r="X51" s="111">
        <v>19.122539520263672</v>
      </c>
      <c r="Y51" s="111">
        <v>50</v>
      </c>
      <c r="Z51" s="111">
        <v>123.8758773803711</v>
      </c>
      <c r="AA51" s="111">
        <v>18.277996063232422</v>
      </c>
      <c r="AB51" s="111">
        <v>42.08441925048828</v>
      </c>
      <c r="AC51" s="111">
        <v>50</v>
      </c>
      <c r="AD51" s="111">
        <v>0</v>
      </c>
      <c r="AE51" s="104">
        <v>14.304831504821777</v>
      </c>
      <c r="AF51" s="104">
        <v>16.834854125976562</v>
      </c>
      <c r="AG51" s="104"/>
      <c r="AH51" s="104">
        <v>0</v>
      </c>
      <c r="AI51" s="104">
        <v>0</v>
      </c>
      <c r="AJ51" s="104">
        <v>0</v>
      </c>
      <c r="AK51" s="104">
        <v>91.08795928955078</v>
      </c>
      <c r="AL51" s="105">
        <v>35.67997741699219</v>
      </c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19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19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226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7" t="s">
        <v>227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</row>
    <row r="3" spans="2:47" ht="20.15" customHeight="1" x14ac:dyDescent="0.25">
      <c r="B3" s="189" t="s">
        <v>181</v>
      </c>
      <c r="C3" s="147" t="s">
        <v>163</v>
      </c>
      <c r="D3" s="197"/>
      <c r="E3" s="197"/>
      <c r="F3" s="197"/>
      <c r="G3" s="197"/>
      <c r="H3" s="198"/>
      <c r="I3" s="201" t="s">
        <v>8</v>
      </c>
      <c r="J3" s="197"/>
      <c r="K3" s="197"/>
      <c r="L3" s="197"/>
      <c r="M3" s="197"/>
      <c r="N3" s="197"/>
      <c r="O3" s="197"/>
      <c r="P3" s="202"/>
      <c r="Q3" s="147" t="s">
        <v>77</v>
      </c>
      <c r="R3" s="197"/>
      <c r="S3" s="202"/>
      <c r="T3" s="147" t="s">
        <v>10</v>
      </c>
      <c r="U3" s="197"/>
      <c r="V3" s="197"/>
      <c r="W3" s="202"/>
      <c r="X3" s="147" t="s">
        <v>80</v>
      </c>
      <c r="Y3" s="148"/>
      <c r="Z3" s="147" t="s">
        <v>11</v>
      </c>
      <c r="AA3" s="148"/>
      <c r="AB3" s="13" t="s">
        <v>13</v>
      </c>
      <c r="AC3" s="147" t="s">
        <v>14</v>
      </c>
      <c r="AD3" s="148"/>
      <c r="AE3" s="151" t="s">
        <v>88</v>
      </c>
      <c r="AF3" s="152"/>
      <c r="AG3" s="152"/>
      <c r="AH3" s="152"/>
      <c r="AI3" s="152"/>
      <c r="AJ3" s="152"/>
      <c r="AK3" s="153"/>
      <c r="AL3" s="147" t="s">
        <v>18</v>
      </c>
      <c r="AM3" s="193"/>
      <c r="AN3" s="194"/>
      <c r="AO3" s="193" t="s">
        <v>16</v>
      </c>
      <c r="AP3" s="193"/>
      <c r="AQ3" s="193"/>
      <c r="AR3" s="196"/>
    </row>
    <row r="4" spans="2:47" ht="30" customHeight="1" x14ac:dyDescent="0.25">
      <c r="B4" s="190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9" t="s">
        <v>62</v>
      </c>
      <c r="J4" s="200"/>
      <c r="K4" s="3" t="s">
        <v>6</v>
      </c>
      <c r="L4" s="3" t="s">
        <v>66</v>
      </c>
      <c r="M4" s="3" t="s">
        <v>164</v>
      </c>
      <c r="N4" s="3" t="s">
        <v>165</v>
      </c>
      <c r="O4" s="154" t="s">
        <v>7</v>
      </c>
      <c r="P4" s="155"/>
      <c r="Q4" s="192" t="s">
        <v>71</v>
      </c>
      <c r="R4" s="155"/>
      <c r="S4" s="3" t="s">
        <v>51</v>
      </c>
      <c r="T4" s="3" t="s">
        <v>75</v>
      </c>
      <c r="U4" s="192" t="s">
        <v>78</v>
      </c>
      <c r="V4" s="155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9" t="s">
        <v>89</v>
      </c>
      <c r="AF4" s="150"/>
      <c r="AG4" s="149" t="s">
        <v>92</v>
      </c>
      <c r="AH4" s="150"/>
      <c r="AI4" s="10" t="s">
        <v>166</v>
      </c>
      <c r="AJ4" s="10" t="s">
        <v>167</v>
      </c>
      <c r="AK4" s="11" t="s">
        <v>115</v>
      </c>
      <c r="AL4" s="192" t="s">
        <v>110</v>
      </c>
      <c r="AM4" s="155"/>
      <c r="AN4" s="29" t="s">
        <v>111</v>
      </c>
      <c r="AO4" s="26" t="s">
        <v>12</v>
      </c>
      <c r="AP4" s="3" t="s">
        <v>1</v>
      </c>
      <c r="AQ4" s="168" t="s">
        <v>161</v>
      </c>
      <c r="AR4" s="195"/>
      <c r="AU4" s="20"/>
    </row>
    <row r="5" spans="2:47" ht="20.15" customHeight="1" x14ac:dyDescent="0.25">
      <c r="B5" s="191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408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91">
        <v>5.689380645751953</v>
      </c>
      <c r="D6" s="91">
        <v>20.16059112548828</v>
      </c>
      <c r="E6" s="91">
        <v>415.6392517089844</v>
      </c>
      <c r="F6" s="91"/>
      <c r="G6" s="91"/>
      <c r="H6" s="92">
        <v>416.1075134277344</v>
      </c>
      <c r="I6" s="93">
        <v>1.3925057649612427</v>
      </c>
      <c r="J6" s="91"/>
      <c r="K6" s="91">
        <v>42.607059478759766</v>
      </c>
      <c r="L6" s="91">
        <v>1.313567042350769</v>
      </c>
      <c r="M6" s="91">
        <v>109.63542175292969</v>
      </c>
      <c r="N6" s="91">
        <v>115.24160766601562</v>
      </c>
      <c r="O6" s="91">
        <v>20.08000373840332</v>
      </c>
      <c r="P6" s="91"/>
      <c r="Q6" s="91"/>
      <c r="R6" s="91"/>
      <c r="S6" s="91">
        <v>140.2054443359375</v>
      </c>
      <c r="T6" s="91">
        <v>1.5031466484069824</v>
      </c>
      <c r="U6" s="91">
        <v>0.29896074533462524</v>
      </c>
      <c r="V6" s="91"/>
      <c r="W6" s="91">
        <v>90.32118225097656</v>
      </c>
      <c r="X6" s="91">
        <v>0.5294132828712463</v>
      </c>
      <c r="Y6" s="91" t="s">
        <v>4</v>
      </c>
      <c r="Z6" s="91">
        <v>0.7316551208496094</v>
      </c>
      <c r="AA6" s="91">
        <v>149.2476806640625</v>
      </c>
      <c r="AB6" s="91">
        <v>162.90509033203125</v>
      </c>
      <c r="AC6" s="91">
        <v>0.5573639869689941</v>
      </c>
      <c r="AD6" s="91">
        <v>154.940673828125</v>
      </c>
      <c r="AE6" s="94">
        <v>33.380001068115234</v>
      </c>
      <c r="AF6" s="94"/>
      <c r="AG6" s="94"/>
      <c r="AH6" s="94">
        <v>16.459999084472656</v>
      </c>
      <c r="AI6" s="94"/>
      <c r="AJ6" s="94"/>
      <c r="AK6" s="94">
        <v>7.210000038146973</v>
      </c>
      <c r="AL6" s="91">
        <v>1.6710069179534912</v>
      </c>
      <c r="AM6" s="95"/>
      <c r="AN6" s="96">
        <v>60.413047790527344</v>
      </c>
      <c r="AO6" s="97"/>
      <c r="AP6" s="98">
        <v>-79.78877258300781</v>
      </c>
      <c r="AQ6" s="98">
        <v>0.27662035822868347</v>
      </c>
      <c r="AR6" s="99"/>
    </row>
    <row r="7" spans="2:47" ht="13.5" customHeight="1" x14ac:dyDescent="0.25">
      <c r="B7" s="14">
        <v>0.875</v>
      </c>
      <c r="C7" s="91">
        <v>6.669559955596924</v>
      </c>
      <c r="D7" s="91">
        <v>19.87847328186035</v>
      </c>
      <c r="E7" s="91">
        <v>417.9516296386719</v>
      </c>
      <c r="F7" s="91">
        <v>0.33667969703674316</v>
      </c>
      <c r="G7" s="91">
        <v>0</v>
      </c>
      <c r="H7" s="92">
        <v>416.9045104980469</v>
      </c>
      <c r="I7" s="93">
        <v>23.3687801361084</v>
      </c>
      <c r="J7" s="91">
        <v>0.019771484658122063</v>
      </c>
      <c r="K7" s="91">
        <v>44.791664123535156</v>
      </c>
      <c r="L7" s="91">
        <v>1.4232494831085205</v>
      </c>
      <c r="M7" s="91">
        <v>107.52496337890625</v>
      </c>
      <c r="N7" s="91">
        <v>114.3373794555664</v>
      </c>
      <c r="O7" s="91">
        <v>20.245718002319336</v>
      </c>
      <c r="P7" s="91">
        <v>20.16796875</v>
      </c>
      <c r="Q7" s="91"/>
      <c r="R7" s="91">
        <v>2.6104736328125</v>
      </c>
      <c r="S7" s="91">
        <v>140.07522583007812</v>
      </c>
      <c r="T7" s="91">
        <v>1.5077040195465088</v>
      </c>
      <c r="U7" s="91">
        <v>0.3000043034553528</v>
      </c>
      <c r="V7" s="91">
        <v>0.299867182970047</v>
      </c>
      <c r="W7" s="91">
        <v>90.39351654052734</v>
      </c>
      <c r="X7" s="91">
        <v>0.5318074226379395</v>
      </c>
      <c r="Y7" s="91" t="s">
        <v>82</v>
      </c>
      <c r="Z7" s="91">
        <v>0.7271990776062012</v>
      </c>
      <c r="AA7" s="91">
        <v>149.11024475097656</v>
      </c>
      <c r="AB7" s="91">
        <v>162.6953125</v>
      </c>
      <c r="AC7" s="91">
        <v>0.375</v>
      </c>
      <c r="AD7" s="91">
        <v>154.73089599609375</v>
      </c>
      <c r="AE7" s="94"/>
      <c r="AF7" s="94"/>
      <c r="AG7" s="94"/>
      <c r="AH7" s="94"/>
      <c r="AI7" s="94"/>
      <c r="AJ7" s="94"/>
      <c r="AK7" s="94"/>
      <c r="AL7" s="91">
        <v>24.9710636138916</v>
      </c>
      <c r="AM7" s="95">
        <v>0.01745312474668026</v>
      </c>
      <c r="AN7" s="96">
        <v>56.81061935424805</v>
      </c>
      <c r="AO7" s="97"/>
      <c r="AP7" s="98">
        <v>-79.76707458496094</v>
      </c>
      <c r="AQ7" s="98">
        <v>0.2834201455116272</v>
      </c>
      <c r="AR7" s="99">
        <v>0.0002917099045589566</v>
      </c>
    </row>
    <row r="8" spans="2:47" ht="13.5" customHeight="1" x14ac:dyDescent="0.25">
      <c r="B8" s="41" t="s">
        <v>271</v>
      </c>
      <c r="C8" s="91">
        <v>5.548321723937988</v>
      </c>
      <c r="D8" s="91">
        <v>19.87847328186035</v>
      </c>
      <c r="E8" s="91">
        <v>418.0256652832031</v>
      </c>
      <c r="F8" s="91">
        <v>0.2684843838214874</v>
      </c>
      <c r="G8" s="91">
        <v>0</v>
      </c>
      <c r="H8" s="92">
        <v>417.4858093261719</v>
      </c>
      <c r="I8" s="93">
        <v>21.014179229736328</v>
      </c>
      <c r="J8" s="91">
        <v>0.020091308280825615</v>
      </c>
      <c r="K8" s="91">
        <v>45.377601623535156</v>
      </c>
      <c r="L8" s="91">
        <v>1.4330151081085205</v>
      </c>
      <c r="M8" s="91">
        <v>110.21051025390625</v>
      </c>
      <c r="N8" s="91">
        <v>112.85445404052734</v>
      </c>
      <c r="O8" s="91">
        <v>20.351043701171875</v>
      </c>
      <c r="P8" s="91">
        <v>20.16064453125</v>
      </c>
      <c r="Q8" s="91"/>
      <c r="R8" s="91">
        <v>2.70367431640625</v>
      </c>
      <c r="S8" s="91">
        <v>139.9739532470703</v>
      </c>
      <c r="T8" s="91">
        <v>1.5017541646957397</v>
      </c>
      <c r="U8" s="91">
        <v>0.3036271631717682</v>
      </c>
      <c r="V8" s="91">
        <v>0.29982030391693115</v>
      </c>
      <c r="W8" s="91">
        <v>90.66840362548828</v>
      </c>
      <c r="X8" s="91">
        <v>0.5281822681427002</v>
      </c>
      <c r="Y8" s="91" t="s">
        <v>82</v>
      </c>
      <c r="Z8" s="91">
        <v>0.7315393686294556</v>
      </c>
      <c r="AA8" s="91">
        <v>149.33448791503906</v>
      </c>
      <c r="AB8" s="91">
        <v>162.5940399169922</v>
      </c>
      <c r="AC8" s="91">
        <v>0.4552951455116272</v>
      </c>
      <c r="AD8" s="91">
        <v>154.44154357910156</v>
      </c>
      <c r="AE8" s="94"/>
      <c r="AF8" s="94"/>
      <c r="AG8" s="94"/>
      <c r="AH8" s="94"/>
      <c r="AI8" s="94"/>
      <c r="AJ8" s="94"/>
      <c r="AK8" s="94"/>
      <c r="AL8" s="91">
        <v>0</v>
      </c>
      <c r="AM8" s="95">
        <v>0.011263183318078518</v>
      </c>
      <c r="AN8" s="96">
        <v>55.85575866699219</v>
      </c>
      <c r="AO8" s="97"/>
      <c r="AP8" s="98">
        <v>-79.67303466796875</v>
      </c>
      <c r="AQ8" s="98">
        <v>0.27987557649612427</v>
      </c>
      <c r="AR8" s="99">
        <v>0.00029269407968968153</v>
      </c>
    </row>
    <row r="9" spans="2:47" ht="13.5" customHeight="1" x14ac:dyDescent="0.25">
      <c r="B9" s="14">
        <v>0.95833333333333337</v>
      </c>
      <c r="C9" s="91">
        <v>6.539351940155029</v>
      </c>
      <c r="D9" s="91">
        <v>19.99240493774414</v>
      </c>
      <c r="E9" s="91">
        <v>420.9510192871094</v>
      </c>
      <c r="F9" s="91">
        <v>0.33649998903274536</v>
      </c>
      <c r="G9" s="91">
        <v>0</v>
      </c>
      <c r="H9" s="92">
        <v>418.2477722167969</v>
      </c>
      <c r="I9" s="93">
        <v>24.45746612548828</v>
      </c>
      <c r="J9" s="91">
        <v>0.01961962878704071</v>
      </c>
      <c r="K9" s="91">
        <v>42.549190521240234</v>
      </c>
      <c r="L9" s="91">
        <v>1.3359013795852661</v>
      </c>
      <c r="M9" s="91">
        <v>108.91384887695312</v>
      </c>
      <c r="N9" s="91">
        <v>114.02632904052734</v>
      </c>
      <c r="O9" s="91">
        <v>20.272071838378906</v>
      </c>
      <c r="P9" s="91">
        <v>20.16162109375</v>
      </c>
      <c r="Q9" s="91"/>
      <c r="R9" s="91">
        <v>2.7227783203125</v>
      </c>
      <c r="S9" s="91">
        <v>139.84375</v>
      </c>
      <c r="T9" s="91">
        <v>1.5051721334457397</v>
      </c>
      <c r="U9" s="91">
        <v>0.30006521940231323</v>
      </c>
      <c r="V9" s="91">
        <v>0.29990625381469727</v>
      </c>
      <c r="W9" s="91">
        <v>90.5743637084961</v>
      </c>
      <c r="X9" s="91">
        <v>0.5296446084976196</v>
      </c>
      <c r="Y9" s="91" t="s">
        <v>82</v>
      </c>
      <c r="Z9" s="91">
        <v>0.7284143567085266</v>
      </c>
      <c r="AA9" s="91">
        <v>149.63107299804688</v>
      </c>
      <c r="AB9" s="91">
        <v>162.5</v>
      </c>
      <c r="AC9" s="91">
        <v>0.6710792779922485</v>
      </c>
      <c r="AD9" s="91">
        <v>154.37644958496094</v>
      </c>
      <c r="AE9" s="94"/>
      <c r="AF9" s="94"/>
      <c r="AG9" s="94"/>
      <c r="AH9" s="94"/>
      <c r="AI9" s="94"/>
      <c r="AJ9" s="94"/>
      <c r="AK9" s="94"/>
      <c r="AL9" s="91">
        <v>1.8952546119689941</v>
      </c>
      <c r="AM9" s="95">
        <v>0.010058593936264515</v>
      </c>
      <c r="AN9" s="96">
        <v>53.486690521240234</v>
      </c>
      <c r="AO9" s="97"/>
      <c r="AP9" s="98">
        <v>-79.99855041503906</v>
      </c>
      <c r="AQ9" s="98">
        <v>0.28508391976356506</v>
      </c>
      <c r="AR9" s="99">
        <v>0.00029383087530732155</v>
      </c>
    </row>
    <row r="10" spans="2:47" ht="13.5" customHeight="1" x14ac:dyDescent="0.25">
      <c r="B10" s="41" t="s">
        <v>272</v>
      </c>
      <c r="C10" s="91">
        <v>5.700231552124023</v>
      </c>
      <c r="D10" s="91">
        <v>19.970703125</v>
      </c>
      <c r="E10" s="91">
        <v>421.8206481933594</v>
      </c>
      <c r="F10" s="91">
        <v>0.26628124713897705</v>
      </c>
      <c r="G10" s="91">
        <v>0</v>
      </c>
      <c r="H10" s="92">
        <v>419.89471435546875</v>
      </c>
      <c r="I10" s="93">
        <v>26.862703323364258</v>
      </c>
      <c r="J10" s="91">
        <v>0.019660156220197678</v>
      </c>
      <c r="K10" s="91">
        <v>43.20746612548828</v>
      </c>
      <c r="L10" s="91">
        <v>1.3535337448120117</v>
      </c>
      <c r="M10" s="91">
        <v>108.82161712646484</v>
      </c>
      <c r="N10" s="91">
        <v>113.10040283203125</v>
      </c>
      <c r="O10" s="91">
        <v>20.394887924194336</v>
      </c>
      <c r="P10" s="91">
        <v>20.16650390625</v>
      </c>
      <c r="Q10" s="91"/>
      <c r="R10" s="91">
        <v>2.7200927734375</v>
      </c>
      <c r="S10" s="91">
        <v>139.9450225830078</v>
      </c>
      <c r="T10" s="91">
        <v>1.508210301399231</v>
      </c>
      <c r="U10" s="91">
        <v>0.2996286153793335</v>
      </c>
      <c r="V10" s="91">
        <v>0.2998906373977661</v>
      </c>
      <c r="W10" s="91">
        <v>90.3139419555664</v>
      </c>
      <c r="X10" s="91">
        <v>0.5291679501533508</v>
      </c>
      <c r="Y10" s="91" t="s">
        <v>82</v>
      </c>
      <c r="Z10" s="91">
        <v>0.7332175970077515</v>
      </c>
      <c r="AA10" s="91">
        <v>149.62384033203125</v>
      </c>
      <c r="AB10" s="91">
        <v>162.76040649414062</v>
      </c>
      <c r="AC10" s="91">
        <v>0.45218461751937866</v>
      </c>
      <c r="AD10" s="91">
        <v>154.8177032470703</v>
      </c>
      <c r="AE10" s="94"/>
      <c r="AF10" s="94"/>
      <c r="AG10" s="94"/>
      <c r="AH10" s="94"/>
      <c r="AI10" s="94"/>
      <c r="AJ10" s="94"/>
      <c r="AK10" s="94"/>
      <c r="AL10" s="91">
        <v>5.682147026062012</v>
      </c>
      <c r="AM10" s="95">
        <v>0.007233398500829935</v>
      </c>
      <c r="AN10" s="96">
        <v>51.34548568725586</v>
      </c>
      <c r="AO10" s="97"/>
      <c r="AP10" s="98">
        <v>-79.95515441894531</v>
      </c>
      <c r="AQ10" s="98">
        <v>0.29376447200775146</v>
      </c>
      <c r="AR10" s="99">
        <v>0.00029203033773228526</v>
      </c>
    </row>
    <row r="11" spans="2:47" ht="13.5" customHeight="1" x14ac:dyDescent="0.25">
      <c r="B11" s="14">
        <v>4.1666666666666664E-2</v>
      </c>
      <c r="C11" s="91">
        <v>6.488715171813965</v>
      </c>
      <c r="D11" s="91">
        <v>19.753690719604492</v>
      </c>
      <c r="E11" s="91">
        <v>421.87811279296875</v>
      </c>
      <c r="F11" s="91">
        <v>0.3360937535762787</v>
      </c>
      <c r="G11" s="91">
        <v>0</v>
      </c>
      <c r="H11" s="92">
        <v>421.41015625</v>
      </c>
      <c r="I11" s="93">
        <v>18.786169052124023</v>
      </c>
      <c r="J11" s="91">
        <v>0.02000439539551735</v>
      </c>
      <c r="K11" s="91">
        <v>43.22193145751953</v>
      </c>
      <c r="L11" s="91">
        <v>1.3538050651550293</v>
      </c>
      <c r="M11" s="91">
        <v>106.79254150390625</v>
      </c>
      <c r="N11" s="91">
        <v>110.50347137451172</v>
      </c>
      <c r="O11" s="91">
        <v>20.283939361572266</v>
      </c>
      <c r="P11" s="91">
        <v>20.18017578125</v>
      </c>
      <c r="Q11" s="91"/>
      <c r="R11" s="91">
        <v>2.75567626953125</v>
      </c>
      <c r="S11" s="91">
        <v>140.1114044189453</v>
      </c>
      <c r="T11" s="91">
        <v>1.5068178176879883</v>
      </c>
      <c r="U11" s="91">
        <v>0.3015323579311371</v>
      </c>
      <c r="V11" s="91">
        <v>0.3001093864440918</v>
      </c>
      <c r="W11" s="91">
        <v>90.27054595947266</v>
      </c>
      <c r="X11" s="91">
        <v>0.5301077365875244</v>
      </c>
      <c r="Y11" s="91" t="s">
        <v>82</v>
      </c>
      <c r="Z11" s="91">
        <v>0.7282407879829407</v>
      </c>
      <c r="AA11" s="91">
        <v>149.7034149169922</v>
      </c>
      <c r="AB11" s="91">
        <v>162.67361450195312</v>
      </c>
      <c r="AC11" s="91">
        <v>0.42429831624031067</v>
      </c>
      <c r="AD11" s="91">
        <v>154.745361328125</v>
      </c>
      <c r="AE11" s="94"/>
      <c r="AF11" s="94"/>
      <c r="AG11" s="94"/>
      <c r="AH11" s="94"/>
      <c r="AI11" s="94"/>
      <c r="AJ11" s="94"/>
      <c r="AK11" s="94"/>
      <c r="AL11" s="91">
        <v>0.08318865299224854</v>
      </c>
      <c r="AM11" s="95">
        <v>0.0059150392189621925</v>
      </c>
      <c r="AN11" s="96">
        <v>49.811920166015625</v>
      </c>
      <c r="AO11" s="97"/>
      <c r="AP11" s="98">
        <v>-79.96961975097656</v>
      </c>
      <c r="AQ11" s="98">
        <v>0.29738137125968933</v>
      </c>
      <c r="AR11" s="99">
        <v>0.0002930908231064677</v>
      </c>
    </row>
    <row r="12" spans="2:47" ht="13.5" customHeight="1" x14ac:dyDescent="0.25">
      <c r="B12" s="41" t="s">
        <v>273</v>
      </c>
      <c r="C12" s="91">
        <v>5.450665473937988</v>
      </c>
      <c r="D12" s="91">
        <v>19.51497459411621</v>
      </c>
      <c r="E12" s="91">
        <v>415.5217590332031</v>
      </c>
      <c r="F12" s="91">
        <v>0.2656953036785126</v>
      </c>
      <c r="G12" s="91">
        <v>0</v>
      </c>
      <c r="H12" s="92">
        <v>421.8229675292969</v>
      </c>
      <c r="I12" s="93">
        <v>17.064525604248047</v>
      </c>
      <c r="J12" s="91">
        <v>0.019716309383511543</v>
      </c>
      <c r="K12" s="91">
        <v>42.51301956176758</v>
      </c>
      <c r="L12" s="91">
        <v>1.3236943483352661</v>
      </c>
      <c r="M12" s="91">
        <v>104.77973937988281</v>
      </c>
      <c r="N12" s="91">
        <v>108.6226806640625</v>
      </c>
      <c r="O12" s="91">
        <v>20.261728286743164</v>
      </c>
      <c r="P12" s="91">
        <v>20.169921875</v>
      </c>
      <c r="Q12" s="91"/>
      <c r="R12" s="91">
        <v>2.78582763671875</v>
      </c>
      <c r="S12" s="91">
        <v>140.04629516601562</v>
      </c>
      <c r="T12" s="91">
        <v>1.5068178176879883</v>
      </c>
      <c r="U12" s="91">
        <v>0.2989075183868408</v>
      </c>
      <c r="V12" s="91">
        <v>0.2999843657016754</v>
      </c>
      <c r="W12" s="91">
        <v>90.5743637084961</v>
      </c>
      <c r="X12" s="91">
        <v>0.5290392637252808</v>
      </c>
      <c r="Y12" s="91" t="s">
        <v>82</v>
      </c>
      <c r="Z12" s="91">
        <v>0.7282986640930176</v>
      </c>
      <c r="AA12" s="91">
        <v>149.66000366210938</v>
      </c>
      <c r="AB12" s="91">
        <v>162.55062866210938</v>
      </c>
      <c r="AC12" s="91">
        <v>0.31756365299224854</v>
      </c>
      <c r="AD12" s="91">
        <v>154.3258056640625</v>
      </c>
      <c r="AE12" s="94"/>
      <c r="AF12" s="94"/>
      <c r="AG12" s="94"/>
      <c r="AH12" s="94"/>
      <c r="AI12" s="94"/>
      <c r="AJ12" s="94"/>
      <c r="AK12" s="94"/>
      <c r="AL12" s="91">
        <v>6.846787929534912</v>
      </c>
      <c r="AM12" s="95">
        <v>0.004712402354925871</v>
      </c>
      <c r="AN12" s="96">
        <v>47.96006774902344</v>
      </c>
      <c r="AO12" s="97"/>
      <c r="AP12" s="98">
        <v>-80.02025604248047</v>
      </c>
      <c r="AQ12" s="98">
        <v>0.29506656527519226</v>
      </c>
      <c r="AR12" s="99">
        <v>0.0002939453115686774</v>
      </c>
    </row>
    <row r="13" spans="2:47" ht="13.5" customHeight="1" x14ac:dyDescent="0.25">
      <c r="B13" s="14">
        <v>0.125</v>
      </c>
      <c r="C13" s="91">
        <v>6.456162929534912</v>
      </c>
      <c r="D13" s="91">
        <v>19.29253578186035</v>
      </c>
      <c r="E13" s="91">
        <v>415.1774597167969</v>
      </c>
      <c r="F13" s="91">
        <v>0.33644530177116394</v>
      </c>
      <c r="G13" s="91">
        <v>0</v>
      </c>
      <c r="H13" s="92">
        <v>420.83880615234375</v>
      </c>
      <c r="I13" s="93">
        <v>24.482784271240234</v>
      </c>
      <c r="J13" s="91">
        <v>0.020172851160168648</v>
      </c>
      <c r="K13" s="91">
        <v>44.343170166015625</v>
      </c>
      <c r="L13" s="91">
        <v>1.3979312181472778</v>
      </c>
      <c r="M13" s="91">
        <v>109.14714050292969</v>
      </c>
      <c r="N13" s="91">
        <v>113.65740203857422</v>
      </c>
      <c r="O13" s="91">
        <v>20.111204147338867</v>
      </c>
      <c r="P13" s="91">
        <v>20.166015625</v>
      </c>
      <c r="Q13" s="91"/>
      <c r="R13" s="91">
        <v>2.8052978515625</v>
      </c>
      <c r="S13" s="91">
        <v>140.11863708496094</v>
      </c>
      <c r="T13" s="91">
        <v>1.5084635019302368</v>
      </c>
      <c r="U13" s="91">
        <v>0.30005112290382385</v>
      </c>
      <c r="V13" s="91">
        <v>0.29985156655311584</v>
      </c>
      <c r="W13" s="91">
        <v>89.93778991699219</v>
      </c>
      <c r="X13" s="91">
        <v>0.5294017195701599</v>
      </c>
      <c r="Y13" s="91" t="s">
        <v>82</v>
      </c>
      <c r="Z13" s="91">
        <v>0.7293981909751892</v>
      </c>
      <c r="AA13" s="91">
        <v>149.25491333007812</v>
      </c>
      <c r="AB13" s="91">
        <v>162.68084716796875</v>
      </c>
      <c r="AC13" s="91">
        <v>0.34566694498062134</v>
      </c>
      <c r="AD13" s="91">
        <v>154.69473266601562</v>
      </c>
      <c r="AE13" s="94"/>
      <c r="AF13" s="94"/>
      <c r="AG13" s="94"/>
      <c r="AH13" s="94"/>
      <c r="AI13" s="94"/>
      <c r="AJ13" s="94"/>
      <c r="AK13" s="94"/>
      <c r="AL13" s="91">
        <v>7.725694179534912</v>
      </c>
      <c r="AM13" s="95">
        <v>0.003605957143008709</v>
      </c>
      <c r="AN13" s="96">
        <v>46.838829040527344</v>
      </c>
      <c r="AO13" s="97"/>
      <c r="AP13" s="98">
        <v>-80.0491943359375</v>
      </c>
      <c r="AQ13" s="98">
        <v>0.2951388955116272</v>
      </c>
      <c r="AR13" s="99">
        <v>0.00029325103969313204</v>
      </c>
    </row>
    <row r="14" spans="2:47" ht="13.5" customHeight="1" x14ac:dyDescent="0.25">
      <c r="B14" s="14">
        <v>0.16666666666666666</v>
      </c>
      <c r="C14" s="91">
        <v>5.345775604248047</v>
      </c>
      <c r="D14" s="91">
        <v>19.314237594604492</v>
      </c>
      <c r="E14" s="91">
        <v>414.9748840332031</v>
      </c>
      <c r="F14" s="91">
        <v>0.2670312523841858</v>
      </c>
      <c r="G14" s="91">
        <v>0</v>
      </c>
      <c r="H14" s="92">
        <v>419.967041015625</v>
      </c>
      <c r="I14" s="93">
        <v>22.457321166992188</v>
      </c>
      <c r="J14" s="91">
        <v>0.019496582448482513</v>
      </c>
      <c r="K14" s="91">
        <v>41.565391540527344</v>
      </c>
      <c r="L14" s="91">
        <v>1.2998228073120117</v>
      </c>
      <c r="M14" s="91">
        <v>108.50152587890625</v>
      </c>
      <c r="N14" s="91">
        <v>110.60474395751953</v>
      </c>
      <c r="O14" s="91">
        <v>20.135555267333984</v>
      </c>
      <c r="P14" s="91">
        <v>20.17822265625</v>
      </c>
      <c r="Q14" s="91"/>
      <c r="R14" s="91">
        <v>2.82464599609375</v>
      </c>
      <c r="S14" s="91">
        <v>139.89437866210938</v>
      </c>
      <c r="T14" s="91">
        <v>1.5030200481414795</v>
      </c>
      <c r="U14" s="91">
        <v>0.3001648783683777</v>
      </c>
      <c r="V14" s="91">
        <v>0.3001640737056732</v>
      </c>
      <c r="W14" s="91">
        <v>90.54542541503906</v>
      </c>
      <c r="X14" s="91">
        <v>0.5322904586791992</v>
      </c>
      <c r="Y14" s="91" t="s">
        <v>82</v>
      </c>
      <c r="Z14" s="91">
        <v>0.7314236164093018</v>
      </c>
      <c r="AA14" s="91">
        <v>149.25491333007812</v>
      </c>
      <c r="AB14" s="91">
        <v>162.0442657470703</v>
      </c>
      <c r="AC14" s="91">
        <v>0.3400607705116272</v>
      </c>
      <c r="AD14" s="91">
        <v>153.74710083007812</v>
      </c>
      <c r="AE14" s="94"/>
      <c r="AF14" s="94"/>
      <c r="AG14" s="94"/>
      <c r="AH14" s="94"/>
      <c r="AI14" s="94"/>
      <c r="AJ14" s="94"/>
      <c r="AK14" s="94"/>
      <c r="AL14" s="91">
        <v>24.49001693725586</v>
      </c>
      <c r="AM14" s="95">
        <v>0.010717284865677357</v>
      </c>
      <c r="AN14" s="96">
        <v>59.77647399902344</v>
      </c>
      <c r="AO14" s="97"/>
      <c r="AP14" s="98">
        <v>-80.0274887084961</v>
      </c>
      <c r="AQ14" s="98">
        <v>0.29159432649612427</v>
      </c>
      <c r="AR14" s="99">
        <v>0.0002952728245873004</v>
      </c>
    </row>
    <row r="15" spans="2:47" ht="13.5" customHeight="1" x14ac:dyDescent="0.25">
      <c r="B15" s="14">
        <v>0.20833333333333334</v>
      </c>
      <c r="C15" s="91">
        <v>6.405526638031006</v>
      </c>
      <c r="D15" s="91">
        <v>18.994140625</v>
      </c>
      <c r="E15" s="91">
        <v>415.8808288574219</v>
      </c>
      <c r="F15" s="91">
        <v>0.3363046944141388</v>
      </c>
      <c r="G15" s="91">
        <v>0</v>
      </c>
      <c r="H15" s="92">
        <v>419.43603515625</v>
      </c>
      <c r="I15" s="93">
        <v>22.10286521911621</v>
      </c>
      <c r="J15" s="91">
        <v>0.020214354619383812</v>
      </c>
      <c r="K15" s="91">
        <v>44.46614456176758</v>
      </c>
      <c r="L15" s="91">
        <v>1.405617117881775</v>
      </c>
      <c r="M15" s="91">
        <v>105.56098937988281</v>
      </c>
      <c r="N15" s="91">
        <v>107.94270324707031</v>
      </c>
      <c r="O15" s="91">
        <v>20.26229476928711</v>
      </c>
      <c r="P15" s="91">
        <v>20.166015625</v>
      </c>
      <c r="Q15" s="91"/>
      <c r="R15" s="91">
        <v>2.85040283203125</v>
      </c>
      <c r="S15" s="91">
        <v>140.1620330810547</v>
      </c>
      <c r="T15" s="91">
        <v>1.504539132118225</v>
      </c>
      <c r="U15" s="91">
        <v>0.30109941959381104</v>
      </c>
      <c r="V15" s="91">
        <v>0.2997968792915344</v>
      </c>
      <c r="W15" s="91">
        <v>90.79137420654297</v>
      </c>
      <c r="X15" s="91">
        <v>0.5301183462142944</v>
      </c>
      <c r="Y15" s="91" t="s">
        <v>82</v>
      </c>
      <c r="Z15" s="91">
        <v>0.7292824387550354</v>
      </c>
      <c r="AA15" s="91">
        <v>150.1012725830078</v>
      </c>
      <c r="AB15" s="91">
        <v>162.0659637451172</v>
      </c>
      <c r="AC15" s="91">
        <v>0.35409432649612427</v>
      </c>
      <c r="AD15" s="91">
        <v>153.6458282470703</v>
      </c>
      <c r="AE15" s="94"/>
      <c r="AF15" s="94"/>
      <c r="AG15" s="94"/>
      <c r="AH15" s="94"/>
      <c r="AI15" s="94"/>
      <c r="AJ15" s="94"/>
      <c r="AK15" s="94"/>
      <c r="AL15" s="91">
        <v>4.1919846534729</v>
      </c>
      <c r="AM15" s="95">
        <v>0.011640625074505806</v>
      </c>
      <c r="AN15" s="96">
        <v>56.528499603271484</v>
      </c>
      <c r="AO15" s="97"/>
      <c r="AP15" s="98">
        <v>-79.91175079345703</v>
      </c>
      <c r="AQ15" s="98">
        <v>0.30396410822868347</v>
      </c>
      <c r="AR15" s="99">
        <v>0.0002952575741801411</v>
      </c>
    </row>
    <row r="16" spans="2:47" ht="13.5" customHeight="1" x14ac:dyDescent="0.25">
      <c r="B16" s="14">
        <v>0.25</v>
      </c>
      <c r="C16" s="91">
        <v>5.425347328186035</v>
      </c>
      <c r="D16" s="91">
        <v>18.96701431274414</v>
      </c>
      <c r="E16" s="91">
        <v>415.7963562011719</v>
      </c>
      <c r="F16" s="91">
        <v>0.26606249809265137</v>
      </c>
      <c r="G16" s="91">
        <v>0</v>
      </c>
      <c r="H16" s="92">
        <v>419.41644287109375</v>
      </c>
      <c r="I16" s="93">
        <v>15.089698791503906</v>
      </c>
      <c r="J16" s="91">
        <v>0.0201572272926569</v>
      </c>
      <c r="K16" s="91">
        <v>44.74102783203125</v>
      </c>
      <c r="L16" s="91">
        <v>1.4216219186782837</v>
      </c>
      <c r="M16" s="91">
        <v>109.80903625488281</v>
      </c>
      <c r="N16" s="91">
        <v>111.83448791503906</v>
      </c>
      <c r="O16" s="91">
        <v>20.147504806518555</v>
      </c>
      <c r="P16" s="91">
        <v>20.16845703125</v>
      </c>
      <c r="Q16" s="91"/>
      <c r="R16" s="91">
        <v>2.8505859375</v>
      </c>
      <c r="S16" s="91">
        <v>140.0028839111328</v>
      </c>
      <c r="T16" s="91">
        <v>1.50390625</v>
      </c>
      <c r="U16" s="91">
        <v>0.29844459891319275</v>
      </c>
      <c r="V16" s="91">
        <v>0.2999218702316284</v>
      </c>
      <c r="W16" s="91">
        <v>90.3139419555664</v>
      </c>
      <c r="X16" s="91">
        <v>0.5323736071586609</v>
      </c>
      <c r="Y16" s="91" t="s">
        <v>82</v>
      </c>
      <c r="Z16" s="91">
        <v>0.7347222566604614</v>
      </c>
      <c r="AA16" s="91">
        <v>149.66000366210938</v>
      </c>
      <c r="AB16" s="91">
        <v>162.0081024169922</v>
      </c>
      <c r="AC16" s="91">
        <v>0.34443721175193787</v>
      </c>
      <c r="AD16" s="91">
        <v>153.81944274902344</v>
      </c>
      <c r="AE16" s="94"/>
      <c r="AF16" s="94"/>
      <c r="AG16" s="94"/>
      <c r="AH16" s="94"/>
      <c r="AI16" s="94"/>
      <c r="AJ16" s="94"/>
      <c r="AK16" s="94"/>
      <c r="AL16" s="91">
        <v>0</v>
      </c>
      <c r="AM16" s="95">
        <v>0.008156738243997097</v>
      </c>
      <c r="AN16" s="96">
        <v>55.866607666015625</v>
      </c>
      <c r="AO16" s="97"/>
      <c r="AP16" s="98">
        <v>-80.17939758300781</v>
      </c>
      <c r="AQ16" s="98">
        <v>0.29745370149612427</v>
      </c>
      <c r="AR16" s="99">
        <v>0.0002941741840913892</v>
      </c>
    </row>
    <row r="17" spans="2:44" ht="13.5" customHeight="1" x14ac:dyDescent="0.25">
      <c r="B17" s="14">
        <v>0.29166666666666669</v>
      </c>
      <c r="C17" s="91">
        <v>6.329571723937988</v>
      </c>
      <c r="D17" s="91">
        <v>18.76085090637207</v>
      </c>
      <c r="E17" s="91">
        <v>415.9457092285156</v>
      </c>
      <c r="F17" s="91">
        <v>0.3361484408378601</v>
      </c>
      <c r="G17" s="91">
        <v>0</v>
      </c>
      <c r="H17" s="92">
        <v>419.4669189453125</v>
      </c>
      <c r="I17" s="93">
        <v>23.01432228088379</v>
      </c>
      <c r="J17" s="91">
        <v>0.01995849609375</v>
      </c>
      <c r="K17" s="91">
        <v>44.3359375</v>
      </c>
      <c r="L17" s="91">
        <v>1.4001013040542603</v>
      </c>
      <c r="M17" s="91">
        <v>107.3459243774414</v>
      </c>
      <c r="N17" s="91">
        <v>110.44560241699219</v>
      </c>
      <c r="O17" s="91">
        <v>20.195026397705078</v>
      </c>
      <c r="P17" s="91">
        <v>20.17041015625</v>
      </c>
      <c r="Q17" s="91"/>
      <c r="R17" s="91">
        <v>2.7864990234375</v>
      </c>
      <c r="S17" s="91">
        <v>139.93055725097656</v>
      </c>
      <c r="T17" s="91">
        <v>1.5083369016647339</v>
      </c>
      <c r="U17" s="91">
        <v>0.3004632592201233</v>
      </c>
      <c r="V17" s="91">
        <v>0.2999531328678131</v>
      </c>
      <c r="W17" s="91">
        <v>90.40074920654297</v>
      </c>
      <c r="X17" s="91">
        <v>0.530911386013031</v>
      </c>
      <c r="Y17" s="91" t="s">
        <v>82</v>
      </c>
      <c r="Z17" s="91">
        <v>0.7254050970077515</v>
      </c>
      <c r="AA17" s="91">
        <v>148.86428833007812</v>
      </c>
      <c r="AB17" s="91">
        <v>162.10214233398438</v>
      </c>
      <c r="AC17" s="91">
        <v>0.34154370427131653</v>
      </c>
      <c r="AD17" s="91">
        <v>153.92071533203125</v>
      </c>
      <c r="AE17" s="94"/>
      <c r="AF17" s="94"/>
      <c r="AG17" s="94"/>
      <c r="AH17" s="94"/>
      <c r="AI17" s="94"/>
      <c r="AJ17" s="94"/>
      <c r="AK17" s="94"/>
      <c r="AL17" s="91">
        <v>11.9140625</v>
      </c>
      <c r="AM17" s="95">
        <v>0.007747070398181677</v>
      </c>
      <c r="AN17" s="96">
        <v>53.370948791503906</v>
      </c>
      <c r="AO17" s="97"/>
      <c r="AP17" s="98">
        <v>-79.73090362548828</v>
      </c>
      <c r="AQ17" s="98">
        <v>0.29311344027519226</v>
      </c>
      <c r="AR17" s="99">
        <v>0.0002936782839242369</v>
      </c>
    </row>
    <row r="18" spans="2:44" ht="13.5" customHeight="1" x14ac:dyDescent="0.25">
      <c r="B18" s="42">
        <v>0.33333333333333331</v>
      </c>
      <c r="C18" s="100"/>
      <c r="D18" s="100"/>
      <c r="E18" s="100"/>
      <c r="F18" s="100"/>
      <c r="G18" s="100"/>
      <c r="H18" s="101"/>
      <c r="I18" s="102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3"/>
      <c r="AF18" s="103"/>
      <c r="AG18" s="103"/>
      <c r="AH18" s="103"/>
      <c r="AI18" s="103"/>
      <c r="AJ18" s="103"/>
      <c r="AK18" s="103"/>
      <c r="AL18" s="100"/>
      <c r="AM18" s="104"/>
      <c r="AN18" s="105"/>
      <c r="AO18" s="97"/>
      <c r="AP18" s="98"/>
      <c r="AQ18" s="98"/>
      <c r="AR18" s="106"/>
    </row>
    <row r="19" spans="2:44" ht="18" customHeight="1" x14ac:dyDescent="0.25">
      <c r="B19" s="159" t="s">
        <v>181</v>
      </c>
      <c r="C19" s="36" t="s">
        <v>168</v>
      </c>
      <c r="D19" s="36" t="s">
        <v>171</v>
      </c>
      <c r="E19" s="174" t="s">
        <v>17</v>
      </c>
      <c r="F19" s="175"/>
      <c r="G19" s="176"/>
      <c r="H19" s="177" t="s">
        <v>108</v>
      </c>
      <c r="I19" s="175"/>
      <c r="J19" s="175"/>
      <c r="K19" s="175"/>
      <c r="L19" s="178"/>
      <c r="M19" s="179" t="s">
        <v>123</v>
      </c>
      <c r="N19" s="175"/>
      <c r="O19" s="175"/>
      <c r="P19" s="175"/>
      <c r="Q19" s="176"/>
      <c r="R19" s="177" t="s">
        <v>147</v>
      </c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6"/>
      <c r="AG19" s="180" t="s">
        <v>24</v>
      </c>
      <c r="AH19" s="176"/>
      <c r="AI19" s="156" t="s">
        <v>173</v>
      </c>
      <c r="AJ19" s="157"/>
      <c r="AK19" s="157"/>
      <c r="AL19" s="157"/>
      <c r="AM19" s="158"/>
      <c r="AN19" s="180" t="s">
        <v>47</v>
      </c>
      <c r="AO19" s="181"/>
      <c r="AP19" s="175" t="s">
        <v>180</v>
      </c>
      <c r="AQ19" s="182"/>
      <c r="AR19" s="183"/>
    </row>
    <row r="20" spans="2:44" ht="20.15" customHeight="1" x14ac:dyDescent="0.25">
      <c r="B20" s="160"/>
      <c r="C20" s="3" t="s">
        <v>169</v>
      </c>
      <c r="D20" s="3" t="s">
        <v>113</v>
      </c>
      <c r="E20" s="3" t="s">
        <v>15</v>
      </c>
      <c r="F20" s="154" t="s">
        <v>100</v>
      </c>
      <c r="G20" s="155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68" t="s">
        <v>148</v>
      </c>
      <c r="AE20" s="155"/>
      <c r="AF20" s="17" t="s">
        <v>151</v>
      </c>
      <c r="AG20" s="17" t="s">
        <v>153</v>
      </c>
      <c r="AH20" s="17" t="s">
        <v>155</v>
      </c>
      <c r="AI20" s="149" t="s">
        <v>89</v>
      </c>
      <c r="AJ20" s="150"/>
      <c r="AK20" s="149" t="s">
        <v>92</v>
      </c>
      <c r="AL20" s="150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60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91">
        <v>-79.78877258300781</v>
      </c>
      <c r="D22" s="91">
        <v>-80.51215362548828</v>
      </c>
      <c r="E22" s="91">
        <v>103.12861633300781</v>
      </c>
      <c r="F22" s="91">
        <v>0.10293692350387573</v>
      </c>
      <c r="G22" s="91"/>
      <c r="H22" s="91"/>
      <c r="I22" s="91"/>
      <c r="J22" s="91"/>
      <c r="K22" s="91"/>
      <c r="L22" s="92"/>
      <c r="M22" s="107">
        <v>77.54267883300781</v>
      </c>
      <c r="N22" s="91">
        <v>47.685184478759766</v>
      </c>
      <c r="O22" s="91">
        <v>39.5</v>
      </c>
      <c r="P22" s="91">
        <v>22</v>
      </c>
      <c r="Q22" s="91">
        <v>3.6002604961395264</v>
      </c>
      <c r="R22" s="91">
        <v>17.59982681274414</v>
      </c>
      <c r="S22" s="108">
        <v>90.41522216796875</v>
      </c>
      <c r="T22" s="108">
        <v>15</v>
      </c>
      <c r="U22" s="108">
        <v>0</v>
      </c>
      <c r="V22" s="108">
        <v>18.277996063232422</v>
      </c>
      <c r="W22" s="108">
        <v>42.08441925048828</v>
      </c>
      <c r="X22" s="108">
        <v>26.200000762939453</v>
      </c>
      <c r="Y22" s="108">
        <v>71.29955291748047</v>
      </c>
      <c r="Z22" s="108">
        <v>14.304831504821777</v>
      </c>
      <c r="AA22" s="108">
        <v>16.834854125976562</v>
      </c>
      <c r="AB22" s="108"/>
      <c r="AC22" s="95"/>
      <c r="AD22" s="95">
        <v>1.4219292402267456</v>
      </c>
      <c r="AE22" s="95"/>
      <c r="AF22" s="95">
        <v>21.36501693725586</v>
      </c>
      <c r="AG22" s="95">
        <v>24.356191635131836</v>
      </c>
      <c r="AH22" s="95"/>
      <c r="AI22" s="109"/>
      <c r="AJ22" s="109"/>
      <c r="AK22" s="109"/>
      <c r="AL22" s="109"/>
      <c r="AM22" s="109"/>
      <c r="AN22" s="95">
        <v>44.929107666015625</v>
      </c>
      <c r="AO22" s="96">
        <v>50</v>
      </c>
      <c r="AP22" s="97">
        <v>26.90972137451172</v>
      </c>
      <c r="AQ22" s="98">
        <v>39.6484375</v>
      </c>
      <c r="AR22" s="99">
        <v>0.09766387939453125</v>
      </c>
    </row>
    <row r="23" spans="2:44" ht="13.5" customHeight="1" x14ac:dyDescent="0.25">
      <c r="B23" s="14">
        <v>0.875</v>
      </c>
      <c r="C23" s="91">
        <v>-79.76707458496094</v>
      </c>
      <c r="D23" s="91">
        <v>-80.41088104248047</v>
      </c>
      <c r="E23" s="91">
        <v>103.13223266601562</v>
      </c>
      <c r="F23" s="91">
        <v>0.10076678544282913</v>
      </c>
      <c r="G23" s="91">
        <v>9.676360787125304E-05</v>
      </c>
      <c r="H23" s="91"/>
      <c r="I23" s="91"/>
      <c r="J23" s="91"/>
      <c r="K23" s="91"/>
      <c r="L23" s="92"/>
      <c r="M23" s="107">
        <v>77.67650604248047</v>
      </c>
      <c r="N23" s="91">
        <v>47.49710464477539</v>
      </c>
      <c r="O23" s="91">
        <v>39.5</v>
      </c>
      <c r="P23" s="91">
        <v>22</v>
      </c>
      <c r="Q23" s="91">
        <v>3.139756917953491</v>
      </c>
      <c r="R23" s="91">
        <v>18.5257511138916</v>
      </c>
      <c r="S23" s="108">
        <v>94.85676574707031</v>
      </c>
      <c r="T23" s="108">
        <v>15</v>
      </c>
      <c r="U23" s="108">
        <v>0</v>
      </c>
      <c r="V23" s="108">
        <v>18.31597328186035</v>
      </c>
      <c r="W23" s="108">
        <v>40.78776168823242</v>
      </c>
      <c r="X23" s="108">
        <v>26.200000762939453</v>
      </c>
      <c r="Y23" s="108">
        <v>70.22315979003906</v>
      </c>
      <c r="Z23" s="108">
        <v>14.615884780883789</v>
      </c>
      <c r="AA23" s="108">
        <v>17.838542938232422</v>
      </c>
      <c r="AB23" s="108"/>
      <c r="AC23" s="95"/>
      <c r="AD23" s="95">
        <v>1.5483940839767456</v>
      </c>
      <c r="AE23" s="95">
        <v>0.0014236450660973787</v>
      </c>
      <c r="AF23" s="95">
        <v>20.580150604248047</v>
      </c>
      <c r="AG23" s="95">
        <v>15.227141380310059</v>
      </c>
      <c r="AH23" s="95"/>
      <c r="AI23" s="109"/>
      <c r="AJ23" s="109"/>
      <c r="AK23" s="109"/>
      <c r="AL23" s="109"/>
      <c r="AM23" s="109"/>
      <c r="AN23" s="95">
        <v>52.16290283203125</v>
      </c>
      <c r="AO23" s="96">
        <v>50</v>
      </c>
      <c r="AP23" s="97">
        <v>26.538990020751953</v>
      </c>
      <c r="AQ23" s="98">
        <v>39.60503387451172</v>
      </c>
      <c r="AR23" s="99">
        <v>0.075958251953125</v>
      </c>
    </row>
    <row r="24" spans="2:44" ht="13.5" customHeight="1" x14ac:dyDescent="0.25">
      <c r="B24" s="41" t="s">
        <v>271</v>
      </c>
      <c r="C24" s="91">
        <v>-79.67303466796875</v>
      </c>
      <c r="D24" s="91">
        <v>-80.57002258300781</v>
      </c>
      <c r="E24" s="91">
        <v>103.12861633300781</v>
      </c>
      <c r="F24" s="91">
        <v>0.1019965261220932</v>
      </c>
      <c r="G24" s="91">
        <v>0.00010052871948573738</v>
      </c>
      <c r="H24" s="91"/>
      <c r="I24" s="91"/>
      <c r="J24" s="91"/>
      <c r="K24" s="91"/>
      <c r="L24" s="92"/>
      <c r="M24" s="107">
        <v>78.28775787353516</v>
      </c>
      <c r="N24" s="91">
        <v>47.31987762451172</v>
      </c>
      <c r="O24" s="91">
        <v>39.5</v>
      </c>
      <c r="P24" s="91">
        <v>22</v>
      </c>
      <c r="Q24" s="91">
        <v>3.442274332046509</v>
      </c>
      <c r="R24" s="91">
        <v>18.659576416015625</v>
      </c>
      <c r="S24" s="108">
        <v>94.03935241699219</v>
      </c>
      <c r="T24" s="108">
        <v>15</v>
      </c>
      <c r="U24" s="108">
        <v>0</v>
      </c>
      <c r="V24" s="108">
        <v>19.07552146911621</v>
      </c>
      <c r="W24" s="108">
        <v>39.680992126464844</v>
      </c>
      <c r="X24" s="108">
        <v>26.200000762939453</v>
      </c>
      <c r="Y24" s="108">
        <v>69.73542785644531</v>
      </c>
      <c r="Z24" s="108">
        <v>14.807580947875977</v>
      </c>
      <c r="AA24" s="108">
        <v>18.033855438232422</v>
      </c>
      <c r="AB24" s="108"/>
      <c r="AC24" s="95"/>
      <c r="AD24" s="95">
        <v>1.5483940839767456</v>
      </c>
      <c r="AE24" s="95">
        <v>0.0015445251483470201</v>
      </c>
      <c r="AF24" s="95">
        <v>21.14800262451172</v>
      </c>
      <c r="AG24" s="95">
        <v>13.360821723937988</v>
      </c>
      <c r="AH24" s="95"/>
      <c r="AI24" s="109"/>
      <c r="AJ24" s="109"/>
      <c r="AK24" s="109"/>
      <c r="AL24" s="109"/>
      <c r="AM24" s="109"/>
      <c r="AN24" s="95">
        <v>45.847801208496094</v>
      </c>
      <c r="AO24" s="96">
        <v>50</v>
      </c>
      <c r="AP24" s="97">
        <v>26.42144012451172</v>
      </c>
      <c r="AQ24" s="98">
        <v>39.47121047973633</v>
      </c>
      <c r="AR24" s="99">
        <v>0.0651092529296875</v>
      </c>
    </row>
    <row r="25" spans="2:44" ht="13.5" customHeight="1" x14ac:dyDescent="0.25">
      <c r="B25" s="14">
        <v>0.95833333333333337</v>
      </c>
      <c r="C25" s="91">
        <v>-79.99855041503906</v>
      </c>
      <c r="D25" s="91">
        <v>-80.96064758300781</v>
      </c>
      <c r="E25" s="91">
        <v>103.12861633300781</v>
      </c>
      <c r="F25" s="91">
        <v>0.10076678544282913</v>
      </c>
      <c r="G25" s="91">
        <v>8.550834900233895E-05</v>
      </c>
      <c r="H25" s="91"/>
      <c r="I25" s="91"/>
      <c r="J25" s="91"/>
      <c r="K25" s="91"/>
      <c r="L25" s="92"/>
      <c r="M25" s="107">
        <v>77.87181854248047</v>
      </c>
      <c r="N25" s="91">
        <v>47.48263931274414</v>
      </c>
      <c r="O25" s="91">
        <v>39.5</v>
      </c>
      <c r="P25" s="91">
        <v>22</v>
      </c>
      <c r="Q25" s="91">
        <v>3.305121660232544</v>
      </c>
      <c r="R25" s="91">
        <v>18.659576416015625</v>
      </c>
      <c r="S25" s="108">
        <v>92.8023681640625</v>
      </c>
      <c r="T25" s="108">
        <v>15</v>
      </c>
      <c r="U25" s="108">
        <v>0</v>
      </c>
      <c r="V25" s="108">
        <v>19.62348175048828</v>
      </c>
      <c r="W25" s="108">
        <v>39.013671875</v>
      </c>
      <c r="X25" s="108">
        <v>26.5</v>
      </c>
      <c r="Y25" s="108">
        <v>70.78378295898438</v>
      </c>
      <c r="Z25" s="108">
        <v>14.737051010131836</v>
      </c>
      <c r="AA25" s="108">
        <v>18.017578125</v>
      </c>
      <c r="AB25" s="108"/>
      <c r="AC25" s="95"/>
      <c r="AD25" s="95">
        <v>1.5483940839767456</v>
      </c>
      <c r="AE25" s="95">
        <v>0.0014210204826667905</v>
      </c>
      <c r="AF25" s="95">
        <v>20.786314010620117</v>
      </c>
      <c r="AG25" s="95">
        <v>16.012008666992188</v>
      </c>
      <c r="AH25" s="95"/>
      <c r="AI25" s="109"/>
      <c r="AJ25" s="109"/>
      <c r="AK25" s="109"/>
      <c r="AL25" s="109"/>
      <c r="AM25" s="109"/>
      <c r="AN25" s="95">
        <v>45.21122741699219</v>
      </c>
      <c r="AO25" s="96">
        <v>50</v>
      </c>
      <c r="AP25" s="97">
        <v>25.969327926635742</v>
      </c>
      <c r="AQ25" s="98">
        <v>42.58897399902344</v>
      </c>
      <c r="AR25" s="99">
        <v>0.0651092529296875</v>
      </c>
    </row>
    <row r="26" spans="2:44" ht="13.5" customHeight="1" x14ac:dyDescent="0.25">
      <c r="B26" s="41" t="s">
        <v>272</v>
      </c>
      <c r="C26" s="91">
        <v>-79.95515441894531</v>
      </c>
      <c r="D26" s="91">
        <v>-80.97511291503906</v>
      </c>
      <c r="E26" s="91">
        <v>103.13223266601562</v>
      </c>
      <c r="F26" s="91">
        <v>0.080078125</v>
      </c>
      <c r="G26" s="91">
        <v>9.213066368829459E-05</v>
      </c>
      <c r="H26" s="91"/>
      <c r="I26" s="91"/>
      <c r="J26" s="91"/>
      <c r="K26" s="91"/>
      <c r="L26" s="92"/>
      <c r="M26" s="107">
        <v>77.9767074584961</v>
      </c>
      <c r="N26" s="91">
        <v>47.272857666015625</v>
      </c>
      <c r="O26" s="91">
        <v>39.5</v>
      </c>
      <c r="P26" s="91">
        <v>22</v>
      </c>
      <c r="Q26" s="91">
        <v>3.2005207538604736</v>
      </c>
      <c r="R26" s="91">
        <v>19.003183364868164</v>
      </c>
      <c r="S26" s="108">
        <v>91.50752258300781</v>
      </c>
      <c r="T26" s="108">
        <v>15</v>
      </c>
      <c r="U26" s="108">
        <v>0</v>
      </c>
      <c r="V26" s="108">
        <v>27.441408157348633</v>
      </c>
      <c r="W26" s="108">
        <v>44.91102600097656</v>
      </c>
      <c r="X26" s="108">
        <v>26.5</v>
      </c>
      <c r="Y26" s="108">
        <v>70.50907897949219</v>
      </c>
      <c r="Z26" s="108">
        <v>14.73524284362793</v>
      </c>
      <c r="AA26" s="108">
        <v>18.28342056274414</v>
      </c>
      <c r="AB26" s="108"/>
      <c r="AC26" s="95"/>
      <c r="AD26" s="95">
        <v>1.5482856035232544</v>
      </c>
      <c r="AE26" s="95">
        <v>0.0013270874042063951</v>
      </c>
      <c r="AF26" s="95">
        <v>22.02690887451172</v>
      </c>
      <c r="AG26" s="95">
        <v>12.08767318725586</v>
      </c>
      <c r="AH26" s="95"/>
      <c r="AI26" s="109"/>
      <c r="AJ26" s="109"/>
      <c r="AK26" s="109"/>
      <c r="AL26" s="109"/>
      <c r="AM26" s="109"/>
      <c r="AN26" s="95">
        <v>52.510128021240234</v>
      </c>
      <c r="AO26" s="96">
        <v>50</v>
      </c>
      <c r="AP26" s="97">
        <v>26.06879425048828</v>
      </c>
      <c r="AQ26" s="98">
        <v>40.458621978759766</v>
      </c>
      <c r="AR26" s="99">
        <v>0.0868072509765625</v>
      </c>
    </row>
    <row r="27" spans="2:44" ht="13.5" customHeight="1" x14ac:dyDescent="0.25">
      <c r="B27" s="14">
        <v>4.1666666666666664E-2</v>
      </c>
      <c r="C27" s="91">
        <v>-79.96961975097656</v>
      </c>
      <c r="D27" s="91">
        <v>-80.96064758300781</v>
      </c>
      <c r="E27" s="91">
        <v>103.12861633300781</v>
      </c>
      <c r="F27" s="91">
        <v>0.0787760391831398</v>
      </c>
      <c r="G27" s="91">
        <v>8.792495646048337E-05</v>
      </c>
      <c r="H27" s="91"/>
      <c r="I27" s="91"/>
      <c r="J27" s="91"/>
      <c r="K27" s="91"/>
      <c r="L27" s="92"/>
      <c r="M27" s="107">
        <v>78.54093933105469</v>
      </c>
      <c r="N27" s="91">
        <v>47.47540283203125</v>
      </c>
      <c r="O27" s="91">
        <v>39.5</v>
      </c>
      <c r="P27" s="91">
        <v>22</v>
      </c>
      <c r="Q27" s="91">
        <v>3.3025174140930176</v>
      </c>
      <c r="R27" s="91">
        <v>18.99956512451172</v>
      </c>
      <c r="S27" s="108">
        <v>92.67578125</v>
      </c>
      <c r="T27" s="108">
        <v>15</v>
      </c>
      <c r="U27" s="108">
        <v>0</v>
      </c>
      <c r="V27" s="108">
        <v>29.42708396911621</v>
      </c>
      <c r="W27" s="108">
        <v>45.708553314208984</v>
      </c>
      <c r="X27" s="108">
        <v>26.5</v>
      </c>
      <c r="Y27" s="108">
        <v>70.71650695800781</v>
      </c>
      <c r="Z27" s="108">
        <v>14.650245666503906</v>
      </c>
      <c r="AA27" s="108">
        <v>18.38107681274414</v>
      </c>
      <c r="AB27" s="108"/>
      <c r="AC27" s="95"/>
      <c r="AD27" s="95">
        <v>1.54833984375</v>
      </c>
      <c r="AE27" s="95">
        <v>0.0015059509314596653</v>
      </c>
      <c r="AF27" s="95">
        <v>21.936487197875977</v>
      </c>
      <c r="AG27" s="95">
        <v>13.299334526062012</v>
      </c>
      <c r="AH27" s="95"/>
      <c r="AI27" s="109"/>
      <c r="AJ27" s="109"/>
      <c r="AK27" s="109"/>
      <c r="AL27" s="109"/>
      <c r="AM27" s="109"/>
      <c r="AN27" s="95">
        <v>51.46122741699219</v>
      </c>
      <c r="AO27" s="96">
        <v>50</v>
      </c>
      <c r="AP27" s="97">
        <v>25.79752540588379</v>
      </c>
      <c r="AQ27" s="98">
        <v>40.45500564575195</v>
      </c>
      <c r="AR27" s="99">
        <v>0.075958251953125</v>
      </c>
    </row>
    <row r="28" spans="2:44" ht="13.5" customHeight="1" x14ac:dyDescent="0.25">
      <c r="B28" s="41" t="s">
        <v>273</v>
      </c>
      <c r="C28" s="91">
        <v>-80.02025604248047</v>
      </c>
      <c r="D28" s="91">
        <v>-80.94618225097656</v>
      </c>
      <c r="E28" s="91">
        <v>103.125</v>
      </c>
      <c r="F28" s="91">
        <v>0.07863136380910873</v>
      </c>
      <c r="G28" s="91">
        <v>8.807372796582058E-05</v>
      </c>
      <c r="H28" s="91"/>
      <c r="I28" s="91"/>
      <c r="J28" s="91"/>
      <c r="K28" s="91"/>
      <c r="L28" s="92"/>
      <c r="M28" s="107">
        <v>78.42881774902344</v>
      </c>
      <c r="N28" s="91">
        <v>47.26924133300781</v>
      </c>
      <c r="O28" s="91">
        <v>39.5</v>
      </c>
      <c r="P28" s="91">
        <v>22</v>
      </c>
      <c r="Q28" s="91">
        <v>3.25</v>
      </c>
      <c r="R28" s="91">
        <v>19.003183364868164</v>
      </c>
      <c r="S28" s="108">
        <v>91.61602783203125</v>
      </c>
      <c r="T28" s="108">
        <v>15</v>
      </c>
      <c r="U28" s="108">
        <v>0</v>
      </c>
      <c r="V28" s="108">
        <v>29.24262237548828</v>
      </c>
      <c r="W28" s="108">
        <v>45.03580856323242</v>
      </c>
      <c r="X28" s="108">
        <v>26.5</v>
      </c>
      <c r="Y28" s="108">
        <v>70.24559020996094</v>
      </c>
      <c r="Z28" s="108">
        <v>14.178240776062012</v>
      </c>
      <c r="AA28" s="108">
        <v>18.29427146911621</v>
      </c>
      <c r="AB28" s="108"/>
      <c r="AC28" s="95"/>
      <c r="AD28" s="95">
        <v>1.54833984375</v>
      </c>
      <c r="AE28" s="95">
        <v>0.0012202758807688951</v>
      </c>
      <c r="AF28" s="95">
        <v>21.900318145751953</v>
      </c>
      <c r="AG28" s="95">
        <v>17.907262802124023</v>
      </c>
      <c r="AH28" s="95"/>
      <c r="AI28" s="109"/>
      <c r="AJ28" s="109"/>
      <c r="AK28" s="109"/>
      <c r="AL28" s="109"/>
      <c r="AM28" s="109"/>
      <c r="AN28" s="95">
        <v>48.76301956176758</v>
      </c>
      <c r="AO28" s="96">
        <v>50</v>
      </c>
      <c r="AP28" s="97">
        <v>25.137441635131836</v>
      </c>
      <c r="AQ28" s="98">
        <v>40.31032943725586</v>
      </c>
      <c r="AR28" s="99">
        <v>0.09766387939453125</v>
      </c>
    </row>
    <row r="29" spans="2:44" ht="13.5" customHeight="1" x14ac:dyDescent="0.25">
      <c r="B29" s="14">
        <v>0.125</v>
      </c>
      <c r="C29" s="91">
        <v>-80.0491943359375</v>
      </c>
      <c r="D29" s="91">
        <v>-81.0257568359375</v>
      </c>
      <c r="E29" s="91">
        <v>103.125</v>
      </c>
      <c r="F29" s="91">
        <v>0.09686053544282913</v>
      </c>
      <c r="G29" s="91">
        <v>8.776092727202922E-05</v>
      </c>
      <c r="H29" s="91"/>
      <c r="I29" s="91"/>
      <c r="J29" s="91"/>
      <c r="K29" s="91"/>
      <c r="L29" s="92"/>
      <c r="M29" s="107">
        <v>77.7850112915039</v>
      </c>
      <c r="N29" s="91">
        <v>47.39583206176758</v>
      </c>
      <c r="O29" s="91">
        <v>39.5</v>
      </c>
      <c r="P29" s="91">
        <v>22</v>
      </c>
      <c r="Q29" s="91">
        <v>3.4353299140930176</v>
      </c>
      <c r="R29" s="91">
        <v>19.100839614868164</v>
      </c>
      <c r="S29" s="108">
        <v>93.99956512451172</v>
      </c>
      <c r="T29" s="108">
        <v>15</v>
      </c>
      <c r="U29" s="108">
        <v>0</v>
      </c>
      <c r="V29" s="108">
        <v>28.602432250976562</v>
      </c>
      <c r="W29" s="108">
        <v>43.804256439208984</v>
      </c>
      <c r="X29" s="108">
        <v>26.5</v>
      </c>
      <c r="Y29" s="108">
        <v>69.88679504394531</v>
      </c>
      <c r="Z29" s="108">
        <v>14.212600708007812</v>
      </c>
      <c r="AA29" s="108">
        <v>18.53841209411621</v>
      </c>
      <c r="AB29" s="108"/>
      <c r="AC29" s="95"/>
      <c r="AD29" s="95">
        <v>1.54833984375</v>
      </c>
      <c r="AE29" s="95">
        <v>0.0015400390839204192</v>
      </c>
      <c r="AF29" s="95">
        <v>22.591144561767578</v>
      </c>
      <c r="AG29" s="95">
        <v>13.48741340637207</v>
      </c>
      <c r="AH29" s="95"/>
      <c r="AI29" s="109"/>
      <c r="AJ29" s="109"/>
      <c r="AK29" s="109"/>
      <c r="AL29" s="109"/>
      <c r="AM29" s="109"/>
      <c r="AN29" s="95">
        <v>46.69415283203125</v>
      </c>
      <c r="AO29" s="96">
        <v>50</v>
      </c>
      <c r="AP29" s="97">
        <v>25.074146270751953</v>
      </c>
      <c r="AQ29" s="98">
        <v>39.793113708496094</v>
      </c>
      <c r="AR29" s="99">
        <v>0.09766387939453125</v>
      </c>
    </row>
    <row r="30" spans="2:44" ht="13.5" customHeight="1" x14ac:dyDescent="0.25">
      <c r="B30" s="14">
        <v>0.16666666666666666</v>
      </c>
      <c r="C30" s="91">
        <v>-80.0274887084961</v>
      </c>
      <c r="D30" s="91">
        <v>-80.98234558105469</v>
      </c>
      <c r="E30" s="91">
        <v>103.125</v>
      </c>
      <c r="F30" s="91">
        <v>0.0846354141831398</v>
      </c>
      <c r="G30" s="91">
        <v>9.586715896148235E-05</v>
      </c>
      <c r="H30" s="91"/>
      <c r="I30" s="91"/>
      <c r="J30" s="91"/>
      <c r="K30" s="91"/>
      <c r="L30" s="92"/>
      <c r="M30" s="107">
        <v>77.88990020751953</v>
      </c>
      <c r="N30" s="91">
        <v>47.19328689575195</v>
      </c>
      <c r="O30" s="91">
        <v>39.5</v>
      </c>
      <c r="P30" s="91">
        <v>22</v>
      </c>
      <c r="Q30" s="91">
        <v>3.463975667953491</v>
      </c>
      <c r="R30" s="91">
        <v>19.270832061767578</v>
      </c>
      <c r="S30" s="108">
        <v>91.78602600097656</v>
      </c>
      <c r="T30" s="108">
        <v>15</v>
      </c>
      <c r="U30" s="108">
        <v>0</v>
      </c>
      <c r="V30" s="108">
        <v>29.687501907348633</v>
      </c>
      <c r="W30" s="108">
        <v>46.120880126953125</v>
      </c>
      <c r="X30" s="108">
        <v>26.5</v>
      </c>
      <c r="Y30" s="108">
        <v>70.97999572753906</v>
      </c>
      <c r="Z30" s="108">
        <v>14.143879890441895</v>
      </c>
      <c r="AA30" s="108">
        <v>18.603515625</v>
      </c>
      <c r="AB30" s="108"/>
      <c r="AC30" s="95"/>
      <c r="AD30" s="95">
        <v>1.5482856035232544</v>
      </c>
      <c r="AE30" s="95">
        <v>0.0014313049614429474</v>
      </c>
      <c r="AF30" s="95">
        <v>22.377748489379883</v>
      </c>
      <c r="AG30" s="95">
        <v>11.396845817565918</v>
      </c>
      <c r="AH30" s="95"/>
      <c r="AI30" s="109"/>
      <c r="AJ30" s="109"/>
      <c r="AK30" s="109"/>
      <c r="AL30" s="109"/>
      <c r="AM30" s="109"/>
      <c r="AN30" s="95">
        <v>50.441261291503906</v>
      </c>
      <c r="AO30" s="96">
        <v>50</v>
      </c>
      <c r="AP30" s="97">
        <v>25.083189010620117</v>
      </c>
      <c r="AQ30" s="98">
        <v>39.709922790527344</v>
      </c>
      <c r="AR30" s="99">
        <v>0.075958251953125</v>
      </c>
    </row>
    <row r="31" spans="2:44" ht="13.5" customHeight="1" x14ac:dyDescent="0.25">
      <c r="B31" s="14">
        <v>0.20833333333333334</v>
      </c>
      <c r="C31" s="91">
        <v>-79.91175079345703</v>
      </c>
      <c r="D31" s="91">
        <v>-80.88107299804688</v>
      </c>
      <c r="E31" s="91">
        <v>103.12861633300781</v>
      </c>
      <c r="F31" s="91">
        <v>0.0948350727558136</v>
      </c>
      <c r="G31" s="91">
        <v>8.481597615173087E-05</v>
      </c>
      <c r="H31" s="91"/>
      <c r="I31" s="91"/>
      <c r="J31" s="91"/>
      <c r="K31" s="91"/>
      <c r="L31" s="92"/>
      <c r="M31" s="107">
        <v>77.69458770751953</v>
      </c>
      <c r="N31" s="91">
        <v>47.272857666015625</v>
      </c>
      <c r="O31" s="91">
        <v>39.5</v>
      </c>
      <c r="P31" s="91">
        <v>22</v>
      </c>
      <c r="Q31" s="91">
        <v>3.0646700859069824</v>
      </c>
      <c r="R31" s="91">
        <v>19.270832061767578</v>
      </c>
      <c r="S31" s="108">
        <v>90.7986068725586</v>
      </c>
      <c r="T31" s="108">
        <v>15</v>
      </c>
      <c r="U31" s="108">
        <v>0</v>
      </c>
      <c r="V31" s="108">
        <v>32.497833251953125</v>
      </c>
      <c r="W31" s="108">
        <v>45.979820251464844</v>
      </c>
      <c r="X31" s="108">
        <v>26.5</v>
      </c>
      <c r="Y31" s="108">
        <v>70.5987777709961</v>
      </c>
      <c r="Z31" s="108">
        <v>14.022713661193848</v>
      </c>
      <c r="AA31" s="108">
        <v>18.701171875</v>
      </c>
      <c r="AB31" s="108"/>
      <c r="AC31" s="95"/>
      <c r="AD31" s="95">
        <v>0</v>
      </c>
      <c r="AE31" s="95">
        <v>0.0014987792819738388</v>
      </c>
      <c r="AF31" s="95">
        <v>21.976272583007812</v>
      </c>
      <c r="AG31" s="95">
        <v>49.19343185424805</v>
      </c>
      <c r="AH31" s="95"/>
      <c r="AI31" s="109"/>
      <c r="AJ31" s="109"/>
      <c r="AK31" s="109"/>
      <c r="AL31" s="109"/>
      <c r="AM31" s="109"/>
      <c r="AN31" s="95">
        <v>50.32551956176758</v>
      </c>
      <c r="AO31" s="96">
        <v>50</v>
      </c>
      <c r="AP31" s="97">
        <v>24.513526916503906</v>
      </c>
      <c r="AQ31" s="98">
        <v>39.56524658203125</v>
      </c>
      <c r="AR31" s="99">
        <v>0.0868072509765625</v>
      </c>
    </row>
    <row r="32" spans="2:44" ht="13.5" customHeight="1" x14ac:dyDescent="0.25">
      <c r="B32" s="14">
        <v>0.25</v>
      </c>
      <c r="C32" s="91">
        <v>-80.17939758300781</v>
      </c>
      <c r="D32" s="91">
        <v>-81.13426208496094</v>
      </c>
      <c r="E32" s="91">
        <v>103.125</v>
      </c>
      <c r="F32" s="91">
        <v>0.0835503488779068</v>
      </c>
      <c r="G32" s="91">
        <v>9.086990030482411E-05</v>
      </c>
      <c r="H32" s="91"/>
      <c r="I32" s="91"/>
      <c r="J32" s="91"/>
      <c r="K32" s="91"/>
      <c r="L32" s="92"/>
      <c r="M32" s="107">
        <v>77.67650604248047</v>
      </c>
      <c r="N32" s="91">
        <v>47.19328689575195</v>
      </c>
      <c r="O32" s="91">
        <v>39.5</v>
      </c>
      <c r="P32" s="91">
        <v>22</v>
      </c>
      <c r="Q32" s="91">
        <v>3.487847328186035</v>
      </c>
      <c r="R32" s="91">
        <v>19.41189193725586</v>
      </c>
      <c r="S32" s="108">
        <v>91.5328369140625</v>
      </c>
      <c r="T32" s="108">
        <v>15</v>
      </c>
      <c r="U32" s="108">
        <v>0</v>
      </c>
      <c r="V32" s="108">
        <v>32.44357681274414</v>
      </c>
      <c r="W32" s="108">
        <v>44.59635543823242</v>
      </c>
      <c r="X32" s="108">
        <v>27</v>
      </c>
      <c r="Y32" s="108">
        <v>71.81532287597656</v>
      </c>
      <c r="Z32" s="108">
        <v>14.046223640441895</v>
      </c>
      <c r="AA32" s="108">
        <v>18.91818618774414</v>
      </c>
      <c r="AB32" s="108"/>
      <c r="AC32" s="95"/>
      <c r="AD32" s="95">
        <v>1.5482856035232544</v>
      </c>
      <c r="AE32" s="95">
        <v>0.0012828673934563994</v>
      </c>
      <c r="AF32" s="95">
        <v>22.92751693725586</v>
      </c>
      <c r="AG32" s="95">
        <v>14.33376693725586</v>
      </c>
      <c r="AH32" s="95"/>
      <c r="AI32" s="109"/>
      <c r="AJ32" s="109"/>
      <c r="AK32" s="109"/>
      <c r="AL32" s="109"/>
      <c r="AM32" s="109"/>
      <c r="AN32" s="95">
        <v>47.71411895751953</v>
      </c>
      <c r="AO32" s="96">
        <v>50</v>
      </c>
      <c r="AP32" s="97">
        <v>23.781105041503906</v>
      </c>
      <c r="AQ32" s="98">
        <v>39.340999603271484</v>
      </c>
      <c r="AR32" s="99">
        <v>0.075958251953125</v>
      </c>
    </row>
    <row r="33" spans="2:44" ht="13.5" customHeight="1" x14ac:dyDescent="0.25">
      <c r="B33" s="14">
        <v>0.29166666666666669</v>
      </c>
      <c r="C33" s="91">
        <v>-79.73090362548828</v>
      </c>
      <c r="D33" s="91">
        <v>-80.8304443359375</v>
      </c>
      <c r="E33" s="91">
        <v>103.125</v>
      </c>
      <c r="F33" s="91">
        <v>0.09903067350387573</v>
      </c>
      <c r="G33" s="91">
        <v>9.3797680165153E-05</v>
      </c>
      <c r="H33" s="91"/>
      <c r="I33" s="91"/>
      <c r="J33" s="91"/>
      <c r="K33" s="91"/>
      <c r="L33" s="92"/>
      <c r="M33" s="107">
        <v>78.22627258300781</v>
      </c>
      <c r="N33" s="91">
        <v>47.50434112548828</v>
      </c>
      <c r="O33" s="91">
        <v>39.5</v>
      </c>
      <c r="P33" s="91">
        <v>22</v>
      </c>
      <c r="Q33" s="91">
        <v>3.3263888359069824</v>
      </c>
      <c r="R33" s="91">
        <v>19.42274284362793</v>
      </c>
      <c r="S33" s="108">
        <v>93.88744354248047</v>
      </c>
      <c r="T33" s="108">
        <v>15</v>
      </c>
      <c r="U33" s="108">
        <v>0</v>
      </c>
      <c r="V33" s="108">
        <v>31.250001907348633</v>
      </c>
      <c r="W33" s="108">
        <v>43.142364501953125</v>
      </c>
      <c r="X33" s="108">
        <v>27</v>
      </c>
      <c r="Y33" s="108">
        <v>71.25469970703125</v>
      </c>
      <c r="Z33" s="108">
        <v>13.831018447875977</v>
      </c>
      <c r="AA33" s="108">
        <v>18.798828125</v>
      </c>
      <c r="AB33" s="108"/>
      <c r="AC33" s="95"/>
      <c r="AD33" s="95">
        <v>1.5482856035232544</v>
      </c>
      <c r="AE33" s="95">
        <v>0.0015376892406493425</v>
      </c>
      <c r="AF33" s="95">
        <v>21.860532760620117</v>
      </c>
      <c r="AG33" s="95">
        <v>12.373408317565918</v>
      </c>
      <c r="AH33" s="95"/>
      <c r="AI33" s="109"/>
      <c r="AJ33" s="109"/>
      <c r="AK33" s="109"/>
      <c r="AL33" s="109"/>
      <c r="AM33" s="109"/>
      <c r="AN33" s="95">
        <v>45.298030853271484</v>
      </c>
      <c r="AO33" s="96">
        <v>50</v>
      </c>
      <c r="AP33" s="97">
        <v>23.500795364379883</v>
      </c>
      <c r="AQ33" s="98">
        <v>39.40972137451172</v>
      </c>
      <c r="AR33" s="99">
        <v>0.0868072509765625</v>
      </c>
    </row>
    <row r="34" spans="2:44" ht="13.5" customHeight="1" x14ac:dyDescent="0.25">
      <c r="B34" s="42">
        <v>0.33333333333333331</v>
      </c>
      <c r="C34" s="100"/>
      <c r="D34" s="100"/>
      <c r="E34" s="100"/>
      <c r="F34" s="100"/>
      <c r="G34" s="100"/>
      <c r="H34" s="100"/>
      <c r="I34" s="100"/>
      <c r="J34" s="100"/>
      <c r="K34" s="100"/>
      <c r="L34" s="101"/>
      <c r="M34" s="110"/>
      <c r="N34" s="100"/>
      <c r="O34" s="100"/>
      <c r="P34" s="100"/>
      <c r="Q34" s="100"/>
      <c r="R34" s="100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04"/>
      <c r="AD34" s="104"/>
      <c r="AE34" s="104"/>
      <c r="AF34" s="104"/>
      <c r="AG34" s="104"/>
      <c r="AH34" s="104"/>
      <c r="AI34" s="112"/>
      <c r="AJ34" s="112"/>
      <c r="AK34" s="112"/>
      <c r="AL34" s="112"/>
      <c r="AM34" s="112"/>
      <c r="AN34" s="104"/>
      <c r="AO34" s="105"/>
      <c r="AP34" s="113"/>
      <c r="AQ34" s="114"/>
      <c r="AR34" s="115"/>
    </row>
    <row r="35" spans="2:44" ht="15" customHeight="1" x14ac:dyDescent="0.25">
      <c r="B35" s="173" t="s">
        <v>181</v>
      </c>
      <c r="C35" s="174" t="s">
        <v>38</v>
      </c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4" t="s">
        <v>216</v>
      </c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6"/>
      <c r="AK35" s="180" t="s">
        <v>48</v>
      </c>
      <c r="AL35" s="178"/>
      <c r="AM35" s="207" t="s">
        <v>223</v>
      </c>
      <c r="AN35" s="208"/>
      <c r="AO35" s="43"/>
      <c r="AP35" s="43"/>
      <c r="AQ35" s="43"/>
      <c r="AR35" s="44"/>
    </row>
    <row r="36" spans="2:44" ht="20.15" customHeight="1" x14ac:dyDescent="0.25">
      <c r="B36" s="160"/>
      <c r="C36" s="154" t="s">
        <v>32</v>
      </c>
      <c r="D36" s="186"/>
      <c r="E36" s="154" t="s">
        <v>33</v>
      </c>
      <c r="F36" s="215"/>
      <c r="G36" s="186"/>
      <c r="H36" s="209" t="s">
        <v>276</v>
      </c>
      <c r="I36" s="210"/>
      <c r="J36" s="4" t="s">
        <v>27</v>
      </c>
      <c r="K36" s="4" t="s">
        <v>30</v>
      </c>
      <c r="L36" s="4" t="s">
        <v>191</v>
      </c>
      <c r="M36" s="211" t="s">
        <v>192</v>
      </c>
      <c r="N36" s="212"/>
      <c r="O36" s="4" t="s">
        <v>26</v>
      </c>
      <c r="P36" s="4" t="s">
        <v>197</v>
      </c>
      <c r="Q36" s="154" t="s">
        <v>199</v>
      </c>
      <c r="R36" s="216"/>
      <c r="S36" s="154" t="s">
        <v>202</v>
      </c>
      <c r="T36" s="216"/>
      <c r="U36" s="154" t="s">
        <v>201</v>
      </c>
      <c r="V36" s="213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68" t="s">
        <v>46</v>
      </c>
      <c r="AI36" s="214"/>
      <c r="AJ36" s="155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60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60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409</v>
      </c>
      <c r="N38" s="1" t="s">
        <v>410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87">
        <v>0</v>
      </c>
      <c r="D39" s="87"/>
      <c r="E39" s="87">
        <v>38.37528991699219</v>
      </c>
      <c r="F39" s="87"/>
      <c r="G39" s="87"/>
      <c r="H39" s="87">
        <v>0</v>
      </c>
      <c r="I39" s="87"/>
      <c r="J39" s="87">
        <v>26.593242645263672</v>
      </c>
      <c r="K39" s="87">
        <v>40</v>
      </c>
      <c r="L39" s="87">
        <v>49.85894012451172</v>
      </c>
      <c r="M39" s="87">
        <v>0</v>
      </c>
      <c r="N39" s="87"/>
      <c r="O39" s="87">
        <v>29.531972885131836</v>
      </c>
      <c r="P39" s="87">
        <v>0.05000000074505806</v>
      </c>
      <c r="Q39" s="87">
        <v>0.22128182649612427</v>
      </c>
      <c r="R39" s="87"/>
      <c r="S39" s="87">
        <v>0</v>
      </c>
      <c r="T39" s="87"/>
      <c r="U39" s="88">
        <v>0</v>
      </c>
      <c r="V39" s="89"/>
      <c r="W39" s="90">
        <v>97.7032699584961</v>
      </c>
      <c r="X39" s="88">
        <v>19.122539520263672</v>
      </c>
      <c r="Y39" s="88">
        <v>50</v>
      </c>
      <c r="Z39" s="88">
        <v>123.8758773803711</v>
      </c>
      <c r="AA39" s="88">
        <v>18.277996063232422</v>
      </c>
      <c r="AB39" s="88">
        <v>42.08441925048828</v>
      </c>
      <c r="AC39" s="88">
        <v>50</v>
      </c>
      <c r="AD39" s="88">
        <v>0</v>
      </c>
      <c r="AE39" s="79">
        <v>14.304831504821777</v>
      </c>
      <c r="AF39" s="79">
        <v>16.834854125976562</v>
      </c>
      <c r="AG39" s="79"/>
      <c r="AH39" s="79">
        <v>0</v>
      </c>
      <c r="AI39" s="79">
        <v>0</v>
      </c>
      <c r="AJ39" s="79"/>
      <c r="AK39" s="79">
        <v>91.08795928955078</v>
      </c>
      <c r="AL39" s="81">
        <v>35.67997741699219</v>
      </c>
      <c r="AM39" s="83"/>
      <c r="AN39" s="80"/>
      <c r="AO39" s="79"/>
      <c r="AP39" s="79"/>
      <c r="AQ39" s="79"/>
      <c r="AR39" s="82"/>
    </row>
    <row r="40" spans="2:44" ht="13.5" customHeight="1" x14ac:dyDescent="0.25">
      <c r="B40" s="14">
        <v>0.875</v>
      </c>
      <c r="C40" s="91">
        <v>0</v>
      </c>
      <c r="D40" s="91">
        <v>9.226798880490605E-08</v>
      </c>
      <c r="E40" s="91">
        <v>47.19328689575195</v>
      </c>
      <c r="F40" s="91"/>
      <c r="G40" s="91"/>
      <c r="H40" s="91">
        <v>0</v>
      </c>
      <c r="I40" s="91">
        <v>0</v>
      </c>
      <c r="J40" s="91">
        <v>26.69270896911621</v>
      </c>
      <c r="K40" s="91">
        <v>40</v>
      </c>
      <c r="L40" s="91">
        <v>50.42860412597656</v>
      </c>
      <c r="M40" s="91">
        <v>0</v>
      </c>
      <c r="N40" s="91">
        <v>0</v>
      </c>
      <c r="O40" s="91">
        <v>29.40538215637207</v>
      </c>
      <c r="P40" s="91">
        <v>0.05000000074505806</v>
      </c>
      <c r="Q40" s="91">
        <v>0.2220052033662796</v>
      </c>
      <c r="R40" s="91">
        <v>0.00021212005231063813</v>
      </c>
      <c r="S40" s="91">
        <v>0</v>
      </c>
      <c r="T40" s="91">
        <v>0</v>
      </c>
      <c r="U40" s="108">
        <v>0</v>
      </c>
      <c r="V40" s="116">
        <v>0</v>
      </c>
      <c r="W40" s="117">
        <v>93.88382720947266</v>
      </c>
      <c r="X40" s="108">
        <v>19.01041603088379</v>
      </c>
      <c r="Y40" s="108">
        <v>40</v>
      </c>
      <c r="Z40" s="108">
        <v>102.51302337646484</v>
      </c>
      <c r="AA40" s="108">
        <v>18.31597328186035</v>
      </c>
      <c r="AB40" s="108">
        <v>40.78776168823242</v>
      </c>
      <c r="AC40" s="108">
        <v>40</v>
      </c>
      <c r="AD40" s="108">
        <v>105.47309875488281</v>
      </c>
      <c r="AE40" s="95">
        <v>14.615884780883789</v>
      </c>
      <c r="AF40" s="95">
        <v>17.838542938232422</v>
      </c>
      <c r="AG40" s="95"/>
      <c r="AH40" s="95">
        <v>0</v>
      </c>
      <c r="AI40" s="95">
        <v>0</v>
      </c>
      <c r="AJ40" s="95">
        <v>0</v>
      </c>
      <c r="AK40" s="95">
        <v>91.08434295654297</v>
      </c>
      <c r="AL40" s="96">
        <v>35.613426208496094</v>
      </c>
      <c r="AM40" s="118"/>
      <c r="AN40" s="109"/>
      <c r="AO40" s="95"/>
      <c r="AP40" s="95"/>
      <c r="AQ40" s="95"/>
      <c r="AR40" s="99"/>
    </row>
    <row r="41" spans="2:44" ht="13.5" customHeight="1" x14ac:dyDescent="0.25">
      <c r="B41" s="41" t="s">
        <v>271</v>
      </c>
      <c r="C41" s="91">
        <v>0</v>
      </c>
      <c r="D41" s="91">
        <v>1.2540817806439009E-07</v>
      </c>
      <c r="E41" s="91">
        <v>57.081886291503906</v>
      </c>
      <c r="F41" s="91"/>
      <c r="G41" s="91"/>
      <c r="H41" s="91">
        <v>0</v>
      </c>
      <c r="I41" s="91">
        <v>0</v>
      </c>
      <c r="J41" s="91">
        <v>26.765047073364258</v>
      </c>
      <c r="K41" s="91">
        <v>40</v>
      </c>
      <c r="L41" s="91">
        <v>49.91319274902344</v>
      </c>
      <c r="M41" s="91">
        <v>0</v>
      </c>
      <c r="N41" s="91">
        <v>0</v>
      </c>
      <c r="O41" s="91">
        <v>29.070817947387695</v>
      </c>
      <c r="P41" s="91">
        <v>0.05000000074505806</v>
      </c>
      <c r="Q41" s="91">
        <v>0.16435185074806213</v>
      </c>
      <c r="R41" s="91">
        <v>0.00021180724434088916</v>
      </c>
      <c r="S41" s="91">
        <v>0</v>
      </c>
      <c r="T41" s="91">
        <v>0</v>
      </c>
      <c r="U41" s="108">
        <v>0</v>
      </c>
      <c r="V41" s="116">
        <v>0</v>
      </c>
      <c r="W41" s="117">
        <v>96.15523529052734</v>
      </c>
      <c r="X41" s="108">
        <v>18.171295166015625</v>
      </c>
      <c r="Y41" s="108">
        <v>40</v>
      </c>
      <c r="Z41" s="108">
        <v>102.30469512939453</v>
      </c>
      <c r="AA41" s="108">
        <v>19.07552146911621</v>
      </c>
      <c r="AB41" s="108">
        <v>39.680992126464844</v>
      </c>
      <c r="AC41" s="108">
        <v>40</v>
      </c>
      <c r="AD41" s="108">
        <v>103.98004150390625</v>
      </c>
      <c r="AE41" s="95">
        <v>14.807580947875977</v>
      </c>
      <c r="AF41" s="95">
        <v>18.033855438232422</v>
      </c>
      <c r="AG41" s="95"/>
      <c r="AH41" s="95">
        <v>0</v>
      </c>
      <c r="AI41" s="95">
        <v>0</v>
      </c>
      <c r="AJ41" s="95">
        <v>0</v>
      </c>
      <c r="AK41" s="95">
        <v>91.06987762451172</v>
      </c>
      <c r="AL41" s="96">
        <v>35.674190521240234</v>
      </c>
      <c r="AM41" s="118"/>
      <c r="AN41" s="109"/>
      <c r="AO41" s="95"/>
      <c r="AP41" s="95"/>
      <c r="AQ41" s="95"/>
      <c r="AR41" s="99"/>
    </row>
    <row r="42" spans="2:44" ht="13.5" customHeight="1" x14ac:dyDescent="0.25">
      <c r="B42" s="14">
        <v>0.95833333333333337</v>
      </c>
      <c r="C42" s="91">
        <v>0</v>
      </c>
      <c r="D42" s="91">
        <v>2.2137164705782197E-06</v>
      </c>
      <c r="E42" s="91">
        <v>54.01475524902344</v>
      </c>
      <c r="F42" s="91"/>
      <c r="G42" s="91"/>
      <c r="H42" s="91">
        <v>0</v>
      </c>
      <c r="I42" s="91">
        <v>0</v>
      </c>
      <c r="J42" s="91">
        <v>26.629411697387695</v>
      </c>
      <c r="K42" s="91">
        <v>40</v>
      </c>
      <c r="L42" s="91">
        <v>48.96376037597656</v>
      </c>
      <c r="M42" s="91">
        <v>0</v>
      </c>
      <c r="N42" s="91">
        <v>0</v>
      </c>
      <c r="O42" s="91">
        <v>28.338396072387695</v>
      </c>
      <c r="P42" s="91">
        <v>0.05000000074505806</v>
      </c>
      <c r="Q42" s="91">
        <v>0.21231192350387573</v>
      </c>
      <c r="R42" s="91">
        <v>0.00021364974963944405</v>
      </c>
      <c r="S42" s="91">
        <v>0</v>
      </c>
      <c r="T42" s="91">
        <v>0</v>
      </c>
      <c r="U42" s="108">
        <v>0</v>
      </c>
      <c r="V42" s="116">
        <v>0</v>
      </c>
      <c r="W42" s="117">
        <v>94.08637237548828</v>
      </c>
      <c r="X42" s="108">
        <v>17.010271072387695</v>
      </c>
      <c r="Y42" s="108">
        <v>35</v>
      </c>
      <c r="Z42" s="108">
        <v>88.94965362548828</v>
      </c>
      <c r="AA42" s="108">
        <v>19.62348175048828</v>
      </c>
      <c r="AB42" s="108">
        <v>39.013671875</v>
      </c>
      <c r="AC42" s="108">
        <v>35</v>
      </c>
      <c r="AD42" s="108">
        <v>84.30121612548828</v>
      </c>
      <c r="AE42" s="95">
        <v>14.737051010131836</v>
      </c>
      <c r="AF42" s="95">
        <v>18.017578125</v>
      </c>
      <c r="AG42" s="95"/>
      <c r="AH42" s="95">
        <v>0</v>
      </c>
      <c r="AI42" s="95">
        <v>0</v>
      </c>
      <c r="AJ42" s="95">
        <v>0</v>
      </c>
      <c r="AK42" s="95">
        <v>91.01200866699219</v>
      </c>
      <c r="AL42" s="96">
        <v>35.67129898071289</v>
      </c>
      <c r="AM42" s="118"/>
      <c r="AN42" s="109"/>
      <c r="AO42" s="95"/>
      <c r="AP42" s="95"/>
      <c r="AQ42" s="95"/>
      <c r="AR42" s="99"/>
    </row>
    <row r="43" spans="2:44" ht="13.5" customHeight="1" x14ac:dyDescent="0.25">
      <c r="B43" s="41" t="s">
        <v>272</v>
      </c>
      <c r="C43" s="91">
        <v>0</v>
      </c>
      <c r="D43" s="91">
        <v>1.1112689435321954E-06</v>
      </c>
      <c r="E43" s="91">
        <v>62.2468147277832</v>
      </c>
      <c r="F43" s="91"/>
      <c r="G43" s="91"/>
      <c r="H43" s="91">
        <v>0</v>
      </c>
      <c r="I43" s="91">
        <v>0</v>
      </c>
      <c r="J43" s="91">
        <v>26.58420181274414</v>
      </c>
      <c r="K43" s="91">
        <v>40</v>
      </c>
      <c r="L43" s="91">
        <v>48.96376037597656</v>
      </c>
      <c r="M43" s="91">
        <v>0</v>
      </c>
      <c r="N43" s="91">
        <v>0</v>
      </c>
      <c r="O43" s="91">
        <v>28.220848083496094</v>
      </c>
      <c r="P43" s="91">
        <v>0.05000000074505806</v>
      </c>
      <c r="Q43" s="91">
        <v>0.2137586772441864</v>
      </c>
      <c r="R43" s="91">
        <v>0.00021242904767859727</v>
      </c>
      <c r="S43" s="91">
        <v>0</v>
      </c>
      <c r="T43" s="91">
        <v>0</v>
      </c>
      <c r="U43" s="108">
        <v>0</v>
      </c>
      <c r="V43" s="116">
        <v>0</v>
      </c>
      <c r="W43" s="117">
        <v>99.97467803955078</v>
      </c>
      <c r="X43" s="108">
        <v>16.453269958496094</v>
      </c>
      <c r="Y43" s="108">
        <v>30</v>
      </c>
      <c r="Z43" s="108">
        <v>75.43402862548828</v>
      </c>
      <c r="AA43" s="108">
        <v>27.441408157348633</v>
      </c>
      <c r="AB43" s="108">
        <v>44.91102600097656</v>
      </c>
      <c r="AC43" s="108">
        <v>30</v>
      </c>
      <c r="AD43" s="108">
        <v>80.40798950195312</v>
      </c>
      <c r="AE43" s="95">
        <v>14.73524284362793</v>
      </c>
      <c r="AF43" s="95">
        <v>18.28342056274414</v>
      </c>
      <c r="AG43" s="95"/>
      <c r="AH43" s="95">
        <v>0</v>
      </c>
      <c r="AI43" s="95">
        <v>0</v>
      </c>
      <c r="AJ43" s="95">
        <v>0</v>
      </c>
      <c r="AK43" s="95">
        <v>91.00115966796875</v>
      </c>
      <c r="AL43" s="96">
        <v>35.64815139770508</v>
      </c>
      <c r="AM43" s="118"/>
      <c r="AN43" s="109"/>
      <c r="AO43" s="95"/>
      <c r="AP43" s="95"/>
      <c r="AQ43" s="95"/>
      <c r="AR43" s="99"/>
    </row>
    <row r="44" spans="2:44" ht="13.5" customHeight="1" x14ac:dyDescent="0.25">
      <c r="B44" s="14">
        <v>4.1666666666666664E-2</v>
      </c>
      <c r="C44" s="91">
        <v>0</v>
      </c>
      <c r="D44" s="91">
        <v>4.113197519473033E-06</v>
      </c>
      <c r="E44" s="91">
        <v>50.44849395751953</v>
      </c>
      <c r="F44" s="91"/>
      <c r="G44" s="91"/>
      <c r="H44" s="91">
        <v>0</v>
      </c>
      <c r="I44" s="91">
        <v>0</v>
      </c>
      <c r="J44" s="91">
        <v>26.3671875</v>
      </c>
      <c r="K44" s="91">
        <v>40</v>
      </c>
      <c r="L44" s="91">
        <v>48.84621047973633</v>
      </c>
      <c r="M44" s="91">
        <v>0</v>
      </c>
      <c r="N44" s="91">
        <v>0</v>
      </c>
      <c r="O44" s="91">
        <v>27.895326614379883</v>
      </c>
      <c r="P44" s="91">
        <v>0.05000000074505806</v>
      </c>
      <c r="Q44" s="91">
        <v>0.24877025187015533</v>
      </c>
      <c r="R44" s="91">
        <v>0.00021095656848046929</v>
      </c>
      <c r="S44" s="91">
        <v>0</v>
      </c>
      <c r="T44" s="91">
        <v>0</v>
      </c>
      <c r="U44" s="108">
        <v>0</v>
      </c>
      <c r="V44" s="116">
        <v>0</v>
      </c>
      <c r="W44" s="117">
        <v>94.69400787353516</v>
      </c>
      <c r="X44" s="108">
        <v>17.006654739379883</v>
      </c>
      <c r="Y44" s="108">
        <v>30</v>
      </c>
      <c r="Z44" s="108">
        <v>75.54254150390625</v>
      </c>
      <c r="AA44" s="108">
        <v>29.42708396911621</v>
      </c>
      <c r="AB44" s="108">
        <v>45.708553314208984</v>
      </c>
      <c r="AC44" s="108">
        <v>30</v>
      </c>
      <c r="AD44" s="108">
        <v>79.76129150390625</v>
      </c>
      <c r="AE44" s="95">
        <v>14.650245666503906</v>
      </c>
      <c r="AF44" s="95">
        <v>18.38107681274414</v>
      </c>
      <c r="AG44" s="95"/>
      <c r="AH44" s="95">
        <v>0</v>
      </c>
      <c r="AI44" s="95">
        <v>0</v>
      </c>
      <c r="AJ44" s="95">
        <v>0</v>
      </c>
      <c r="AK44" s="95">
        <v>90.9649887084961</v>
      </c>
      <c r="AL44" s="96">
        <v>35.64815139770508</v>
      </c>
      <c r="AM44" s="118"/>
      <c r="AN44" s="109"/>
      <c r="AO44" s="95"/>
      <c r="AP44" s="95"/>
      <c r="AQ44" s="95"/>
      <c r="AR44" s="99"/>
    </row>
    <row r="45" spans="2:44" ht="13.5" customHeight="1" x14ac:dyDescent="0.25">
      <c r="B45" s="41" t="s">
        <v>273</v>
      </c>
      <c r="C45" s="91">
        <v>0</v>
      </c>
      <c r="D45" s="91">
        <v>3.284692866145633E-06</v>
      </c>
      <c r="E45" s="91">
        <v>52.604164123535156</v>
      </c>
      <c r="F45" s="91"/>
      <c r="G45" s="91"/>
      <c r="H45" s="91">
        <v>0</v>
      </c>
      <c r="I45" s="91">
        <v>0</v>
      </c>
      <c r="J45" s="91">
        <v>26.123046875</v>
      </c>
      <c r="K45" s="91">
        <v>40</v>
      </c>
      <c r="L45" s="91">
        <v>48.06857681274414</v>
      </c>
      <c r="M45" s="91">
        <v>0</v>
      </c>
      <c r="N45" s="91">
        <v>0</v>
      </c>
      <c r="O45" s="91">
        <v>27.434171676635742</v>
      </c>
      <c r="P45" s="91">
        <v>0.05000000074505806</v>
      </c>
      <c r="Q45" s="91">
        <v>0.21014177799224854</v>
      </c>
      <c r="R45" s="91">
        <v>0.00021086883498355746</v>
      </c>
      <c r="S45" s="91">
        <v>0</v>
      </c>
      <c r="T45" s="91">
        <v>0</v>
      </c>
      <c r="U45" s="108">
        <v>0</v>
      </c>
      <c r="V45" s="116">
        <v>0</v>
      </c>
      <c r="W45" s="117">
        <v>94.50231170654297</v>
      </c>
      <c r="X45" s="108">
        <v>17.397279739379883</v>
      </c>
      <c r="Y45" s="108">
        <v>30</v>
      </c>
      <c r="Z45" s="108">
        <v>75.79427337646484</v>
      </c>
      <c r="AA45" s="108">
        <v>29.24262237548828</v>
      </c>
      <c r="AB45" s="108">
        <v>45.03580856323242</v>
      </c>
      <c r="AC45" s="108">
        <v>30</v>
      </c>
      <c r="AD45" s="108">
        <v>86.23698425292969</v>
      </c>
      <c r="AE45" s="95">
        <v>14.178240776062012</v>
      </c>
      <c r="AF45" s="95">
        <v>18.29427146911621</v>
      </c>
      <c r="AG45" s="95"/>
      <c r="AH45" s="95">
        <v>0</v>
      </c>
      <c r="AI45" s="95">
        <v>0</v>
      </c>
      <c r="AJ45" s="95">
        <v>0</v>
      </c>
      <c r="AK45" s="95">
        <v>90.94328308105469</v>
      </c>
      <c r="AL45" s="96">
        <v>35.700233459472656</v>
      </c>
      <c r="AM45" s="118"/>
      <c r="AN45" s="109"/>
      <c r="AO45" s="95"/>
      <c r="AP45" s="95"/>
      <c r="AQ45" s="95"/>
      <c r="AR45" s="99"/>
    </row>
    <row r="46" spans="2:44" ht="13.5" customHeight="1" x14ac:dyDescent="0.25">
      <c r="B46" s="14">
        <v>0.125</v>
      </c>
      <c r="C46" s="91">
        <v>0</v>
      </c>
      <c r="D46" s="91">
        <v>1.2421608630575065E-07</v>
      </c>
      <c r="E46" s="91">
        <v>55.57725524902344</v>
      </c>
      <c r="F46" s="91"/>
      <c r="G46" s="91"/>
      <c r="H46" s="91">
        <v>0</v>
      </c>
      <c r="I46" s="91">
        <v>0</v>
      </c>
      <c r="J46" s="91">
        <v>25.79752540588379</v>
      </c>
      <c r="K46" s="91">
        <v>40</v>
      </c>
      <c r="L46" s="91">
        <v>47.56221008300781</v>
      </c>
      <c r="M46" s="91">
        <v>0</v>
      </c>
      <c r="N46" s="91">
        <v>0</v>
      </c>
      <c r="O46" s="91">
        <v>26.88259506225586</v>
      </c>
      <c r="P46" s="91">
        <v>0.05000000074505806</v>
      </c>
      <c r="Q46" s="91">
        <v>0.2078993022441864</v>
      </c>
      <c r="R46" s="91">
        <v>0.00019305801833979785</v>
      </c>
      <c r="S46" s="91">
        <v>0</v>
      </c>
      <c r="T46" s="91">
        <v>0</v>
      </c>
      <c r="U46" s="108">
        <v>0</v>
      </c>
      <c r="V46" s="116">
        <v>0</v>
      </c>
      <c r="W46" s="117">
        <v>92.12963104248047</v>
      </c>
      <c r="X46" s="108">
        <v>16.608795166015625</v>
      </c>
      <c r="Y46" s="108">
        <v>30</v>
      </c>
      <c r="Z46" s="108">
        <v>76.02864837646484</v>
      </c>
      <c r="AA46" s="108">
        <v>28.602432250976562</v>
      </c>
      <c r="AB46" s="108">
        <v>43.804256439208984</v>
      </c>
      <c r="AC46" s="108">
        <v>30</v>
      </c>
      <c r="AD46" s="108">
        <v>76.80121612548828</v>
      </c>
      <c r="AE46" s="95">
        <v>14.212600708007812</v>
      </c>
      <c r="AF46" s="95">
        <v>18.53841209411621</v>
      </c>
      <c r="AG46" s="95"/>
      <c r="AH46" s="95">
        <v>0</v>
      </c>
      <c r="AI46" s="95">
        <v>0</v>
      </c>
      <c r="AJ46" s="95">
        <v>0</v>
      </c>
      <c r="AK46" s="95">
        <v>90.93243408203125</v>
      </c>
      <c r="AL46" s="96">
        <v>35.717594146728516</v>
      </c>
      <c r="AM46" s="118"/>
      <c r="AN46" s="109"/>
      <c r="AO46" s="95"/>
      <c r="AP46" s="95"/>
      <c r="AQ46" s="95"/>
      <c r="AR46" s="99"/>
    </row>
    <row r="47" spans="2:44" ht="13.5" customHeight="1" x14ac:dyDescent="0.25">
      <c r="B47" s="14">
        <v>0.16666666666666666</v>
      </c>
      <c r="C47" s="91">
        <v>0</v>
      </c>
      <c r="D47" s="91">
        <v>1.8773079091261025E-06</v>
      </c>
      <c r="E47" s="91">
        <v>50.69444274902344</v>
      </c>
      <c r="F47" s="91"/>
      <c r="G47" s="91"/>
      <c r="H47" s="91">
        <v>0</v>
      </c>
      <c r="I47" s="91">
        <v>0</v>
      </c>
      <c r="J47" s="91">
        <v>25.453920364379883</v>
      </c>
      <c r="K47" s="91">
        <v>40</v>
      </c>
      <c r="L47" s="91">
        <v>47.724971771240234</v>
      </c>
      <c r="M47" s="91">
        <v>0</v>
      </c>
      <c r="N47" s="91">
        <v>0</v>
      </c>
      <c r="O47" s="91">
        <v>26.783130645751953</v>
      </c>
      <c r="P47" s="91">
        <v>0.05000000074505806</v>
      </c>
      <c r="Q47" s="91">
        <v>0.19415509700775146</v>
      </c>
      <c r="R47" s="91">
        <v>0.00018526076746638864</v>
      </c>
      <c r="S47" s="91">
        <v>0</v>
      </c>
      <c r="T47" s="91">
        <v>0</v>
      </c>
      <c r="U47" s="108">
        <v>0</v>
      </c>
      <c r="V47" s="116">
        <v>0</v>
      </c>
      <c r="W47" s="117">
        <v>98.1915512084961</v>
      </c>
      <c r="X47" s="108">
        <v>16.05902671813965</v>
      </c>
      <c r="Y47" s="108">
        <v>30</v>
      </c>
      <c r="Z47" s="108">
        <v>76.1545181274414</v>
      </c>
      <c r="AA47" s="108">
        <v>29.687501907348633</v>
      </c>
      <c r="AB47" s="108">
        <v>46.120880126953125</v>
      </c>
      <c r="AC47" s="108">
        <v>30</v>
      </c>
      <c r="AD47" s="108">
        <v>75.73785400390625</v>
      </c>
      <c r="AE47" s="95">
        <v>14.143879890441895</v>
      </c>
      <c r="AF47" s="95">
        <v>18.603515625</v>
      </c>
      <c r="AG47" s="95"/>
      <c r="AH47" s="95">
        <v>0</v>
      </c>
      <c r="AI47" s="95">
        <v>0</v>
      </c>
      <c r="AJ47" s="95">
        <v>0</v>
      </c>
      <c r="AK47" s="95">
        <v>90.86371612548828</v>
      </c>
      <c r="AL47" s="96">
        <v>35.72627639770508</v>
      </c>
      <c r="AM47" s="118"/>
      <c r="AN47" s="109"/>
      <c r="AO47" s="95"/>
      <c r="AP47" s="95"/>
      <c r="AQ47" s="95"/>
      <c r="AR47" s="99"/>
    </row>
    <row r="48" spans="2:44" ht="13.5" customHeight="1" x14ac:dyDescent="0.25">
      <c r="B48" s="14">
        <v>0.20833333333333334</v>
      </c>
      <c r="C48" s="91">
        <v>0</v>
      </c>
      <c r="D48" s="91">
        <v>7.486343633900105E-08</v>
      </c>
      <c r="E48" s="91">
        <v>44.6180534362793</v>
      </c>
      <c r="F48" s="91"/>
      <c r="G48" s="91"/>
      <c r="H48" s="91">
        <v>0</v>
      </c>
      <c r="I48" s="91">
        <v>0</v>
      </c>
      <c r="J48" s="91">
        <v>25.01085090637207</v>
      </c>
      <c r="K48" s="91">
        <v>40</v>
      </c>
      <c r="L48" s="91">
        <v>47.724971771240234</v>
      </c>
      <c r="M48" s="91">
        <v>0</v>
      </c>
      <c r="N48" s="91">
        <v>0</v>
      </c>
      <c r="O48" s="91">
        <v>26.222511291503906</v>
      </c>
      <c r="P48" s="91">
        <v>0.05000000074505806</v>
      </c>
      <c r="Q48" s="91">
        <v>0.1553819477558136</v>
      </c>
      <c r="R48" s="91">
        <v>0.0001796607975848019</v>
      </c>
      <c r="S48" s="91">
        <v>0</v>
      </c>
      <c r="T48" s="91">
        <v>0</v>
      </c>
      <c r="U48" s="108">
        <v>0</v>
      </c>
      <c r="V48" s="116">
        <v>0</v>
      </c>
      <c r="W48" s="117">
        <v>92.73726654052734</v>
      </c>
      <c r="X48" s="108">
        <v>16.446035385131836</v>
      </c>
      <c r="Y48" s="108">
        <v>28</v>
      </c>
      <c r="Z48" s="108">
        <v>70.23871612548828</v>
      </c>
      <c r="AA48" s="108">
        <v>32.497833251953125</v>
      </c>
      <c r="AB48" s="108">
        <v>45.979820251464844</v>
      </c>
      <c r="AC48" s="108">
        <v>28</v>
      </c>
      <c r="AD48" s="108">
        <v>71.51476287841797</v>
      </c>
      <c r="AE48" s="95">
        <v>14.022713661193848</v>
      </c>
      <c r="AF48" s="95">
        <v>18.701171875</v>
      </c>
      <c r="AG48" s="95"/>
      <c r="AH48" s="95">
        <v>0</v>
      </c>
      <c r="AI48" s="95">
        <v>0</v>
      </c>
      <c r="AJ48" s="95">
        <v>0</v>
      </c>
      <c r="AK48" s="95">
        <v>90.80946350097656</v>
      </c>
      <c r="AL48" s="96">
        <v>35.41377639770508</v>
      </c>
      <c r="AM48" s="118"/>
      <c r="AN48" s="109"/>
      <c r="AO48" s="95"/>
      <c r="AP48" s="95"/>
      <c r="AQ48" s="95"/>
      <c r="AR48" s="99"/>
    </row>
    <row r="49" spans="2:44" ht="13.5" customHeight="1" x14ac:dyDescent="0.25">
      <c r="B49" s="14">
        <v>0.25</v>
      </c>
      <c r="C49" s="91">
        <v>0</v>
      </c>
      <c r="D49" s="91">
        <v>1.5637874639651272E-06</v>
      </c>
      <c r="E49" s="91">
        <v>55.9968147277832</v>
      </c>
      <c r="F49" s="91"/>
      <c r="G49" s="91"/>
      <c r="H49" s="91">
        <v>0</v>
      </c>
      <c r="I49" s="91">
        <v>0</v>
      </c>
      <c r="J49" s="91">
        <v>24.612991333007812</v>
      </c>
      <c r="K49" s="91">
        <v>40</v>
      </c>
      <c r="L49" s="91">
        <v>47.724971771240234</v>
      </c>
      <c r="M49" s="91">
        <v>0</v>
      </c>
      <c r="N49" s="91">
        <v>0</v>
      </c>
      <c r="O49" s="91">
        <v>25.887948989868164</v>
      </c>
      <c r="P49" s="91">
        <v>0.05000000074505806</v>
      </c>
      <c r="Q49" s="91">
        <v>0.169704869389534</v>
      </c>
      <c r="R49" s="91">
        <v>0.00017870331066660583</v>
      </c>
      <c r="S49" s="91">
        <v>0</v>
      </c>
      <c r="T49" s="91">
        <v>0</v>
      </c>
      <c r="U49" s="108">
        <v>0</v>
      </c>
      <c r="V49" s="116">
        <v>0</v>
      </c>
      <c r="W49" s="117">
        <v>95.96715545654297</v>
      </c>
      <c r="X49" s="108">
        <v>17.03558921813965</v>
      </c>
      <c r="Y49" s="108">
        <v>28</v>
      </c>
      <c r="Z49" s="108">
        <v>70.90711975097656</v>
      </c>
      <c r="AA49" s="108">
        <v>32.44357681274414</v>
      </c>
      <c r="AB49" s="108">
        <v>44.59635543823242</v>
      </c>
      <c r="AC49" s="108">
        <v>28</v>
      </c>
      <c r="AD49" s="108">
        <v>71.18489837646484</v>
      </c>
      <c r="AE49" s="95">
        <v>14.046223640441895</v>
      </c>
      <c r="AF49" s="95">
        <v>18.91818618774414</v>
      </c>
      <c r="AG49" s="95"/>
      <c r="AH49" s="95">
        <v>0</v>
      </c>
      <c r="AI49" s="95">
        <v>0</v>
      </c>
      <c r="AJ49" s="95">
        <v>0</v>
      </c>
      <c r="AK49" s="95">
        <v>90.81307983398438</v>
      </c>
      <c r="AL49" s="96">
        <v>35.25752639770508</v>
      </c>
      <c r="AM49" s="118"/>
      <c r="AN49" s="109"/>
      <c r="AO49" s="95"/>
      <c r="AP49" s="95"/>
      <c r="AQ49" s="95"/>
      <c r="AR49" s="99"/>
    </row>
    <row r="50" spans="2:44" ht="13.5" customHeight="1" x14ac:dyDescent="0.25">
      <c r="B50" s="14">
        <v>0.29166666666666669</v>
      </c>
      <c r="C50" s="91">
        <v>0</v>
      </c>
      <c r="D50" s="91">
        <v>1.9788741312254388E-08</v>
      </c>
      <c r="E50" s="91">
        <v>56.083621978759766</v>
      </c>
      <c r="F50" s="91"/>
      <c r="G50" s="91"/>
      <c r="H50" s="91">
        <v>0</v>
      </c>
      <c r="I50" s="91">
        <v>0</v>
      </c>
      <c r="J50" s="91">
        <v>24.269386291503906</v>
      </c>
      <c r="K50" s="91">
        <v>40</v>
      </c>
      <c r="L50" s="91">
        <v>47.04680252075195</v>
      </c>
      <c r="M50" s="91">
        <v>0</v>
      </c>
      <c r="N50" s="91">
        <v>0</v>
      </c>
      <c r="O50" s="91">
        <v>25.71614646911621</v>
      </c>
      <c r="P50" s="91">
        <v>0.05000000074505806</v>
      </c>
      <c r="Q50" s="91">
        <v>0.11812789738178253</v>
      </c>
      <c r="R50" s="91">
        <v>0.00013390732055995613</v>
      </c>
      <c r="S50" s="91">
        <v>0</v>
      </c>
      <c r="T50" s="91">
        <v>0</v>
      </c>
      <c r="U50" s="108">
        <v>0</v>
      </c>
      <c r="V50" s="116">
        <v>0</v>
      </c>
      <c r="W50" s="117">
        <v>92.67216491699219</v>
      </c>
      <c r="X50" s="108">
        <v>15.986689567565918</v>
      </c>
      <c r="Y50" s="108">
        <v>28</v>
      </c>
      <c r="Z50" s="108">
        <v>69.83507537841797</v>
      </c>
      <c r="AA50" s="108">
        <v>31.250001907348633</v>
      </c>
      <c r="AB50" s="108">
        <v>43.142364501953125</v>
      </c>
      <c r="AC50" s="108">
        <v>28</v>
      </c>
      <c r="AD50" s="108">
        <v>72.04861450195312</v>
      </c>
      <c r="AE50" s="95">
        <v>13.831018447875977</v>
      </c>
      <c r="AF50" s="95">
        <v>18.798828125</v>
      </c>
      <c r="AG50" s="95"/>
      <c r="AH50" s="95">
        <v>0</v>
      </c>
      <c r="AI50" s="95">
        <v>0</v>
      </c>
      <c r="AJ50" s="95">
        <v>0</v>
      </c>
      <c r="AK50" s="95">
        <v>90.81307983398438</v>
      </c>
      <c r="AL50" s="96">
        <v>35.10127639770508</v>
      </c>
      <c r="AM50" s="118"/>
      <c r="AN50" s="109"/>
      <c r="AO50" s="95"/>
      <c r="AP50" s="95"/>
      <c r="AQ50" s="95"/>
      <c r="AR50" s="99"/>
    </row>
    <row r="51" spans="2:44" ht="13.5" customHeight="1" x14ac:dyDescent="0.25">
      <c r="B51" s="42">
        <v>0.33333333333333331</v>
      </c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11"/>
      <c r="V51" s="119"/>
      <c r="W51" s="120"/>
      <c r="X51" s="111"/>
      <c r="Y51" s="111"/>
      <c r="Z51" s="111"/>
      <c r="AA51" s="111"/>
      <c r="AB51" s="111"/>
      <c r="AC51" s="111"/>
      <c r="AD51" s="111"/>
      <c r="AE51" s="104"/>
      <c r="AF51" s="104"/>
      <c r="AG51" s="104"/>
      <c r="AH51" s="104"/>
      <c r="AI51" s="104"/>
      <c r="AJ51" s="104"/>
      <c r="AK51" s="104"/>
      <c r="AL51" s="105"/>
      <c r="AM51" s="121"/>
      <c r="AN51" s="112"/>
      <c r="AO51" s="104"/>
      <c r="AP51" s="104"/>
      <c r="AQ51" s="104"/>
      <c r="AR51" s="115"/>
    </row>
    <row r="52" spans="2:44" ht="13.5" customHeight="1" x14ac:dyDescent="0.25">
      <c r="B52" s="184" t="s">
        <v>471</v>
      </c>
      <c r="C52" s="185"/>
      <c r="D52" s="9" t="s">
        <v>274</v>
      </c>
      <c r="E52" s="161" t="s">
        <v>20</v>
      </c>
      <c r="F52" s="164"/>
      <c r="G52" s="165"/>
      <c r="H52" s="165"/>
      <c r="I52" s="165"/>
      <c r="J52" s="165"/>
      <c r="K52" s="165"/>
      <c r="L52" s="165"/>
      <c r="M52" s="165"/>
      <c r="N52" s="165"/>
      <c r="O52" s="165"/>
      <c r="P52" s="165"/>
      <c r="Q52" s="165"/>
      <c r="R52" s="165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  <c r="AD52" s="165"/>
      <c r="AE52" s="165"/>
      <c r="AF52" s="165"/>
      <c r="AG52" s="165"/>
      <c r="AH52" s="165"/>
      <c r="AI52" s="165"/>
      <c r="AJ52" s="165"/>
      <c r="AK52" s="165"/>
      <c r="AL52" s="165"/>
      <c r="AM52" s="165"/>
      <c r="AN52" s="165"/>
      <c r="AO52" s="166"/>
      <c r="AP52" s="166"/>
      <c r="AQ52" s="166"/>
      <c r="AR52" s="167"/>
    </row>
    <row r="53" spans="2:44" ht="13.5" customHeight="1" x14ac:dyDescent="0.25">
      <c r="B53" s="160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2"/>
      <c r="AI53" s="162"/>
      <c r="AJ53" s="162"/>
      <c r="AK53" s="162"/>
      <c r="AL53" s="162"/>
      <c r="AM53" s="162"/>
      <c r="AN53" s="162"/>
      <c r="AO53" s="168"/>
      <c r="AP53" s="168"/>
      <c r="AQ53" s="168"/>
      <c r="AR53" s="169"/>
    </row>
    <row r="54" spans="2:44" ht="13.5" customHeight="1" thickBot="1" x14ac:dyDescent="0.3">
      <c r="B54" s="172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70"/>
      <c r="AP54" s="170"/>
      <c r="AQ54" s="170"/>
      <c r="AR54" s="17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7" t="s">
        <v>230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</row>
    <row r="2" spans="2:58" ht="13" customHeight="1" x14ac:dyDescent="0.25">
      <c r="B2" s="234" t="s">
        <v>232</v>
      </c>
      <c r="C2" s="197"/>
      <c r="D2" s="197"/>
      <c r="E2" s="197"/>
      <c r="F2" s="197"/>
      <c r="G2" s="197"/>
      <c r="H2" s="197"/>
      <c r="I2" s="197"/>
      <c r="J2" s="197"/>
      <c r="K2" s="197"/>
      <c r="L2" s="202"/>
      <c r="M2" s="235" t="s">
        <v>231</v>
      </c>
      <c r="N2" s="197"/>
      <c r="O2" s="197"/>
      <c r="P2" s="197"/>
      <c r="Q2" s="197"/>
      <c r="R2" s="197"/>
      <c r="S2" s="197"/>
      <c r="T2" s="197"/>
      <c r="U2" s="197"/>
      <c r="V2" s="197"/>
      <c r="W2" s="202"/>
      <c r="X2" s="147" t="s">
        <v>233</v>
      </c>
      <c r="Y2" s="197"/>
      <c r="Z2" s="197"/>
      <c r="AA2" s="197"/>
      <c r="AB2" s="197"/>
      <c r="AC2" s="197"/>
      <c r="AD2" s="197"/>
      <c r="AE2" s="197"/>
      <c r="AF2" s="197"/>
      <c r="AG2" s="197"/>
      <c r="AH2" s="202"/>
      <c r="AI2" s="235" t="s">
        <v>234</v>
      </c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202"/>
      <c r="AU2" s="147" t="s">
        <v>235</v>
      </c>
      <c r="AV2" s="197"/>
      <c r="AW2" s="197"/>
      <c r="AX2" s="197"/>
      <c r="AY2" s="197"/>
      <c r="AZ2" s="197"/>
      <c r="BA2" s="197"/>
      <c r="BB2" s="197"/>
      <c r="BC2" s="197"/>
      <c r="BD2" s="197"/>
      <c r="BE2" s="197"/>
      <c r="BF2" s="236"/>
    </row>
    <row r="3" spans="2:58" ht="13" customHeight="1" x14ac:dyDescent="0.25">
      <c r="B3" s="238"/>
      <c r="C3" s="222"/>
      <c r="D3" s="222"/>
      <c r="E3" s="222"/>
      <c r="F3" s="222"/>
      <c r="G3" s="222"/>
      <c r="H3" s="222"/>
      <c r="I3" s="222"/>
      <c r="J3" s="222"/>
      <c r="K3" s="222"/>
      <c r="L3" s="223"/>
      <c r="M3" s="241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229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251"/>
      <c r="AJ3" s="222"/>
      <c r="AK3" s="222"/>
      <c r="AL3" s="222"/>
      <c r="AM3" s="222"/>
      <c r="AN3" s="222"/>
      <c r="AO3" s="222"/>
      <c r="AP3" s="222"/>
      <c r="AQ3" s="222"/>
      <c r="AR3" s="222"/>
      <c r="AS3" s="222"/>
      <c r="AT3" s="223"/>
      <c r="AU3" s="229"/>
      <c r="AV3" s="222"/>
      <c r="AW3" s="222"/>
      <c r="AX3" s="222"/>
      <c r="AY3" s="222"/>
      <c r="AZ3" s="222"/>
      <c r="BA3" s="222"/>
      <c r="BB3" s="222"/>
      <c r="BC3" s="222"/>
      <c r="BD3" s="222"/>
      <c r="BE3" s="222"/>
      <c r="BF3" s="231"/>
    </row>
    <row r="4" spans="2:58" ht="13" customHeight="1" x14ac:dyDescent="0.25">
      <c r="B4" s="239"/>
      <c r="C4" s="225"/>
      <c r="D4" s="225"/>
      <c r="E4" s="225"/>
      <c r="F4" s="225"/>
      <c r="G4" s="225"/>
      <c r="H4" s="225"/>
      <c r="I4" s="225"/>
      <c r="J4" s="225"/>
      <c r="K4" s="225"/>
      <c r="L4" s="226"/>
      <c r="M4" s="224"/>
      <c r="N4" s="225"/>
      <c r="O4" s="225"/>
      <c r="P4" s="225"/>
      <c r="Q4" s="225"/>
      <c r="R4" s="225"/>
      <c r="S4" s="225"/>
      <c r="T4" s="225"/>
      <c r="U4" s="225"/>
      <c r="V4" s="225"/>
      <c r="W4" s="226"/>
      <c r="X4" s="224"/>
      <c r="Y4" s="225"/>
      <c r="Z4" s="225"/>
      <c r="AA4" s="225"/>
      <c r="AB4" s="225"/>
      <c r="AC4" s="225"/>
      <c r="AD4" s="225"/>
      <c r="AE4" s="225"/>
      <c r="AF4" s="225"/>
      <c r="AG4" s="225"/>
      <c r="AH4" s="226"/>
      <c r="AI4" s="224"/>
      <c r="AJ4" s="225"/>
      <c r="AK4" s="225"/>
      <c r="AL4" s="225"/>
      <c r="AM4" s="225"/>
      <c r="AN4" s="225"/>
      <c r="AO4" s="225"/>
      <c r="AP4" s="225"/>
      <c r="AQ4" s="225"/>
      <c r="AR4" s="225"/>
      <c r="AS4" s="225"/>
      <c r="AT4" s="226"/>
      <c r="AU4" s="224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32"/>
    </row>
    <row r="5" spans="2:58" ht="13" customHeight="1" x14ac:dyDescent="0.25">
      <c r="B5" s="239"/>
      <c r="C5" s="225"/>
      <c r="D5" s="225"/>
      <c r="E5" s="225"/>
      <c r="F5" s="225"/>
      <c r="G5" s="225"/>
      <c r="H5" s="225"/>
      <c r="I5" s="225"/>
      <c r="J5" s="225"/>
      <c r="K5" s="225"/>
      <c r="L5" s="226"/>
      <c r="M5" s="224"/>
      <c r="N5" s="225"/>
      <c r="O5" s="225"/>
      <c r="P5" s="225"/>
      <c r="Q5" s="225"/>
      <c r="R5" s="225"/>
      <c r="S5" s="225"/>
      <c r="T5" s="225"/>
      <c r="U5" s="225"/>
      <c r="V5" s="225"/>
      <c r="W5" s="226"/>
      <c r="X5" s="224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224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6"/>
      <c r="AU5" s="224"/>
      <c r="AV5" s="225"/>
      <c r="AW5" s="225"/>
      <c r="AX5" s="225"/>
      <c r="AY5" s="225"/>
      <c r="AZ5" s="225"/>
      <c r="BA5" s="225"/>
      <c r="BB5" s="225"/>
      <c r="BC5" s="225"/>
      <c r="BD5" s="225"/>
      <c r="BE5" s="225"/>
      <c r="BF5" s="232"/>
    </row>
    <row r="6" spans="2:58" ht="13" customHeight="1" x14ac:dyDescent="0.25">
      <c r="B6" s="239"/>
      <c r="C6" s="225"/>
      <c r="D6" s="225"/>
      <c r="E6" s="225"/>
      <c r="F6" s="225"/>
      <c r="G6" s="225"/>
      <c r="H6" s="225"/>
      <c r="I6" s="225"/>
      <c r="J6" s="225"/>
      <c r="K6" s="225"/>
      <c r="L6" s="226"/>
      <c r="M6" s="224"/>
      <c r="N6" s="225"/>
      <c r="O6" s="225"/>
      <c r="P6" s="225"/>
      <c r="Q6" s="225"/>
      <c r="R6" s="225"/>
      <c r="S6" s="225"/>
      <c r="T6" s="225"/>
      <c r="U6" s="225"/>
      <c r="V6" s="225"/>
      <c r="W6" s="226"/>
      <c r="X6" s="224"/>
      <c r="Y6" s="225"/>
      <c r="Z6" s="225"/>
      <c r="AA6" s="225"/>
      <c r="AB6" s="225"/>
      <c r="AC6" s="225"/>
      <c r="AD6" s="225"/>
      <c r="AE6" s="225"/>
      <c r="AF6" s="225"/>
      <c r="AG6" s="225"/>
      <c r="AH6" s="226"/>
      <c r="AI6" s="224"/>
      <c r="AJ6" s="225"/>
      <c r="AK6" s="225"/>
      <c r="AL6" s="225"/>
      <c r="AM6" s="225"/>
      <c r="AN6" s="225"/>
      <c r="AO6" s="225"/>
      <c r="AP6" s="225"/>
      <c r="AQ6" s="225"/>
      <c r="AR6" s="225"/>
      <c r="AS6" s="225"/>
      <c r="AT6" s="226"/>
      <c r="AU6" s="224"/>
      <c r="AV6" s="225"/>
      <c r="AW6" s="225"/>
      <c r="AX6" s="225"/>
      <c r="AY6" s="225"/>
      <c r="AZ6" s="225"/>
      <c r="BA6" s="225"/>
      <c r="BB6" s="225"/>
      <c r="BC6" s="225"/>
      <c r="BD6" s="225"/>
      <c r="BE6" s="225"/>
      <c r="BF6" s="232"/>
    </row>
    <row r="7" spans="2:58" ht="13" customHeight="1" x14ac:dyDescent="0.25">
      <c r="B7" s="239"/>
      <c r="C7" s="225"/>
      <c r="D7" s="225"/>
      <c r="E7" s="225"/>
      <c r="F7" s="225"/>
      <c r="G7" s="225"/>
      <c r="H7" s="225"/>
      <c r="I7" s="225"/>
      <c r="J7" s="225"/>
      <c r="K7" s="225"/>
      <c r="L7" s="226"/>
      <c r="M7" s="224"/>
      <c r="N7" s="225"/>
      <c r="O7" s="225"/>
      <c r="P7" s="225"/>
      <c r="Q7" s="225"/>
      <c r="R7" s="225"/>
      <c r="S7" s="225"/>
      <c r="T7" s="225"/>
      <c r="U7" s="225"/>
      <c r="V7" s="225"/>
      <c r="W7" s="226"/>
      <c r="X7" s="224"/>
      <c r="Y7" s="225"/>
      <c r="Z7" s="225"/>
      <c r="AA7" s="225"/>
      <c r="AB7" s="225"/>
      <c r="AC7" s="225"/>
      <c r="AD7" s="225"/>
      <c r="AE7" s="225"/>
      <c r="AF7" s="225"/>
      <c r="AG7" s="225"/>
      <c r="AH7" s="226"/>
      <c r="AI7" s="224"/>
      <c r="AJ7" s="225"/>
      <c r="AK7" s="225"/>
      <c r="AL7" s="225"/>
      <c r="AM7" s="225"/>
      <c r="AN7" s="225"/>
      <c r="AO7" s="225"/>
      <c r="AP7" s="225"/>
      <c r="AQ7" s="225"/>
      <c r="AR7" s="225"/>
      <c r="AS7" s="225"/>
      <c r="AT7" s="226"/>
      <c r="AU7" s="224"/>
      <c r="AV7" s="225"/>
      <c r="AW7" s="225"/>
      <c r="AX7" s="225"/>
      <c r="AY7" s="225"/>
      <c r="AZ7" s="225"/>
      <c r="BA7" s="225"/>
      <c r="BB7" s="225"/>
      <c r="BC7" s="225"/>
      <c r="BD7" s="225"/>
      <c r="BE7" s="225"/>
      <c r="BF7" s="232"/>
    </row>
    <row r="8" spans="2:58" ht="13" customHeight="1" x14ac:dyDescent="0.25">
      <c r="B8" s="239"/>
      <c r="C8" s="225"/>
      <c r="D8" s="225"/>
      <c r="E8" s="225"/>
      <c r="F8" s="225"/>
      <c r="G8" s="225"/>
      <c r="H8" s="225"/>
      <c r="I8" s="225"/>
      <c r="J8" s="225"/>
      <c r="K8" s="225"/>
      <c r="L8" s="226"/>
      <c r="M8" s="224"/>
      <c r="N8" s="225"/>
      <c r="O8" s="225"/>
      <c r="P8" s="225"/>
      <c r="Q8" s="225"/>
      <c r="R8" s="225"/>
      <c r="S8" s="225"/>
      <c r="T8" s="225"/>
      <c r="U8" s="225"/>
      <c r="V8" s="225"/>
      <c r="W8" s="226"/>
      <c r="X8" s="224"/>
      <c r="Y8" s="225"/>
      <c r="Z8" s="225"/>
      <c r="AA8" s="225"/>
      <c r="AB8" s="225"/>
      <c r="AC8" s="225"/>
      <c r="AD8" s="225"/>
      <c r="AE8" s="225"/>
      <c r="AF8" s="225"/>
      <c r="AG8" s="225"/>
      <c r="AH8" s="226"/>
      <c r="AI8" s="224"/>
      <c r="AJ8" s="225"/>
      <c r="AK8" s="225"/>
      <c r="AL8" s="225"/>
      <c r="AM8" s="225"/>
      <c r="AN8" s="225"/>
      <c r="AO8" s="225"/>
      <c r="AP8" s="225"/>
      <c r="AQ8" s="225"/>
      <c r="AR8" s="225"/>
      <c r="AS8" s="225"/>
      <c r="AT8" s="226"/>
      <c r="AU8" s="224"/>
      <c r="AV8" s="225"/>
      <c r="AW8" s="225"/>
      <c r="AX8" s="225"/>
      <c r="AY8" s="225"/>
      <c r="AZ8" s="225"/>
      <c r="BA8" s="225"/>
      <c r="BB8" s="225"/>
      <c r="BC8" s="225"/>
      <c r="BD8" s="225"/>
      <c r="BE8" s="225"/>
      <c r="BF8" s="232"/>
    </row>
    <row r="9" spans="2:58" ht="13" customHeight="1" x14ac:dyDescent="0.25">
      <c r="B9" s="240"/>
      <c r="C9" s="228"/>
      <c r="D9" s="228"/>
      <c r="E9" s="228"/>
      <c r="F9" s="228"/>
      <c r="G9" s="228"/>
      <c r="H9" s="228"/>
      <c r="I9" s="228"/>
      <c r="J9" s="228"/>
      <c r="K9" s="228"/>
      <c r="L9" s="185"/>
      <c r="M9" s="227"/>
      <c r="N9" s="228"/>
      <c r="O9" s="228"/>
      <c r="P9" s="228"/>
      <c r="Q9" s="228"/>
      <c r="R9" s="228"/>
      <c r="S9" s="228"/>
      <c r="T9" s="228"/>
      <c r="U9" s="228"/>
      <c r="V9" s="228"/>
      <c r="W9" s="185"/>
      <c r="X9" s="227"/>
      <c r="Y9" s="228"/>
      <c r="Z9" s="228"/>
      <c r="AA9" s="228"/>
      <c r="AB9" s="228"/>
      <c r="AC9" s="228"/>
      <c r="AD9" s="228"/>
      <c r="AE9" s="228"/>
      <c r="AF9" s="228"/>
      <c r="AG9" s="228"/>
      <c r="AH9" s="185"/>
      <c r="AI9" s="227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185"/>
      <c r="AU9" s="227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33"/>
    </row>
    <row r="10" spans="2:58" ht="13" customHeight="1" x14ac:dyDescent="0.25">
      <c r="B10" s="217" t="s">
        <v>236</v>
      </c>
      <c r="C10" s="215"/>
      <c r="D10" s="215"/>
      <c r="E10" s="215"/>
      <c r="F10" s="215"/>
      <c r="G10" s="215"/>
      <c r="H10" s="215"/>
      <c r="I10" s="215"/>
      <c r="J10" s="215"/>
      <c r="K10" s="215"/>
      <c r="L10" s="186"/>
      <c r="M10" s="237" t="s">
        <v>237</v>
      </c>
      <c r="N10" s="215"/>
      <c r="O10" s="215"/>
      <c r="P10" s="215"/>
      <c r="Q10" s="215"/>
      <c r="R10" s="215"/>
      <c r="S10" s="215"/>
      <c r="T10" s="215"/>
      <c r="U10" s="215"/>
      <c r="V10" s="215"/>
      <c r="W10" s="186"/>
      <c r="X10" s="192" t="s">
        <v>238</v>
      </c>
      <c r="Y10" s="215"/>
      <c r="Z10" s="215"/>
      <c r="AA10" s="215"/>
      <c r="AB10" s="215"/>
      <c r="AC10" s="215"/>
      <c r="AD10" s="215"/>
      <c r="AE10" s="215"/>
      <c r="AF10" s="215"/>
      <c r="AG10" s="215"/>
      <c r="AH10" s="186"/>
      <c r="AI10" s="192" t="s">
        <v>239</v>
      </c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186"/>
      <c r="AU10" s="168" t="s">
        <v>240</v>
      </c>
      <c r="AV10" s="215"/>
      <c r="AW10" s="215"/>
      <c r="AX10" s="215"/>
      <c r="AY10" s="215"/>
      <c r="AZ10" s="215"/>
      <c r="BA10" s="215"/>
      <c r="BB10" s="215"/>
      <c r="BC10" s="215"/>
      <c r="BD10" s="215"/>
      <c r="BE10" s="215"/>
      <c r="BF10" s="219"/>
    </row>
    <row r="11" spans="2:58" ht="13" customHeight="1" x14ac:dyDescent="0.25">
      <c r="B11" s="238"/>
      <c r="C11" s="222"/>
      <c r="D11" s="222"/>
      <c r="E11" s="222"/>
      <c r="F11" s="222"/>
      <c r="G11" s="222"/>
      <c r="H11" s="222"/>
      <c r="I11" s="222"/>
      <c r="J11" s="222"/>
      <c r="K11" s="222"/>
      <c r="L11" s="223"/>
      <c r="M11" s="241"/>
      <c r="N11" s="222"/>
      <c r="O11" s="222"/>
      <c r="P11" s="222"/>
      <c r="Q11" s="222"/>
      <c r="R11" s="222"/>
      <c r="S11" s="222"/>
      <c r="T11" s="222"/>
      <c r="U11" s="222"/>
      <c r="V11" s="222"/>
      <c r="W11" s="223"/>
      <c r="X11" s="241"/>
      <c r="Y11" s="222"/>
      <c r="Z11" s="222"/>
      <c r="AA11" s="222"/>
      <c r="AB11" s="222"/>
      <c r="AC11" s="222"/>
      <c r="AD11" s="222"/>
      <c r="AE11" s="222"/>
      <c r="AF11" s="222"/>
      <c r="AG11" s="222"/>
      <c r="AH11" s="223"/>
      <c r="AI11" s="241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3"/>
      <c r="AU11" s="230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31"/>
    </row>
    <row r="12" spans="2:58" ht="13" customHeight="1" x14ac:dyDescent="0.25">
      <c r="B12" s="239"/>
      <c r="C12" s="225"/>
      <c r="D12" s="225"/>
      <c r="E12" s="225"/>
      <c r="F12" s="225"/>
      <c r="G12" s="225"/>
      <c r="H12" s="225"/>
      <c r="I12" s="225"/>
      <c r="J12" s="225"/>
      <c r="K12" s="225"/>
      <c r="L12" s="226"/>
      <c r="M12" s="224"/>
      <c r="N12" s="225"/>
      <c r="O12" s="225"/>
      <c r="P12" s="225"/>
      <c r="Q12" s="225"/>
      <c r="R12" s="225"/>
      <c r="S12" s="225"/>
      <c r="T12" s="225"/>
      <c r="U12" s="225"/>
      <c r="V12" s="225"/>
      <c r="W12" s="226"/>
      <c r="X12" s="224"/>
      <c r="Y12" s="225"/>
      <c r="Z12" s="225"/>
      <c r="AA12" s="225"/>
      <c r="AB12" s="225"/>
      <c r="AC12" s="225"/>
      <c r="AD12" s="225"/>
      <c r="AE12" s="225"/>
      <c r="AF12" s="225"/>
      <c r="AG12" s="225"/>
      <c r="AH12" s="226"/>
      <c r="AI12" s="224"/>
      <c r="AJ12" s="225"/>
      <c r="AK12" s="225"/>
      <c r="AL12" s="225"/>
      <c r="AM12" s="225"/>
      <c r="AN12" s="225"/>
      <c r="AO12" s="225"/>
      <c r="AP12" s="225"/>
      <c r="AQ12" s="225"/>
      <c r="AR12" s="225"/>
      <c r="AS12" s="225"/>
      <c r="AT12" s="226"/>
      <c r="AU12" s="224"/>
      <c r="AV12" s="225"/>
      <c r="AW12" s="225"/>
      <c r="AX12" s="225"/>
      <c r="AY12" s="225"/>
      <c r="AZ12" s="225"/>
      <c r="BA12" s="225"/>
      <c r="BB12" s="225"/>
      <c r="BC12" s="225"/>
      <c r="BD12" s="225"/>
      <c r="BE12" s="225"/>
      <c r="BF12" s="232"/>
    </row>
    <row r="13" spans="2:58" ht="13" customHeight="1" x14ac:dyDescent="0.25">
      <c r="B13" s="239"/>
      <c r="C13" s="225"/>
      <c r="D13" s="225"/>
      <c r="E13" s="225"/>
      <c r="F13" s="225"/>
      <c r="G13" s="225"/>
      <c r="H13" s="225"/>
      <c r="I13" s="225"/>
      <c r="J13" s="225"/>
      <c r="K13" s="225"/>
      <c r="L13" s="226"/>
      <c r="M13" s="224"/>
      <c r="N13" s="225"/>
      <c r="O13" s="225"/>
      <c r="P13" s="225"/>
      <c r="Q13" s="225"/>
      <c r="R13" s="225"/>
      <c r="S13" s="225"/>
      <c r="T13" s="225"/>
      <c r="U13" s="225"/>
      <c r="V13" s="225"/>
      <c r="W13" s="226"/>
      <c r="X13" s="224"/>
      <c r="Y13" s="225"/>
      <c r="Z13" s="225"/>
      <c r="AA13" s="225"/>
      <c r="AB13" s="225"/>
      <c r="AC13" s="225"/>
      <c r="AD13" s="225"/>
      <c r="AE13" s="225"/>
      <c r="AF13" s="225"/>
      <c r="AG13" s="225"/>
      <c r="AH13" s="226"/>
      <c r="AI13" s="224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6"/>
      <c r="AU13" s="224"/>
      <c r="AV13" s="225"/>
      <c r="AW13" s="225"/>
      <c r="AX13" s="225"/>
      <c r="AY13" s="225"/>
      <c r="AZ13" s="225"/>
      <c r="BA13" s="225"/>
      <c r="BB13" s="225"/>
      <c r="BC13" s="225"/>
      <c r="BD13" s="225"/>
      <c r="BE13" s="225"/>
      <c r="BF13" s="232"/>
    </row>
    <row r="14" spans="2:58" ht="13" customHeight="1" x14ac:dyDescent="0.25">
      <c r="B14" s="239"/>
      <c r="C14" s="225"/>
      <c r="D14" s="225"/>
      <c r="E14" s="225"/>
      <c r="F14" s="225"/>
      <c r="G14" s="225"/>
      <c r="H14" s="225"/>
      <c r="I14" s="225"/>
      <c r="J14" s="225"/>
      <c r="K14" s="225"/>
      <c r="L14" s="226"/>
      <c r="M14" s="224"/>
      <c r="N14" s="225"/>
      <c r="O14" s="225"/>
      <c r="P14" s="225"/>
      <c r="Q14" s="225"/>
      <c r="R14" s="225"/>
      <c r="S14" s="225"/>
      <c r="T14" s="225"/>
      <c r="U14" s="225"/>
      <c r="V14" s="225"/>
      <c r="W14" s="226"/>
      <c r="X14" s="224"/>
      <c r="Y14" s="225"/>
      <c r="Z14" s="225"/>
      <c r="AA14" s="225"/>
      <c r="AB14" s="225"/>
      <c r="AC14" s="225"/>
      <c r="AD14" s="225"/>
      <c r="AE14" s="225"/>
      <c r="AF14" s="225"/>
      <c r="AG14" s="225"/>
      <c r="AH14" s="226"/>
      <c r="AI14" s="224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6"/>
      <c r="AU14" s="224"/>
      <c r="AV14" s="225"/>
      <c r="AW14" s="225"/>
      <c r="AX14" s="225"/>
      <c r="AY14" s="225"/>
      <c r="AZ14" s="225"/>
      <c r="BA14" s="225"/>
      <c r="BB14" s="225"/>
      <c r="BC14" s="225"/>
      <c r="BD14" s="225"/>
      <c r="BE14" s="225"/>
      <c r="BF14" s="232"/>
    </row>
    <row r="15" spans="2:58" ht="13" customHeight="1" x14ac:dyDescent="0.25">
      <c r="B15" s="239"/>
      <c r="C15" s="225"/>
      <c r="D15" s="225"/>
      <c r="E15" s="225"/>
      <c r="F15" s="225"/>
      <c r="G15" s="225"/>
      <c r="H15" s="225"/>
      <c r="I15" s="225"/>
      <c r="J15" s="225"/>
      <c r="K15" s="225"/>
      <c r="L15" s="226"/>
      <c r="M15" s="224"/>
      <c r="N15" s="225"/>
      <c r="O15" s="225"/>
      <c r="P15" s="225"/>
      <c r="Q15" s="225"/>
      <c r="R15" s="225"/>
      <c r="S15" s="225"/>
      <c r="T15" s="225"/>
      <c r="U15" s="225"/>
      <c r="V15" s="225"/>
      <c r="W15" s="226"/>
      <c r="X15" s="224"/>
      <c r="Y15" s="225"/>
      <c r="Z15" s="225"/>
      <c r="AA15" s="225"/>
      <c r="AB15" s="225"/>
      <c r="AC15" s="225"/>
      <c r="AD15" s="225"/>
      <c r="AE15" s="225"/>
      <c r="AF15" s="225"/>
      <c r="AG15" s="225"/>
      <c r="AH15" s="226"/>
      <c r="AI15" s="224"/>
      <c r="AJ15" s="225"/>
      <c r="AK15" s="225"/>
      <c r="AL15" s="225"/>
      <c r="AM15" s="225"/>
      <c r="AN15" s="225"/>
      <c r="AO15" s="225"/>
      <c r="AP15" s="225"/>
      <c r="AQ15" s="225"/>
      <c r="AR15" s="225"/>
      <c r="AS15" s="225"/>
      <c r="AT15" s="226"/>
      <c r="AU15" s="224"/>
      <c r="AV15" s="225"/>
      <c r="AW15" s="225"/>
      <c r="AX15" s="225"/>
      <c r="AY15" s="225"/>
      <c r="AZ15" s="225"/>
      <c r="BA15" s="225"/>
      <c r="BB15" s="225"/>
      <c r="BC15" s="225"/>
      <c r="BD15" s="225"/>
      <c r="BE15" s="225"/>
      <c r="BF15" s="232"/>
    </row>
    <row r="16" spans="2:58" ht="13" customHeight="1" x14ac:dyDescent="0.25">
      <c r="B16" s="239"/>
      <c r="C16" s="225"/>
      <c r="D16" s="225"/>
      <c r="E16" s="225"/>
      <c r="F16" s="225"/>
      <c r="G16" s="225"/>
      <c r="H16" s="225"/>
      <c r="I16" s="225"/>
      <c r="J16" s="225"/>
      <c r="K16" s="225"/>
      <c r="L16" s="226"/>
      <c r="M16" s="224"/>
      <c r="N16" s="225"/>
      <c r="O16" s="225"/>
      <c r="P16" s="225"/>
      <c r="Q16" s="225"/>
      <c r="R16" s="225"/>
      <c r="S16" s="225"/>
      <c r="T16" s="225"/>
      <c r="U16" s="225"/>
      <c r="V16" s="225"/>
      <c r="W16" s="226"/>
      <c r="X16" s="224"/>
      <c r="Y16" s="225"/>
      <c r="Z16" s="225"/>
      <c r="AA16" s="225"/>
      <c r="AB16" s="225"/>
      <c r="AC16" s="225"/>
      <c r="AD16" s="225"/>
      <c r="AE16" s="225"/>
      <c r="AF16" s="225"/>
      <c r="AG16" s="225"/>
      <c r="AH16" s="226"/>
      <c r="AI16" s="224"/>
      <c r="AJ16" s="225"/>
      <c r="AK16" s="225"/>
      <c r="AL16" s="225"/>
      <c r="AM16" s="225"/>
      <c r="AN16" s="225"/>
      <c r="AO16" s="225"/>
      <c r="AP16" s="225"/>
      <c r="AQ16" s="225"/>
      <c r="AR16" s="225"/>
      <c r="AS16" s="225"/>
      <c r="AT16" s="226"/>
      <c r="AU16" s="224"/>
      <c r="AV16" s="225"/>
      <c r="AW16" s="225"/>
      <c r="AX16" s="225"/>
      <c r="AY16" s="225"/>
      <c r="AZ16" s="225"/>
      <c r="BA16" s="225"/>
      <c r="BB16" s="225"/>
      <c r="BC16" s="225"/>
      <c r="BD16" s="225"/>
      <c r="BE16" s="225"/>
      <c r="BF16" s="232"/>
    </row>
    <row r="17" spans="2:58" ht="13" customHeight="1" x14ac:dyDescent="0.25">
      <c r="B17" s="240"/>
      <c r="C17" s="228"/>
      <c r="D17" s="228"/>
      <c r="E17" s="228"/>
      <c r="F17" s="228"/>
      <c r="G17" s="228"/>
      <c r="H17" s="228"/>
      <c r="I17" s="228"/>
      <c r="J17" s="228"/>
      <c r="K17" s="228"/>
      <c r="L17" s="185"/>
      <c r="M17" s="227"/>
      <c r="N17" s="228"/>
      <c r="O17" s="228"/>
      <c r="P17" s="228"/>
      <c r="Q17" s="228"/>
      <c r="R17" s="228"/>
      <c r="S17" s="228"/>
      <c r="T17" s="228"/>
      <c r="U17" s="228"/>
      <c r="V17" s="228"/>
      <c r="W17" s="185"/>
      <c r="X17" s="227"/>
      <c r="Y17" s="228"/>
      <c r="Z17" s="228"/>
      <c r="AA17" s="228"/>
      <c r="AB17" s="228"/>
      <c r="AC17" s="228"/>
      <c r="AD17" s="228"/>
      <c r="AE17" s="228"/>
      <c r="AF17" s="228"/>
      <c r="AG17" s="228"/>
      <c r="AH17" s="185"/>
      <c r="AI17" s="227"/>
      <c r="AJ17" s="228"/>
      <c r="AK17" s="228"/>
      <c r="AL17" s="228"/>
      <c r="AM17" s="228"/>
      <c r="AN17" s="228"/>
      <c r="AO17" s="228"/>
      <c r="AP17" s="228"/>
      <c r="AQ17" s="228"/>
      <c r="AR17" s="228"/>
      <c r="AS17" s="228"/>
      <c r="AT17" s="185"/>
      <c r="AU17" s="227"/>
      <c r="AV17" s="228"/>
      <c r="AW17" s="228"/>
      <c r="AX17" s="228"/>
      <c r="AY17" s="228"/>
      <c r="AZ17" s="228"/>
      <c r="BA17" s="228"/>
      <c r="BB17" s="228"/>
      <c r="BC17" s="228"/>
      <c r="BD17" s="228"/>
      <c r="BE17" s="228"/>
      <c r="BF17" s="233"/>
    </row>
    <row r="18" spans="2:58" ht="13" customHeight="1" x14ac:dyDescent="0.25">
      <c r="B18" s="217" t="s">
        <v>241</v>
      </c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50" t="s">
        <v>242</v>
      </c>
      <c r="N18" s="215"/>
      <c r="O18" s="215"/>
      <c r="P18" s="215"/>
      <c r="Q18" s="215"/>
      <c r="R18" s="215"/>
      <c r="S18" s="215"/>
      <c r="T18" s="215"/>
      <c r="U18" s="215"/>
      <c r="V18" s="215"/>
      <c r="W18" s="186"/>
      <c r="X18" s="249" t="s">
        <v>243</v>
      </c>
      <c r="Y18" s="215"/>
      <c r="Z18" s="215"/>
      <c r="AA18" s="215"/>
      <c r="AB18" s="215"/>
      <c r="AC18" s="215"/>
      <c r="AD18" s="215"/>
      <c r="AE18" s="215"/>
      <c r="AF18" s="215"/>
      <c r="AG18" s="215"/>
      <c r="AH18" s="186"/>
      <c r="AI18" s="154" t="s">
        <v>244</v>
      </c>
      <c r="AJ18" s="215"/>
      <c r="AK18" s="215"/>
      <c r="AL18" s="215"/>
      <c r="AM18" s="215"/>
      <c r="AN18" s="215"/>
      <c r="AO18" s="215"/>
      <c r="AP18" s="215"/>
      <c r="AQ18" s="215"/>
      <c r="AR18" s="215"/>
      <c r="AS18" s="215"/>
      <c r="AT18" s="186"/>
      <c r="AU18" s="168" t="s">
        <v>245</v>
      </c>
      <c r="AV18" s="215"/>
      <c r="AW18" s="215"/>
      <c r="AX18" s="215"/>
      <c r="AY18" s="215"/>
      <c r="AZ18" s="215"/>
      <c r="BA18" s="215"/>
      <c r="BB18" s="215"/>
      <c r="BC18" s="215"/>
      <c r="BD18" s="215"/>
      <c r="BE18" s="215"/>
      <c r="BF18" s="219"/>
    </row>
    <row r="19" spans="2:58" ht="13" customHeight="1" x14ac:dyDescent="0.25">
      <c r="B19" s="238"/>
      <c r="C19" s="222"/>
      <c r="D19" s="222"/>
      <c r="E19" s="222"/>
      <c r="F19" s="222"/>
      <c r="G19" s="222"/>
      <c r="H19" s="222"/>
      <c r="I19" s="222"/>
      <c r="J19" s="222"/>
      <c r="K19" s="222"/>
      <c r="L19" s="223"/>
      <c r="M19" s="252"/>
      <c r="N19" s="222"/>
      <c r="O19" s="222"/>
      <c r="P19" s="222"/>
      <c r="Q19" s="222"/>
      <c r="R19" s="222"/>
      <c r="S19" s="222"/>
      <c r="T19" s="222"/>
      <c r="U19" s="222"/>
      <c r="V19" s="222"/>
      <c r="W19" s="223"/>
      <c r="X19" s="221"/>
      <c r="Y19" s="222"/>
      <c r="Z19" s="222"/>
      <c r="AA19" s="222"/>
      <c r="AB19" s="222"/>
      <c r="AC19" s="222"/>
      <c r="AD19" s="222"/>
      <c r="AE19" s="222"/>
      <c r="AF19" s="222"/>
      <c r="AG19" s="222"/>
      <c r="AH19" s="223"/>
      <c r="AI19" s="229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3"/>
      <c r="AU19" s="230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31"/>
    </row>
    <row r="20" spans="2:58" ht="13" customHeight="1" x14ac:dyDescent="0.25">
      <c r="B20" s="239"/>
      <c r="C20" s="225"/>
      <c r="D20" s="225"/>
      <c r="E20" s="225"/>
      <c r="F20" s="225"/>
      <c r="G20" s="225"/>
      <c r="H20" s="225"/>
      <c r="I20" s="225"/>
      <c r="J20" s="225"/>
      <c r="K20" s="225"/>
      <c r="L20" s="226"/>
      <c r="M20" s="224"/>
      <c r="N20" s="225"/>
      <c r="O20" s="225"/>
      <c r="P20" s="225"/>
      <c r="Q20" s="225"/>
      <c r="R20" s="225"/>
      <c r="S20" s="225"/>
      <c r="T20" s="225"/>
      <c r="U20" s="225"/>
      <c r="V20" s="225"/>
      <c r="W20" s="226"/>
      <c r="X20" s="224"/>
      <c r="Y20" s="225"/>
      <c r="Z20" s="225"/>
      <c r="AA20" s="225"/>
      <c r="AB20" s="225"/>
      <c r="AC20" s="225"/>
      <c r="AD20" s="225"/>
      <c r="AE20" s="225"/>
      <c r="AF20" s="225"/>
      <c r="AG20" s="225"/>
      <c r="AH20" s="226"/>
      <c r="AI20" s="224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6"/>
      <c r="AU20" s="224"/>
      <c r="AV20" s="225"/>
      <c r="AW20" s="225"/>
      <c r="AX20" s="225"/>
      <c r="AY20" s="225"/>
      <c r="AZ20" s="225"/>
      <c r="BA20" s="225"/>
      <c r="BB20" s="225"/>
      <c r="BC20" s="225"/>
      <c r="BD20" s="225"/>
      <c r="BE20" s="225"/>
      <c r="BF20" s="232"/>
    </row>
    <row r="21" spans="2:58" ht="13" customHeight="1" x14ac:dyDescent="0.25">
      <c r="B21" s="239"/>
      <c r="C21" s="225"/>
      <c r="D21" s="225"/>
      <c r="E21" s="225"/>
      <c r="F21" s="225"/>
      <c r="G21" s="225"/>
      <c r="H21" s="225"/>
      <c r="I21" s="225"/>
      <c r="J21" s="225"/>
      <c r="K21" s="225"/>
      <c r="L21" s="226"/>
      <c r="M21" s="224"/>
      <c r="N21" s="225"/>
      <c r="O21" s="225"/>
      <c r="P21" s="225"/>
      <c r="Q21" s="225"/>
      <c r="R21" s="225"/>
      <c r="S21" s="225"/>
      <c r="T21" s="225"/>
      <c r="U21" s="225"/>
      <c r="V21" s="225"/>
      <c r="W21" s="226"/>
      <c r="X21" s="224"/>
      <c r="Y21" s="225"/>
      <c r="Z21" s="225"/>
      <c r="AA21" s="225"/>
      <c r="AB21" s="225"/>
      <c r="AC21" s="225"/>
      <c r="AD21" s="225"/>
      <c r="AE21" s="225"/>
      <c r="AF21" s="225"/>
      <c r="AG21" s="225"/>
      <c r="AH21" s="226"/>
      <c r="AI21" s="224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6"/>
      <c r="AU21" s="224"/>
      <c r="AV21" s="225"/>
      <c r="AW21" s="225"/>
      <c r="AX21" s="225"/>
      <c r="AY21" s="225"/>
      <c r="AZ21" s="225"/>
      <c r="BA21" s="225"/>
      <c r="BB21" s="225"/>
      <c r="BC21" s="225"/>
      <c r="BD21" s="225"/>
      <c r="BE21" s="225"/>
      <c r="BF21" s="232"/>
    </row>
    <row r="22" spans="2:58" ht="13" customHeight="1" x14ac:dyDescent="0.25">
      <c r="B22" s="239"/>
      <c r="C22" s="225"/>
      <c r="D22" s="225"/>
      <c r="E22" s="225"/>
      <c r="F22" s="225"/>
      <c r="G22" s="225"/>
      <c r="H22" s="225"/>
      <c r="I22" s="225"/>
      <c r="J22" s="225"/>
      <c r="K22" s="225"/>
      <c r="L22" s="226"/>
      <c r="M22" s="224"/>
      <c r="N22" s="225"/>
      <c r="O22" s="225"/>
      <c r="P22" s="225"/>
      <c r="Q22" s="225"/>
      <c r="R22" s="225"/>
      <c r="S22" s="225"/>
      <c r="T22" s="225"/>
      <c r="U22" s="225"/>
      <c r="V22" s="225"/>
      <c r="W22" s="226"/>
      <c r="X22" s="224"/>
      <c r="Y22" s="225"/>
      <c r="Z22" s="225"/>
      <c r="AA22" s="225"/>
      <c r="AB22" s="225"/>
      <c r="AC22" s="225"/>
      <c r="AD22" s="225"/>
      <c r="AE22" s="225"/>
      <c r="AF22" s="225"/>
      <c r="AG22" s="225"/>
      <c r="AH22" s="226"/>
      <c r="AI22" s="224"/>
      <c r="AJ22" s="225"/>
      <c r="AK22" s="225"/>
      <c r="AL22" s="225"/>
      <c r="AM22" s="225"/>
      <c r="AN22" s="225"/>
      <c r="AO22" s="225"/>
      <c r="AP22" s="225"/>
      <c r="AQ22" s="225"/>
      <c r="AR22" s="225"/>
      <c r="AS22" s="225"/>
      <c r="AT22" s="226"/>
      <c r="AU22" s="224"/>
      <c r="AV22" s="225"/>
      <c r="AW22" s="225"/>
      <c r="AX22" s="225"/>
      <c r="AY22" s="225"/>
      <c r="AZ22" s="225"/>
      <c r="BA22" s="225"/>
      <c r="BB22" s="225"/>
      <c r="BC22" s="225"/>
      <c r="BD22" s="225"/>
      <c r="BE22" s="225"/>
      <c r="BF22" s="232"/>
    </row>
    <row r="23" spans="2:58" ht="13" customHeight="1" x14ac:dyDescent="0.25">
      <c r="B23" s="239"/>
      <c r="C23" s="225"/>
      <c r="D23" s="225"/>
      <c r="E23" s="225"/>
      <c r="F23" s="225"/>
      <c r="G23" s="225"/>
      <c r="H23" s="225"/>
      <c r="I23" s="225"/>
      <c r="J23" s="225"/>
      <c r="K23" s="225"/>
      <c r="L23" s="226"/>
      <c r="M23" s="224"/>
      <c r="N23" s="225"/>
      <c r="O23" s="225"/>
      <c r="P23" s="225"/>
      <c r="Q23" s="225"/>
      <c r="R23" s="225"/>
      <c r="S23" s="225"/>
      <c r="T23" s="225"/>
      <c r="U23" s="225"/>
      <c r="V23" s="225"/>
      <c r="W23" s="226"/>
      <c r="X23" s="224"/>
      <c r="Y23" s="225"/>
      <c r="Z23" s="225"/>
      <c r="AA23" s="225"/>
      <c r="AB23" s="225"/>
      <c r="AC23" s="225"/>
      <c r="AD23" s="225"/>
      <c r="AE23" s="225"/>
      <c r="AF23" s="225"/>
      <c r="AG23" s="225"/>
      <c r="AH23" s="226"/>
      <c r="AI23" s="224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6"/>
      <c r="AU23" s="224"/>
      <c r="AV23" s="225"/>
      <c r="AW23" s="225"/>
      <c r="AX23" s="225"/>
      <c r="AY23" s="225"/>
      <c r="AZ23" s="225"/>
      <c r="BA23" s="225"/>
      <c r="BB23" s="225"/>
      <c r="BC23" s="225"/>
      <c r="BD23" s="225"/>
      <c r="BE23" s="225"/>
      <c r="BF23" s="232"/>
    </row>
    <row r="24" spans="2:58" ht="13" customHeight="1" x14ac:dyDescent="0.25">
      <c r="B24" s="240"/>
      <c r="C24" s="228"/>
      <c r="D24" s="228"/>
      <c r="E24" s="228"/>
      <c r="F24" s="228"/>
      <c r="G24" s="228"/>
      <c r="H24" s="228"/>
      <c r="I24" s="228"/>
      <c r="J24" s="228"/>
      <c r="K24" s="228"/>
      <c r="L24" s="185"/>
      <c r="M24" s="227"/>
      <c r="N24" s="228"/>
      <c r="O24" s="228"/>
      <c r="P24" s="228"/>
      <c r="Q24" s="228"/>
      <c r="R24" s="228"/>
      <c r="S24" s="228"/>
      <c r="T24" s="228"/>
      <c r="U24" s="228"/>
      <c r="V24" s="228"/>
      <c r="W24" s="185"/>
      <c r="X24" s="227"/>
      <c r="Y24" s="228"/>
      <c r="Z24" s="228"/>
      <c r="AA24" s="228"/>
      <c r="AB24" s="228"/>
      <c r="AC24" s="228"/>
      <c r="AD24" s="228"/>
      <c r="AE24" s="228"/>
      <c r="AF24" s="228"/>
      <c r="AG24" s="228"/>
      <c r="AH24" s="185"/>
      <c r="AI24" s="227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185"/>
      <c r="AU24" s="227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33"/>
    </row>
    <row r="25" spans="2:58" ht="13" customHeight="1" x14ac:dyDescent="0.25">
      <c r="B25" s="217" t="s">
        <v>246</v>
      </c>
      <c r="C25" s="215"/>
      <c r="D25" s="215"/>
      <c r="E25" s="215"/>
      <c r="F25" s="215"/>
      <c r="G25" s="215"/>
      <c r="H25" s="215"/>
      <c r="I25" s="215"/>
      <c r="J25" s="215"/>
      <c r="K25" s="215"/>
      <c r="L25" s="186"/>
      <c r="M25" s="192" t="s">
        <v>247</v>
      </c>
      <c r="N25" s="215"/>
      <c r="O25" s="215"/>
      <c r="P25" s="215"/>
      <c r="Q25" s="215"/>
      <c r="R25" s="215"/>
      <c r="S25" s="215"/>
      <c r="T25" s="215"/>
      <c r="U25" s="215"/>
      <c r="V25" s="215"/>
      <c r="W25" s="186"/>
      <c r="X25" s="218" t="s">
        <v>248</v>
      </c>
      <c r="Y25" s="215"/>
      <c r="Z25" s="215"/>
      <c r="AA25" s="215"/>
      <c r="AB25" s="215"/>
      <c r="AC25" s="215"/>
      <c r="AD25" s="215"/>
      <c r="AE25" s="215"/>
      <c r="AF25" s="215"/>
      <c r="AG25" s="215"/>
      <c r="AH25" s="186"/>
      <c r="AI25" s="168" t="s">
        <v>249</v>
      </c>
      <c r="AJ25" s="215"/>
      <c r="AK25" s="215"/>
      <c r="AL25" s="215"/>
      <c r="AM25" s="215"/>
      <c r="AN25" s="215"/>
      <c r="AO25" s="215"/>
      <c r="AP25" s="215"/>
      <c r="AQ25" s="215"/>
      <c r="AR25" s="215"/>
      <c r="AS25" s="215"/>
      <c r="AT25" s="186"/>
      <c r="AU25" s="168" t="s">
        <v>250</v>
      </c>
      <c r="AV25" s="215"/>
      <c r="AW25" s="215"/>
      <c r="AX25" s="215"/>
      <c r="AY25" s="215"/>
      <c r="AZ25" s="215"/>
      <c r="BA25" s="215"/>
      <c r="BB25" s="215"/>
      <c r="BC25" s="215"/>
      <c r="BD25" s="215"/>
      <c r="BE25" s="215"/>
      <c r="BF25" s="219"/>
    </row>
    <row r="26" spans="2:58" ht="13" customHeight="1" x14ac:dyDescent="0.25">
      <c r="B26" s="238"/>
      <c r="C26" s="222"/>
      <c r="D26" s="222"/>
      <c r="E26" s="222"/>
      <c r="F26" s="222"/>
      <c r="G26" s="222"/>
      <c r="H26" s="222"/>
      <c r="I26" s="222"/>
      <c r="J26" s="222"/>
      <c r="K26" s="222"/>
      <c r="L26" s="223"/>
      <c r="M26" s="246"/>
      <c r="N26" s="222"/>
      <c r="O26" s="222"/>
      <c r="P26" s="222"/>
      <c r="Q26" s="222"/>
      <c r="R26" s="222"/>
      <c r="S26" s="222"/>
      <c r="T26" s="222"/>
      <c r="U26" s="222"/>
      <c r="V26" s="222"/>
      <c r="W26" s="223"/>
      <c r="X26" s="242"/>
      <c r="Y26" s="222"/>
      <c r="Z26" s="222"/>
      <c r="AA26" s="222"/>
      <c r="AB26" s="222"/>
      <c r="AC26" s="222"/>
      <c r="AD26" s="222"/>
      <c r="AE26" s="222"/>
      <c r="AF26" s="222"/>
      <c r="AG26" s="222"/>
      <c r="AH26" s="223"/>
      <c r="AI26" s="230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3"/>
      <c r="AU26" s="230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31"/>
    </row>
    <row r="27" spans="2:58" ht="13" customHeight="1" x14ac:dyDescent="0.25">
      <c r="B27" s="239"/>
      <c r="C27" s="225"/>
      <c r="D27" s="225"/>
      <c r="E27" s="225"/>
      <c r="F27" s="225"/>
      <c r="G27" s="225"/>
      <c r="H27" s="225"/>
      <c r="I27" s="225"/>
      <c r="J27" s="225"/>
      <c r="K27" s="225"/>
      <c r="L27" s="226"/>
      <c r="M27" s="224"/>
      <c r="N27" s="225"/>
      <c r="O27" s="225"/>
      <c r="P27" s="225"/>
      <c r="Q27" s="225"/>
      <c r="R27" s="225"/>
      <c r="S27" s="225"/>
      <c r="T27" s="225"/>
      <c r="U27" s="225"/>
      <c r="V27" s="225"/>
      <c r="W27" s="226"/>
      <c r="X27" s="224"/>
      <c r="Y27" s="225"/>
      <c r="Z27" s="225"/>
      <c r="AA27" s="225"/>
      <c r="AB27" s="225"/>
      <c r="AC27" s="225"/>
      <c r="AD27" s="225"/>
      <c r="AE27" s="225"/>
      <c r="AF27" s="225"/>
      <c r="AG27" s="225"/>
      <c r="AH27" s="226"/>
      <c r="AI27" s="224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6"/>
      <c r="AU27" s="224"/>
      <c r="AV27" s="225"/>
      <c r="AW27" s="225"/>
      <c r="AX27" s="225"/>
      <c r="AY27" s="225"/>
      <c r="AZ27" s="225"/>
      <c r="BA27" s="225"/>
      <c r="BB27" s="225"/>
      <c r="BC27" s="225"/>
      <c r="BD27" s="225"/>
      <c r="BE27" s="225"/>
      <c r="BF27" s="232"/>
    </row>
    <row r="28" spans="2:58" ht="13" customHeight="1" x14ac:dyDescent="0.25">
      <c r="B28" s="239"/>
      <c r="C28" s="225"/>
      <c r="D28" s="225"/>
      <c r="E28" s="225"/>
      <c r="F28" s="225"/>
      <c r="G28" s="225"/>
      <c r="H28" s="225"/>
      <c r="I28" s="225"/>
      <c r="J28" s="225"/>
      <c r="K28" s="225"/>
      <c r="L28" s="226"/>
      <c r="M28" s="224"/>
      <c r="N28" s="225"/>
      <c r="O28" s="225"/>
      <c r="P28" s="225"/>
      <c r="Q28" s="225"/>
      <c r="R28" s="225"/>
      <c r="S28" s="225"/>
      <c r="T28" s="225"/>
      <c r="U28" s="225"/>
      <c r="V28" s="225"/>
      <c r="W28" s="226"/>
      <c r="X28" s="224"/>
      <c r="Y28" s="225"/>
      <c r="Z28" s="225"/>
      <c r="AA28" s="225"/>
      <c r="AB28" s="225"/>
      <c r="AC28" s="225"/>
      <c r="AD28" s="225"/>
      <c r="AE28" s="225"/>
      <c r="AF28" s="225"/>
      <c r="AG28" s="225"/>
      <c r="AH28" s="226"/>
      <c r="AI28" s="224"/>
      <c r="AJ28" s="225"/>
      <c r="AK28" s="225"/>
      <c r="AL28" s="225"/>
      <c r="AM28" s="225"/>
      <c r="AN28" s="225"/>
      <c r="AO28" s="225"/>
      <c r="AP28" s="225"/>
      <c r="AQ28" s="225"/>
      <c r="AR28" s="225"/>
      <c r="AS28" s="225"/>
      <c r="AT28" s="226"/>
      <c r="AU28" s="224"/>
      <c r="AV28" s="225"/>
      <c r="AW28" s="225"/>
      <c r="AX28" s="225"/>
      <c r="AY28" s="225"/>
      <c r="AZ28" s="225"/>
      <c r="BA28" s="225"/>
      <c r="BB28" s="225"/>
      <c r="BC28" s="225"/>
      <c r="BD28" s="225"/>
      <c r="BE28" s="225"/>
      <c r="BF28" s="232"/>
    </row>
    <row r="29" spans="2:58" ht="13" customHeight="1" x14ac:dyDescent="0.25">
      <c r="B29" s="239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224"/>
      <c r="N29" s="225"/>
      <c r="O29" s="225"/>
      <c r="P29" s="225"/>
      <c r="Q29" s="225"/>
      <c r="R29" s="225"/>
      <c r="S29" s="225"/>
      <c r="T29" s="225"/>
      <c r="U29" s="225"/>
      <c r="V29" s="225"/>
      <c r="W29" s="226"/>
      <c r="X29" s="224"/>
      <c r="Y29" s="225"/>
      <c r="Z29" s="225"/>
      <c r="AA29" s="225"/>
      <c r="AB29" s="225"/>
      <c r="AC29" s="225"/>
      <c r="AD29" s="225"/>
      <c r="AE29" s="225"/>
      <c r="AF29" s="225"/>
      <c r="AG29" s="225"/>
      <c r="AH29" s="226"/>
      <c r="AI29" s="224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6"/>
      <c r="AU29" s="224"/>
      <c r="AV29" s="225"/>
      <c r="AW29" s="225"/>
      <c r="AX29" s="225"/>
      <c r="AY29" s="225"/>
      <c r="AZ29" s="225"/>
      <c r="BA29" s="225"/>
      <c r="BB29" s="225"/>
      <c r="BC29" s="225"/>
      <c r="BD29" s="225"/>
      <c r="BE29" s="225"/>
      <c r="BF29" s="232"/>
    </row>
    <row r="30" spans="2:58" ht="13" customHeight="1" x14ac:dyDescent="0.25">
      <c r="B30" s="239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M30" s="224"/>
      <c r="N30" s="225"/>
      <c r="O30" s="225"/>
      <c r="P30" s="225"/>
      <c r="Q30" s="225"/>
      <c r="R30" s="225"/>
      <c r="S30" s="225"/>
      <c r="T30" s="225"/>
      <c r="U30" s="225"/>
      <c r="V30" s="225"/>
      <c r="W30" s="226"/>
      <c r="X30" s="224"/>
      <c r="Y30" s="225"/>
      <c r="Z30" s="225"/>
      <c r="AA30" s="225"/>
      <c r="AB30" s="225"/>
      <c r="AC30" s="225"/>
      <c r="AD30" s="225"/>
      <c r="AE30" s="225"/>
      <c r="AF30" s="225"/>
      <c r="AG30" s="225"/>
      <c r="AH30" s="226"/>
      <c r="AI30" s="224"/>
      <c r="AJ30" s="225"/>
      <c r="AK30" s="225"/>
      <c r="AL30" s="225"/>
      <c r="AM30" s="225"/>
      <c r="AN30" s="225"/>
      <c r="AO30" s="225"/>
      <c r="AP30" s="225"/>
      <c r="AQ30" s="225"/>
      <c r="AR30" s="225"/>
      <c r="AS30" s="225"/>
      <c r="AT30" s="226"/>
      <c r="AU30" s="224"/>
      <c r="AV30" s="225"/>
      <c r="AW30" s="225"/>
      <c r="AX30" s="225"/>
      <c r="AY30" s="225"/>
      <c r="AZ30" s="225"/>
      <c r="BA30" s="225"/>
      <c r="BB30" s="225"/>
      <c r="BC30" s="225"/>
      <c r="BD30" s="225"/>
      <c r="BE30" s="225"/>
      <c r="BF30" s="232"/>
    </row>
    <row r="31" spans="2:58" ht="13" customHeight="1" x14ac:dyDescent="0.25">
      <c r="B31" s="240"/>
      <c r="C31" s="228"/>
      <c r="D31" s="228"/>
      <c r="E31" s="228"/>
      <c r="F31" s="228"/>
      <c r="G31" s="228"/>
      <c r="H31" s="228"/>
      <c r="I31" s="228"/>
      <c r="J31" s="228"/>
      <c r="K31" s="228"/>
      <c r="L31" s="185"/>
      <c r="M31" s="227"/>
      <c r="N31" s="228"/>
      <c r="O31" s="228"/>
      <c r="P31" s="228"/>
      <c r="Q31" s="228"/>
      <c r="R31" s="228"/>
      <c r="S31" s="228"/>
      <c r="T31" s="228"/>
      <c r="U31" s="228"/>
      <c r="V31" s="228"/>
      <c r="W31" s="185"/>
      <c r="X31" s="227"/>
      <c r="Y31" s="228"/>
      <c r="Z31" s="228"/>
      <c r="AA31" s="228"/>
      <c r="AB31" s="228"/>
      <c r="AC31" s="228"/>
      <c r="AD31" s="228"/>
      <c r="AE31" s="228"/>
      <c r="AF31" s="228"/>
      <c r="AG31" s="228"/>
      <c r="AH31" s="185"/>
      <c r="AI31" s="227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185"/>
      <c r="AU31" s="227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33"/>
    </row>
    <row r="32" spans="2:58" ht="13" customHeight="1" x14ac:dyDescent="0.25">
      <c r="B32" s="217" t="s">
        <v>251</v>
      </c>
      <c r="C32" s="215"/>
      <c r="D32" s="215"/>
      <c r="E32" s="215"/>
      <c r="F32" s="215"/>
      <c r="G32" s="215"/>
      <c r="H32" s="215"/>
      <c r="I32" s="215"/>
      <c r="J32" s="215"/>
      <c r="K32" s="215"/>
      <c r="L32" s="186"/>
      <c r="M32" s="220" t="s">
        <v>252</v>
      </c>
      <c r="N32" s="215"/>
      <c r="O32" s="215"/>
      <c r="P32" s="215"/>
      <c r="Q32" s="215"/>
      <c r="R32" s="215"/>
      <c r="S32" s="215"/>
      <c r="T32" s="215"/>
      <c r="U32" s="215"/>
      <c r="V32" s="215"/>
      <c r="W32" s="186"/>
      <c r="X32" s="218" t="s">
        <v>253</v>
      </c>
      <c r="Y32" s="215"/>
      <c r="Z32" s="215"/>
      <c r="AA32" s="215"/>
      <c r="AB32" s="215"/>
      <c r="AC32" s="215"/>
      <c r="AD32" s="215"/>
      <c r="AE32" s="215"/>
      <c r="AF32" s="215"/>
      <c r="AG32" s="215"/>
      <c r="AH32" s="186"/>
      <c r="AI32" s="168" t="s">
        <v>254</v>
      </c>
      <c r="AJ32" s="215"/>
      <c r="AK32" s="215"/>
      <c r="AL32" s="215"/>
      <c r="AM32" s="215"/>
      <c r="AN32" s="215"/>
      <c r="AO32" s="215"/>
      <c r="AP32" s="215"/>
      <c r="AQ32" s="215"/>
      <c r="AR32" s="215"/>
      <c r="AS32" s="215"/>
      <c r="AT32" s="186"/>
      <c r="AU32" s="168" t="s">
        <v>255</v>
      </c>
      <c r="AV32" s="215"/>
      <c r="AW32" s="215"/>
      <c r="AX32" s="215"/>
      <c r="AY32" s="215"/>
      <c r="AZ32" s="215"/>
      <c r="BA32" s="215"/>
      <c r="BB32" s="215"/>
      <c r="BC32" s="215"/>
      <c r="BD32" s="215"/>
      <c r="BE32" s="215"/>
      <c r="BF32" s="219"/>
    </row>
    <row r="33" spans="2:58" ht="13" customHeight="1" x14ac:dyDescent="0.25">
      <c r="B33" s="238"/>
      <c r="C33" s="222"/>
      <c r="D33" s="222"/>
      <c r="E33" s="222"/>
      <c r="F33" s="222"/>
      <c r="G33" s="222"/>
      <c r="H33" s="222"/>
      <c r="I33" s="222"/>
      <c r="J33" s="222"/>
      <c r="K33" s="222"/>
      <c r="L33" s="223"/>
      <c r="M33" s="241"/>
      <c r="N33" s="222"/>
      <c r="O33" s="222"/>
      <c r="P33" s="222"/>
      <c r="Q33" s="222"/>
      <c r="R33" s="222"/>
      <c r="S33" s="222"/>
      <c r="T33" s="222"/>
      <c r="U33" s="222"/>
      <c r="V33" s="222"/>
      <c r="W33" s="223"/>
      <c r="X33" s="242"/>
      <c r="Y33" s="222"/>
      <c r="Z33" s="222"/>
      <c r="AA33" s="222"/>
      <c r="AB33" s="222"/>
      <c r="AC33" s="222"/>
      <c r="AD33" s="222"/>
      <c r="AE33" s="222"/>
      <c r="AF33" s="222"/>
      <c r="AG33" s="222"/>
      <c r="AH33" s="223"/>
      <c r="AI33" s="230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3"/>
      <c r="AU33" s="230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31"/>
    </row>
    <row r="34" spans="2:58" ht="13" customHeight="1" x14ac:dyDescent="0.25">
      <c r="B34" s="239"/>
      <c r="C34" s="225"/>
      <c r="D34" s="225"/>
      <c r="E34" s="225"/>
      <c r="F34" s="225"/>
      <c r="G34" s="225"/>
      <c r="H34" s="225"/>
      <c r="I34" s="225"/>
      <c r="J34" s="225"/>
      <c r="K34" s="225"/>
      <c r="L34" s="226"/>
      <c r="M34" s="224"/>
      <c r="N34" s="225"/>
      <c r="O34" s="225"/>
      <c r="P34" s="225"/>
      <c r="Q34" s="225"/>
      <c r="R34" s="225"/>
      <c r="S34" s="225"/>
      <c r="T34" s="225"/>
      <c r="U34" s="225"/>
      <c r="V34" s="225"/>
      <c r="W34" s="226"/>
      <c r="X34" s="224"/>
      <c r="Y34" s="225"/>
      <c r="Z34" s="225"/>
      <c r="AA34" s="225"/>
      <c r="AB34" s="225"/>
      <c r="AC34" s="225"/>
      <c r="AD34" s="225"/>
      <c r="AE34" s="225"/>
      <c r="AF34" s="225"/>
      <c r="AG34" s="225"/>
      <c r="AH34" s="226"/>
      <c r="AI34" s="224"/>
      <c r="AJ34" s="225"/>
      <c r="AK34" s="225"/>
      <c r="AL34" s="225"/>
      <c r="AM34" s="225"/>
      <c r="AN34" s="225"/>
      <c r="AO34" s="225"/>
      <c r="AP34" s="225"/>
      <c r="AQ34" s="225"/>
      <c r="AR34" s="225"/>
      <c r="AS34" s="225"/>
      <c r="AT34" s="226"/>
      <c r="AU34" s="224"/>
      <c r="AV34" s="225"/>
      <c r="AW34" s="225"/>
      <c r="AX34" s="225"/>
      <c r="AY34" s="225"/>
      <c r="AZ34" s="225"/>
      <c r="BA34" s="225"/>
      <c r="BB34" s="225"/>
      <c r="BC34" s="225"/>
      <c r="BD34" s="225"/>
      <c r="BE34" s="225"/>
      <c r="BF34" s="232"/>
    </row>
    <row r="35" spans="2:58" ht="13" customHeight="1" x14ac:dyDescent="0.25">
      <c r="B35" s="239"/>
      <c r="C35" s="225"/>
      <c r="D35" s="225"/>
      <c r="E35" s="225"/>
      <c r="F35" s="225"/>
      <c r="G35" s="225"/>
      <c r="H35" s="225"/>
      <c r="I35" s="225"/>
      <c r="J35" s="225"/>
      <c r="K35" s="225"/>
      <c r="L35" s="226"/>
      <c r="M35" s="224"/>
      <c r="N35" s="225"/>
      <c r="O35" s="225"/>
      <c r="P35" s="225"/>
      <c r="Q35" s="225"/>
      <c r="R35" s="225"/>
      <c r="S35" s="225"/>
      <c r="T35" s="225"/>
      <c r="U35" s="225"/>
      <c r="V35" s="225"/>
      <c r="W35" s="226"/>
      <c r="X35" s="224"/>
      <c r="Y35" s="225"/>
      <c r="Z35" s="225"/>
      <c r="AA35" s="225"/>
      <c r="AB35" s="225"/>
      <c r="AC35" s="225"/>
      <c r="AD35" s="225"/>
      <c r="AE35" s="225"/>
      <c r="AF35" s="225"/>
      <c r="AG35" s="225"/>
      <c r="AH35" s="226"/>
      <c r="AI35" s="224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6"/>
      <c r="AU35" s="224"/>
      <c r="AV35" s="225"/>
      <c r="AW35" s="225"/>
      <c r="AX35" s="225"/>
      <c r="AY35" s="225"/>
      <c r="AZ35" s="225"/>
      <c r="BA35" s="225"/>
      <c r="BB35" s="225"/>
      <c r="BC35" s="225"/>
      <c r="BD35" s="225"/>
      <c r="BE35" s="225"/>
      <c r="BF35" s="232"/>
    </row>
    <row r="36" spans="2:58" ht="13" customHeight="1" x14ac:dyDescent="0.25">
      <c r="B36" s="239"/>
      <c r="C36" s="225"/>
      <c r="D36" s="225"/>
      <c r="E36" s="225"/>
      <c r="F36" s="225"/>
      <c r="G36" s="225"/>
      <c r="H36" s="225"/>
      <c r="I36" s="225"/>
      <c r="J36" s="225"/>
      <c r="K36" s="225"/>
      <c r="L36" s="226"/>
      <c r="M36" s="224"/>
      <c r="N36" s="225"/>
      <c r="O36" s="225"/>
      <c r="P36" s="225"/>
      <c r="Q36" s="225"/>
      <c r="R36" s="225"/>
      <c r="S36" s="225"/>
      <c r="T36" s="225"/>
      <c r="U36" s="225"/>
      <c r="V36" s="225"/>
      <c r="W36" s="226"/>
      <c r="X36" s="224"/>
      <c r="Y36" s="225"/>
      <c r="Z36" s="225"/>
      <c r="AA36" s="225"/>
      <c r="AB36" s="225"/>
      <c r="AC36" s="225"/>
      <c r="AD36" s="225"/>
      <c r="AE36" s="225"/>
      <c r="AF36" s="225"/>
      <c r="AG36" s="225"/>
      <c r="AH36" s="226"/>
      <c r="AI36" s="224"/>
      <c r="AJ36" s="225"/>
      <c r="AK36" s="225"/>
      <c r="AL36" s="225"/>
      <c r="AM36" s="225"/>
      <c r="AN36" s="225"/>
      <c r="AO36" s="225"/>
      <c r="AP36" s="225"/>
      <c r="AQ36" s="225"/>
      <c r="AR36" s="225"/>
      <c r="AS36" s="225"/>
      <c r="AT36" s="226"/>
      <c r="AU36" s="224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32"/>
    </row>
    <row r="37" spans="2:58" ht="13" customHeight="1" x14ac:dyDescent="0.25">
      <c r="B37" s="239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M37" s="224"/>
      <c r="N37" s="225"/>
      <c r="O37" s="225"/>
      <c r="P37" s="225"/>
      <c r="Q37" s="225"/>
      <c r="R37" s="225"/>
      <c r="S37" s="225"/>
      <c r="T37" s="225"/>
      <c r="U37" s="225"/>
      <c r="V37" s="225"/>
      <c r="W37" s="226"/>
      <c r="X37" s="224"/>
      <c r="Y37" s="225"/>
      <c r="Z37" s="225"/>
      <c r="AA37" s="225"/>
      <c r="AB37" s="225"/>
      <c r="AC37" s="225"/>
      <c r="AD37" s="225"/>
      <c r="AE37" s="225"/>
      <c r="AF37" s="225"/>
      <c r="AG37" s="225"/>
      <c r="AH37" s="226"/>
      <c r="AI37" s="224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6"/>
      <c r="AU37" s="224"/>
      <c r="AV37" s="225"/>
      <c r="AW37" s="225"/>
      <c r="AX37" s="225"/>
      <c r="AY37" s="225"/>
      <c r="AZ37" s="225"/>
      <c r="BA37" s="225"/>
      <c r="BB37" s="225"/>
      <c r="BC37" s="225"/>
      <c r="BD37" s="225"/>
      <c r="BE37" s="225"/>
      <c r="BF37" s="232"/>
    </row>
    <row r="38" spans="2:58" ht="13" customHeight="1" x14ac:dyDescent="0.25">
      <c r="B38" s="240"/>
      <c r="C38" s="228"/>
      <c r="D38" s="228"/>
      <c r="E38" s="228"/>
      <c r="F38" s="228"/>
      <c r="G38" s="228"/>
      <c r="H38" s="228"/>
      <c r="I38" s="228"/>
      <c r="J38" s="228"/>
      <c r="K38" s="228"/>
      <c r="L38" s="185"/>
      <c r="M38" s="227"/>
      <c r="N38" s="228"/>
      <c r="O38" s="228"/>
      <c r="P38" s="228"/>
      <c r="Q38" s="228"/>
      <c r="R38" s="228"/>
      <c r="S38" s="228"/>
      <c r="T38" s="228"/>
      <c r="U38" s="228"/>
      <c r="V38" s="228"/>
      <c r="W38" s="185"/>
      <c r="X38" s="227"/>
      <c r="Y38" s="228"/>
      <c r="Z38" s="228"/>
      <c r="AA38" s="228"/>
      <c r="AB38" s="228"/>
      <c r="AC38" s="228"/>
      <c r="AD38" s="228"/>
      <c r="AE38" s="228"/>
      <c r="AF38" s="228"/>
      <c r="AG38" s="228"/>
      <c r="AH38" s="185"/>
      <c r="AI38" s="227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185"/>
      <c r="AU38" s="227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33"/>
    </row>
    <row r="39" spans="2:58" ht="13" customHeight="1" x14ac:dyDescent="0.25">
      <c r="B39" s="217" t="s">
        <v>256</v>
      </c>
      <c r="C39" s="215"/>
      <c r="D39" s="215"/>
      <c r="E39" s="215"/>
      <c r="F39" s="215"/>
      <c r="G39" s="215"/>
      <c r="H39" s="215"/>
      <c r="I39" s="215"/>
      <c r="J39" s="215"/>
      <c r="K39" s="215"/>
      <c r="L39" s="186"/>
      <c r="M39" s="220" t="s">
        <v>257</v>
      </c>
      <c r="N39" s="215"/>
      <c r="O39" s="215"/>
      <c r="P39" s="215"/>
      <c r="Q39" s="215"/>
      <c r="R39" s="215"/>
      <c r="S39" s="215"/>
      <c r="T39" s="215"/>
      <c r="U39" s="215"/>
      <c r="V39" s="215"/>
      <c r="W39" s="186"/>
      <c r="X39" s="218" t="s">
        <v>258</v>
      </c>
      <c r="Y39" s="215"/>
      <c r="Z39" s="215"/>
      <c r="AA39" s="215"/>
      <c r="AB39" s="215"/>
      <c r="AC39" s="215"/>
      <c r="AD39" s="215"/>
      <c r="AE39" s="215"/>
      <c r="AF39" s="215"/>
      <c r="AG39" s="215"/>
      <c r="AH39" s="186"/>
      <c r="AI39" s="168" t="s">
        <v>259</v>
      </c>
      <c r="AJ39" s="215"/>
      <c r="AK39" s="215"/>
      <c r="AL39" s="215"/>
      <c r="AM39" s="215"/>
      <c r="AN39" s="215"/>
      <c r="AO39" s="215"/>
      <c r="AP39" s="215"/>
      <c r="AQ39" s="215"/>
      <c r="AR39" s="215"/>
      <c r="AS39" s="215"/>
      <c r="AT39" s="186"/>
      <c r="AU39" s="168" t="s">
        <v>260</v>
      </c>
      <c r="AV39" s="215"/>
      <c r="AW39" s="215"/>
      <c r="AX39" s="215"/>
      <c r="AY39" s="215"/>
      <c r="AZ39" s="215"/>
      <c r="BA39" s="215"/>
      <c r="BB39" s="215"/>
      <c r="BC39" s="215"/>
      <c r="BD39" s="215"/>
      <c r="BE39" s="215"/>
      <c r="BF39" s="219"/>
    </row>
    <row r="40" spans="2:58" ht="13" customHeight="1" x14ac:dyDescent="0.25">
      <c r="B40" s="238"/>
      <c r="C40" s="222"/>
      <c r="D40" s="222"/>
      <c r="E40" s="222"/>
      <c r="F40" s="222"/>
      <c r="G40" s="222"/>
      <c r="H40" s="222"/>
      <c r="I40" s="222"/>
      <c r="J40" s="222"/>
      <c r="K40" s="222"/>
      <c r="L40" s="223"/>
      <c r="M40" s="241"/>
      <c r="N40" s="222"/>
      <c r="O40" s="222"/>
      <c r="P40" s="222"/>
      <c r="Q40" s="222"/>
      <c r="R40" s="222"/>
      <c r="S40" s="222"/>
      <c r="T40" s="222"/>
      <c r="U40" s="222"/>
      <c r="V40" s="222"/>
      <c r="W40" s="223"/>
      <c r="X40" s="242"/>
      <c r="Y40" s="222"/>
      <c r="Z40" s="222"/>
      <c r="AA40" s="222"/>
      <c r="AB40" s="222"/>
      <c r="AC40" s="222"/>
      <c r="AD40" s="222"/>
      <c r="AE40" s="222"/>
      <c r="AF40" s="222"/>
      <c r="AG40" s="222"/>
      <c r="AH40" s="223"/>
      <c r="AI40" s="230"/>
      <c r="AJ40" s="222"/>
      <c r="AK40" s="222"/>
      <c r="AL40" s="222"/>
      <c r="AM40" s="222"/>
      <c r="AN40" s="222"/>
      <c r="AO40" s="222"/>
      <c r="AP40" s="222"/>
      <c r="AQ40" s="222"/>
      <c r="AR40" s="222"/>
      <c r="AS40" s="222"/>
      <c r="AT40" s="223"/>
      <c r="AU40" s="230"/>
      <c r="AV40" s="222"/>
      <c r="AW40" s="222"/>
      <c r="AX40" s="222"/>
      <c r="AY40" s="222"/>
      <c r="AZ40" s="222"/>
      <c r="BA40" s="222"/>
      <c r="BB40" s="222"/>
      <c r="BC40" s="222"/>
      <c r="BD40" s="222"/>
      <c r="BE40" s="222"/>
      <c r="BF40" s="231"/>
    </row>
    <row r="41" spans="2:58" ht="13" customHeight="1" x14ac:dyDescent="0.25">
      <c r="B41" s="239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24"/>
      <c r="N41" s="225"/>
      <c r="O41" s="225"/>
      <c r="P41" s="225"/>
      <c r="Q41" s="225"/>
      <c r="R41" s="225"/>
      <c r="S41" s="225"/>
      <c r="T41" s="225"/>
      <c r="U41" s="225"/>
      <c r="V41" s="225"/>
      <c r="W41" s="226"/>
      <c r="X41" s="224"/>
      <c r="Y41" s="225"/>
      <c r="Z41" s="225"/>
      <c r="AA41" s="225"/>
      <c r="AB41" s="225"/>
      <c r="AC41" s="225"/>
      <c r="AD41" s="225"/>
      <c r="AE41" s="225"/>
      <c r="AF41" s="225"/>
      <c r="AG41" s="225"/>
      <c r="AH41" s="226"/>
      <c r="AI41" s="224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6"/>
      <c r="AU41" s="224"/>
      <c r="AV41" s="225"/>
      <c r="AW41" s="225"/>
      <c r="AX41" s="225"/>
      <c r="AY41" s="225"/>
      <c r="AZ41" s="225"/>
      <c r="BA41" s="225"/>
      <c r="BB41" s="225"/>
      <c r="BC41" s="225"/>
      <c r="BD41" s="225"/>
      <c r="BE41" s="225"/>
      <c r="BF41" s="232"/>
    </row>
    <row r="42" spans="2:58" ht="13" customHeight="1" x14ac:dyDescent="0.25">
      <c r="B42" s="239"/>
      <c r="C42" s="225"/>
      <c r="D42" s="225"/>
      <c r="E42" s="225"/>
      <c r="F42" s="225"/>
      <c r="G42" s="225"/>
      <c r="H42" s="225"/>
      <c r="I42" s="225"/>
      <c r="J42" s="225"/>
      <c r="K42" s="225"/>
      <c r="L42" s="226"/>
      <c r="M42" s="224"/>
      <c r="N42" s="225"/>
      <c r="O42" s="225"/>
      <c r="P42" s="225"/>
      <c r="Q42" s="225"/>
      <c r="R42" s="225"/>
      <c r="S42" s="225"/>
      <c r="T42" s="225"/>
      <c r="U42" s="225"/>
      <c r="V42" s="225"/>
      <c r="W42" s="226"/>
      <c r="X42" s="224"/>
      <c r="Y42" s="225"/>
      <c r="Z42" s="225"/>
      <c r="AA42" s="225"/>
      <c r="AB42" s="225"/>
      <c r="AC42" s="225"/>
      <c r="AD42" s="225"/>
      <c r="AE42" s="225"/>
      <c r="AF42" s="225"/>
      <c r="AG42" s="225"/>
      <c r="AH42" s="226"/>
      <c r="AI42" s="224"/>
      <c r="AJ42" s="225"/>
      <c r="AK42" s="225"/>
      <c r="AL42" s="225"/>
      <c r="AM42" s="225"/>
      <c r="AN42" s="225"/>
      <c r="AO42" s="225"/>
      <c r="AP42" s="225"/>
      <c r="AQ42" s="225"/>
      <c r="AR42" s="225"/>
      <c r="AS42" s="225"/>
      <c r="AT42" s="226"/>
      <c r="AU42" s="224"/>
      <c r="AV42" s="225"/>
      <c r="AW42" s="225"/>
      <c r="AX42" s="225"/>
      <c r="AY42" s="225"/>
      <c r="AZ42" s="225"/>
      <c r="BA42" s="225"/>
      <c r="BB42" s="225"/>
      <c r="BC42" s="225"/>
      <c r="BD42" s="225"/>
      <c r="BE42" s="225"/>
      <c r="BF42" s="232"/>
    </row>
    <row r="43" spans="2:58" ht="13" customHeight="1" x14ac:dyDescent="0.25">
      <c r="B43" s="239"/>
      <c r="C43" s="225"/>
      <c r="D43" s="225"/>
      <c r="E43" s="225"/>
      <c r="F43" s="225"/>
      <c r="G43" s="225"/>
      <c r="H43" s="225"/>
      <c r="I43" s="225"/>
      <c r="J43" s="225"/>
      <c r="K43" s="225"/>
      <c r="L43" s="226"/>
      <c r="M43" s="224"/>
      <c r="N43" s="225"/>
      <c r="O43" s="225"/>
      <c r="P43" s="225"/>
      <c r="Q43" s="225"/>
      <c r="R43" s="225"/>
      <c r="S43" s="225"/>
      <c r="T43" s="225"/>
      <c r="U43" s="225"/>
      <c r="V43" s="225"/>
      <c r="W43" s="226"/>
      <c r="X43" s="224"/>
      <c r="Y43" s="225"/>
      <c r="Z43" s="225"/>
      <c r="AA43" s="225"/>
      <c r="AB43" s="225"/>
      <c r="AC43" s="225"/>
      <c r="AD43" s="225"/>
      <c r="AE43" s="225"/>
      <c r="AF43" s="225"/>
      <c r="AG43" s="225"/>
      <c r="AH43" s="226"/>
      <c r="AI43" s="224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6"/>
      <c r="AU43" s="224"/>
      <c r="AV43" s="225"/>
      <c r="AW43" s="225"/>
      <c r="AX43" s="225"/>
      <c r="AY43" s="225"/>
      <c r="AZ43" s="225"/>
      <c r="BA43" s="225"/>
      <c r="BB43" s="225"/>
      <c r="BC43" s="225"/>
      <c r="BD43" s="225"/>
      <c r="BE43" s="225"/>
      <c r="BF43" s="232"/>
    </row>
    <row r="44" spans="2:58" ht="13" customHeight="1" x14ac:dyDescent="0.25">
      <c r="B44" s="239"/>
      <c r="C44" s="225"/>
      <c r="D44" s="225"/>
      <c r="E44" s="225"/>
      <c r="F44" s="225"/>
      <c r="G44" s="225"/>
      <c r="H44" s="225"/>
      <c r="I44" s="225"/>
      <c r="J44" s="225"/>
      <c r="K44" s="225"/>
      <c r="L44" s="226"/>
      <c r="M44" s="224"/>
      <c r="N44" s="225"/>
      <c r="O44" s="225"/>
      <c r="P44" s="225"/>
      <c r="Q44" s="225"/>
      <c r="R44" s="225"/>
      <c r="S44" s="225"/>
      <c r="T44" s="225"/>
      <c r="U44" s="225"/>
      <c r="V44" s="225"/>
      <c r="W44" s="226"/>
      <c r="X44" s="224"/>
      <c r="Y44" s="225"/>
      <c r="Z44" s="225"/>
      <c r="AA44" s="225"/>
      <c r="AB44" s="225"/>
      <c r="AC44" s="225"/>
      <c r="AD44" s="225"/>
      <c r="AE44" s="225"/>
      <c r="AF44" s="225"/>
      <c r="AG44" s="225"/>
      <c r="AH44" s="226"/>
      <c r="AI44" s="224"/>
      <c r="AJ44" s="225"/>
      <c r="AK44" s="225"/>
      <c r="AL44" s="225"/>
      <c r="AM44" s="225"/>
      <c r="AN44" s="225"/>
      <c r="AO44" s="225"/>
      <c r="AP44" s="225"/>
      <c r="AQ44" s="225"/>
      <c r="AR44" s="225"/>
      <c r="AS44" s="225"/>
      <c r="AT44" s="226"/>
      <c r="AU44" s="224"/>
      <c r="AV44" s="225"/>
      <c r="AW44" s="225"/>
      <c r="AX44" s="225"/>
      <c r="AY44" s="225"/>
      <c r="AZ44" s="225"/>
      <c r="BA44" s="225"/>
      <c r="BB44" s="225"/>
      <c r="BC44" s="225"/>
      <c r="BD44" s="225"/>
      <c r="BE44" s="225"/>
      <c r="BF44" s="232"/>
    </row>
    <row r="45" spans="2:58" ht="13" customHeight="1" x14ac:dyDescent="0.25">
      <c r="B45" s="240"/>
      <c r="C45" s="228"/>
      <c r="D45" s="228"/>
      <c r="E45" s="228"/>
      <c r="F45" s="228"/>
      <c r="G45" s="228"/>
      <c r="H45" s="228"/>
      <c r="I45" s="228"/>
      <c r="J45" s="228"/>
      <c r="K45" s="228"/>
      <c r="L45" s="185"/>
      <c r="M45" s="227"/>
      <c r="N45" s="228"/>
      <c r="O45" s="228"/>
      <c r="P45" s="228"/>
      <c r="Q45" s="228"/>
      <c r="R45" s="228"/>
      <c r="S45" s="228"/>
      <c r="T45" s="228"/>
      <c r="U45" s="228"/>
      <c r="V45" s="228"/>
      <c r="W45" s="185"/>
      <c r="X45" s="227"/>
      <c r="Y45" s="228"/>
      <c r="Z45" s="228"/>
      <c r="AA45" s="228"/>
      <c r="AB45" s="228"/>
      <c r="AC45" s="228"/>
      <c r="AD45" s="228"/>
      <c r="AE45" s="228"/>
      <c r="AF45" s="228"/>
      <c r="AG45" s="228"/>
      <c r="AH45" s="185"/>
      <c r="AI45" s="227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185"/>
      <c r="AU45" s="227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33"/>
    </row>
    <row r="46" spans="2:58" ht="13" customHeight="1" x14ac:dyDescent="0.25">
      <c r="B46" s="217" t="s">
        <v>261</v>
      </c>
      <c r="C46" s="215"/>
      <c r="D46" s="215"/>
      <c r="E46" s="215"/>
      <c r="F46" s="215"/>
      <c r="G46" s="215"/>
      <c r="H46" s="215"/>
      <c r="I46" s="215"/>
      <c r="J46" s="215"/>
      <c r="K46" s="215"/>
      <c r="L46" s="186"/>
      <c r="M46" s="192" t="s">
        <v>262</v>
      </c>
      <c r="N46" s="215"/>
      <c r="O46" s="215"/>
      <c r="P46" s="215"/>
      <c r="Q46" s="215"/>
      <c r="R46" s="215"/>
      <c r="S46" s="215"/>
      <c r="T46" s="215"/>
      <c r="U46" s="215"/>
      <c r="V46" s="215"/>
      <c r="W46" s="186"/>
      <c r="X46" s="218" t="s">
        <v>263</v>
      </c>
      <c r="Y46" s="215"/>
      <c r="Z46" s="215"/>
      <c r="AA46" s="215"/>
      <c r="AB46" s="215"/>
      <c r="AC46" s="215"/>
      <c r="AD46" s="215"/>
      <c r="AE46" s="215"/>
      <c r="AF46" s="215"/>
      <c r="AG46" s="215"/>
      <c r="AH46" s="186"/>
      <c r="AI46" s="168" t="s">
        <v>264</v>
      </c>
      <c r="AJ46" s="215"/>
      <c r="AK46" s="215"/>
      <c r="AL46" s="215"/>
      <c r="AM46" s="215"/>
      <c r="AN46" s="215"/>
      <c r="AO46" s="215"/>
      <c r="AP46" s="215"/>
      <c r="AQ46" s="215"/>
      <c r="AR46" s="215"/>
      <c r="AS46" s="215"/>
      <c r="AT46" s="186"/>
      <c r="AU46" s="168" t="s">
        <v>265</v>
      </c>
      <c r="AV46" s="215"/>
      <c r="AW46" s="215"/>
      <c r="AX46" s="215"/>
      <c r="AY46" s="215"/>
      <c r="AZ46" s="215"/>
      <c r="BA46" s="215"/>
      <c r="BB46" s="215"/>
      <c r="BC46" s="215"/>
      <c r="BD46" s="215"/>
      <c r="BE46" s="215"/>
      <c r="BF46" s="219"/>
    </row>
    <row r="47" spans="2:58" ht="13" customHeight="1" x14ac:dyDescent="0.25">
      <c r="B47" s="238"/>
      <c r="C47" s="222"/>
      <c r="D47" s="222"/>
      <c r="E47" s="222"/>
      <c r="F47" s="222"/>
      <c r="G47" s="222"/>
      <c r="H47" s="222"/>
      <c r="I47" s="222"/>
      <c r="J47" s="222"/>
      <c r="K47" s="222"/>
      <c r="L47" s="223"/>
      <c r="M47" s="241"/>
      <c r="N47" s="222"/>
      <c r="O47" s="222"/>
      <c r="P47" s="222"/>
      <c r="Q47" s="222"/>
      <c r="R47" s="222"/>
      <c r="S47" s="222"/>
      <c r="T47" s="222"/>
      <c r="U47" s="222"/>
      <c r="V47" s="222"/>
      <c r="W47" s="223"/>
      <c r="X47" s="242"/>
      <c r="Y47" s="222"/>
      <c r="Z47" s="222"/>
      <c r="AA47" s="222"/>
      <c r="AB47" s="222"/>
      <c r="AC47" s="222"/>
      <c r="AD47" s="222"/>
      <c r="AE47" s="222"/>
      <c r="AF47" s="222"/>
      <c r="AG47" s="222"/>
      <c r="AH47" s="223"/>
      <c r="AI47" s="230"/>
      <c r="AJ47" s="222"/>
      <c r="AK47" s="222"/>
      <c r="AL47" s="222"/>
      <c r="AM47" s="222"/>
      <c r="AN47" s="222"/>
      <c r="AO47" s="222"/>
      <c r="AP47" s="222"/>
      <c r="AQ47" s="222"/>
      <c r="AR47" s="222"/>
      <c r="AS47" s="222"/>
      <c r="AT47" s="223"/>
      <c r="AU47" s="230"/>
      <c r="AV47" s="222"/>
      <c r="AW47" s="222"/>
      <c r="AX47" s="222"/>
      <c r="AY47" s="222"/>
      <c r="AZ47" s="222"/>
      <c r="BA47" s="222"/>
      <c r="BB47" s="222"/>
      <c r="BC47" s="222"/>
      <c r="BD47" s="222"/>
      <c r="BE47" s="222"/>
      <c r="BF47" s="231"/>
    </row>
    <row r="48" spans="2:58" ht="13" customHeight="1" x14ac:dyDescent="0.25">
      <c r="B48" s="239"/>
      <c r="C48" s="225"/>
      <c r="D48" s="225"/>
      <c r="E48" s="225"/>
      <c r="F48" s="225"/>
      <c r="G48" s="225"/>
      <c r="H48" s="225"/>
      <c r="I48" s="225"/>
      <c r="J48" s="225"/>
      <c r="K48" s="225"/>
      <c r="L48" s="226"/>
      <c r="M48" s="224"/>
      <c r="N48" s="225"/>
      <c r="O48" s="225"/>
      <c r="P48" s="225"/>
      <c r="Q48" s="225"/>
      <c r="R48" s="225"/>
      <c r="S48" s="225"/>
      <c r="T48" s="225"/>
      <c r="U48" s="225"/>
      <c r="V48" s="225"/>
      <c r="W48" s="226"/>
      <c r="X48" s="224"/>
      <c r="Y48" s="225"/>
      <c r="Z48" s="225"/>
      <c r="AA48" s="225"/>
      <c r="AB48" s="225"/>
      <c r="AC48" s="225"/>
      <c r="AD48" s="225"/>
      <c r="AE48" s="225"/>
      <c r="AF48" s="225"/>
      <c r="AG48" s="225"/>
      <c r="AH48" s="226"/>
      <c r="AI48" s="224"/>
      <c r="AJ48" s="225"/>
      <c r="AK48" s="225"/>
      <c r="AL48" s="225"/>
      <c r="AM48" s="225"/>
      <c r="AN48" s="225"/>
      <c r="AO48" s="225"/>
      <c r="AP48" s="225"/>
      <c r="AQ48" s="225"/>
      <c r="AR48" s="225"/>
      <c r="AS48" s="225"/>
      <c r="AT48" s="226"/>
      <c r="AU48" s="224"/>
      <c r="AV48" s="225"/>
      <c r="AW48" s="225"/>
      <c r="AX48" s="225"/>
      <c r="AY48" s="225"/>
      <c r="AZ48" s="225"/>
      <c r="BA48" s="225"/>
      <c r="BB48" s="225"/>
      <c r="BC48" s="225"/>
      <c r="BD48" s="225"/>
      <c r="BE48" s="225"/>
      <c r="BF48" s="232"/>
    </row>
    <row r="49" spans="2:58" ht="13" customHeight="1" x14ac:dyDescent="0.25">
      <c r="B49" s="239"/>
      <c r="C49" s="225"/>
      <c r="D49" s="225"/>
      <c r="E49" s="225"/>
      <c r="F49" s="225"/>
      <c r="G49" s="225"/>
      <c r="H49" s="225"/>
      <c r="I49" s="225"/>
      <c r="J49" s="225"/>
      <c r="K49" s="225"/>
      <c r="L49" s="226"/>
      <c r="M49" s="224"/>
      <c r="N49" s="225"/>
      <c r="O49" s="225"/>
      <c r="P49" s="225"/>
      <c r="Q49" s="225"/>
      <c r="R49" s="225"/>
      <c r="S49" s="225"/>
      <c r="T49" s="225"/>
      <c r="U49" s="225"/>
      <c r="V49" s="225"/>
      <c r="W49" s="226"/>
      <c r="X49" s="224"/>
      <c r="Y49" s="225"/>
      <c r="Z49" s="225"/>
      <c r="AA49" s="225"/>
      <c r="AB49" s="225"/>
      <c r="AC49" s="225"/>
      <c r="AD49" s="225"/>
      <c r="AE49" s="225"/>
      <c r="AF49" s="225"/>
      <c r="AG49" s="225"/>
      <c r="AH49" s="226"/>
      <c r="AI49" s="224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6"/>
      <c r="AU49" s="224"/>
      <c r="AV49" s="225"/>
      <c r="AW49" s="225"/>
      <c r="AX49" s="225"/>
      <c r="AY49" s="225"/>
      <c r="AZ49" s="225"/>
      <c r="BA49" s="225"/>
      <c r="BB49" s="225"/>
      <c r="BC49" s="225"/>
      <c r="BD49" s="225"/>
      <c r="BE49" s="225"/>
      <c r="BF49" s="232"/>
    </row>
    <row r="50" spans="2:58" ht="13" customHeight="1" x14ac:dyDescent="0.25">
      <c r="B50" s="239"/>
      <c r="C50" s="225"/>
      <c r="D50" s="225"/>
      <c r="E50" s="225"/>
      <c r="F50" s="225"/>
      <c r="G50" s="225"/>
      <c r="H50" s="225"/>
      <c r="I50" s="225"/>
      <c r="J50" s="225"/>
      <c r="K50" s="225"/>
      <c r="L50" s="226"/>
      <c r="M50" s="224"/>
      <c r="N50" s="225"/>
      <c r="O50" s="225"/>
      <c r="P50" s="225"/>
      <c r="Q50" s="225"/>
      <c r="R50" s="225"/>
      <c r="S50" s="225"/>
      <c r="T50" s="225"/>
      <c r="U50" s="225"/>
      <c r="V50" s="225"/>
      <c r="W50" s="226"/>
      <c r="X50" s="224"/>
      <c r="Y50" s="225"/>
      <c r="Z50" s="225"/>
      <c r="AA50" s="225"/>
      <c r="AB50" s="225"/>
      <c r="AC50" s="225"/>
      <c r="AD50" s="225"/>
      <c r="AE50" s="225"/>
      <c r="AF50" s="225"/>
      <c r="AG50" s="225"/>
      <c r="AH50" s="226"/>
      <c r="AI50" s="224"/>
      <c r="AJ50" s="225"/>
      <c r="AK50" s="225"/>
      <c r="AL50" s="225"/>
      <c r="AM50" s="225"/>
      <c r="AN50" s="225"/>
      <c r="AO50" s="225"/>
      <c r="AP50" s="225"/>
      <c r="AQ50" s="225"/>
      <c r="AR50" s="225"/>
      <c r="AS50" s="225"/>
      <c r="AT50" s="226"/>
      <c r="AU50" s="224"/>
      <c r="AV50" s="225"/>
      <c r="AW50" s="225"/>
      <c r="AX50" s="225"/>
      <c r="AY50" s="225"/>
      <c r="AZ50" s="225"/>
      <c r="BA50" s="225"/>
      <c r="BB50" s="225"/>
      <c r="BC50" s="225"/>
      <c r="BD50" s="225"/>
      <c r="BE50" s="225"/>
      <c r="BF50" s="232"/>
    </row>
    <row r="51" spans="2:58" ht="13" customHeight="1" x14ac:dyDescent="0.25">
      <c r="B51" s="239"/>
      <c r="C51" s="225"/>
      <c r="D51" s="225"/>
      <c r="E51" s="225"/>
      <c r="F51" s="225"/>
      <c r="G51" s="225"/>
      <c r="H51" s="225"/>
      <c r="I51" s="225"/>
      <c r="J51" s="225"/>
      <c r="K51" s="225"/>
      <c r="L51" s="226"/>
      <c r="M51" s="224"/>
      <c r="N51" s="225"/>
      <c r="O51" s="225"/>
      <c r="P51" s="225"/>
      <c r="Q51" s="225"/>
      <c r="R51" s="225"/>
      <c r="S51" s="225"/>
      <c r="T51" s="225"/>
      <c r="U51" s="225"/>
      <c r="V51" s="225"/>
      <c r="W51" s="226"/>
      <c r="X51" s="224"/>
      <c r="Y51" s="225"/>
      <c r="Z51" s="225"/>
      <c r="AA51" s="225"/>
      <c r="AB51" s="225"/>
      <c r="AC51" s="225"/>
      <c r="AD51" s="225"/>
      <c r="AE51" s="225"/>
      <c r="AF51" s="225"/>
      <c r="AG51" s="225"/>
      <c r="AH51" s="226"/>
      <c r="AI51" s="224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6"/>
      <c r="AU51" s="224"/>
      <c r="AV51" s="225"/>
      <c r="AW51" s="225"/>
      <c r="AX51" s="225"/>
      <c r="AY51" s="225"/>
      <c r="AZ51" s="225"/>
      <c r="BA51" s="225"/>
      <c r="BB51" s="225"/>
      <c r="BC51" s="225"/>
      <c r="BD51" s="225"/>
      <c r="BE51" s="225"/>
      <c r="BF51" s="232"/>
    </row>
    <row r="52" spans="2:58" ht="13" customHeight="1" x14ac:dyDescent="0.25">
      <c r="B52" s="240"/>
      <c r="C52" s="228"/>
      <c r="D52" s="228"/>
      <c r="E52" s="228"/>
      <c r="F52" s="228"/>
      <c r="G52" s="228"/>
      <c r="H52" s="228"/>
      <c r="I52" s="228"/>
      <c r="J52" s="228"/>
      <c r="K52" s="228"/>
      <c r="L52" s="185"/>
      <c r="M52" s="227"/>
      <c r="N52" s="228"/>
      <c r="O52" s="228"/>
      <c r="P52" s="228"/>
      <c r="Q52" s="228"/>
      <c r="R52" s="228"/>
      <c r="S52" s="228"/>
      <c r="T52" s="228"/>
      <c r="U52" s="228"/>
      <c r="V52" s="228"/>
      <c r="W52" s="185"/>
      <c r="X52" s="227"/>
      <c r="Y52" s="228"/>
      <c r="Z52" s="228"/>
      <c r="AA52" s="228"/>
      <c r="AB52" s="228"/>
      <c r="AC52" s="228"/>
      <c r="AD52" s="228"/>
      <c r="AE52" s="228"/>
      <c r="AF52" s="228"/>
      <c r="AG52" s="228"/>
      <c r="AH52" s="185"/>
      <c r="AI52" s="227"/>
      <c r="AJ52" s="228"/>
      <c r="AK52" s="228"/>
      <c r="AL52" s="228"/>
      <c r="AM52" s="228"/>
      <c r="AN52" s="228"/>
      <c r="AO52" s="228"/>
      <c r="AP52" s="228"/>
      <c r="AQ52" s="228"/>
      <c r="AR52" s="228"/>
      <c r="AS52" s="228"/>
      <c r="AT52" s="185"/>
      <c r="AU52" s="227"/>
      <c r="AV52" s="228"/>
      <c r="AW52" s="228"/>
      <c r="AX52" s="228"/>
      <c r="AY52" s="228"/>
      <c r="AZ52" s="228"/>
      <c r="BA52" s="228"/>
      <c r="BB52" s="228"/>
      <c r="BC52" s="228"/>
      <c r="BD52" s="228"/>
      <c r="BE52" s="228"/>
      <c r="BF52" s="233"/>
    </row>
    <row r="53" spans="2:58" ht="13" customHeight="1" x14ac:dyDescent="0.25">
      <c r="B53" s="217" t="s">
        <v>266</v>
      </c>
      <c r="C53" s="215"/>
      <c r="D53" s="215"/>
      <c r="E53" s="215"/>
      <c r="F53" s="215"/>
      <c r="G53" s="215"/>
      <c r="H53" s="215"/>
      <c r="I53" s="215"/>
      <c r="J53" s="215"/>
      <c r="K53" s="215"/>
      <c r="L53" s="186"/>
      <c r="M53" s="220" t="s">
        <v>267</v>
      </c>
      <c r="N53" s="215"/>
      <c r="O53" s="215"/>
      <c r="P53" s="215"/>
      <c r="Q53" s="215"/>
      <c r="R53" s="215"/>
      <c r="S53" s="215"/>
      <c r="T53" s="215"/>
      <c r="U53" s="215"/>
      <c r="V53" s="215"/>
      <c r="W53" s="186"/>
      <c r="X53" s="218" t="s">
        <v>268</v>
      </c>
      <c r="Y53" s="215"/>
      <c r="Z53" s="215"/>
      <c r="AA53" s="215"/>
      <c r="AB53" s="215"/>
      <c r="AC53" s="215"/>
      <c r="AD53" s="215"/>
      <c r="AE53" s="215"/>
      <c r="AF53" s="215"/>
      <c r="AG53" s="215"/>
      <c r="AH53" s="186"/>
      <c r="AI53" s="168" t="s">
        <v>269</v>
      </c>
      <c r="AJ53" s="215"/>
      <c r="AK53" s="215"/>
      <c r="AL53" s="215"/>
      <c r="AM53" s="215"/>
      <c r="AN53" s="215"/>
      <c r="AO53" s="215"/>
      <c r="AP53" s="215"/>
      <c r="AQ53" s="215"/>
      <c r="AR53" s="215"/>
      <c r="AS53" s="215"/>
      <c r="AT53" s="186"/>
      <c r="AU53" s="168" t="s">
        <v>270</v>
      </c>
      <c r="AV53" s="215"/>
      <c r="AW53" s="215"/>
      <c r="AX53" s="215"/>
      <c r="AY53" s="215"/>
      <c r="AZ53" s="215"/>
      <c r="BA53" s="215"/>
      <c r="BB53" s="215"/>
      <c r="BC53" s="215"/>
      <c r="BD53" s="215"/>
      <c r="BE53" s="215"/>
      <c r="BF53" s="219"/>
    </row>
    <row r="54" spans="2:58" ht="13" customHeight="1" x14ac:dyDescent="0.25">
      <c r="B54" s="238"/>
      <c r="C54" s="222"/>
      <c r="D54" s="222"/>
      <c r="E54" s="222"/>
      <c r="F54" s="222"/>
      <c r="G54" s="222"/>
      <c r="H54" s="222"/>
      <c r="I54" s="222"/>
      <c r="J54" s="222"/>
      <c r="K54" s="222"/>
      <c r="L54" s="223"/>
      <c r="M54" s="246"/>
      <c r="N54" s="222"/>
      <c r="O54" s="222"/>
      <c r="P54" s="222"/>
      <c r="Q54" s="222"/>
      <c r="R54" s="222"/>
      <c r="S54" s="222"/>
      <c r="T54" s="222"/>
      <c r="U54" s="222"/>
      <c r="V54" s="222"/>
      <c r="W54" s="223"/>
      <c r="X54" s="242"/>
      <c r="Y54" s="222"/>
      <c r="Z54" s="222"/>
      <c r="AA54" s="222"/>
      <c r="AB54" s="222"/>
      <c r="AC54" s="222"/>
      <c r="AD54" s="222"/>
      <c r="AE54" s="222"/>
      <c r="AF54" s="222"/>
      <c r="AG54" s="222"/>
      <c r="AH54" s="223"/>
      <c r="AI54" s="230"/>
      <c r="AJ54" s="222"/>
      <c r="AK54" s="222"/>
      <c r="AL54" s="222"/>
      <c r="AM54" s="222"/>
      <c r="AN54" s="222"/>
      <c r="AO54" s="222"/>
      <c r="AP54" s="222"/>
      <c r="AQ54" s="222"/>
      <c r="AR54" s="222"/>
      <c r="AS54" s="222"/>
      <c r="AT54" s="223"/>
      <c r="AU54" s="230"/>
      <c r="AV54" s="222"/>
      <c r="AW54" s="222"/>
      <c r="AX54" s="222"/>
      <c r="AY54" s="222"/>
      <c r="AZ54" s="222"/>
      <c r="BA54" s="222"/>
      <c r="BB54" s="222"/>
      <c r="BC54" s="222"/>
      <c r="BD54" s="222"/>
      <c r="BE54" s="222"/>
      <c r="BF54" s="231"/>
    </row>
    <row r="55" spans="2:58" ht="13" customHeight="1" x14ac:dyDescent="0.25">
      <c r="B55" s="239"/>
      <c r="C55" s="225"/>
      <c r="D55" s="225"/>
      <c r="E55" s="225"/>
      <c r="F55" s="225"/>
      <c r="G55" s="225"/>
      <c r="H55" s="225"/>
      <c r="I55" s="225"/>
      <c r="J55" s="225"/>
      <c r="K55" s="225"/>
      <c r="L55" s="226"/>
      <c r="M55" s="224"/>
      <c r="N55" s="225"/>
      <c r="O55" s="225"/>
      <c r="P55" s="225"/>
      <c r="Q55" s="225"/>
      <c r="R55" s="225"/>
      <c r="S55" s="225"/>
      <c r="T55" s="225"/>
      <c r="U55" s="225"/>
      <c r="V55" s="225"/>
      <c r="W55" s="226"/>
      <c r="X55" s="224"/>
      <c r="Y55" s="225"/>
      <c r="Z55" s="225"/>
      <c r="AA55" s="225"/>
      <c r="AB55" s="225"/>
      <c r="AC55" s="225"/>
      <c r="AD55" s="225"/>
      <c r="AE55" s="225"/>
      <c r="AF55" s="225"/>
      <c r="AG55" s="225"/>
      <c r="AH55" s="226"/>
      <c r="AI55" s="224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6"/>
      <c r="AU55" s="224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32"/>
    </row>
    <row r="56" spans="2:58" ht="13" customHeight="1" x14ac:dyDescent="0.25">
      <c r="B56" s="239"/>
      <c r="C56" s="225"/>
      <c r="D56" s="225"/>
      <c r="E56" s="225"/>
      <c r="F56" s="225"/>
      <c r="G56" s="225"/>
      <c r="H56" s="225"/>
      <c r="I56" s="225"/>
      <c r="J56" s="225"/>
      <c r="K56" s="225"/>
      <c r="L56" s="226"/>
      <c r="M56" s="224"/>
      <c r="N56" s="225"/>
      <c r="O56" s="225"/>
      <c r="P56" s="225"/>
      <c r="Q56" s="225"/>
      <c r="R56" s="225"/>
      <c r="S56" s="225"/>
      <c r="T56" s="225"/>
      <c r="U56" s="225"/>
      <c r="V56" s="225"/>
      <c r="W56" s="226"/>
      <c r="X56" s="224"/>
      <c r="Y56" s="225"/>
      <c r="Z56" s="225"/>
      <c r="AA56" s="225"/>
      <c r="AB56" s="225"/>
      <c r="AC56" s="225"/>
      <c r="AD56" s="225"/>
      <c r="AE56" s="225"/>
      <c r="AF56" s="225"/>
      <c r="AG56" s="225"/>
      <c r="AH56" s="226"/>
      <c r="AI56" s="224"/>
      <c r="AJ56" s="225"/>
      <c r="AK56" s="225"/>
      <c r="AL56" s="225"/>
      <c r="AM56" s="225"/>
      <c r="AN56" s="225"/>
      <c r="AO56" s="225"/>
      <c r="AP56" s="225"/>
      <c r="AQ56" s="225"/>
      <c r="AR56" s="225"/>
      <c r="AS56" s="225"/>
      <c r="AT56" s="226"/>
      <c r="AU56" s="224"/>
      <c r="AV56" s="225"/>
      <c r="AW56" s="225"/>
      <c r="AX56" s="225"/>
      <c r="AY56" s="225"/>
      <c r="AZ56" s="225"/>
      <c r="BA56" s="225"/>
      <c r="BB56" s="225"/>
      <c r="BC56" s="225"/>
      <c r="BD56" s="225"/>
      <c r="BE56" s="225"/>
      <c r="BF56" s="232"/>
    </row>
    <row r="57" spans="2:58" ht="13" customHeight="1" x14ac:dyDescent="0.25">
      <c r="B57" s="239"/>
      <c r="C57" s="225"/>
      <c r="D57" s="225"/>
      <c r="E57" s="225"/>
      <c r="F57" s="225"/>
      <c r="G57" s="225"/>
      <c r="H57" s="225"/>
      <c r="I57" s="225"/>
      <c r="J57" s="225"/>
      <c r="K57" s="225"/>
      <c r="L57" s="226"/>
      <c r="M57" s="224"/>
      <c r="N57" s="225"/>
      <c r="O57" s="225"/>
      <c r="P57" s="225"/>
      <c r="Q57" s="225"/>
      <c r="R57" s="225"/>
      <c r="S57" s="225"/>
      <c r="T57" s="225"/>
      <c r="U57" s="225"/>
      <c r="V57" s="225"/>
      <c r="W57" s="226"/>
      <c r="X57" s="224"/>
      <c r="Y57" s="225"/>
      <c r="Z57" s="225"/>
      <c r="AA57" s="225"/>
      <c r="AB57" s="225"/>
      <c r="AC57" s="225"/>
      <c r="AD57" s="225"/>
      <c r="AE57" s="225"/>
      <c r="AF57" s="225"/>
      <c r="AG57" s="225"/>
      <c r="AH57" s="226"/>
      <c r="AI57" s="224"/>
      <c r="AJ57" s="225"/>
      <c r="AK57" s="225"/>
      <c r="AL57" s="225"/>
      <c r="AM57" s="225"/>
      <c r="AN57" s="225"/>
      <c r="AO57" s="225"/>
      <c r="AP57" s="225"/>
      <c r="AQ57" s="225"/>
      <c r="AR57" s="225"/>
      <c r="AS57" s="225"/>
      <c r="AT57" s="226"/>
      <c r="AU57" s="224"/>
      <c r="AV57" s="225"/>
      <c r="AW57" s="225"/>
      <c r="AX57" s="225"/>
      <c r="AY57" s="225"/>
      <c r="AZ57" s="225"/>
      <c r="BA57" s="225"/>
      <c r="BB57" s="225"/>
      <c r="BC57" s="225"/>
      <c r="BD57" s="225"/>
      <c r="BE57" s="225"/>
      <c r="BF57" s="232"/>
    </row>
    <row r="58" spans="2:58" ht="13" customHeight="1" x14ac:dyDescent="0.25">
      <c r="B58" s="239"/>
      <c r="C58" s="225"/>
      <c r="D58" s="225"/>
      <c r="E58" s="225"/>
      <c r="F58" s="225"/>
      <c r="G58" s="225"/>
      <c r="H58" s="225"/>
      <c r="I58" s="225"/>
      <c r="J58" s="225"/>
      <c r="K58" s="225"/>
      <c r="L58" s="226"/>
      <c r="M58" s="224"/>
      <c r="N58" s="225"/>
      <c r="O58" s="225"/>
      <c r="P58" s="225"/>
      <c r="Q58" s="225"/>
      <c r="R58" s="225"/>
      <c r="S58" s="225"/>
      <c r="T58" s="225"/>
      <c r="U58" s="225"/>
      <c r="V58" s="225"/>
      <c r="W58" s="226"/>
      <c r="X58" s="224"/>
      <c r="Y58" s="225"/>
      <c r="Z58" s="225"/>
      <c r="AA58" s="225"/>
      <c r="AB58" s="225"/>
      <c r="AC58" s="225"/>
      <c r="AD58" s="225"/>
      <c r="AE58" s="225"/>
      <c r="AF58" s="225"/>
      <c r="AG58" s="225"/>
      <c r="AH58" s="226"/>
      <c r="AI58" s="224"/>
      <c r="AJ58" s="225"/>
      <c r="AK58" s="225"/>
      <c r="AL58" s="225"/>
      <c r="AM58" s="225"/>
      <c r="AN58" s="225"/>
      <c r="AO58" s="225"/>
      <c r="AP58" s="225"/>
      <c r="AQ58" s="225"/>
      <c r="AR58" s="225"/>
      <c r="AS58" s="225"/>
      <c r="AT58" s="226"/>
      <c r="AU58" s="224"/>
      <c r="AV58" s="225"/>
      <c r="AW58" s="225"/>
      <c r="AX58" s="225"/>
      <c r="AY58" s="225"/>
      <c r="AZ58" s="225"/>
      <c r="BA58" s="225"/>
      <c r="BB58" s="225"/>
      <c r="BC58" s="225"/>
      <c r="BD58" s="225"/>
      <c r="BE58" s="225"/>
      <c r="BF58" s="232"/>
    </row>
    <row r="59" spans="2:58" ht="13" customHeight="1" x14ac:dyDescent="0.25"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5"/>
      <c r="M59" s="247"/>
      <c r="N59" s="244"/>
      <c r="O59" s="244"/>
      <c r="P59" s="244"/>
      <c r="Q59" s="244"/>
      <c r="R59" s="244"/>
      <c r="S59" s="244"/>
      <c r="T59" s="244"/>
      <c r="U59" s="244"/>
      <c r="V59" s="244"/>
      <c r="W59" s="245"/>
      <c r="X59" s="247"/>
      <c r="Y59" s="244"/>
      <c r="Z59" s="244"/>
      <c r="AA59" s="244"/>
      <c r="AB59" s="244"/>
      <c r="AC59" s="244"/>
      <c r="AD59" s="244"/>
      <c r="AE59" s="244"/>
      <c r="AF59" s="244"/>
      <c r="AG59" s="244"/>
      <c r="AH59" s="245"/>
      <c r="AI59" s="247"/>
      <c r="AJ59" s="244"/>
      <c r="AK59" s="244"/>
      <c r="AL59" s="244"/>
      <c r="AM59" s="244"/>
      <c r="AN59" s="244"/>
      <c r="AO59" s="244"/>
      <c r="AP59" s="244"/>
      <c r="AQ59" s="244"/>
      <c r="AR59" s="244"/>
      <c r="AS59" s="244"/>
      <c r="AT59" s="245"/>
      <c r="AU59" s="247"/>
      <c r="AV59" s="244"/>
      <c r="AW59" s="244"/>
      <c r="AX59" s="244"/>
      <c r="AY59" s="244"/>
      <c r="AZ59" s="244"/>
      <c r="BA59" s="244"/>
      <c r="BB59" s="244"/>
      <c r="BC59" s="244"/>
      <c r="BD59" s="244"/>
      <c r="BE59" s="244"/>
      <c r="BF59" s="248"/>
    </row>
    <row r="60" spans="2:58" ht="13" customHeight="1" x14ac:dyDescent="0.25">
      <c r="B60" s="184" t="s">
        <v>471</v>
      </c>
      <c r="C60" s="185"/>
      <c r="D60" s="9" t="s">
        <v>274</v>
      </c>
      <c r="E60" s="161" t="s">
        <v>20</v>
      </c>
      <c r="F60" s="164"/>
      <c r="G60" s="165"/>
      <c r="H60" s="165"/>
      <c r="I60" s="165"/>
      <c r="J60" s="165"/>
      <c r="K60" s="165"/>
      <c r="L60" s="165"/>
      <c r="M60" s="165"/>
      <c r="N60" s="165"/>
      <c r="O60" s="165"/>
      <c r="P60" s="165"/>
      <c r="Q60" s="165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  <c r="AC60" s="165"/>
      <c r="AD60" s="165"/>
      <c r="AE60" s="165"/>
      <c r="AF60" s="165"/>
      <c r="AG60" s="165"/>
      <c r="AH60" s="165"/>
      <c r="AI60" s="165"/>
      <c r="AJ60" s="165"/>
      <c r="AK60" s="165"/>
      <c r="AL60" s="165"/>
      <c r="AM60" s="165"/>
      <c r="AN60" s="165"/>
      <c r="AO60" s="166"/>
      <c r="AP60" s="166"/>
      <c r="AQ60" s="166"/>
      <c r="AR60" s="166"/>
      <c r="AS60" s="166"/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7"/>
    </row>
    <row r="61" spans="2:58" ht="13" customHeight="1" x14ac:dyDescent="0.25">
      <c r="B61" s="160" t="s">
        <v>275</v>
      </c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/>
      <c r="AM61" s="162"/>
      <c r="AN61" s="162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9"/>
    </row>
    <row r="62" spans="2:58" ht="13" customHeight="1" thickBot="1" x14ac:dyDescent="0.3">
      <c r="B62" s="172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70"/>
      <c r="AP62" s="170"/>
      <c r="AQ62" s="170"/>
      <c r="AR62" s="170"/>
      <c r="AS62" s="170"/>
      <c r="AT62" s="170"/>
      <c r="AU62" s="170"/>
      <c r="AV62" s="170"/>
      <c r="AW62" s="170"/>
      <c r="AX62" s="170"/>
      <c r="AY62" s="170"/>
      <c r="AZ62" s="170"/>
      <c r="BA62" s="170"/>
      <c r="BB62" s="170"/>
      <c r="BC62" s="170"/>
      <c r="BD62" s="170"/>
      <c r="BE62" s="170"/>
      <c r="BF62" s="17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S12" sqref="S1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253" t="s">
        <v>411</v>
      </c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5"/>
    </row>
    <row r="3" spans="2:36" s="46" customFormat="1" ht="17.5" customHeight="1" x14ac:dyDescent="0.25">
      <c r="B3" s="256" t="s">
        <v>406</v>
      </c>
      <c r="C3" s="259" t="s">
        <v>405</v>
      </c>
      <c r="D3" s="262" t="s">
        <v>404</v>
      </c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262"/>
      <c r="AA3" s="263" t="s">
        <v>403</v>
      </c>
      <c r="AB3" s="264"/>
      <c r="AC3" s="264"/>
      <c r="AD3" s="264"/>
      <c r="AE3" s="264"/>
      <c r="AF3" s="264"/>
      <c r="AG3" s="264"/>
      <c r="AH3" s="264"/>
      <c r="AI3" s="264"/>
      <c r="AJ3" s="265"/>
    </row>
    <row r="4" spans="2:36" s="46" customFormat="1" ht="17.5" customHeight="1" x14ac:dyDescent="0.25">
      <c r="B4" s="257"/>
      <c r="C4" s="260"/>
      <c r="D4" s="266" t="s">
        <v>402</v>
      </c>
      <c r="E4" s="267"/>
      <c r="F4" s="267"/>
      <c r="G4" s="267"/>
      <c r="H4" s="267"/>
      <c r="I4" s="267"/>
      <c r="J4" s="268" t="s">
        <v>401</v>
      </c>
      <c r="K4" s="269"/>
      <c r="L4" s="269"/>
      <c r="M4" s="269"/>
      <c r="N4" s="269"/>
      <c r="O4" s="269"/>
      <c r="P4" s="269"/>
      <c r="Q4" s="269"/>
      <c r="R4" s="269"/>
      <c r="S4" s="269"/>
      <c r="T4" s="270"/>
      <c r="U4" s="271" t="s">
        <v>400</v>
      </c>
      <c r="V4" s="272"/>
      <c r="W4" s="272"/>
      <c r="X4" s="272"/>
      <c r="Y4" s="272"/>
      <c r="Z4" s="273"/>
      <c r="AA4" s="271" t="s">
        <v>399</v>
      </c>
      <c r="AB4" s="275" t="s">
        <v>398</v>
      </c>
      <c r="AC4" s="277" t="s">
        <v>397</v>
      </c>
      <c r="AD4" s="277" t="s">
        <v>306</v>
      </c>
      <c r="AE4" s="277" t="s">
        <v>396</v>
      </c>
      <c r="AF4" s="279" t="s">
        <v>395</v>
      </c>
      <c r="AG4" s="277" t="s">
        <v>394</v>
      </c>
      <c r="AH4" s="279" t="s">
        <v>393</v>
      </c>
      <c r="AI4" s="277" t="s">
        <v>392</v>
      </c>
      <c r="AJ4" s="280" t="s">
        <v>391</v>
      </c>
    </row>
    <row r="5" spans="2:36" s="46" customFormat="1" ht="37.5" customHeight="1" x14ac:dyDescent="0.25">
      <c r="B5" s="258"/>
      <c r="C5" s="261"/>
      <c r="D5" s="77" t="s">
        <v>390</v>
      </c>
      <c r="E5" s="74" t="s">
        <v>389</v>
      </c>
      <c r="F5" s="74" t="s">
        <v>388</v>
      </c>
      <c r="G5" s="74" t="s">
        <v>387</v>
      </c>
      <c r="H5" s="74" t="s">
        <v>378</v>
      </c>
      <c r="I5" s="66" t="s">
        <v>377</v>
      </c>
      <c r="J5" s="77" t="s">
        <v>381</v>
      </c>
      <c r="K5" s="74" t="s">
        <v>380</v>
      </c>
      <c r="L5" s="74" t="s">
        <v>379</v>
      </c>
      <c r="M5" s="74" t="s">
        <v>386</v>
      </c>
      <c r="N5" s="74" t="s">
        <v>386</v>
      </c>
      <c r="O5" s="74" t="s">
        <v>378</v>
      </c>
      <c r="P5" s="74" t="s">
        <v>385</v>
      </c>
      <c r="Q5" s="74" t="s">
        <v>384</v>
      </c>
      <c r="R5" s="74" t="s">
        <v>377</v>
      </c>
      <c r="S5" s="74" t="s">
        <v>383</v>
      </c>
      <c r="T5" s="76" t="s">
        <v>382</v>
      </c>
      <c r="U5" s="77" t="s">
        <v>381</v>
      </c>
      <c r="V5" s="65" t="s">
        <v>380</v>
      </c>
      <c r="W5" s="74" t="s">
        <v>379</v>
      </c>
      <c r="X5" s="74" t="s">
        <v>378</v>
      </c>
      <c r="Y5" s="74" t="s">
        <v>377</v>
      </c>
      <c r="Z5" s="76" t="s">
        <v>376</v>
      </c>
      <c r="AA5" s="274"/>
      <c r="AB5" s="276"/>
      <c r="AC5" s="278"/>
      <c r="AD5" s="278"/>
      <c r="AE5" s="278"/>
      <c r="AF5" s="278"/>
      <c r="AG5" s="278"/>
      <c r="AH5" s="278"/>
      <c r="AI5" s="278"/>
      <c r="AJ5" s="281"/>
    </row>
    <row r="6" spans="2:36" s="46" customFormat="1" ht="17.5" customHeight="1" x14ac:dyDescent="0.25">
      <c r="B6" s="282"/>
      <c r="C6" s="283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33" customFormat="1" ht="24" customHeight="1" x14ac:dyDescent="0.25">
      <c r="B7" s="257"/>
      <c r="C7" s="260"/>
      <c r="D7" s="122"/>
      <c r="E7" s="123">
        <f>K7+V7</f>
        <v>0</v>
      </c>
      <c r="F7" s="140" t="str">
        <f>IF(D7="","",IF(D28="","",IF(D7=(D7+D28)/2,"--",IF(D7&gt;=(D7+D28)/2,"↑","↓"))))</f>
        <v/>
      </c>
      <c r="G7" s="123"/>
      <c r="H7" s="123"/>
      <c r="I7" s="124"/>
      <c r="J7" s="125"/>
      <c r="K7" s="126"/>
      <c r="L7" s="126"/>
      <c r="M7" s="126"/>
      <c r="N7" s="126"/>
      <c r="O7" s="126"/>
      <c r="P7" s="126"/>
      <c r="Q7" s="126"/>
      <c r="R7" s="126"/>
      <c r="S7" s="126"/>
      <c r="T7" s="127"/>
      <c r="U7" s="125"/>
      <c r="V7" s="128"/>
      <c r="W7" s="123"/>
      <c r="X7" s="123"/>
      <c r="Y7" s="123"/>
      <c r="Z7" s="129" t="e">
        <f>U7/D7</f>
        <v>#DIV/0!</v>
      </c>
      <c r="AA7" s="130"/>
      <c r="AB7" s="123"/>
      <c r="AC7" s="123"/>
      <c r="AD7" s="123"/>
      <c r="AE7" s="131"/>
      <c r="AF7" s="131"/>
      <c r="AG7" s="131"/>
      <c r="AH7" s="131"/>
      <c r="AI7" s="131"/>
      <c r="AJ7" s="132"/>
    </row>
    <row r="8" spans="2:36" s="46" customFormat="1" ht="17.5" customHeight="1" x14ac:dyDescent="0.25">
      <c r="B8" s="257"/>
      <c r="C8" s="260"/>
      <c r="D8" s="271" t="s">
        <v>371</v>
      </c>
      <c r="E8" s="272"/>
      <c r="F8" s="273"/>
      <c r="G8" s="271" t="s">
        <v>370</v>
      </c>
      <c r="H8" s="272"/>
      <c r="I8" s="272"/>
      <c r="J8" s="272"/>
      <c r="K8" s="272"/>
      <c r="L8" s="272"/>
      <c r="M8" s="272"/>
      <c r="N8" s="272"/>
      <c r="O8" s="273"/>
      <c r="P8" s="271" t="s">
        <v>369</v>
      </c>
      <c r="Q8" s="272"/>
      <c r="R8" s="272"/>
      <c r="S8" s="272"/>
      <c r="T8" s="272"/>
      <c r="U8" s="272"/>
      <c r="V8" s="272"/>
      <c r="W8" s="272"/>
      <c r="X8" s="272"/>
      <c r="Y8" s="272"/>
      <c r="Z8" s="272"/>
      <c r="AA8" s="272"/>
      <c r="AB8" s="272"/>
      <c r="AC8" s="272"/>
      <c r="AD8" s="273"/>
      <c r="AE8" s="284" t="s">
        <v>336</v>
      </c>
      <c r="AF8" s="272"/>
      <c r="AG8" s="272"/>
      <c r="AH8" s="272"/>
      <c r="AI8" s="272"/>
      <c r="AJ8" s="273"/>
    </row>
    <row r="9" spans="2:36" s="46" customFormat="1" ht="15" customHeight="1" x14ac:dyDescent="0.25">
      <c r="B9" s="257"/>
      <c r="C9" s="260"/>
      <c r="D9" s="285" t="s">
        <v>368</v>
      </c>
      <c r="E9" s="286" t="s">
        <v>367</v>
      </c>
      <c r="F9" s="287" t="s">
        <v>366</v>
      </c>
      <c r="G9" s="285" t="s">
        <v>365</v>
      </c>
      <c r="H9" s="278"/>
      <c r="I9" s="288" t="s">
        <v>364</v>
      </c>
      <c r="J9" s="288" t="s">
        <v>363</v>
      </c>
      <c r="K9" s="288" t="s">
        <v>362</v>
      </c>
      <c r="L9" s="288" t="s">
        <v>361</v>
      </c>
      <c r="M9" s="288" t="s">
        <v>360</v>
      </c>
      <c r="N9" s="288" t="s">
        <v>359</v>
      </c>
      <c r="O9" s="290" t="s">
        <v>358</v>
      </c>
      <c r="P9" s="285" t="s">
        <v>357</v>
      </c>
      <c r="Q9" s="278"/>
      <c r="R9" s="286" t="s">
        <v>356</v>
      </c>
      <c r="S9" s="278"/>
      <c r="T9" s="278"/>
      <c r="U9" s="286" t="s">
        <v>355</v>
      </c>
      <c r="V9" s="292" t="s">
        <v>354</v>
      </c>
      <c r="W9" s="278"/>
      <c r="X9" s="292" t="s">
        <v>353</v>
      </c>
      <c r="Y9" s="278"/>
      <c r="Z9" s="278"/>
      <c r="AA9" s="292" t="s">
        <v>352</v>
      </c>
      <c r="AB9" s="286" t="s">
        <v>351</v>
      </c>
      <c r="AC9" s="289" t="s">
        <v>350</v>
      </c>
      <c r="AD9" s="287" t="s">
        <v>349</v>
      </c>
      <c r="AE9" s="291" t="s">
        <v>348</v>
      </c>
      <c r="AF9" s="278"/>
      <c r="AG9" s="278"/>
      <c r="AH9" s="288" t="s">
        <v>332</v>
      </c>
      <c r="AI9" s="278"/>
      <c r="AJ9" s="281"/>
    </row>
    <row r="10" spans="2:36" s="46" customFormat="1" ht="15" customHeight="1" x14ac:dyDescent="0.25">
      <c r="B10" s="257"/>
      <c r="C10" s="260"/>
      <c r="D10" s="274"/>
      <c r="E10" s="278"/>
      <c r="F10" s="281"/>
      <c r="G10" s="75" t="s">
        <v>347</v>
      </c>
      <c r="H10" s="72" t="s">
        <v>346</v>
      </c>
      <c r="I10" s="278"/>
      <c r="J10" s="278"/>
      <c r="K10" s="278"/>
      <c r="L10" s="278"/>
      <c r="M10" s="278"/>
      <c r="N10" s="278"/>
      <c r="O10" s="281"/>
      <c r="P10" s="75" t="s">
        <v>345</v>
      </c>
      <c r="Q10" s="72" t="s">
        <v>344</v>
      </c>
      <c r="R10" s="72" t="s">
        <v>344</v>
      </c>
      <c r="S10" s="72" t="s">
        <v>343</v>
      </c>
      <c r="T10" s="71" t="s">
        <v>342</v>
      </c>
      <c r="U10" s="278"/>
      <c r="V10" s="71" t="s">
        <v>345</v>
      </c>
      <c r="W10" s="72" t="s">
        <v>344</v>
      </c>
      <c r="X10" s="71" t="s">
        <v>344</v>
      </c>
      <c r="Y10" s="72" t="s">
        <v>343</v>
      </c>
      <c r="Z10" s="71" t="s">
        <v>342</v>
      </c>
      <c r="AA10" s="278"/>
      <c r="AB10" s="278"/>
      <c r="AC10" s="278"/>
      <c r="AD10" s="281"/>
      <c r="AE10" s="77" t="s">
        <v>1</v>
      </c>
      <c r="AF10" s="74" t="s">
        <v>12</v>
      </c>
      <c r="AG10" s="74" t="s">
        <v>15</v>
      </c>
      <c r="AH10" s="52" t="s">
        <v>103</v>
      </c>
      <c r="AI10" s="74" t="s">
        <v>341</v>
      </c>
      <c r="AJ10" s="73" t="s">
        <v>340</v>
      </c>
    </row>
    <row r="11" spans="2:36" s="46" customFormat="1" ht="17.5" customHeight="1" x14ac:dyDescent="0.25">
      <c r="B11" s="257"/>
      <c r="C11" s="260"/>
      <c r="D11" s="75" t="s">
        <v>4</v>
      </c>
      <c r="E11" s="72" t="s">
        <v>4</v>
      </c>
      <c r="F11" s="73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33" customFormat="1" ht="24" customHeight="1" x14ac:dyDescent="0.25">
      <c r="B12" s="257"/>
      <c r="C12" s="260"/>
      <c r="D12" s="141">
        <v>0.53</v>
      </c>
      <c r="E12" s="134"/>
      <c r="F12" s="146" t="str">
        <f>IF(E12="","",IF(AND(E12&gt;=0.525,E12&lt;=0.53),"合格","不合格"))</f>
        <v/>
      </c>
      <c r="G12" s="122"/>
      <c r="H12" s="123"/>
      <c r="I12" s="123"/>
      <c r="J12" s="123"/>
      <c r="K12" s="123"/>
      <c r="L12" s="123"/>
      <c r="M12" s="123"/>
      <c r="N12" s="123"/>
      <c r="O12" s="129"/>
      <c r="P12" s="142">
        <v>29.1</v>
      </c>
      <c r="Q12" s="143" t="s">
        <v>337</v>
      </c>
      <c r="R12" s="123"/>
      <c r="S12" s="123">
        <f>R12-Q12</f>
        <v>-33.1</v>
      </c>
      <c r="T12" s="140" t="str">
        <f>IF(S12&gt;=0,"↑","↓")</f>
        <v>↓</v>
      </c>
      <c r="U12" s="131" t="s">
        <v>82</v>
      </c>
      <c r="V12" s="143">
        <v>1.6</v>
      </c>
      <c r="W12" s="143">
        <v>17.600000000000001</v>
      </c>
      <c r="X12" s="123"/>
      <c r="Y12" s="123">
        <f>X12-W12</f>
        <v>-17.600000000000001</v>
      </c>
      <c r="Z12" s="140" t="str">
        <f>IF(Y12&gt;=0,"↑","↓")</f>
        <v>↓</v>
      </c>
      <c r="AA12" s="143">
        <v>6.28</v>
      </c>
      <c r="AB12" s="123"/>
      <c r="AC12" s="123">
        <f>AB12-AA12</f>
        <v>-6.28</v>
      </c>
      <c r="AD12" s="140" t="str">
        <f>IF(AC12&gt;=0,"↑","↓")</f>
        <v>↓</v>
      </c>
      <c r="AE12" s="135"/>
      <c r="AF12" s="123"/>
      <c r="AG12" s="131"/>
      <c r="AH12" s="131"/>
      <c r="AI12" s="131"/>
      <c r="AJ12" s="132"/>
    </row>
    <row r="13" spans="2:36" s="46" customFormat="1" ht="15" customHeight="1" x14ac:dyDescent="0.25">
      <c r="B13" s="257"/>
      <c r="C13" s="260"/>
      <c r="D13" s="271" t="s">
        <v>336</v>
      </c>
      <c r="E13" s="273"/>
      <c r="F13" s="271" t="s">
        <v>335</v>
      </c>
      <c r="G13" s="272"/>
      <c r="H13" s="272"/>
      <c r="I13" s="272"/>
      <c r="J13" s="272"/>
      <c r="K13" s="272"/>
      <c r="L13" s="272"/>
      <c r="M13" s="273"/>
      <c r="N13" s="271" t="s">
        <v>334</v>
      </c>
      <c r="O13" s="272"/>
      <c r="P13" s="272"/>
      <c r="Q13" s="272"/>
      <c r="R13" s="272"/>
      <c r="S13" s="272"/>
      <c r="T13" s="272"/>
      <c r="U13" s="273"/>
      <c r="V13" s="284" t="s">
        <v>333</v>
      </c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3"/>
    </row>
    <row r="14" spans="2:36" s="46" customFormat="1" ht="15" customHeight="1" x14ac:dyDescent="0.25">
      <c r="B14" s="257"/>
      <c r="C14" s="260"/>
      <c r="D14" s="285" t="s">
        <v>332</v>
      </c>
      <c r="E14" s="281"/>
      <c r="F14" s="285" t="s">
        <v>331</v>
      </c>
      <c r="G14" s="278"/>
      <c r="H14" s="278"/>
      <c r="I14" s="278"/>
      <c r="J14" s="278"/>
      <c r="K14" s="288" t="s">
        <v>330</v>
      </c>
      <c r="L14" s="278"/>
      <c r="M14" s="281"/>
      <c r="N14" s="285" t="s">
        <v>329</v>
      </c>
      <c r="O14" s="278"/>
      <c r="P14" s="278"/>
      <c r="Q14" s="278"/>
      <c r="R14" s="278"/>
      <c r="S14" s="286" t="s">
        <v>328</v>
      </c>
      <c r="T14" s="278"/>
      <c r="U14" s="281"/>
      <c r="V14" s="291" t="s">
        <v>327</v>
      </c>
      <c r="W14" s="278"/>
      <c r="X14" s="278"/>
      <c r="Y14" s="278"/>
      <c r="Z14" s="288" t="s">
        <v>326</v>
      </c>
      <c r="AA14" s="278"/>
      <c r="AB14" s="278"/>
      <c r="AC14" s="278"/>
      <c r="AD14" s="278"/>
      <c r="AE14" s="278"/>
      <c r="AF14" s="278"/>
      <c r="AG14" s="278"/>
      <c r="AH14" s="278"/>
      <c r="AI14" s="278"/>
      <c r="AJ14" s="281"/>
    </row>
    <row r="15" spans="2:36" s="46" customFormat="1" ht="25" customHeight="1" x14ac:dyDescent="0.25">
      <c r="B15" s="257"/>
      <c r="C15" s="260"/>
      <c r="D15" s="75" t="s">
        <v>325</v>
      </c>
      <c r="E15" s="73" t="s">
        <v>322</v>
      </c>
      <c r="F15" s="75" t="s">
        <v>324</v>
      </c>
      <c r="G15" s="72" t="s">
        <v>317</v>
      </c>
      <c r="H15" s="72" t="s">
        <v>323</v>
      </c>
      <c r="I15" s="74" t="s">
        <v>15</v>
      </c>
      <c r="J15" s="52" t="s">
        <v>322</v>
      </c>
      <c r="K15" s="74" t="s">
        <v>321</v>
      </c>
      <c r="L15" s="74" t="s">
        <v>320</v>
      </c>
      <c r="M15" s="73" t="s">
        <v>319</v>
      </c>
      <c r="N15" s="75" t="s">
        <v>324</v>
      </c>
      <c r="O15" s="72" t="s">
        <v>317</v>
      </c>
      <c r="P15" s="72" t="s">
        <v>323</v>
      </c>
      <c r="Q15" s="72" t="s">
        <v>15</v>
      </c>
      <c r="R15" s="71" t="s">
        <v>322</v>
      </c>
      <c r="S15" s="74" t="s">
        <v>321</v>
      </c>
      <c r="T15" s="74" t="s">
        <v>320</v>
      </c>
      <c r="U15" s="73" t="s">
        <v>319</v>
      </c>
      <c r="V15" s="77" t="s">
        <v>318</v>
      </c>
      <c r="W15" s="74" t="s">
        <v>317</v>
      </c>
      <c r="X15" s="74" t="s">
        <v>316</v>
      </c>
      <c r="Y15" s="74" t="s">
        <v>315</v>
      </c>
      <c r="Z15" s="74" t="s">
        <v>314</v>
      </c>
      <c r="AA15" s="74" t="s">
        <v>313</v>
      </c>
      <c r="AB15" s="74" t="s">
        <v>312</v>
      </c>
      <c r="AC15" s="74" t="s">
        <v>311</v>
      </c>
      <c r="AD15" s="74" t="s">
        <v>310</v>
      </c>
      <c r="AE15" s="74" t="s">
        <v>309</v>
      </c>
      <c r="AF15" s="74" t="s">
        <v>308</v>
      </c>
      <c r="AG15" s="74" t="s">
        <v>307</v>
      </c>
      <c r="AH15" s="74" t="s">
        <v>306</v>
      </c>
      <c r="AI15" s="74" t="s">
        <v>305</v>
      </c>
      <c r="AJ15" s="76" t="s">
        <v>304</v>
      </c>
    </row>
    <row r="16" spans="2:36" s="46" customFormat="1" ht="15" customHeight="1" x14ac:dyDescent="0.25">
      <c r="B16" s="257"/>
      <c r="C16" s="260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72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33" customFormat="1" ht="24" customHeight="1" x14ac:dyDescent="0.25">
      <c r="B17" s="257"/>
      <c r="C17" s="260"/>
      <c r="D17" s="135"/>
      <c r="E17" s="129"/>
      <c r="F17" s="135"/>
      <c r="G17" s="131"/>
      <c r="H17" s="131"/>
      <c r="I17" s="123"/>
      <c r="J17" s="123"/>
      <c r="K17" s="123"/>
      <c r="L17" s="123"/>
      <c r="M17" s="129"/>
      <c r="N17" s="122"/>
      <c r="O17" s="123"/>
      <c r="P17" s="123"/>
      <c r="Q17" s="123"/>
      <c r="R17" s="123"/>
      <c r="S17" s="123"/>
      <c r="T17" s="123"/>
      <c r="U17" s="129"/>
      <c r="V17" s="122"/>
      <c r="W17" s="123"/>
      <c r="X17" s="123"/>
      <c r="Y17" s="123"/>
      <c r="Z17" s="123"/>
      <c r="AA17" s="123"/>
      <c r="AB17" s="123"/>
      <c r="AC17" s="123"/>
      <c r="AD17" s="123"/>
      <c r="AE17" s="123" t="e">
        <f>Z17/AB17</f>
        <v>#DIV/0!</v>
      </c>
      <c r="AF17" s="123"/>
      <c r="AG17" s="123"/>
      <c r="AH17" s="123" t="e">
        <f>AF17/(Z17-AB17)</f>
        <v>#DIV/0!</v>
      </c>
      <c r="AI17" s="143" t="s">
        <v>296</v>
      </c>
      <c r="AJ17" s="140" t="e">
        <f>IF((AH17-AI17)&gt;=0,"↑","↓")</f>
        <v>#DIV/0!</v>
      </c>
    </row>
    <row r="18" spans="2:36" s="46" customFormat="1" ht="15" customHeight="1" x14ac:dyDescent="0.25">
      <c r="B18" s="257"/>
      <c r="C18" s="260"/>
      <c r="D18" s="284" t="s">
        <v>295</v>
      </c>
      <c r="E18" s="272"/>
      <c r="F18" s="272"/>
      <c r="G18" s="272"/>
      <c r="H18" s="272"/>
      <c r="I18" s="272"/>
      <c r="J18" s="272"/>
      <c r="K18" s="272"/>
      <c r="L18" s="272"/>
      <c r="M18" s="272"/>
      <c r="N18" s="272"/>
      <c r="O18" s="272"/>
      <c r="P18" s="272"/>
      <c r="Q18" s="273"/>
      <c r="R18" s="78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84" t="s">
        <v>82</v>
      </c>
    </row>
    <row r="19" spans="2:36" s="46" customFormat="1" ht="15" customHeight="1" x14ac:dyDescent="0.25">
      <c r="B19" s="257"/>
      <c r="C19" s="260"/>
      <c r="D19" s="291" t="s">
        <v>294</v>
      </c>
      <c r="E19" s="278"/>
      <c r="F19" s="278"/>
      <c r="G19" s="288" t="s">
        <v>293</v>
      </c>
      <c r="H19" s="278"/>
      <c r="I19" s="278"/>
      <c r="J19" s="288" t="s">
        <v>292</v>
      </c>
      <c r="K19" s="278"/>
      <c r="L19" s="278"/>
      <c r="M19" s="288" t="s">
        <v>291</v>
      </c>
      <c r="N19" s="288" t="s">
        <v>290</v>
      </c>
      <c r="O19" s="288" t="s">
        <v>289</v>
      </c>
      <c r="P19" s="288" t="s">
        <v>225</v>
      </c>
      <c r="Q19" s="290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412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57"/>
      <c r="C20" s="260"/>
      <c r="D20" s="77" t="s">
        <v>287</v>
      </c>
      <c r="E20" s="74" t="s">
        <v>286</v>
      </c>
      <c r="F20" s="74" t="s">
        <v>285</v>
      </c>
      <c r="G20" s="74" t="s">
        <v>287</v>
      </c>
      <c r="H20" s="74" t="s">
        <v>286</v>
      </c>
      <c r="I20" s="74" t="s">
        <v>285</v>
      </c>
      <c r="J20" s="74" t="s">
        <v>287</v>
      </c>
      <c r="K20" s="74" t="s">
        <v>286</v>
      </c>
      <c r="L20" s="74" t="s">
        <v>285</v>
      </c>
      <c r="M20" s="278"/>
      <c r="N20" s="278"/>
      <c r="O20" s="278"/>
      <c r="P20" s="278"/>
      <c r="Q20" s="281"/>
      <c r="R20" s="75" t="s">
        <v>4</v>
      </c>
      <c r="S20" s="72" t="s">
        <v>4</v>
      </c>
      <c r="T20" s="72" t="s">
        <v>4</v>
      </c>
      <c r="U20" s="72" t="s">
        <v>82</v>
      </c>
      <c r="V20" s="72" t="s">
        <v>82</v>
      </c>
      <c r="W20" s="74" t="s">
        <v>82</v>
      </c>
      <c r="X20" s="72" t="s">
        <v>82</v>
      </c>
      <c r="Y20" s="72" t="s">
        <v>82</v>
      </c>
      <c r="Z20" s="74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57"/>
      <c r="C21" s="260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33" customFormat="1" ht="24" customHeight="1" x14ac:dyDescent="0.25">
      <c r="B22" s="257"/>
      <c r="C22" s="260"/>
      <c r="D22" s="136"/>
      <c r="E22" s="137"/>
      <c r="F22" s="137">
        <f>D22-E22</f>
        <v>0</v>
      </c>
      <c r="G22" s="137"/>
      <c r="H22" s="137"/>
      <c r="I22" s="137">
        <f>G22-H22</f>
        <v>0</v>
      </c>
      <c r="J22" s="137"/>
      <c r="K22" s="137"/>
      <c r="L22" s="137">
        <f>J22-K22</f>
        <v>0</v>
      </c>
      <c r="M22" s="137"/>
      <c r="N22" s="137"/>
      <c r="O22" s="137" t="e">
        <f>N22/M22</f>
        <v>#DIV/0!</v>
      </c>
      <c r="P22" s="137"/>
      <c r="Q22" s="144">
        <v>301</v>
      </c>
      <c r="R22" s="136" t="s">
        <v>4</v>
      </c>
      <c r="S22" s="137" t="s">
        <v>4</v>
      </c>
      <c r="T22" s="137" t="s">
        <v>4</v>
      </c>
      <c r="U22" s="137" t="s">
        <v>82</v>
      </c>
      <c r="V22" s="137" t="s">
        <v>82</v>
      </c>
      <c r="W22" s="137" t="s">
        <v>82</v>
      </c>
      <c r="X22" s="137" t="s">
        <v>82</v>
      </c>
      <c r="Y22" s="137" t="s">
        <v>82</v>
      </c>
      <c r="Z22" s="137" t="s">
        <v>82</v>
      </c>
      <c r="AA22" s="137" t="s">
        <v>82</v>
      </c>
      <c r="AB22" s="137" t="s">
        <v>82</v>
      </c>
      <c r="AC22" s="137" t="s">
        <v>82</v>
      </c>
      <c r="AD22" s="137" t="s">
        <v>82</v>
      </c>
      <c r="AE22" s="138" t="s">
        <v>82</v>
      </c>
      <c r="AF22" s="138" t="s">
        <v>82</v>
      </c>
      <c r="AG22" s="138" t="s">
        <v>82</v>
      </c>
      <c r="AH22" s="138" t="s">
        <v>82</v>
      </c>
      <c r="AI22" s="138" t="s">
        <v>82</v>
      </c>
      <c r="AJ22" s="139" t="s">
        <v>82</v>
      </c>
    </row>
    <row r="23" spans="2:36" s="46" customFormat="1" ht="7.5" customHeight="1" x14ac:dyDescent="0.25">
      <c r="B23" s="85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86"/>
    </row>
    <row r="24" spans="2:36" s="46" customFormat="1" ht="17.5" customHeight="1" x14ac:dyDescent="0.25">
      <c r="B24" s="293" t="s">
        <v>406</v>
      </c>
      <c r="C24" s="294" t="s">
        <v>405</v>
      </c>
      <c r="D24" s="295" t="s">
        <v>404</v>
      </c>
      <c r="E24" s="296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7"/>
      <c r="AA24" s="298" t="s">
        <v>403</v>
      </c>
      <c r="AB24" s="299"/>
      <c r="AC24" s="299"/>
      <c r="AD24" s="299"/>
      <c r="AE24" s="299"/>
      <c r="AF24" s="299"/>
      <c r="AG24" s="299"/>
      <c r="AH24" s="299"/>
      <c r="AI24" s="299"/>
      <c r="AJ24" s="300"/>
    </row>
    <row r="25" spans="2:36" s="46" customFormat="1" ht="17.5" customHeight="1" x14ac:dyDescent="0.25">
      <c r="B25" s="257"/>
      <c r="C25" s="260"/>
      <c r="D25" s="266" t="s">
        <v>402</v>
      </c>
      <c r="E25" s="267"/>
      <c r="F25" s="267"/>
      <c r="G25" s="267"/>
      <c r="H25" s="267"/>
      <c r="I25" s="267"/>
      <c r="J25" s="268" t="s">
        <v>401</v>
      </c>
      <c r="K25" s="269"/>
      <c r="L25" s="269"/>
      <c r="M25" s="269"/>
      <c r="N25" s="269"/>
      <c r="O25" s="269"/>
      <c r="P25" s="269"/>
      <c r="Q25" s="269"/>
      <c r="R25" s="269"/>
      <c r="S25" s="269"/>
      <c r="T25" s="270"/>
      <c r="U25" s="271" t="s">
        <v>400</v>
      </c>
      <c r="V25" s="272"/>
      <c r="W25" s="272"/>
      <c r="X25" s="272"/>
      <c r="Y25" s="272"/>
      <c r="Z25" s="273"/>
      <c r="AA25" s="271" t="s">
        <v>399</v>
      </c>
      <c r="AB25" s="275" t="s">
        <v>398</v>
      </c>
      <c r="AC25" s="277" t="s">
        <v>397</v>
      </c>
      <c r="AD25" s="277" t="s">
        <v>306</v>
      </c>
      <c r="AE25" s="277" t="s">
        <v>396</v>
      </c>
      <c r="AF25" s="279" t="s">
        <v>395</v>
      </c>
      <c r="AG25" s="277" t="s">
        <v>394</v>
      </c>
      <c r="AH25" s="279" t="s">
        <v>393</v>
      </c>
      <c r="AI25" s="277" t="s">
        <v>392</v>
      </c>
      <c r="AJ25" s="280" t="s">
        <v>391</v>
      </c>
    </row>
    <row r="26" spans="2:36" s="46" customFormat="1" ht="37.5" customHeight="1" x14ac:dyDescent="0.25">
      <c r="B26" s="258"/>
      <c r="C26" s="261"/>
      <c r="D26" s="77" t="s">
        <v>390</v>
      </c>
      <c r="E26" s="74" t="s">
        <v>389</v>
      </c>
      <c r="F26" s="74" t="s">
        <v>388</v>
      </c>
      <c r="G26" s="74" t="s">
        <v>387</v>
      </c>
      <c r="H26" s="74" t="s">
        <v>378</v>
      </c>
      <c r="I26" s="66" t="s">
        <v>377</v>
      </c>
      <c r="J26" s="77" t="s">
        <v>381</v>
      </c>
      <c r="K26" s="74" t="s">
        <v>380</v>
      </c>
      <c r="L26" s="74" t="s">
        <v>379</v>
      </c>
      <c r="M26" s="74" t="s">
        <v>386</v>
      </c>
      <c r="N26" s="74" t="s">
        <v>386</v>
      </c>
      <c r="O26" s="74" t="s">
        <v>378</v>
      </c>
      <c r="P26" s="74" t="s">
        <v>385</v>
      </c>
      <c r="Q26" s="74" t="s">
        <v>384</v>
      </c>
      <c r="R26" s="74" t="s">
        <v>377</v>
      </c>
      <c r="S26" s="74" t="s">
        <v>383</v>
      </c>
      <c r="T26" s="76" t="s">
        <v>382</v>
      </c>
      <c r="U26" s="77" t="s">
        <v>381</v>
      </c>
      <c r="V26" s="65" t="s">
        <v>380</v>
      </c>
      <c r="W26" s="74" t="s">
        <v>379</v>
      </c>
      <c r="X26" s="74" t="s">
        <v>378</v>
      </c>
      <c r="Y26" s="74" t="s">
        <v>377</v>
      </c>
      <c r="Z26" s="76" t="s">
        <v>376</v>
      </c>
      <c r="AA26" s="274"/>
      <c r="AB26" s="276"/>
      <c r="AC26" s="278"/>
      <c r="AD26" s="278"/>
      <c r="AE26" s="278"/>
      <c r="AF26" s="278"/>
      <c r="AG26" s="278"/>
      <c r="AH26" s="278"/>
      <c r="AI26" s="278"/>
      <c r="AJ26" s="281"/>
    </row>
    <row r="27" spans="2:36" s="46" customFormat="1" ht="17.5" customHeight="1" x14ac:dyDescent="0.25">
      <c r="B27" s="282"/>
      <c r="C27" s="283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33" customFormat="1" ht="24" customHeight="1" x14ac:dyDescent="0.25">
      <c r="B28" s="257"/>
      <c r="C28" s="260"/>
      <c r="D28" s="122"/>
      <c r="E28" s="123">
        <f>K28+V28</f>
        <v>0</v>
      </c>
      <c r="F28" s="140" t="str">
        <f>IF(D28="","",IF(D7="","",IF(D28=(D7+D28)/2,"--",IF(D28&gt;=(D7+D28)/2,"↑","↓"))))</f>
        <v/>
      </c>
      <c r="G28" s="123"/>
      <c r="H28" s="123"/>
      <c r="I28" s="124"/>
      <c r="J28" s="125"/>
      <c r="K28" s="126"/>
      <c r="L28" s="126"/>
      <c r="M28" s="126"/>
      <c r="N28" s="126"/>
      <c r="O28" s="126"/>
      <c r="P28" s="126"/>
      <c r="Q28" s="126"/>
      <c r="R28" s="126"/>
      <c r="S28" s="126"/>
      <c r="T28" s="127"/>
      <c r="U28" s="125"/>
      <c r="V28" s="128"/>
      <c r="W28" s="123"/>
      <c r="X28" s="123"/>
      <c r="Y28" s="123"/>
      <c r="Z28" s="129" t="e">
        <f>U28/D28</f>
        <v>#DIV/0!</v>
      </c>
      <c r="AA28" s="130"/>
      <c r="AB28" s="123"/>
      <c r="AC28" s="123"/>
      <c r="AD28" s="123"/>
      <c r="AE28" s="131"/>
      <c r="AF28" s="131"/>
      <c r="AG28" s="131"/>
      <c r="AH28" s="131"/>
      <c r="AI28" s="131"/>
      <c r="AJ28" s="132"/>
    </row>
    <row r="29" spans="2:36" s="46" customFormat="1" ht="17.5" customHeight="1" x14ac:dyDescent="0.25">
      <c r="B29" s="257"/>
      <c r="C29" s="260"/>
      <c r="D29" s="271" t="s">
        <v>371</v>
      </c>
      <c r="E29" s="272"/>
      <c r="F29" s="273"/>
      <c r="G29" s="271" t="s">
        <v>370</v>
      </c>
      <c r="H29" s="272"/>
      <c r="I29" s="272"/>
      <c r="J29" s="272"/>
      <c r="K29" s="272"/>
      <c r="L29" s="272"/>
      <c r="M29" s="272"/>
      <c r="N29" s="272"/>
      <c r="O29" s="273"/>
      <c r="P29" s="271" t="s">
        <v>369</v>
      </c>
      <c r="Q29" s="272"/>
      <c r="R29" s="272"/>
      <c r="S29" s="272"/>
      <c r="T29" s="272"/>
      <c r="U29" s="272"/>
      <c r="V29" s="272"/>
      <c r="W29" s="272"/>
      <c r="X29" s="272"/>
      <c r="Y29" s="272"/>
      <c r="Z29" s="272"/>
      <c r="AA29" s="272"/>
      <c r="AB29" s="272"/>
      <c r="AC29" s="272"/>
      <c r="AD29" s="273"/>
      <c r="AE29" s="284" t="s">
        <v>336</v>
      </c>
      <c r="AF29" s="272"/>
      <c r="AG29" s="272"/>
      <c r="AH29" s="272"/>
      <c r="AI29" s="272"/>
      <c r="AJ29" s="273"/>
    </row>
    <row r="30" spans="2:36" s="46" customFormat="1" ht="15" customHeight="1" x14ac:dyDescent="0.25">
      <c r="B30" s="257"/>
      <c r="C30" s="260"/>
      <c r="D30" s="285" t="s">
        <v>368</v>
      </c>
      <c r="E30" s="286" t="s">
        <v>367</v>
      </c>
      <c r="F30" s="287" t="s">
        <v>366</v>
      </c>
      <c r="G30" s="285" t="s">
        <v>365</v>
      </c>
      <c r="H30" s="278"/>
      <c r="I30" s="288" t="s">
        <v>364</v>
      </c>
      <c r="J30" s="288" t="s">
        <v>363</v>
      </c>
      <c r="K30" s="288" t="s">
        <v>362</v>
      </c>
      <c r="L30" s="288" t="s">
        <v>361</v>
      </c>
      <c r="M30" s="288" t="s">
        <v>360</v>
      </c>
      <c r="N30" s="288" t="s">
        <v>359</v>
      </c>
      <c r="O30" s="290" t="s">
        <v>358</v>
      </c>
      <c r="P30" s="285" t="s">
        <v>357</v>
      </c>
      <c r="Q30" s="278"/>
      <c r="R30" s="286" t="s">
        <v>356</v>
      </c>
      <c r="S30" s="278"/>
      <c r="T30" s="278"/>
      <c r="U30" s="286" t="s">
        <v>355</v>
      </c>
      <c r="V30" s="292" t="s">
        <v>354</v>
      </c>
      <c r="W30" s="278"/>
      <c r="X30" s="292" t="s">
        <v>353</v>
      </c>
      <c r="Y30" s="278"/>
      <c r="Z30" s="278"/>
      <c r="AA30" s="292" t="s">
        <v>352</v>
      </c>
      <c r="AB30" s="286" t="s">
        <v>351</v>
      </c>
      <c r="AC30" s="289" t="s">
        <v>350</v>
      </c>
      <c r="AD30" s="287" t="s">
        <v>349</v>
      </c>
      <c r="AE30" s="291" t="s">
        <v>348</v>
      </c>
      <c r="AF30" s="278"/>
      <c r="AG30" s="278"/>
      <c r="AH30" s="288" t="s">
        <v>332</v>
      </c>
      <c r="AI30" s="278"/>
      <c r="AJ30" s="281"/>
    </row>
    <row r="31" spans="2:36" s="46" customFormat="1" ht="15" customHeight="1" x14ac:dyDescent="0.25">
      <c r="B31" s="257"/>
      <c r="C31" s="260"/>
      <c r="D31" s="274"/>
      <c r="E31" s="278"/>
      <c r="F31" s="281"/>
      <c r="G31" s="75" t="s">
        <v>347</v>
      </c>
      <c r="H31" s="72" t="s">
        <v>346</v>
      </c>
      <c r="I31" s="278"/>
      <c r="J31" s="278"/>
      <c r="K31" s="278"/>
      <c r="L31" s="278"/>
      <c r="M31" s="278"/>
      <c r="N31" s="278"/>
      <c r="O31" s="281"/>
      <c r="P31" s="75" t="s">
        <v>345</v>
      </c>
      <c r="Q31" s="72" t="s">
        <v>344</v>
      </c>
      <c r="R31" s="72" t="s">
        <v>344</v>
      </c>
      <c r="S31" s="72" t="s">
        <v>343</v>
      </c>
      <c r="T31" s="71" t="s">
        <v>342</v>
      </c>
      <c r="U31" s="278"/>
      <c r="V31" s="71" t="s">
        <v>345</v>
      </c>
      <c r="W31" s="72" t="s">
        <v>344</v>
      </c>
      <c r="X31" s="71" t="s">
        <v>344</v>
      </c>
      <c r="Y31" s="72" t="s">
        <v>343</v>
      </c>
      <c r="Z31" s="71" t="s">
        <v>342</v>
      </c>
      <c r="AA31" s="278"/>
      <c r="AB31" s="278"/>
      <c r="AC31" s="278"/>
      <c r="AD31" s="281"/>
      <c r="AE31" s="77" t="s">
        <v>1</v>
      </c>
      <c r="AF31" s="74" t="s">
        <v>12</v>
      </c>
      <c r="AG31" s="74" t="s">
        <v>15</v>
      </c>
      <c r="AH31" s="52" t="s">
        <v>103</v>
      </c>
      <c r="AI31" s="74" t="s">
        <v>341</v>
      </c>
      <c r="AJ31" s="73" t="s">
        <v>340</v>
      </c>
    </row>
    <row r="32" spans="2:36" s="46" customFormat="1" ht="17.5" customHeight="1" x14ac:dyDescent="0.25">
      <c r="B32" s="257"/>
      <c r="C32" s="260"/>
      <c r="D32" s="75" t="s">
        <v>4</v>
      </c>
      <c r="E32" s="72" t="s">
        <v>4</v>
      </c>
      <c r="F32" s="73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33" customFormat="1" ht="24" customHeight="1" x14ac:dyDescent="0.25">
      <c r="B33" s="257"/>
      <c r="C33" s="260"/>
      <c r="D33" s="141">
        <v>0.53</v>
      </c>
      <c r="E33" s="134"/>
      <c r="F33" s="146" t="str">
        <f>IF(E33="","",IF(AND(E33&gt;=0.525,E33&lt;=0.53),"合格","不合格"))</f>
        <v/>
      </c>
      <c r="G33" s="122"/>
      <c r="H33" s="123"/>
      <c r="I33" s="123"/>
      <c r="J33" s="123"/>
      <c r="K33" s="123"/>
      <c r="L33" s="123"/>
      <c r="M33" s="123"/>
      <c r="N33" s="123"/>
      <c r="O33" s="129"/>
      <c r="P33" s="142">
        <v>29.1</v>
      </c>
      <c r="Q33" s="143" t="s">
        <v>337</v>
      </c>
      <c r="R33" s="123"/>
      <c r="S33" s="123">
        <f>R33-33.1</f>
        <v>-33.1</v>
      </c>
      <c r="T33" s="140" t="str">
        <f>IF(S33&gt;=0,"↑","↓")</f>
        <v>↓</v>
      </c>
      <c r="U33" s="131" t="s">
        <v>82</v>
      </c>
      <c r="V33" s="143">
        <v>1.6</v>
      </c>
      <c r="W33" s="143">
        <v>17.600000000000001</v>
      </c>
      <c r="X33" s="123"/>
      <c r="Y33" s="123">
        <f>X33-W33</f>
        <v>-17.600000000000001</v>
      </c>
      <c r="Z33" s="140" t="str">
        <f>IF(Y33&gt;=0,"↑","↓")</f>
        <v>↓</v>
      </c>
      <c r="AA33" s="143">
        <v>6.28</v>
      </c>
      <c r="AB33" s="123"/>
      <c r="AC33" s="123">
        <f>AB33-AA33</f>
        <v>-6.28</v>
      </c>
      <c r="AD33" s="140" t="str">
        <f>IF(AC33&gt;=0,"↑","↓")</f>
        <v>↓</v>
      </c>
      <c r="AE33" s="135"/>
      <c r="AF33" s="123"/>
      <c r="AG33" s="131"/>
      <c r="AH33" s="131"/>
      <c r="AI33" s="131"/>
      <c r="AJ33" s="132"/>
    </row>
    <row r="34" spans="2:36" s="46" customFormat="1" ht="15" customHeight="1" x14ac:dyDescent="0.25">
      <c r="B34" s="257"/>
      <c r="C34" s="260"/>
      <c r="D34" s="271" t="s">
        <v>336</v>
      </c>
      <c r="E34" s="273"/>
      <c r="F34" s="271" t="s">
        <v>335</v>
      </c>
      <c r="G34" s="272"/>
      <c r="H34" s="272"/>
      <c r="I34" s="272"/>
      <c r="J34" s="272"/>
      <c r="K34" s="272"/>
      <c r="L34" s="272"/>
      <c r="M34" s="273"/>
      <c r="N34" s="271" t="s">
        <v>334</v>
      </c>
      <c r="O34" s="272"/>
      <c r="P34" s="272"/>
      <c r="Q34" s="272"/>
      <c r="R34" s="272"/>
      <c r="S34" s="272"/>
      <c r="T34" s="272"/>
      <c r="U34" s="273"/>
      <c r="V34" s="284" t="s">
        <v>333</v>
      </c>
      <c r="W34" s="272"/>
      <c r="X34" s="272"/>
      <c r="Y34" s="272"/>
      <c r="Z34" s="272"/>
      <c r="AA34" s="272"/>
      <c r="AB34" s="272"/>
      <c r="AC34" s="272"/>
      <c r="AD34" s="272"/>
      <c r="AE34" s="272"/>
      <c r="AF34" s="272"/>
      <c r="AG34" s="272"/>
      <c r="AH34" s="272"/>
      <c r="AI34" s="272"/>
      <c r="AJ34" s="273"/>
    </row>
    <row r="35" spans="2:36" s="46" customFormat="1" ht="15" customHeight="1" x14ac:dyDescent="0.25">
      <c r="B35" s="257"/>
      <c r="C35" s="260"/>
      <c r="D35" s="285" t="s">
        <v>332</v>
      </c>
      <c r="E35" s="281"/>
      <c r="F35" s="285" t="s">
        <v>331</v>
      </c>
      <c r="G35" s="278"/>
      <c r="H35" s="278"/>
      <c r="I35" s="278"/>
      <c r="J35" s="278"/>
      <c r="K35" s="288" t="s">
        <v>330</v>
      </c>
      <c r="L35" s="278"/>
      <c r="M35" s="281"/>
      <c r="N35" s="285" t="s">
        <v>329</v>
      </c>
      <c r="O35" s="278"/>
      <c r="P35" s="278"/>
      <c r="Q35" s="278"/>
      <c r="R35" s="278"/>
      <c r="S35" s="286" t="s">
        <v>328</v>
      </c>
      <c r="T35" s="278"/>
      <c r="U35" s="281"/>
      <c r="V35" s="291" t="s">
        <v>327</v>
      </c>
      <c r="W35" s="278"/>
      <c r="X35" s="278"/>
      <c r="Y35" s="278"/>
      <c r="Z35" s="288" t="s">
        <v>326</v>
      </c>
      <c r="AA35" s="278"/>
      <c r="AB35" s="278"/>
      <c r="AC35" s="278"/>
      <c r="AD35" s="278"/>
      <c r="AE35" s="278"/>
      <c r="AF35" s="278"/>
      <c r="AG35" s="278"/>
      <c r="AH35" s="278"/>
      <c r="AI35" s="278"/>
      <c r="AJ35" s="281"/>
    </row>
    <row r="36" spans="2:36" s="46" customFormat="1" ht="25" customHeight="1" x14ac:dyDescent="0.25">
      <c r="B36" s="257"/>
      <c r="C36" s="260"/>
      <c r="D36" s="75" t="s">
        <v>325</v>
      </c>
      <c r="E36" s="73" t="s">
        <v>322</v>
      </c>
      <c r="F36" s="75" t="s">
        <v>324</v>
      </c>
      <c r="G36" s="72" t="s">
        <v>317</v>
      </c>
      <c r="H36" s="72" t="s">
        <v>323</v>
      </c>
      <c r="I36" s="74" t="s">
        <v>15</v>
      </c>
      <c r="J36" s="52" t="s">
        <v>322</v>
      </c>
      <c r="K36" s="74" t="s">
        <v>321</v>
      </c>
      <c r="L36" s="74" t="s">
        <v>320</v>
      </c>
      <c r="M36" s="73" t="s">
        <v>319</v>
      </c>
      <c r="N36" s="75" t="s">
        <v>324</v>
      </c>
      <c r="O36" s="72" t="s">
        <v>317</v>
      </c>
      <c r="P36" s="72" t="s">
        <v>323</v>
      </c>
      <c r="Q36" s="72" t="s">
        <v>15</v>
      </c>
      <c r="R36" s="71" t="s">
        <v>322</v>
      </c>
      <c r="S36" s="74" t="s">
        <v>321</v>
      </c>
      <c r="T36" s="74" t="s">
        <v>320</v>
      </c>
      <c r="U36" s="73" t="s">
        <v>319</v>
      </c>
      <c r="V36" s="77" t="s">
        <v>318</v>
      </c>
      <c r="W36" s="74" t="s">
        <v>317</v>
      </c>
      <c r="X36" s="74" t="s">
        <v>316</v>
      </c>
      <c r="Y36" s="74" t="s">
        <v>315</v>
      </c>
      <c r="Z36" s="74" t="s">
        <v>314</v>
      </c>
      <c r="AA36" s="74" t="s">
        <v>313</v>
      </c>
      <c r="AB36" s="74" t="s">
        <v>312</v>
      </c>
      <c r="AC36" s="74" t="s">
        <v>311</v>
      </c>
      <c r="AD36" s="74" t="s">
        <v>310</v>
      </c>
      <c r="AE36" s="74" t="s">
        <v>309</v>
      </c>
      <c r="AF36" s="74" t="s">
        <v>308</v>
      </c>
      <c r="AG36" s="74" t="s">
        <v>307</v>
      </c>
      <c r="AH36" s="74" t="s">
        <v>306</v>
      </c>
      <c r="AI36" s="74" t="s">
        <v>305</v>
      </c>
      <c r="AJ36" s="76" t="s">
        <v>304</v>
      </c>
    </row>
    <row r="37" spans="2:36" s="46" customFormat="1" ht="15" customHeight="1" x14ac:dyDescent="0.25">
      <c r="B37" s="257"/>
      <c r="C37" s="260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72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33" customFormat="1" ht="24" customHeight="1" x14ac:dyDescent="0.25">
      <c r="B38" s="257"/>
      <c r="C38" s="260"/>
      <c r="D38" s="135"/>
      <c r="E38" s="129"/>
      <c r="F38" s="135"/>
      <c r="G38" s="131"/>
      <c r="H38" s="131"/>
      <c r="I38" s="123"/>
      <c r="J38" s="123"/>
      <c r="K38" s="123"/>
      <c r="L38" s="123"/>
      <c r="M38" s="129"/>
      <c r="N38" s="122"/>
      <c r="O38" s="123"/>
      <c r="P38" s="123"/>
      <c r="Q38" s="123"/>
      <c r="R38" s="123"/>
      <c r="S38" s="123"/>
      <c r="T38" s="123"/>
      <c r="U38" s="129"/>
      <c r="V38" s="122"/>
      <c r="W38" s="123"/>
      <c r="X38" s="123"/>
      <c r="Y38" s="123"/>
      <c r="Z38" s="123"/>
      <c r="AA38" s="123"/>
      <c r="AB38" s="123"/>
      <c r="AC38" s="123"/>
      <c r="AD38" s="123"/>
      <c r="AE38" s="123" t="e">
        <f>Z38/AB38</f>
        <v>#DIV/0!</v>
      </c>
      <c r="AF38" s="123"/>
      <c r="AG38" s="123"/>
      <c r="AH38" s="123" t="e">
        <f>AF38/(Z38-AB38)</f>
        <v>#DIV/0!</v>
      </c>
      <c r="AI38" s="143" t="s">
        <v>296</v>
      </c>
      <c r="AJ38" s="140" t="e">
        <f>IF((AH38-AI38)&gt;=0,"↑","↓")</f>
        <v>#DIV/0!</v>
      </c>
    </row>
    <row r="39" spans="2:36" s="46" customFormat="1" ht="15" customHeight="1" x14ac:dyDescent="0.25">
      <c r="B39" s="257"/>
      <c r="C39" s="260"/>
      <c r="D39" s="284" t="s">
        <v>295</v>
      </c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3"/>
      <c r="R39" s="78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84" t="s">
        <v>82</v>
      </c>
    </row>
    <row r="40" spans="2:36" s="46" customFormat="1" ht="15" customHeight="1" x14ac:dyDescent="0.25">
      <c r="B40" s="257"/>
      <c r="C40" s="260"/>
      <c r="D40" s="291" t="s">
        <v>294</v>
      </c>
      <c r="E40" s="278"/>
      <c r="F40" s="278"/>
      <c r="G40" s="288" t="s">
        <v>293</v>
      </c>
      <c r="H40" s="278"/>
      <c r="I40" s="278"/>
      <c r="J40" s="288" t="s">
        <v>292</v>
      </c>
      <c r="K40" s="278"/>
      <c r="L40" s="278"/>
      <c r="M40" s="288" t="s">
        <v>291</v>
      </c>
      <c r="N40" s="288" t="s">
        <v>290</v>
      </c>
      <c r="O40" s="288" t="s">
        <v>289</v>
      </c>
      <c r="P40" s="288" t="s">
        <v>225</v>
      </c>
      <c r="Q40" s="290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57"/>
      <c r="C41" s="260"/>
      <c r="D41" s="77" t="s">
        <v>287</v>
      </c>
      <c r="E41" s="74" t="s">
        <v>286</v>
      </c>
      <c r="F41" s="74" t="s">
        <v>285</v>
      </c>
      <c r="G41" s="74" t="s">
        <v>287</v>
      </c>
      <c r="H41" s="74" t="s">
        <v>286</v>
      </c>
      <c r="I41" s="74" t="s">
        <v>285</v>
      </c>
      <c r="J41" s="74" t="s">
        <v>287</v>
      </c>
      <c r="K41" s="74" t="s">
        <v>286</v>
      </c>
      <c r="L41" s="74" t="s">
        <v>285</v>
      </c>
      <c r="M41" s="278"/>
      <c r="N41" s="278"/>
      <c r="O41" s="278"/>
      <c r="P41" s="278"/>
      <c r="Q41" s="281"/>
      <c r="R41" s="75" t="s">
        <v>4</v>
      </c>
      <c r="S41" s="72" t="s">
        <v>4</v>
      </c>
      <c r="T41" s="72" t="s">
        <v>4</v>
      </c>
      <c r="U41" s="72" t="s">
        <v>82</v>
      </c>
      <c r="V41" s="72" t="s">
        <v>82</v>
      </c>
      <c r="W41" s="74" t="s">
        <v>82</v>
      </c>
      <c r="X41" s="72" t="s">
        <v>82</v>
      </c>
      <c r="Y41" s="72" t="s">
        <v>82</v>
      </c>
      <c r="Z41" s="74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57"/>
      <c r="C42" s="260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33" customFormat="1" ht="24" customHeight="1" x14ac:dyDescent="0.25">
      <c r="B43" s="301"/>
      <c r="C43" s="302"/>
      <c r="D43" s="122"/>
      <c r="E43" s="123"/>
      <c r="F43" s="123">
        <f>D43-E43</f>
        <v>0</v>
      </c>
      <c r="G43" s="123"/>
      <c r="H43" s="123"/>
      <c r="I43" s="123">
        <f>G43-H43</f>
        <v>0</v>
      </c>
      <c r="J43" s="123"/>
      <c r="K43" s="123"/>
      <c r="L43" s="123">
        <f>J43-K43</f>
        <v>0</v>
      </c>
      <c r="M43" s="123"/>
      <c r="N43" s="123"/>
      <c r="O43" s="123" t="e">
        <f>N43/M43</f>
        <v>#DIV/0!</v>
      </c>
      <c r="P43" s="123"/>
      <c r="Q43" s="145">
        <v>301</v>
      </c>
      <c r="R43" s="122" t="s">
        <v>4</v>
      </c>
      <c r="S43" s="123" t="s">
        <v>4</v>
      </c>
      <c r="T43" s="123" t="s">
        <v>4</v>
      </c>
      <c r="U43" s="123" t="s">
        <v>82</v>
      </c>
      <c r="V43" s="123" t="s">
        <v>82</v>
      </c>
      <c r="W43" s="123" t="s">
        <v>82</v>
      </c>
      <c r="X43" s="123" t="s">
        <v>82</v>
      </c>
      <c r="Y43" s="123" t="s">
        <v>82</v>
      </c>
      <c r="Z43" s="123" t="s">
        <v>82</v>
      </c>
      <c r="AA43" s="123" t="s">
        <v>82</v>
      </c>
      <c r="AB43" s="123" t="s">
        <v>82</v>
      </c>
      <c r="AC43" s="123" t="s">
        <v>82</v>
      </c>
      <c r="AD43" s="123" t="s">
        <v>82</v>
      </c>
      <c r="AE43" s="131" t="s">
        <v>82</v>
      </c>
      <c r="AF43" s="131" t="s">
        <v>82</v>
      </c>
      <c r="AG43" s="131" t="s">
        <v>82</v>
      </c>
      <c r="AH43" s="131" t="s">
        <v>82</v>
      </c>
      <c r="AI43" s="131" t="s">
        <v>82</v>
      </c>
      <c r="AJ43" s="132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39" priority="25" aboveAverage="1" operator="equal">
      <formula>"↓"</formula>
    </cfRule>
    <cfRule type="cellIs" dxfId="38" priority="26" aboveAverage="1" operator="equal">
      <formula>"↑"</formula>
    </cfRule>
  </conditionalFormatting>
  <conditionalFormatting sqref="F12">
    <cfRule type="cellIs" dxfId="37" priority="5" aboveAverage="1" operator="equal">
      <formula>"↓"</formula>
    </cfRule>
    <cfRule type="cellIs" dxfId="36" priority="6" aboveAverage="1" operator="equal">
      <formula>"↑"</formula>
    </cfRule>
  </conditionalFormatting>
  <conditionalFormatting sqref="F28">
    <cfRule type="cellIs" dxfId="35" priority="23" aboveAverage="1" operator="equal">
      <formula>"↓"</formula>
    </cfRule>
    <cfRule type="cellIs" dxfId="34" priority="24" aboveAverage="1" operator="equal">
      <formula>"↑"</formula>
    </cfRule>
  </conditionalFormatting>
  <conditionalFormatting sqref="F33">
    <cfRule type="cellIs" dxfId="33" priority="1" aboveAverage="1" operator="equal">
      <formula>"↓"</formula>
    </cfRule>
    <cfRule type="cellIs" dxfId="32" priority="2" aboveAverage="1" operator="equal">
      <formula>"↑"</formula>
    </cfRule>
  </conditionalFormatting>
  <conditionalFormatting sqref="T12">
    <cfRule type="cellIs" dxfId="31" priority="21" aboveAverage="1" operator="equal">
      <formula>"↓"</formula>
    </cfRule>
    <cfRule type="cellIs" dxfId="30" priority="22" aboveAverage="1" operator="equal">
      <formula>"↑"</formula>
    </cfRule>
  </conditionalFormatting>
  <conditionalFormatting sqref="T33">
    <cfRule type="cellIs" dxfId="29" priority="19" aboveAverage="1" operator="equal">
      <formula>"↓"</formula>
    </cfRule>
    <cfRule type="cellIs" dxfId="28" priority="20" aboveAverage="1" operator="equal">
      <formula>"↑"</formula>
    </cfRule>
  </conditionalFormatting>
  <conditionalFormatting sqref="Z12">
    <cfRule type="cellIs" dxfId="27" priority="17" aboveAverage="1" operator="equal">
      <formula>"↓"</formula>
    </cfRule>
    <cfRule type="cellIs" dxfId="26" priority="18" aboveAverage="1" operator="equal">
      <formula>"↑"</formula>
    </cfRule>
  </conditionalFormatting>
  <conditionalFormatting sqref="Z33">
    <cfRule type="cellIs" dxfId="25" priority="15" aboveAverage="1" operator="equal">
      <formula>"↓"</formula>
    </cfRule>
    <cfRule type="cellIs" dxfId="24" priority="16" aboveAverage="1" operator="equal">
      <formula>"↑"</formula>
    </cfRule>
  </conditionalFormatting>
  <conditionalFormatting sqref="AD12">
    <cfRule type="cellIs" dxfId="23" priority="13" aboveAverage="1" operator="equal">
      <formula>"↓"</formula>
    </cfRule>
    <cfRule type="cellIs" dxfId="22" priority="14" aboveAverage="1" operator="equal">
      <formula>"↑"</formula>
    </cfRule>
  </conditionalFormatting>
  <conditionalFormatting sqref="AD33">
    <cfRule type="cellIs" dxfId="21" priority="11" aboveAverage="1" operator="equal">
      <formula>"↓"</formula>
    </cfRule>
    <cfRule type="cellIs" dxfId="20" priority="12" aboveAverage="1" operator="equal">
      <formula>"↑"</formula>
    </cfRule>
  </conditionalFormatting>
  <conditionalFormatting sqref="AJ17">
    <cfRule type="cellIs" dxfId="19" priority="9" aboveAverage="1" operator="equal">
      <formula>"↓"</formula>
    </cfRule>
    <cfRule type="cellIs" dxfId="18" priority="10" aboveAverage="1" operator="equal">
      <formula>"↑"</formula>
    </cfRule>
  </conditionalFormatting>
  <conditionalFormatting sqref="AJ38">
    <cfRule type="cellIs" dxfId="17" priority="7" aboveAverage="1" operator="equal">
      <formula>"↓"</formula>
    </cfRule>
    <cfRule type="cellIs" dxfId="16" priority="8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N6" sqref="N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03" t="s">
        <v>470</v>
      </c>
      <c r="C2" s="304"/>
      <c r="D2" s="304"/>
      <c r="E2" s="304"/>
      <c r="F2" s="304"/>
      <c r="G2" s="304"/>
      <c r="H2" s="304"/>
      <c r="I2" s="304"/>
      <c r="J2" s="305"/>
    </row>
    <row r="3" spans="2:10" ht="20.15" customHeight="1" x14ac:dyDescent="0.25">
      <c r="B3" s="306"/>
      <c r="C3" s="307"/>
      <c r="D3" s="307"/>
      <c r="E3" s="307"/>
      <c r="F3" s="307"/>
      <c r="G3" s="308"/>
      <c r="H3" s="309"/>
      <c r="I3" s="309"/>
      <c r="J3" s="310"/>
    </row>
    <row r="4" spans="2:10" ht="21" x14ac:dyDescent="0.25">
      <c r="B4" s="311" t="s">
        <v>413</v>
      </c>
      <c r="C4" s="312"/>
      <c r="D4" s="313"/>
      <c r="E4" s="314" t="s">
        <v>414</v>
      </c>
      <c r="F4" s="314" t="s">
        <v>415</v>
      </c>
      <c r="G4" s="314" t="s">
        <v>416</v>
      </c>
      <c r="H4" s="315" t="s">
        <v>417</v>
      </c>
      <c r="I4" s="313"/>
      <c r="J4" s="316" t="s">
        <v>418</v>
      </c>
    </row>
    <row r="5" spans="2:10" x14ac:dyDescent="0.25">
      <c r="B5" s="317" t="s">
        <v>419</v>
      </c>
      <c r="C5" s="318" t="s">
        <v>420</v>
      </c>
      <c r="D5" s="318"/>
      <c r="E5" s="319" t="s">
        <v>284</v>
      </c>
      <c r="F5" s="320">
        <v>90</v>
      </c>
      <c r="G5" s="321">
        <v>0</v>
      </c>
      <c r="H5" s="322">
        <f>(G5-F5)/F5*100</f>
        <v>-100</v>
      </c>
      <c r="I5" s="323" t="s">
        <v>284</v>
      </c>
      <c r="J5" s="324"/>
    </row>
    <row r="6" spans="2:10" x14ac:dyDescent="0.25">
      <c r="B6" s="325" t="s">
        <v>421</v>
      </c>
      <c r="C6" s="318" t="s">
        <v>422</v>
      </c>
      <c r="D6" s="318"/>
      <c r="E6" s="319" t="s">
        <v>280</v>
      </c>
      <c r="F6" s="320" t="s">
        <v>423</v>
      </c>
      <c r="G6" s="321">
        <v>0</v>
      </c>
      <c r="H6" s="326" t="str">
        <f>IF($G6="","",IF(AND($G6&gt;=0,$G6&lt;=1427),"合格","不合格"))</f>
        <v/>
      </c>
      <c r="I6" s="327" t="s">
        <v>4</v>
      </c>
      <c r="J6" s="324"/>
    </row>
    <row r="7" spans="2:10" x14ac:dyDescent="0.25">
      <c r="B7" s="328"/>
      <c r="C7" s="318" t="s">
        <v>424</v>
      </c>
      <c r="D7" s="318"/>
      <c r="E7" s="319" t="s">
        <v>280</v>
      </c>
      <c r="F7" s="320" t="s">
        <v>425</v>
      </c>
      <c r="G7" s="321">
        <v>0</v>
      </c>
      <c r="H7" s="326" t="str">
        <f>IF($G7="","",IF(AND($G7&gt;=210,$G7&lt;=220),"合格","不合格"))</f>
        <v/>
      </c>
      <c r="I7" s="327" t="s">
        <v>4</v>
      </c>
      <c r="J7" s="324"/>
    </row>
    <row r="8" spans="2:10" x14ac:dyDescent="0.25">
      <c r="B8" s="329"/>
      <c r="C8" s="318" t="s">
        <v>426</v>
      </c>
      <c r="D8" s="318"/>
      <c r="E8" s="319" t="s">
        <v>280</v>
      </c>
      <c r="F8" s="320" t="s">
        <v>427</v>
      </c>
      <c r="G8" s="321">
        <v>0</v>
      </c>
      <c r="H8" s="326" t="str">
        <f>IF($G8="","",IF(AND($G8&gt;=190,$G8&lt;=210),"合格","不合格"))</f>
        <v/>
      </c>
      <c r="I8" s="327" t="s">
        <v>4</v>
      </c>
      <c r="J8" s="324"/>
    </row>
    <row r="9" spans="2:10" x14ac:dyDescent="0.25">
      <c r="B9" s="325" t="s">
        <v>428</v>
      </c>
      <c r="C9" s="319" t="s">
        <v>429</v>
      </c>
      <c r="D9" s="319" t="s">
        <v>430</v>
      </c>
      <c r="E9" s="319" t="s">
        <v>431</v>
      </c>
      <c r="F9" s="320" t="s">
        <v>432</v>
      </c>
      <c r="G9" s="321">
        <v>418.4049377441406</v>
      </c>
      <c r="H9" s="326" t="str">
        <f>IF($G9="","",IF(AND($G9&gt;=412,$G9&lt;=422),"合格","不合格"))</f>
        <v/>
      </c>
      <c r="I9" s="327" t="s">
        <v>4</v>
      </c>
      <c r="J9" s="324"/>
    </row>
    <row r="10" spans="2:10" x14ac:dyDescent="0.25">
      <c r="B10" s="328"/>
      <c r="C10" s="318" t="s">
        <v>433</v>
      </c>
      <c r="D10" s="319" t="s">
        <v>434</v>
      </c>
      <c r="E10" s="327" t="s">
        <v>4</v>
      </c>
      <c r="F10" s="320" t="s">
        <v>435</v>
      </c>
      <c r="G10" s="321">
        <v>0.5302771925926208</v>
      </c>
      <c r="H10" s="326" t="str">
        <f>IF($G10="","",IF(AND($G10&gt;=0.525,$G10&lt;=0.5357),"合格","不合格"))</f>
        <v/>
      </c>
      <c r="I10" s="327" t="s">
        <v>4</v>
      </c>
      <c r="J10" s="324"/>
    </row>
    <row r="11" spans="2:10" x14ac:dyDescent="0.25">
      <c r="B11" s="328"/>
      <c r="C11" s="318"/>
      <c r="D11" s="319" t="s">
        <v>436</v>
      </c>
      <c r="E11" s="319" t="s">
        <v>437</v>
      </c>
      <c r="F11" s="320">
        <v>46.63</v>
      </c>
      <c r="G11" s="321">
        <v>46.65299987792969</v>
      </c>
      <c r="H11" s="326" t="s">
        <v>438</v>
      </c>
      <c r="I11" s="327" t="s">
        <v>4</v>
      </c>
      <c r="J11" s="324"/>
    </row>
    <row r="12" spans="2:10" x14ac:dyDescent="0.25">
      <c r="B12" s="328"/>
      <c r="C12" s="318"/>
      <c r="D12" s="319" t="s">
        <v>439</v>
      </c>
      <c r="E12" s="319" t="s">
        <v>301</v>
      </c>
      <c r="F12" s="320" t="s">
        <v>440</v>
      </c>
      <c r="G12" s="321">
        <v>0.7295982837677002</v>
      </c>
      <c r="H12" s="326" t="str">
        <f>IF($G12="","",IF(AND($G12&gt;=0.745,$G12&lt;=0.755),"合格","不合格"))</f>
        <v/>
      </c>
      <c r="I12" s="327" t="s">
        <v>4</v>
      </c>
      <c r="J12" s="324"/>
    </row>
    <row r="13" spans="2:10" x14ac:dyDescent="0.25">
      <c r="B13" s="328"/>
      <c r="C13" s="318"/>
      <c r="D13" s="319" t="s">
        <v>441</v>
      </c>
      <c r="E13" s="319" t="s">
        <v>302</v>
      </c>
      <c r="F13" s="320" t="s">
        <v>442</v>
      </c>
      <c r="G13" s="321">
        <v>90.48965454101562</v>
      </c>
      <c r="H13" s="326" t="str">
        <f>IF($G13="","",IF(AND($G13&gt;=88,$G13&lt;=92),"合格","不合格"))</f>
        <v/>
      </c>
      <c r="I13" s="327" t="s">
        <v>4</v>
      </c>
      <c r="J13" s="324"/>
    </row>
    <row r="14" spans="2:10" x14ac:dyDescent="0.25">
      <c r="B14" s="328"/>
      <c r="C14" s="318"/>
      <c r="D14" s="319" t="s">
        <v>443</v>
      </c>
      <c r="E14" s="319" t="s">
        <v>302</v>
      </c>
      <c r="F14" s="320" t="s">
        <v>444</v>
      </c>
      <c r="G14" s="321">
        <v>140.0258026123047</v>
      </c>
      <c r="H14" s="326" t="str">
        <f>IF($G14="","",IF(AND($G14&gt;=143,$G14&lt;=147),"合格","不合格"))</f>
        <v/>
      </c>
      <c r="I14" s="327" t="s">
        <v>4</v>
      </c>
      <c r="J14" s="324"/>
    </row>
    <row r="15" spans="2:10" x14ac:dyDescent="0.25">
      <c r="B15" s="328"/>
      <c r="C15" s="318"/>
      <c r="D15" s="319" t="s">
        <v>445</v>
      </c>
      <c r="E15" s="319" t="s">
        <v>302</v>
      </c>
      <c r="F15" s="320" t="s">
        <v>446</v>
      </c>
      <c r="G15" s="321">
        <v>162.51686096191406</v>
      </c>
      <c r="H15" s="326" t="str">
        <f>IF($G15="","",IF(AND($G15&gt;=166,$G15&lt;=170),"合格","不合格"))</f>
        <v/>
      </c>
      <c r="I15" s="327" t="s">
        <v>4</v>
      </c>
      <c r="J15" s="324"/>
    </row>
    <row r="16" spans="2:10" x14ac:dyDescent="0.25">
      <c r="B16" s="328"/>
      <c r="C16" s="318" t="s">
        <v>447</v>
      </c>
      <c r="D16" s="319" t="s">
        <v>448</v>
      </c>
      <c r="E16" s="319" t="s">
        <v>302</v>
      </c>
      <c r="F16" s="320" t="s">
        <v>449</v>
      </c>
      <c r="G16" s="321">
        <v>47.48173522949219</v>
      </c>
      <c r="H16" s="326" t="str">
        <f>IF($G16="","",IF(AND($G16&gt;=0,$G16&lt;=45),"合格","不合格"))</f>
        <v/>
      </c>
      <c r="I16" s="327" t="s">
        <v>4</v>
      </c>
      <c r="J16" s="324"/>
    </row>
    <row r="17" spans="2:10" x14ac:dyDescent="0.25">
      <c r="B17" s="328"/>
      <c r="C17" s="318"/>
      <c r="D17" s="319" t="s">
        <v>450</v>
      </c>
      <c r="E17" s="319" t="s">
        <v>302</v>
      </c>
      <c r="F17" s="320" t="s">
        <v>451</v>
      </c>
      <c r="G17" s="321">
        <v>19.22607421875</v>
      </c>
      <c r="H17" s="326" t="str">
        <f>IF($G17="","",IF(AND($G17&gt;=0,$G17&lt;=20),"合格","不合格"))</f>
        <v/>
      </c>
      <c r="I17" s="327" t="s">
        <v>4</v>
      </c>
      <c r="J17" s="324"/>
    </row>
    <row r="18" spans="2:10" x14ac:dyDescent="0.25">
      <c r="B18" s="328"/>
      <c r="C18" s="318"/>
      <c r="D18" s="319" t="s">
        <v>452</v>
      </c>
      <c r="E18" s="319" t="s">
        <v>302</v>
      </c>
      <c r="F18" s="320" t="s">
        <v>453</v>
      </c>
      <c r="G18" s="321">
        <v>0</v>
      </c>
      <c r="H18" s="326" t="str">
        <f>IF($G18="","",IF(AND($G18&gt;=46,$G18&lt;=50),"合格","不合格"))</f>
        <v/>
      </c>
      <c r="I18" s="327" t="s">
        <v>4</v>
      </c>
      <c r="J18" s="324"/>
    </row>
    <row r="19" spans="2:10" x14ac:dyDescent="0.25">
      <c r="B19" s="328"/>
      <c r="C19" s="318"/>
      <c r="D19" s="319" t="s">
        <v>454</v>
      </c>
      <c r="E19" s="319" t="s">
        <v>302</v>
      </c>
      <c r="F19" s="320" t="s">
        <v>455</v>
      </c>
      <c r="G19" s="321">
        <v>18.09880828857422</v>
      </c>
      <c r="H19" s="326" t="str">
        <f>IF($G19="","",IF(AND($G19&gt;=0,$G19&lt;=20),"合格","不合格"))</f>
        <v/>
      </c>
      <c r="I19" s="327" t="s">
        <v>4</v>
      </c>
      <c r="J19" s="324"/>
    </row>
    <row r="20" spans="2:10" x14ac:dyDescent="0.25">
      <c r="B20" s="328"/>
      <c r="C20" s="318" t="s">
        <v>456</v>
      </c>
      <c r="D20" s="319" t="s">
        <v>89</v>
      </c>
      <c r="E20" s="319" t="s">
        <v>284</v>
      </c>
      <c r="F20" s="330" t="s">
        <v>82</v>
      </c>
      <c r="G20" s="321">
        <v>33.68000411987305</v>
      </c>
      <c r="H20" s="331" t="s">
        <v>457</v>
      </c>
      <c r="I20" s="327" t="s">
        <v>4</v>
      </c>
      <c r="J20" s="324"/>
    </row>
    <row r="21" spans="2:10" x14ac:dyDescent="0.25">
      <c r="B21" s="328"/>
      <c r="C21" s="318"/>
      <c r="D21" s="319" t="s">
        <v>92</v>
      </c>
      <c r="E21" s="319" t="s">
        <v>284</v>
      </c>
      <c r="F21" s="330" t="s">
        <v>82</v>
      </c>
      <c r="G21" s="321"/>
      <c r="H21" s="331" t="s">
        <v>457</v>
      </c>
      <c r="I21" s="327" t="s">
        <v>4</v>
      </c>
      <c r="J21" s="324"/>
    </row>
    <row r="22" spans="2:10" x14ac:dyDescent="0.25">
      <c r="B22" s="328"/>
      <c r="C22" s="318"/>
      <c r="D22" s="319" t="s">
        <v>458</v>
      </c>
      <c r="E22" s="327" t="s">
        <v>4</v>
      </c>
      <c r="F22" s="330" t="s">
        <v>82</v>
      </c>
      <c r="G22" s="321">
        <v>7.076666355133057</v>
      </c>
      <c r="H22" s="331" t="s">
        <v>457</v>
      </c>
      <c r="I22" s="327" t="s">
        <v>4</v>
      </c>
      <c r="J22" s="324"/>
    </row>
    <row r="23" spans="2:10" x14ac:dyDescent="0.25">
      <c r="B23" s="328"/>
      <c r="C23" s="318"/>
      <c r="D23" s="319" t="s">
        <v>166</v>
      </c>
      <c r="E23" s="319" t="s">
        <v>431</v>
      </c>
      <c r="F23" s="330" t="s">
        <v>82</v>
      </c>
      <c r="G23" s="321">
        <v>22.244998931884766</v>
      </c>
      <c r="H23" s="331" t="s">
        <v>457</v>
      </c>
      <c r="I23" s="327" t="s">
        <v>4</v>
      </c>
      <c r="J23" s="324"/>
    </row>
    <row r="24" spans="2:10" x14ac:dyDescent="0.25">
      <c r="B24" s="329"/>
      <c r="C24" s="318"/>
      <c r="D24" s="319" t="s">
        <v>167</v>
      </c>
      <c r="E24" s="319" t="s">
        <v>431</v>
      </c>
      <c r="F24" s="330" t="s">
        <v>82</v>
      </c>
      <c r="G24" s="321">
        <v>7.389999866485596</v>
      </c>
      <c r="H24" s="331" t="s">
        <v>457</v>
      </c>
      <c r="I24" s="327" t="s">
        <v>4</v>
      </c>
      <c r="J24" s="324"/>
    </row>
    <row r="25" spans="2:10" x14ac:dyDescent="0.25">
      <c r="B25" s="332" t="s">
        <v>459</v>
      </c>
      <c r="C25" s="319" t="s">
        <v>460</v>
      </c>
      <c r="D25" s="319" t="s">
        <v>461</v>
      </c>
      <c r="E25" s="319" t="s">
        <v>462</v>
      </c>
      <c r="F25" s="320" t="s">
        <v>463</v>
      </c>
      <c r="G25" s="321">
        <v>0</v>
      </c>
      <c r="H25" s="326" t="str">
        <f>IF($G25="","",IF(AND($G25&gt;=0,$G25&lt;=0.38),"合格","不合格"))</f>
        <v/>
      </c>
      <c r="I25" s="327" t="s">
        <v>4</v>
      </c>
      <c r="J25" s="324"/>
    </row>
    <row r="26" spans="2:10" x14ac:dyDescent="0.25">
      <c r="B26" s="332"/>
      <c r="C26" s="318" t="s">
        <v>464</v>
      </c>
      <c r="D26" s="319" t="s">
        <v>10</v>
      </c>
      <c r="E26" s="319" t="s">
        <v>284</v>
      </c>
      <c r="F26" s="320">
        <v>7</v>
      </c>
      <c r="G26" s="321"/>
      <c r="H26" s="322">
        <f>(G26-F26)</f>
        <v>-7</v>
      </c>
      <c r="I26" s="327" t="s">
        <v>284</v>
      </c>
      <c r="J26" s="324"/>
    </row>
    <row r="27" spans="2:10" x14ac:dyDescent="0.25">
      <c r="B27" s="332"/>
      <c r="C27" s="318"/>
      <c r="D27" s="319" t="s">
        <v>465</v>
      </c>
      <c r="E27" s="319" t="s">
        <v>284</v>
      </c>
      <c r="F27" s="320">
        <v>15</v>
      </c>
      <c r="G27" s="321"/>
      <c r="H27" s="322">
        <f t="shared" ref="H27:H31" si="0">(G27-F27)</f>
        <v>-15</v>
      </c>
      <c r="I27" s="327" t="s">
        <v>284</v>
      </c>
      <c r="J27" s="324"/>
    </row>
    <row r="28" spans="2:10" x14ac:dyDescent="0.25">
      <c r="B28" s="332"/>
      <c r="C28" s="318"/>
      <c r="D28" s="319" t="s">
        <v>466</v>
      </c>
      <c r="E28" s="319" t="s">
        <v>284</v>
      </c>
      <c r="F28" s="320">
        <v>4</v>
      </c>
      <c r="G28" s="321"/>
      <c r="H28" s="322">
        <f t="shared" si="0"/>
        <v>-4</v>
      </c>
      <c r="I28" s="327" t="s">
        <v>284</v>
      </c>
      <c r="J28" s="324"/>
    </row>
    <row r="29" spans="2:10" x14ac:dyDescent="0.25">
      <c r="B29" s="332"/>
      <c r="C29" s="318"/>
      <c r="D29" s="319" t="s">
        <v>166</v>
      </c>
      <c r="E29" s="319" t="s">
        <v>284</v>
      </c>
      <c r="F29" s="320">
        <v>7</v>
      </c>
      <c r="G29" s="321"/>
      <c r="H29" s="322">
        <f t="shared" si="0"/>
        <v>-7</v>
      </c>
      <c r="I29" s="327" t="s">
        <v>284</v>
      </c>
      <c r="J29" s="324"/>
    </row>
    <row r="30" spans="2:10" x14ac:dyDescent="0.25">
      <c r="B30" s="332"/>
      <c r="C30" s="318"/>
      <c r="D30" s="319" t="s">
        <v>167</v>
      </c>
      <c r="E30" s="319" t="s">
        <v>284</v>
      </c>
      <c r="F30" s="320">
        <v>7</v>
      </c>
      <c r="G30" s="321"/>
      <c r="H30" s="322">
        <f t="shared" si="0"/>
        <v>-7</v>
      </c>
      <c r="I30" s="327" t="s">
        <v>284</v>
      </c>
      <c r="J30" s="324"/>
    </row>
    <row r="31" spans="2:10" x14ac:dyDescent="0.25">
      <c r="B31" s="332"/>
      <c r="C31" s="318"/>
      <c r="D31" s="319" t="s">
        <v>467</v>
      </c>
      <c r="E31" s="319" t="s">
        <v>468</v>
      </c>
      <c r="F31" s="320">
        <v>10</v>
      </c>
      <c r="G31" s="321"/>
      <c r="H31" s="322">
        <f t="shared" si="0"/>
        <v>-10</v>
      </c>
      <c r="I31" s="327" t="s">
        <v>284</v>
      </c>
      <c r="J31" s="324"/>
    </row>
    <row r="32" spans="2:10" ht="14.5" thickBot="1" x14ac:dyDescent="0.3">
      <c r="B32" s="325"/>
      <c r="C32" s="333"/>
      <c r="D32" s="334" t="s">
        <v>320</v>
      </c>
      <c r="E32" s="334" t="s">
        <v>284</v>
      </c>
      <c r="F32" s="335">
        <v>50</v>
      </c>
      <c r="G32" s="336"/>
      <c r="H32" s="322">
        <f>(G32-F32)</f>
        <v>-50</v>
      </c>
      <c r="I32" s="327" t="s">
        <v>284</v>
      </c>
      <c r="J32" s="337"/>
    </row>
    <row r="33" spans="2:10" x14ac:dyDescent="0.25">
      <c r="B33" s="338" t="s">
        <v>469</v>
      </c>
      <c r="C33" s="339"/>
      <c r="D33" s="340"/>
      <c r="E33" s="340"/>
      <c r="F33" s="340"/>
      <c r="G33" s="340"/>
      <c r="H33" s="340"/>
      <c r="I33" s="340"/>
      <c r="J33" s="341"/>
    </row>
    <row r="34" spans="2:10" x14ac:dyDescent="0.25">
      <c r="B34" s="342"/>
      <c r="C34" s="343"/>
      <c r="D34" s="344"/>
      <c r="E34" s="344"/>
      <c r="F34" s="344"/>
      <c r="G34" s="344"/>
      <c r="H34" s="344"/>
      <c r="I34" s="344"/>
      <c r="J34" s="345"/>
    </row>
    <row r="35" spans="2:10" ht="14.5" thickBot="1" x14ac:dyDescent="0.3">
      <c r="B35" s="346"/>
      <c r="C35" s="347"/>
      <c r="D35" s="348"/>
      <c r="E35" s="348"/>
      <c r="F35" s="348"/>
      <c r="G35" s="348"/>
      <c r="H35" s="348"/>
      <c r="I35" s="348"/>
      <c r="J35" s="349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2026-05-27T10:43:07Z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