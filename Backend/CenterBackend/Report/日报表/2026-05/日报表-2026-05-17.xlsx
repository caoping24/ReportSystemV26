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bookViews>
    <workbookView xWindow="-120" yWindow="-16320" windowWidth="29040" windowHeight="15720" activeTab="4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台账" sheetId="11" r:id="rId5"/>
    <sheet name="日报表" sheetId="12" r:id="rId6"/>
  </sheets>
  <externalReferences>
    <externalReference r:id="rId7"/>
  </externalReferences>
  <definedNames>
    <definedName name="_xlnm.Print_Area" localSheetId="4"><![CDATA[台账!#REF!]]></definedName>
  </definedNames>
  <calcPr calcId="191029"/>
</workbook>
</file>

<file path=xl/calcChain.xml><?xml version="1.0" encoding="utf-8"?>
<calcChain xmlns="http://schemas.openxmlformats.org/spreadsheetml/2006/main">
  <c r="H11" i="11" l="1"/>
  <c r="H10" i="11"/>
  <c r="M9" i="11"/>
  <c r="H9" i="11"/>
  <c r="I9" i="11" s="1"/>
  <c r="G9" i="11"/>
  <c r="H8" i="11"/>
  <c r="H7" i="11"/>
  <c r="M6" i="11"/>
  <c r="N6" i="11" s="1"/>
  <c r="H6" i="11"/>
  <c r="G6" i="11"/>
  <c r="N9" i="11" l="1"/>
  <c r="I6" i="11"/>
  <c r="O9" i="11"/>
  <c r="J6" i="11"/>
  <c r="J9" i="11" s="1"/>
  <c r="Q6" i="11"/>
  <c r="O6" i="11"/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<sst xmlns="http://schemas.openxmlformats.org/spreadsheetml/2006/main" count="884" uniqueCount="373">
  <si>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</si>
  <si>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</si>
  <si>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</si>
  <si>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</si>
  <si>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</si>
  <si>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</si>
  <si>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</si>
  <si>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</si>
  <si>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</si>
  <si>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</si>
  <si>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</si>
  <si>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</si>
  <si>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</si>
  <si>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</si>
  <si>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</si>
  <si>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</si>
  <si>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</si>
  <si>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</si>
  <si>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</si>
  <si>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</si>
  <si>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</si>
  <si>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</si>
  <si>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</si>
  <si>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</si>
  <si>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</si>
  <si>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</si>
  <si>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</si>
  <si>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</si>
  <si>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</si>
  <si>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</si>
  <si>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</si>
  <si>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</si>
  <si>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</si>
  <si>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</si>
  <si>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</si>
  <si>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</si>
  <si>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</si>
  <si>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</si>
  <si>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</si>
  <si>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</si>
  <si>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</si>
  <si>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</si>
  <si>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</si>
  <si>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</si>
  <si>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</si>
  <si>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</si>
  <si>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</si>
  <si>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</si>
  <si>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</si>
  <si>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</si>
  <si>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</si>
  <si>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</si>
  <si>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</si>
  <si>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</si>
  <si>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</si>
  <si>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</si>
  <si>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</si>
  <si>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</si>
  <si>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</si>
  <si>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</si>
  <si>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</si>
  <si>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</si>
  <si>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</si>
  <si>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</si>
  <si>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</si>
  <si>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</si>
  <si>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</si>
  <si>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</si>
  <si>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</si>
  <si>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</si>
  <si>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</si>
  <si>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</si>
  <si>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</si>
  <si>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</si>
  <si>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</si>
  <si>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</si>
  <si>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</si>
  <si>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</si>
  <si>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</si>
  <si>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</si>
  <si>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</si>
  <si>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</si>
  <si>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</si>
  <si>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</si>
  <si>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</si>
  <si>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</si>
  <si>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</si>
  <si>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</si>
  <si>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</si>
  <si>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</si>
  <si>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</si>
  <si>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</si>
  <si>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</si>
  <si>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</si>
  <si>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</si>
  <si>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</si>
  <si>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</si>
  <si>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</si>
  <si>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</si>
  <si>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</si>
  <si>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</si>
  <si>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</si>
  <si>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</si>
  <si>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</si>
  <si>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</si>
  <si>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</si>
  <si>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</si>
  <si>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</si>
  <si>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</si>
  <si>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</si>
  <si>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</si>
  <si>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</si>
  <si>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</si>
  <si>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</si>
  <si>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</si>
  <si>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</si>
  <si>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</si>
  <si>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</si>
  <si>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</si>
  <si>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</si>
  <si>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</si>
  <si>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</si>
  <si>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</si>
  <si>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</si>
  <si>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</si>
  <si>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</si>
  <si>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</si>
  <si>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</si>
  <si>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</si>
  <si>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</si>
  <si>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</si>
  <si>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</si>
  <si>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</si>
  <si>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</si>
  <si>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</si>
  <si>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</si>
  <si>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</si>
  <si>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</si>
  <si>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</si>
  <si>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</si>
  <si>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</si>
  <si>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</si>
  <si>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</si>
  <si>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</si>
  <si>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</si>
  <si>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</si>
  <si>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</si>
  <si>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</si>
  <si>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</si>
  <si>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</si>
  <si>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</si>
  <si>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</si>
  <si>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</si>
  <si>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</si>
  <si>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</si>
  <si>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</si>
  <si>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</si>
  <si>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</si>
  <si>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</si>
  <si>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</si>
  <si>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</si>
  <si>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</si>
  <si>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</si>
  <si>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</si>
  <si>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</si>
  <si>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</si>
  <si>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</si>
  <si>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</si>
  <si>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</si>
  <si>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</si>
  <si>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</si>
  <si>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</si>
  <si>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</si>
  <si>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</si>
  <si>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</si>
  <si>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</si>
  <si>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</si>
  <si>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</si>
  <si>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</si>
  <si>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</si>
  <si>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</si>
  <si>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</si>
  <si>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</si>
  <si>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</si>
  <si>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</si>
  <si>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</si>
  <si>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</si>
  <si>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</si>
  <si>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</si>
  <si>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</si>
  <si>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</si>
  <si>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</si>
  <si>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</si>
  <si>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</si>
  <si>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</si>
  <si>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</si>
  <si>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</si>
  <si>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</si>
  <si>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</si>
  <si>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</si>
  <si>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</si>
  <si>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</si>
  <si>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</si>
  <si>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</si>
  <si>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</si>
  <si>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</si>
  <si>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</si>
  <si>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</si>
  <si>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</si>
  <si>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</si>
  <si>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</si>
  <si>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</si>
  <si>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</si>
  <si>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</si>
  <si>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</si>
  <si>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</si>
  <si>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</si>
  <si>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</si>
  <si>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</si>
  <si>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</si>
  <si>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</si>
  <si>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</si>
  <si>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</si>
  <si>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</si>
  <si>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</si>
  <si>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</si>
  <si>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</si>
  <si>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</si>
  <si>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</si>
  <si>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</si>
  <si>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</si>
  <si>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</si>
  <si>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</si>
  <si>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</si>
  <si>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</si>
  <si>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</si>
  <si>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</si>
  <si>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</si>
  <si>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</si>
  <si>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</si>
  <si>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</si>
  <si>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</si>
  <si>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</si>
  <si>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</si>
  <si>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</si>
  <si>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</si>
  <si>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</si>
  <si>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</si>
  <si>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</si>
  <si>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</si>
  <si>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</si>
  <si>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</si>
  <si>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</si>
  <si>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</si>
  <si>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</si>
  <si>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</si>
  <si>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</si>
  <si>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</si>
  <si>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</si>
  <si>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</si>
  <si>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</si>
  <si>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</si>
  <si>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</si>
  <si>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</si>
  <si>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</si>
  <si>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</si>
  <si>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</si>
  <si>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</si>
  <si>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</si>
  <si>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</si>
  <si>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</si>
  <si>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</si>
  <si>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</si>
  <si>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</si>
  <si>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</si>
  <si>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</si>
  <si>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</si>
  <si>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</si>
  <si>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</si>
  <si>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</si>
  <si>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</si>
  <si>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</si>
  <si>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</si>
  <si>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</si>
  <si>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</si>
  <si>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</si>
  <si>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</si>
  <si>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水分</t>
    <phoneticPr fontId="1" type="noConversion"/>
  </si>
  <si>
    <t xml:space="preserve">产量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</si>
  <si>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</si>
  <si>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</si>
  <si>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</si>
  <si>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</si>
  <si>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</si>
  <si>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</si>
  <si>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</si>
  <si>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</si>
  <si>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</si>
  <si>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</si>
  <si>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</si>
  <si>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</si>
  <si>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</si>
  <si>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</si>
  <si>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</si>
  <si>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215±5</t>
  </si>
  <si>
    <t xml:space="preserve">硫酸消耗</t>
    <phoneticPr fontId="1" type="noConversion"/>
  </si>
  <si>
    <t xml:space="preserve">200±10</t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</si>
  <si>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</si>
  <si>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</si>
  <si>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</si>
  <si>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</si>
  <si>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</si>
  <si>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</si>
  <si>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</si>
  <si>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</si>
  <si>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</si>
  <si>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</si>
  <si>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</si>
  <si>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</si>
  <si>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</si>
  <si>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</si>
  <si>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</si>
  <si>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</si>
  <si>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145±2</t>
  </si>
  <si>
    <t xml:space="preserve">管反热点温度</t>
  </si>
  <si>
    <t xml:space="preserve">168±2</t>
  </si>
  <si>
    <t xml:space="preserve">结晶单元</t>
    <phoneticPr fontId="1" type="noConversion"/>
  </si>
  <si>
    <t xml:space="preserve">预冷器结晶温度</t>
  </si>
  <si>
    <t xml:space="preserve">≤45</t>
    <phoneticPr fontId="1" type="noConversion"/>
  </si>
  <si>
    <t xml:space="preserve">一次结晶温度</t>
  </si>
  <si>
    <t xml:space="preserve">≤20</t>
    <phoneticPr fontId="1" type="noConversion"/>
  </si>
  <si>
    <t xml:space="preserve">降膜蒸发温度</t>
  </si>
  <si>
    <t xml:space="preserve">48±2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</si>
  <si>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</si>
  <si>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</si>
  <si>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</si>
  <si>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</si>
  <si>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</si>
  <si>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</si>
  <si>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</si>
  <si>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</si>
  <si>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</si>
  <si>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</si>
  <si>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</si>
  <si>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</si>
  <si>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</si>
  <si>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</si>
  <si>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</si>
  <si>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</si>
  <si>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</si>
  <si>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产量台账</t>
    <phoneticPr fontId="1" type="noConversion"/>
  </si>
  <si>
    <t xml:space="preserve">日期</t>
    <phoneticPr fontId="1" type="noConversion"/>
  </si>
  <si>
    <t xml:space="preserve">含量</t>
    <phoneticPr fontId="1" type="noConversion"/>
  </si>
  <si>
    <t xml:space="preserve">累计</t>
    <phoneticPr fontId="1" type="noConversion"/>
  </si>
  <si>
    <t xml:space="preserve">折百产量(Kg)</t>
    <phoneticPr fontId="1" type="noConversion"/>
  </si>
  <si>
    <t xml:space="preserve">折百累计</t>
    <phoneticPr fontId="1" type="noConversion"/>
  </si>
  <si>
    <t xml:space="preserve">折百总累计</t>
    <phoneticPr fontId="1" type="noConversion"/>
  </si>
  <si>
    <t xml:space="preserve">羟基用量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</si>
  <si>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</si>
  <si>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</si>
  <si>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</si>
  <si>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</si>
  <si>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分类</t>
    <phoneticPr fontId="1" type="noConversion"/>
  </si>
  <si>
    <t xml:space="preserve">总收率天%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</si>
  <si>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</si>
  <si>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</si>
  <si>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Kg</t>
    <phoneticPr fontId="1" type="noConversion"/>
  </si>
  <si>
    <t xml:space="preserve">星期一</t>
    <phoneticPr fontId="1" type="noConversion"/>
  </si>
  <si>
    <t xml:space="preserve">一次结晶</t>
    <phoneticPr fontId="24" type="noConversion"/>
  </si>
  <si>
    <t xml:space="preserve">二次结晶</t>
    <phoneticPr fontId="24" type="noConversion"/>
  </si>
  <si>
    <t xml:space="preserve">总产量</t>
    <phoneticPr fontId="1" type="noConversion"/>
  </si>
  <si>
    <t xml:space="preserve">总折百</t>
    <phoneticPr fontId="1" type="noConversion"/>
  </si>
  <si>
    <t xml:space="preserve">2026-05-17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</si>
</sst>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.000_ "/>
    <numFmt numFmtId="178" formatCode="0.00_ "/>
    <numFmt numFmtId="179" formatCode="0.00_);[Red]\(0.00\)"/>
    <numFmt numFmtId="180" formatCode="0.0_ "/>
  </numFmts>
  <fonts count="2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仿宋"/>
      <family val="3"/>
      <charset val="134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176" fontId="17" fillId="0" borderId="4" xfId="0" applyNumberFormat="1" applyFont="1" applyBorder="1" applyAlignment="1">
      <alignment horizontal="center" vertical="center" wrapText="1"/>
    </xf>
    <xf numFmtId="176" fontId="18" fillId="0" borderId="4" xfId="0" applyNumberFormat="1" applyFont="1" applyBorder="1" applyAlignment="1">
      <alignment horizontal="center" vertical="center" wrapText="1"/>
    </xf>
    <xf numFmtId="176" fontId="18" fillId="0" borderId="47" xfId="0" applyNumberFormat="1" applyFont="1" applyBorder="1" applyAlignment="1">
      <alignment horizontal="center" vertical="center" wrapText="1"/>
    </xf>
    <xf numFmtId="176" fontId="18" fillId="0" borderId="51" xfId="0" applyNumberFormat="1" applyFont="1" applyBorder="1" applyAlignment="1">
      <alignment horizontal="center" vertical="center" wrapText="1"/>
    </xf>
    <xf numFmtId="177" fontId="17" fillId="0" borderId="4" xfId="0" applyNumberFormat="1" applyFont="1" applyBorder="1" applyAlignment="1">
      <alignment horizontal="center" vertical="center" wrapText="1"/>
    </xf>
    <xf numFmtId="177" fontId="17" fillId="0" borderId="47" xfId="0" applyNumberFormat="1" applyFont="1" applyBorder="1" applyAlignment="1">
      <alignment horizontal="center" vertical="center" wrapText="1"/>
    </xf>
    <xf numFmtId="177" fontId="17" fillId="0" borderId="51" xfId="0" applyNumberFormat="1" applyFont="1" applyBorder="1" applyAlignment="1">
      <alignment horizontal="center" vertical="center" wrapText="1"/>
    </xf>
    <xf numFmtId="177" fontId="17" fillId="2" borderId="4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0" borderId="47" xfId="0" applyNumberFormat="1" applyFont="1" applyBorder="1" applyAlignment="1">
      <alignment horizontal="center" vertical="center" wrapText="1"/>
    </xf>
    <xf numFmtId="177" fontId="4" fillId="0" borderId="4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17" fillId="0" borderId="30" xfId="0" applyNumberFormat="1" applyFont="1" applyBorder="1" applyAlignment="1">
      <alignment horizontal="center" vertical="center" wrapText="1"/>
    </xf>
    <xf numFmtId="177" fontId="17" fillId="0" borderId="48" xfId="0" applyNumberFormat="1" applyFont="1" applyBorder="1" applyAlignment="1">
      <alignment horizontal="center" vertical="center" wrapText="1"/>
    </xf>
    <xf numFmtId="177" fontId="17" fillId="0" borderId="52" xfId="0" applyNumberFormat="1" applyFont="1" applyBorder="1" applyAlignment="1">
      <alignment horizontal="center" vertical="center" wrapText="1"/>
    </xf>
    <xf numFmtId="177" fontId="17" fillId="2" borderId="30" xfId="0" applyNumberFormat="1" applyFont="1" applyFill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48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17" fillId="0" borderId="12" xfId="0" applyNumberFormat="1" applyFont="1" applyBorder="1" applyAlignment="1">
      <alignment horizontal="center" vertical="center" wrapText="1"/>
    </xf>
    <xf numFmtId="177" fontId="18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17" fillId="0" borderId="45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177" fontId="4" fillId="2" borderId="30" xfId="0" applyNumberFormat="1" applyFont="1" applyFill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 wrapText="1"/>
    </xf>
    <xf numFmtId="177" fontId="4" fillId="0" borderId="39" xfId="0" applyNumberFormat="1" applyFont="1" applyBorder="1" applyAlignment="1">
      <alignment horizontal="center" vertical="center" wrapText="1"/>
    </xf>
    <xf numFmtId="177" fontId="4" fillId="0" borderId="31" xfId="0" applyNumberFormat="1" applyFont="1" applyBorder="1" applyAlignment="1">
      <alignment horizontal="center" vertical="center" wrapText="1"/>
    </xf>
    <xf numFmtId="177" fontId="18" fillId="0" borderId="47" xfId="0" applyNumberFormat="1" applyFont="1" applyBorder="1" applyAlignment="1">
      <alignment horizontal="center" vertical="center" wrapText="1"/>
    </xf>
    <xf numFmtId="177" fontId="18" fillId="0" borderId="51" xfId="0" applyNumberFormat="1" applyFont="1" applyBorder="1" applyAlignment="1">
      <alignment horizontal="center" vertical="center" wrapText="1"/>
    </xf>
    <xf numFmtId="177" fontId="4" fillId="2" borderId="12" xfId="0" applyNumberFormat="1" applyFont="1" applyFill="1" applyBorder="1" applyAlignment="1">
      <alignment horizontal="center" vertical="center" wrapText="1"/>
    </xf>
    <xf numFmtId="177" fontId="18" fillId="0" borderId="48" xfId="0" applyNumberFormat="1" applyFont="1" applyBorder="1" applyAlignment="1">
      <alignment horizontal="center" vertical="center" wrapText="1"/>
    </xf>
    <xf numFmtId="177" fontId="18" fillId="0" borderId="52" xfId="0" applyNumberFormat="1" applyFont="1" applyBorder="1" applyAlignment="1">
      <alignment horizontal="center" vertical="center" wrapText="1"/>
    </xf>
    <xf numFmtId="177" fontId="4" fillId="2" borderId="45" xfId="0" applyNumberFormat="1" applyFont="1" applyFill="1" applyBorder="1" applyAlignment="1">
      <alignment horizontal="center" vertical="center" wrapText="1"/>
    </xf>
    <xf numFmtId="0" fontId="20" fillId="3" borderId="61" xfId="0" applyFont="1" applyFill="1" applyBorder="1" applyAlignment="1">
      <alignment vertical="center"/>
    </xf>
    <xf numFmtId="0" fontId="20" fillId="3" borderId="62" xfId="0" applyFont="1" applyFill="1" applyBorder="1" applyAlignment="1">
      <alignment vertical="center"/>
    </xf>
    <xf numFmtId="0" fontId="20" fillId="3" borderId="62" xfId="0" applyFont="1" applyFill="1" applyBorder="1" applyAlignment="1">
      <alignment horizontal="right" vertical="center"/>
    </xf>
    <xf numFmtId="0" fontId="19" fillId="0" borderId="75" xfId="0" applyFont="1" applyBorder="1" applyAlignment="1">
      <alignment horizontal="center" vertical="center"/>
    </xf>
    <xf numFmtId="0" fontId="19" fillId="0" borderId="76" xfId="0" applyFont="1" applyBorder="1" applyAlignment="1">
      <alignment horizontal="center" vertical="center"/>
    </xf>
    <xf numFmtId="0" fontId="21" fillId="0" borderId="77" xfId="0" applyFont="1" applyBorder="1" applyAlignment="1">
      <alignment horizontal="left" vertical="center"/>
    </xf>
    <xf numFmtId="0" fontId="21" fillId="0" borderId="75" xfId="0" applyFont="1" applyBorder="1" applyAlignment="1">
      <alignment horizontal="center" vertical="center"/>
    </xf>
    <xf numFmtId="177" fontId="22" fillId="0" borderId="75" xfId="0" applyNumberFormat="1" applyFont="1" applyBorder="1" applyAlignment="1">
      <alignment horizontal="center" vertical="center"/>
    </xf>
    <xf numFmtId="177" fontId="16" fillId="0" borderId="75" xfId="0" applyNumberFormat="1" applyFont="1" applyBorder="1" applyAlignment="1">
      <alignment horizontal="center" vertical="center"/>
    </xf>
    <xf numFmtId="178" fontId="22" fillId="0" borderId="75" xfId="0" applyNumberFormat="1" applyFont="1" applyBorder="1" applyAlignment="1">
      <alignment horizontal="center" vertical="center"/>
    </xf>
    <xf numFmtId="178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1" fillId="0" borderId="75" xfId="0" quotePrefix="1" applyFont="1" applyBorder="1" applyAlignment="1">
      <alignment horizontal="center" vertical="center"/>
    </xf>
    <xf numFmtId="177" fontId="21" fillId="0" borderId="75" xfId="0" quotePrefix="1" applyNumberFormat="1" applyFont="1" applyBorder="1" applyAlignment="1">
      <alignment horizontal="center" vertical="center"/>
    </xf>
    <xf numFmtId="0" fontId="22" fillId="0" borderId="75" xfId="0" quotePrefix="1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177" fontId="22" fillId="0" borderId="81" xfId="0" applyNumberFormat="1" applyFont="1" applyBorder="1" applyAlignment="1">
      <alignment horizontal="center" vertical="center"/>
    </xf>
    <xf numFmtId="177" fontId="16" fillId="0" borderId="81" xfId="0" applyNumberFormat="1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4" borderId="75" xfId="0" applyFont="1" applyFill="1" applyBorder="1" applyAlignment="1">
      <alignment horizontal="center" vertical="center"/>
    </xf>
    <xf numFmtId="0" fontId="21" fillId="0" borderId="75" xfId="0" applyFont="1" applyBorder="1" applyAlignment="1">
      <alignment horizontal="center" vertical="center" wrapText="1"/>
    </xf>
    <xf numFmtId="179" fontId="21" fillId="5" borderId="75" xfId="0" applyNumberFormat="1" applyFont="1" applyFill="1" applyBorder="1" applyAlignment="1">
      <alignment vertical="center"/>
    </xf>
    <xf numFmtId="178" fontId="21" fillId="5" borderId="75" xfId="0" applyNumberFormat="1" applyFont="1" applyFill="1" applyBorder="1" applyAlignment="1">
      <alignment horizontal="center" vertical="center"/>
    </xf>
    <xf numFmtId="0" fontId="21" fillId="5" borderId="73" xfId="0" applyFont="1" applyFill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3" fillId="0" borderId="75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0" fontId="21" fillId="5" borderId="81" xfId="0" applyFont="1" applyFill="1" applyBorder="1" applyAlignment="1">
      <alignment horizontal="center" vertical="center"/>
    </xf>
    <xf numFmtId="0" fontId="21" fillId="5" borderId="94" xfId="0" applyFont="1" applyFill="1" applyBorder="1" applyAlignment="1">
      <alignment horizontal="center" vertical="center"/>
    </xf>
    <xf numFmtId="180" fontId="21" fillId="5" borderId="81" xfId="0" applyNumberFormat="1" applyFont="1" applyFill="1" applyBorder="1" applyAlignment="1">
      <alignment horizontal="center" vertical="center"/>
    </xf>
    <xf numFmtId="180" fontId="21" fillId="5" borderId="94" xfId="0" applyNumberFormat="1" applyFont="1" applyFill="1" applyBorder="1" applyAlignment="1">
      <alignment horizontal="center" vertical="center"/>
    </xf>
    <xf numFmtId="180" fontId="21" fillId="5" borderId="95" xfId="0" applyNumberFormat="1" applyFont="1" applyFill="1" applyBorder="1" applyAlignment="1">
      <alignment horizontal="center" vertical="center"/>
    </xf>
    <xf numFmtId="178" fontId="21" fillId="5" borderId="81" xfId="0" applyNumberFormat="1" applyFont="1" applyFill="1" applyBorder="1" applyAlignment="1">
      <alignment horizontal="center" vertical="center"/>
    </xf>
    <xf numFmtId="178" fontId="21" fillId="5" borderId="94" xfId="0" applyNumberFormat="1" applyFont="1" applyFill="1" applyBorder="1" applyAlignment="1">
      <alignment horizontal="center" vertical="center"/>
    </xf>
    <xf numFmtId="178" fontId="21" fillId="5" borderId="95" xfId="0" applyNumberFormat="1" applyFont="1" applyFill="1" applyBorder="1" applyAlignment="1">
      <alignment horizontal="center" vertical="center"/>
    </xf>
    <xf numFmtId="0" fontId="21" fillId="0" borderId="77" xfId="0" applyFont="1" applyBorder="1" applyAlignment="1">
      <alignment horizontal="center" vertical="center"/>
    </xf>
    <xf numFmtId="0" fontId="21" fillId="0" borderId="78" xfId="0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0" fontId="21" fillId="0" borderId="83" xfId="0" applyFont="1" applyBorder="1" applyAlignment="1">
      <alignment horizontal="center" vertical="center"/>
    </xf>
    <xf numFmtId="0" fontId="21" fillId="0" borderId="87" xfId="0" applyFont="1" applyBorder="1" applyAlignment="1">
      <alignment horizontal="center" vertical="center"/>
    </xf>
    <xf numFmtId="0" fontId="21" fillId="0" borderId="90" xfId="0" applyFont="1" applyBorder="1" applyAlignment="1">
      <alignment horizontal="center" vertical="center"/>
    </xf>
    <xf numFmtId="0" fontId="21" fillId="0" borderId="84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89" xfId="0" applyFont="1" applyBorder="1" applyAlignment="1">
      <alignment horizontal="center" vertical="center"/>
    </xf>
    <xf numFmtId="0" fontId="21" fillId="0" borderId="91" xfId="0" applyFont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21" fillId="0" borderId="93" xfId="0" applyFont="1" applyBorder="1" applyAlignment="1">
      <alignment horizontal="center" vertical="center"/>
    </xf>
    <xf numFmtId="0" fontId="21" fillId="0" borderId="79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19" fillId="3" borderId="71" xfId="0" applyFont="1" applyFill="1" applyBorder="1" applyAlignment="1">
      <alignment horizontal="center" vertical="center"/>
    </xf>
    <xf numFmtId="0" fontId="19" fillId="3" borderId="70" xfId="0" applyFont="1" applyFill="1" applyBorder="1" applyAlignment="1">
      <alignment horizontal="center" vertical="center"/>
    </xf>
    <xf numFmtId="0" fontId="19" fillId="3" borderId="69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20" fillId="3" borderId="65" xfId="0" applyFont="1" applyFill="1" applyBorder="1" applyAlignment="1">
      <alignment horizontal="center" vertical="center"/>
    </xf>
    <xf numFmtId="0" fontId="19" fillId="0" borderId="74" xfId="0" applyFont="1" applyBorder="1" applyAlignment="1">
      <alignment horizontal="center" vertical="center"/>
    </xf>
    <xf numFmtId="0" fontId="19" fillId="0" borderId="68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72" xfId="0" applyFont="1" applyBorder="1" applyAlignment="1">
      <alignment horizontal="center" vertical="center"/>
    </xf>
  </cellXfs>
  <cellStyles count="1">
    <cellStyle name="常规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1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externalLink" Target="externalLinks/externalLink1.xml" /><Relationship Id="rId8" Type="http://schemas.openxmlformats.org/officeDocument/2006/relationships/theme" Target="theme/theme1.xml" /><Relationship Id="rId9" Type="http://schemas.openxmlformats.org/officeDocument/2006/relationships/styles" Target="styles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Users/caoping/Documents/xwechat_files/wxid_2926589266112_ac06/msg/file/2026-05/&#20135;&#37327;&#21488;&#36134;2025.12-2026.12%20(2).xlsx" /><Relationship Id="rId2" Type="http://schemas.openxmlformats.org/officeDocument/2006/relationships/externalLinkPath" TargetMode="External" Target="file:///C:/Users/caoping/Documents/xwechat_files/wxid_2926589266112_ac06/msg/file/2026-05/&#20135;&#37327;&#21488;&#36134;2025.12-2026.12%20(2).xlsx" /></Relationships>
</file>

<file path=xl/externalLinks/externalLink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2025.12月 "/>
      <sheetName val="Chart1"/>
      <sheetName val="一月"/>
      <sheetName val="二月"/>
      <sheetName val="三月 "/>
      <sheetName val="四月 "/>
      <sheetName val="五月 "/>
      <sheetName val="6月 "/>
      <sheetName val="7月 "/>
      <sheetName val="8月 "/>
      <sheetName val="9月"/>
      <sheetName val="10月 "/>
      <sheetName val="11月 "/>
      <sheetName val="2026.12月 "/>
      <sheetName val="Sheet12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B2" sqref="B2:AR2"/>
    </sheetView>
  </sheetViews>
  <sheetFormatPr defaultRowHeight="8" x14ac:dyDescent="0.25"/>
  <cols>
    <col min="1" max="1" width="0.453125" style="6" customWidth="1"/>
    <col min="2" max="2" width="3.453125" style="6" bestFit="1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32" t="s">
        <v>227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</row>
    <row r="3" spans="2:47" ht="20.15" customHeight="1" x14ac:dyDescent="0.25">
      <c r="B3" s="136" t="s">
        <v>181</v>
      </c>
      <c r="C3" s="134" t="s">
        <v>163</v>
      </c>
      <c r="D3" s="146"/>
      <c r="E3" s="146"/>
      <c r="F3" s="146"/>
      <c r="G3" s="146"/>
      <c r="H3" s="147"/>
      <c r="I3" s="150" t="s">
        <v>8</v>
      </c>
      <c r="J3" s="146"/>
      <c r="K3" s="146"/>
      <c r="L3" s="146"/>
      <c r="M3" s="146"/>
      <c r="N3" s="146"/>
      <c r="O3" s="146"/>
      <c r="P3" s="151"/>
      <c r="Q3" s="134" t="s">
        <v>77</v>
      </c>
      <c r="R3" s="146"/>
      <c r="S3" s="151"/>
      <c r="T3" s="134" t="s">
        <v>10</v>
      </c>
      <c r="U3" s="146"/>
      <c r="V3" s="146"/>
      <c r="W3" s="151"/>
      <c r="X3" s="134" t="s">
        <v>80</v>
      </c>
      <c r="Y3" s="135"/>
      <c r="Z3" s="134" t="s">
        <v>11</v>
      </c>
      <c r="AA3" s="135"/>
      <c r="AB3" s="13" t="s">
        <v>13</v>
      </c>
      <c r="AC3" s="134" t="s">
        <v>14</v>
      </c>
      <c r="AD3" s="135"/>
      <c r="AE3" s="175" t="s">
        <v>88</v>
      </c>
      <c r="AF3" s="176"/>
      <c r="AG3" s="176"/>
      <c r="AH3" s="176"/>
      <c r="AI3" s="176"/>
      <c r="AJ3" s="176"/>
      <c r="AK3" s="177"/>
      <c r="AL3" s="134" t="s">
        <v>18</v>
      </c>
      <c r="AM3" s="142"/>
      <c r="AN3" s="143"/>
      <c r="AO3" s="142" t="s">
        <v>16</v>
      </c>
      <c r="AP3" s="142"/>
      <c r="AQ3" s="142"/>
      <c r="AR3" s="145"/>
    </row>
    <row r="4" spans="2:47" ht="30" customHeight="1" x14ac:dyDescent="0.25">
      <c r="B4" s="137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48" t="s">
        <v>62</v>
      </c>
      <c r="J4" s="149"/>
      <c r="K4" s="3" t="s">
        <v>6</v>
      </c>
      <c r="L4" s="3" t="s">
        <v>66</v>
      </c>
      <c r="M4" s="3" t="s">
        <v>164</v>
      </c>
      <c r="N4" s="3" t="s">
        <v>165</v>
      </c>
      <c r="O4" s="122" t="s">
        <v>7</v>
      </c>
      <c r="P4" s="126"/>
      <c r="Q4" s="139" t="s">
        <v>71</v>
      </c>
      <c r="R4" s="126"/>
      <c r="S4" s="3" t="s">
        <v>51</v>
      </c>
      <c r="T4" s="3" t="s">
        <v>75</v>
      </c>
      <c r="U4" s="139" t="s">
        <v>78</v>
      </c>
      <c r="V4" s="126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0" t="s">
        <v>89</v>
      </c>
      <c r="AF4" s="141"/>
      <c r="AG4" s="140" t="s">
        <v>92</v>
      </c>
      <c r="AH4" s="141"/>
      <c r="AI4" s="10" t="s">
        <v>166</v>
      </c>
      <c r="AJ4" s="10" t="s">
        <v>167</v>
      </c>
      <c r="AK4" s="11" t="s">
        <v>115</v>
      </c>
      <c r="AL4" s="139" t="s">
        <v>110</v>
      </c>
      <c r="AM4" s="126"/>
      <c r="AN4" s="29" t="s">
        <v>111</v>
      </c>
      <c r="AO4" s="26" t="s">
        <v>12</v>
      </c>
      <c r="AP4" s="3" t="s">
        <v>1</v>
      </c>
      <c r="AQ4" s="124" t="s">
        <v>161</v>
      </c>
      <c r="AR4" s="144"/>
      <c r="AU4" s="20"/>
    </row>
    <row r="5" spans="2:47" ht="20.15" customHeight="1" x14ac:dyDescent="0.25">
      <c r="B5" s="138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289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</v>
      </c>
      <c r="C6" s="54">
        <v>6.2825517654418945</v>
      </c>
      <c r="D6" s="54">
        <v>19.42816925048828</v>
      </c>
      <c r="E6" s="54">
        <v>415.4288330078125</v>
      </c>
      <c r="F6" s="54"/>
      <c r="G6" s="54"/>
      <c r="H6" s="55">
        <v>418.06512451171875</v>
      </c>
      <c r="I6" s="56">
        <v>26.12847328186035</v>
      </c>
      <c r="J6" s="54"/>
      <c r="K6" s="54">
        <v>41.77517318725586</v>
      </c>
      <c r="L6" s="54">
        <v>1.3230613470077515</v>
      </c>
      <c r="M6" s="54">
        <v>109.29362487792969</v>
      </c>
      <c r="N6" s="54">
        <v>111.29195404052734</v>
      </c>
      <c r="O6" s="54">
        <v>19.798412322998047</v>
      </c>
      <c r="P6" s="54"/>
      <c r="Q6" s="54"/>
      <c r="R6" s="54"/>
      <c r="S6" s="54">
        <v>141.073486328125</v>
      </c>
      <c r="T6" s="54">
        <v>1.6100000143051147</v>
      </c>
      <c r="U6" s="54">
        <v>0.297992467880249</v>
      </c>
      <c r="V6" s="54"/>
      <c r="W6" s="54">
        <v>90.48755645751953</v>
      </c>
      <c r="X6" s="54">
        <v>0.5295834541320801</v>
      </c>
      <c r="Y6" s="54"/>
      <c r="Z6" s="54">
        <v>0.7407407760620117</v>
      </c>
      <c r="AA6" s="54">
        <v>151.0054931640625</v>
      </c>
      <c r="AB6" s="54">
        <v>162.8255157470703</v>
      </c>
      <c r="AC6" s="54">
        <v>0.4198133647441864</v>
      </c>
      <c r="AD6" s="54">
        <v>155.14321899414062</v>
      </c>
      <c r="AE6" s="57"/>
      <c r="AF6" s="57"/>
      <c r="AG6" s="57"/>
      <c r="AH6" s="57"/>
      <c r="AI6" s="57"/>
      <c r="AJ6" s="57"/>
      <c r="AK6" s="57"/>
      <c r="AL6" s="54">
        <v>0</v>
      </c>
      <c r="AM6" s="58"/>
      <c r="AN6" s="59">
        <v>63.093170166015625</v>
      </c>
      <c r="AO6" s="60"/>
      <c r="AP6" s="61">
        <v>-80.23726654052734</v>
      </c>
      <c r="AQ6" s="61">
        <v>0.2901475727558136</v>
      </c>
      <c r="AR6" s="62"/>
    </row>
    <row r="7" spans="2:47" ht="13.5" customHeight="1" x14ac:dyDescent="0.25">
      <c r="B7" s="14">
        <v>0.375</v>
      </c>
      <c r="C7" s="54">
        <v>5.996817111968994</v>
      </c>
      <c r="D7" s="54">
        <v>19.607206344604492</v>
      </c>
      <c r="E7" s="54">
        <v>415.8102111816406</v>
      </c>
      <c r="F7" s="54">
        <v>0.28514063358306885</v>
      </c>
      <c r="G7" s="54">
        <v>0</v>
      </c>
      <c r="H7" s="55">
        <v>417.4953308105469</v>
      </c>
      <c r="I7" s="56">
        <v>22.811777114868164</v>
      </c>
      <c r="J7" s="54">
        <v>0.019922850653529167</v>
      </c>
      <c r="K7" s="54">
        <v>44.2780647277832</v>
      </c>
      <c r="L7" s="54">
        <v>1.4273184537887573</v>
      </c>
      <c r="M7" s="54">
        <v>110.30274200439453</v>
      </c>
      <c r="N7" s="54">
        <v>112.08043670654297</v>
      </c>
      <c r="O7" s="54">
        <v>19.72372055053711</v>
      </c>
      <c r="P7" s="54">
        <v>19.8271484375</v>
      </c>
      <c r="Q7" s="54"/>
      <c r="R7" s="54">
        <v>2.9208984375</v>
      </c>
      <c r="S7" s="54">
        <v>140.7552032470703</v>
      </c>
      <c r="T7" s="54">
        <v>1.6100000143051147</v>
      </c>
      <c r="U7" s="54">
        <v>0.29813912510871887</v>
      </c>
      <c r="V7" s="54">
        <v>0.2999843657016754</v>
      </c>
      <c r="W7" s="54">
        <v>90.39351654052734</v>
      </c>
      <c r="X7" s="54">
        <v>0.5316378474235535</v>
      </c>
      <c r="Y7" s="54" t="s">
        <v>82</v>
      </c>
      <c r="Z7" s="54">
        <v>0.745312511920929</v>
      </c>
      <c r="AA7" s="54">
        <v>150.36892700195312</v>
      </c>
      <c r="AB7" s="54">
        <v>162.88339233398438</v>
      </c>
      <c r="AC7" s="54">
        <v>0.43800637125968933</v>
      </c>
      <c r="AD7" s="54">
        <v>155.19386291503906</v>
      </c>
      <c r="AE7" s="57"/>
      <c r="AF7" s="57"/>
      <c r="AG7" s="57"/>
      <c r="AH7" s="57"/>
      <c r="AI7" s="57"/>
      <c r="AJ7" s="57"/>
      <c r="AK7" s="57"/>
      <c r="AL7" s="54">
        <v>14.923321723937988</v>
      </c>
      <c r="AM7" s="58">
        <v>0.008009765297174454</v>
      </c>
      <c r="AN7" s="59">
        <v>61.4149284362793</v>
      </c>
      <c r="AO7" s="60"/>
      <c r="AP7" s="61">
        <v>-80.46875</v>
      </c>
      <c r="AQ7" s="61">
        <v>0.290581613779068</v>
      </c>
      <c r="AR7" s="62">
        <v>0.00029222105513326824</v>
      </c>
    </row>
    <row r="8" spans="2:47" ht="13.5" customHeight="1" x14ac:dyDescent="0.25">
      <c r="B8" s="14">
        <v>0.41666666666666669</v>
      </c>
      <c r="C8" s="54">
        <v>5.692997455596924</v>
      </c>
      <c r="D8" s="54">
        <v>19.78081703186035</v>
      </c>
      <c r="E8" s="54">
        <v>415.9858093261719</v>
      </c>
      <c r="F8" s="54">
        <v>0.293156236410141</v>
      </c>
      <c r="G8" s="54">
        <v>0</v>
      </c>
      <c r="H8" s="55">
        <v>416.8836364746094</v>
      </c>
      <c r="I8" s="56">
        <v>22.02691078186035</v>
      </c>
      <c r="J8" s="54">
        <v>0.020294921472668648</v>
      </c>
      <c r="K8" s="54">
        <v>45.43547439575195</v>
      </c>
      <c r="L8" s="54">
        <v>1.4564344882965088</v>
      </c>
      <c r="M8" s="54">
        <v>110.6174087524414</v>
      </c>
      <c r="N8" s="54">
        <v>112.83275604248047</v>
      </c>
      <c r="O8" s="54">
        <v>19.904417037963867</v>
      </c>
      <c r="P8" s="54">
        <v>19.8046875</v>
      </c>
      <c r="Q8" s="54"/>
      <c r="R8" s="54">
        <v>2.8316650390625</v>
      </c>
      <c r="S8" s="54">
        <v>140.7262725830078</v>
      </c>
      <c r="T8" s="54">
        <v>1.6100000143051147</v>
      </c>
      <c r="U8" s="54">
        <v>0.3010258078575134</v>
      </c>
      <c r="V8" s="54">
        <v>0.3000468611717224</v>
      </c>
      <c r="W8" s="54">
        <v>90.53819274902344</v>
      </c>
      <c r="X8" s="54">
        <v>0.5295884013175964</v>
      </c>
      <c r="Y8" s="54" t="s">
        <v>82</v>
      </c>
      <c r="Z8" s="54">
        <v>0.740567147731781</v>
      </c>
      <c r="AA8" s="54">
        <v>150.2242431640625</v>
      </c>
      <c r="AB8" s="54">
        <v>162.97743225097656</v>
      </c>
      <c r="AC8" s="54">
        <v>0.47186052799224854</v>
      </c>
      <c r="AD8" s="54">
        <v>155.31683349609375</v>
      </c>
      <c r="AE8" s="57"/>
      <c r="AF8" s="57"/>
      <c r="AG8" s="57"/>
      <c r="AH8" s="57"/>
      <c r="AI8" s="57"/>
      <c r="AJ8" s="57"/>
      <c r="AK8" s="57"/>
      <c r="AL8" s="54">
        <v>5.743634223937988</v>
      </c>
      <c r="AM8" s="58">
        <v>0.007117187604308128</v>
      </c>
      <c r="AN8" s="59">
        <v>59.501590728759766</v>
      </c>
      <c r="AO8" s="60"/>
      <c r="AP8" s="61">
        <v>-80.46875</v>
      </c>
      <c r="AQ8" s="61">
        <v>0.2797309160232544</v>
      </c>
      <c r="AR8" s="62">
        <v>0.00028996277251280844</v>
      </c>
    </row>
    <row r="9" spans="2:47" ht="13.5" customHeight="1" x14ac:dyDescent="0.25">
      <c r="B9" s="14">
        <v>0.45833333333333298</v>
      </c>
      <c r="C9" s="54">
        <v>6.04383659362793</v>
      </c>
      <c r="D9" s="54">
        <v>20.40473175048828</v>
      </c>
      <c r="E9" s="54">
        <v>414.8407897949219</v>
      </c>
      <c r="F9" s="54">
        <v>0.30915623903274536</v>
      </c>
      <c r="G9" s="54">
        <v>0</v>
      </c>
      <c r="H9" s="55">
        <v>416.4056701660156</v>
      </c>
      <c r="I9" s="56">
        <v>23.31814193725586</v>
      </c>
      <c r="J9" s="54">
        <v>0.019337890669703484</v>
      </c>
      <c r="K9" s="54">
        <v>42.62152862548828</v>
      </c>
      <c r="L9" s="54">
        <v>1.3397895097732544</v>
      </c>
      <c r="M9" s="54">
        <v>109.1037368774414</v>
      </c>
      <c r="N9" s="54">
        <v>112.70977783203125</v>
      </c>
      <c r="O9" s="54">
        <v>19.752613067626953</v>
      </c>
      <c r="P9" s="54">
        <v>19.767578125</v>
      </c>
      <c r="Q9" s="54"/>
      <c r="R9" s="54">
        <v>2.773681640625</v>
      </c>
      <c r="S9" s="54">
        <v>141.15306091308594</v>
      </c>
      <c r="T9" s="54">
        <v>1.6100000143051147</v>
      </c>
      <c r="U9" s="54">
        <v>0.2995340824127197</v>
      </c>
      <c r="V9" s="54">
        <v>0.29993748664855957</v>
      </c>
      <c r="W9" s="54">
        <v>90.46585845947266</v>
      </c>
      <c r="X9" s="54">
        <v>0.5303390622138977</v>
      </c>
      <c r="Y9" s="54" t="s">
        <v>82</v>
      </c>
      <c r="Z9" s="54">
        <v>0.7369213104248047</v>
      </c>
      <c r="AA9" s="54">
        <v>150.5859375</v>
      </c>
      <c r="AB9" s="54">
        <v>163.1872100830078</v>
      </c>
      <c r="AC9" s="54">
        <v>0.43330439925193787</v>
      </c>
      <c r="AD9" s="54">
        <v>155.6640625</v>
      </c>
      <c r="AE9" s="57"/>
      <c r="AF9" s="57"/>
      <c r="AG9" s="57"/>
      <c r="AH9" s="57"/>
      <c r="AI9" s="57"/>
      <c r="AJ9" s="57"/>
      <c r="AK9" s="57"/>
      <c r="AL9" s="54">
        <v>1.5733506679534912</v>
      </c>
      <c r="AM9" s="58">
        <v>0.005205078050494194</v>
      </c>
      <c r="AN9" s="59">
        <v>58.23929214477539</v>
      </c>
      <c r="AO9" s="60"/>
      <c r="AP9" s="61">
        <v>-80.17939758300781</v>
      </c>
      <c r="AQ9" s="61">
        <v>0.28877314925193787</v>
      </c>
      <c r="AR9" s="62">
        <v>0.00028959655901417136</v>
      </c>
    </row>
    <row r="10" spans="2:47" ht="13.5" customHeight="1" x14ac:dyDescent="0.25">
      <c r="B10" s="14">
        <v>0.5</v>
      </c>
      <c r="C10" s="54">
        <v>5.255352973937988</v>
      </c>
      <c r="D10" s="54">
        <v>20.73567771911621</v>
      </c>
      <c r="E10" s="54">
        <v>415.4438781738281</v>
      </c>
      <c r="F10" s="54">
        <v>0.26756250858306885</v>
      </c>
      <c r="G10" s="54">
        <v>0</v>
      </c>
      <c r="H10" s="55">
        <v>416.05816650390625</v>
      </c>
      <c r="I10" s="56">
        <v>22.837095260620117</v>
      </c>
      <c r="J10" s="54">
        <v>0.01870410144329071</v>
      </c>
      <c r="K10" s="54">
        <v>44.04658508300781</v>
      </c>
      <c r="L10" s="54">
        <v>1.4417860507965088</v>
      </c>
      <c r="M10" s="54">
        <v>103.02735137939453</v>
      </c>
      <c r="N10" s="54">
        <v>108.60098266601562</v>
      </c>
      <c r="O10" s="54">
        <v>19.6721248626709</v>
      </c>
      <c r="P10" s="54">
        <v>19.7568359375</v>
      </c>
      <c r="Q10" s="54"/>
      <c r="R10" s="54">
        <v>2.79736328125</v>
      </c>
      <c r="S10" s="54">
        <v>141.0807342529297</v>
      </c>
      <c r="T10" s="54">
        <v>1.6100000143051147</v>
      </c>
      <c r="U10" s="54">
        <v>0.29710790514945984</v>
      </c>
      <c r="V10" s="54">
        <v>0.29996874928474426</v>
      </c>
      <c r="W10" s="54">
        <v>89.93778991699219</v>
      </c>
      <c r="X10" s="54">
        <v>0.5324280261993408</v>
      </c>
      <c r="Y10" s="54" t="s">
        <v>82</v>
      </c>
      <c r="Z10" s="54">
        <v>0.7456597685813904</v>
      </c>
      <c r="AA10" s="54">
        <v>149.71788024902344</v>
      </c>
      <c r="AB10" s="54">
        <v>162.74594116210938</v>
      </c>
      <c r="AC10" s="54">
        <v>0.4255642294883728</v>
      </c>
      <c r="AD10" s="54">
        <v>155.29513549804688</v>
      </c>
      <c r="AE10" s="57">
        <v>34.56999969482422</v>
      </c>
      <c r="AF10" s="57"/>
      <c r="AG10" s="57"/>
      <c r="AH10" s="57">
        <v>8.6899995803833</v>
      </c>
      <c r="AI10" s="57">
        <v>21.40999984741211</v>
      </c>
      <c r="AJ10" s="57">
        <v>10.479999542236328</v>
      </c>
      <c r="AK10" s="57">
        <v>6.5</v>
      </c>
      <c r="AL10" s="54">
        <v>0</v>
      </c>
      <c r="AM10" s="58">
        <v>0.00419531250372529</v>
      </c>
      <c r="AN10" s="59">
        <v>56.318721771240234</v>
      </c>
      <c r="AO10" s="60"/>
      <c r="AP10" s="61">
        <v>-80.56278991699219</v>
      </c>
      <c r="AQ10" s="61">
        <v>0.30562788248062134</v>
      </c>
      <c r="AR10" s="62">
        <v>0.00029043579706922174</v>
      </c>
    </row>
    <row r="11" spans="2:47" ht="13.5" customHeight="1" x14ac:dyDescent="0.25">
      <c r="B11" s="14">
        <v>0.54166666666666696</v>
      </c>
      <c r="C11" s="54">
        <v>6.329571723937988</v>
      </c>
      <c r="D11" s="54">
        <v>21.473526000976562</v>
      </c>
      <c r="E11" s="54">
        <v>416.33416748046875</v>
      </c>
      <c r="F11" s="54">
        <v>0.3383125066757202</v>
      </c>
      <c r="G11" s="54">
        <v>0</v>
      </c>
      <c r="H11" s="55">
        <v>415.9935607910156</v>
      </c>
      <c r="I11" s="56">
        <v>22.93836784362793</v>
      </c>
      <c r="J11" s="54">
        <v>0.01943652331829071</v>
      </c>
      <c r="K11" s="54">
        <v>45.2039909362793</v>
      </c>
      <c r="L11" s="54">
        <v>1.449562430381775</v>
      </c>
      <c r="M11" s="54">
        <v>110.54145812988281</v>
      </c>
      <c r="N11" s="54">
        <v>113.3608169555664</v>
      </c>
      <c r="O11" s="54">
        <v>19.663949966430664</v>
      </c>
      <c r="P11" s="54">
        <v>19.744140625</v>
      </c>
      <c r="Q11" s="54"/>
      <c r="R11" s="54">
        <v>2.7861328125</v>
      </c>
      <c r="S11" s="54">
        <v>141.06625366210938</v>
      </c>
      <c r="T11" s="54">
        <v>1.6100000143051147</v>
      </c>
      <c r="U11" s="54">
        <v>0.298235684633255</v>
      </c>
      <c r="V11" s="54">
        <v>0.3000156283378601</v>
      </c>
      <c r="W11" s="54">
        <v>91.05179595947266</v>
      </c>
      <c r="X11" s="54">
        <v>0.5292020440101624</v>
      </c>
      <c r="Y11" s="54" t="s">
        <v>82</v>
      </c>
      <c r="Z11" s="54">
        <v>0.7401620745658875</v>
      </c>
      <c r="AA11" s="54">
        <v>151.18634033203125</v>
      </c>
      <c r="AB11" s="54">
        <v>163.03529357910156</v>
      </c>
      <c r="AC11" s="54">
        <v>0.7306857705116272</v>
      </c>
      <c r="AD11" s="54">
        <v>155.36024475097656</v>
      </c>
      <c r="AE11" s="57"/>
      <c r="AF11" s="57"/>
      <c r="AG11" s="57"/>
      <c r="AH11" s="57"/>
      <c r="AI11" s="57"/>
      <c r="AJ11" s="57"/>
      <c r="AK11" s="57"/>
      <c r="AL11" s="54">
        <v>0</v>
      </c>
      <c r="AM11" s="58">
        <v>0.0057646483182907104</v>
      </c>
      <c r="AN11" s="59">
        <v>55.23003387451172</v>
      </c>
      <c r="AO11" s="60"/>
      <c r="AP11" s="61">
        <v>-80.44705200195312</v>
      </c>
      <c r="AQ11" s="61">
        <v>0.2912326455116272</v>
      </c>
      <c r="AR11" s="62">
        <v>0.0002886200090870261</v>
      </c>
    </row>
    <row r="12" spans="2:47" ht="13.5" customHeight="1" x14ac:dyDescent="0.25">
      <c r="B12" s="14">
        <v>0.58333333333333304</v>
      </c>
      <c r="C12" s="54">
        <v>5.591724395751953</v>
      </c>
      <c r="D12" s="54">
        <v>21.668838500976562</v>
      </c>
      <c r="E12" s="54">
        <v>416.1041564941406</v>
      </c>
      <c r="F12" s="54">
        <v>0.2686406373977661</v>
      </c>
      <c r="G12" s="54">
        <v>0</v>
      </c>
      <c r="H12" s="55">
        <v>415.9495849609375</v>
      </c>
      <c r="I12" s="56">
        <v>0</v>
      </c>
      <c r="J12" s="54">
        <v>0.019846679642796516</v>
      </c>
      <c r="K12" s="54">
        <v>44.46614456176758</v>
      </c>
      <c r="L12" s="54">
        <v>1.403446912765503</v>
      </c>
      <c r="M12" s="54">
        <v>109.5920181274414</v>
      </c>
      <c r="N12" s="54">
        <v>114.3373794555664</v>
      </c>
      <c r="O12" s="54">
        <v>19.667503356933594</v>
      </c>
      <c r="P12" s="54">
        <v>19.74609375</v>
      </c>
      <c r="Q12" s="54"/>
      <c r="R12" s="54">
        <v>2.694580078125</v>
      </c>
      <c r="S12" s="54">
        <v>141.16029357910156</v>
      </c>
      <c r="T12" s="54">
        <v>1.6100000143051147</v>
      </c>
      <c r="U12" s="54">
        <v>0.29983752965927124</v>
      </c>
      <c r="V12" s="54">
        <v>0.2999843657016754</v>
      </c>
      <c r="W12" s="54">
        <v>89.85098266601562</v>
      </c>
      <c r="X12" s="54">
        <v>0.5320500731468201</v>
      </c>
      <c r="Y12" s="54" t="s">
        <v>82</v>
      </c>
      <c r="Z12" s="54">
        <v>0.7253472805023193</v>
      </c>
      <c r="AA12" s="54">
        <v>149.3489532470703</v>
      </c>
      <c r="AB12" s="54">
        <v>163.0425262451172</v>
      </c>
      <c r="AC12" s="54">
        <v>0.7687355279922485</v>
      </c>
      <c r="AD12" s="54">
        <v>155.51214599609375</v>
      </c>
      <c r="AE12" s="57"/>
      <c r="AF12" s="57"/>
      <c r="AG12" s="57"/>
      <c r="AH12" s="57"/>
      <c r="AI12" s="57"/>
      <c r="AJ12" s="57"/>
      <c r="AK12" s="57"/>
      <c r="AL12" s="54">
        <v>6.210214138031006</v>
      </c>
      <c r="AM12" s="58">
        <v>0.004092773422598839</v>
      </c>
      <c r="AN12" s="59">
        <v>52.93330383300781</v>
      </c>
      <c r="AO12" s="60"/>
      <c r="AP12" s="61">
        <v>-80.45428466796875</v>
      </c>
      <c r="AQ12" s="61">
        <v>0.2823350727558136</v>
      </c>
      <c r="AR12" s="62">
        <v>0.00028887938242405653</v>
      </c>
    </row>
    <row r="13" spans="2:47" ht="13.5" customHeight="1" x14ac:dyDescent="0.25">
      <c r="B13" s="14">
        <v>0.625</v>
      </c>
      <c r="C13" s="54">
        <v>6.600839138031006</v>
      </c>
      <c r="D13" s="54">
        <v>21.755643844604492</v>
      </c>
      <c r="E13" s="54">
        <v>414.94586181640625</v>
      </c>
      <c r="F13" s="54">
        <v>0.33818748593330383</v>
      </c>
      <c r="G13" s="54">
        <v>0</v>
      </c>
      <c r="H13" s="55">
        <v>415.7361145019531</v>
      </c>
      <c r="I13" s="56">
        <v>25.925926208496094</v>
      </c>
      <c r="J13" s="54">
        <v>0.019640624523162842</v>
      </c>
      <c r="K13" s="54">
        <v>46.846065521240234</v>
      </c>
      <c r="L13" s="54">
        <v>1.5009223222732544</v>
      </c>
      <c r="M13" s="54">
        <v>110.22135925292969</v>
      </c>
      <c r="N13" s="54">
        <v>113.93952178955078</v>
      </c>
      <c r="O13" s="54">
        <v>19.60354232788086</v>
      </c>
      <c r="P13" s="54">
        <v>19.7392578125</v>
      </c>
      <c r="Q13" s="54"/>
      <c r="R13" s="54">
        <v>2.57421875</v>
      </c>
      <c r="S13" s="54">
        <v>141.03009033203125</v>
      </c>
      <c r="T13" s="54">
        <v>1.6100000143051147</v>
      </c>
      <c r="U13" s="54">
        <v>0.29977989196777344</v>
      </c>
      <c r="V13" s="54">
        <v>0.2998749911785126</v>
      </c>
      <c r="W13" s="54">
        <v>90.3139419555664</v>
      </c>
      <c r="X13" s="54">
        <v>0.5308247804641724</v>
      </c>
      <c r="Y13" s="54" t="s">
        <v>82</v>
      </c>
      <c r="Z13" s="54">
        <v>0.7518518567085266</v>
      </c>
      <c r="AA13" s="54">
        <v>149.71788024902344</v>
      </c>
      <c r="AB13" s="54">
        <v>163.65740966796875</v>
      </c>
      <c r="AC13" s="54">
        <v>0.7816478610038757</v>
      </c>
      <c r="AD13" s="54">
        <v>156.30062866210938</v>
      </c>
      <c r="AE13" s="57"/>
      <c r="AF13" s="57"/>
      <c r="AG13" s="57"/>
      <c r="AH13" s="57"/>
      <c r="AI13" s="57"/>
      <c r="AJ13" s="57"/>
      <c r="AK13" s="57"/>
      <c r="AL13" s="54">
        <v>0</v>
      </c>
      <c r="AM13" s="58">
        <v>0.004903320223093033</v>
      </c>
      <c r="AN13" s="59">
        <v>51.83738327026367</v>
      </c>
      <c r="AO13" s="60"/>
      <c r="AP13" s="61">
        <v>-80.65682983398438</v>
      </c>
      <c r="AQ13" s="61">
        <v>0.3064236044883728</v>
      </c>
      <c r="AR13" s="62">
        <v>0.00028802489396184683</v>
      </c>
    </row>
    <row r="14" spans="2:47" ht="13.5" customHeight="1" x14ac:dyDescent="0.25">
      <c r="B14" s="14">
        <v>0.66666666666666696</v>
      </c>
      <c r="C14" s="54">
        <v>5.56640625</v>
      </c>
      <c r="D14" s="54">
        <v>21.804471969604492</v>
      </c>
      <c r="E14" s="54">
        <v>414.8917236328125</v>
      </c>
      <c r="F14" s="54">
        <v>0.2690781354904175</v>
      </c>
      <c r="G14" s="54">
        <v>0</v>
      </c>
      <c r="H14" s="55">
        <v>416.0981750488281</v>
      </c>
      <c r="I14" s="56">
        <v>18.963397979736328</v>
      </c>
      <c r="J14" s="54">
        <v>0.01996191404759884</v>
      </c>
      <c r="K14" s="54">
        <v>44.99421310424805</v>
      </c>
      <c r="L14" s="54">
        <v>1.4333767890930176</v>
      </c>
      <c r="M14" s="54">
        <v>109.71680450439453</v>
      </c>
      <c r="N14" s="54">
        <v>114.27951049804688</v>
      </c>
      <c r="O14" s="54">
        <v>19.874286651611328</v>
      </c>
      <c r="P14" s="54">
        <v>19.7431640625</v>
      </c>
      <c r="Q14" s="54"/>
      <c r="R14" s="54">
        <v>2.5625</v>
      </c>
      <c r="S14" s="54">
        <v>141.03732299804688</v>
      </c>
      <c r="T14" s="54">
        <v>1.6100000143051147</v>
      </c>
      <c r="U14" s="54">
        <v>0.2996097207069397</v>
      </c>
      <c r="V14" s="54">
        <v>0.3000156283378601</v>
      </c>
      <c r="W14" s="54">
        <v>90.37181854248047</v>
      </c>
      <c r="X14" s="54">
        <v>0.5276617407798767</v>
      </c>
      <c r="Y14" s="54" t="s">
        <v>82</v>
      </c>
      <c r="Z14" s="54">
        <v>0.7409144043922424</v>
      </c>
      <c r="AA14" s="54">
        <v>149.88426208496094</v>
      </c>
      <c r="AB14" s="54">
        <v>163.8237762451172</v>
      </c>
      <c r="AC14" s="54">
        <v>0.8638599514961243</v>
      </c>
      <c r="AD14" s="54">
        <v>156.5176544189453</v>
      </c>
      <c r="AE14" s="57"/>
      <c r="AF14" s="57"/>
      <c r="AG14" s="57"/>
      <c r="AH14" s="57"/>
      <c r="AI14" s="57"/>
      <c r="AJ14" s="57"/>
      <c r="AK14" s="57"/>
      <c r="AL14" s="54">
        <v>0</v>
      </c>
      <c r="AM14" s="58">
        <v>0.003958984278142452</v>
      </c>
      <c r="AN14" s="59">
        <v>50.15552520751953</v>
      </c>
      <c r="AO14" s="60"/>
      <c r="AP14" s="61">
        <v>-80.77980041503906</v>
      </c>
      <c r="AQ14" s="61">
        <v>0.28653067350387573</v>
      </c>
      <c r="AR14" s="62">
        <v>0.0002901306143030524</v>
      </c>
    </row>
    <row r="15" spans="2:47" ht="13.5" customHeight="1" x14ac:dyDescent="0.25">
      <c r="B15" s="14">
        <v>0.70833333333333304</v>
      </c>
      <c r="C15" s="54">
        <v>6.325954914093018</v>
      </c>
      <c r="D15" s="54">
        <v>21.39756965637207</v>
      </c>
      <c r="E15" s="54">
        <v>415.03179931640625</v>
      </c>
      <c r="F15" s="54">
        <v>0.3375625014305115</v>
      </c>
      <c r="G15" s="54">
        <v>0</v>
      </c>
      <c r="H15" s="55">
        <v>416.2621154785156</v>
      </c>
      <c r="I15" s="56">
        <v>0</v>
      </c>
      <c r="J15" s="54">
        <v>0.019401367753744125</v>
      </c>
      <c r="K15" s="54">
        <v>42.01388931274414</v>
      </c>
      <c r="L15" s="54">
        <v>1.3066949844360352</v>
      </c>
      <c r="M15" s="54">
        <v>108.94640350341797</v>
      </c>
      <c r="N15" s="54">
        <v>112.83275604248047</v>
      </c>
      <c r="O15" s="54">
        <v>19.558990478515625</v>
      </c>
      <c r="P15" s="54">
        <v>19.748046875</v>
      </c>
      <c r="Q15" s="54"/>
      <c r="R15" s="54">
        <v>2.5570068359375</v>
      </c>
      <c r="S15" s="54">
        <v>140.9866943359375</v>
      </c>
      <c r="T15" s="54">
        <v>1.6100000143051147</v>
      </c>
      <c r="U15" s="54">
        <v>0.2972943186759949</v>
      </c>
      <c r="V15" s="54">
        <v>0.30000001192092896</v>
      </c>
      <c r="W15" s="54">
        <v>90.1186294555664</v>
      </c>
      <c r="X15" s="54">
        <v>0.5317038893699646</v>
      </c>
      <c r="Y15" s="54" t="s">
        <v>82</v>
      </c>
      <c r="Z15" s="54">
        <v>0.7530093193054199</v>
      </c>
      <c r="AA15" s="54">
        <v>149.60214233398438</v>
      </c>
      <c r="AB15" s="54">
        <v>163.729736328125</v>
      </c>
      <c r="AC15" s="54">
        <v>0.7229817509651184</v>
      </c>
      <c r="AD15" s="54">
        <v>156.70571899414062</v>
      </c>
      <c r="AE15" s="57"/>
      <c r="AF15" s="57"/>
      <c r="AG15" s="57"/>
      <c r="AH15" s="57"/>
      <c r="AI15" s="57"/>
      <c r="AJ15" s="57"/>
      <c r="AK15" s="57"/>
      <c r="AL15" s="54">
        <v>0</v>
      </c>
      <c r="AM15" s="58">
        <v>0.0028212890028953552</v>
      </c>
      <c r="AN15" s="59">
        <v>49.09577560424805</v>
      </c>
      <c r="AO15" s="60"/>
      <c r="AP15" s="61">
        <v>-80.77980041503906</v>
      </c>
      <c r="AQ15" s="61">
        <v>0.2940538227558136</v>
      </c>
      <c r="AR15" s="62">
        <v>0.0002886200090870261</v>
      </c>
    </row>
    <row r="16" spans="2:47" ht="13.5" customHeight="1" x14ac:dyDescent="0.25">
      <c r="B16" s="14">
        <v>0.75</v>
      </c>
      <c r="C16" s="54">
        <v>5.096209526062012</v>
      </c>
      <c r="D16" s="54">
        <v>21.01779556274414</v>
      </c>
      <c r="E16" s="54">
        <v>416.59991455078125</v>
      </c>
      <c r="F16" s="54">
        <v>0.2672187387943268</v>
      </c>
      <c r="G16" s="54">
        <v>0</v>
      </c>
      <c r="H16" s="55">
        <v>416.5260009765625</v>
      </c>
      <c r="I16" s="56">
        <v>20.938222885131836</v>
      </c>
      <c r="J16" s="54">
        <v>0.01973632723093033</v>
      </c>
      <c r="K16" s="54">
        <v>44.58911895751953</v>
      </c>
      <c r="L16" s="54">
        <v>1.416196584701538</v>
      </c>
      <c r="M16" s="54">
        <v>108.52322387695312</v>
      </c>
      <c r="N16" s="54">
        <v>115.06076049804688</v>
      </c>
      <c r="O16" s="54">
        <v>19.603456497192383</v>
      </c>
      <c r="P16" s="54">
        <v>19.771484375</v>
      </c>
      <c r="Q16" s="54"/>
      <c r="R16" s="54">
        <v>2.5576171875</v>
      </c>
      <c r="S16" s="54">
        <v>141.05178833007812</v>
      </c>
      <c r="T16" s="54">
        <v>1.6100000143051147</v>
      </c>
      <c r="U16" s="54">
        <v>0.298941433429718</v>
      </c>
      <c r="V16" s="54">
        <v>0.3000781238079071</v>
      </c>
      <c r="W16" s="54">
        <v>90.7986068725586</v>
      </c>
      <c r="X16" s="54">
        <v>0.5304214954376221</v>
      </c>
      <c r="Y16" s="54" t="s">
        <v>82</v>
      </c>
      <c r="Z16" s="54">
        <v>0.7461227178573608</v>
      </c>
      <c r="AA16" s="54">
        <v>149.69618225097656</v>
      </c>
      <c r="AB16" s="54">
        <v>163.87442016601562</v>
      </c>
      <c r="AC16" s="54">
        <v>0.35105612874031067</v>
      </c>
      <c r="AD16" s="54">
        <v>156.7925262451172</v>
      </c>
      <c r="AE16" s="57"/>
      <c r="AF16" s="57"/>
      <c r="AG16" s="57"/>
      <c r="AH16" s="57"/>
      <c r="AI16" s="57"/>
      <c r="AJ16" s="57"/>
      <c r="AK16" s="57"/>
      <c r="AL16" s="54">
        <v>2.788628339767456</v>
      </c>
      <c r="AM16" s="58">
        <v>0.002947265515103936</v>
      </c>
      <c r="AN16" s="59">
        <v>48.37239456176758</v>
      </c>
      <c r="AO16" s="60"/>
      <c r="AP16" s="61">
        <v>-80.72193145751953</v>
      </c>
      <c r="AQ16" s="61">
        <v>0.29029223322868347</v>
      </c>
      <c r="AR16" s="62">
        <v>0.0002897033700719476</v>
      </c>
    </row>
    <row r="17" spans="2:44" ht="13.5" customHeight="1" x14ac:dyDescent="0.25">
      <c r="B17" s="14">
        <v>0.79166666666666696</v>
      </c>
      <c r="C17" s="54">
        <v>6.040219783782959</v>
      </c>
      <c r="D17" s="54">
        <v>20.84418487548828</v>
      </c>
      <c r="E17" s="54">
        <v>416.96954345703125</v>
      </c>
      <c r="F17" s="54">
        <v>0.3370937407016754</v>
      </c>
      <c r="G17" s="54">
        <v>0</v>
      </c>
      <c r="H17" s="55">
        <v>417.1152648925781</v>
      </c>
      <c r="I17" s="56">
        <v>20.482494354248047</v>
      </c>
      <c r="J17" s="54">
        <v>0.019823241978883743</v>
      </c>
      <c r="K17" s="54">
        <v>43.410011291503906</v>
      </c>
      <c r="L17" s="54">
        <v>1.3609484434127808</v>
      </c>
      <c r="M17" s="54">
        <v>109.58659362792969</v>
      </c>
      <c r="N17" s="54">
        <v>113.82378387451172</v>
      </c>
      <c r="O17" s="54">
        <v>19.63402557373047</v>
      </c>
      <c r="P17" s="54">
        <v>19.775390625</v>
      </c>
      <c r="Q17" s="54"/>
      <c r="R17" s="54">
        <v>2.6181640625</v>
      </c>
      <c r="S17" s="54">
        <v>141.06625366210938</v>
      </c>
      <c r="T17" s="54">
        <v>1.6100000143051147</v>
      </c>
      <c r="U17" s="54">
        <v>0.2991950809955597</v>
      </c>
      <c r="V17" s="54">
        <v>0.2998749911785126</v>
      </c>
      <c r="W17" s="54">
        <v>90.35734558105469</v>
      </c>
      <c r="X17" s="54">
        <v>0.5282596349716187</v>
      </c>
      <c r="Y17" s="54" t="s">
        <v>82</v>
      </c>
      <c r="Z17" s="54">
        <v>0.7424768805503845</v>
      </c>
      <c r="AA17" s="54">
        <v>149.52256774902344</v>
      </c>
      <c r="AB17" s="54">
        <v>163.8310089111328</v>
      </c>
      <c r="AC17" s="54">
        <v>0.35022425651550293</v>
      </c>
      <c r="AD17" s="54">
        <v>156.48870849609375</v>
      </c>
      <c r="AE17" s="57"/>
      <c r="AF17" s="57"/>
      <c r="AG17" s="57"/>
      <c r="AH17" s="57"/>
      <c r="AI17" s="57"/>
      <c r="AJ17" s="57"/>
      <c r="AK17" s="57"/>
      <c r="AL17" s="54">
        <v>0</v>
      </c>
      <c r="AM17" s="58">
        <v>0.002463867189362645</v>
      </c>
      <c r="AN17" s="59">
        <v>46.6688346862793</v>
      </c>
      <c r="AO17" s="60"/>
      <c r="AP17" s="61">
        <v>-80.46151733398438</v>
      </c>
      <c r="AQ17" s="61">
        <v>0.30041956901550293</v>
      </c>
      <c r="AR17" s="62">
        <v>0.00029014586471021175</v>
      </c>
    </row>
    <row r="18" spans="2:44" ht="13.5" customHeight="1" x14ac:dyDescent="0.25">
      <c r="B18" s="42">
        <v>0.83333333333333404</v>
      </c>
      <c r="C18" s="63">
        <v>5.899160861968994</v>
      </c>
      <c r="D18" s="63">
        <v>20.32335090637207</v>
      </c>
      <c r="E18" s="63">
        <v>417.2153625488281</v>
      </c>
      <c r="F18" s="63">
        <v>0.30342188477516174</v>
      </c>
      <c r="G18" s="63">
        <v>0</v>
      </c>
      <c r="H18" s="64">
        <v>417.37054443359375</v>
      </c>
      <c r="I18" s="65">
        <v>23.140914916992188</v>
      </c>
      <c r="J18" s="63">
        <v>0.019385742023587227</v>
      </c>
      <c r="K18" s="63">
        <v>41.81134033203125</v>
      </c>
      <c r="L18" s="63">
        <v>1.3485605716705322</v>
      </c>
      <c r="M18" s="63">
        <v>101.5842056274414</v>
      </c>
      <c r="N18" s="63">
        <v>109.10011291503906</v>
      </c>
      <c r="O18" s="63">
        <v>19.763748168945312</v>
      </c>
      <c r="P18" s="63">
        <v>19.8037109375</v>
      </c>
      <c r="Q18" s="63"/>
      <c r="R18" s="63">
        <v>2.649658203125</v>
      </c>
      <c r="S18" s="63">
        <v>141.1096649169922</v>
      </c>
      <c r="T18" s="63">
        <v>1.6100000143051147</v>
      </c>
      <c r="U18" s="63">
        <v>0.29981300234794617</v>
      </c>
      <c r="V18" s="63">
        <v>0.2999531328678131</v>
      </c>
      <c r="W18" s="63">
        <v>90.69733428955078</v>
      </c>
      <c r="X18" s="63">
        <v>0.5324965119361877</v>
      </c>
      <c r="Y18" s="63">
        <v>0.5387859344482422</v>
      </c>
      <c r="Z18" s="63">
        <v>0.7457176446914673</v>
      </c>
      <c r="AA18" s="63">
        <v>149.8336181640625</v>
      </c>
      <c r="AB18" s="63">
        <v>163.51995849609375</v>
      </c>
      <c r="AC18" s="63">
        <v>0.33600983023643494</v>
      </c>
      <c r="AD18" s="63">
        <v>155.859375</v>
      </c>
      <c r="AE18" s="66">
        <v>33.790000915527344</v>
      </c>
      <c r="AF18" s="66"/>
      <c r="AG18" s="66"/>
      <c r="AH18" s="66">
        <v>17.829999923706055</v>
      </c>
      <c r="AI18" s="66"/>
      <c r="AJ18" s="66"/>
      <c r="AK18" s="66">
        <v>6.53000020980835</v>
      </c>
      <c r="AL18" s="63">
        <v>0</v>
      </c>
      <c r="AM18" s="67">
        <v>0.007089843973517418</v>
      </c>
      <c r="AN18" s="68">
        <v>64.51822662353516</v>
      </c>
      <c r="AO18" s="60"/>
      <c r="AP18" s="61">
        <v>-80.67129516601562</v>
      </c>
      <c r="AQ18" s="61">
        <v>0.29803240299224854</v>
      </c>
      <c r="AR18" s="69">
        <v>0.00029379272018559277</v>
      </c>
    </row>
    <row r="19" spans="2:44" ht="18" customHeight="1" x14ac:dyDescent="0.25">
      <c r="B19" s="152" t="s">
        <v>181</v>
      </c>
      <c r="C19" s="36" t="s">
        <v>168</v>
      </c>
      <c r="D19" s="36" t="s">
        <v>171</v>
      </c>
      <c r="E19" s="111" t="s">
        <v>17</v>
      </c>
      <c r="F19" s="166"/>
      <c r="G19" s="167"/>
      <c r="H19" s="168" t="s">
        <v>108</v>
      </c>
      <c r="I19" s="166"/>
      <c r="J19" s="166"/>
      <c r="K19" s="166"/>
      <c r="L19" s="131"/>
      <c r="M19" s="169" t="s">
        <v>123</v>
      </c>
      <c r="N19" s="166"/>
      <c r="O19" s="166"/>
      <c r="P19" s="166"/>
      <c r="Q19" s="167"/>
      <c r="R19" s="168" t="s">
        <v>147</v>
      </c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7"/>
      <c r="AG19" s="130" t="s">
        <v>24</v>
      </c>
      <c r="AH19" s="167"/>
      <c r="AI19" s="178" t="s">
        <v>173</v>
      </c>
      <c r="AJ19" s="179"/>
      <c r="AK19" s="179"/>
      <c r="AL19" s="179"/>
      <c r="AM19" s="180"/>
      <c r="AN19" s="130" t="s">
        <v>47</v>
      </c>
      <c r="AO19" s="170"/>
      <c r="AP19" s="166" t="s">
        <v>180</v>
      </c>
      <c r="AQ19" s="171"/>
      <c r="AR19" s="172"/>
    </row>
    <row r="20" spans="2:44" ht="20.15" customHeight="1" x14ac:dyDescent="0.25">
      <c r="B20" s="153"/>
      <c r="C20" s="3" t="s">
        <v>169</v>
      </c>
      <c r="D20" s="3" t="s">
        <v>113</v>
      </c>
      <c r="E20" s="3" t="s">
        <v>15</v>
      </c>
      <c r="F20" s="122" t="s">
        <v>100</v>
      </c>
      <c r="G20" s="126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24" t="s">
        <v>148</v>
      </c>
      <c r="AE20" s="126"/>
      <c r="AF20" s="17" t="s">
        <v>151</v>
      </c>
      <c r="AG20" s="17" t="s">
        <v>153</v>
      </c>
      <c r="AH20" s="17" t="s">
        <v>155</v>
      </c>
      <c r="AI20" s="140" t="s">
        <v>89</v>
      </c>
      <c r="AJ20" s="141"/>
      <c r="AK20" s="140" t="s">
        <v>92</v>
      </c>
      <c r="AL20" s="141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53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14">
        <v>0.33333333333333331</v>
      </c>
      <c r="C22" s="54">
        <v>-80.23726654052734</v>
      </c>
      <c r="D22" s="54">
        <v>-81.08362579345703</v>
      </c>
      <c r="E22" s="54">
        <v>91.7751693725586</v>
      </c>
      <c r="F22" s="54">
        <v>0.048828125</v>
      </c>
      <c r="G22" s="54"/>
      <c r="H22" s="54"/>
      <c r="I22" s="54"/>
      <c r="J22" s="54"/>
      <c r="K22" s="54"/>
      <c r="L22" s="55"/>
      <c r="M22" s="70">
        <v>27.502893447875977</v>
      </c>
      <c r="N22" s="54">
        <v>43.53660202026367</v>
      </c>
      <c r="O22" s="54">
        <v>39.5</v>
      </c>
      <c r="P22" s="54">
        <v>22</v>
      </c>
      <c r="Q22" s="54">
        <v>3.524305582046509</v>
      </c>
      <c r="R22" s="54">
        <v>19.903789520263672</v>
      </c>
      <c r="S22" s="71">
        <v>92.1694107055664</v>
      </c>
      <c r="T22" s="71">
        <v>0</v>
      </c>
      <c r="U22" s="71">
        <v>0</v>
      </c>
      <c r="V22" s="71">
        <v>36.80555725097656</v>
      </c>
      <c r="W22" s="71">
        <v>79.07986450195312</v>
      </c>
      <c r="X22" s="71">
        <v>28</v>
      </c>
      <c r="Y22" s="71">
        <v>70.66044616699219</v>
      </c>
      <c r="Z22" s="71">
        <v>14.950448036193848</v>
      </c>
      <c r="AA22" s="71">
        <v>18.23459243774414</v>
      </c>
      <c r="AB22" s="71"/>
      <c r="AC22" s="58"/>
      <c r="AD22" s="58">
        <v>1.5482856035232544</v>
      </c>
      <c r="AE22" s="58"/>
      <c r="AF22" s="58">
        <v>22.175201416015625</v>
      </c>
      <c r="AG22" s="58">
        <v>19.1116886138916</v>
      </c>
      <c r="AH22" s="58"/>
      <c r="AI22" s="72"/>
      <c r="AJ22" s="72"/>
      <c r="AK22" s="72"/>
      <c r="AL22" s="72"/>
      <c r="AM22" s="72"/>
      <c r="AN22" s="58">
        <v>42.954280853271484</v>
      </c>
      <c r="AO22" s="59">
        <v>50</v>
      </c>
      <c r="AP22" s="60">
        <v>23.618345260620117</v>
      </c>
      <c r="AQ22" s="61">
        <v>40.067996978759766</v>
      </c>
      <c r="AR22" s="62">
        <v>0.09766387939453125</v>
      </c>
    </row>
    <row r="23" spans="2:44" ht="13.5" customHeight="1" x14ac:dyDescent="0.25">
      <c r="B23" s="14">
        <v>0.375</v>
      </c>
      <c r="C23" s="54">
        <v>-80.46875</v>
      </c>
      <c r="D23" s="54">
        <v>-81.1993637084961</v>
      </c>
      <c r="E23" s="54">
        <v>94.25274658203125</v>
      </c>
      <c r="F23" s="54">
        <v>0.07421875</v>
      </c>
      <c r="G23" s="54">
        <v>6.888198549859226E-05</v>
      </c>
      <c r="H23" s="54"/>
      <c r="I23" s="54"/>
      <c r="J23" s="54"/>
      <c r="K23" s="54"/>
      <c r="L23" s="55"/>
      <c r="M23" s="70">
        <v>27.260560989379883</v>
      </c>
      <c r="N23" s="54">
        <v>42.69024658203125</v>
      </c>
      <c r="O23" s="54">
        <v>39.5</v>
      </c>
      <c r="P23" s="54">
        <v>22</v>
      </c>
      <c r="Q23" s="54">
        <v>3.527777910232544</v>
      </c>
      <c r="R23" s="54">
        <v>19.74826431274414</v>
      </c>
      <c r="S23" s="71">
        <v>92.73726654052734</v>
      </c>
      <c r="T23" s="71">
        <v>37.5</v>
      </c>
      <c r="U23" s="71">
        <v>71.72562408447266</v>
      </c>
      <c r="V23" s="71">
        <v>17.371963500976562</v>
      </c>
      <c r="W23" s="71">
        <v>20.13888931274414</v>
      </c>
      <c r="X23" s="71">
        <v>28</v>
      </c>
      <c r="Y23" s="71">
        <v>0</v>
      </c>
      <c r="Z23" s="71">
        <v>16.008390426635742</v>
      </c>
      <c r="AA23" s="71">
        <v>84.61371612548828</v>
      </c>
      <c r="AB23" s="71"/>
      <c r="AC23" s="58"/>
      <c r="AD23" s="58">
        <v>0</v>
      </c>
      <c r="AE23" s="58">
        <v>0.0010947876144200563</v>
      </c>
      <c r="AF23" s="58">
        <v>22.31987762451172</v>
      </c>
      <c r="AG23" s="58">
        <v>25.50998306274414</v>
      </c>
      <c r="AH23" s="58"/>
      <c r="AI23" s="72"/>
      <c r="AJ23" s="72"/>
      <c r="AK23" s="72"/>
      <c r="AL23" s="72"/>
      <c r="AM23" s="72"/>
      <c r="AN23" s="58">
        <v>45.847801208496094</v>
      </c>
      <c r="AO23" s="59">
        <v>50</v>
      </c>
      <c r="AP23" s="60">
        <v>23.726852416992188</v>
      </c>
      <c r="AQ23" s="61">
        <v>39.793113708496094</v>
      </c>
      <c r="AR23" s="62">
        <v>0.075958251953125</v>
      </c>
    </row>
    <row r="24" spans="2:44" ht="13.5" customHeight="1" x14ac:dyDescent="0.25">
      <c r="B24" s="14">
        <v>0.41666666666666702</v>
      </c>
      <c r="C24" s="54">
        <v>-80.46875</v>
      </c>
      <c r="D24" s="54">
        <v>-81.18489837646484</v>
      </c>
      <c r="E24" s="54">
        <v>96.27821350097656</v>
      </c>
      <c r="F24" s="54">
        <v>0.0759548619389534</v>
      </c>
      <c r="G24" s="54">
        <v>7.180785905802622E-05</v>
      </c>
      <c r="H24" s="54"/>
      <c r="I24" s="54"/>
      <c r="J24" s="54"/>
      <c r="K24" s="54"/>
      <c r="L24" s="55"/>
      <c r="M24" s="70">
        <v>27.079715728759766</v>
      </c>
      <c r="N24" s="54">
        <v>42.74811935424805</v>
      </c>
      <c r="O24" s="54">
        <v>39.5</v>
      </c>
      <c r="P24" s="54">
        <v>22</v>
      </c>
      <c r="Q24" s="54">
        <v>3.507378578186035</v>
      </c>
      <c r="R24" s="54">
        <v>19.983362197875977</v>
      </c>
      <c r="S24" s="71">
        <v>92.61791229248047</v>
      </c>
      <c r="T24" s="71">
        <v>37.5</v>
      </c>
      <c r="U24" s="71">
        <v>72.07881164550781</v>
      </c>
      <c r="V24" s="71">
        <v>17.23090362548828</v>
      </c>
      <c r="W24" s="71">
        <v>20.214845657348633</v>
      </c>
      <c r="X24" s="71">
        <v>28</v>
      </c>
      <c r="Y24" s="71">
        <v>0</v>
      </c>
      <c r="Z24" s="71">
        <v>19.03211784362793</v>
      </c>
      <c r="AA24" s="71">
        <v>67.138671875</v>
      </c>
      <c r="AB24" s="71"/>
      <c r="AC24" s="58"/>
      <c r="AD24" s="58">
        <v>1.5482856035232544</v>
      </c>
      <c r="AE24" s="58">
        <v>0.0012775268405675888</v>
      </c>
      <c r="AF24" s="58">
        <v>22.41753387451172</v>
      </c>
      <c r="AG24" s="58">
        <v>18.507667541503906</v>
      </c>
      <c r="AH24" s="58"/>
      <c r="AI24" s="72"/>
      <c r="AJ24" s="72"/>
      <c r="AK24" s="72"/>
      <c r="AL24" s="72"/>
      <c r="AM24" s="72"/>
      <c r="AN24" s="58">
        <v>50.87528991699219</v>
      </c>
      <c r="AO24" s="59">
        <v>50</v>
      </c>
      <c r="AP24" s="60">
        <v>24.016202926635742</v>
      </c>
      <c r="AQ24" s="61">
        <v>40.143951416015625</v>
      </c>
      <c r="AR24" s="62">
        <v>0.0868072509765625</v>
      </c>
    </row>
    <row r="25" spans="2:44" ht="13.5" customHeight="1" x14ac:dyDescent="0.25">
      <c r="B25" s="14">
        <v>0.45833333333333298</v>
      </c>
      <c r="C25" s="54">
        <v>-80.17939758300781</v>
      </c>
      <c r="D25" s="54">
        <v>-81.19213104248047</v>
      </c>
      <c r="E25" s="54">
        <v>95.82247924804688</v>
      </c>
      <c r="F25" s="54">
        <v>0.0466579869389534</v>
      </c>
      <c r="G25" s="54">
        <v>6.97593713994138E-05</v>
      </c>
      <c r="H25" s="54"/>
      <c r="I25" s="54"/>
      <c r="J25" s="54"/>
      <c r="K25" s="54"/>
      <c r="L25" s="55"/>
      <c r="M25" s="70">
        <v>26.569732666015625</v>
      </c>
      <c r="N25" s="54">
        <v>42.84577560424805</v>
      </c>
      <c r="O25" s="54">
        <v>39.5</v>
      </c>
      <c r="P25" s="54">
        <v>22</v>
      </c>
      <c r="Q25" s="54">
        <v>3.526909828186035</v>
      </c>
      <c r="R25" s="54">
        <v>20.211227416992188</v>
      </c>
      <c r="S25" s="71">
        <v>91.12051391601562</v>
      </c>
      <c r="T25" s="71">
        <v>37.5</v>
      </c>
      <c r="U25" s="71">
        <v>72.15730285644531</v>
      </c>
      <c r="V25" s="71">
        <v>17.04644203186035</v>
      </c>
      <c r="W25" s="71">
        <v>20.44270896911621</v>
      </c>
      <c r="X25" s="71">
        <v>28</v>
      </c>
      <c r="Y25" s="71">
        <v>0</v>
      </c>
      <c r="Z25" s="71">
        <v>20.802589416503906</v>
      </c>
      <c r="AA25" s="71">
        <v>63.205299377441406</v>
      </c>
      <c r="AB25" s="71"/>
      <c r="AC25" s="58"/>
      <c r="AD25" s="58">
        <v>1.54833984375</v>
      </c>
      <c r="AE25" s="58">
        <v>0.001134704565629363</v>
      </c>
      <c r="AF25" s="58">
        <v>22.5296573638916</v>
      </c>
      <c r="AG25" s="58">
        <v>15.40798568725586</v>
      </c>
      <c r="AH25" s="58"/>
      <c r="AI25" s="72"/>
      <c r="AJ25" s="72"/>
      <c r="AK25" s="72"/>
      <c r="AL25" s="72"/>
      <c r="AM25" s="72"/>
      <c r="AN25" s="58">
        <v>50.12297439575195</v>
      </c>
      <c r="AO25" s="59">
        <v>50</v>
      </c>
      <c r="AP25" s="60">
        <v>24.296512603759766</v>
      </c>
      <c r="AQ25" s="61">
        <v>40.436920166015625</v>
      </c>
      <c r="AR25" s="62">
        <v>0.075958251953125</v>
      </c>
    </row>
    <row r="26" spans="2:44" ht="13.5" customHeight="1" x14ac:dyDescent="0.25">
      <c r="B26" s="14">
        <v>0.5</v>
      </c>
      <c r="C26" s="54">
        <v>-80.56278991699219</v>
      </c>
      <c r="D26" s="54">
        <v>-81.11978912353516</v>
      </c>
      <c r="E26" s="54">
        <v>95.88758850097656</v>
      </c>
      <c r="F26" s="54">
        <v>0.07523148506879807</v>
      </c>
      <c r="G26" s="54">
        <v>6.855010724393651E-05</v>
      </c>
      <c r="H26" s="54"/>
      <c r="I26" s="54"/>
      <c r="J26" s="54"/>
      <c r="K26" s="54"/>
      <c r="L26" s="55"/>
      <c r="M26" s="70">
        <v>26.001880645751953</v>
      </c>
      <c r="N26" s="54">
        <v>43.18214797973633</v>
      </c>
      <c r="O26" s="54">
        <v>39.5</v>
      </c>
      <c r="P26" s="54">
        <v>22</v>
      </c>
      <c r="Q26" s="54">
        <v>3.4986979961395264</v>
      </c>
      <c r="R26" s="54">
        <v>20.33420181274414</v>
      </c>
      <c r="S26" s="71">
        <v>93.8295669555664</v>
      </c>
      <c r="T26" s="71">
        <v>37.5</v>
      </c>
      <c r="U26" s="71">
        <v>72.51609802246094</v>
      </c>
      <c r="V26" s="71">
        <v>16.96506118774414</v>
      </c>
      <c r="W26" s="71">
        <v>20.81163215637207</v>
      </c>
      <c r="X26" s="71">
        <v>28</v>
      </c>
      <c r="Y26" s="71">
        <v>0</v>
      </c>
      <c r="Z26" s="71">
        <v>22.061269760131836</v>
      </c>
      <c r="AA26" s="71">
        <v>61.669925689697266</v>
      </c>
      <c r="AB26" s="71"/>
      <c r="AC26" s="58"/>
      <c r="AD26" s="58">
        <v>1.5484483242034912</v>
      </c>
      <c r="AE26" s="58">
        <v>0.0012437744298949838</v>
      </c>
      <c r="AF26" s="58">
        <v>22.62369728088379</v>
      </c>
      <c r="AG26" s="58">
        <v>6.0546875</v>
      </c>
      <c r="AH26" s="58"/>
      <c r="AI26" s="72">
        <v>6.880000114440918</v>
      </c>
      <c r="AJ26" s="72"/>
      <c r="AK26" s="72"/>
      <c r="AL26" s="72"/>
      <c r="AM26" s="72"/>
      <c r="AN26" s="58">
        <v>48.972801208496094</v>
      </c>
      <c r="AO26" s="59">
        <v>50</v>
      </c>
      <c r="AP26" s="60">
        <v>24.63107681274414</v>
      </c>
      <c r="AQ26" s="61">
        <v>40.87818145751953</v>
      </c>
      <c r="AR26" s="62">
        <v>0.075958251953125</v>
      </c>
    </row>
    <row r="27" spans="2:44" ht="13.5" customHeight="1" x14ac:dyDescent="0.25">
      <c r="B27" s="14">
        <v>0.54166666666666596</v>
      </c>
      <c r="C27" s="54">
        <v>-80.44705200195312</v>
      </c>
      <c r="D27" s="54">
        <v>-81.08362579345703</v>
      </c>
      <c r="E27" s="54">
        <v>97.75752258300781</v>
      </c>
      <c r="F27" s="54">
        <v>0.07371238619089127</v>
      </c>
      <c r="G27" s="54">
        <v>7.183456182247028E-05</v>
      </c>
      <c r="H27" s="54"/>
      <c r="I27" s="54"/>
      <c r="J27" s="54"/>
      <c r="K27" s="54"/>
      <c r="L27" s="55"/>
      <c r="M27" s="70">
        <v>25.491897583007812</v>
      </c>
      <c r="N27" s="54">
        <v>43.17491149902344</v>
      </c>
      <c r="O27" s="54">
        <v>39.5</v>
      </c>
      <c r="P27" s="54">
        <v>22</v>
      </c>
      <c r="Q27" s="54">
        <v>3.4869792461395264</v>
      </c>
      <c r="R27" s="54">
        <v>20.601852416992188</v>
      </c>
      <c r="S27" s="71">
        <v>92.93619537353516</v>
      </c>
      <c r="T27" s="71">
        <v>50</v>
      </c>
      <c r="U27" s="71">
        <v>0</v>
      </c>
      <c r="V27" s="71">
        <v>13.688151359558105</v>
      </c>
      <c r="W27" s="71">
        <v>94.17317962646484</v>
      </c>
      <c r="X27" s="71">
        <v>28.5</v>
      </c>
      <c r="Y27" s="71">
        <v>71.77607727050781</v>
      </c>
      <c r="Z27" s="71">
        <v>18.37022590637207</v>
      </c>
      <c r="AA27" s="71">
        <v>21.70138931274414</v>
      </c>
      <c r="AB27" s="71"/>
      <c r="AC27" s="58"/>
      <c r="AD27" s="58">
        <v>1.5483940839767456</v>
      </c>
      <c r="AE27" s="58">
        <v>0.001116882311180234</v>
      </c>
      <c r="AF27" s="58">
        <v>22.67795181274414</v>
      </c>
      <c r="AG27" s="58">
        <v>24.08854103088379</v>
      </c>
      <c r="AH27" s="58"/>
      <c r="AI27" s="72"/>
      <c r="AJ27" s="72"/>
      <c r="AK27" s="72"/>
      <c r="AL27" s="72"/>
      <c r="AM27" s="72"/>
      <c r="AN27" s="58">
        <v>49.51533508300781</v>
      </c>
      <c r="AO27" s="59">
        <v>50</v>
      </c>
      <c r="AP27" s="60">
        <v>24.947555541992188</v>
      </c>
      <c r="AQ27" s="61">
        <v>41.43156814575195</v>
      </c>
      <c r="AR27" s="62">
        <v>0.075958251953125</v>
      </c>
    </row>
    <row r="28" spans="2:44" ht="13.5" customHeight="1" x14ac:dyDescent="0.25">
      <c r="B28" s="14">
        <v>0.58333333333333304</v>
      </c>
      <c r="C28" s="54">
        <v>-80.45428466796875</v>
      </c>
      <c r="D28" s="54">
        <v>-81.70572662353516</v>
      </c>
      <c r="E28" s="54">
        <v>98.6147232055664</v>
      </c>
      <c r="F28" s="54">
        <v>0.0740017369389534</v>
      </c>
      <c r="G28" s="54">
        <v>7.021713099675253E-05</v>
      </c>
      <c r="H28" s="54"/>
      <c r="I28" s="54"/>
      <c r="J28" s="54"/>
      <c r="K28" s="54"/>
      <c r="L28" s="55"/>
      <c r="M28" s="70">
        <v>25.025318145751953</v>
      </c>
      <c r="N28" s="54">
        <v>43.1061897277832</v>
      </c>
      <c r="O28" s="54">
        <v>39.5</v>
      </c>
      <c r="P28" s="54">
        <v>22</v>
      </c>
      <c r="Q28" s="54">
        <v>3.495225667953491</v>
      </c>
      <c r="R28" s="54">
        <v>20.797164916992188</v>
      </c>
      <c r="S28" s="71">
        <v>92.87109375</v>
      </c>
      <c r="T28" s="71">
        <v>50</v>
      </c>
      <c r="U28" s="71">
        <v>0</v>
      </c>
      <c r="V28" s="71">
        <v>17.76801300048828</v>
      </c>
      <c r="W28" s="71">
        <v>71.56033325195312</v>
      </c>
      <c r="X28" s="71">
        <v>28.5</v>
      </c>
      <c r="Y28" s="71">
        <v>71.73123168945312</v>
      </c>
      <c r="Z28" s="71">
        <v>16.98133659362793</v>
      </c>
      <c r="AA28" s="71">
        <v>20.03038215637207</v>
      </c>
      <c r="AB28" s="71"/>
      <c r="AC28" s="58"/>
      <c r="AD28" s="58">
        <v>0</v>
      </c>
      <c r="AE28" s="58">
        <v>0.0009596557356417179</v>
      </c>
      <c r="AF28" s="58">
        <v>22.746671676635742</v>
      </c>
      <c r="AG28" s="58">
        <v>18.070022583007812</v>
      </c>
      <c r="AH28" s="58"/>
      <c r="AI28" s="72"/>
      <c r="AJ28" s="72"/>
      <c r="AK28" s="72"/>
      <c r="AL28" s="72"/>
      <c r="AM28" s="72"/>
      <c r="AN28" s="58">
        <v>54.41984939575195</v>
      </c>
      <c r="AO28" s="59">
        <v>50</v>
      </c>
      <c r="AP28" s="60">
        <v>25.399667739868164</v>
      </c>
      <c r="AQ28" s="61">
        <v>40.379051208496094</v>
      </c>
      <c r="AR28" s="62">
        <v>0.10851287841796875</v>
      </c>
    </row>
    <row r="29" spans="2:44" ht="13.5" customHeight="1" x14ac:dyDescent="0.25">
      <c r="B29" s="14">
        <v>0.625</v>
      </c>
      <c r="C29" s="54">
        <v>-80.65682983398438</v>
      </c>
      <c r="D29" s="54">
        <v>-81.18489837646484</v>
      </c>
      <c r="E29" s="54">
        <v>98.47004699707031</v>
      </c>
      <c r="F29" s="54">
        <v>0.0481770820915699</v>
      </c>
      <c r="G29" s="54">
        <v>6.940841558389366E-05</v>
      </c>
      <c r="H29" s="54"/>
      <c r="I29" s="54"/>
      <c r="J29" s="54"/>
      <c r="K29" s="54"/>
      <c r="L29" s="55"/>
      <c r="M29" s="70">
        <v>24.486400604248047</v>
      </c>
      <c r="N29" s="54">
        <v>43.17852783203125</v>
      </c>
      <c r="O29" s="54">
        <v>39.5</v>
      </c>
      <c r="P29" s="54">
        <v>22</v>
      </c>
      <c r="Q29" s="54">
        <v>3.4830729961395264</v>
      </c>
      <c r="R29" s="54">
        <v>20.96354103088379</v>
      </c>
      <c r="S29" s="71">
        <v>92.58897399902344</v>
      </c>
      <c r="T29" s="71">
        <v>50</v>
      </c>
      <c r="U29" s="71">
        <v>0</v>
      </c>
      <c r="V29" s="71">
        <v>19.851346969604492</v>
      </c>
      <c r="W29" s="71">
        <v>64.36632537841797</v>
      </c>
      <c r="X29" s="71">
        <v>28.5</v>
      </c>
      <c r="Y29" s="71">
        <v>71.24909973144531</v>
      </c>
      <c r="Z29" s="71">
        <v>16.31944465637207</v>
      </c>
      <c r="AA29" s="71">
        <v>19.35763931274414</v>
      </c>
      <c r="AB29" s="71"/>
      <c r="AC29" s="58"/>
      <c r="AD29" s="58">
        <v>1.5484483242034912</v>
      </c>
      <c r="AE29" s="58">
        <v>0.0015137939481064677</v>
      </c>
      <c r="AF29" s="58">
        <v>22.786457061767578</v>
      </c>
      <c r="AG29" s="58">
        <v>9.700520515441895</v>
      </c>
      <c r="AH29" s="58"/>
      <c r="AI29" s="72"/>
      <c r="AJ29" s="72"/>
      <c r="AK29" s="72"/>
      <c r="AL29" s="72"/>
      <c r="AM29" s="72"/>
      <c r="AN29" s="58">
        <v>54.61516189575195</v>
      </c>
      <c r="AO29" s="59">
        <v>50</v>
      </c>
      <c r="AP29" s="60">
        <v>25.725187301635742</v>
      </c>
      <c r="AQ29" s="61">
        <v>42.1875</v>
      </c>
      <c r="AR29" s="62">
        <v>0.10851287841796875</v>
      </c>
    </row>
    <row r="30" spans="2:44" ht="13.5" customHeight="1" x14ac:dyDescent="0.25">
      <c r="B30" s="14">
        <v>0.66666666666666596</v>
      </c>
      <c r="C30" s="54">
        <v>-80.77980041503906</v>
      </c>
      <c r="D30" s="54">
        <v>-81.38744354248047</v>
      </c>
      <c r="E30" s="54">
        <v>100.58955383300781</v>
      </c>
      <c r="F30" s="54">
        <v>0.07429108768701553</v>
      </c>
      <c r="G30" s="54">
        <v>7.148361328290775E-05</v>
      </c>
      <c r="H30" s="54"/>
      <c r="I30" s="54"/>
      <c r="J30" s="54"/>
      <c r="K30" s="54"/>
      <c r="L30" s="55"/>
      <c r="M30" s="70">
        <v>23.987268447875977</v>
      </c>
      <c r="N30" s="54">
        <v>42.87109375</v>
      </c>
      <c r="O30" s="54">
        <v>39.5</v>
      </c>
      <c r="P30" s="54">
        <v>22</v>
      </c>
      <c r="Q30" s="54">
        <v>3.551649332046509</v>
      </c>
      <c r="R30" s="54">
        <v>21.08289909362793</v>
      </c>
      <c r="S30" s="71">
        <v>90.5056381225586</v>
      </c>
      <c r="T30" s="71">
        <v>50</v>
      </c>
      <c r="U30" s="71">
        <v>0</v>
      </c>
      <c r="V30" s="71">
        <v>21.33246612548828</v>
      </c>
      <c r="W30" s="71">
        <v>60.29731369018555</v>
      </c>
      <c r="X30" s="71">
        <v>29</v>
      </c>
      <c r="Y30" s="71">
        <v>72.24139404296875</v>
      </c>
      <c r="Z30" s="71">
        <v>16.03732681274414</v>
      </c>
      <c r="AA30" s="71">
        <v>18.9453125</v>
      </c>
      <c r="AB30" s="71"/>
      <c r="AC30" s="58"/>
      <c r="AD30" s="58">
        <v>0</v>
      </c>
      <c r="AE30" s="58">
        <v>0.001474548364058137</v>
      </c>
      <c r="AF30" s="58">
        <v>22.793691635131836</v>
      </c>
      <c r="AG30" s="58">
        <v>0.5823205709457397</v>
      </c>
      <c r="AH30" s="58"/>
      <c r="AI30" s="72"/>
      <c r="AJ30" s="72"/>
      <c r="AK30" s="72"/>
      <c r="AL30" s="72"/>
      <c r="AM30" s="72"/>
      <c r="AN30" s="58">
        <v>53.44328689575195</v>
      </c>
      <c r="AO30" s="59">
        <v>50</v>
      </c>
      <c r="AP30" s="60">
        <v>25.85177993774414</v>
      </c>
      <c r="AQ30" s="61">
        <v>40.36819839477539</v>
      </c>
      <c r="AR30" s="62">
        <v>0.09766387939453125</v>
      </c>
    </row>
    <row r="31" spans="2:44" ht="13.5" customHeight="1" x14ac:dyDescent="0.25">
      <c r="B31" s="14">
        <v>0.70833333333333304</v>
      </c>
      <c r="C31" s="54">
        <v>-80.77980041503906</v>
      </c>
      <c r="D31" s="54">
        <v>-81.12702941894531</v>
      </c>
      <c r="E31" s="54">
        <v>97.6381607055664</v>
      </c>
      <c r="F31" s="54">
        <v>0.07450810074806213</v>
      </c>
      <c r="G31" s="54">
        <v>7.064819510560483E-05</v>
      </c>
      <c r="H31" s="54"/>
      <c r="I31" s="54"/>
      <c r="J31" s="54"/>
      <c r="K31" s="54"/>
      <c r="L31" s="55"/>
      <c r="M31" s="70">
        <v>23.567707061767578</v>
      </c>
      <c r="N31" s="54">
        <v>43.35575866699219</v>
      </c>
      <c r="O31" s="54">
        <v>39.5</v>
      </c>
      <c r="P31" s="54">
        <v>22</v>
      </c>
      <c r="Q31" s="54">
        <v>3.406684160232544</v>
      </c>
      <c r="R31" s="54">
        <v>21.08289909362793</v>
      </c>
      <c r="S31" s="71">
        <v>92.54195404052734</v>
      </c>
      <c r="T31" s="71">
        <v>50</v>
      </c>
      <c r="U31" s="71">
        <v>0</v>
      </c>
      <c r="V31" s="71">
        <v>21.229385375976562</v>
      </c>
      <c r="W31" s="71">
        <v>57.259117126464844</v>
      </c>
      <c r="X31" s="71">
        <v>29.5</v>
      </c>
      <c r="Y31" s="71">
        <v>73.23368835449219</v>
      </c>
      <c r="Z31" s="71">
        <v>15.601490020751953</v>
      </c>
      <c r="AA31" s="71">
        <v>18.739151000976562</v>
      </c>
      <c r="AB31" s="71"/>
      <c r="AC31" s="58"/>
      <c r="AD31" s="58">
        <v>1.54833984375</v>
      </c>
      <c r="AE31" s="58">
        <v>0.0011688232189044356</v>
      </c>
      <c r="AF31" s="58">
        <v>22.782840728759766</v>
      </c>
      <c r="AG31" s="58">
        <v>15.285011291503906</v>
      </c>
      <c r="AH31" s="58"/>
      <c r="AI31" s="72"/>
      <c r="AJ31" s="72"/>
      <c r="AK31" s="72"/>
      <c r="AL31" s="72"/>
      <c r="AM31" s="72"/>
      <c r="AN31" s="58">
        <v>51.8952522277832</v>
      </c>
      <c r="AO31" s="59">
        <v>50</v>
      </c>
      <c r="AP31" s="60">
        <v>26.294849395751953</v>
      </c>
      <c r="AQ31" s="61">
        <v>40.379051208496094</v>
      </c>
      <c r="AR31" s="62">
        <v>0.0868072509765625</v>
      </c>
    </row>
    <row r="32" spans="2:44" ht="13.5" customHeight="1" x14ac:dyDescent="0.25">
      <c r="B32" s="14">
        <v>0.75</v>
      </c>
      <c r="C32" s="54">
        <v>-80.72193145751953</v>
      </c>
      <c r="D32" s="54">
        <v>-81.28617095947266</v>
      </c>
      <c r="E32" s="54">
        <v>97.38497924804688</v>
      </c>
      <c r="F32" s="54">
        <v>0.075086809694767</v>
      </c>
      <c r="G32" s="54">
        <v>6.888961797812954E-05</v>
      </c>
      <c r="H32" s="54"/>
      <c r="I32" s="54"/>
      <c r="J32" s="54"/>
      <c r="K32" s="54"/>
      <c r="L32" s="55"/>
      <c r="M32" s="70">
        <v>23.15538215637207</v>
      </c>
      <c r="N32" s="54">
        <v>42.96875</v>
      </c>
      <c r="O32" s="54">
        <v>39.5</v>
      </c>
      <c r="P32" s="54">
        <v>22</v>
      </c>
      <c r="Q32" s="54">
        <v>3.4709200859069824</v>
      </c>
      <c r="R32" s="54">
        <v>20.96354103088379</v>
      </c>
      <c r="S32" s="71">
        <v>93.02661895751953</v>
      </c>
      <c r="T32" s="71">
        <v>50</v>
      </c>
      <c r="U32" s="71">
        <v>0</v>
      </c>
      <c r="V32" s="71">
        <v>20.751955032348633</v>
      </c>
      <c r="W32" s="71">
        <v>54.790584564208984</v>
      </c>
      <c r="X32" s="71">
        <v>29.5</v>
      </c>
      <c r="Y32" s="71">
        <v>73.72142791748047</v>
      </c>
      <c r="Z32" s="71">
        <v>15.503833770751953</v>
      </c>
      <c r="AA32" s="71">
        <v>18.50043487548828</v>
      </c>
      <c r="AB32" s="71"/>
      <c r="AC32" s="58"/>
      <c r="AD32" s="58">
        <v>0</v>
      </c>
      <c r="AE32" s="58">
        <v>0.001304870587773621</v>
      </c>
      <c r="AF32" s="58">
        <v>22.79730796813965</v>
      </c>
      <c r="AG32" s="58">
        <v>6.7853007316589355</v>
      </c>
      <c r="AH32" s="58"/>
      <c r="AI32" s="72"/>
      <c r="AJ32" s="72"/>
      <c r="AK32" s="72"/>
      <c r="AL32" s="72"/>
      <c r="AM32" s="72"/>
      <c r="AN32" s="58">
        <v>50.557003021240234</v>
      </c>
      <c r="AO32" s="59">
        <v>50</v>
      </c>
      <c r="AP32" s="60">
        <v>26.575159072875977</v>
      </c>
      <c r="AQ32" s="61">
        <v>40.317562103271484</v>
      </c>
      <c r="AR32" s="62">
        <v>0.09766387939453125</v>
      </c>
    </row>
    <row r="33" spans="2:44" ht="13.5" customHeight="1" x14ac:dyDescent="0.25">
      <c r="B33" s="14">
        <v>0.79166666666666696</v>
      </c>
      <c r="C33" s="54">
        <v>-80.46151733398438</v>
      </c>
      <c r="D33" s="54">
        <v>-80.99681854248047</v>
      </c>
      <c r="E33" s="54">
        <v>96.0467300415039</v>
      </c>
      <c r="F33" s="54">
        <v>0.0737847238779068</v>
      </c>
      <c r="G33" s="54">
        <v>7.038498006295413E-05</v>
      </c>
      <c r="H33" s="54"/>
      <c r="I33" s="54"/>
      <c r="J33" s="54"/>
      <c r="K33" s="54"/>
      <c r="L33" s="55"/>
      <c r="M33" s="70">
        <v>23.216869354248047</v>
      </c>
      <c r="N33" s="54">
        <v>42.69024658203125</v>
      </c>
      <c r="O33" s="54">
        <v>39.5</v>
      </c>
      <c r="P33" s="54">
        <v>22</v>
      </c>
      <c r="Q33" s="54">
        <v>3.4509549140930176</v>
      </c>
      <c r="R33" s="54">
        <v>20.959924697875977</v>
      </c>
      <c r="S33" s="71">
        <v>90.63223266601562</v>
      </c>
      <c r="T33" s="71">
        <v>50</v>
      </c>
      <c r="U33" s="71">
        <v>0</v>
      </c>
      <c r="V33" s="71">
        <v>20.60004425048828</v>
      </c>
      <c r="W33" s="71">
        <v>52.609596252441406</v>
      </c>
      <c r="X33" s="71">
        <v>29.5</v>
      </c>
      <c r="Y33" s="71">
        <v>73.79430389404297</v>
      </c>
      <c r="Z33" s="71">
        <v>15.27235221862793</v>
      </c>
      <c r="AA33" s="71">
        <v>18.191190719604492</v>
      </c>
      <c r="AB33" s="71"/>
      <c r="AC33" s="58"/>
      <c r="AD33" s="58">
        <v>0</v>
      </c>
      <c r="AE33" s="58">
        <v>0.0010575561318546534</v>
      </c>
      <c r="AF33" s="58">
        <v>22.79730796813965</v>
      </c>
      <c r="AG33" s="58">
        <v>13.566985130310059</v>
      </c>
      <c r="AH33" s="58"/>
      <c r="AI33" s="72"/>
      <c r="AJ33" s="72"/>
      <c r="AK33" s="72"/>
      <c r="AL33" s="72"/>
      <c r="AM33" s="72"/>
      <c r="AN33" s="58">
        <v>49.37065887451172</v>
      </c>
      <c r="AO33" s="59">
        <v>50</v>
      </c>
      <c r="AP33" s="60">
        <v>26.90972137451172</v>
      </c>
      <c r="AQ33" s="61">
        <v>40.183738708496094</v>
      </c>
      <c r="AR33" s="62">
        <v>0.075958251953125</v>
      </c>
    </row>
    <row r="34" spans="2:44" ht="13.5" customHeight="1" x14ac:dyDescent="0.25">
      <c r="B34" s="15">
        <v>0.83333333333333304</v>
      </c>
      <c r="C34" s="63">
        <v>-80.67129516601562</v>
      </c>
      <c r="D34" s="63">
        <v>-81.43807983398438</v>
      </c>
      <c r="E34" s="63">
        <v>94.2201919555664</v>
      </c>
      <c r="F34" s="63">
        <v>0.0774739608168602</v>
      </c>
      <c r="G34" s="63">
        <v>7.010650733718649E-05</v>
      </c>
      <c r="H34" s="63"/>
      <c r="I34" s="63"/>
      <c r="J34" s="63"/>
      <c r="K34" s="63"/>
      <c r="L34" s="64"/>
      <c r="M34" s="73">
        <v>25.777631759643555</v>
      </c>
      <c r="N34" s="63">
        <v>42.2272834777832</v>
      </c>
      <c r="O34" s="63">
        <v>39.5</v>
      </c>
      <c r="P34" s="63">
        <v>22</v>
      </c>
      <c r="Q34" s="63">
        <v>3.5716145038604736</v>
      </c>
      <c r="R34" s="63">
        <v>20.619935989379883</v>
      </c>
      <c r="S34" s="74">
        <v>93.42086029052734</v>
      </c>
      <c r="T34" s="74">
        <v>50</v>
      </c>
      <c r="U34" s="74">
        <v>0</v>
      </c>
      <c r="V34" s="74">
        <v>20.605470657348633</v>
      </c>
      <c r="W34" s="74">
        <v>50.47743225097656</v>
      </c>
      <c r="X34" s="74">
        <v>29</v>
      </c>
      <c r="Y34" s="74">
        <v>71.86016845703125</v>
      </c>
      <c r="Z34" s="74">
        <v>14.04079818725586</v>
      </c>
      <c r="AA34" s="74">
        <v>16.444229125976562</v>
      </c>
      <c r="AB34" s="74"/>
      <c r="AC34" s="67"/>
      <c r="AD34" s="67">
        <v>0</v>
      </c>
      <c r="AE34" s="67">
        <v>1.2207031829802872E-07</v>
      </c>
      <c r="AF34" s="67">
        <v>22.793691635131836</v>
      </c>
      <c r="AG34" s="67">
        <v>20.175058364868164</v>
      </c>
      <c r="AH34" s="67"/>
      <c r="AI34" s="75"/>
      <c r="AJ34" s="75"/>
      <c r="AK34" s="75"/>
      <c r="AL34" s="75"/>
      <c r="AM34" s="75"/>
      <c r="AN34" s="67">
        <v>48.35069274902344</v>
      </c>
      <c r="AO34" s="68">
        <v>50</v>
      </c>
      <c r="AP34" s="76">
        <v>26.466651916503906</v>
      </c>
      <c r="AQ34" s="77">
        <v>39.62673568725586</v>
      </c>
      <c r="AR34" s="78">
        <v>0.0868072509765625</v>
      </c>
    </row>
    <row r="35" spans="2:44" ht="15" customHeight="1" x14ac:dyDescent="0.25">
      <c r="B35" s="165" t="s">
        <v>181</v>
      </c>
      <c r="C35" s="111" t="s">
        <v>38</v>
      </c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3" t="s">
        <v>216</v>
      </c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5"/>
      <c r="AK35" s="130" t="s">
        <v>48</v>
      </c>
      <c r="AL35" s="131"/>
      <c r="AM35" s="116" t="s">
        <v>223</v>
      </c>
      <c r="AN35" s="117"/>
      <c r="AO35" s="43"/>
      <c r="AP35" s="43"/>
      <c r="AQ35" s="43"/>
      <c r="AR35" s="44"/>
    </row>
    <row r="36" spans="2:44" ht="20.15" customHeight="1" x14ac:dyDescent="0.25">
      <c r="B36" s="153"/>
      <c r="C36" s="122" t="s">
        <v>32</v>
      </c>
      <c r="D36" s="128"/>
      <c r="E36" s="122" t="s">
        <v>33</v>
      </c>
      <c r="F36" s="127"/>
      <c r="G36" s="128"/>
      <c r="H36" s="118" t="s">
        <v>276</v>
      </c>
      <c r="I36" s="119"/>
      <c r="J36" s="4" t="s">
        <v>27</v>
      </c>
      <c r="K36" s="4" t="s">
        <v>30</v>
      </c>
      <c r="L36" s="4" t="s">
        <v>191</v>
      </c>
      <c r="M36" s="120" t="s">
        <v>192</v>
      </c>
      <c r="N36" s="121"/>
      <c r="O36" s="4" t="s">
        <v>26</v>
      </c>
      <c r="P36" s="4" t="s">
        <v>197</v>
      </c>
      <c r="Q36" s="122" t="s">
        <v>199</v>
      </c>
      <c r="R36" s="129"/>
      <c r="S36" s="122" t="s">
        <v>202</v>
      </c>
      <c r="T36" s="129"/>
      <c r="U36" s="122" t="s">
        <v>201</v>
      </c>
      <c r="V36" s="12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24" t="s">
        <v>46</v>
      </c>
      <c r="AI36" s="125"/>
      <c r="AJ36" s="126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53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53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290</v>
      </c>
      <c r="N38" s="1" t="s">
        <v>291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14">
        <v>0.33333333333333331</v>
      </c>
      <c r="C39" s="54">
        <v>0</v>
      </c>
      <c r="D39" s="54"/>
      <c r="E39" s="54">
        <v>46.39033508300781</v>
      </c>
      <c r="F39" s="54"/>
      <c r="G39" s="54"/>
      <c r="H39" s="54">
        <v>0</v>
      </c>
      <c r="I39" s="54"/>
      <c r="J39" s="54">
        <v>24.296512603759766</v>
      </c>
      <c r="K39" s="54">
        <v>40</v>
      </c>
      <c r="L39" s="54">
        <v>48.12282943725586</v>
      </c>
      <c r="M39" s="54">
        <v>0</v>
      </c>
      <c r="N39" s="54"/>
      <c r="O39" s="54">
        <v>25.996456146240234</v>
      </c>
      <c r="P39" s="54">
        <v>0.05000000074505806</v>
      </c>
      <c r="Q39" s="54">
        <v>0.16912615299224854</v>
      </c>
      <c r="R39" s="54"/>
      <c r="S39" s="54">
        <v>0</v>
      </c>
      <c r="T39" s="54"/>
      <c r="U39" s="71">
        <v>0</v>
      </c>
      <c r="V39" s="79"/>
      <c r="W39" s="80">
        <v>96.91117095947266</v>
      </c>
      <c r="X39" s="71">
        <v>17.050058364868164</v>
      </c>
      <c r="Y39" s="71">
        <v>41.5</v>
      </c>
      <c r="Z39" s="71">
        <v>107.79080200195312</v>
      </c>
      <c r="AA39" s="71">
        <v>36.80555725097656</v>
      </c>
      <c r="AB39" s="71">
        <v>79.07986450195312</v>
      </c>
      <c r="AC39" s="71">
        <v>30</v>
      </c>
      <c r="AD39" s="71">
        <v>0</v>
      </c>
      <c r="AE39" s="58">
        <v>14.950448036193848</v>
      </c>
      <c r="AF39" s="58">
        <v>18.23459243774414</v>
      </c>
      <c r="AG39" s="58"/>
      <c r="AH39" s="58">
        <v>0</v>
      </c>
      <c r="AI39" s="58">
        <v>0</v>
      </c>
      <c r="AJ39" s="58"/>
      <c r="AK39" s="58">
        <v>47.10647964477539</v>
      </c>
      <c r="AL39" s="59">
        <v>42.29166793823242</v>
      </c>
      <c r="AM39" s="81"/>
      <c r="AN39" s="72"/>
      <c r="AO39" s="58"/>
      <c r="AP39" s="58"/>
      <c r="AQ39" s="58"/>
      <c r="AR39" s="62"/>
    </row>
    <row r="40" spans="2:44" ht="13.5" customHeight="1" x14ac:dyDescent="0.25">
      <c r="B40" s="14">
        <v>0.375</v>
      </c>
      <c r="C40" s="54">
        <v>0</v>
      </c>
      <c r="D40" s="54">
        <v>0</v>
      </c>
      <c r="E40" s="54">
        <v>55.729164123535156</v>
      </c>
      <c r="F40" s="54"/>
      <c r="G40" s="54"/>
      <c r="H40" s="54">
        <v>0</v>
      </c>
      <c r="I40" s="54">
        <v>0</v>
      </c>
      <c r="J40" s="54">
        <v>24.233217239379883</v>
      </c>
      <c r="K40" s="54">
        <v>40</v>
      </c>
      <c r="L40" s="54">
        <v>48.07761764526367</v>
      </c>
      <c r="M40" s="54">
        <v>0</v>
      </c>
      <c r="N40" s="54">
        <v>0</v>
      </c>
      <c r="O40" s="54">
        <v>26.050708770751953</v>
      </c>
      <c r="P40" s="54">
        <v>0.05000000074505806</v>
      </c>
      <c r="Q40" s="54">
        <v>0.20037615299224854</v>
      </c>
      <c r="R40" s="54">
        <v>0.00019205475109629333</v>
      </c>
      <c r="S40" s="54">
        <v>0</v>
      </c>
      <c r="T40" s="54">
        <v>0</v>
      </c>
      <c r="U40" s="71">
        <v>0</v>
      </c>
      <c r="V40" s="79">
        <v>0</v>
      </c>
      <c r="W40" s="80">
        <v>97.04137420654297</v>
      </c>
      <c r="X40" s="71">
        <v>18.352140426635742</v>
      </c>
      <c r="Y40" s="71">
        <v>30</v>
      </c>
      <c r="Z40" s="71">
        <v>76.24132537841797</v>
      </c>
      <c r="AA40" s="71">
        <v>17.371963500976562</v>
      </c>
      <c r="AB40" s="71">
        <v>20.13888931274414</v>
      </c>
      <c r="AC40" s="71">
        <v>30</v>
      </c>
      <c r="AD40" s="71">
        <v>77.73004150390625</v>
      </c>
      <c r="AE40" s="58">
        <v>16.008390426635742</v>
      </c>
      <c r="AF40" s="58">
        <v>84.61371612548828</v>
      </c>
      <c r="AG40" s="58"/>
      <c r="AH40" s="58">
        <v>0</v>
      </c>
      <c r="AI40" s="58">
        <v>0</v>
      </c>
      <c r="AJ40" s="58">
        <v>0</v>
      </c>
      <c r="AK40" s="58">
        <v>47.12818145751953</v>
      </c>
      <c r="AL40" s="59">
        <v>41.70428466796875</v>
      </c>
      <c r="AM40" s="81"/>
      <c r="AN40" s="72"/>
      <c r="AO40" s="58"/>
      <c r="AP40" s="58"/>
      <c r="AQ40" s="58"/>
      <c r="AR40" s="62"/>
    </row>
    <row r="41" spans="2:44" ht="13.5" customHeight="1" x14ac:dyDescent="0.25">
      <c r="B41" s="14">
        <v>0.41666666666666702</v>
      </c>
      <c r="C41" s="54">
        <v>0</v>
      </c>
      <c r="D41" s="54">
        <v>2.2339820304750901E-07</v>
      </c>
      <c r="E41" s="54">
        <v>55.910011291503906</v>
      </c>
      <c r="F41" s="54"/>
      <c r="G41" s="54"/>
      <c r="H41" s="54">
        <v>0</v>
      </c>
      <c r="I41" s="54">
        <v>0</v>
      </c>
      <c r="J41" s="54">
        <v>24.296512603759766</v>
      </c>
      <c r="K41" s="54">
        <v>40</v>
      </c>
      <c r="L41" s="54">
        <v>47.77922439575195</v>
      </c>
      <c r="M41" s="54">
        <v>0</v>
      </c>
      <c r="N41" s="54">
        <v>0</v>
      </c>
      <c r="O41" s="54">
        <v>26.566116333007812</v>
      </c>
      <c r="P41" s="54">
        <v>0.05000000074505806</v>
      </c>
      <c r="Q41" s="54">
        <v>0.20717592537403107</v>
      </c>
      <c r="R41" s="54">
        <v>0.00020069885067641735</v>
      </c>
      <c r="S41" s="54">
        <v>0</v>
      </c>
      <c r="T41" s="54">
        <v>0</v>
      </c>
      <c r="U41" s="71">
        <v>0</v>
      </c>
      <c r="V41" s="79">
        <v>0</v>
      </c>
      <c r="W41" s="80">
        <v>93.23278045654297</v>
      </c>
      <c r="X41" s="71">
        <v>17.76258659362793</v>
      </c>
      <c r="Y41" s="71">
        <v>30</v>
      </c>
      <c r="Z41" s="71">
        <v>74.69184112548828</v>
      </c>
      <c r="AA41" s="71">
        <v>17.23090362548828</v>
      </c>
      <c r="AB41" s="71">
        <v>20.214845657348633</v>
      </c>
      <c r="AC41" s="71">
        <v>30</v>
      </c>
      <c r="AD41" s="71">
        <v>77.06163787841797</v>
      </c>
      <c r="AE41" s="58">
        <v>19.03211784362793</v>
      </c>
      <c r="AF41" s="58">
        <v>67.138671875</v>
      </c>
      <c r="AG41" s="58"/>
      <c r="AH41" s="58">
        <v>0</v>
      </c>
      <c r="AI41" s="58">
        <v>0</v>
      </c>
      <c r="AJ41" s="58">
        <v>3.226757144147996E-06</v>
      </c>
      <c r="AK41" s="58">
        <v>47.20051956176758</v>
      </c>
      <c r="AL41" s="59">
        <v>41.11690139770508</v>
      </c>
      <c r="AM41" s="81"/>
      <c r="AN41" s="72"/>
      <c r="AO41" s="58"/>
      <c r="AP41" s="58"/>
      <c r="AQ41" s="58"/>
      <c r="AR41" s="62"/>
    </row>
    <row r="42" spans="2:44" ht="13.5" customHeight="1" x14ac:dyDescent="0.25">
      <c r="B42" s="14">
        <v>0.45833333333333298</v>
      </c>
      <c r="C42" s="54">
        <v>0</v>
      </c>
      <c r="D42" s="54">
        <v>1.3365745417104336E-06</v>
      </c>
      <c r="E42" s="54">
        <v>51.331016540527344</v>
      </c>
      <c r="F42" s="54"/>
      <c r="G42" s="54"/>
      <c r="H42" s="54">
        <v>0</v>
      </c>
      <c r="I42" s="54">
        <v>0</v>
      </c>
      <c r="J42" s="54">
        <v>24.513526916503906</v>
      </c>
      <c r="K42" s="54">
        <v>40</v>
      </c>
      <c r="L42" s="54">
        <v>47.89677429199219</v>
      </c>
      <c r="M42" s="54">
        <v>0</v>
      </c>
      <c r="N42" s="54">
        <v>0</v>
      </c>
      <c r="O42" s="54">
        <v>27.23524284362793</v>
      </c>
      <c r="P42" s="54">
        <v>0.05000000074505806</v>
      </c>
      <c r="Q42" s="54">
        <v>0.20023147761821747</v>
      </c>
      <c r="R42" s="54">
        <v>0.00020833587041124701</v>
      </c>
      <c r="S42" s="54">
        <v>0</v>
      </c>
      <c r="T42" s="54">
        <v>0</v>
      </c>
      <c r="U42" s="71">
        <v>0</v>
      </c>
      <c r="V42" s="79">
        <v>0</v>
      </c>
      <c r="W42" s="80">
        <v>94.921875</v>
      </c>
      <c r="X42" s="71">
        <v>47.87326431274414</v>
      </c>
      <c r="Y42" s="71">
        <v>50</v>
      </c>
      <c r="Z42" s="71">
        <v>123.87153625488281</v>
      </c>
      <c r="AA42" s="71">
        <v>17.04644203186035</v>
      </c>
      <c r="AB42" s="71">
        <v>20.44270896911621</v>
      </c>
      <c r="AC42" s="71">
        <v>50</v>
      </c>
      <c r="AD42" s="71">
        <v>123.79341125488281</v>
      </c>
      <c r="AE42" s="58">
        <v>20.802589416503906</v>
      </c>
      <c r="AF42" s="58">
        <v>63.205299377441406</v>
      </c>
      <c r="AG42" s="58"/>
      <c r="AH42" s="58">
        <v>0</v>
      </c>
      <c r="AI42" s="58">
        <v>2.239004611968994</v>
      </c>
      <c r="AJ42" s="58">
        <v>0.00011858153447974473</v>
      </c>
      <c r="AK42" s="58">
        <v>47.236690521240234</v>
      </c>
      <c r="AL42" s="59">
        <v>40.7725715637207</v>
      </c>
      <c r="AM42" s="81"/>
      <c r="AN42" s="72"/>
      <c r="AO42" s="58"/>
      <c r="AP42" s="58"/>
      <c r="AQ42" s="58"/>
      <c r="AR42" s="62"/>
    </row>
    <row r="43" spans="2:44" ht="13.5" customHeight="1" x14ac:dyDescent="0.25">
      <c r="B43" s="14">
        <v>0.5</v>
      </c>
      <c r="C43" s="54">
        <v>0</v>
      </c>
      <c r="D43" s="54">
        <v>0</v>
      </c>
      <c r="E43" s="54">
        <v>63.0280647277832</v>
      </c>
      <c r="F43" s="54"/>
      <c r="G43" s="54"/>
      <c r="H43" s="54">
        <v>0</v>
      </c>
      <c r="I43" s="54">
        <v>0</v>
      </c>
      <c r="J43" s="54">
        <v>24.79383659362793</v>
      </c>
      <c r="K43" s="54">
        <v>40</v>
      </c>
      <c r="L43" s="54">
        <v>47.607421875</v>
      </c>
      <c r="M43" s="54">
        <v>0</v>
      </c>
      <c r="N43" s="54">
        <v>0</v>
      </c>
      <c r="O43" s="54">
        <v>27.949581146240234</v>
      </c>
      <c r="P43" s="54">
        <v>0.05000000074505806</v>
      </c>
      <c r="Q43" s="54">
        <v>0.19936342537403107</v>
      </c>
      <c r="R43" s="54">
        <v>0.00020832824520766735</v>
      </c>
      <c r="S43" s="54">
        <v>0</v>
      </c>
      <c r="T43" s="54">
        <v>0</v>
      </c>
      <c r="U43" s="71">
        <v>0</v>
      </c>
      <c r="V43" s="79">
        <v>0</v>
      </c>
      <c r="W43" s="80">
        <v>99.97467803955078</v>
      </c>
      <c r="X43" s="71">
        <v>27.85373306274414</v>
      </c>
      <c r="Y43" s="71">
        <v>50</v>
      </c>
      <c r="Z43" s="71">
        <v>123.8758773803711</v>
      </c>
      <c r="AA43" s="71">
        <v>16.96506118774414</v>
      </c>
      <c r="AB43" s="71">
        <v>20.81163215637207</v>
      </c>
      <c r="AC43" s="71">
        <v>50</v>
      </c>
      <c r="AD43" s="71">
        <v>123.79341125488281</v>
      </c>
      <c r="AE43" s="58">
        <v>22.061269760131836</v>
      </c>
      <c r="AF43" s="58">
        <v>61.669925689697266</v>
      </c>
      <c r="AG43" s="58"/>
      <c r="AH43" s="58">
        <v>0</v>
      </c>
      <c r="AI43" s="58">
        <v>0</v>
      </c>
      <c r="AJ43" s="58">
        <v>0.0001185770015581511</v>
      </c>
      <c r="AK43" s="58">
        <v>47.272857666015625</v>
      </c>
      <c r="AL43" s="59">
        <v>40.68865966796875</v>
      </c>
      <c r="AM43" s="81"/>
      <c r="AN43" s="72">
        <v>0.05999999865889549</v>
      </c>
      <c r="AO43" s="58"/>
      <c r="AP43" s="58"/>
      <c r="AQ43" s="58"/>
      <c r="AR43" s="62"/>
    </row>
    <row r="44" spans="2:44" ht="13.5" customHeight="1" x14ac:dyDescent="0.25">
      <c r="B44" s="14">
        <v>0.54166666666666596</v>
      </c>
      <c r="C44" s="54">
        <v>0</v>
      </c>
      <c r="D44" s="54">
        <v>7.364749876614951E-07</v>
      </c>
      <c r="E44" s="54">
        <v>58.66608810424805</v>
      </c>
      <c r="F44" s="54"/>
      <c r="G44" s="54"/>
      <c r="H44" s="54">
        <v>0</v>
      </c>
      <c r="I44" s="54">
        <v>0</v>
      </c>
      <c r="J44" s="54">
        <v>25.06510353088379</v>
      </c>
      <c r="K44" s="54">
        <v>40</v>
      </c>
      <c r="L44" s="54">
        <v>47.39040756225586</v>
      </c>
      <c r="M44" s="54">
        <v>0</v>
      </c>
      <c r="N44" s="54">
        <v>0</v>
      </c>
      <c r="O44" s="54">
        <v>28.45594596862793</v>
      </c>
      <c r="P44" s="54">
        <v>0.05000000074505806</v>
      </c>
      <c r="Q44" s="54">
        <v>0.20457175374031067</v>
      </c>
      <c r="R44" s="54">
        <v>0.0002132339432137087</v>
      </c>
      <c r="S44" s="54">
        <v>0</v>
      </c>
      <c r="T44" s="54">
        <v>0</v>
      </c>
      <c r="U44" s="71">
        <v>0</v>
      </c>
      <c r="V44" s="79">
        <v>0</v>
      </c>
      <c r="W44" s="80">
        <v>96.91478729248047</v>
      </c>
      <c r="X44" s="71">
        <v>21.531394958496094</v>
      </c>
      <c r="Y44" s="71">
        <v>40</v>
      </c>
      <c r="Z44" s="71">
        <v>107.07032012939453</v>
      </c>
      <c r="AA44" s="71">
        <v>13.688151359558105</v>
      </c>
      <c r="AB44" s="71">
        <v>94.17317962646484</v>
      </c>
      <c r="AC44" s="71">
        <v>39</v>
      </c>
      <c r="AD44" s="71">
        <v>105.55122375488281</v>
      </c>
      <c r="AE44" s="58">
        <v>18.37022590637207</v>
      </c>
      <c r="AF44" s="58">
        <v>21.70138931274414</v>
      </c>
      <c r="AG44" s="58"/>
      <c r="AH44" s="58">
        <v>0</v>
      </c>
      <c r="AI44" s="58">
        <v>0</v>
      </c>
      <c r="AJ44" s="58">
        <v>0</v>
      </c>
      <c r="AK44" s="58">
        <v>47.28371047973633</v>
      </c>
      <c r="AL44" s="59">
        <v>40.390628814697266</v>
      </c>
      <c r="AM44" s="81"/>
      <c r="AN44" s="72"/>
      <c r="AO44" s="58"/>
      <c r="AP44" s="58"/>
      <c r="AQ44" s="58"/>
      <c r="AR44" s="62"/>
    </row>
    <row r="45" spans="2:44" ht="13.5" customHeight="1" x14ac:dyDescent="0.25">
      <c r="B45" s="14">
        <v>0.58333333333333304</v>
      </c>
      <c r="C45" s="54">
        <v>0</v>
      </c>
      <c r="D45" s="54">
        <v>3.5650730296765687E-06</v>
      </c>
      <c r="E45" s="54">
        <v>43.735530853271484</v>
      </c>
      <c r="F45" s="54"/>
      <c r="G45" s="54"/>
      <c r="H45" s="54">
        <v>0</v>
      </c>
      <c r="I45" s="54">
        <v>0</v>
      </c>
      <c r="J45" s="54">
        <v>25.36349868774414</v>
      </c>
      <c r="K45" s="54">
        <v>40</v>
      </c>
      <c r="L45" s="54">
        <v>47.61646270751953</v>
      </c>
      <c r="M45" s="54">
        <v>0</v>
      </c>
      <c r="N45" s="54">
        <v>0</v>
      </c>
      <c r="O45" s="54">
        <v>28.97135353088379</v>
      </c>
      <c r="P45" s="54">
        <v>0.05000000074505806</v>
      </c>
      <c r="Q45" s="54">
        <v>0.2092013955116272</v>
      </c>
      <c r="R45" s="54">
        <v>0.00021112061222083867</v>
      </c>
      <c r="S45" s="54">
        <v>0</v>
      </c>
      <c r="T45" s="54">
        <v>0</v>
      </c>
      <c r="U45" s="71">
        <v>0</v>
      </c>
      <c r="V45" s="79">
        <v>0</v>
      </c>
      <c r="W45" s="80">
        <v>95.96715545654297</v>
      </c>
      <c r="X45" s="71">
        <v>19.104455947875977</v>
      </c>
      <c r="Y45" s="71">
        <v>37</v>
      </c>
      <c r="Z45" s="71">
        <v>98.47222900390625</v>
      </c>
      <c r="AA45" s="71">
        <v>17.76801300048828</v>
      </c>
      <c r="AB45" s="71">
        <v>71.56033325195312</v>
      </c>
      <c r="AC45" s="71">
        <v>37</v>
      </c>
      <c r="AD45" s="71">
        <v>100.00000762939453</v>
      </c>
      <c r="AE45" s="58">
        <v>16.98133659362793</v>
      </c>
      <c r="AF45" s="58">
        <v>20.03038215637207</v>
      </c>
      <c r="AG45" s="58"/>
      <c r="AH45" s="58">
        <v>0</v>
      </c>
      <c r="AI45" s="58">
        <v>0</v>
      </c>
      <c r="AJ45" s="58">
        <v>0</v>
      </c>
      <c r="AK45" s="58">
        <v>47.294559478759766</v>
      </c>
      <c r="AL45" s="59">
        <v>39.98263931274414</v>
      </c>
      <c r="AM45" s="81"/>
      <c r="AN45" s="72"/>
      <c r="AO45" s="58"/>
      <c r="AP45" s="58"/>
      <c r="AQ45" s="58"/>
      <c r="AR45" s="62"/>
    </row>
    <row r="46" spans="2:44" ht="13.5" customHeight="1" x14ac:dyDescent="0.25">
      <c r="B46" s="14">
        <v>0.625</v>
      </c>
      <c r="C46" s="54">
        <v>0</v>
      </c>
      <c r="D46" s="54">
        <v>1.6200542631850112E-06</v>
      </c>
      <c r="E46" s="54">
        <v>58.84693145751953</v>
      </c>
      <c r="F46" s="54"/>
      <c r="G46" s="54"/>
      <c r="H46" s="54">
        <v>0</v>
      </c>
      <c r="I46" s="54">
        <v>0</v>
      </c>
      <c r="J46" s="54">
        <v>25.679977416992188</v>
      </c>
      <c r="K46" s="54">
        <v>40</v>
      </c>
      <c r="L46" s="54">
        <v>48.06857681274414</v>
      </c>
      <c r="M46" s="54">
        <v>0</v>
      </c>
      <c r="N46" s="54">
        <v>0</v>
      </c>
      <c r="O46" s="54">
        <v>29.35112762451172</v>
      </c>
      <c r="P46" s="54">
        <v>0.05000000074505806</v>
      </c>
      <c r="Q46" s="54">
        <v>0.2046440988779068</v>
      </c>
      <c r="R46" s="54">
        <v>0.00020839691569563001</v>
      </c>
      <c r="S46" s="54">
        <v>0</v>
      </c>
      <c r="T46" s="54">
        <v>0</v>
      </c>
      <c r="U46" s="71">
        <v>0</v>
      </c>
      <c r="V46" s="79">
        <v>0</v>
      </c>
      <c r="W46" s="80">
        <v>91.31582641601562</v>
      </c>
      <c r="X46" s="71">
        <v>17.118778228759766</v>
      </c>
      <c r="Y46" s="71">
        <v>35</v>
      </c>
      <c r="Z46" s="71">
        <v>92.55208587646484</v>
      </c>
      <c r="AA46" s="71">
        <v>19.851346969604492</v>
      </c>
      <c r="AB46" s="71">
        <v>64.36632537841797</v>
      </c>
      <c r="AC46" s="71">
        <v>35</v>
      </c>
      <c r="AD46" s="71">
        <v>94.34461975097656</v>
      </c>
      <c r="AE46" s="58">
        <v>16.31944465637207</v>
      </c>
      <c r="AF46" s="58">
        <v>19.35763931274414</v>
      </c>
      <c r="AG46" s="58"/>
      <c r="AH46" s="58">
        <v>0</v>
      </c>
      <c r="AI46" s="58">
        <v>0</v>
      </c>
      <c r="AJ46" s="58">
        <v>0</v>
      </c>
      <c r="AK46" s="58">
        <v>47.20413589477539</v>
      </c>
      <c r="AL46" s="59">
        <v>78.25521087646484</v>
      </c>
      <c r="AM46" s="81"/>
      <c r="AN46" s="72"/>
      <c r="AO46" s="58"/>
      <c r="AP46" s="58"/>
      <c r="AQ46" s="58"/>
      <c r="AR46" s="62"/>
    </row>
    <row r="47" spans="2:44" ht="13.5" customHeight="1" x14ac:dyDescent="0.25">
      <c r="B47" s="14">
        <v>0.66666666666666596</v>
      </c>
      <c r="C47" s="54">
        <v>0</v>
      </c>
      <c r="D47" s="54">
        <v>5.807876846120053E-07</v>
      </c>
      <c r="E47" s="54">
        <v>65.79137420654297</v>
      </c>
      <c r="F47" s="54"/>
      <c r="G47" s="54"/>
      <c r="H47" s="54">
        <v>0</v>
      </c>
      <c r="I47" s="54">
        <v>0</v>
      </c>
      <c r="J47" s="54">
        <v>26.086877822875977</v>
      </c>
      <c r="K47" s="54">
        <v>40</v>
      </c>
      <c r="L47" s="54">
        <v>48.06857681274414</v>
      </c>
      <c r="M47" s="54">
        <v>0</v>
      </c>
      <c r="N47" s="54">
        <v>0</v>
      </c>
      <c r="O47" s="54">
        <v>29.794198989868164</v>
      </c>
      <c r="P47" s="54">
        <v>0.05000000074505806</v>
      </c>
      <c r="Q47" s="54">
        <v>0.20153357088565826</v>
      </c>
      <c r="R47" s="54">
        <v>0.0002113265945808962</v>
      </c>
      <c r="S47" s="54">
        <v>0</v>
      </c>
      <c r="T47" s="54">
        <v>0</v>
      </c>
      <c r="U47" s="71">
        <v>0</v>
      </c>
      <c r="V47" s="79">
        <v>0</v>
      </c>
      <c r="W47" s="80">
        <v>98.39409637451172</v>
      </c>
      <c r="X47" s="71">
        <v>16.1820011138916</v>
      </c>
      <c r="Y47" s="71">
        <v>27.75</v>
      </c>
      <c r="Z47" s="71">
        <v>72.734375</v>
      </c>
      <c r="AA47" s="71">
        <v>21.33246612548828</v>
      </c>
      <c r="AB47" s="71">
        <v>60.29731369018555</v>
      </c>
      <c r="AC47" s="71">
        <v>28.75</v>
      </c>
      <c r="AD47" s="71">
        <v>77.02691650390625</v>
      </c>
      <c r="AE47" s="58">
        <v>16.03732681274414</v>
      </c>
      <c r="AF47" s="58">
        <v>18.9453125</v>
      </c>
      <c r="AG47" s="58"/>
      <c r="AH47" s="58">
        <v>0</v>
      </c>
      <c r="AI47" s="58">
        <v>0</v>
      </c>
      <c r="AJ47" s="58">
        <v>0</v>
      </c>
      <c r="AK47" s="58">
        <v>47.20051956176758</v>
      </c>
      <c r="AL47" s="59">
        <v>68.46065521240234</v>
      </c>
      <c r="AM47" s="81"/>
      <c r="AN47" s="72"/>
      <c r="AO47" s="58"/>
      <c r="AP47" s="58"/>
      <c r="AQ47" s="58"/>
      <c r="AR47" s="62"/>
    </row>
    <row r="48" spans="2:44" ht="13.5" customHeight="1" x14ac:dyDescent="0.25">
      <c r="B48" s="14">
        <v>0.70833333333333304</v>
      </c>
      <c r="C48" s="54">
        <v>0</v>
      </c>
      <c r="D48" s="54">
        <v>1.845359776098121E-07</v>
      </c>
      <c r="E48" s="54">
        <v>53.25520706176758</v>
      </c>
      <c r="F48" s="54"/>
      <c r="G48" s="54"/>
      <c r="H48" s="54">
        <v>0</v>
      </c>
      <c r="I48" s="54">
        <v>0</v>
      </c>
      <c r="J48" s="54">
        <v>26.3671875</v>
      </c>
      <c r="K48" s="54">
        <v>40</v>
      </c>
      <c r="L48" s="54">
        <v>48.29463195800781</v>
      </c>
      <c r="M48" s="54">
        <v>0</v>
      </c>
      <c r="N48" s="54">
        <v>0</v>
      </c>
      <c r="O48" s="54">
        <v>30.146846771240234</v>
      </c>
      <c r="P48" s="54">
        <v>0.05000000074505806</v>
      </c>
      <c r="Q48" s="54">
        <v>0.20536747574806213</v>
      </c>
      <c r="R48" s="54">
        <v>0.00020830535504501313</v>
      </c>
      <c r="S48" s="54">
        <v>0</v>
      </c>
      <c r="T48" s="54">
        <v>0</v>
      </c>
      <c r="U48" s="71">
        <v>0</v>
      </c>
      <c r="V48" s="79">
        <v>0</v>
      </c>
      <c r="W48" s="80">
        <v>99.97467803955078</v>
      </c>
      <c r="X48" s="71">
        <v>16.858362197875977</v>
      </c>
      <c r="Y48" s="71">
        <v>27.75</v>
      </c>
      <c r="Z48" s="71">
        <v>73.0078125</v>
      </c>
      <c r="AA48" s="71">
        <v>21.229385375976562</v>
      </c>
      <c r="AB48" s="71">
        <v>57.259117126464844</v>
      </c>
      <c r="AC48" s="71">
        <v>28.75</v>
      </c>
      <c r="AD48" s="71">
        <v>77.29167175292969</v>
      </c>
      <c r="AE48" s="58">
        <v>15.601490020751953</v>
      </c>
      <c r="AF48" s="58">
        <v>18.739151000976562</v>
      </c>
      <c r="AG48" s="58"/>
      <c r="AH48" s="58">
        <v>0</v>
      </c>
      <c r="AI48" s="58">
        <v>0</v>
      </c>
      <c r="AJ48" s="58">
        <v>0</v>
      </c>
      <c r="AK48" s="58">
        <v>47.20051956176758</v>
      </c>
      <c r="AL48" s="59">
        <v>63.04977035522461</v>
      </c>
      <c r="AM48" s="81"/>
      <c r="AN48" s="72"/>
      <c r="AO48" s="58"/>
      <c r="AP48" s="58"/>
      <c r="AQ48" s="58"/>
      <c r="AR48" s="62"/>
    </row>
    <row r="49" spans="2:44" ht="13.5" customHeight="1" x14ac:dyDescent="0.25">
      <c r="B49" s="14">
        <v>0.75</v>
      </c>
      <c r="C49" s="54">
        <v>0</v>
      </c>
      <c r="D49" s="54">
        <v>8.604526442468341E-07</v>
      </c>
      <c r="E49" s="54">
        <v>59.208621978759766</v>
      </c>
      <c r="F49" s="54"/>
      <c r="G49" s="54"/>
      <c r="H49" s="54">
        <v>0</v>
      </c>
      <c r="I49" s="54">
        <v>0</v>
      </c>
      <c r="J49" s="54">
        <v>26.656539916992188</v>
      </c>
      <c r="K49" s="54">
        <v>40</v>
      </c>
      <c r="L49" s="54">
        <v>48.466434478759766</v>
      </c>
      <c r="M49" s="54">
        <v>0</v>
      </c>
      <c r="N49" s="54">
        <v>0</v>
      </c>
      <c r="O49" s="54">
        <v>30.146846771240234</v>
      </c>
      <c r="P49" s="54">
        <v>0.05000000074505806</v>
      </c>
      <c r="Q49" s="54">
        <v>0.15444155037403107</v>
      </c>
      <c r="R49" s="54">
        <v>0.00019458770111668855</v>
      </c>
      <c r="S49" s="54">
        <v>0</v>
      </c>
      <c r="T49" s="54">
        <v>0</v>
      </c>
      <c r="U49" s="71">
        <v>0</v>
      </c>
      <c r="V49" s="79">
        <v>0</v>
      </c>
      <c r="W49" s="80">
        <v>95.8767318725586</v>
      </c>
      <c r="X49" s="71">
        <v>16.966869354248047</v>
      </c>
      <c r="Y49" s="71">
        <v>27.75</v>
      </c>
      <c r="Z49" s="71">
        <v>72.94705200195312</v>
      </c>
      <c r="AA49" s="71">
        <v>20.751955032348633</v>
      </c>
      <c r="AB49" s="71">
        <v>54.790584564208984</v>
      </c>
      <c r="AC49" s="71">
        <v>28.75</v>
      </c>
      <c r="AD49" s="71">
        <v>77.53472900390625</v>
      </c>
      <c r="AE49" s="58">
        <v>15.503833770751953</v>
      </c>
      <c r="AF49" s="58">
        <v>18.50043487548828</v>
      </c>
      <c r="AG49" s="58"/>
      <c r="AH49" s="58">
        <v>0</v>
      </c>
      <c r="AI49" s="58">
        <v>0</v>
      </c>
      <c r="AJ49" s="58">
        <v>0</v>
      </c>
      <c r="AK49" s="58">
        <v>47.19328689575195</v>
      </c>
      <c r="AL49" s="59">
        <v>59.470489501953125</v>
      </c>
      <c r="AM49" s="81"/>
      <c r="AN49" s="72"/>
      <c r="AO49" s="58"/>
      <c r="AP49" s="58"/>
      <c r="AQ49" s="58"/>
      <c r="AR49" s="62"/>
    </row>
    <row r="50" spans="2:44" ht="13.5" customHeight="1" x14ac:dyDescent="0.25">
      <c r="B50" s="14">
        <v>0.79166666666666696</v>
      </c>
      <c r="C50" s="54">
        <v>0</v>
      </c>
      <c r="D50" s="54">
        <v>1.3766289157501888E-06</v>
      </c>
      <c r="E50" s="54">
        <v>53.45051956176758</v>
      </c>
      <c r="F50" s="54"/>
      <c r="G50" s="54"/>
      <c r="H50" s="54">
        <v>0</v>
      </c>
      <c r="I50" s="54">
        <v>0</v>
      </c>
      <c r="J50" s="54">
        <v>26.873552322387695</v>
      </c>
      <c r="K50" s="54">
        <v>40</v>
      </c>
      <c r="L50" s="54">
        <v>50.15733337402344</v>
      </c>
      <c r="M50" s="54">
        <v>0</v>
      </c>
      <c r="N50" s="54">
        <v>0</v>
      </c>
      <c r="O50" s="54">
        <v>30.201099395751953</v>
      </c>
      <c r="P50" s="54">
        <v>0.05000000074505806</v>
      </c>
      <c r="Q50" s="54">
        <v>0.12550637125968933</v>
      </c>
      <c r="R50" s="54">
        <v>0.00014138031110633165</v>
      </c>
      <c r="S50" s="54">
        <v>0</v>
      </c>
      <c r="T50" s="54">
        <v>0</v>
      </c>
      <c r="U50" s="71">
        <v>0</v>
      </c>
      <c r="V50" s="79">
        <v>0</v>
      </c>
      <c r="W50" s="80">
        <v>90.66117095947266</v>
      </c>
      <c r="X50" s="71">
        <v>15.921585083007812</v>
      </c>
      <c r="Y50" s="71">
        <v>27.75</v>
      </c>
      <c r="Z50" s="71">
        <v>72.62152862548828</v>
      </c>
      <c r="AA50" s="71">
        <v>20.60004425048828</v>
      </c>
      <c r="AB50" s="71">
        <v>52.609596252441406</v>
      </c>
      <c r="AC50" s="71">
        <v>28.75</v>
      </c>
      <c r="AD50" s="71">
        <v>77.36111450195312</v>
      </c>
      <c r="AE50" s="58">
        <v>15.27235221862793</v>
      </c>
      <c r="AF50" s="58">
        <v>18.191190719604492</v>
      </c>
      <c r="AG50" s="58"/>
      <c r="AH50" s="58">
        <v>0</v>
      </c>
      <c r="AI50" s="58">
        <v>0</v>
      </c>
      <c r="AJ50" s="58">
        <v>0</v>
      </c>
      <c r="AK50" s="58">
        <v>47.196903228759766</v>
      </c>
      <c r="AL50" s="59">
        <v>56.8547477722168</v>
      </c>
      <c r="AM50" s="81"/>
      <c r="AN50" s="72"/>
      <c r="AO50" s="58"/>
      <c r="AP50" s="58"/>
      <c r="AQ50" s="58"/>
      <c r="AR50" s="62"/>
    </row>
    <row r="51" spans="2:44" ht="13.5" customHeight="1" x14ac:dyDescent="0.25">
      <c r="B51" s="14">
        <v>0.83333333333333304</v>
      </c>
      <c r="C51" s="63">
        <v>0.07935474812984467</v>
      </c>
      <c r="D51" s="63">
        <v>1.0482311154191848E-05</v>
      </c>
      <c r="E51" s="63">
        <v>49.3055534362793</v>
      </c>
      <c r="F51" s="63"/>
      <c r="G51" s="63"/>
      <c r="H51" s="63">
        <v>0</v>
      </c>
      <c r="I51" s="63">
        <v>0</v>
      </c>
      <c r="J51" s="63">
        <v>27.04535675048828</v>
      </c>
      <c r="K51" s="63">
        <v>40</v>
      </c>
      <c r="L51" s="63">
        <v>51.09772872924805</v>
      </c>
      <c r="M51" s="63">
        <v>0</v>
      </c>
      <c r="N51" s="63">
        <v>0</v>
      </c>
      <c r="O51" s="63">
        <v>29.640480041503906</v>
      </c>
      <c r="P51" s="63">
        <v>0.05000000074505806</v>
      </c>
      <c r="Q51" s="63">
        <v>0.20392072200775146</v>
      </c>
      <c r="R51" s="63">
        <v>0.0001379623427055776</v>
      </c>
      <c r="S51" s="63">
        <v>0</v>
      </c>
      <c r="T51" s="63">
        <v>0</v>
      </c>
      <c r="U51" s="74">
        <v>0</v>
      </c>
      <c r="V51" s="82">
        <v>0</v>
      </c>
      <c r="W51" s="83">
        <v>96.68330383300781</v>
      </c>
      <c r="X51" s="74">
        <v>14.887152671813965</v>
      </c>
      <c r="Y51" s="74">
        <v>27.75</v>
      </c>
      <c r="Z51" s="74">
        <v>72.94705200195312</v>
      </c>
      <c r="AA51" s="74">
        <v>20.605470657348633</v>
      </c>
      <c r="AB51" s="74">
        <v>50.47743225097656</v>
      </c>
      <c r="AC51" s="74">
        <v>28.75</v>
      </c>
      <c r="AD51" s="74">
        <v>77.07465362548828</v>
      </c>
      <c r="AE51" s="67">
        <v>14.04079818725586</v>
      </c>
      <c r="AF51" s="67">
        <v>16.444229125976562</v>
      </c>
      <c r="AG51" s="67"/>
      <c r="AH51" s="67">
        <v>0</v>
      </c>
      <c r="AI51" s="67">
        <v>0</v>
      </c>
      <c r="AJ51" s="67">
        <v>0</v>
      </c>
      <c r="AK51" s="67">
        <v>47.16435241699219</v>
      </c>
      <c r="AL51" s="68">
        <v>54.71643829345703</v>
      </c>
      <c r="AM51" s="84"/>
      <c r="AN51" s="75"/>
      <c r="AO51" s="67"/>
      <c r="AP51" s="67"/>
      <c r="AQ51" s="67"/>
      <c r="AR51" s="78"/>
    </row>
    <row r="52" spans="2:44" ht="13.5" customHeight="1" x14ac:dyDescent="0.25">
      <c r="B52" s="173" t="s">
        <v>372</v>
      </c>
      <c r="C52" s="174"/>
      <c r="D52" s="9" t="s">
        <v>19</v>
      </c>
      <c r="E52" s="154" t="s">
        <v>20</v>
      </c>
      <c r="F52" s="157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9"/>
      <c r="AP52" s="159"/>
      <c r="AQ52" s="159"/>
      <c r="AR52" s="160"/>
    </row>
    <row r="53" spans="2:44" ht="13.5" customHeight="1" x14ac:dyDescent="0.25">
      <c r="B53" s="153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24"/>
      <c r="AP53" s="124"/>
      <c r="AQ53" s="124"/>
      <c r="AR53" s="161"/>
    </row>
    <row r="54" spans="2:44" ht="13.5" customHeight="1" thickBot="1" x14ac:dyDescent="0.3">
      <c r="B54" s="164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62"/>
      <c r="AP54" s="162"/>
      <c r="AQ54" s="162"/>
      <c r="AR54" s="163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AC3:AD3"/>
    <mergeCell ref="AE4:AF4"/>
    <mergeCell ref="AE3:AK3"/>
    <mergeCell ref="O4:P4"/>
    <mergeCell ref="AI20:AJ20"/>
    <mergeCell ref="AK20:AL20"/>
    <mergeCell ref="AI19:AM19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19" sqref="B19:L24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32" t="s">
        <v>230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13" customHeight="1" x14ac:dyDescent="0.25">
      <c r="B2" s="213" t="s">
        <v>232</v>
      </c>
      <c r="C2" s="146"/>
      <c r="D2" s="146"/>
      <c r="E2" s="146"/>
      <c r="F2" s="146"/>
      <c r="G2" s="146"/>
      <c r="H2" s="146"/>
      <c r="I2" s="146"/>
      <c r="J2" s="146"/>
      <c r="K2" s="146"/>
      <c r="L2" s="151"/>
      <c r="M2" s="214" t="s">
        <v>231</v>
      </c>
      <c r="N2" s="146"/>
      <c r="O2" s="146"/>
      <c r="P2" s="146"/>
      <c r="Q2" s="146"/>
      <c r="R2" s="146"/>
      <c r="S2" s="146"/>
      <c r="T2" s="146"/>
      <c r="U2" s="146"/>
      <c r="V2" s="146"/>
      <c r="W2" s="151"/>
      <c r="X2" s="134" t="s">
        <v>233</v>
      </c>
      <c r="Y2" s="146"/>
      <c r="Z2" s="146"/>
      <c r="AA2" s="146"/>
      <c r="AB2" s="146"/>
      <c r="AC2" s="146"/>
      <c r="AD2" s="146"/>
      <c r="AE2" s="146"/>
      <c r="AF2" s="146"/>
      <c r="AG2" s="146"/>
      <c r="AH2" s="151"/>
      <c r="AI2" s="214" t="s">
        <v>234</v>
      </c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51"/>
      <c r="AU2" s="134" t="s">
        <v>235</v>
      </c>
      <c r="AV2" s="146"/>
      <c r="AW2" s="146"/>
      <c r="AX2" s="146"/>
      <c r="AY2" s="146"/>
      <c r="AZ2" s="146"/>
      <c r="BA2" s="146"/>
      <c r="BB2" s="146"/>
      <c r="BC2" s="146"/>
      <c r="BD2" s="146"/>
      <c r="BE2" s="146"/>
      <c r="BF2" s="215"/>
    </row>
    <row r="3" spans="2:58" ht="13" customHeight="1" x14ac:dyDescent="0.25">
      <c r="B3" s="181"/>
      <c r="C3" s="182"/>
      <c r="D3" s="182"/>
      <c r="E3" s="182"/>
      <c r="F3" s="182"/>
      <c r="G3" s="182"/>
      <c r="H3" s="182"/>
      <c r="I3" s="182"/>
      <c r="J3" s="182"/>
      <c r="K3" s="182"/>
      <c r="L3" s="183"/>
      <c r="M3" s="189"/>
      <c r="N3" s="182"/>
      <c r="O3" s="182"/>
      <c r="P3" s="182"/>
      <c r="Q3" s="182"/>
      <c r="R3" s="182"/>
      <c r="S3" s="182"/>
      <c r="T3" s="182"/>
      <c r="U3" s="182"/>
      <c r="V3" s="182"/>
      <c r="W3" s="183"/>
      <c r="X3" s="193"/>
      <c r="Y3" s="182"/>
      <c r="Z3" s="182"/>
      <c r="AA3" s="182"/>
      <c r="AB3" s="182"/>
      <c r="AC3" s="182"/>
      <c r="AD3" s="182"/>
      <c r="AE3" s="182"/>
      <c r="AF3" s="182"/>
      <c r="AG3" s="182"/>
      <c r="AH3" s="183"/>
      <c r="AI3" s="194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3"/>
      <c r="AU3" s="193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95"/>
    </row>
    <row r="4" spans="2:58" ht="13" customHeight="1" x14ac:dyDescent="0.25">
      <c r="B4" s="184"/>
      <c r="C4" s="185"/>
      <c r="D4" s="185"/>
      <c r="E4" s="185"/>
      <c r="F4" s="185"/>
      <c r="G4" s="185"/>
      <c r="H4" s="185"/>
      <c r="I4" s="185"/>
      <c r="J4" s="185"/>
      <c r="K4" s="185"/>
      <c r="L4" s="186"/>
      <c r="M4" s="190"/>
      <c r="N4" s="185"/>
      <c r="O4" s="185"/>
      <c r="P4" s="185"/>
      <c r="Q4" s="185"/>
      <c r="R4" s="185"/>
      <c r="S4" s="185"/>
      <c r="T4" s="185"/>
      <c r="U4" s="185"/>
      <c r="V4" s="185"/>
      <c r="W4" s="186"/>
      <c r="X4" s="190"/>
      <c r="Y4" s="185"/>
      <c r="Z4" s="185"/>
      <c r="AA4" s="185"/>
      <c r="AB4" s="185"/>
      <c r="AC4" s="185"/>
      <c r="AD4" s="185"/>
      <c r="AE4" s="185"/>
      <c r="AF4" s="185"/>
      <c r="AG4" s="185"/>
      <c r="AH4" s="186"/>
      <c r="AI4" s="190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6"/>
      <c r="AU4" s="190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96"/>
    </row>
    <row r="5" spans="2:58" ht="13" customHeight="1" x14ac:dyDescent="0.25">
      <c r="B5" s="184"/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90"/>
      <c r="N5" s="185"/>
      <c r="O5" s="185"/>
      <c r="P5" s="185"/>
      <c r="Q5" s="185"/>
      <c r="R5" s="185"/>
      <c r="S5" s="185"/>
      <c r="T5" s="185"/>
      <c r="U5" s="185"/>
      <c r="V5" s="185"/>
      <c r="W5" s="186"/>
      <c r="X5" s="190"/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90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6"/>
      <c r="AU5" s="190"/>
      <c r="AV5" s="185"/>
      <c r="AW5" s="185"/>
      <c r="AX5" s="185"/>
      <c r="AY5" s="185"/>
      <c r="AZ5" s="185"/>
      <c r="BA5" s="185"/>
      <c r="BB5" s="185"/>
      <c r="BC5" s="185"/>
      <c r="BD5" s="185"/>
      <c r="BE5" s="185"/>
      <c r="BF5" s="196"/>
    </row>
    <row r="6" spans="2:58" ht="13" customHeight="1" x14ac:dyDescent="0.25">
      <c r="B6" s="184"/>
      <c r="C6" s="185"/>
      <c r="D6" s="185"/>
      <c r="E6" s="185"/>
      <c r="F6" s="185"/>
      <c r="G6" s="185"/>
      <c r="H6" s="185"/>
      <c r="I6" s="185"/>
      <c r="J6" s="185"/>
      <c r="K6" s="185"/>
      <c r="L6" s="186"/>
      <c r="M6" s="190"/>
      <c r="N6" s="185"/>
      <c r="O6" s="185"/>
      <c r="P6" s="185"/>
      <c r="Q6" s="185"/>
      <c r="R6" s="185"/>
      <c r="S6" s="185"/>
      <c r="T6" s="185"/>
      <c r="U6" s="185"/>
      <c r="V6" s="185"/>
      <c r="W6" s="186"/>
      <c r="X6" s="190"/>
      <c r="Y6" s="185"/>
      <c r="Z6" s="185"/>
      <c r="AA6" s="185"/>
      <c r="AB6" s="185"/>
      <c r="AC6" s="185"/>
      <c r="AD6" s="185"/>
      <c r="AE6" s="185"/>
      <c r="AF6" s="185"/>
      <c r="AG6" s="185"/>
      <c r="AH6" s="186"/>
      <c r="AI6" s="190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6"/>
      <c r="AU6" s="190"/>
      <c r="AV6" s="185"/>
      <c r="AW6" s="185"/>
      <c r="AX6" s="185"/>
      <c r="AY6" s="185"/>
      <c r="AZ6" s="185"/>
      <c r="BA6" s="185"/>
      <c r="BB6" s="185"/>
      <c r="BC6" s="185"/>
      <c r="BD6" s="185"/>
      <c r="BE6" s="185"/>
      <c r="BF6" s="196"/>
    </row>
    <row r="7" spans="2:58" ht="13" customHeight="1" x14ac:dyDescent="0.25">
      <c r="B7" s="184"/>
      <c r="C7" s="185"/>
      <c r="D7" s="185"/>
      <c r="E7" s="185"/>
      <c r="F7" s="185"/>
      <c r="G7" s="185"/>
      <c r="H7" s="185"/>
      <c r="I7" s="185"/>
      <c r="J7" s="185"/>
      <c r="K7" s="185"/>
      <c r="L7" s="186"/>
      <c r="M7" s="190"/>
      <c r="N7" s="185"/>
      <c r="O7" s="185"/>
      <c r="P7" s="185"/>
      <c r="Q7" s="185"/>
      <c r="R7" s="185"/>
      <c r="S7" s="185"/>
      <c r="T7" s="185"/>
      <c r="U7" s="185"/>
      <c r="V7" s="185"/>
      <c r="W7" s="186"/>
      <c r="X7" s="190"/>
      <c r="Y7" s="185"/>
      <c r="Z7" s="185"/>
      <c r="AA7" s="185"/>
      <c r="AB7" s="185"/>
      <c r="AC7" s="185"/>
      <c r="AD7" s="185"/>
      <c r="AE7" s="185"/>
      <c r="AF7" s="185"/>
      <c r="AG7" s="185"/>
      <c r="AH7" s="186"/>
      <c r="AI7" s="190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6"/>
      <c r="AU7" s="190"/>
      <c r="AV7" s="185"/>
      <c r="AW7" s="185"/>
      <c r="AX7" s="185"/>
      <c r="AY7" s="185"/>
      <c r="AZ7" s="185"/>
      <c r="BA7" s="185"/>
      <c r="BB7" s="185"/>
      <c r="BC7" s="185"/>
      <c r="BD7" s="185"/>
      <c r="BE7" s="185"/>
      <c r="BF7" s="196"/>
    </row>
    <row r="8" spans="2:58" ht="13" customHeight="1" x14ac:dyDescent="0.25">
      <c r="B8" s="184"/>
      <c r="C8" s="185"/>
      <c r="D8" s="185"/>
      <c r="E8" s="185"/>
      <c r="F8" s="185"/>
      <c r="G8" s="185"/>
      <c r="H8" s="185"/>
      <c r="I8" s="185"/>
      <c r="J8" s="185"/>
      <c r="K8" s="185"/>
      <c r="L8" s="186"/>
      <c r="M8" s="190"/>
      <c r="N8" s="185"/>
      <c r="O8" s="185"/>
      <c r="P8" s="185"/>
      <c r="Q8" s="185"/>
      <c r="R8" s="185"/>
      <c r="S8" s="185"/>
      <c r="T8" s="185"/>
      <c r="U8" s="185"/>
      <c r="V8" s="185"/>
      <c r="W8" s="186"/>
      <c r="X8" s="190"/>
      <c r="Y8" s="185"/>
      <c r="Z8" s="185"/>
      <c r="AA8" s="185"/>
      <c r="AB8" s="185"/>
      <c r="AC8" s="185"/>
      <c r="AD8" s="185"/>
      <c r="AE8" s="185"/>
      <c r="AF8" s="185"/>
      <c r="AG8" s="185"/>
      <c r="AH8" s="186"/>
      <c r="AI8" s="190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6"/>
      <c r="AU8" s="190"/>
      <c r="AV8" s="185"/>
      <c r="AW8" s="185"/>
      <c r="AX8" s="185"/>
      <c r="AY8" s="185"/>
      <c r="AZ8" s="185"/>
      <c r="BA8" s="185"/>
      <c r="BB8" s="185"/>
      <c r="BC8" s="185"/>
      <c r="BD8" s="185"/>
      <c r="BE8" s="185"/>
      <c r="BF8" s="196"/>
    </row>
    <row r="9" spans="2:58" ht="13" customHeight="1" x14ac:dyDescent="0.25">
      <c r="B9" s="187"/>
      <c r="C9" s="188"/>
      <c r="D9" s="188"/>
      <c r="E9" s="188"/>
      <c r="F9" s="188"/>
      <c r="G9" s="188"/>
      <c r="H9" s="188"/>
      <c r="I9" s="188"/>
      <c r="J9" s="188"/>
      <c r="K9" s="188"/>
      <c r="L9" s="174"/>
      <c r="M9" s="191"/>
      <c r="N9" s="188"/>
      <c r="O9" s="188"/>
      <c r="P9" s="188"/>
      <c r="Q9" s="188"/>
      <c r="R9" s="188"/>
      <c r="S9" s="188"/>
      <c r="T9" s="188"/>
      <c r="U9" s="188"/>
      <c r="V9" s="188"/>
      <c r="W9" s="174"/>
      <c r="X9" s="191"/>
      <c r="Y9" s="188"/>
      <c r="Z9" s="188"/>
      <c r="AA9" s="188"/>
      <c r="AB9" s="188"/>
      <c r="AC9" s="188"/>
      <c r="AD9" s="188"/>
      <c r="AE9" s="188"/>
      <c r="AF9" s="188"/>
      <c r="AG9" s="188"/>
      <c r="AH9" s="174"/>
      <c r="AI9" s="191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74"/>
      <c r="AU9" s="191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97"/>
    </row>
    <row r="10" spans="2:58" ht="13" customHeight="1" x14ac:dyDescent="0.25">
      <c r="B10" s="201" t="s">
        <v>236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8"/>
      <c r="M10" s="212" t="s">
        <v>237</v>
      </c>
      <c r="N10" s="127"/>
      <c r="O10" s="127"/>
      <c r="P10" s="127"/>
      <c r="Q10" s="127"/>
      <c r="R10" s="127"/>
      <c r="S10" s="127"/>
      <c r="T10" s="127"/>
      <c r="U10" s="127"/>
      <c r="V10" s="127"/>
      <c r="W10" s="128"/>
      <c r="X10" s="139" t="s">
        <v>238</v>
      </c>
      <c r="Y10" s="127"/>
      <c r="Z10" s="127"/>
      <c r="AA10" s="127"/>
      <c r="AB10" s="127"/>
      <c r="AC10" s="127"/>
      <c r="AD10" s="127"/>
      <c r="AE10" s="127"/>
      <c r="AF10" s="127"/>
      <c r="AG10" s="127"/>
      <c r="AH10" s="128"/>
      <c r="AI10" s="139" t="s">
        <v>239</v>
      </c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8"/>
      <c r="AU10" s="124" t="s">
        <v>240</v>
      </c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206"/>
    </row>
    <row r="11" spans="2:58" ht="13" customHeight="1" x14ac:dyDescent="0.25">
      <c r="B11" s="181"/>
      <c r="C11" s="182"/>
      <c r="D11" s="182"/>
      <c r="E11" s="182"/>
      <c r="F11" s="182"/>
      <c r="G11" s="182"/>
      <c r="H11" s="182"/>
      <c r="I11" s="182"/>
      <c r="J11" s="182"/>
      <c r="K11" s="182"/>
      <c r="L11" s="183"/>
      <c r="M11" s="189"/>
      <c r="N11" s="182"/>
      <c r="O11" s="182"/>
      <c r="P11" s="182"/>
      <c r="Q11" s="182"/>
      <c r="R11" s="182"/>
      <c r="S11" s="182"/>
      <c r="T11" s="182"/>
      <c r="U11" s="182"/>
      <c r="V11" s="182"/>
      <c r="W11" s="183"/>
      <c r="X11" s="189"/>
      <c r="Y11" s="182"/>
      <c r="Z11" s="182"/>
      <c r="AA11" s="182"/>
      <c r="AB11" s="182"/>
      <c r="AC11" s="182"/>
      <c r="AD11" s="182"/>
      <c r="AE11" s="182"/>
      <c r="AF11" s="182"/>
      <c r="AG11" s="182"/>
      <c r="AH11" s="183"/>
      <c r="AI11" s="189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3"/>
      <c r="AU11" s="198"/>
      <c r="AV11" s="182"/>
      <c r="AW11" s="182"/>
      <c r="AX11" s="182"/>
      <c r="AY11" s="182"/>
      <c r="AZ11" s="182"/>
      <c r="BA11" s="182"/>
      <c r="BB11" s="182"/>
      <c r="BC11" s="182"/>
      <c r="BD11" s="182"/>
      <c r="BE11" s="182"/>
      <c r="BF11" s="195"/>
    </row>
    <row r="12" spans="2:58" ht="13" customHeight="1" x14ac:dyDescent="0.25">
      <c r="B12" s="184"/>
      <c r="C12" s="185"/>
      <c r="D12" s="185"/>
      <c r="E12" s="185"/>
      <c r="F12" s="185"/>
      <c r="G12" s="185"/>
      <c r="H12" s="185"/>
      <c r="I12" s="185"/>
      <c r="J12" s="185"/>
      <c r="K12" s="185"/>
      <c r="L12" s="186"/>
      <c r="M12" s="190"/>
      <c r="N12" s="185"/>
      <c r="O12" s="185"/>
      <c r="P12" s="185"/>
      <c r="Q12" s="185"/>
      <c r="R12" s="185"/>
      <c r="S12" s="185"/>
      <c r="T12" s="185"/>
      <c r="U12" s="185"/>
      <c r="V12" s="185"/>
      <c r="W12" s="186"/>
      <c r="X12" s="190"/>
      <c r="Y12" s="185"/>
      <c r="Z12" s="185"/>
      <c r="AA12" s="185"/>
      <c r="AB12" s="185"/>
      <c r="AC12" s="185"/>
      <c r="AD12" s="185"/>
      <c r="AE12" s="185"/>
      <c r="AF12" s="185"/>
      <c r="AG12" s="185"/>
      <c r="AH12" s="186"/>
      <c r="AI12" s="190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6"/>
      <c r="AU12" s="190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96"/>
    </row>
    <row r="13" spans="2:58" ht="13" customHeight="1" x14ac:dyDescent="0.25">
      <c r="B13" s="184"/>
      <c r="C13" s="185"/>
      <c r="D13" s="185"/>
      <c r="E13" s="185"/>
      <c r="F13" s="185"/>
      <c r="G13" s="185"/>
      <c r="H13" s="185"/>
      <c r="I13" s="185"/>
      <c r="J13" s="185"/>
      <c r="K13" s="185"/>
      <c r="L13" s="186"/>
      <c r="M13" s="190"/>
      <c r="N13" s="185"/>
      <c r="O13" s="185"/>
      <c r="P13" s="185"/>
      <c r="Q13" s="185"/>
      <c r="R13" s="185"/>
      <c r="S13" s="185"/>
      <c r="T13" s="185"/>
      <c r="U13" s="185"/>
      <c r="V13" s="185"/>
      <c r="W13" s="186"/>
      <c r="X13" s="190"/>
      <c r="Y13" s="185"/>
      <c r="Z13" s="185"/>
      <c r="AA13" s="185"/>
      <c r="AB13" s="185"/>
      <c r="AC13" s="185"/>
      <c r="AD13" s="185"/>
      <c r="AE13" s="185"/>
      <c r="AF13" s="185"/>
      <c r="AG13" s="185"/>
      <c r="AH13" s="186"/>
      <c r="AI13" s="190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6"/>
      <c r="AU13" s="190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96"/>
    </row>
    <row r="14" spans="2:58" ht="13" customHeight="1" x14ac:dyDescent="0.25">
      <c r="B14" s="184"/>
      <c r="C14" s="185"/>
      <c r="D14" s="185"/>
      <c r="E14" s="185"/>
      <c r="F14" s="185"/>
      <c r="G14" s="185"/>
      <c r="H14" s="185"/>
      <c r="I14" s="185"/>
      <c r="J14" s="185"/>
      <c r="K14" s="185"/>
      <c r="L14" s="186"/>
      <c r="M14" s="190"/>
      <c r="N14" s="185"/>
      <c r="O14" s="185"/>
      <c r="P14" s="185"/>
      <c r="Q14" s="185"/>
      <c r="R14" s="185"/>
      <c r="S14" s="185"/>
      <c r="T14" s="185"/>
      <c r="U14" s="185"/>
      <c r="V14" s="185"/>
      <c r="W14" s="186"/>
      <c r="X14" s="190"/>
      <c r="Y14" s="185"/>
      <c r="Z14" s="185"/>
      <c r="AA14" s="185"/>
      <c r="AB14" s="185"/>
      <c r="AC14" s="185"/>
      <c r="AD14" s="185"/>
      <c r="AE14" s="185"/>
      <c r="AF14" s="185"/>
      <c r="AG14" s="185"/>
      <c r="AH14" s="186"/>
      <c r="AI14" s="190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6"/>
      <c r="AU14" s="190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96"/>
    </row>
    <row r="15" spans="2:58" ht="13" customHeight="1" x14ac:dyDescent="0.25">
      <c r="B15" s="184"/>
      <c r="C15" s="185"/>
      <c r="D15" s="185"/>
      <c r="E15" s="185"/>
      <c r="F15" s="185"/>
      <c r="G15" s="185"/>
      <c r="H15" s="185"/>
      <c r="I15" s="185"/>
      <c r="J15" s="185"/>
      <c r="K15" s="185"/>
      <c r="L15" s="186"/>
      <c r="M15" s="190"/>
      <c r="N15" s="185"/>
      <c r="O15" s="185"/>
      <c r="P15" s="185"/>
      <c r="Q15" s="185"/>
      <c r="R15" s="185"/>
      <c r="S15" s="185"/>
      <c r="T15" s="185"/>
      <c r="U15" s="185"/>
      <c r="V15" s="185"/>
      <c r="W15" s="186"/>
      <c r="X15" s="190"/>
      <c r="Y15" s="185"/>
      <c r="Z15" s="185"/>
      <c r="AA15" s="185"/>
      <c r="AB15" s="185"/>
      <c r="AC15" s="185"/>
      <c r="AD15" s="185"/>
      <c r="AE15" s="185"/>
      <c r="AF15" s="185"/>
      <c r="AG15" s="185"/>
      <c r="AH15" s="186"/>
      <c r="AI15" s="190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6"/>
      <c r="AU15" s="190"/>
      <c r="AV15" s="185"/>
      <c r="AW15" s="185"/>
      <c r="AX15" s="185"/>
      <c r="AY15" s="185"/>
      <c r="AZ15" s="185"/>
      <c r="BA15" s="185"/>
      <c r="BB15" s="185"/>
      <c r="BC15" s="185"/>
      <c r="BD15" s="185"/>
      <c r="BE15" s="185"/>
      <c r="BF15" s="196"/>
    </row>
    <row r="16" spans="2:58" ht="13" customHeight="1" x14ac:dyDescent="0.25">
      <c r="B16" s="184"/>
      <c r="C16" s="185"/>
      <c r="D16" s="185"/>
      <c r="E16" s="185"/>
      <c r="F16" s="185"/>
      <c r="G16" s="185"/>
      <c r="H16" s="185"/>
      <c r="I16" s="185"/>
      <c r="J16" s="185"/>
      <c r="K16" s="185"/>
      <c r="L16" s="186"/>
      <c r="M16" s="190"/>
      <c r="N16" s="185"/>
      <c r="O16" s="185"/>
      <c r="P16" s="185"/>
      <c r="Q16" s="185"/>
      <c r="R16" s="185"/>
      <c r="S16" s="185"/>
      <c r="T16" s="185"/>
      <c r="U16" s="185"/>
      <c r="V16" s="185"/>
      <c r="W16" s="186"/>
      <c r="X16" s="190"/>
      <c r="Y16" s="185"/>
      <c r="Z16" s="185"/>
      <c r="AA16" s="185"/>
      <c r="AB16" s="185"/>
      <c r="AC16" s="185"/>
      <c r="AD16" s="185"/>
      <c r="AE16" s="185"/>
      <c r="AF16" s="185"/>
      <c r="AG16" s="185"/>
      <c r="AH16" s="186"/>
      <c r="AI16" s="190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6"/>
      <c r="AU16" s="190"/>
      <c r="AV16" s="185"/>
      <c r="AW16" s="185"/>
      <c r="AX16" s="185"/>
      <c r="AY16" s="185"/>
      <c r="AZ16" s="185"/>
      <c r="BA16" s="185"/>
      <c r="BB16" s="185"/>
      <c r="BC16" s="185"/>
      <c r="BD16" s="185"/>
      <c r="BE16" s="185"/>
      <c r="BF16" s="196"/>
    </row>
    <row r="17" spans="2:58" ht="13" customHeight="1" x14ac:dyDescent="0.25">
      <c r="B17" s="187"/>
      <c r="C17" s="188"/>
      <c r="D17" s="188"/>
      <c r="E17" s="188"/>
      <c r="F17" s="188"/>
      <c r="G17" s="188"/>
      <c r="H17" s="188"/>
      <c r="I17" s="188"/>
      <c r="J17" s="188"/>
      <c r="K17" s="188"/>
      <c r="L17" s="174"/>
      <c r="M17" s="191"/>
      <c r="N17" s="188"/>
      <c r="O17" s="188"/>
      <c r="P17" s="188"/>
      <c r="Q17" s="188"/>
      <c r="R17" s="188"/>
      <c r="S17" s="188"/>
      <c r="T17" s="188"/>
      <c r="U17" s="188"/>
      <c r="V17" s="188"/>
      <c r="W17" s="174"/>
      <c r="X17" s="191"/>
      <c r="Y17" s="188"/>
      <c r="Z17" s="188"/>
      <c r="AA17" s="188"/>
      <c r="AB17" s="188"/>
      <c r="AC17" s="188"/>
      <c r="AD17" s="188"/>
      <c r="AE17" s="188"/>
      <c r="AF17" s="188"/>
      <c r="AG17" s="188"/>
      <c r="AH17" s="174"/>
      <c r="AI17" s="191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74"/>
      <c r="AU17" s="191"/>
      <c r="AV17" s="188"/>
      <c r="AW17" s="188"/>
      <c r="AX17" s="188"/>
      <c r="AY17" s="188"/>
      <c r="AZ17" s="188"/>
      <c r="BA17" s="188"/>
      <c r="BB17" s="188"/>
      <c r="BC17" s="188"/>
      <c r="BD17" s="188"/>
      <c r="BE17" s="188"/>
      <c r="BF17" s="197"/>
    </row>
    <row r="18" spans="2:58" ht="13" customHeight="1" x14ac:dyDescent="0.25">
      <c r="B18" s="201" t="s">
        <v>241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202" t="s">
        <v>242</v>
      </c>
      <c r="N18" s="127"/>
      <c r="O18" s="127"/>
      <c r="P18" s="127"/>
      <c r="Q18" s="127"/>
      <c r="R18" s="127"/>
      <c r="S18" s="127"/>
      <c r="T18" s="127"/>
      <c r="U18" s="127"/>
      <c r="V18" s="127"/>
      <c r="W18" s="128"/>
      <c r="X18" s="200" t="s">
        <v>243</v>
      </c>
      <c r="Y18" s="127"/>
      <c r="Z18" s="127"/>
      <c r="AA18" s="127"/>
      <c r="AB18" s="127"/>
      <c r="AC18" s="127"/>
      <c r="AD18" s="127"/>
      <c r="AE18" s="127"/>
      <c r="AF18" s="127"/>
      <c r="AG18" s="127"/>
      <c r="AH18" s="128"/>
      <c r="AI18" s="122" t="s">
        <v>244</v>
      </c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8"/>
      <c r="AU18" s="124" t="s">
        <v>245</v>
      </c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206"/>
    </row>
    <row r="19" spans="2:58" ht="13" customHeight="1" x14ac:dyDescent="0.25">
      <c r="B19" s="181"/>
      <c r="C19" s="182"/>
      <c r="D19" s="182"/>
      <c r="E19" s="182"/>
      <c r="F19" s="182"/>
      <c r="G19" s="182"/>
      <c r="H19" s="182"/>
      <c r="I19" s="182"/>
      <c r="J19" s="182"/>
      <c r="K19" s="182"/>
      <c r="L19" s="183"/>
      <c r="M19" s="199"/>
      <c r="N19" s="182"/>
      <c r="O19" s="182"/>
      <c r="P19" s="182"/>
      <c r="Q19" s="182"/>
      <c r="R19" s="182"/>
      <c r="S19" s="182"/>
      <c r="T19" s="182"/>
      <c r="U19" s="182"/>
      <c r="V19" s="182"/>
      <c r="W19" s="183"/>
      <c r="X19" s="216"/>
      <c r="Y19" s="182"/>
      <c r="Z19" s="182"/>
      <c r="AA19" s="182"/>
      <c r="AB19" s="182"/>
      <c r="AC19" s="182"/>
      <c r="AD19" s="182"/>
      <c r="AE19" s="182"/>
      <c r="AF19" s="182"/>
      <c r="AG19" s="182"/>
      <c r="AH19" s="183"/>
      <c r="AI19" s="193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3"/>
      <c r="AU19" s="198"/>
      <c r="AV19" s="182"/>
      <c r="AW19" s="182"/>
      <c r="AX19" s="182"/>
      <c r="AY19" s="182"/>
      <c r="AZ19" s="182"/>
      <c r="BA19" s="182"/>
      <c r="BB19" s="182"/>
      <c r="BC19" s="182"/>
      <c r="BD19" s="182"/>
      <c r="BE19" s="182"/>
      <c r="BF19" s="195"/>
    </row>
    <row r="20" spans="2:58" ht="13" customHeight="1" x14ac:dyDescent="0.25">
      <c r="B20" s="184"/>
      <c r="C20" s="185"/>
      <c r="D20" s="185"/>
      <c r="E20" s="185"/>
      <c r="F20" s="185"/>
      <c r="G20" s="185"/>
      <c r="H20" s="185"/>
      <c r="I20" s="185"/>
      <c r="J20" s="185"/>
      <c r="K20" s="185"/>
      <c r="L20" s="186"/>
      <c r="M20" s="190"/>
      <c r="N20" s="185"/>
      <c r="O20" s="185"/>
      <c r="P20" s="185"/>
      <c r="Q20" s="185"/>
      <c r="R20" s="185"/>
      <c r="S20" s="185"/>
      <c r="T20" s="185"/>
      <c r="U20" s="185"/>
      <c r="V20" s="185"/>
      <c r="W20" s="186"/>
      <c r="X20" s="190"/>
      <c r="Y20" s="185"/>
      <c r="Z20" s="185"/>
      <c r="AA20" s="185"/>
      <c r="AB20" s="185"/>
      <c r="AC20" s="185"/>
      <c r="AD20" s="185"/>
      <c r="AE20" s="185"/>
      <c r="AF20" s="185"/>
      <c r="AG20" s="185"/>
      <c r="AH20" s="186"/>
      <c r="AI20" s="190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6"/>
      <c r="AU20" s="190"/>
      <c r="AV20" s="185"/>
      <c r="AW20" s="185"/>
      <c r="AX20" s="185"/>
      <c r="AY20" s="185"/>
      <c r="AZ20" s="185"/>
      <c r="BA20" s="185"/>
      <c r="BB20" s="185"/>
      <c r="BC20" s="185"/>
      <c r="BD20" s="185"/>
      <c r="BE20" s="185"/>
      <c r="BF20" s="196"/>
    </row>
    <row r="21" spans="2:58" ht="13" customHeight="1" x14ac:dyDescent="0.25">
      <c r="B21" s="184"/>
      <c r="C21" s="185"/>
      <c r="D21" s="185"/>
      <c r="E21" s="185"/>
      <c r="F21" s="185"/>
      <c r="G21" s="185"/>
      <c r="H21" s="185"/>
      <c r="I21" s="185"/>
      <c r="J21" s="185"/>
      <c r="K21" s="185"/>
      <c r="L21" s="186"/>
      <c r="M21" s="190"/>
      <c r="N21" s="185"/>
      <c r="O21" s="185"/>
      <c r="P21" s="185"/>
      <c r="Q21" s="185"/>
      <c r="R21" s="185"/>
      <c r="S21" s="185"/>
      <c r="T21" s="185"/>
      <c r="U21" s="185"/>
      <c r="V21" s="185"/>
      <c r="W21" s="186"/>
      <c r="X21" s="190"/>
      <c r="Y21" s="185"/>
      <c r="Z21" s="185"/>
      <c r="AA21" s="185"/>
      <c r="AB21" s="185"/>
      <c r="AC21" s="185"/>
      <c r="AD21" s="185"/>
      <c r="AE21" s="185"/>
      <c r="AF21" s="185"/>
      <c r="AG21" s="185"/>
      <c r="AH21" s="186"/>
      <c r="AI21" s="190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6"/>
      <c r="AU21" s="190"/>
      <c r="AV21" s="185"/>
      <c r="AW21" s="185"/>
      <c r="AX21" s="185"/>
      <c r="AY21" s="185"/>
      <c r="AZ21" s="185"/>
      <c r="BA21" s="185"/>
      <c r="BB21" s="185"/>
      <c r="BC21" s="185"/>
      <c r="BD21" s="185"/>
      <c r="BE21" s="185"/>
      <c r="BF21" s="196"/>
    </row>
    <row r="22" spans="2:58" ht="13" customHeight="1" x14ac:dyDescent="0.25">
      <c r="B22" s="184"/>
      <c r="C22" s="185"/>
      <c r="D22" s="185"/>
      <c r="E22" s="185"/>
      <c r="F22" s="185"/>
      <c r="G22" s="185"/>
      <c r="H22" s="185"/>
      <c r="I22" s="185"/>
      <c r="J22" s="185"/>
      <c r="K22" s="185"/>
      <c r="L22" s="186"/>
      <c r="M22" s="190"/>
      <c r="N22" s="185"/>
      <c r="O22" s="185"/>
      <c r="P22" s="185"/>
      <c r="Q22" s="185"/>
      <c r="R22" s="185"/>
      <c r="S22" s="185"/>
      <c r="T22" s="185"/>
      <c r="U22" s="185"/>
      <c r="V22" s="185"/>
      <c r="W22" s="186"/>
      <c r="X22" s="190"/>
      <c r="Y22" s="185"/>
      <c r="Z22" s="185"/>
      <c r="AA22" s="185"/>
      <c r="AB22" s="185"/>
      <c r="AC22" s="185"/>
      <c r="AD22" s="185"/>
      <c r="AE22" s="185"/>
      <c r="AF22" s="185"/>
      <c r="AG22" s="185"/>
      <c r="AH22" s="186"/>
      <c r="AI22" s="190"/>
      <c r="AJ22" s="185"/>
      <c r="AK22" s="185"/>
      <c r="AL22" s="185"/>
      <c r="AM22" s="185"/>
      <c r="AN22" s="185"/>
      <c r="AO22" s="185"/>
      <c r="AP22" s="185"/>
      <c r="AQ22" s="185"/>
      <c r="AR22" s="185"/>
      <c r="AS22" s="185"/>
      <c r="AT22" s="186"/>
      <c r="AU22" s="190"/>
      <c r="AV22" s="185"/>
      <c r="AW22" s="185"/>
      <c r="AX22" s="185"/>
      <c r="AY22" s="185"/>
      <c r="AZ22" s="185"/>
      <c r="BA22" s="185"/>
      <c r="BB22" s="185"/>
      <c r="BC22" s="185"/>
      <c r="BD22" s="185"/>
      <c r="BE22" s="185"/>
      <c r="BF22" s="196"/>
    </row>
    <row r="23" spans="2:58" ht="13" customHeight="1" x14ac:dyDescent="0.25">
      <c r="B23" s="184"/>
      <c r="C23" s="185"/>
      <c r="D23" s="185"/>
      <c r="E23" s="185"/>
      <c r="F23" s="185"/>
      <c r="G23" s="185"/>
      <c r="H23" s="185"/>
      <c r="I23" s="185"/>
      <c r="J23" s="185"/>
      <c r="K23" s="185"/>
      <c r="L23" s="186"/>
      <c r="M23" s="190"/>
      <c r="N23" s="185"/>
      <c r="O23" s="185"/>
      <c r="P23" s="185"/>
      <c r="Q23" s="185"/>
      <c r="R23" s="185"/>
      <c r="S23" s="185"/>
      <c r="T23" s="185"/>
      <c r="U23" s="185"/>
      <c r="V23" s="185"/>
      <c r="W23" s="186"/>
      <c r="X23" s="190"/>
      <c r="Y23" s="185"/>
      <c r="Z23" s="185"/>
      <c r="AA23" s="185"/>
      <c r="AB23" s="185"/>
      <c r="AC23" s="185"/>
      <c r="AD23" s="185"/>
      <c r="AE23" s="185"/>
      <c r="AF23" s="185"/>
      <c r="AG23" s="185"/>
      <c r="AH23" s="186"/>
      <c r="AI23" s="190"/>
      <c r="AJ23" s="185"/>
      <c r="AK23" s="185"/>
      <c r="AL23" s="185"/>
      <c r="AM23" s="185"/>
      <c r="AN23" s="185"/>
      <c r="AO23" s="185"/>
      <c r="AP23" s="185"/>
      <c r="AQ23" s="185"/>
      <c r="AR23" s="185"/>
      <c r="AS23" s="185"/>
      <c r="AT23" s="186"/>
      <c r="AU23" s="190"/>
      <c r="AV23" s="185"/>
      <c r="AW23" s="185"/>
      <c r="AX23" s="185"/>
      <c r="AY23" s="185"/>
      <c r="AZ23" s="185"/>
      <c r="BA23" s="185"/>
      <c r="BB23" s="185"/>
      <c r="BC23" s="185"/>
      <c r="BD23" s="185"/>
      <c r="BE23" s="185"/>
      <c r="BF23" s="196"/>
    </row>
    <row r="24" spans="2:58" ht="13" customHeight="1" x14ac:dyDescent="0.25">
      <c r="B24" s="187"/>
      <c r="C24" s="188"/>
      <c r="D24" s="188"/>
      <c r="E24" s="188"/>
      <c r="F24" s="188"/>
      <c r="G24" s="188"/>
      <c r="H24" s="188"/>
      <c r="I24" s="188"/>
      <c r="J24" s="188"/>
      <c r="K24" s="188"/>
      <c r="L24" s="174"/>
      <c r="M24" s="191"/>
      <c r="N24" s="188"/>
      <c r="O24" s="188"/>
      <c r="P24" s="188"/>
      <c r="Q24" s="188"/>
      <c r="R24" s="188"/>
      <c r="S24" s="188"/>
      <c r="T24" s="188"/>
      <c r="U24" s="188"/>
      <c r="V24" s="188"/>
      <c r="W24" s="174"/>
      <c r="X24" s="191"/>
      <c r="Y24" s="188"/>
      <c r="Z24" s="188"/>
      <c r="AA24" s="188"/>
      <c r="AB24" s="188"/>
      <c r="AC24" s="188"/>
      <c r="AD24" s="188"/>
      <c r="AE24" s="188"/>
      <c r="AF24" s="188"/>
      <c r="AG24" s="188"/>
      <c r="AH24" s="174"/>
      <c r="AI24" s="191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74"/>
      <c r="AU24" s="191"/>
      <c r="AV24" s="188"/>
      <c r="AW24" s="188"/>
      <c r="AX24" s="188"/>
      <c r="AY24" s="188"/>
      <c r="AZ24" s="188"/>
      <c r="BA24" s="188"/>
      <c r="BB24" s="188"/>
      <c r="BC24" s="188"/>
      <c r="BD24" s="188"/>
      <c r="BE24" s="188"/>
      <c r="BF24" s="197"/>
    </row>
    <row r="25" spans="2:58" ht="13" customHeight="1" x14ac:dyDescent="0.25">
      <c r="B25" s="201" t="s">
        <v>246</v>
      </c>
      <c r="C25" s="127"/>
      <c r="D25" s="127"/>
      <c r="E25" s="127"/>
      <c r="F25" s="127"/>
      <c r="G25" s="127"/>
      <c r="H25" s="127"/>
      <c r="I25" s="127"/>
      <c r="J25" s="127"/>
      <c r="K25" s="127"/>
      <c r="L25" s="128"/>
      <c r="M25" s="139" t="s">
        <v>247</v>
      </c>
      <c r="N25" s="127"/>
      <c r="O25" s="127"/>
      <c r="P25" s="127"/>
      <c r="Q25" s="127"/>
      <c r="R25" s="127"/>
      <c r="S25" s="127"/>
      <c r="T25" s="127"/>
      <c r="U25" s="127"/>
      <c r="V25" s="127"/>
      <c r="W25" s="128"/>
      <c r="X25" s="205" t="s">
        <v>248</v>
      </c>
      <c r="Y25" s="127"/>
      <c r="Z25" s="127"/>
      <c r="AA25" s="127"/>
      <c r="AB25" s="127"/>
      <c r="AC25" s="127"/>
      <c r="AD25" s="127"/>
      <c r="AE25" s="127"/>
      <c r="AF25" s="127"/>
      <c r="AG25" s="127"/>
      <c r="AH25" s="128"/>
      <c r="AI25" s="124" t="s">
        <v>249</v>
      </c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8"/>
      <c r="AU25" s="124" t="s">
        <v>250</v>
      </c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  <c r="BF25" s="206"/>
    </row>
    <row r="26" spans="2:58" ht="13" customHeight="1" x14ac:dyDescent="0.25">
      <c r="B26" s="181"/>
      <c r="C26" s="182"/>
      <c r="D26" s="182"/>
      <c r="E26" s="182"/>
      <c r="F26" s="182"/>
      <c r="G26" s="182"/>
      <c r="H26" s="182"/>
      <c r="I26" s="182"/>
      <c r="J26" s="182"/>
      <c r="K26" s="182"/>
      <c r="L26" s="183"/>
      <c r="M26" s="203"/>
      <c r="N26" s="182"/>
      <c r="O26" s="182"/>
      <c r="P26" s="182"/>
      <c r="Q26" s="182"/>
      <c r="R26" s="182"/>
      <c r="S26" s="182"/>
      <c r="T26" s="182"/>
      <c r="U26" s="182"/>
      <c r="V26" s="182"/>
      <c r="W26" s="183"/>
      <c r="X26" s="192"/>
      <c r="Y26" s="182"/>
      <c r="Z26" s="182"/>
      <c r="AA26" s="182"/>
      <c r="AB26" s="182"/>
      <c r="AC26" s="182"/>
      <c r="AD26" s="182"/>
      <c r="AE26" s="182"/>
      <c r="AF26" s="182"/>
      <c r="AG26" s="182"/>
      <c r="AH26" s="183"/>
      <c r="AI26" s="198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3"/>
      <c r="AU26" s="198"/>
      <c r="AV26" s="182"/>
      <c r="AW26" s="182"/>
      <c r="AX26" s="182"/>
      <c r="AY26" s="182"/>
      <c r="AZ26" s="182"/>
      <c r="BA26" s="182"/>
      <c r="BB26" s="182"/>
      <c r="BC26" s="182"/>
      <c r="BD26" s="182"/>
      <c r="BE26" s="182"/>
      <c r="BF26" s="195"/>
    </row>
    <row r="27" spans="2:58" ht="13" customHeight="1" x14ac:dyDescent="0.25">
      <c r="B27" s="184"/>
      <c r="C27" s="185"/>
      <c r="D27" s="185"/>
      <c r="E27" s="185"/>
      <c r="F27" s="185"/>
      <c r="G27" s="185"/>
      <c r="H27" s="185"/>
      <c r="I27" s="185"/>
      <c r="J27" s="185"/>
      <c r="K27" s="185"/>
      <c r="L27" s="186"/>
      <c r="M27" s="190"/>
      <c r="N27" s="185"/>
      <c r="O27" s="185"/>
      <c r="P27" s="185"/>
      <c r="Q27" s="185"/>
      <c r="R27" s="185"/>
      <c r="S27" s="185"/>
      <c r="T27" s="185"/>
      <c r="U27" s="185"/>
      <c r="V27" s="185"/>
      <c r="W27" s="186"/>
      <c r="X27" s="190"/>
      <c r="Y27" s="185"/>
      <c r="Z27" s="185"/>
      <c r="AA27" s="185"/>
      <c r="AB27" s="185"/>
      <c r="AC27" s="185"/>
      <c r="AD27" s="185"/>
      <c r="AE27" s="185"/>
      <c r="AF27" s="185"/>
      <c r="AG27" s="185"/>
      <c r="AH27" s="186"/>
      <c r="AI27" s="190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6"/>
      <c r="AU27" s="190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96"/>
    </row>
    <row r="28" spans="2:58" ht="13" customHeight="1" x14ac:dyDescent="0.25">
      <c r="B28" s="184"/>
      <c r="C28" s="185"/>
      <c r="D28" s="185"/>
      <c r="E28" s="185"/>
      <c r="F28" s="185"/>
      <c r="G28" s="185"/>
      <c r="H28" s="185"/>
      <c r="I28" s="185"/>
      <c r="J28" s="185"/>
      <c r="K28" s="185"/>
      <c r="L28" s="186"/>
      <c r="M28" s="190"/>
      <c r="N28" s="185"/>
      <c r="O28" s="185"/>
      <c r="P28" s="185"/>
      <c r="Q28" s="185"/>
      <c r="R28" s="185"/>
      <c r="S28" s="185"/>
      <c r="T28" s="185"/>
      <c r="U28" s="185"/>
      <c r="V28" s="185"/>
      <c r="W28" s="186"/>
      <c r="X28" s="190"/>
      <c r="Y28" s="185"/>
      <c r="Z28" s="185"/>
      <c r="AA28" s="185"/>
      <c r="AB28" s="185"/>
      <c r="AC28" s="185"/>
      <c r="AD28" s="185"/>
      <c r="AE28" s="185"/>
      <c r="AF28" s="185"/>
      <c r="AG28" s="185"/>
      <c r="AH28" s="186"/>
      <c r="AI28" s="190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6"/>
      <c r="AU28" s="190"/>
      <c r="AV28" s="185"/>
      <c r="AW28" s="185"/>
      <c r="AX28" s="185"/>
      <c r="AY28" s="185"/>
      <c r="AZ28" s="185"/>
      <c r="BA28" s="185"/>
      <c r="BB28" s="185"/>
      <c r="BC28" s="185"/>
      <c r="BD28" s="185"/>
      <c r="BE28" s="185"/>
      <c r="BF28" s="196"/>
    </row>
    <row r="29" spans="2:58" ht="13" customHeight="1" x14ac:dyDescent="0.25">
      <c r="B29" s="184"/>
      <c r="C29" s="185"/>
      <c r="D29" s="185"/>
      <c r="E29" s="185"/>
      <c r="F29" s="185"/>
      <c r="G29" s="185"/>
      <c r="H29" s="185"/>
      <c r="I29" s="185"/>
      <c r="J29" s="185"/>
      <c r="K29" s="185"/>
      <c r="L29" s="186"/>
      <c r="M29" s="190"/>
      <c r="N29" s="185"/>
      <c r="O29" s="185"/>
      <c r="P29" s="185"/>
      <c r="Q29" s="185"/>
      <c r="R29" s="185"/>
      <c r="S29" s="185"/>
      <c r="T29" s="185"/>
      <c r="U29" s="185"/>
      <c r="V29" s="185"/>
      <c r="W29" s="186"/>
      <c r="X29" s="190"/>
      <c r="Y29" s="185"/>
      <c r="Z29" s="185"/>
      <c r="AA29" s="185"/>
      <c r="AB29" s="185"/>
      <c r="AC29" s="185"/>
      <c r="AD29" s="185"/>
      <c r="AE29" s="185"/>
      <c r="AF29" s="185"/>
      <c r="AG29" s="185"/>
      <c r="AH29" s="186"/>
      <c r="AI29" s="190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6"/>
      <c r="AU29" s="190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96"/>
    </row>
    <row r="30" spans="2:58" ht="13" customHeight="1" x14ac:dyDescent="0.25">
      <c r="B30" s="184"/>
      <c r="C30" s="185"/>
      <c r="D30" s="185"/>
      <c r="E30" s="185"/>
      <c r="F30" s="185"/>
      <c r="G30" s="185"/>
      <c r="H30" s="185"/>
      <c r="I30" s="185"/>
      <c r="J30" s="185"/>
      <c r="K30" s="185"/>
      <c r="L30" s="186"/>
      <c r="M30" s="190"/>
      <c r="N30" s="185"/>
      <c r="O30" s="185"/>
      <c r="P30" s="185"/>
      <c r="Q30" s="185"/>
      <c r="R30" s="185"/>
      <c r="S30" s="185"/>
      <c r="T30" s="185"/>
      <c r="U30" s="185"/>
      <c r="V30" s="185"/>
      <c r="W30" s="186"/>
      <c r="X30" s="190"/>
      <c r="Y30" s="185"/>
      <c r="Z30" s="185"/>
      <c r="AA30" s="185"/>
      <c r="AB30" s="185"/>
      <c r="AC30" s="185"/>
      <c r="AD30" s="185"/>
      <c r="AE30" s="185"/>
      <c r="AF30" s="185"/>
      <c r="AG30" s="185"/>
      <c r="AH30" s="186"/>
      <c r="AI30" s="190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6"/>
      <c r="AU30" s="190"/>
      <c r="AV30" s="185"/>
      <c r="AW30" s="185"/>
      <c r="AX30" s="185"/>
      <c r="AY30" s="185"/>
      <c r="AZ30" s="185"/>
      <c r="BA30" s="185"/>
      <c r="BB30" s="185"/>
      <c r="BC30" s="185"/>
      <c r="BD30" s="185"/>
      <c r="BE30" s="185"/>
      <c r="BF30" s="196"/>
    </row>
    <row r="31" spans="2:58" ht="13" customHeight="1" x14ac:dyDescent="0.25">
      <c r="B31" s="187"/>
      <c r="C31" s="188"/>
      <c r="D31" s="188"/>
      <c r="E31" s="188"/>
      <c r="F31" s="188"/>
      <c r="G31" s="188"/>
      <c r="H31" s="188"/>
      <c r="I31" s="188"/>
      <c r="J31" s="188"/>
      <c r="K31" s="188"/>
      <c r="L31" s="174"/>
      <c r="M31" s="191"/>
      <c r="N31" s="188"/>
      <c r="O31" s="188"/>
      <c r="P31" s="188"/>
      <c r="Q31" s="188"/>
      <c r="R31" s="188"/>
      <c r="S31" s="188"/>
      <c r="T31" s="188"/>
      <c r="U31" s="188"/>
      <c r="V31" s="188"/>
      <c r="W31" s="174"/>
      <c r="X31" s="191"/>
      <c r="Y31" s="188"/>
      <c r="Z31" s="188"/>
      <c r="AA31" s="188"/>
      <c r="AB31" s="188"/>
      <c r="AC31" s="188"/>
      <c r="AD31" s="188"/>
      <c r="AE31" s="188"/>
      <c r="AF31" s="188"/>
      <c r="AG31" s="188"/>
      <c r="AH31" s="174"/>
      <c r="AI31" s="191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74"/>
      <c r="AU31" s="191"/>
      <c r="AV31" s="188"/>
      <c r="AW31" s="188"/>
      <c r="AX31" s="188"/>
      <c r="AY31" s="188"/>
      <c r="AZ31" s="188"/>
      <c r="BA31" s="188"/>
      <c r="BB31" s="188"/>
      <c r="BC31" s="188"/>
      <c r="BD31" s="188"/>
      <c r="BE31" s="188"/>
      <c r="BF31" s="197"/>
    </row>
    <row r="32" spans="2:58" ht="13" customHeight="1" x14ac:dyDescent="0.25">
      <c r="B32" s="201" t="s">
        <v>251</v>
      </c>
      <c r="C32" s="127"/>
      <c r="D32" s="127"/>
      <c r="E32" s="127"/>
      <c r="F32" s="127"/>
      <c r="G32" s="127"/>
      <c r="H32" s="127"/>
      <c r="I32" s="127"/>
      <c r="J32" s="127"/>
      <c r="K32" s="127"/>
      <c r="L32" s="128"/>
      <c r="M32" s="204" t="s">
        <v>252</v>
      </c>
      <c r="N32" s="127"/>
      <c r="O32" s="127"/>
      <c r="P32" s="127"/>
      <c r="Q32" s="127"/>
      <c r="R32" s="127"/>
      <c r="S32" s="127"/>
      <c r="T32" s="127"/>
      <c r="U32" s="127"/>
      <c r="V32" s="127"/>
      <c r="W32" s="128"/>
      <c r="X32" s="205" t="s">
        <v>253</v>
      </c>
      <c r="Y32" s="127"/>
      <c r="Z32" s="127"/>
      <c r="AA32" s="127"/>
      <c r="AB32" s="127"/>
      <c r="AC32" s="127"/>
      <c r="AD32" s="127"/>
      <c r="AE32" s="127"/>
      <c r="AF32" s="127"/>
      <c r="AG32" s="127"/>
      <c r="AH32" s="128"/>
      <c r="AI32" s="124" t="s">
        <v>254</v>
      </c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8"/>
      <c r="AU32" s="124" t="s">
        <v>255</v>
      </c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206"/>
    </row>
    <row r="33" spans="2:58" ht="13" customHeight="1" x14ac:dyDescent="0.25">
      <c r="B33" s="181"/>
      <c r="C33" s="182"/>
      <c r="D33" s="182"/>
      <c r="E33" s="182"/>
      <c r="F33" s="182"/>
      <c r="G33" s="182"/>
      <c r="H33" s="182"/>
      <c r="I33" s="182"/>
      <c r="J33" s="182"/>
      <c r="K33" s="182"/>
      <c r="L33" s="183"/>
      <c r="M33" s="189"/>
      <c r="N33" s="182"/>
      <c r="O33" s="182"/>
      <c r="P33" s="182"/>
      <c r="Q33" s="182"/>
      <c r="R33" s="182"/>
      <c r="S33" s="182"/>
      <c r="T33" s="182"/>
      <c r="U33" s="182"/>
      <c r="V33" s="182"/>
      <c r="W33" s="183"/>
      <c r="X33" s="192"/>
      <c r="Y33" s="182"/>
      <c r="Z33" s="182"/>
      <c r="AA33" s="182"/>
      <c r="AB33" s="182"/>
      <c r="AC33" s="182"/>
      <c r="AD33" s="182"/>
      <c r="AE33" s="182"/>
      <c r="AF33" s="182"/>
      <c r="AG33" s="182"/>
      <c r="AH33" s="183"/>
      <c r="AI33" s="198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3"/>
      <c r="AU33" s="198"/>
      <c r="AV33" s="182"/>
      <c r="AW33" s="182"/>
      <c r="AX33" s="182"/>
      <c r="AY33" s="182"/>
      <c r="AZ33" s="182"/>
      <c r="BA33" s="182"/>
      <c r="BB33" s="182"/>
      <c r="BC33" s="182"/>
      <c r="BD33" s="182"/>
      <c r="BE33" s="182"/>
      <c r="BF33" s="195"/>
    </row>
    <row r="34" spans="2:58" ht="13" customHeight="1" x14ac:dyDescent="0.25">
      <c r="B34" s="184"/>
      <c r="C34" s="185"/>
      <c r="D34" s="185"/>
      <c r="E34" s="185"/>
      <c r="F34" s="185"/>
      <c r="G34" s="185"/>
      <c r="H34" s="185"/>
      <c r="I34" s="185"/>
      <c r="J34" s="185"/>
      <c r="K34" s="185"/>
      <c r="L34" s="186"/>
      <c r="M34" s="190"/>
      <c r="N34" s="185"/>
      <c r="O34" s="185"/>
      <c r="P34" s="185"/>
      <c r="Q34" s="185"/>
      <c r="R34" s="185"/>
      <c r="S34" s="185"/>
      <c r="T34" s="185"/>
      <c r="U34" s="185"/>
      <c r="V34" s="185"/>
      <c r="W34" s="186"/>
      <c r="X34" s="190"/>
      <c r="Y34" s="185"/>
      <c r="Z34" s="185"/>
      <c r="AA34" s="185"/>
      <c r="AB34" s="185"/>
      <c r="AC34" s="185"/>
      <c r="AD34" s="185"/>
      <c r="AE34" s="185"/>
      <c r="AF34" s="185"/>
      <c r="AG34" s="185"/>
      <c r="AH34" s="186"/>
      <c r="AI34" s="190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6"/>
      <c r="AU34" s="190"/>
      <c r="AV34" s="185"/>
      <c r="AW34" s="185"/>
      <c r="AX34" s="185"/>
      <c r="AY34" s="185"/>
      <c r="AZ34" s="185"/>
      <c r="BA34" s="185"/>
      <c r="BB34" s="185"/>
      <c r="BC34" s="185"/>
      <c r="BD34" s="185"/>
      <c r="BE34" s="185"/>
      <c r="BF34" s="196"/>
    </row>
    <row r="35" spans="2:58" ht="13" customHeight="1" x14ac:dyDescent="0.25">
      <c r="B35" s="184"/>
      <c r="C35" s="185"/>
      <c r="D35" s="185"/>
      <c r="E35" s="185"/>
      <c r="F35" s="185"/>
      <c r="G35" s="185"/>
      <c r="H35" s="185"/>
      <c r="I35" s="185"/>
      <c r="J35" s="185"/>
      <c r="K35" s="185"/>
      <c r="L35" s="186"/>
      <c r="M35" s="190"/>
      <c r="N35" s="185"/>
      <c r="O35" s="185"/>
      <c r="P35" s="185"/>
      <c r="Q35" s="185"/>
      <c r="R35" s="185"/>
      <c r="S35" s="185"/>
      <c r="T35" s="185"/>
      <c r="U35" s="185"/>
      <c r="V35" s="185"/>
      <c r="W35" s="186"/>
      <c r="X35" s="190"/>
      <c r="Y35" s="185"/>
      <c r="Z35" s="185"/>
      <c r="AA35" s="185"/>
      <c r="AB35" s="185"/>
      <c r="AC35" s="185"/>
      <c r="AD35" s="185"/>
      <c r="AE35" s="185"/>
      <c r="AF35" s="185"/>
      <c r="AG35" s="185"/>
      <c r="AH35" s="186"/>
      <c r="AI35" s="190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6"/>
      <c r="AU35" s="190"/>
      <c r="AV35" s="185"/>
      <c r="AW35" s="185"/>
      <c r="AX35" s="185"/>
      <c r="AY35" s="185"/>
      <c r="AZ35" s="185"/>
      <c r="BA35" s="185"/>
      <c r="BB35" s="185"/>
      <c r="BC35" s="185"/>
      <c r="BD35" s="185"/>
      <c r="BE35" s="185"/>
      <c r="BF35" s="196"/>
    </row>
    <row r="36" spans="2:58" ht="13" customHeight="1" x14ac:dyDescent="0.25">
      <c r="B36" s="184"/>
      <c r="C36" s="185"/>
      <c r="D36" s="185"/>
      <c r="E36" s="185"/>
      <c r="F36" s="185"/>
      <c r="G36" s="185"/>
      <c r="H36" s="185"/>
      <c r="I36" s="185"/>
      <c r="J36" s="185"/>
      <c r="K36" s="185"/>
      <c r="L36" s="186"/>
      <c r="M36" s="190"/>
      <c r="N36" s="185"/>
      <c r="O36" s="185"/>
      <c r="P36" s="185"/>
      <c r="Q36" s="185"/>
      <c r="R36" s="185"/>
      <c r="S36" s="185"/>
      <c r="T36" s="185"/>
      <c r="U36" s="185"/>
      <c r="V36" s="185"/>
      <c r="W36" s="186"/>
      <c r="X36" s="190"/>
      <c r="Y36" s="185"/>
      <c r="Z36" s="185"/>
      <c r="AA36" s="185"/>
      <c r="AB36" s="185"/>
      <c r="AC36" s="185"/>
      <c r="AD36" s="185"/>
      <c r="AE36" s="185"/>
      <c r="AF36" s="185"/>
      <c r="AG36" s="185"/>
      <c r="AH36" s="186"/>
      <c r="AI36" s="190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6"/>
      <c r="AU36" s="190"/>
      <c r="AV36" s="185"/>
      <c r="AW36" s="185"/>
      <c r="AX36" s="185"/>
      <c r="AY36" s="185"/>
      <c r="AZ36" s="185"/>
      <c r="BA36" s="185"/>
      <c r="BB36" s="185"/>
      <c r="BC36" s="185"/>
      <c r="BD36" s="185"/>
      <c r="BE36" s="185"/>
      <c r="BF36" s="196"/>
    </row>
    <row r="37" spans="2:58" ht="13" customHeight="1" x14ac:dyDescent="0.25">
      <c r="B37" s="184"/>
      <c r="C37" s="185"/>
      <c r="D37" s="185"/>
      <c r="E37" s="185"/>
      <c r="F37" s="185"/>
      <c r="G37" s="185"/>
      <c r="H37" s="185"/>
      <c r="I37" s="185"/>
      <c r="J37" s="185"/>
      <c r="K37" s="185"/>
      <c r="L37" s="186"/>
      <c r="M37" s="190"/>
      <c r="N37" s="185"/>
      <c r="O37" s="185"/>
      <c r="P37" s="185"/>
      <c r="Q37" s="185"/>
      <c r="R37" s="185"/>
      <c r="S37" s="185"/>
      <c r="T37" s="185"/>
      <c r="U37" s="185"/>
      <c r="V37" s="185"/>
      <c r="W37" s="186"/>
      <c r="X37" s="190"/>
      <c r="Y37" s="185"/>
      <c r="Z37" s="185"/>
      <c r="AA37" s="185"/>
      <c r="AB37" s="185"/>
      <c r="AC37" s="185"/>
      <c r="AD37" s="185"/>
      <c r="AE37" s="185"/>
      <c r="AF37" s="185"/>
      <c r="AG37" s="185"/>
      <c r="AH37" s="186"/>
      <c r="AI37" s="190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6"/>
      <c r="AU37" s="190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96"/>
    </row>
    <row r="38" spans="2:58" ht="13" customHeight="1" x14ac:dyDescent="0.25">
      <c r="B38" s="187"/>
      <c r="C38" s="188"/>
      <c r="D38" s="188"/>
      <c r="E38" s="188"/>
      <c r="F38" s="188"/>
      <c r="G38" s="188"/>
      <c r="H38" s="188"/>
      <c r="I38" s="188"/>
      <c r="J38" s="188"/>
      <c r="K38" s="188"/>
      <c r="L38" s="174"/>
      <c r="M38" s="191"/>
      <c r="N38" s="188"/>
      <c r="O38" s="188"/>
      <c r="P38" s="188"/>
      <c r="Q38" s="188"/>
      <c r="R38" s="188"/>
      <c r="S38" s="188"/>
      <c r="T38" s="188"/>
      <c r="U38" s="188"/>
      <c r="V38" s="188"/>
      <c r="W38" s="174"/>
      <c r="X38" s="191"/>
      <c r="Y38" s="188"/>
      <c r="Z38" s="188"/>
      <c r="AA38" s="188"/>
      <c r="AB38" s="188"/>
      <c r="AC38" s="188"/>
      <c r="AD38" s="188"/>
      <c r="AE38" s="188"/>
      <c r="AF38" s="188"/>
      <c r="AG38" s="188"/>
      <c r="AH38" s="174"/>
      <c r="AI38" s="191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74"/>
      <c r="AU38" s="191"/>
      <c r="AV38" s="188"/>
      <c r="AW38" s="188"/>
      <c r="AX38" s="188"/>
      <c r="AY38" s="188"/>
      <c r="AZ38" s="188"/>
      <c r="BA38" s="188"/>
      <c r="BB38" s="188"/>
      <c r="BC38" s="188"/>
      <c r="BD38" s="188"/>
      <c r="BE38" s="188"/>
      <c r="BF38" s="197"/>
    </row>
    <row r="39" spans="2:58" ht="13" customHeight="1" x14ac:dyDescent="0.25">
      <c r="B39" s="201" t="s">
        <v>256</v>
      </c>
      <c r="C39" s="127"/>
      <c r="D39" s="127"/>
      <c r="E39" s="127"/>
      <c r="F39" s="127"/>
      <c r="G39" s="127"/>
      <c r="H39" s="127"/>
      <c r="I39" s="127"/>
      <c r="J39" s="127"/>
      <c r="K39" s="127"/>
      <c r="L39" s="128"/>
      <c r="M39" s="204" t="s">
        <v>257</v>
      </c>
      <c r="N39" s="127"/>
      <c r="O39" s="127"/>
      <c r="P39" s="127"/>
      <c r="Q39" s="127"/>
      <c r="R39" s="127"/>
      <c r="S39" s="127"/>
      <c r="T39" s="127"/>
      <c r="U39" s="127"/>
      <c r="V39" s="127"/>
      <c r="W39" s="128"/>
      <c r="X39" s="205" t="s">
        <v>258</v>
      </c>
      <c r="Y39" s="127"/>
      <c r="Z39" s="127"/>
      <c r="AA39" s="127"/>
      <c r="AB39" s="127"/>
      <c r="AC39" s="127"/>
      <c r="AD39" s="127"/>
      <c r="AE39" s="127"/>
      <c r="AF39" s="127"/>
      <c r="AG39" s="127"/>
      <c r="AH39" s="128"/>
      <c r="AI39" s="124" t="s">
        <v>259</v>
      </c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8"/>
      <c r="AU39" s="124" t="s">
        <v>260</v>
      </c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206"/>
    </row>
    <row r="40" spans="2:58" ht="13" customHeight="1" x14ac:dyDescent="0.25">
      <c r="B40" s="181"/>
      <c r="C40" s="182"/>
      <c r="D40" s="182"/>
      <c r="E40" s="182"/>
      <c r="F40" s="182"/>
      <c r="G40" s="182"/>
      <c r="H40" s="182"/>
      <c r="I40" s="182"/>
      <c r="J40" s="182"/>
      <c r="K40" s="182"/>
      <c r="L40" s="183"/>
      <c r="M40" s="189"/>
      <c r="N40" s="182"/>
      <c r="O40" s="182"/>
      <c r="P40" s="182"/>
      <c r="Q40" s="182"/>
      <c r="R40" s="182"/>
      <c r="S40" s="182"/>
      <c r="T40" s="182"/>
      <c r="U40" s="182"/>
      <c r="V40" s="182"/>
      <c r="W40" s="183"/>
      <c r="X40" s="192"/>
      <c r="Y40" s="182"/>
      <c r="Z40" s="182"/>
      <c r="AA40" s="182"/>
      <c r="AB40" s="182"/>
      <c r="AC40" s="182"/>
      <c r="AD40" s="182"/>
      <c r="AE40" s="182"/>
      <c r="AF40" s="182"/>
      <c r="AG40" s="182"/>
      <c r="AH40" s="183"/>
      <c r="AI40" s="198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3"/>
      <c r="AU40" s="198"/>
      <c r="AV40" s="182"/>
      <c r="AW40" s="182"/>
      <c r="AX40" s="182"/>
      <c r="AY40" s="182"/>
      <c r="AZ40" s="182"/>
      <c r="BA40" s="182"/>
      <c r="BB40" s="182"/>
      <c r="BC40" s="182"/>
      <c r="BD40" s="182"/>
      <c r="BE40" s="182"/>
      <c r="BF40" s="195"/>
    </row>
    <row r="41" spans="2:58" ht="13" customHeight="1" x14ac:dyDescent="0.25">
      <c r="B41" s="184"/>
      <c r="C41" s="185"/>
      <c r="D41" s="185"/>
      <c r="E41" s="185"/>
      <c r="F41" s="185"/>
      <c r="G41" s="185"/>
      <c r="H41" s="185"/>
      <c r="I41" s="185"/>
      <c r="J41" s="185"/>
      <c r="K41" s="185"/>
      <c r="L41" s="186"/>
      <c r="M41" s="190"/>
      <c r="N41" s="185"/>
      <c r="O41" s="185"/>
      <c r="P41" s="185"/>
      <c r="Q41" s="185"/>
      <c r="R41" s="185"/>
      <c r="S41" s="185"/>
      <c r="T41" s="185"/>
      <c r="U41" s="185"/>
      <c r="V41" s="185"/>
      <c r="W41" s="186"/>
      <c r="X41" s="190"/>
      <c r="Y41" s="185"/>
      <c r="Z41" s="185"/>
      <c r="AA41" s="185"/>
      <c r="AB41" s="185"/>
      <c r="AC41" s="185"/>
      <c r="AD41" s="185"/>
      <c r="AE41" s="185"/>
      <c r="AF41" s="185"/>
      <c r="AG41" s="185"/>
      <c r="AH41" s="186"/>
      <c r="AI41" s="190"/>
      <c r="AJ41" s="185"/>
      <c r="AK41" s="185"/>
      <c r="AL41" s="185"/>
      <c r="AM41" s="185"/>
      <c r="AN41" s="185"/>
      <c r="AO41" s="185"/>
      <c r="AP41" s="185"/>
      <c r="AQ41" s="185"/>
      <c r="AR41" s="185"/>
      <c r="AS41" s="185"/>
      <c r="AT41" s="186"/>
      <c r="AU41" s="190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96"/>
    </row>
    <row r="42" spans="2:58" ht="13" customHeight="1" x14ac:dyDescent="0.25">
      <c r="B42" s="184"/>
      <c r="C42" s="185"/>
      <c r="D42" s="185"/>
      <c r="E42" s="185"/>
      <c r="F42" s="185"/>
      <c r="G42" s="185"/>
      <c r="H42" s="185"/>
      <c r="I42" s="185"/>
      <c r="J42" s="185"/>
      <c r="K42" s="185"/>
      <c r="L42" s="186"/>
      <c r="M42" s="190"/>
      <c r="N42" s="185"/>
      <c r="O42" s="185"/>
      <c r="P42" s="185"/>
      <c r="Q42" s="185"/>
      <c r="R42" s="185"/>
      <c r="S42" s="185"/>
      <c r="T42" s="185"/>
      <c r="U42" s="185"/>
      <c r="V42" s="185"/>
      <c r="W42" s="186"/>
      <c r="X42" s="190"/>
      <c r="Y42" s="185"/>
      <c r="Z42" s="185"/>
      <c r="AA42" s="185"/>
      <c r="AB42" s="185"/>
      <c r="AC42" s="185"/>
      <c r="AD42" s="185"/>
      <c r="AE42" s="185"/>
      <c r="AF42" s="185"/>
      <c r="AG42" s="185"/>
      <c r="AH42" s="186"/>
      <c r="AI42" s="190"/>
      <c r="AJ42" s="185"/>
      <c r="AK42" s="185"/>
      <c r="AL42" s="185"/>
      <c r="AM42" s="185"/>
      <c r="AN42" s="185"/>
      <c r="AO42" s="185"/>
      <c r="AP42" s="185"/>
      <c r="AQ42" s="185"/>
      <c r="AR42" s="185"/>
      <c r="AS42" s="185"/>
      <c r="AT42" s="186"/>
      <c r="AU42" s="190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96"/>
    </row>
    <row r="43" spans="2:58" ht="13" customHeight="1" x14ac:dyDescent="0.25">
      <c r="B43" s="184"/>
      <c r="C43" s="185"/>
      <c r="D43" s="185"/>
      <c r="E43" s="185"/>
      <c r="F43" s="185"/>
      <c r="G43" s="185"/>
      <c r="H43" s="185"/>
      <c r="I43" s="185"/>
      <c r="J43" s="185"/>
      <c r="K43" s="185"/>
      <c r="L43" s="186"/>
      <c r="M43" s="190"/>
      <c r="N43" s="185"/>
      <c r="O43" s="185"/>
      <c r="P43" s="185"/>
      <c r="Q43" s="185"/>
      <c r="R43" s="185"/>
      <c r="S43" s="185"/>
      <c r="T43" s="185"/>
      <c r="U43" s="185"/>
      <c r="V43" s="185"/>
      <c r="W43" s="186"/>
      <c r="X43" s="190"/>
      <c r="Y43" s="185"/>
      <c r="Z43" s="185"/>
      <c r="AA43" s="185"/>
      <c r="AB43" s="185"/>
      <c r="AC43" s="185"/>
      <c r="AD43" s="185"/>
      <c r="AE43" s="185"/>
      <c r="AF43" s="185"/>
      <c r="AG43" s="185"/>
      <c r="AH43" s="186"/>
      <c r="AI43" s="190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6"/>
      <c r="AU43" s="190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96"/>
    </row>
    <row r="44" spans="2:58" ht="13" customHeight="1" x14ac:dyDescent="0.25">
      <c r="B44" s="184"/>
      <c r="C44" s="185"/>
      <c r="D44" s="185"/>
      <c r="E44" s="185"/>
      <c r="F44" s="185"/>
      <c r="G44" s="185"/>
      <c r="H44" s="185"/>
      <c r="I44" s="185"/>
      <c r="J44" s="185"/>
      <c r="K44" s="185"/>
      <c r="L44" s="186"/>
      <c r="M44" s="190"/>
      <c r="N44" s="185"/>
      <c r="O44" s="185"/>
      <c r="P44" s="185"/>
      <c r="Q44" s="185"/>
      <c r="R44" s="185"/>
      <c r="S44" s="185"/>
      <c r="T44" s="185"/>
      <c r="U44" s="185"/>
      <c r="V44" s="185"/>
      <c r="W44" s="186"/>
      <c r="X44" s="190"/>
      <c r="Y44" s="185"/>
      <c r="Z44" s="185"/>
      <c r="AA44" s="185"/>
      <c r="AB44" s="185"/>
      <c r="AC44" s="185"/>
      <c r="AD44" s="185"/>
      <c r="AE44" s="185"/>
      <c r="AF44" s="185"/>
      <c r="AG44" s="185"/>
      <c r="AH44" s="186"/>
      <c r="AI44" s="190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6"/>
      <c r="AU44" s="190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96"/>
    </row>
    <row r="45" spans="2:58" ht="13" customHeight="1" x14ac:dyDescent="0.25">
      <c r="B45" s="187"/>
      <c r="C45" s="188"/>
      <c r="D45" s="188"/>
      <c r="E45" s="188"/>
      <c r="F45" s="188"/>
      <c r="G45" s="188"/>
      <c r="H45" s="188"/>
      <c r="I45" s="188"/>
      <c r="J45" s="188"/>
      <c r="K45" s="188"/>
      <c r="L45" s="174"/>
      <c r="M45" s="191"/>
      <c r="N45" s="188"/>
      <c r="O45" s="188"/>
      <c r="P45" s="188"/>
      <c r="Q45" s="188"/>
      <c r="R45" s="188"/>
      <c r="S45" s="188"/>
      <c r="T45" s="188"/>
      <c r="U45" s="188"/>
      <c r="V45" s="188"/>
      <c r="W45" s="174"/>
      <c r="X45" s="191"/>
      <c r="Y45" s="188"/>
      <c r="Z45" s="188"/>
      <c r="AA45" s="188"/>
      <c r="AB45" s="188"/>
      <c r="AC45" s="188"/>
      <c r="AD45" s="188"/>
      <c r="AE45" s="188"/>
      <c r="AF45" s="188"/>
      <c r="AG45" s="188"/>
      <c r="AH45" s="174"/>
      <c r="AI45" s="191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74"/>
      <c r="AU45" s="191"/>
      <c r="AV45" s="188"/>
      <c r="AW45" s="188"/>
      <c r="AX45" s="188"/>
      <c r="AY45" s="188"/>
      <c r="AZ45" s="188"/>
      <c r="BA45" s="188"/>
      <c r="BB45" s="188"/>
      <c r="BC45" s="188"/>
      <c r="BD45" s="188"/>
      <c r="BE45" s="188"/>
      <c r="BF45" s="197"/>
    </row>
    <row r="46" spans="2:58" ht="13" customHeight="1" x14ac:dyDescent="0.25">
      <c r="B46" s="201" t="s">
        <v>261</v>
      </c>
      <c r="C46" s="127"/>
      <c r="D46" s="127"/>
      <c r="E46" s="127"/>
      <c r="F46" s="127"/>
      <c r="G46" s="127"/>
      <c r="H46" s="127"/>
      <c r="I46" s="127"/>
      <c r="J46" s="127"/>
      <c r="K46" s="127"/>
      <c r="L46" s="128"/>
      <c r="M46" s="139" t="s">
        <v>262</v>
      </c>
      <c r="N46" s="127"/>
      <c r="O46" s="127"/>
      <c r="P46" s="127"/>
      <c r="Q46" s="127"/>
      <c r="R46" s="127"/>
      <c r="S46" s="127"/>
      <c r="T46" s="127"/>
      <c r="U46" s="127"/>
      <c r="V46" s="127"/>
      <c r="W46" s="128"/>
      <c r="X46" s="205" t="s">
        <v>263</v>
      </c>
      <c r="Y46" s="127"/>
      <c r="Z46" s="127"/>
      <c r="AA46" s="127"/>
      <c r="AB46" s="127"/>
      <c r="AC46" s="127"/>
      <c r="AD46" s="127"/>
      <c r="AE46" s="127"/>
      <c r="AF46" s="127"/>
      <c r="AG46" s="127"/>
      <c r="AH46" s="128"/>
      <c r="AI46" s="124" t="s">
        <v>264</v>
      </c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8"/>
      <c r="AU46" s="124" t="s">
        <v>265</v>
      </c>
      <c r="AV46" s="127"/>
      <c r="AW46" s="127"/>
      <c r="AX46" s="127"/>
      <c r="AY46" s="127"/>
      <c r="AZ46" s="127"/>
      <c r="BA46" s="127"/>
      <c r="BB46" s="127"/>
      <c r="BC46" s="127"/>
      <c r="BD46" s="127"/>
      <c r="BE46" s="127"/>
      <c r="BF46" s="206"/>
    </row>
    <row r="47" spans="2:58" ht="13" customHeight="1" x14ac:dyDescent="0.25">
      <c r="B47" s="181"/>
      <c r="C47" s="182"/>
      <c r="D47" s="182"/>
      <c r="E47" s="182"/>
      <c r="F47" s="182"/>
      <c r="G47" s="182"/>
      <c r="H47" s="182"/>
      <c r="I47" s="182"/>
      <c r="J47" s="182"/>
      <c r="K47" s="182"/>
      <c r="L47" s="183"/>
      <c r="M47" s="189"/>
      <c r="N47" s="182"/>
      <c r="O47" s="182"/>
      <c r="P47" s="182"/>
      <c r="Q47" s="182"/>
      <c r="R47" s="182"/>
      <c r="S47" s="182"/>
      <c r="T47" s="182"/>
      <c r="U47" s="182"/>
      <c r="V47" s="182"/>
      <c r="W47" s="183"/>
      <c r="X47" s="192"/>
      <c r="Y47" s="182"/>
      <c r="Z47" s="182"/>
      <c r="AA47" s="182"/>
      <c r="AB47" s="182"/>
      <c r="AC47" s="182"/>
      <c r="AD47" s="182"/>
      <c r="AE47" s="182"/>
      <c r="AF47" s="182"/>
      <c r="AG47" s="182"/>
      <c r="AH47" s="183"/>
      <c r="AI47" s="198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3"/>
      <c r="AU47" s="198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95"/>
    </row>
    <row r="48" spans="2:58" ht="13" customHeight="1" x14ac:dyDescent="0.25">
      <c r="B48" s="184"/>
      <c r="C48" s="185"/>
      <c r="D48" s="185"/>
      <c r="E48" s="185"/>
      <c r="F48" s="185"/>
      <c r="G48" s="185"/>
      <c r="H48" s="185"/>
      <c r="I48" s="185"/>
      <c r="J48" s="185"/>
      <c r="K48" s="185"/>
      <c r="L48" s="186"/>
      <c r="M48" s="190"/>
      <c r="N48" s="185"/>
      <c r="O48" s="185"/>
      <c r="P48" s="185"/>
      <c r="Q48" s="185"/>
      <c r="R48" s="185"/>
      <c r="S48" s="185"/>
      <c r="T48" s="185"/>
      <c r="U48" s="185"/>
      <c r="V48" s="185"/>
      <c r="W48" s="186"/>
      <c r="X48" s="190"/>
      <c r="Y48" s="185"/>
      <c r="Z48" s="185"/>
      <c r="AA48" s="185"/>
      <c r="AB48" s="185"/>
      <c r="AC48" s="185"/>
      <c r="AD48" s="185"/>
      <c r="AE48" s="185"/>
      <c r="AF48" s="185"/>
      <c r="AG48" s="185"/>
      <c r="AH48" s="186"/>
      <c r="AI48" s="190"/>
      <c r="AJ48" s="185"/>
      <c r="AK48" s="185"/>
      <c r="AL48" s="185"/>
      <c r="AM48" s="185"/>
      <c r="AN48" s="185"/>
      <c r="AO48" s="185"/>
      <c r="AP48" s="185"/>
      <c r="AQ48" s="185"/>
      <c r="AR48" s="185"/>
      <c r="AS48" s="185"/>
      <c r="AT48" s="186"/>
      <c r="AU48" s="190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96"/>
    </row>
    <row r="49" spans="2:58" ht="13" customHeight="1" x14ac:dyDescent="0.25">
      <c r="B49" s="184"/>
      <c r="C49" s="185"/>
      <c r="D49" s="185"/>
      <c r="E49" s="185"/>
      <c r="F49" s="185"/>
      <c r="G49" s="185"/>
      <c r="H49" s="185"/>
      <c r="I49" s="185"/>
      <c r="J49" s="185"/>
      <c r="K49" s="185"/>
      <c r="L49" s="186"/>
      <c r="M49" s="190"/>
      <c r="N49" s="185"/>
      <c r="O49" s="185"/>
      <c r="P49" s="185"/>
      <c r="Q49" s="185"/>
      <c r="R49" s="185"/>
      <c r="S49" s="185"/>
      <c r="T49" s="185"/>
      <c r="U49" s="185"/>
      <c r="V49" s="185"/>
      <c r="W49" s="186"/>
      <c r="X49" s="190"/>
      <c r="Y49" s="185"/>
      <c r="Z49" s="185"/>
      <c r="AA49" s="185"/>
      <c r="AB49" s="185"/>
      <c r="AC49" s="185"/>
      <c r="AD49" s="185"/>
      <c r="AE49" s="185"/>
      <c r="AF49" s="185"/>
      <c r="AG49" s="185"/>
      <c r="AH49" s="186"/>
      <c r="AI49" s="190"/>
      <c r="AJ49" s="185"/>
      <c r="AK49" s="185"/>
      <c r="AL49" s="185"/>
      <c r="AM49" s="185"/>
      <c r="AN49" s="185"/>
      <c r="AO49" s="185"/>
      <c r="AP49" s="185"/>
      <c r="AQ49" s="185"/>
      <c r="AR49" s="185"/>
      <c r="AS49" s="185"/>
      <c r="AT49" s="186"/>
      <c r="AU49" s="190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96"/>
    </row>
    <row r="50" spans="2:58" ht="13" customHeight="1" x14ac:dyDescent="0.25">
      <c r="B50" s="184"/>
      <c r="C50" s="185"/>
      <c r="D50" s="185"/>
      <c r="E50" s="185"/>
      <c r="F50" s="185"/>
      <c r="G50" s="185"/>
      <c r="H50" s="185"/>
      <c r="I50" s="185"/>
      <c r="J50" s="185"/>
      <c r="K50" s="185"/>
      <c r="L50" s="186"/>
      <c r="M50" s="190"/>
      <c r="N50" s="185"/>
      <c r="O50" s="185"/>
      <c r="P50" s="185"/>
      <c r="Q50" s="185"/>
      <c r="R50" s="185"/>
      <c r="S50" s="185"/>
      <c r="T50" s="185"/>
      <c r="U50" s="185"/>
      <c r="V50" s="185"/>
      <c r="W50" s="186"/>
      <c r="X50" s="190"/>
      <c r="Y50" s="185"/>
      <c r="Z50" s="185"/>
      <c r="AA50" s="185"/>
      <c r="AB50" s="185"/>
      <c r="AC50" s="185"/>
      <c r="AD50" s="185"/>
      <c r="AE50" s="185"/>
      <c r="AF50" s="185"/>
      <c r="AG50" s="185"/>
      <c r="AH50" s="186"/>
      <c r="AI50" s="190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6"/>
      <c r="AU50" s="190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96"/>
    </row>
    <row r="51" spans="2:58" ht="13" customHeight="1" x14ac:dyDescent="0.25">
      <c r="B51" s="184"/>
      <c r="C51" s="185"/>
      <c r="D51" s="185"/>
      <c r="E51" s="185"/>
      <c r="F51" s="185"/>
      <c r="G51" s="185"/>
      <c r="H51" s="185"/>
      <c r="I51" s="185"/>
      <c r="J51" s="185"/>
      <c r="K51" s="185"/>
      <c r="L51" s="186"/>
      <c r="M51" s="190"/>
      <c r="N51" s="185"/>
      <c r="O51" s="185"/>
      <c r="P51" s="185"/>
      <c r="Q51" s="185"/>
      <c r="R51" s="185"/>
      <c r="S51" s="185"/>
      <c r="T51" s="185"/>
      <c r="U51" s="185"/>
      <c r="V51" s="185"/>
      <c r="W51" s="186"/>
      <c r="X51" s="190"/>
      <c r="Y51" s="185"/>
      <c r="Z51" s="185"/>
      <c r="AA51" s="185"/>
      <c r="AB51" s="185"/>
      <c r="AC51" s="185"/>
      <c r="AD51" s="185"/>
      <c r="AE51" s="185"/>
      <c r="AF51" s="185"/>
      <c r="AG51" s="185"/>
      <c r="AH51" s="186"/>
      <c r="AI51" s="190"/>
      <c r="AJ51" s="185"/>
      <c r="AK51" s="185"/>
      <c r="AL51" s="185"/>
      <c r="AM51" s="185"/>
      <c r="AN51" s="185"/>
      <c r="AO51" s="185"/>
      <c r="AP51" s="185"/>
      <c r="AQ51" s="185"/>
      <c r="AR51" s="185"/>
      <c r="AS51" s="185"/>
      <c r="AT51" s="186"/>
      <c r="AU51" s="190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96"/>
    </row>
    <row r="52" spans="2:58" ht="13" customHeight="1" x14ac:dyDescent="0.25">
      <c r="B52" s="187"/>
      <c r="C52" s="188"/>
      <c r="D52" s="188"/>
      <c r="E52" s="188"/>
      <c r="F52" s="188"/>
      <c r="G52" s="188"/>
      <c r="H52" s="188"/>
      <c r="I52" s="188"/>
      <c r="J52" s="188"/>
      <c r="K52" s="188"/>
      <c r="L52" s="174"/>
      <c r="M52" s="191"/>
      <c r="N52" s="188"/>
      <c r="O52" s="188"/>
      <c r="P52" s="188"/>
      <c r="Q52" s="188"/>
      <c r="R52" s="188"/>
      <c r="S52" s="188"/>
      <c r="T52" s="188"/>
      <c r="U52" s="188"/>
      <c r="V52" s="188"/>
      <c r="W52" s="174"/>
      <c r="X52" s="191"/>
      <c r="Y52" s="188"/>
      <c r="Z52" s="188"/>
      <c r="AA52" s="188"/>
      <c r="AB52" s="188"/>
      <c r="AC52" s="188"/>
      <c r="AD52" s="188"/>
      <c r="AE52" s="188"/>
      <c r="AF52" s="188"/>
      <c r="AG52" s="188"/>
      <c r="AH52" s="174"/>
      <c r="AI52" s="191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74"/>
      <c r="AU52" s="191"/>
      <c r="AV52" s="188"/>
      <c r="AW52" s="188"/>
      <c r="AX52" s="188"/>
      <c r="AY52" s="188"/>
      <c r="AZ52" s="188"/>
      <c r="BA52" s="188"/>
      <c r="BB52" s="188"/>
      <c r="BC52" s="188"/>
      <c r="BD52" s="188"/>
      <c r="BE52" s="188"/>
      <c r="BF52" s="197"/>
    </row>
    <row r="53" spans="2:58" ht="13" customHeight="1" x14ac:dyDescent="0.25">
      <c r="B53" s="201" t="s">
        <v>266</v>
      </c>
      <c r="C53" s="127"/>
      <c r="D53" s="127"/>
      <c r="E53" s="127"/>
      <c r="F53" s="127"/>
      <c r="G53" s="127"/>
      <c r="H53" s="127"/>
      <c r="I53" s="127"/>
      <c r="J53" s="127"/>
      <c r="K53" s="127"/>
      <c r="L53" s="128"/>
      <c r="M53" s="204" t="s">
        <v>267</v>
      </c>
      <c r="N53" s="127"/>
      <c r="O53" s="127"/>
      <c r="P53" s="127"/>
      <c r="Q53" s="127"/>
      <c r="R53" s="127"/>
      <c r="S53" s="127"/>
      <c r="T53" s="127"/>
      <c r="U53" s="127"/>
      <c r="V53" s="127"/>
      <c r="W53" s="128"/>
      <c r="X53" s="205" t="s">
        <v>268</v>
      </c>
      <c r="Y53" s="127"/>
      <c r="Z53" s="127"/>
      <c r="AA53" s="127"/>
      <c r="AB53" s="127"/>
      <c r="AC53" s="127"/>
      <c r="AD53" s="127"/>
      <c r="AE53" s="127"/>
      <c r="AF53" s="127"/>
      <c r="AG53" s="127"/>
      <c r="AH53" s="128"/>
      <c r="AI53" s="124" t="s">
        <v>269</v>
      </c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8"/>
      <c r="AU53" s="124" t="s">
        <v>270</v>
      </c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206"/>
    </row>
    <row r="54" spans="2:58" ht="13" customHeight="1" x14ac:dyDescent="0.25">
      <c r="B54" s="181"/>
      <c r="C54" s="182"/>
      <c r="D54" s="182"/>
      <c r="E54" s="182"/>
      <c r="F54" s="182"/>
      <c r="G54" s="182"/>
      <c r="H54" s="182"/>
      <c r="I54" s="182"/>
      <c r="J54" s="182"/>
      <c r="K54" s="182"/>
      <c r="L54" s="183"/>
      <c r="M54" s="203"/>
      <c r="N54" s="182"/>
      <c r="O54" s="182"/>
      <c r="P54" s="182"/>
      <c r="Q54" s="182"/>
      <c r="R54" s="182"/>
      <c r="S54" s="182"/>
      <c r="T54" s="182"/>
      <c r="U54" s="182"/>
      <c r="V54" s="182"/>
      <c r="W54" s="183"/>
      <c r="X54" s="192"/>
      <c r="Y54" s="182"/>
      <c r="Z54" s="182"/>
      <c r="AA54" s="182"/>
      <c r="AB54" s="182"/>
      <c r="AC54" s="182"/>
      <c r="AD54" s="182"/>
      <c r="AE54" s="182"/>
      <c r="AF54" s="182"/>
      <c r="AG54" s="182"/>
      <c r="AH54" s="183"/>
      <c r="AI54" s="198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3"/>
      <c r="AU54" s="198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95"/>
    </row>
    <row r="55" spans="2:58" ht="13" customHeight="1" x14ac:dyDescent="0.25">
      <c r="B55" s="184"/>
      <c r="C55" s="185"/>
      <c r="D55" s="185"/>
      <c r="E55" s="185"/>
      <c r="F55" s="185"/>
      <c r="G55" s="185"/>
      <c r="H55" s="185"/>
      <c r="I55" s="185"/>
      <c r="J55" s="185"/>
      <c r="K55" s="185"/>
      <c r="L55" s="186"/>
      <c r="M55" s="190"/>
      <c r="N55" s="185"/>
      <c r="O55" s="185"/>
      <c r="P55" s="185"/>
      <c r="Q55" s="185"/>
      <c r="R55" s="185"/>
      <c r="S55" s="185"/>
      <c r="T55" s="185"/>
      <c r="U55" s="185"/>
      <c r="V55" s="185"/>
      <c r="W55" s="186"/>
      <c r="X55" s="190"/>
      <c r="Y55" s="185"/>
      <c r="Z55" s="185"/>
      <c r="AA55" s="185"/>
      <c r="AB55" s="185"/>
      <c r="AC55" s="185"/>
      <c r="AD55" s="185"/>
      <c r="AE55" s="185"/>
      <c r="AF55" s="185"/>
      <c r="AG55" s="185"/>
      <c r="AH55" s="186"/>
      <c r="AI55" s="190"/>
      <c r="AJ55" s="185"/>
      <c r="AK55" s="185"/>
      <c r="AL55" s="185"/>
      <c r="AM55" s="185"/>
      <c r="AN55" s="185"/>
      <c r="AO55" s="185"/>
      <c r="AP55" s="185"/>
      <c r="AQ55" s="185"/>
      <c r="AR55" s="185"/>
      <c r="AS55" s="185"/>
      <c r="AT55" s="186"/>
      <c r="AU55" s="190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96"/>
    </row>
    <row r="56" spans="2:58" ht="13" customHeight="1" x14ac:dyDescent="0.25">
      <c r="B56" s="184"/>
      <c r="C56" s="185"/>
      <c r="D56" s="185"/>
      <c r="E56" s="185"/>
      <c r="F56" s="185"/>
      <c r="G56" s="185"/>
      <c r="H56" s="185"/>
      <c r="I56" s="185"/>
      <c r="J56" s="185"/>
      <c r="K56" s="185"/>
      <c r="L56" s="186"/>
      <c r="M56" s="190"/>
      <c r="N56" s="185"/>
      <c r="O56" s="185"/>
      <c r="P56" s="185"/>
      <c r="Q56" s="185"/>
      <c r="R56" s="185"/>
      <c r="S56" s="185"/>
      <c r="T56" s="185"/>
      <c r="U56" s="185"/>
      <c r="V56" s="185"/>
      <c r="W56" s="186"/>
      <c r="X56" s="190"/>
      <c r="Y56" s="185"/>
      <c r="Z56" s="185"/>
      <c r="AA56" s="185"/>
      <c r="AB56" s="185"/>
      <c r="AC56" s="185"/>
      <c r="AD56" s="185"/>
      <c r="AE56" s="185"/>
      <c r="AF56" s="185"/>
      <c r="AG56" s="185"/>
      <c r="AH56" s="186"/>
      <c r="AI56" s="190"/>
      <c r="AJ56" s="185"/>
      <c r="AK56" s="185"/>
      <c r="AL56" s="185"/>
      <c r="AM56" s="185"/>
      <c r="AN56" s="185"/>
      <c r="AO56" s="185"/>
      <c r="AP56" s="185"/>
      <c r="AQ56" s="185"/>
      <c r="AR56" s="185"/>
      <c r="AS56" s="185"/>
      <c r="AT56" s="186"/>
      <c r="AU56" s="190"/>
      <c r="AV56" s="185"/>
      <c r="AW56" s="185"/>
      <c r="AX56" s="185"/>
      <c r="AY56" s="185"/>
      <c r="AZ56" s="185"/>
      <c r="BA56" s="185"/>
      <c r="BB56" s="185"/>
      <c r="BC56" s="185"/>
      <c r="BD56" s="185"/>
      <c r="BE56" s="185"/>
      <c r="BF56" s="196"/>
    </row>
    <row r="57" spans="2:58" ht="13" customHeight="1" x14ac:dyDescent="0.25">
      <c r="B57" s="184"/>
      <c r="C57" s="185"/>
      <c r="D57" s="185"/>
      <c r="E57" s="185"/>
      <c r="F57" s="185"/>
      <c r="G57" s="185"/>
      <c r="H57" s="185"/>
      <c r="I57" s="185"/>
      <c r="J57" s="185"/>
      <c r="K57" s="185"/>
      <c r="L57" s="186"/>
      <c r="M57" s="190"/>
      <c r="N57" s="185"/>
      <c r="O57" s="185"/>
      <c r="P57" s="185"/>
      <c r="Q57" s="185"/>
      <c r="R57" s="185"/>
      <c r="S57" s="185"/>
      <c r="T57" s="185"/>
      <c r="U57" s="185"/>
      <c r="V57" s="185"/>
      <c r="W57" s="186"/>
      <c r="X57" s="190"/>
      <c r="Y57" s="185"/>
      <c r="Z57" s="185"/>
      <c r="AA57" s="185"/>
      <c r="AB57" s="185"/>
      <c r="AC57" s="185"/>
      <c r="AD57" s="185"/>
      <c r="AE57" s="185"/>
      <c r="AF57" s="185"/>
      <c r="AG57" s="185"/>
      <c r="AH57" s="186"/>
      <c r="AI57" s="190"/>
      <c r="AJ57" s="185"/>
      <c r="AK57" s="185"/>
      <c r="AL57" s="185"/>
      <c r="AM57" s="185"/>
      <c r="AN57" s="185"/>
      <c r="AO57" s="185"/>
      <c r="AP57" s="185"/>
      <c r="AQ57" s="185"/>
      <c r="AR57" s="185"/>
      <c r="AS57" s="185"/>
      <c r="AT57" s="186"/>
      <c r="AU57" s="190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96"/>
    </row>
    <row r="58" spans="2:58" ht="13" customHeight="1" x14ac:dyDescent="0.25">
      <c r="B58" s="184"/>
      <c r="C58" s="185"/>
      <c r="D58" s="185"/>
      <c r="E58" s="185"/>
      <c r="F58" s="185"/>
      <c r="G58" s="185"/>
      <c r="H58" s="185"/>
      <c r="I58" s="185"/>
      <c r="J58" s="185"/>
      <c r="K58" s="185"/>
      <c r="L58" s="186"/>
      <c r="M58" s="190"/>
      <c r="N58" s="185"/>
      <c r="O58" s="185"/>
      <c r="P58" s="185"/>
      <c r="Q58" s="185"/>
      <c r="R58" s="185"/>
      <c r="S58" s="185"/>
      <c r="T58" s="185"/>
      <c r="U58" s="185"/>
      <c r="V58" s="185"/>
      <c r="W58" s="186"/>
      <c r="X58" s="190"/>
      <c r="Y58" s="185"/>
      <c r="Z58" s="185"/>
      <c r="AA58" s="185"/>
      <c r="AB58" s="185"/>
      <c r="AC58" s="185"/>
      <c r="AD58" s="185"/>
      <c r="AE58" s="185"/>
      <c r="AF58" s="185"/>
      <c r="AG58" s="185"/>
      <c r="AH58" s="186"/>
      <c r="AI58" s="190"/>
      <c r="AJ58" s="185"/>
      <c r="AK58" s="185"/>
      <c r="AL58" s="185"/>
      <c r="AM58" s="185"/>
      <c r="AN58" s="185"/>
      <c r="AO58" s="185"/>
      <c r="AP58" s="185"/>
      <c r="AQ58" s="185"/>
      <c r="AR58" s="185"/>
      <c r="AS58" s="185"/>
      <c r="AT58" s="186"/>
      <c r="AU58" s="190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96"/>
    </row>
    <row r="59" spans="2:58" ht="13" customHeight="1" x14ac:dyDescent="0.25">
      <c r="B59" s="207"/>
      <c r="C59" s="208"/>
      <c r="D59" s="208"/>
      <c r="E59" s="208"/>
      <c r="F59" s="208"/>
      <c r="G59" s="208"/>
      <c r="H59" s="208"/>
      <c r="I59" s="208"/>
      <c r="J59" s="208"/>
      <c r="K59" s="208"/>
      <c r="L59" s="209"/>
      <c r="M59" s="210"/>
      <c r="N59" s="208"/>
      <c r="O59" s="208"/>
      <c r="P59" s="208"/>
      <c r="Q59" s="208"/>
      <c r="R59" s="208"/>
      <c r="S59" s="208"/>
      <c r="T59" s="208"/>
      <c r="U59" s="208"/>
      <c r="V59" s="208"/>
      <c r="W59" s="209"/>
      <c r="X59" s="210"/>
      <c r="Y59" s="208"/>
      <c r="Z59" s="208"/>
      <c r="AA59" s="208"/>
      <c r="AB59" s="208"/>
      <c r="AC59" s="208"/>
      <c r="AD59" s="208"/>
      <c r="AE59" s="208"/>
      <c r="AF59" s="208"/>
      <c r="AG59" s="208"/>
      <c r="AH59" s="209"/>
      <c r="AI59" s="210"/>
      <c r="AJ59" s="208"/>
      <c r="AK59" s="208"/>
      <c r="AL59" s="208"/>
      <c r="AM59" s="208"/>
      <c r="AN59" s="208"/>
      <c r="AO59" s="208"/>
      <c r="AP59" s="208"/>
      <c r="AQ59" s="208"/>
      <c r="AR59" s="208"/>
      <c r="AS59" s="208"/>
      <c r="AT59" s="209"/>
      <c r="AU59" s="210"/>
      <c r="AV59" s="208"/>
      <c r="AW59" s="208"/>
      <c r="AX59" s="208"/>
      <c r="AY59" s="208"/>
      <c r="AZ59" s="208"/>
      <c r="BA59" s="208"/>
      <c r="BB59" s="208"/>
      <c r="BC59" s="208"/>
      <c r="BD59" s="208"/>
      <c r="BE59" s="208"/>
      <c r="BF59" s="211"/>
    </row>
    <row r="60" spans="2:58" ht="13" customHeight="1" x14ac:dyDescent="0.25">
      <c r="B60" s="173" t="s">
        <v>372</v>
      </c>
      <c r="C60" s="174"/>
      <c r="D60" s="9" t="s">
        <v>19</v>
      </c>
      <c r="E60" s="154" t="s">
        <v>20</v>
      </c>
      <c r="F60" s="157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  <c r="BC60" s="159"/>
      <c r="BD60" s="159"/>
      <c r="BE60" s="159"/>
      <c r="BF60" s="160"/>
    </row>
    <row r="61" spans="2:58" ht="13" customHeight="1" x14ac:dyDescent="0.25">
      <c r="B61" s="153" t="s">
        <v>226</v>
      </c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  <c r="BE61" s="124"/>
      <c r="BF61" s="161"/>
    </row>
    <row r="62" spans="2:58" ht="13" customHeight="1" thickBot="1" x14ac:dyDescent="0.3">
      <c r="B62" s="164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62"/>
      <c r="AP62" s="162"/>
      <c r="AQ62" s="162"/>
      <c r="AR62" s="162"/>
      <c r="AS62" s="162"/>
      <c r="AT62" s="162"/>
      <c r="AU62" s="162"/>
      <c r="AV62" s="162"/>
      <c r="AW62" s="162"/>
      <c r="AX62" s="162"/>
      <c r="AY62" s="162"/>
      <c r="AZ62" s="162"/>
      <c r="BA62" s="162"/>
      <c r="BB62" s="162"/>
      <c r="BC62" s="162"/>
      <c r="BD62" s="162"/>
      <c r="BE62" s="162"/>
      <c r="BF62" s="163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46:L46"/>
    <mergeCell ref="M46:W46"/>
    <mergeCell ref="X46:AH46"/>
    <mergeCell ref="AI46:AT46"/>
    <mergeCell ref="AU46:BF46"/>
    <mergeCell ref="B53:L53"/>
    <mergeCell ref="M53:W53"/>
    <mergeCell ref="X53:AH53"/>
    <mergeCell ref="AI53:AT53"/>
    <mergeCell ref="AU53:BF53"/>
    <mergeCell ref="B32:L32"/>
    <mergeCell ref="M32:W32"/>
    <mergeCell ref="X32:AH32"/>
    <mergeCell ref="AI32:AT32"/>
    <mergeCell ref="AU32:BF3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47:L52"/>
    <mergeCell ref="M47:W52"/>
    <mergeCell ref="X47:AH52"/>
    <mergeCell ref="AI47:AT52"/>
    <mergeCell ref="AU47:BF52"/>
    <mergeCell ref="B54:L59"/>
    <mergeCell ref="M54:W59"/>
    <mergeCell ref="X54:AH59"/>
    <mergeCell ref="AI54:AT59"/>
    <mergeCell ref="AU54:BF59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11:L17"/>
    <mergeCell ref="M11:W17"/>
    <mergeCell ref="X11:AH17"/>
    <mergeCell ref="AI11:AT17"/>
    <mergeCell ref="X18:AH18"/>
    <mergeCell ref="B18:L18"/>
    <mergeCell ref="M18:W18"/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O23" sqref="O23"/>
    </sheetView>
  </sheetViews>
  <sheetFormatPr defaultRowHeight="8" x14ac:dyDescent="0.25"/>
  <cols>
    <col min="1" max="1" width="0.453125" style="6" customWidth="1"/>
    <col min="2" max="2" width="3.453125" style="6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32" t="s">
        <v>227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</row>
    <row r="3" spans="2:47" ht="20.15" customHeight="1" x14ac:dyDescent="0.25">
      <c r="B3" s="136" t="s">
        <v>181</v>
      </c>
      <c r="C3" s="134" t="s">
        <v>163</v>
      </c>
      <c r="D3" s="146"/>
      <c r="E3" s="146"/>
      <c r="F3" s="146"/>
      <c r="G3" s="146"/>
      <c r="H3" s="147"/>
      <c r="I3" s="150" t="s">
        <v>8</v>
      </c>
      <c r="J3" s="146"/>
      <c r="K3" s="146"/>
      <c r="L3" s="146"/>
      <c r="M3" s="146"/>
      <c r="N3" s="146"/>
      <c r="O3" s="146"/>
      <c r="P3" s="151"/>
      <c r="Q3" s="134" t="s">
        <v>77</v>
      </c>
      <c r="R3" s="146"/>
      <c r="S3" s="151"/>
      <c r="T3" s="134" t="s">
        <v>10</v>
      </c>
      <c r="U3" s="146"/>
      <c r="V3" s="146"/>
      <c r="W3" s="151"/>
      <c r="X3" s="134" t="s">
        <v>80</v>
      </c>
      <c r="Y3" s="135"/>
      <c r="Z3" s="134" t="s">
        <v>11</v>
      </c>
      <c r="AA3" s="135"/>
      <c r="AB3" s="13" t="s">
        <v>13</v>
      </c>
      <c r="AC3" s="134" t="s">
        <v>14</v>
      </c>
      <c r="AD3" s="135"/>
      <c r="AE3" s="175" t="s">
        <v>88</v>
      </c>
      <c r="AF3" s="176"/>
      <c r="AG3" s="176"/>
      <c r="AH3" s="176"/>
      <c r="AI3" s="176"/>
      <c r="AJ3" s="176"/>
      <c r="AK3" s="177"/>
      <c r="AL3" s="134" t="s">
        <v>18</v>
      </c>
      <c r="AM3" s="142"/>
      <c r="AN3" s="143"/>
      <c r="AO3" s="142" t="s">
        <v>16</v>
      </c>
      <c r="AP3" s="142"/>
      <c r="AQ3" s="142"/>
      <c r="AR3" s="145"/>
    </row>
    <row r="4" spans="2:47" ht="30" customHeight="1" x14ac:dyDescent="0.25">
      <c r="B4" s="137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48" t="s">
        <v>62</v>
      </c>
      <c r="J4" s="149"/>
      <c r="K4" s="3" t="s">
        <v>6</v>
      </c>
      <c r="L4" s="3" t="s">
        <v>66</v>
      </c>
      <c r="M4" s="3" t="s">
        <v>164</v>
      </c>
      <c r="N4" s="3" t="s">
        <v>165</v>
      </c>
      <c r="O4" s="122" t="s">
        <v>7</v>
      </c>
      <c r="P4" s="126"/>
      <c r="Q4" s="139" t="s">
        <v>71</v>
      </c>
      <c r="R4" s="126"/>
      <c r="S4" s="3" t="s">
        <v>51</v>
      </c>
      <c r="T4" s="3" t="s">
        <v>75</v>
      </c>
      <c r="U4" s="139" t="s">
        <v>78</v>
      </c>
      <c r="V4" s="126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0" t="s">
        <v>89</v>
      </c>
      <c r="AF4" s="141"/>
      <c r="AG4" s="140" t="s">
        <v>92</v>
      </c>
      <c r="AH4" s="141"/>
      <c r="AI4" s="10" t="s">
        <v>166</v>
      </c>
      <c r="AJ4" s="10" t="s">
        <v>167</v>
      </c>
      <c r="AK4" s="11" t="s">
        <v>115</v>
      </c>
      <c r="AL4" s="139" t="s">
        <v>110</v>
      </c>
      <c r="AM4" s="126"/>
      <c r="AN4" s="29" t="s">
        <v>111</v>
      </c>
      <c r="AO4" s="26" t="s">
        <v>12</v>
      </c>
      <c r="AP4" s="3" t="s">
        <v>1</v>
      </c>
      <c r="AQ4" s="124" t="s">
        <v>161</v>
      </c>
      <c r="AR4" s="144"/>
      <c r="AU4" s="20"/>
    </row>
    <row r="5" spans="2:47" ht="20.15" customHeight="1" x14ac:dyDescent="0.25">
      <c r="B5" s="138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289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50</v>
      </c>
      <c r="C6" s="54">
        <v>5.899160861968994</v>
      </c>
      <c r="D6" s="54">
        <v>20.32335090637207</v>
      </c>
      <c r="E6" s="54">
        <v>417.2153625488281</v>
      </c>
      <c r="F6" s="54"/>
      <c r="G6" s="54"/>
      <c r="H6" s="55">
        <v>417.37054443359375</v>
      </c>
      <c r="I6" s="56">
        <v>23.140914916992188</v>
      </c>
      <c r="J6" s="54"/>
      <c r="K6" s="54">
        <v>41.81134033203125</v>
      </c>
      <c r="L6" s="54">
        <v>1.3485605716705322</v>
      </c>
      <c r="M6" s="54">
        <v>101.5842056274414</v>
      </c>
      <c r="N6" s="54">
        <v>109.10011291503906</v>
      </c>
      <c r="O6" s="54">
        <v>19.763748168945312</v>
      </c>
      <c r="P6" s="54"/>
      <c r="Q6" s="54"/>
      <c r="R6" s="54"/>
      <c r="S6" s="54">
        <v>141.1096649169922</v>
      </c>
      <c r="T6" s="54">
        <v>1.6100000143051147</v>
      </c>
      <c r="U6" s="54">
        <v>0.29981300234794617</v>
      </c>
      <c r="V6" s="54"/>
      <c r="W6" s="54">
        <v>90.69733428955078</v>
      </c>
      <c r="X6" s="54">
        <v>0.5324965119361877</v>
      </c>
      <c r="Y6" s="54" t="s">
        <v>4</v>
      </c>
      <c r="Z6" s="54">
        <v>0.7457176446914673</v>
      </c>
      <c r="AA6" s="54">
        <v>149.8336181640625</v>
      </c>
      <c r="AB6" s="54">
        <v>163.51995849609375</v>
      </c>
      <c r="AC6" s="54">
        <v>0.33600983023643494</v>
      </c>
      <c r="AD6" s="54">
        <v>155.859375</v>
      </c>
      <c r="AE6" s="57">
        <v>33.790000915527344</v>
      </c>
      <c r="AF6" s="57"/>
      <c r="AG6" s="57"/>
      <c r="AH6" s="57">
        <v>17.829999923706055</v>
      </c>
      <c r="AI6" s="57"/>
      <c r="AJ6" s="57"/>
      <c r="AK6" s="57">
        <v>6.53000020980835</v>
      </c>
      <c r="AL6" s="54">
        <v>0</v>
      </c>
      <c r="AM6" s="58"/>
      <c r="AN6" s="59">
        <v>64.51822662353516</v>
      </c>
      <c r="AO6" s="60"/>
      <c r="AP6" s="61">
        <v>-80.67129516601562</v>
      </c>
      <c r="AQ6" s="61">
        <v>0.29803240299224854</v>
      </c>
      <c r="AR6" s="62"/>
    </row>
    <row r="7" spans="2:47" ht="13.5" customHeight="1" x14ac:dyDescent="0.25">
      <c r="B7" s="14">
        <v>0.875</v>
      </c>
      <c r="C7" s="54">
        <v>5.859375</v>
      </c>
      <c r="D7" s="54">
        <v>20.16059112548828</v>
      </c>
      <c r="E7" s="54">
        <v>416.61981201171875</v>
      </c>
      <c r="F7" s="54">
        <v>0.30262500047683716</v>
      </c>
      <c r="G7" s="54">
        <v>0</v>
      </c>
      <c r="H7" s="55">
        <v>417.21539306640625</v>
      </c>
      <c r="I7" s="56">
        <v>19.950809478759766</v>
      </c>
      <c r="J7" s="54">
        <v>0.019652344286441803</v>
      </c>
      <c r="K7" s="54">
        <v>45.8984375</v>
      </c>
      <c r="L7" s="54">
        <v>1.4858218431472778</v>
      </c>
      <c r="M7" s="54">
        <v>105.40364837646484</v>
      </c>
      <c r="N7" s="54">
        <v>109.68605041503906</v>
      </c>
      <c r="O7" s="54">
        <v>19.833377838134766</v>
      </c>
      <c r="P7" s="54">
        <v>19.814453125</v>
      </c>
      <c r="Q7" s="54"/>
      <c r="R7" s="54">
        <v>2.73828125</v>
      </c>
      <c r="S7" s="54">
        <v>140.9432830810547</v>
      </c>
      <c r="T7" s="54">
        <v>1.6100000143051147</v>
      </c>
      <c r="U7" s="54">
        <v>0.2999207675457001</v>
      </c>
      <c r="V7" s="54">
        <v>0.2999843657016754</v>
      </c>
      <c r="W7" s="54">
        <v>90.45138549804688</v>
      </c>
      <c r="X7" s="54">
        <v>0.5295556783676147</v>
      </c>
      <c r="Y7" s="54" t="s">
        <v>82</v>
      </c>
      <c r="Z7" s="54">
        <v>0.7533565163612366</v>
      </c>
      <c r="AA7" s="54">
        <v>149.3851318359375</v>
      </c>
      <c r="AB7" s="54">
        <v>163.3535919189453</v>
      </c>
      <c r="AC7" s="54">
        <v>0.34584781527519226</v>
      </c>
      <c r="AD7" s="54">
        <v>155.9606475830078</v>
      </c>
      <c r="AE7" s="57"/>
      <c r="AF7" s="57"/>
      <c r="AG7" s="57"/>
      <c r="AH7" s="57"/>
      <c r="AI7" s="57"/>
      <c r="AJ7" s="57"/>
      <c r="AK7" s="57"/>
      <c r="AL7" s="54">
        <v>2.510127305984497</v>
      </c>
      <c r="AM7" s="58">
        <v>0.009144531562924385</v>
      </c>
      <c r="AN7" s="59">
        <v>66.1422119140625</v>
      </c>
      <c r="AO7" s="60"/>
      <c r="AP7" s="61">
        <v>-80.70023345947266</v>
      </c>
      <c r="AQ7" s="61">
        <v>0.3051215410232544</v>
      </c>
      <c r="AR7" s="62">
        <v>0.00029524232377298176</v>
      </c>
    </row>
    <row r="8" spans="2:47" ht="13.5" customHeight="1" x14ac:dyDescent="0.25">
      <c r="B8" s="41" t="s">
        <v>271</v>
      </c>
      <c r="C8" s="54">
        <v>6.821469783782959</v>
      </c>
      <c r="D8" s="54">
        <v>19.95442771911621</v>
      </c>
      <c r="E8" s="54">
        <v>416.61663818359375</v>
      </c>
      <c r="F8" s="54">
        <v>0.33610936999320984</v>
      </c>
      <c r="G8" s="54">
        <v>0</v>
      </c>
      <c r="H8" s="55">
        <v>417.2486877441406</v>
      </c>
      <c r="I8" s="56">
        <v>21.621816635131836</v>
      </c>
      <c r="J8" s="54">
        <v>0.019563477486371994</v>
      </c>
      <c r="K8" s="54">
        <v>46.78096008300781</v>
      </c>
      <c r="L8" s="54">
        <v>1.4970341920852661</v>
      </c>
      <c r="M8" s="54">
        <v>110.09114837646484</v>
      </c>
      <c r="N8" s="54">
        <v>112.12384033203125</v>
      </c>
      <c r="O8" s="54">
        <v>20.079679489135742</v>
      </c>
      <c r="P8" s="54">
        <v>19.806640625</v>
      </c>
      <c r="Q8" s="54"/>
      <c r="R8" s="54">
        <v>2.7579345703125</v>
      </c>
      <c r="S8" s="54">
        <v>140.8492431640625</v>
      </c>
      <c r="T8" s="54">
        <v>1.6100000143051147</v>
      </c>
      <c r="U8" s="54">
        <v>0.29958420991897583</v>
      </c>
      <c r="V8" s="54">
        <v>0.30006250739097595</v>
      </c>
      <c r="W8" s="54">
        <v>90.54542541503906</v>
      </c>
      <c r="X8" s="54">
        <v>0.5291496515274048</v>
      </c>
      <c r="Y8" s="54" t="s">
        <v>82</v>
      </c>
      <c r="Z8" s="54">
        <v>0.7505208849906921</v>
      </c>
      <c r="AA8" s="54">
        <v>149.42129516601562</v>
      </c>
      <c r="AB8" s="54">
        <v>163.28848266601562</v>
      </c>
      <c r="AC8" s="54">
        <v>0.34816262125968933</v>
      </c>
      <c r="AD8" s="54">
        <v>155.7870330810547</v>
      </c>
      <c r="AE8" s="57"/>
      <c r="AF8" s="57"/>
      <c r="AG8" s="57"/>
      <c r="AH8" s="57"/>
      <c r="AI8" s="57"/>
      <c r="AJ8" s="57"/>
      <c r="AK8" s="57"/>
      <c r="AL8" s="54">
        <v>11.711516380310059</v>
      </c>
      <c r="AM8" s="58">
        <v>0.008686523884534836</v>
      </c>
      <c r="AN8" s="59">
        <v>63.722511291503906</v>
      </c>
      <c r="AO8" s="60"/>
      <c r="AP8" s="61">
        <v>-80.62789154052734</v>
      </c>
      <c r="AQ8" s="61">
        <v>0.28761574625968933</v>
      </c>
      <c r="AR8" s="62">
        <v>0.0002940368722192943</v>
      </c>
    </row>
    <row r="9" spans="2:47" ht="13.5" customHeight="1" x14ac:dyDescent="0.25">
      <c r="B9" s="14">
        <v>0.95833333333333337</v>
      </c>
      <c r="C9" s="54">
        <v>5.841290473937988</v>
      </c>
      <c r="D9" s="54">
        <v>19.959854125976562</v>
      </c>
      <c r="E9" s="54">
        <v>415.1521301269531</v>
      </c>
      <c r="F9" s="54">
        <v>0.26621875166893005</v>
      </c>
      <c r="G9" s="54">
        <v>0</v>
      </c>
      <c r="H9" s="55">
        <v>417.05047607421875</v>
      </c>
      <c r="I9" s="56">
        <v>24.406829833984375</v>
      </c>
      <c r="J9" s="54">
        <v>0.019733399152755737</v>
      </c>
      <c r="K9" s="54">
        <v>42.549190521240234</v>
      </c>
      <c r="L9" s="54">
        <v>1.325864553451538</v>
      </c>
      <c r="M9" s="54">
        <v>109.63542175292969</v>
      </c>
      <c r="N9" s="54">
        <v>112.1889419555664</v>
      </c>
      <c r="O9" s="54">
        <v>19.659080505371094</v>
      </c>
      <c r="P9" s="54">
        <v>19.7958984375</v>
      </c>
      <c r="Q9" s="54"/>
      <c r="R9" s="54">
        <v>2.714599609375</v>
      </c>
      <c r="S9" s="54">
        <v>140.95774841308594</v>
      </c>
      <c r="T9" s="54">
        <v>1.6100000143051147</v>
      </c>
      <c r="U9" s="54">
        <v>0.29916754364967346</v>
      </c>
      <c r="V9" s="54">
        <v>0.30003124475479126</v>
      </c>
      <c r="W9" s="54">
        <v>90.40074920654297</v>
      </c>
      <c r="X9" s="54">
        <v>0.5302107334136963</v>
      </c>
      <c r="Y9" s="54" t="s">
        <v>82</v>
      </c>
      <c r="Z9" s="54">
        <v>0.7508102059364319</v>
      </c>
      <c r="AA9" s="54">
        <v>149.6817169189453</v>
      </c>
      <c r="AB9" s="54">
        <v>163.4042205810547</v>
      </c>
      <c r="AC9" s="54">
        <v>0.41543692350387573</v>
      </c>
      <c r="AD9" s="54">
        <v>156.06192016601562</v>
      </c>
      <c r="AE9" s="57"/>
      <c r="AF9" s="57"/>
      <c r="AG9" s="57"/>
      <c r="AH9" s="57"/>
      <c r="AI9" s="57"/>
      <c r="AJ9" s="57"/>
      <c r="AK9" s="57"/>
      <c r="AL9" s="54">
        <v>13.55251693725586</v>
      </c>
      <c r="AM9" s="58">
        <v>0.00924707017838955</v>
      </c>
      <c r="AN9" s="59">
        <v>66.50028991699219</v>
      </c>
      <c r="AO9" s="60"/>
      <c r="AP9" s="61">
        <v>-80.94618225097656</v>
      </c>
      <c r="AQ9" s="61">
        <v>0.3006365895271301</v>
      </c>
      <c r="AR9" s="62">
        <v>0.00029357909807004035</v>
      </c>
    </row>
    <row r="10" spans="2:47" ht="13.5" customHeight="1" x14ac:dyDescent="0.25">
      <c r="B10" s="41" t="s">
        <v>272</v>
      </c>
      <c r="C10" s="54">
        <v>6.901041507720947</v>
      </c>
      <c r="D10" s="54">
        <v>19.90559959411621</v>
      </c>
      <c r="E10" s="54">
        <v>415.1748962402344</v>
      </c>
      <c r="F10" s="54">
        <v>0.3366093635559082</v>
      </c>
      <c r="G10" s="54">
        <v>0</v>
      </c>
      <c r="H10" s="55">
        <v>416.7752685546875</v>
      </c>
      <c r="I10" s="56">
        <v>21.014179229736328</v>
      </c>
      <c r="J10" s="54">
        <v>0.019761718809604645</v>
      </c>
      <c r="K10" s="54">
        <v>43.930843353271484</v>
      </c>
      <c r="L10" s="54">
        <v>1.391239881515503</v>
      </c>
      <c r="M10" s="54">
        <v>105.33854675292969</v>
      </c>
      <c r="N10" s="54">
        <v>110.61920928955078</v>
      </c>
      <c r="O10" s="54">
        <v>19.923030853271484</v>
      </c>
      <c r="P10" s="54">
        <v>19.7880859375</v>
      </c>
      <c r="Q10" s="54"/>
      <c r="R10" s="54">
        <v>2.7591552734375</v>
      </c>
      <c r="S10" s="54">
        <v>140.79861450195312</v>
      </c>
      <c r="T10" s="54">
        <v>1.6100000143051147</v>
      </c>
      <c r="U10" s="54">
        <v>0.30101725459098816</v>
      </c>
      <c r="V10" s="54">
        <v>0.2999843657016754</v>
      </c>
      <c r="W10" s="54">
        <v>90.3139419555664</v>
      </c>
      <c r="X10" s="54">
        <v>0.5283722877502441</v>
      </c>
      <c r="Y10" s="54" t="s">
        <v>82</v>
      </c>
      <c r="Z10" s="54">
        <v>0.7461227178573608</v>
      </c>
      <c r="AA10" s="54">
        <v>149.24044799804688</v>
      </c>
      <c r="AB10" s="54">
        <v>163.3752899169922</v>
      </c>
      <c r="AC10" s="54">
        <v>0.2801649272441864</v>
      </c>
      <c r="AD10" s="54">
        <v>155.8159637451172</v>
      </c>
      <c r="AE10" s="57"/>
      <c r="AF10" s="57"/>
      <c r="AG10" s="57"/>
      <c r="AH10" s="57"/>
      <c r="AI10" s="57"/>
      <c r="AJ10" s="57"/>
      <c r="AK10" s="57"/>
      <c r="AL10" s="54">
        <v>2.4450230598449707</v>
      </c>
      <c r="AM10" s="58">
        <v>0.009510742500424385</v>
      </c>
      <c r="AN10" s="59">
        <v>65.20905303955078</v>
      </c>
      <c r="AO10" s="60"/>
      <c r="AP10" s="61">
        <v>-80.39640808105469</v>
      </c>
      <c r="AQ10" s="61">
        <v>0.2981770932674408</v>
      </c>
      <c r="AR10" s="62">
        <v>0.0002946777385659516</v>
      </c>
    </row>
    <row r="11" spans="2:47" ht="13.5" customHeight="1" x14ac:dyDescent="0.25">
      <c r="B11" s="14">
        <v>4.1666666666666664E-2</v>
      </c>
      <c r="C11" s="54">
        <v>5.692997455596924</v>
      </c>
      <c r="D11" s="54">
        <v>19.73198890686035</v>
      </c>
      <c r="E11" s="54">
        <v>415.1920166015625</v>
      </c>
      <c r="F11" s="54">
        <v>0.2679375112056732</v>
      </c>
      <c r="G11" s="54">
        <v>0</v>
      </c>
      <c r="H11" s="55">
        <v>416.6684875488281</v>
      </c>
      <c r="I11" s="56">
        <v>0</v>
      </c>
      <c r="J11" s="54">
        <v>0.019704101607203484</v>
      </c>
      <c r="K11" s="54">
        <v>41.84027862548828</v>
      </c>
      <c r="L11" s="54">
        <v>1.3305665254592896</v>
      </c>
      <c r="M11" s="54">
        <v>108.83789825439453</v>
      </c>
      <c r="N11" s="54">
        <v>108.7384262084961</v>
      </c>
      <c r="O11" s="54">
        <v>20.099945068359375</v>
      </c>
      <c r="P11" s="54">
        <v>19.7783203125</v>
      </c>
      <c r="Q11" s="54"/>
      <c r="R11" s="54">
        <v>2.7701416015625</v>
      </c>
      <c r="S11" s="54">
        <v>140.92881774902344</v>
      </c>
      <c r="T11" s="54">
        <v>1.6100000143051147</v>
      </c>
      <c r="U11" s="54">
        <v>0.3043554425239563</v>
      </c>
      <c r="V11" s="54">
        <v>0.30000001192092896</v>
      </c>
      <c r="W11" s="54">
        <v>89.72077178955078</v>
      </c>
      <c r="X11" s="54">
        <v>0.5303859710693359</v>
      </c>
      <c r="Y11" s="54" t="s">
        <v>82</v>
      </c>
      <c r="Z11" s="54">
        <v>0.7362268567085266</v>
      </c>
      <c r="AA11" s="54">
        <v>148.9004669189453</v>
      </c>
      <c r="AB11" s="54">
        <v>162.76040649414062</v>
      </c>
      <c r="AC11" s="54">
        <v>0.347222238779068</v>
      </c>
      <c r="AD11" s="54">
        <v>155.19386291503906</v>
      </c>
      <c r="AE11" s="57"/>
      <c r="AF11" s="57"/>
      <c r="AG11" s="57"/>
      <c r="AH11" s="57"/>
      <c r="AI11" s="57"/>
      <c r="AJ11" s="57"/>
      <c r="AK11" s="57"/>
      <c r="AL11" s="54">
        <v>3.363715171813965</v>
      </c>
      <c r="AM11" s="58">
        <v>0.008590820245444775</v>
      </c>
      <c r="AN11" s="59">
        <v>63.31380081176758</v>
      </c>
      <c r="AO11" s="60"/>
      <c r="AP11" s="61">
        <v>-80.46875</v>
      </c>
      <c r="AQ11" s="61">
        <v>0.30410879850387573</v>
      </c>
      <c r="AR11" s="62">
        <v>0.00029470823938027024</v>
      </c>
    </row>
    <row r="12" spans="2:47" ht="13.5" customHeight="1" x14ac:dyDescent="0.25">
      <c r="B12" s="41" t="s">
        <v>273</v>
      </c>
      <c r="C12" s="54">
        <v>6.73828125</v>
      </c>
      <c r="D12" s="54">
        <v>19.79709243774414</v>
      </c>
      <c r="E12" s="54">
        <v>415.4927062988281</v>
      </c>
      <c r="F12" s="54">
        <v>0.33656251430511475</v>
      </c>
      <c r="G12" s="54">
        <v>0</v>
      </c>
      <c r="H12" s="55">
        <v>416.5502014160156</v>
      </c>
      <c r="I12" s="56">
        <v>22.33072853088379</v>
      </c>
      <c r="J12" s="54">
        <v>0.019741211086511612</v>
      </c>
      <c r="K12" s="54">
        <v>43.86574172973633</v>
      </c>
      <c r="L12" s="54">
        <v>1.3932292461395264</v>
      </c>
      <c r="M12" s="54">
        <v>106.61892700195312</v>
      </c>
      <c r="N12" s="54">
        <v>107.19039154052734</v>
      </c>
      <c r="O12" s="54">
        <v>19.695505142211914</v>
      </c>
      <c r="P12" s="54">
        <v>19.775390625</v>
      </c>
      <c r="Q12" s="54"/>
      <c r="R12" s="54">
        <v>2.811279296875</v>
      </c>
      <c r="S12" s="54">
        <v>140.8854217529297</v>
      </c>
      <c r="T12" s="54">
        <v>1.6100000143051147</v>
      </c>
      <c r="U12" s="54">
        <v>0.3012361228466034</v>
      </c>
      <c r="V12" s="54">
        <v>0.3000156283378601</v>
      </c>
      <c r="W12" s="54">
        <v>90.83477783203125</v>
      </c>
      <c r="X12" s="54">
        <v>0.5311928391456604</v>
      </c>
      <c r="Y12" s="54" t="s">
        <v>82</v>
      </c>
      <c r="Z12" s="54">
        <v>0.7445023655891418</v>
      </c>
      <c r="AA12" s="54">
        <v>149.609375</v>
      </c>
      <c r="AB12" s="54">
        <v>162.74594116210938</v>
      </c>
      <c r="AC12" s="54">
        <v>0.35423901677131653</v>
      </c>
      <c r="AD12" s="54">
        <v>155.41087341308594</v>
      </c>
      <c r="AE12" s="57"/>
      <c r="AF12" s="57"/>
      <c r="AG12" s="57"/>
      <c r="AH12" s="57"/>
      <c r="AI12" s="57"/>
      <c r="AJ12" s="57"/>
      <c r="AK12" s="57"/>
      <c r="AL12" s="54">
        <v>10.398582458496094</v>
      </c>
      <c r="AM12" s="58">
        <v>0.0076240235939621925</v>
      </c>
      <c r="AN12" s="59">
        <v>62.702545166015625</v>
      </c>
      <c r="AO12" s="60"/>
      <c r="AP12" s="61">
        <v>-80.37471008300781</v>
      </c>
      <c r="AQ12" s="61">
        <v>0.3107638955116272</v>
      </c>
      <c r="AR12" s="62">
        <v>0.00029460142832249403</v>
      </c>
    </row>
    <row r="13" spans="2:47" ht="13.5" customHeight="1" x14ac:dyDescent="0.25">
      <c r="B13" s="14">
        <v>0.125</v>
      </c>
      <c r="C13" s="54">
        <v>5.65321159362793</v>
      </c>
      <c r="D13" s="54">
        <v>19.76996612548828</v>
      </c>
      <c r="E13" s="54">
        <v>415.41119384765625</v>
      </c>
      <c r="F13" s="54">
        <v>0.26378124952316284</v>
      </c>
      <c r="G13" s="54">
        <v>0</v>
      </c>
      <c r="H13" s="55">
        <v>416.3892822265625</v>
      </c>
      <c r="I13" s="56">
        <v>14.608652114868164</v>
      </c>
      <c r="J13" s="54">
        <v>0.019893554970622063</v>
      </c>
      <c r="K13" s="54">
        <v>43.952545166015625</v>
      </c>
      <c r="L13" s="54">
        <v>1.3979312181472778</v>
      </c>
      <c r="M13" s="54">
        <v>106.9064712524414</v>
      </c>
      <c r="N13" s="54">
        <v>106.51041412353516</v>
      </c>
      <c r="O13" s="54">
        <v>19.923303604125977</v>
      </c>
      <c r="P13" s="54">
        <v>19.7705078125</v>
      </c>
      <c r="Q13" s="54"/>
      <c r="R13" s="54">
        <v>2.8211669921875</v>
      </c>
      <c r="S13" s="54">
        <v>140.83477783203125</v>
      </c>
      <c r="T13" s="54">
        <v>1.6100000143051147</v>
      </c>
      <c r="U13" s="54">
        <v>0.29986271262168884</v>
      </c>
      <c r="V13" s="54">
        <v>0.3000781238079071</v>
      </c>
      <c r="W13" s="54">
        <v>89.90161895751953</v>
      </c>
      <c r="X13" s="54">
        <v>0.5292507410049438</v>
      </c>
      <c r="Y13" s="54" t="s">
        <v>82</v>
      </c>
      <c r="Z13" s="54">
        <v>0.7460648417472839</v>
      </c>
      <c r="AA13" s="54">
        <v>149.1174774169922</v>
      </c>
      <c r="AB13" s="54">
        <v>162.6229705810547</v>
      </c>
      <c r="AC13" s="54">
        <v>0.37550637125968933</v>
      </c>
      <c r="AD13" s="54">
        <v>155.1504669189453</v>
      </c>
      <c r="AE13" s="57"/>
      <c r="AF13" s="57"/>
      <c r="AG13" s="57"/>
      <c r="AH13" s="57"/>
      <c r="AI13" s="57"/>
      <c r="AJ13" s="57"/>
      <c r="AK13" s="57"/>
      <c r="AL13" s="54">
        <v>32.88845443725586</v>
      </c>
      <c r="AM13" s="58">
        <v>0.007747070398181677</v>
      </c>
      <c r="AN13" s="59">
        <v>66.63411712646484</v>
      </c>
      <c r="AO13" s="60"/>
      <c r="AP13" s="61">
        <v>-80.25897216796875</v>
      </c>
      <c r="AQ13" s="61">
        <v>0.3083767294883728</v>
      </c>
      <c r="AR13" s="62">
        <v>0.0002953338553197682</v>
      </c>
    </row>
    <row r="14" spans="2:47" ht="13.5" customHeight="1" x14ac:dyDescent="0.25">
      <c r="B14" s="14">
        <v>0.16666666666666666</v>
      </c>
      <c r="C14" s="54">
        <v>6.582754611968994</v>
      </c>
      <c r="D14" s="54">
        <v>19.704862594604492</v>
      </c>
      <c r="E14" s="54">
        <v>415.4276123046875</v>
      </c>
      <c r="F14" s="54">
        <v>0.3365156352519989</v>
      </c>
      <c r="G14" s="54">
        <v>0</v>
      </c>
      <c r="H14" s="55">
        <v>416.2349853515625</v>
      </c>
      <c r="I14" s="56">
        <v>21.140769958496094</v>
      </c>
      <c r="J14" s="54">
        <v>0.01998925767838955</v>
      </c>
      <c r="K14" s="54">
        <v>45.22569274902344</v>
      </c>
      <c r="L14" s="54">
        <v>1.4623119831085205</v>
      </c>
      <c r="M14" s="54">
        <v>109.98806762695312</v>
      </c>
      <c r="N14" s="54">
        <v>110.12007904052734</v>
      </c>
      <c r="O14" s="54">
        <v>19.98151397705078</v>
      </c>
      <c r="P14" s="54">
        <v>19.759765625</v>
      </c>
      <c r="Q14" s="54"/>
      <c r="R14" s="54">
        <v>2.775146484375</v>
      </c>
      <c r="S14" s="54">
        <v>140.79861450195312</v>
      </c>
      <c r="T14" s="54">
        <v>1.6100000143051147</v>
      </c>
      <c r="U14" s="54">
        <v>0.3011578917503357</v>
      </c>
      <c r="V14" s="54">
        <v>0.2999531328678131</v>
      </c>
      <c r="W14" s="54">
        <v>90.51649475097656</v>
      </c>
      <c r="X14" s="54">
        <v>0.5278244018554688</v>
      </c>
      <c r="Y14" s="54" t="s">
        <v>82</v>
      </c>
      <c r="Z14" s="54">
        <v>0.7421875596046448</v>
      </c>
      <c r="AA14" s="54">
        <v>149.26214599609375</v>
      </c>
      <c r="AB14" s="54">
        <v>162.90509033203125</v>
      </c>
      <c r="AC14" s="54">
        <v>0.44874855875968933</v>
      </c>
      <c r="AD14" s="54">
        <v>155.28067016601562</v>
      </c>
      <c r="AE14" s="57"/>
      <c r="AF14" s="57"/>
      <c r="AG14" s="57"/>
      <c r="AH14" s="57"/>
      <c r="AI14" s="57"/>
      <c r="AJ14" s="57"/>
      <c r="AK14" s="57"/>
      <c r="AL14" s="54">
        <v>8.156105041503906</v>
      </c>
      <c r="AM14" s="58">
        <v>0.009995116852223873</v>
      </c>
      <c r="AN14" s="59">
        <v>65.04267883300781</v>
      </c>
      <c r="AO14" s="60"/>
      <c r="AP14" s="61">
        <v>-80.2228012084961</v>
      </c>
      <c r="AQ14" s="61">
        <v>0.28682002425193787</v>
      </c>
      <c r="AR14" s="62">
        <v>0.00029377746977843344</v>
      </c>
    </row>
    <row r="15" spans="2:47" ht="13.5" customHeight="1" x14ac:dyDescent="0.25">
      <c r="B15" s="14">
        <v>0.20833333333333334</v>
      </c>
      <c r="C15" s="54">
        <v>5.689380645751953</v>
      </c>
      <c r="D15" s="54">
        <v>19.677734375</v>
      </c>
      <c r="E15" s="54">
        <v>414.49981689453125</v>
      </c>
      <c r="F15" s="54">
        <v>0.26535937190055847</v>
      </c>
      <c r="G15" s="54">
        <v>0</v>
      </c>
      <c r="H15" s="55">
        <v>416.03961181640625</v>
      </c>
      <c r="I15" s="56">
        <v>8.861400604248047</v>
      </c>
      <c r="J15" s="54">
        <v>0.019615234807133675</v>
      </c>
      <c r="K15" s="54">
        <v>42.87471008300781</v>
      </c>
      <c r="L15" s="54">
        <v>1.3363535404205322</v>
      </c>
      <c r="M15" s="54">
        <v>111.24132537841797</v>
      </c>
      <c r="N15" s="54">
        <v>111.29918670654297</v>
      </c>
      <c r="O15" s="54">
        <v>19.543827056884766</v>
      </c>
      <c r="P15" s="54">
        <v>19.7451171875</v>
      </c>
      <c r="Q15" s="54"/>
      <c r="R15" s="54">
        <v>2.712646484375</v>
      </c>
      <c r="S15" s="54">
        <v>141.00115966796875</v>
      </c>
      <c r="T15" s="54">
        <v>1.6100000143051147</v>
      </c>
      <c r="U15" s="54">
        <v>0.29850512742996216</v>
      </c>
      <c r="V15" s="54">
        <v>0.29996874928474426</v>
      </c>
      <c r="W15" s="54">
        <v>90.0896987915039</v>
      </c>
      <c r="X15" s="54">
        <v>0.5287619233131409</v>
      </c>
      <c r="Y15" s="54" t="s">
        <v>82</v>
      </c>
      <c r="Z15" s="54">
        <v>0.7480903267860413</v>
      </c>
      <c r="AA15" s="54">
        <v>149.29832458496094</v>
      </c>
      <c r="AB15" s="54">
        <v>163.1799774169922</v>
      </c>
      <c r="AC15" s="54">
        <v>0.4308810830116272</v>
      </c>
      <c r="AD15" s="54">
        <v>155.80149841308594</v>
      </c>
      <c r="AE15" s="57"/>
      <c r="AF15" s="57"/>
      <c r="AG15" s="57"/>
      <c r="AH15" s="57"/>
      <c r="AI15" s="57"/>
      <c r="AJ15" s="57"/>
      <c r="AK15" s="57"/>
      <c r="AL15" s="54">
        <v>14.507378578186035</v>
      </c>
      <c r="AM15" s="58">
        <v>0.009115234017372131</v>
      </c>
      <c r="AN15" s="59">
        <v>62.62297439575195</v>
      </c>
      <c r="AO15" s="60"/>
      <c r="AP15" s="61">
        <v>-80.56278991699219</v>
      </c>
      <c r="AQ15" s="61">
        <v>0.3001302182674408</v>
      </c>
      <c r="AR15" s="62">
        <v>0.0002916412486229092</v>
      </c>
    </row>
    <row r="16" spans="2:47" ht="13.5" customHeight="1" x14ac:dyDescent="0.25">
      <c r="B16" s="14">
        <v>0.25</v>
      </c>
      <c r="C16" s="54">
        <v>6.618923664093018</v>
      </c>
      <c r="D16" s="54">
        <v>19.7265625</v>
      </c>
      <c r="E16" s="54">
        <v>414.40972900390625</v>
      </c>
      <c r="F16" s="54">
        <v>0.33662500977516174</v>
      </c>
      <c r="G16" s="54">
        <v>0</v>
      </c>
      <c r="H16" s="55">
        <v>415.54425048828125</v>
      </c>
      <c r="I16" s="56">
        <v>21.900318145751953</v>
      </c>
      <c r="J16" s="54">
        <v>0.019798828288912773</v>
      </c>
      <c r="K16" s="54">
        <v>43.525753021240234</v>
      </c>
      <c r="L16" s="54">
        <v>1.395851492881775</v>
      </c>
      <c r="M16" s="54">
        <v>108.31163787841797</v>
      </c>
      <c r="N16" s="54">
        <v>111.78385162353516</v>
      </c>
      <c r="O16" s="54">
        <v>19.836257934570312</v>
      </c>
      <c r="P16" s="54">
        <v>19.7412109375</v>
      </c>
      <c r="Q16" s="54"/>
      <c r="R16" s="54">
        <v>2.719482421875</v>
      </c>
      <c r="S16" s="54">
        <v>141.25433349609375</v>
      </c>
      <c r="T16" s="54">
        <v>1.6100000143051147</v>
      </c>
      <c r="U16" s="54">
        <v>0.29996007680892944</v>
      </c>
      <c r="V16" s="54">
        <v>0.2999843657016754</v>
      </c>
      <c r="W16" s="54">
        <v>90.69733428955078</v>
      </c>
      <c r="X16" s="54">
        <v>0.5294194221496582</v>
      </c>
      <c r="Y16" s="54" t="s">
        <v>82</v>
      </c>
      <c r="Z16" s="54">
        <v>0.7391204237937927</v>
      </c>
      <c r="AA16" s="54">
        <v>149.8046875</v>
      </c>
      <c r="AB16" s="54">
        <v>163.28125</v>
      </c>
      <c r="AC16" s="54">
        <v>0.396484375</v>
      </c>
      <c r="AD16" s="54">
        <v>155.64236450195312</v>
      </c>
      <c r="AE16" s="57"/>
      <c r="AF16" s="57"/>
      <c r="AG16" s="57"/>
      <c r="AH16" s="57"/>
      <c r="AI16" s="57"/>
      <c r="AJ16" s="57"/>
      <c r="AK16" s="57"/>
      <c r="AL16" s="54">
        <v>0</v>
      </c>
      <c r="AM16" s="58">
        <v>0.010100586339831352</v>
      </c>
      <c r="AN16" s="59">
        <v>65.44776916503906</v>
      </c>
      <c r="AO16" s="60"/>
      <c r="AP16" s="61">
        <v>-80.33854675292969</v>
      </c>
      <c r="AQ16" s="61">
        <v>0.28067129850387573</v>
      </c>
      <c r="AR16" s="62">
        <v>0.0002922668354585767</v>
      </c>
    </row>
    <row r="17" spans="2:44" ht="13.5" customHeight="1" x14ac:dyDescent="0.25">
      <c r="B17" s="14">
        <v>0.29166666666666669</v>
      </c>
      <c r="C17" s="54">
        <v>5.392795085906982</v>
      </c>
      <c r="D17" s="54">
        <v>19.791667938232422</v>
      </c>
      <c r="E17" s="54">
        <v>414.31829833984375</v>
      </c>
      <c r="F17" s="54">
        <v>0.26359376311302185</v>
      </c>
      <c r="G17" s="54">
        <v>0</v>
      </c>
      <c r="H17" s="55">
        <v>415.3768615722656</v>
      </c>
      <c r="I17" s="56">
        <v>21.520544052124023</v>
      </c>
      <c r="J17" s="54">
        <v>0.01950976625084877</v>
      </c>
      <c r="K17" s="54">
        <v>44.80613327026367</v>
      </c>
      <c r="L17" s="54">
        <v>1.423520803451538</v>
      </c>
      <c r="M17" s="54">
        <v>106.66775512695312</v>
      </c>
      <c r="N17" s="54">
        <v>111.10387420654297</v>
      </c>
      <c r="O17" s="54">
        <v>19.764421463012695</v>
      </c>
      <c r="P17" s="54">
        <v>19.7314453125</v>
      </c>
      <c r="Q17" s="54"/>
      <c r="R17" s="54">
        <v>2.738037109375</v>
      </c>
      <c r="S17" s="54">
        <v>140.7552032470703</v>
      </c>
      <c r="T17" s="54">
        <v>1.6100000143051147</v>
      </c>
      <c r="U17" s="54">
        <v>0.29920485615730286</v>
      </c>
      <c r="V17" s="54">
        <v>0.3001093864440918</v>
      </c>
      <c r="W17" s="54">
        <v>90.55265808105469</v>
      </c>
      <c r="X17" s="54">
        <v>0.5301558375358582</v>
      </c>
      <c r="Y17" s="54" t="s">
        <v>82</v>
      </c>
      <c r="Z17" s="54">
        <v>0.75150465965271</v>
      </c>
      <c r="AA17" s="54">
        <v>149.609375</v>
      </c>
      <c r="AB17" s="54">
        <v>163.17274475097656</v>
      </c>
      <c r="AC17" s="54">
        <v>0.42042824625968933</v>
      </c>
      <c r="AD17" s="54">
        <v>155.50491333007812</v>
      </c>
      <c r="AE17" s="57"/>
      <c r="AF17" s="57"/>
      <c r="AG17" s="57"/>
      <c r="AH17" s="57"/>
      <c r="AI17" s="57"/>
      <c r="AJ17" s="57"/>
      <c r="AK17" s="57"/>
      <c r="AL17" s="54">
        <v>1.2912325859069824</v>
      </c>
      <c r="AM17" s="58">
        <v>0.010306640528142452</v>
      </c>
      <c r="AN17" s="59">
        <v>63.910587310791016</v>
      </c>
      <c r="AO17" s="60"/>
      <c r="AP17" s="61">
        <v>-80.38917541503906</v>
      </c>
      <c r="AQ17" s="61">
        <v>0.2953559160232544</v>
      </c>
      <c r="AR17" s="62">
        <v>0.000292114244075492</v>
      </c>
    </row>
    <row r="18" spans="2:44" ht="13.5" customHeight="1" x14ac:dyDescent="0.25">
      <c r="B18" s="42">
        <v>0.33333333333333331</v>
      </c>
      <c r="C18" s="63">
        <v>6.524884223937988</v>
      </c>
      <c r="D18" s="63">
        <v>19.78081703186035</v>
      </c>
      <c r="E18" s="63">
        <v>414.68206787109375</v>
      </c>
      <c r="F18" s="63">
        <v>0.33668750524520874</v>
      </c>
      <c r="G18" s="63">
        <v>0</v>
      </c>
      <c r="H18" s="64">
        <v>415.1206359863281</v>
      </c>
      <c r="I18" s="65">
        <v>1.0633680820465088</v>
      </c>
      <c r="J18" s="63">
        <v>0.019416991621255875</v>
      </c>
      <c r="K18" s="63">
        <v>42.59982681274414</v>
      </c>
      <c r="L18" s="63">
        <v>1.3440394401550293</v>
      </c>
      <c r="M18" s="63">
        <v>107.4924087524414</v>
      </c>
      <c r="N18" s="63">
        <v>109.6209487915039</v>
      </c>
      <c r="O18" s="63">
        <v>19.85075569152832</v>
      </c>
      <c r="P18" s="63">
        <v>19.70703125</v>
      </c>
      <c r="Q18" s="63"/>
      <c r="R18" s="63">
        <v>2.7366943359375</v>
      </c>
      <c r="S18" s="63">
        <v>140.9215850830078</v>
      </c>
      <c r="T18" s="63">
        <v>1.6100000143051147</v>
      </c>
      <c r="U18" s="63">
        <v>0.30174583196640015</v>
      </c>
      <c r="V18" s="63">
        <v>0.3000468611717224</v>
      </c>
      <c r="W18" s="63">
        <v>90.6032943725586</v>
      </c>
      <c r="X18" s="63">
        <v>0.5291147828102112</v>
      </c>
      <c r="Y18" s="63">
        <v>0.5414937734603882</v>
      </c>
      <c r="Z18" s="63">
        <v>0.7384259700775146</v>
      </c>
      <c r="AA18" s="63">
        <v>149.30555725097656</v>
      </c>
      <c r="AB18" s="63">
        <v>163.19444274902344</v>
      </c>
      <c r="AC18" s="63">
        <v>0.39087820053100586</v>
      </c>
      <c r="AD18" s="63">
        <v>155.67852783203125</v>
      </c>
      <c r="AE18" s="66"/>
      <c r="AF18" s="66"/>
      <c r="AG18" s="66"/>
      <c r="AH18" s="66"/>
      <c r="AI18" s="66"/>
      <c r="AJ18" s="66"/>
      <c r="AK18" s="66"/>
      <c r="AL18" s="63">
        <v>50.180843353271484</v>
      </c>
      <c r="AM18" s="67">
        <v>0.011960937641561031</v>
      </c>
      <c r="AN18" s="68">
        <v>66.20370483398438</v>
      </c>
      <c r="AO18" s="60"/>
      <c r="AP18" s="61">
        <v>-80.49768829345703</v>
      </c>
      <c r="AQ18" s="61">
        <v>0.2677951455116272</v>
      </c>
      <c r="AR18" s="69">
        <v>0.0002929534821305424</v>
      </c>
    </row>
    <row r="19" spans="2:44" ht="18" customHeight="1" x14ac:dyDescent="0.25">
      <c r="B19" s="152" t="s">
        <v>181</v>
      </c>
      <c r="C19" s="36" t="s">
        <v>168</v>
      </c>
      <c r="D19" s="36" t="s">
        <v>171</v>
      </c>
      <c r="E19" s="111" t="s">
        <v>17</v>
      </c>
      <c r="F19" s="166"/>
      <c r="G19" s="167"/>
      <c r="H19" s="168" t="s">
        <v>108</v>
      </c>
      <c r="I19" s="166"/>
      <c r="J19" s="166"/>
      <c r="K19" s="166"/>
      <c r="L19" s="131"/>
      <c r="M19" s="169" t="s">
        <v>123</v>
      </c>
      <c r="N19" s="166"/>
      <c r="O19" s="166"/>
      <c r="P19" s="166"/>
      <c r="Q19" s="167"/>
      <c r="R19" s="168" t="s">
        <v>147</v>
      </c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7"/>
      <c r="AG19" s="130" t="s">
        <v>24</v>
      </c>
      <c r="AH19" s="167"/>
      <c r="AI19" s="178" t="s">
        <v>173</v>
      </c>
      <c r="AJ19" s="179"/>
      <c r="AK19" s="179"/>
      <c r="AL19" s="179"/>
      <c r="AM19" s="180"/>
      <c r="AN19" s="130" t="s">
        <v>47</v>
      </c>
      <c r="AO19" s="170"/>
      <c r="AP19" s="166" t="s">
        <v>180</v>
      </c>
      <c r="AQ19" s="171"/>
      <c r="AR19" s="172"/>
    </row>
    <row r="20" spans="2:44" ht="20.15" customHeight="1" x14ac:dyDescent="0.25">
      <c r="B20" s="153"/>
      <c r="C20" s="3" t="s">
        <v>169</v>
      </c>
      <c r="D20" s="3" t="s">
        <v>113</v>
      </c>
      <c r="E20" s="3" t="s">
        <v>15</v>
      </c>
      <c r="F20" s="122" t="s">
        <v>100</v>
      </c>
      <c r="G20" s="126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24" t="s">
        <v>148</v>
      </c>
      <c r="AE20" s="126"/>
      <c r="AF20" s="17" t="s">
        <v>151</v>
      </c>
      <c r="AG20" s="17" t="s">
        <v>153</v>
      </c>
      <c r="AH20" s="17" t="s">
        <v>155</v>
      </c>
      <c r="AI20" s="140" t="s">
        <v>89</v>
      </c>
      <c r="AJ20" s="141"/>
      <c r="AK20" s="140" t="s">
        <v>92</v>
      </c>
      <c r="AL20" s="141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53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41" t="s">
        <v>50</v>
      </c>
      <c r="C22" s="54">
        <v>-80.67129516601562</v>
      </c>
      <c r="D22" s="54">
        <v>-81.43807983398438</v>
      </c>
      <c r="E22" s="54">
        <v>94.2201919555664</v>
      </c>
      <c r="F22" s="54">
        <v>0.0774739608168602</v>
      </c>
      <c r="G22" s="54"/>
      <c r="H22" s="54"/>
      <c r="I22" s="54"/>
      <c r="J22" s="54"/>
      <c r="K22" s="54"/>
      <c r="L22" s="55"/>
      <c r="M22" s="70">
        <v>25.777631759643555</v>
      </c>
      <c r="N22" s="54">
        <v>42.2272834777832</v>
      </c>
      <c r="O22" s="54">
        <v>39.5</v>
      </c>
      <c r="P22" s="54">
        <v>22</v>
      </c>
      <c r="Q22" s="54">
        <v>3.5716145038604736</v>
      </c>
      <c r="R22" s="54">
        <v>20.619935989379883</v>
      </c>
      <c r="S22" s="71">
        <v>93.42086029052734</v>
      </c>
      <c r="T22" s="71">
        <v>50</v>
      </c>
      <c r="U22" s="71">
        <v>0</v>
      </c>
      <c r="V22" s="71">
        <v>20.605470657348633</v>
      </c>
      <c r="W22" s="71">
        <v>50.47743225097656</v>
      </c>
      <c r="X22" s="71">
        <v>29</v>
      </c>
      <c r="Y22" s="71">
        <v>71.86016845703125</v>
      </c>
      <c r="Z22" s="71">
        <v>14.04079818725586</v>
      </c>
      <c r="AA22" s="71">
        <v>16.444229125976562</v>
      </c>
      <c r="AB22" s="71"/>
      <c r="AC22" s="58"/>
      <c r="AD22" s="58">
        <v>0</v>
      </c>
      <c r="AE22" s="58"/>
      <c r="AF22" s="58">
        <v>22.793691635131836</v>
      </c>
      <c r="AG22" s="58">
        <v>20.175058364868164</v>
      </c>
      <c r="AH22" s="58"/>
      <c r="AI22" s="72"/>
      <c r="AJ22" s="72"/>
      <c r="AK22" s="72"/>
      <c r="AL22" s="72"/>
      <c r="AM22" s="72"/>
      <c r="AN22" s="58">
        <v>48.35069274902344</v>
      </c>
      <c r="AO22" s="59">
        <v>50</v>
      </c>
      <c r="AP22" s="60">
        <v>26.466651916503906</v>
      </c>
      <c r="AQ22" s="61">
        <v>39.62673568725586</v>
      </c>
      <c r="AR22" s="62">
        <v>0.0868072509765625</v>
      </c>
    </row>
    <row r="23" spans="2:44" ht="13.5" customHeight="1" x14ac:dyDescent="0.25">
      <c r="B23" s="14">
        <v>0.875</v>
      </c>
      <c r="C23" s="54">
        <v>-80.70023345947266</v>
      </c>
      <c r="D23" s="54">
        <v>-81.27169799804688</v>
      </c>
      <c r="E23" s="54">
        <v>90.66840362548828</v>
      </c>
      <c r="F23" s="54">
        <v>0.07559317350387573</v>
      </c>
      <c r="G23" s="54">
        <v>7.21740725566633E-05</v>
      </c>
      <c r="H23" s="54"/>
      <c r="I23" s="54"/>
      <c r="J23" s="54"/>
      <c r="K23" s="54"/>
      <c r="L23" s="55"/>
      <c r="M23" s="70">
        <v>28.555410385131836</v>
      </c>
      <c r="N23" s="54">
        <v>43.63064193725586</v>
      </c>
      <c r="O23" s="54">
        <v>39.5</v>
      </c>
      <c r="P23" s="54">
        <v>22</v>
      </c>
      <c r="Q23" s="54">
        <v>3.519097328186035</v>
      </c>
      <c r="R23" s="54">
        <v>20.500577926635742</v>
      </c>
      <c r="S23" s="71">
        <v>91.22178649902344</v>
      </c>
      <c r="T23" s="71">
        <v>50</v>
      </c>
      <c r="U23" s="71">
        <v>0</v>
      </c>
      <c r="V23" s="71">
        <v>20.583768844604492</v>
      </c>
      <c r="W23" s="71">
        <v>49.007164001464844</v>
      </c>
      <c r="X23" s="71">
        <v>29</v>
      </c>
      <c r="Y23" s="71">
        <v>71.93305206298828</v>
      </c>
      <c r="Z23" s="71">
        <v>14.621310234069824</v>
      </c>
      <c r="AA23" s="71">
        <v>17.52387237548828</v>
      </c>
      <c r="AB23" s="71"/>
      <c r="AC23" s="58"/>
      <c r="AD23" s="58">
        <v>1.54833984375</v>
      </c>
      <c r="AE23" s="58">
        <v>0.0013583373511210084</v>
      </c>
      <c r="AF23" s="58">
        <v>22.963685989379883</v>
      </c>
      <c r="AG23" s="58">
        <v>16.691984176635742</v>
      </c>
      <c r="AH23" s="58"/>
      <c r="AI23" s="72"/>
      <c r="AJ23" s="72"/>
      <c r="AK23" s="72"/>
      <c r="AL23" s="72"/>
      <c r="AM23" s="72"/>
      <c r="AN23" s="58">
        <v>47.28732681274414</v>
      </c>
      <c r="AO23" s="59">
        <v>50</v>
      </c>
      <c r="AP23" s="60">
        <v>26.303892135620117</v>
      </c>
      <c r="AQ23" s="61">
        <v>39.89800262451172</v>
      </c>
      <c r="AR23" s="62">
        <v>0.09766387939453125</v>
      </c>
    </row>
    <row r="24" spans="2:44" ht="13.5" customHeight="1" x14ac:dyDescent="0.25">
      <c r="B24" s="41" t="s">
        <v>271</v>
      </c>
      <c r="C24" s="54">
        <v>-80.62789154052734</v>
      </c>
      <c r="D24" s="54">
        <v>-81.26446533203125</v>
      </c>
      <c r="E24" s="54">
        <v>89.75332641601562</v>
      </c>
      <c r="F24" s="54">
        <v>0.07349537312984467</v>
      </c>
      <c r="G24" s="54">
        <v>7.17620860086754E-05</v>
      </c>
      <c r="H24" s="54"/>
      <c r="I24" s="54"/>
      <c r="J24" s="54"/>
      <c r="K24" s="54"/>
      <c r="L24" s="55"/>
      <c r="M24" s="70">
        <v>30.562788009643555</v>
      </c>
      <c r="N24" s="54">
        <v>45.34505081176758</v>
      </c>
      <c r="O24" s="54">
        <v>39.5</v>
      </c>
      <c r="P24" s="54">
        <v>22</v>
      </c>
      <c r="Q24" s="54">
        <v>3.487847328186035</v>
      </c>
      <c r="R24" s="54">
        <v>20.37760353088379</v>
      </c>
      <c r="S24" s="71">
        <v>92.32855987548828</v>
      </c>
      <c r="T24" s="71">
        <v>50</v>
      </c>
      <c r="U24" s="71">
        <v>0</v>
      </c>
      <c r="V24" s="71">
        <v>20.81163215637207</v>
      </c>
      <c r="W24" s="71">
        <v>48.079429626464844</v>
      </c>
      <c r="X24" s="71">
        <v>28</v>
      </c>
      <c r="Y24" s="71">
        <v>67.76204681396484</v>
      </c>
      <c r="Z24" s="71">
        <v>14.547163963317871</v>
      </c>
      <c r="AA24" s="71">
        <v>17.73546028137207</v>
      </c>
      <c r="AB24" s="71"/>
      <c r="AC24" s="58"/>
      <c r="AD24" s="58">
        <v>1.5483940839767456</v>
      </c>
      <c r="AE24" s="58">
        <v>0.0013422240735962987</v>
      </c>
      <c r="AF24" s="58">
        <v>23.007089614868164</v>
      </c>
      <c r="AG24" s="58">
        <v>17.390045166015625</v>
      </c>
      <c r="AH24" s="58"/>
      <c r="AI24" s="72"/>
      <c r="AJ24" s="72"/>
      <c r="AK24" s="72"/>
      <c r="AL24" s="72"/>
      <c r="AM24" s="72"/>
      <c r="AN24" s="58">
        <v>46.086517333984375</v>
      </c>
      <c r="AO24" s="59">
        <v>50</v>
      </c>
      <c r="AP24" s="60">
        <v>25.734230041503906</v>
      </c>
      <c r="AQ24" s="61">
        <v>42.1875</v>
      </c>
      <c r="AR24" s="62">
        <v>0.10851287841796875</v>
      </c>
    </row>
    <row r="25" spans="2:44" ht="13.5" customHeight="1" x14ac:dyDescent="0.25">
      <c r="B25" s="14">
        <v>0.95833333333333337</v>
      </c>
      <c r="C25" s="54">
        <v>-80.94618225097656</v>
      </c>
      <c r="D25" s="54">
        <v>-81.72019958496094</v>
      </c>
      <c r="E25" s="54">
        <v>88.84186553955078</v>
      </c>
      <c r="F25" s="54">
        <v>0.07472511380910873</v>
      </c>
      <c r="G25" s="54">
        <v>7.195663783932105E-05</v>
      </c>
      <c r="H25" s="54"/>
      <c r="I25" s="54"/>
      <c r="J25" s="54"/>
      <c r="K25" s="54"/>
      <c r="L25" s="55"/>
      <c r="M25" s="70">
        <v>30.501300811767578</v>
      </c>
      <c r="N25" s="54">
        <v>45.460792541503906</v>
      </c>
      <c r="O25" s="54">
        <v>39.5</v>
      </c>
      <c r="P25" s="54">
        <v>22</v>
      </c>
      <c r="Q25" s="54">
        <v>3.4275174140930176</v>
      </c>
      <c r="R25" s="54">
        <v>20.026763916015625</v>
      </c>
      <c r="S25" s="71">
        <v>92.18026733398438</v>
      </c>
      <c r="T25" s="71">
        <v>50</v>
      </c>
      <c r="U25" s="71">
        <v>0</v>
      </c>
      <c r="V25" s="71">
        <v>20.95269203186035</v>
      </c>
      <c r="W25" s="71">
        <v>47.265628814697266</v>
      </c>
      <c r="X25" s="71">
        <v>28</v>
      </c>
      <c r="Y25" s="71">
        <v>67.79007720947266</v>
      </c>
      <c r="Z25" s="71">
        <v>14.8781099319458</v>
      </c>
      <c r="AA25" s="71">
        <v>18.153213500976562</v>
      </c>
      <c r="AB25" s="71"/>
      <c r="AC25" s="58"/>
      <c r="AD25" s="58">
        <v>1.54833984375</v>
      </c>
      <c r="AE25" s="58">
        <v>0.0015449218917638063</v>
      </c>
      <c r="AF25" s="58">
        <v>23.00347137451172</v>
      </c>
      <c r="AG25" s="58">
        <v>16.26519012451172</v>
      </c>
      <c r="AH25" s="58"/>
      <c r="AI25" s="72"/>
      <c r="AJ25" s="72"/>
      <c r="AK25" s="72"/>
      <c r="AL25" s="72"/>
      <c r="AM25" s="72"/>
      <c r="AN25" s="58">
        <v>45.00144577026367</v>
      </c>
      <c r="AO25" s="59">
        <v>50</v>
      </c>
      <c r="AP25" s="60">
        <v>25.345413208007812</v>
      </c>
      <c r="AQ25" s="61">
        <v>41.565391540527344</v>
      </c>
      <c r="AR25" s="62">
        <v>0.10851287841796875</v>
      </c>
    </row>
    <row r="26" spans="2:44" ht="13.5" customHeight="1" x14ac:dyDescent="0.25">
      <c r="B26" s="41" t="s">
        <v>272</v>
      </c>
      <c r="C26" s="54">
        <v>-80.39640808105469</v>
      </c>
      <c r="D26" s="54">
        <v>-81.1993637084961</v>
      </c>
      <c r="E26" s="54">
        <v>88.83101654052734</v>
      </c>
      <c r="F26" s="54">
        <v>0.07414641231298447</v>
      </c>
      <c r="G26" s="54">
        <v>7.086562982294708E-05</v>
      </c>
      <c r="H26" s="54"/>
      <c r="I26" s="54"/>
      <c r="J26" s="54"/>
      <c r="K26" s="54"/>
      <c r="L26" s="55"/>
      <c r="M26" s="70">
        <v>30.602575302124023</v>
      </c>
      <c r="N26" s="54">
        <v>44.983360290527344</v>
      </c>
      <c r="O26" s="54">
        <v>39.5</v>
      </c>
      <c r="P26" s="54">
        <v>22</v>
      </c>
      <c r="Q26" s="54">
        <v>3.496527910232544</v>
      </c>
      <c r="R26" s="54">
        <v>20.091869354248047</v>
      </c>
      <c r="S26" s="71">
        <v>92.51663970947266</v>
      </c>
      <c r="T26" s="71">
        <v>50</v>
      </c>
      <c r="U26" s="71">
        <v>0</v>
      </c>
      <c r="V26" s="71">
        <v>21.082901000976562</v>
      </c>
      <c r="W26" s="71">
        <v>46.484378814697266</v>
      </c>
      <c r="X26" s="71">
        <v>28</v>
      </c>
      <c r="Y26" s="71">
        <v>67.74522399902344</v>
      </c>
      <c r="Z26" s="71">
        <v>14.548972129821777</v>
      </c>
      <c r="AA26" s="71">
        <v>18.240018844604492</v>
      </c>
      <c r="AB26" s="71"/>
      <c r="AC26" s="58"/>
      <c r="AD26" s="58">
        <v>1.54833984375</v>
      </c>
      <c r="AE26" s="58">
        <v>0.0013941649813205004</v>
      </c>
      <c r="AF26" s="58">
        <v>23.1155948638916</v>
      </c>
      <c r="AG26" s="58">
        <v>18.938077926635742</v>
      </c>
      <c r="AH26" s="58"/>
      <c r="AI26" s="72"/>
      <c r="AJ26" s="72"/>
      <c r="AK26" s="72"/>
      <c r="AL26" s="72"/>
      <c r="AM26" s="72"/>
      <c r="AN26" s="58">
        <v>44.01765060424805</v>
      </c>
      <c r="AO26" s="59">
        <v>50</v>
      </c>
      <c r="AP26" s="60">
        <v>25.453920364379883</v>
      </c>
      <c r="AQ26" s="61">
        <v>40.1765022277832</v>
      </c>
      <c r="AR26" s="62">
        <v>0.11936187744140625</v>
      </c>
    </row>
    <row r="27" spans="2:44" ht="13.5" customHeight="1" x14ac:dyDescent="0.25">
      <c r="B27" s="14">
        <v>4.1666666666666664E-2</v>
      </c>
      <c r="C27" s="54">
        <v>-80.46875</v>
      </c>
      <c r="D27" s="54">
        <v>-81.3006362915039</v>
      </c>
      <c r="E27" s="54">
        <v>86.5017318725586</v>
      </c>
      <c r="F27" s="54">
        <v>0.07429108768701553</v>
      </c>
      <c r="G27" s="54">
        <v>7.056426693452522E-05</v>
      </c>
      <c r="H27" s="54"/>
      <c r="I27" s="54"/>
      <c r="J27" s="54"/>
      <c r="K27" s="54"/>
      <c r="L27" s="55"/>
      <c r="M27" s="70">
        <v>30.700231552124023</v>
      </c>
      <c r="N27" s="54">
        <v>45.56206512451172</v>
      </c>
      <c r="O27" s="54">
        <v>39.5</v>
      </c>
      <c r="P27" s="54">
        <v>22</v>
      </c>
      <c r="Q27" s="54">
        <v>3.5247395038604736</v>
      </c>
      <c r="R27" s="54">
        <v>19.856769561767578</v>
      </c>
      <c r="S27" s="71">
        <v>91.2398681640625</v>
      </c>
      <c r="T27" s="71">
        <v>50</v>
      </c>
      <c r="U27" s="71">
        <v>0</v>
      </c>
      <c r="V27" s="71">
        <v>21.61458396911621</v>
      </c>
      <c r="W27" s="71">
        <v>45.8116340637207</v>
      </c>
      <c r="X27" s="71">
        <v>28.5</v>
      </c>
      <c r="Y27" s="71">
        <v>69.46072387695312</v>
      </c>
      <c r="Z27" s="71">
        <v>14.619502067565918</v>
      </c>
      <c r="AA27" s="71">
        <v>18.06098175048828</v>
      </c>
      <c r="AB27" s="71"/>
      <c r="AC27" s="58"/>
      <c r="AD27" s="58">
        <v>0</v>
      </c>
      <c r="AE27" s="58">
        <v>0.0012631835415959358</v>
      </c>
      <c r="AF27" s="58">
        <v>23.137296676635742</v>
      </c>
      <c r="AG27" s="58">
        <v>20.298032760620117</v>
      </c>
      <c r="AH27" s="58"/>
      <c r="AI27" s="72"/>
      <c r="AJ27" s="72"/>
      <c r="AK27" s="72"/>
      <c r="AL27" s="72"/>
      <c r="AM27" s="72"/>
      <c r="AN27" s="58">
        <v>43.149593353271484</v>
      </c>
      <c r="AO27" s="59">
        <v>50</v>
      </c>
      <c r="AP27" s="60">
        <v>25.354455947875977</v>
      </c>
      <c r="AQ27" s="61">
        <v>40.60329818725586</v>
      </c>
      <c r="AR27" s="62">
        <v>0.11936187744140625</v>
      </c>
    </row>
    <row r="28" spans="2:44" ht="13.5" customHeight="1" x14ac:dyDescent="0.25">
      <c r="B28" s="41" t="s">
        <v>273</v>
      </c>
      <c r="C28" s="54">
        <v>-80.37471008300781</v>
      </c>
      <c r="D28" s="54">
        <v>-81.24276733398438</v>
      </c>
      <c r="E28" s="54">
        <v>87.13468933105469</v>
      </c>
      <c r="F28" s="54">
        <v>0.0748697891831398</v>
      </c>
      <c r="G28" s="54">
        <v>7.094573811627924E-05</v>
      </c>
      <c r="H28" s="54"/>
      <c r="I28" s="54"/>
      <c r="J28" s="54"/>
      <c r="K28" s="54"/>
      <c r="L28" s="55"/>
      <c r="M28" s="70">
        <v>30.703847885131836</v>
      </c>
      <c r="N28" s="54">
        <v>44.67230987548828</v>
      </c>
      <c r="O28" s="54">
        <v>39.5</v>
      </c>
      <c r="P28" s="54">
        <v>22</v>
      </c>
      <c r="Q28" s="54">
        <v>3.585503578186035</v>
      </c>
      <c r="R28" s="54">
        <v>19.918258666992188</v>
      </c>
      <c r="S28" s="71">
        <v>92.14409637451172</v>
      </c>
      <c r="T28" s="71">
        <v>50</v>
      </c>
      <c r="U28" s="71">
        <v>0</v>
      </c>
      <c r="V28" s="71">
        <v>21.679689407348633</v>
      </c>
      <c r="W28" s="71">
        <v>45.20941925048828</v>
      </c>
      <c r="X28" s="71">
        <v>28.5</v>
      </c>
      <c r="Y28" s="71">
        <v>68.77676391601562</v>
      </c>
      <c r="Z28" s="71">
        <v>14.650245666503906</v>
      </c>
      <c r="AA28" s="71">
        <v>18.68489646911621</v>
      </c>
      <c r="AB28" s="71"/>
      <c r="AC28" s="58"/>
      <c r="AD28" s="58">
        <v>1.5482856035232544</v>
      </c>
      <c r="AE28" s="58">
        <v>0.0010809325613081455</v>
      </c>
      <c r="AF28" s="58">
        <v>23.14453125</v>
      </c>
      <c r="AG28" s="58">
        <v>16.46050262451172</v>
      </c>
      <c r="AH28" s="58"/>
      <c r="AI28" s="72"/>
      <c r="AJ28" s="72"/>
      <c r="AK28" s="72"/>
      <c r="AL28" s="72"/>
      <c r="AM28" s="72"/>
      <c r="AN28" s="58">
        <v>42.411746978759766</v>
      </c>
      <c r="AO28" s="59">
        <v>50</v>
      </c>
      <c r="AP28" s="60">
        <v>25.408708572387695</v>
      </c>
      <c r="AQ28" s="61">
        <v>40.625</v>
      </c>
      <c r="AR28" s="62">
        <v>0.11936187744140625</v>
      </c>
    </row>
    <row r="29" spans="2:44" ht="13.5" customHeight="1" x14ac:dyDescent="0.25">
      <c r="B29" s="14">
        <v>0.125</v>
      </c>
      <c r="C29" s="54">
        <v>-80.25897216796875</v>
      </c>
      <c r="D29" s="54">
        <v>-81.30786895751953</v>
      </c>
      <c r="E29" s="54">
        <v>86.58853912353516</v>
      </c>
      <c r="F29" s="54">
        <v>0.07298900187015533</v>
      </c>
      <c r="G29" s="54">
        <v>7.5008392741438E-05</v>
      </c>
      <c r="H29" s="54"/>
      <c r="I29" s="54"/>
      <c r="J29" s="54"/>
      <c r="K29" s="54"/>
      <c r="L29" s="55"/>
      <c r="M29" s="70">
        <v>32.06741714477539</v>
      </c>
      <c r="N29" s="54">
        <v>46.057579040527344</v>
      </c>
      <c r="O29" s="54">
        <v>39.5</v>
      </c>
      <c r="P29" s="54">
        <v>22</v>
      </c>
      <c r="Q29" s="54">
        <v>3.463975667953491</v>
      </c>
      <c r="R29" s="54">
        <v>19.86762046813965</v>
      </c>
      <c r="S29" s="71">
        <v>93.71382904052734</v>
      </c>
      <c r="T29" s="71">
        <v>50</v>
      </c>
      <c r="U29" s="71">
        <v>0</v>
      </c>
      <c r="V29" s="71">
        <v>21.90755271911621</v>
      </c>
      <c r="W29" s="71">
        <v>44.61805725097656</v>
      </c>
      <c r="X29" s="71">
        <v>28.5</v>
      </c>
      <c r="Y29" s="71">
        <v>68.51888275146484</v>
      </c>
      <c r="Z29" s="71">
        <v>14.749710083007812</v>
      </c>
      <c r="AA29" s="71">
        <v>18.97786521911621</v>
      </c>
      <c r="AB29" s="71"/>
      <c r="AC29" s="58"/>
      <c r="AD29" s="58">
        <v>1.54833984375</v>
      </c>
      <c r="AE29" s="58">
        <v>0.0015424194280058146</v>
      </c>
      <c r="AF29" s="58">
        <v>23.14453125</v>
      </c>
      <c r="AG29" s="58">
        <v>20.33420181274414</v>
      </c>
      <c r="AH29" s="58"/>
      <c r="AI29" s="72"/>
      <c r="AJ29" s="72"/>
      <c r="AK29" s="72"/>
      <c r="AL29" s="72"/>
      <c r="AM29" s="72"/>
      <c r="AN29" s="58">
        <v>41.804107666015625</v>
      </c>
      <c r="AO29" s="59">
        <v>50</v>
      </c>
      <c r="AP29" s="60">
        <v>25.52625846862793</v>
      </c>
      <c r="AQ29" s="61">
        <v>40.299476623535156</v>
      </c>
      <c r="AR29" s="62">
        <v>0.10851287841796875</v>
      </c>
    </row>
    <row r="30" spans="2:44" ht="13.5" customHeight="1" x14ac:dyDescent="0.25">
      <c r="B30" s="14">
        <v>0.16666666666666666</v>
      </c>
      <c r="C30" s="54">
        <v>-80.2228012084961</v>
      </c>
      <c r="D30" s="54">
        <v>-81.04022216796875</v>
      </c>
      <c r="E30" s="54">
        <v>86.67534637451172</v>
      </c>
      <c r="F30" s="54">
        <v>0.0753038227558136</v>
      </c>
      <c r="G30" s="54">
        <v>7.04345729900524E-05</v>
      </c>
      <c r="H30" s="54"/>
      <c r="I30" s="54"/>
      <c r="J30" s="54"/>
      <c r="K30" s="54"/>
      <c r="L30" s="55"/>
      <c r="M30" s="70">
        <v>32.12890625</v>
      </c>
      <c r="N30" s="54">
        <v>45.91652297973633</v>
      </c>
      <c r="O30" s="54">
        <v>39.5</v>
      </c>
      <c r="P30" s="54">
        <v>22</v>
      </c>
      <c r="Q30" s="54">
        <v>3.4921875</v>
      </c>
      <c r="R30" s="54">
        <v>19.86762046813965</v>
      </c>
      <c r="S30" s="71">
        <v>92.39366149902344</v>
      </c>
      <c r="T30" s="71">
        <v>50</v>
      </c>
      <c r="U30" s="71">
        <v>0</v>
      </c>
      <c r="V30" s="71">
        <v>22.15169334411621</v>
      </c>
      <c r="W30" s="71">
        <v>44.12977600097656</v>
      </c>
      <c r="X30" s="71">
        <v>28.5</v>
      </c>
      <c r="Y30" s="71">
        <v>68.83843231201172</v>
      </c>
      <c r="Z30" s="71">
        <v>14.755135536193848</v>
      </c>
      <c r="AA30" s="71">
        <v>19.156902313232422</v>
      </c>
      <c r="AB30" s="71"/>
      <c r="AC30" s="58"/>
      <c r="AD30" s="58">
        <v>1.54833984375</v>
      </c>
      <c r="AE30" s="58">
        <v>0.0015369872562587261</v>
      </c>
      <c r="AF30" s="58">
        <v>23.202402114868164</v>
      </c>
      <c r="AG30" s="58">
        <v>20.72482681274414</v>
      </c>
      <c r="AH30" s="58"/>
      <c r="AI30" s="72"/>
      <c r="AJ30" s="72"/>
      <c r="AK30" s="72"/>
      <c r="AL30" s="72"/>
      <c r="AM30" s="72"/>
      <c r="AN30" s="58">
        <v>41.31221008300781</v>
      </c>
      <c r="AO30" s="59">
        <v>50</v>
      </c>
      <c r="AP30" s="60">
        <v>25.508174896240234</v>
      </c>
      <c r="AQ30" s="61">
        <v>39.796730041503906</v>
      </c>
      <c r="AR30" s="62">
        <v>0.09766387939453125</v>
      </c>
    </row>
    <row r="31" spans="2:44" ht="13.5" customHeight="1" x14ac:dyDescent="0.25">
      <c r="B31" s="14">
        <v>0.20833333333333334</v>
      </c>
      <c r="C31" s="54">
        <v>-80.56278991699219</v>
      </c>
      <c r="D31" s="54">
        <v>-81.4453125</v>
      </c>
      <c r="E31" s="54">
        <v>86.77661895751953</v>
      </c>
      <c r="F31" s="54">
        <v>0.07458043843507767</v>
      </c>
      <c r="G31" s="54">
        <v>7.089614518918097E-05</v>
      </c>
      <c r="H31" s="54"/>
      <c r="I31" s="54"/>
      <c r="J31" s="54"/>
      <c r="K31" s="54"/>
      <c r="L31" s="55"/>
      <c r="M31" s="70">
        <v>32.002315521240234</v>
      </c>
      <c r="N31" s="54">
        <v>46.5711784362793</v>
      </c>
      <c r="O31" s="54">
        <v>39.5</v>
      </c>
      <c r="P31" s="54">
        <v>22</v>
      </c>
      <c r="Q31" s="54">
        <v>3.411024332046509</v>
      </c>
      <c r="R31" s="54">
        <v>19.856769561767578</v>
      </c>
      <c r="S31" s="71">
        <v>90.4767074584961</v>
      </c>
      <c r="T31" s="71">
        <v>50</v>
      </c>
      <c r="U31" s="71">
        <v>0</v>
      </c>
      <c r="V31" s="71">
        <v>22.379558563232422</v>
      </c>
      <c r="W31" s="71">
        <v>43.6143684387207</v>
      </c>
      <c r="X31" s="71">
        <v>29</v>
      </c>
      <c r="Y31" s="71">
        <v>70.73892974853516</v>
      </c>
      <c r="Z31" s="71">
        <v>14.849175453186035</v>
      </c>
      <c r="AA31" s="71">
        <v>19.384765625</v>
      </c>
      <c r="AB31" s="71"/>
      <c r="AC31" s="58"/>
      <c r="AD31" s="58">
        <v>1.54833984375</v>
      </c>
      <c r="AE31" s="58">
        <v>0.0015459595015272498</v>
      </c>
      <c r="AF31" s="58">
        <v>23.281972885131836</v>
      </c>
      <c r="AG31" s="58">
        <v>18.50043296813965</v>
      </c>
      <c r="AH31" s="58"/>
      <c r="AI31" s="72"/>
      <c r="AJ31" s="72"/>
      <c r="AK31" s="72"/>
      <c r="AL31" s="72"/>
      <c r="AM31" s="72"/>
      <c r="AN31" s="58">
        <v>40.89988327026367</v>
      </c>
      <c r="AO31" s="59">
        <v>50</v>
      </c>
      <c r="AP31" s="60">
        <v>25.17361068725586</v>
      </c>
      <c r="AQ31" s="61">
        <v>39.709922790527344</v>
      </c>
      <c r="AR31" s="62">
        <v>0.11936187744140625</v>
      </c>
    </row>
    <row r="32" spans="2:44" ht="13.5" customHeight="1" x14ac:dyDescent="0.25">
      <c r="B32" s="14">
        <v>0.25</v>
      </c>
      <c r="C32" s="54">
        <v>-80.33854675292969</v>
      </c>
      <c r="D32" s="54">
        <v>-82.19039154052734</v>
      </c>
      <c r="E32" s="54">
        <v>89.99927520751953</v>
      </c>
      <c r="F32" s="54">
        <v>0.05114293843507767</v>
      </c>
      <c r="G32" s="54">
        <v>6.814194057369605E-05</v>
      </c>
      <c r="H32" s="54"/>
      <c r="I32" s="54"/>
      <c r="J32" s="54"/>
      <c r="K32" s="54"/>
      <c r="L32" s="55"/>
      <c r="M32" s="70">
        <v>31.69849395751953</v>
      </c>
      <c r="N32" s="54">
        <v>46.260128021240234</v>
      </c>
      <c r="O32" s="54">
        <v>39.5</v>
      </c>
      <c r="P32" s="54">
        <v>22</v>
      </c>
      <c r="Q32" s="54">
        <v>3.4166667461395264</v>
      </c>
      <c r="R32" s="54">
        <v>20.037614822387695</v>
      </c>
      <c r="S32" s="71">
        <v>93.56553649902344</v>
      </c>
      <c r="T32" s="71">
        <v>50</v>
      </c>
      <c r="U32" s="71">
        <v>0</v>
      </c>
      <c r="V32" s="71">
        <v>22.56944465637207</v>
      </c>
      <c r="W32" s="71">
        <v>43.37565231323242</v>
      </c>
      <c r="X32" s="71">
        <v>28.75</v>
      </c>
      <c r="Y32" s="71">
        <v>69.52239227294922</v>
      </c>
      <c r="Z32" s="71">
        <v>14.867259979248047</v>
      </c>
      <c r="AA32" s="71">
        <v>19.498699188232422</v>
      </c>
      <c r="AB32" s="71"/>
      <c r="AC32" s="58"/>
      <c r="AD32" s="58">
        <v>1.54833984375</v>
      </c>
      <c r="AE32" s="58">
        <v>0.0013732300139963627</v>
      </c>
      <c r="AF32" s="58">
        <v>23.3109073638916</v>
      </c>
      <c r="AG32" s="58">
        <v>24.16449546813965</v>
      </c>
      <c r="AH32" s="58"/>
      <c r="AI32" s="72"/>
      <c r="AJ32" s="72"/>
      <c r="AK32" s="72"/>
      <c r="AL32" s="72"/>
      <c r="AM32" s="72"/>
      <c r="AN32" s="58">
        <v>40.44415283203125</v>
      </c>
      <c r="AO32" s="59">
        <v>50</v>
      </c>
      <c r="AP32" s="60">
        <v>25.01085090637207</v>
      </c>
      <c r="AQ32" s="61">
        <v>40.50202560424805</v>
      </c>
      <c r="AR32" s="62">
        <v>0.10851287841796875</v>
      </c>
    </row>
    <row r="33" spans="2:44" ht="13.5" customHeight="1" x14ac:dyDescent="0.25">
      <c r="B33" s="14">
        <v>0.29166666666666669</v>
      </c>
      <c r="C33" s="54">
        <v>-80.38917541503906</v>
      </c>
      <c r="D33" s="54">
        <v>-81.23553466796875</v>
      </c>
      <c r="E33" s="54">
        <v>87.13468933105469</v>
      </c>
      <c r="F33" s="54">
        <v>0.0744357630610466</v>
      </c>
      <c r="G33" s="54">
        <v>7.136535714380443E-05</v>
      </c>
      <c r="H33" s="54"/>
      <c r="I33" s="54"/>
      <c r="J33" s="54"/>
      <c r="K33" s="54"/>
      <c r="L33" s="55"/>
      <c r="M33" s="70">
        <v>31.528501510620117</v>
      </c>
      <c r="N33" s="54">
        <v>45.87673568725586</v>
      </c>
      <c r="O33" s="54">
        <v>39.5</v>
      </c>
      <c r="P33" s="54">
        <v>22</v>
      </c>
      <c r="Q33" s="54">
        <v>3.448350667953491</v>
      </c>
      <c r="R33" s="54">
        <v>20.037614822387695</v>
      </c>
      <c r="S33" s="71">
        <v>93.52936553955078</v>
      </c>
      <c r="T33" s="71">
        <v>50</v>
      </c>
      <c r="U33" s="71">
        <v>0</v>
      </c>
      <c r="V33" s="71">
        <v>22.753908157348633</v>
      </c>
      <c r="W33" s="71">
        <v>43.023006439208984</v>
      </c>
      <c r="X33" s="71">
        <v>28.75</v>
      </c>
      <c r="Y33" s="71">
        <v>69.24208068847656</v>
      </c>
      <c r="Z33" s="71">
        <v>14.905237197875977</v>
      </c>
      <c r="AA33" s="71">
        <v>19.71028709411621</v>
      </c>
      <c r="AB33" s="71"/>
      <c r="AC33" s="58"/>
      <c r="AD33" s="58">
        <v>1.54833984375</v>
      </c>
      <c r="AE33" s="58">
        <v>0.001543212914839387</v>
      </c>
      <c r="AF33" s="58">
        <v>23.300058364868164</v>
      </c>
      <c r="AG33" s="58">
        <v>16.2796573638916</v>
      </c>
      <c r="AH33" s="58"/>
      <c r="AI33" s="72"/>
      <c r="AJ33" s="72"/>
      <c r="AK33" s="72"/>
      <c r="AL33" s="72"/>
      <c r="AM33" s="72"/>
      <c r="AN33" s="58">
        <v>40.08246612548828</v>
      </c>
      <c r="AO33" s="59">
        <v>50</v>
      </c>
      <c r="AP33" s="60">
        <v>25.074146270751953</v>
      </c>
      <c r="AQ33" s="61">
        <v>40.07161331176758</v>
      </c>
      <c r="AR33" s="62">
        <v>0.11936187744140625</v>
      </c>
    </row>
    <row r="34" spans="2:44" ht="13.5" customHeight="1" x14ac:dyDescent="0.25">
      <c r="B34" s="42">
        <v>0.33333333333333331</v>
      </c>
      <c r="C34" s="63">
        <v>-80.49768829345703</v>
      </c>
      <c r="D34" s="63">
        <v>-81.40914154052734</v>
      </c>
      <c r="E34" s="63">
        <v>85.29369354248047</v>
      </c>
      <c r="F34" s="63">
        <v>0.07761863619089127</v>
      </c>
      <c r="G34" s="63">
        <v>7.050323620205745E-05</v>
      </c>
      <c r="H34" s="63"/>
      <c r="I34" s="63"/>
      <c r="J34" s="63"/>
      <c r="K34" s="63"/>
      <c r="L34" s="64"/>
      <c r="M34" s="73">
        <v>31.65147590637207</v>
      </c>
      <c r="N34" s="63">
        <v>45.85503387451172</v>
      </c>
      <c r="O34" s="63">
        <v>39.5</v>
      </c>
      <c r="P34" s="63">
        <v>22</v>
      </c>
      <c r="Q34" s="63">
        <v>3.483941078186035</v>
      </c>
      <c r="R34" s="63">
        <v>20.200376510620117</v>
      </c>
      <c r="S34" s="74">
        <v>95.90567016601562</v>
      </c>
      <c r="T34" s="74">
        <v>50</v>
      </c>
      <c r="U34" s="74">
        <v>0</v>
      </c>
      <c r="V34" s="74">
        <v>23.00889778137207</v>
      </c>
      <c r="W34" s="74">
        <v>41.335723876953125</v>
      </c>
      <c r="X34" s="74">
        <v>29</v>
      </c>
      <c r="Y34" s="74">
        <v>69.931640625</v>
      </c>
      <c r="Z34" s="74">
        <v>15.0390625</v>
      </c>
      <c r="AA34" s="74">
        <v>20.410158157348633</v>
      </c>
      <c r="AB34" s="74"/>
      <c r="AC34" s="67"/>
      <c r="AD34" s="67">
        <v>1.54833984375</v>
      </c>
      <c r="AE34" s="67">
        <v>0.0010098876664415002</v>
      </c>
      <c r="AF34" s="67">
        <v>23.28558921813965</v>
      </c>
      <c r="AG34" s="67">
        <v>24.26215171813965</v>
      </c>
      <c r="AH34" s="67"/>
      <c r="AI34" s="75"/>
      <c r="AJ34" s="75"/>
      <c r="AK34" s="75"/>
      <c r="AL34" s="75"/>
      <c r="AM34" s="75"/>
      <c r="AN34" s="67">
        <v>39.52546310424805</v>
      </c>
      <c r="AO34" s="68">
        <v>50</v>
      </c>
      <c r="AP34" s="76">
        <v>25.236906051635742</v>
      </c>
      <c r="AQ34" s="77">
        <v>40.15480422973633</v>
      </c>
      <c r="AR34" s="78">
        <v>0.09766387939453125</v>
      </c>
    </row>
    <row r="35" spans="2:44" ht="15" customHeight="1" x14ac:dyDescent="0.25">
      <c r="B35" s="165" t="s">
        <v>181</v>
      </c>
      <c r="C35" s="111" t="s">
        <v>38</v>
      </c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3" t="s">
        <v>216</v>
      </c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5"/>
      <c r="AK35" s="130" t="s">
        <v>48</v>
      </c>
      <c r="AL35" s="131"/>
      <c r="AM35" s="116" t="s">
        <v>223</v>
      </c>
      <c r="AN35" s="117"/>
      <c r="AO35" s="43"/>
      <c r="AP35" s="43"/>
      <c r="AQ35" s="43"/>
      <c r="AR35" s="44"/>
    </row>
    <row r="36" spans="2:44" ht="20.15" customHeight="1" x14ac:dyDescent="0.25">
      <c r="B36" s="153"/>
      <c r="C36" s="122" t="s">
        <v>32</v>
      </c>
      <c r="D36" s="128"/>
      <c r="E36" s="122" t="s">
        <v>33</v>
      </c>
      <c r="F36" s="127"/>
      <c r="G36" s="128"/>
      <c r="H36" s="118" t="s">
        <v>276</v>
      </c>
      <c r="I36" s="119"/>
      <c r="J36" s="4" t="s">
        <v>27</v>
      </c>
      <c r="K36" s="4" t="s">
        <v>30</v>
      </c>
      <c r="L36" s="4" t="s">
        <v>191</v>
      </c>
      <c r="M36" s="120" t="s">
        <v>192</v>
      </c>
      <c r="N36" s="121"/>
      <c r="O36" s="4" t="s">
        <v>26</v>
      </c>
      <c r="P36" s="4" t="s">
        <v>197</v>
      </c>
      <c r="Q36" s="122" t="s">
        <v>199</v>
      </c>
      <c r="R36" s="129"/>
      <c r="S36" s="122" t="s">
        <v>202</v>
      </c>
      <c r="T36" s="129"/>
      <c r="U36" s="122" t="s">
        <v>201</v>
      </c>
      <c r="V36" s="12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24" t="s">
        <v>46</v>
      </c>
      <c r="AI36" s="125"/>
      <c r="AJ36" s="126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53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53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290</v>
      </c>
      <c r="N38" s="1" t="s">
        <v>291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41" t="s">
        <v>50</v>
      </c>
      <c r="C39" s="50">
        <v>0.07935474812984467</v>
      </c>
      <c r="D39" s="50"/>
      <c r="E39" s="50">
        <v>49.3055534362793</v>
      </c>
      <c r="F39" s="50"/>
      <c r="G39" s="50"/>
      <c r="H39" s="50">
        <v>0</v>
      </c>
      <c r="I39" s="50"/>
      <c r="J39" s="50">
        <v>27.04535675048828</v>
      </c>
      <c r="K39" s="50">
        <v>40</v>
      </c>
      <c r="L39" s="50">
        <v>51.09772872924805</v>
      </c>
      <c r="M39" s="50">
        <v>0</v>
      </c>
      <c r="N39" s="50"/>
      <c r="O39" s="50">
        <v>29.640480041503906</v>
      </c>
      <c r="P39" s="50">
        <v>0.05000000074505806</v>
      </c>
      <c r="Q39" s="50">
        <v>0.20392072200775146</v>
      </c>
      <c r="R39" s="50"/>
      <c r="S39" s="50">
        <v>0</v>
      </c>
      <c r="T39" s="50"/>
      <c r="U39" s="51">
        <v>0</v>
      </c>
      <c r="V39" s="52"/>
      <c r="W39" s="53">
        <v>96.68330383300781</v>
      </c>
      <c r="X39" s="51">
        <v>14.887152671813965</v>
      </c>
      <c r="Y39" s="51">
        <v>27.75</v>
      </c>
      <c r="Z39" s="51">
        <v>72.94705200195312</v>
      </c>
      <c r="AA39" s="51">
        <v>20.605470657348633</v>
      </c>
      <c r="AB39" s="51">
        <v>50.47743225097656</v>
      </c>
      <c r="AC39" s="51">
        <v>28.75</v>
      </c>
      <c r="AD39" s="51">
        <v>77.07465362548828</v>
      </c>
      <c r="AE39" s="45">
        <v>14.04079818725586</v>
      </c>
      <c r="AF39" s="45">
        <v>16.444229125976562</v>
      </c>
      <c r="AG39" s="45"/>
      <c r="AH39" s="45">
        <v>0</v>
      </c>
      <c r="AI39" s="45">
        <v>0</v>
      </c>
      <c r="AJ39" s="45"/>
      <c r="AK39" s="45">
        <v>47.16435241699219</v>
      </c>
      <c r="AL39" s="47">
        <v>54.71643829345703</v>
      </c>
      <c r="AM39" s="49"/>
      <c r="AN39" s="46"/>
      <c r="AO39" s="45"/>
      <c r="AP39" s="45"/>
      <c r="AQ39" s="45"/>
      <c r="AR39" s="48"/>
    </row>
    <row r="40" spans="2:44" ht="13.5" customHeight="1" x14ac:dyDescent="0.25">
      <c r="B40" s="14">
        <v>0.875</v>
      </c>
      <c r="C40" s="54">
        <v>0</v>
      </c>
      <c r="D40" s="54">
        <v>8.87155522377725E-07</v>
      </c>
      <c r="E40" s="54">
        <v>42.375579833984375</v>
      </c>
      <c r="F40" s="54"/>
      <c r="G40" s="54"/>
      <c r="H40" s="54">
        <v>0</v>
      </c>
      <c r="I40" s="54">
        <v>0</v>
      </c>
      <c r="J40" s="54">
        <v>27.036314010620117</v>
      </c>
      <c r="K40" s="54">
        <v>40</v>
      </c>
      <c r="L40" s="54">
        <v>50.70891189575195</v>
      </c>
      <c r="M40" s="54">
        <v>0</v>
      </c>
      <c r="N40" s="54">
        <v>0</v>
      </c>
      <c r="O40" s="54">
        <v>28.953269958496094</v>
      </c>
      <c r="P40" s="54">
        <v>0.05000000074505806</v>
      </c>
      <c r="Q40" s="54">
        <v>0.2055121511220932</v>
      </c>
      <c r="R40" s="54">
        <v>0.00020868683350272477</v>
      </c>
      <c r="S40" s="54">
        <v>0</v>
      </c>
      <c r="T40" s="54">
        <v>0</v>
      </c>
      <c r="U40" s="71">
        <v>0</v>
      </c>
      <c r="V40" s="79">
        <v>0</v>
      </c>
      <c r="W40" s="80">
        <v>95.57291412353516</v>
      </c>
      <c r="X40" s="71">
        <v>17.01388931274414</v>
      </c>
      <c r="Y40" s="71">
        <v>24</v>
      </c>
      <c r="Z40" s="71">
        <v>62.847225189208984</v>
      </c>
      <c r="AA40" s="71">
        <v>20.583768844604492</v>
      </c>
      <c r="AB40" s="71">
        <v>49.007164001464844</v>
      </c>
      <c r="AC40" s="71">
        <v>25.5</v>
      </c>
      <c r="AD40" s="71">
        <v>68.33767700195312</v>
      </c>
      <c r="AE40" s="58">
        <v>14.621310234069824</v>
      </c>
      <c r="AF40" s="58">
        <v>17.52387237548828</v>
      </c>
      <c r="AG40" s="58"/>
      <c r="AH40" s="58">
        <v>0</v>
      </c>
      <c r="AI40" s="58">
        <v>0</v>
      </c>
      <c r="AJ40" s="58">
        <v>0</v>
      </c>
      <c r="AK40" s="58">
        <v>47.11371612548828</v>
      </c>
      <c r="AL40" s="59">
        <v>52.95718002319336</v>
      </c>
      <c r="AM40" s="81"/>
      <c r="AN40" s="72"/>
      <c r="AO40" s="58"/>
      <c r="AP40" s="58"/>
      <c r="AQ40" s="58"/>
      <c r="AR40" s="62"/>
    </row>
    <row r="41" spans="2:44" ht="13.5" customHeight="1" x14ac:dyDescent="0.25">
      <c r="B41" s="41" t="s">
        <v>271</v>
      </c>
      <c r="C41" s="54">
        <v>0</v>
      </c>
      <c r="D41" s="54">
        <v>7.578611530334456E-06</v>
      </c>
      <c r="E41" s="54">
        <v>40.436920166015625</v>
      </c>
      <c r="F41" s="54"/>
      <c r="G41" s="54"/>
      <c r="H41" s="54">
        <v>0</v>
      </c>
      <c r="I41" s="54">
        <v>0</v>
      </c>
      <c r="J41" s="54">
        <v>26.873552322387695</v>
      </c>
      <c r="K41" s="54">
        <v>40</v>
      </c>
      <c r="L41" s="54">
        <v>50.654659271240234</v>
      </c>
      <c r="M41" s="54">
        <v>0</v>
      </c>
      <c r="N41" s="54">
        <v>0</v>
      </c>
      <c r="O41" s="54">
        <v>28.446903228759766</v>
      </c>
      <c r="P41" s="54">
        <v>0.05000000074505806</v>
      </c>
      <c r="Q41" s="54">
        <v>0.20934607088565826</v>
      </c>
      <c r="R41" s="54">
        <v>0.00020941162074450403</v>
      </c>
      <c r="S41" s="54">
        <v>0</v>
      </c>
      <c r="T41" s="54">
        <v>0</v>
      </c>
      <c r="U41" s="71">
        <v>0</v>
      </c>
      <c r="V41" s="79">
        <v>0</v>
      </c>
      <c r="W41" s="80">
        <v>89.33014678955078</v>
      </c>
      <c r="X41" s="71">
        <v>17.484085083007812</v>
      </c>
      <c r="Y41" s="71">
        <v>15</v>
      </c>
      <c r="Z41" s="71">
        <v>38.81510543823242</v>
      </c>
      <c r="AA41" s="71">
        <v>20.81163215637207</v>
      </c>
      <c r="AB41" s="71">
        <v>48.079429626464844</v>
      </c>
      <c r="AC41" s="71">
        <v>15</v>
      </c>
      <c r="AD41" s="71">
        <v>39.73524475097656</v>
      </c>
      <c r="AE41" s="58">
        <v>14.547163963317871</v>
      </c>
      <c r="AF41" s="58">
        <v>17.73546028137207</v>
      </c>
      <c r="AG41" s="58"/>
      <c r="AH41" s="58">
        <v>0</v>
      </c>
      <c r="AI41" s="58">
        <v>0</v>
      </c>
      <c r="AJ41" s="58">
        <v>0</v>
      </c>
      <c r="AK41" s="58">
        <v>47.06669616699219</v>
      </c>
      <c r="AL41" s="59">
        <v>51.438079833984375</v>
      </c>
      <c r="AM41" s="81"/>
      <c r="AN41" s="72"/>
      <c r="AO41" s="58"/>
      <c r="AP41" s="58"/>
      <c r="AQ41" s="58"/>
      <c r="AR41" s="62"/>
    </row>
    <row r="42" spans="2:44" ht="13.5" customHeight="1" x14ac:dyDescent="0.25">
      <c r="B42" s="14">
        <v>0.95833333333333337</v>
      </c>
      <c r="C42" s="54">
        <v>0</v>
      </c>
      <c r="D42" s="54">
        <v>5.850792149431072E-06</v>
      </c>
      <c r="E42" s="54">
        <v>55.23003387451172</v>
      </c>
      <c r="F42" s="54"/>
      <c r="G42" s="54"/>
      <c r="H42" s="54">
        <v>0</v>
      </c>
      <c r="I42" s="54">
        <v>0</v>
      </c>
      <c r="J42" s="54">
        <v>26.647497177124023</v>
      </c>
      <c r="K42" s="54">
        <v>40</v>
      </c>
      <c r="L42" s="54">
        <v>49.524375915527344</v>
      </c>
      <c r="M42" s="54">
        <v>0</v>
      </c>
      <c r="N42" s="54">
        <v>0</v>
      </c>
      <c r="O42" s="54">
        <v>28.18467903137207</v>
      </c>
      <c r="P42" s="54">
        <v>0.05000000074505806</v>
      </c>
      <c r="Q42" s="54">
        <v>0.20630787312984467</v>
      </c>
      <c r="R42" s="54">
        <v>0.00020843505626544356</v>
      </c>
      <c r="S42" s="54">
        <v>0</v>
      </c>
      <c r="T42" s="54">
        <v>0</v>
      </c>
      <c r="U42" s="71">
        <v>0</v>
      </c>
      <c r="V42" s="79">
        <v>0</v>
      </c>
      <c r="W42" s="80">
        <v>96.2420425415039</v>
      </c>
      <c r="X42" s="71">
        <v>16.757089614868164</v>
      </c>
      <c r="Y42" s="71">
        <v>30</v>
      </c>
      <c r="Z42" s="71">
        <v>78.71527862548828</v>
      </c>
      <c r="AA42" s="71">
        <v>20.95269203186035</v>
      </c>
      <c r="AB42" s="71">
        <v>47.265628814697266</v>
      </c>
      <c r="AC42" s="71">
        <v>30</v>
      </c>
      <c r="AD42" s="71">
        <v>80.46007537841797</v>
      </c>
      <c r="AE42" s="58">
        <v>14.8781099319458</v>
      </c>
      <c r="AF42" s="58">
        <v>18.153213500976562</v>
      </c>
      <c r="AG42" s="58"/>
      <c r="AH42" s="58">
        <v>0</v>
      </c>
      <c r="AI42" s="58">
        <v>0</v>
      </c>
      <c r="AJ42" s="58">
        <v>0</v>
      </c>
      <c r="AK42" s="58">
        <v>47.034141540527344</v>
      </c>
      <c r="AL42" s="59">
        <v>50.14178466796875</v>
      </c>
      <c r="AM42" s="81"/>
      <c r="AN42" s="72"/>
      <c r="AO42" s="58"/>
      <c r="AP42" s="58"/>
      <c r="AQ42" s="58"/>
      <c r="AR42" s="62"/>
    </row>
    <row r="43" spans="2:44" ht="13.5" customHeight="1" x14ac:dyDescent="0.25">
      <c r="B43" s="41" t="s">
        <v>272</v>
      </c>
      <c r="C43" s="54">
        <v>0</v>
      </c>
      <c r="D43" s="54">
        <v>5.5494306252512615E-06</v>
      </c>
      <c r="E43" s="54">
        <v>49.45746612548828</v>
      </c>
      <c r="F43" s="54"/>
      <c r="G43" s="54"/>
      <c r="H43" s="54">
        <v>0</v>
      </c>
      <c r="I43" s="54">
        <v>0</v>
      </c>
      <c r="J43" s="54">
        <v>26.484737396240234</v>
      </c>
      <c r="K43" s="54">
        <v>40</v>
      </c>
      <c r="L43" s="54">
        <v>48.39409637451172</v>
      </c>
      <c r="M43" s="54">
        <v>0</v>
      </c>
      <c r="N43" s="54">
        <v>0</v>
      </c>
      <c r="O43" s="54">
        <v>27.850114822387695</v>
      </c>
      <c r="P43" s="54">
        <v>0.05000000074505806</v>
      </c>
      <c r="Q43" s="54">
        <v>0.2109375</v>
      </c>
      <c r="R43" s="54">
        <v>0.00020944976131431758</v>
      </c>
      <c r="S43" s="54">
        <v>0</v>
      </c>
      <c r="T43" s="54">
        <v>0</v>
      </c>
      <c r="U43" s="71">
        <v>0</v>
      </c>
      <c r="V43" s="79">
        <v>0</v>
      </c>
      <c r="W43" s="80">
        <v>96.6796875</v>
      </c>
      <c r="X43" s="71">
        <v>18.410011291503906</v>
      </c>
      <c r="Y43" s="71">
        <v>20</v>
      </c>
      <c r="Z43" s="71">
        <v>51.818580627441406</v>
      </c>
      <c r="AA43" s="71">
        <v>21.082901000976562</v>
      </c>
      <c r="AB43" s="71">
        <v>46.484378814697266</v>
      </c>
      <c r="AC43" s="71">
        <v>20</v>
      </c>
      <c r="AD43" s="71">
        <v>53.3116340637207</v>
      </c>
      <c r="AE43" s="58">
        <v>14.548972129821777</v>
      </c>
      <c r="AF43" s="58">
        <v>18.240018844604492</v>
      </c>
      <c r="AG43" s="58"/>
      <c r="AH43" s="58">
        <v>0</v>
      </c>
      <c r="AI43" s="58">
        <v>0</v>
      </c>
      <c r="AJ43" s="58">
        <v>0</v>
      </c>
      <c r="AK43" s="58">
        <v>47.00882339477539</v>
      </c>
      <c r="AL43" s="59">
        <v>49.02488708496094</v>
      </c>
      <c r="AM43" s="81"/>
      <c r="AN43" s="72"/>
      <c r="AO43" s="58"/>
      <c r="AP43" s="58"/>
      <c r="AQ43" s="58"/>
      <c r="AR43" s="62"/>
    </row>
    <row r="44" spans="2:44" ht="13.5" customHeight="1" x14ac:dyDescent="0.25">
      <c r="B44" s="14">
        <v>4.1666666666666664E-2</v>
      </c>
      <c r="C44" s="54">
        <v>2.239077091217041</v>
      </c>
      <c r="D44" s="54">
        <v>1.7832278899732046E-05</v>
      </c>
      <c r="E44" s="54">
        <v>52.719905853271484</v>
      </c>
      <c r="F44" s="54"/>
      <c r="G44" s="54"/>
      <c r="H44" s="54">
        <v>0</v>
      </c>
      <c r="I44" s="54">
        <v>0</v>
      </c>
      <c r="J44" s="54">
        <v>26.213468551635742</v>
      </c>
      <c r="K44" s="54">
        <v>40</v>
      </c>
      <c r="L44" s="54">
        <v>47.79730987548828</v>
      </c>
      <c r="M44" s="54">
        <v>0</v>
      </c>
      <c r="N44" s="54">
        <v>0</v>
      </c>
      <c r="O44" s="54">
        <v>27.732566833496094</v>
      </c>
      <c r="P44" s="54">
        <v>0.05000000074505806</v>
      </c>
      <c r="Q44" s="54">
        <v>0.204861119389534</v>
      </c>
      <c r="R44" s="54">
        <v>0.00020733643032144755</v>
      </c>
      <c r="S44" s="54">
        <v>0</v>
      </c>
      <c r="T44" s="54">
        <v>0</v>
      </c>
      <c r="U44" s="71">
        <v>0</v>
      </c>
      <c r="V44" s="79">
        <v>0</v>
      </c>
      <c r="W44" s="80">
        <v>89.29759979248047</v>
      </c>
      <c r="X44" s="71">
        <v>18.547452926635742</v>
      </c>
      <c r="Y44" s="71">
        <v>20</v>
      </c>
      <c r="Z44" s="71">
        <v>52.0225715637207</v>
      </c>
      <c r="AA44" s="71">
        <v>21.61458396911621</v>
      </c>
      <c r="AB44" s="71">
        <v>45.8116340637207</v>
      </c>
      <c r="AC44" s="71">
        <v>20</v>
      </c>
      <c r="AD44" s="71">
        <v>53.415802001953125</v>
      </c>
      <c r="AE44" s="58">
        <v>14.619502067565918</v>
      </c>
      <c r="AF44" s="58">
        <v>18.06098175048828</v>
      </c>
      <c r="AG44" s="58"/>
      <c r="AH44" s="58">
        <v>0</v>
      </c>
      <c r="AI44" s="58">
        <v>0</v>
      </c>
      <c r="AJ44" s="58">
        <v>0</v>
      </c>
      <c r="AK44" s="58">
        <v>46.99797439575195</v>
      </c>
      <c r="AL44" s="59">
        <v>47.97743225097656</v>
      </c>
      <c r="AM44" s="81"/>
      <c r="AN44" s="72"/>
      <c r="AO44" s="58"/>
      <c r="AP44" s="58"/>
      <c r="AQ44" s="58"/>
      <c r="AR44" s="62"/>
    </row>
    <row r="45" spans="2:44" ht="13.5" customHeight="1" x14ac:dyDescent="0.25">
      <c r="B45" s="41" t="s">
        <v>273</v>
      </c>
      <c r="C45" s="54">
        <v>0</v>
      </c>
      <c r="D45" s="54">
        <v>3.1245708669302985E-05</v>
      </c>
      <c r="E45" s="54">
        <v>65.1186294555664</v>
      </c>
      <c r="F45" s="54"/>
      <c r="G45" s="54"/>
      <c r="H45" s="54">
        <v>0</v>
      </c>
      <c r="I45" s="54">
        <v>0</v>
      </c>
      <c r="J45" s="54">
        <v>25.98741340637207</v>
      </c>
      <c r="K45" s="54">
        <v>40</v>
      </c>
      <c r="L45" s="54">
        <v>48.159000396728516</v>
      </c>
      <c r="M45" s="54">
        <v>0</v>
      </c>
      <c r="N45" s="54">
        <v>0</v>
      </c>
      <c r="O45" s="54">
        <v>27.61501693725586</v>
      </c>
      <c r="P45" s="54">
        <v>0.05000000074505806</v>
      </c>
      <c r="Q45" s="54">
        <v>0.09758391231298447</v>
      </c>
      <c r="R45" s="54">
        <v>0.00010852050763787702</v>
      </c>
      <c r="S45" s="54">
        <v>0</v>
      </c>
      <c r="T45" s="54">
        <v>0</v>
      </c>
      <c r="U45" s="71">
        <v>0</v>
      </c>
      <c r="V45" s="79">
        <v>0</v>
      </c>
      <c r="W45" s="80">
        <v>90.16203308105469</v>
      </c>
      <c r="X45" s="71">
        <v>16.68836784362793</v>
      </c>
      <c r="Y45" s="71">
        <v>30</v>
      </c>
      <c r="Z45" s="71">
        <v>78.27257537841797</v>
      </c>
      <c r="AA45" s="71">
        <v>21.679689407348633</v>
      </c>
      <c r="AB45" s="71">
        <v>45.20941925048828</v>
      </c>
      <c r="AC45" s="71">
        <v>32.5</v>
      </c>
      <c r="AD45" s="71">
        <v>87.2482681274414</v>
      </c>
      <c r="AE45" s="58">
        <v>14.650245666503906</v>
      </c>
      <c r="AF45" s="58">
        <v>18.68489646911621</v>
      </c>
      <c r="AG45" s="58"/>
      <c r="AH45" s="58">
        <v>0</v>
      </c>
      <c r="AI45" s="58">
        <v>0</v>
      </c>
      <c r="AJ45" s="58">
        <v>0</v>
      </c>
      <c r="AK45" s="58">
        <v>46.96541976928711</v>
      </c>
      <c r="AL45" s="59">
        <v>47.03414535522461</v>
      </c>
      <c r="AM45" s="81"/>
      <c r="AN45" s="72"/>
      <c r="AO45" s="58"/>
      <c r="AP45" s="58"/>
      <c r="AQ45" s="58"/>
      <c r="AR45" s="62"/>
    </row>
    <row r="46" spans="2:44" ht="13.5" customHeight="1" x14ac:dyDescent="0.25">
      <c r="B46" s="14">
        <v>0.125</v>
      </c>
      <c r="C46" s="54">
        <v>0</v>
      </c>
      <c r="D46" s="54">
        <v>0</v>
      </c>
      <c r="E46" s="54">
        <v>62.760414123535156</v>
      </c>
      <c r="F46" s="54"/>
      <c r="G46" s="54"/>
      <c r="H46" s="54">
        <v>0</v>
      </c>
      <c r="I46" s="54">
        <v>0</v>
      </c>
      <c r="J46" s="54">
        <v>25.869863510131836</v>
      </c>
      <c r="K46" s="54">
        <v>40</v>
      </c>
      <c r="L46" s="54">
        <v>48.87333679199219</v>
      </c>
      <c r="M46" s="54">
        <v>0</v>
      </c>
      <c r="N46" s="54">
        <v>0</v>
      </c>
      <c r="O46" s="54">
        <v>27.569805145263672</v>
      </c>
      <c r="P46" s="54">
        <v>0.05000000074505806</v>
      </c>
      <c r="Q46" s="54">
        <v>0.146267369389534</v>
      </c>
      <c r="R46" s="54">
        <v>0.0001509246794739738</v>
      </c>
      <c r="S46" s="54">
        <v>0</v>
      </c>
      <c r="T46" s="54">
        <v>0</v>
      </c>
      <c r="U46" s="71">
        <v>0</v>
      </c>
      <c r="V46" s="79">
        <v>0</v>
      </c>
      <c r="W46" s="80">
        <v>95.1461181640625</v>
      </c>
      <c r="X46" s="71">
        <v>16.34114646911621</v>
      </c>
      <c r="Y46" s="71">
        <v>30</v>
      </c>
      <c r="Z46" s="71">
        <v>77.84722900390625</v>
      </c>
      <c r="AA46" s="71">
        <v>21.90755271911621</v>
      </c>
      <c r="AB46" s="71">
        <v>44.61805725097656</v>
      </c>
      <c r="AC46" s="71">
        <v>32.5</v>
      </c>
      <c r="AD46" s="71">
        <v>87.5217056274414</v>
      </c>
      <c r="AE46" s="58">
        <v>14.749710083007812</v>
      </c>
      <c r="AF46" s="58">
        <v>18.97786521911621</v>
      </c>
      <c r="AG46" s="58"/>
      <c r="AH46" s="58">
        <v>0</v>
      </c>
      <c r="AI46" s="58">
        <v>0</v>
      </c>
      <c r="AJ46" s="58">
        <v>0</v>
      </c>
      <c r="AK46" s="58">
        <v>46.96541976928711</v>
      </c>
      <c r="AL46" s="59">
        <v>46.221065521240234</v>
      </c>
      <c r="AM46" s="81"/>
      <c r="AN46" s="72"/>
      <c r="AO46" s="58"/>
      <c r="AP46" s="58"/>
      <c r="AQ46" s="58"/>
      <c r="AR46" s="62"/>
    </row>
    <row r="47" spans="2:44" ht="13.5" customHeight="1" x14ac:dyDescent="0.25">
      <c r="B47" s="14">
        <v>0.16666666666666666</v>
      </c>
      <c r="C47" s="54">
        <v>0</v>
      </c>
      <c r="D47" s="54">
        <v>8.705139407538809E-06</v>
      </c>
      <c r="E47" s="54">
        <v>55.7508659362793</v>
      </c>
      <c r="F47" s="54"/>
      <c r="G47" s="54"/>
      <c r="H47" s="54">
        <v>0</v>
      </c>
      <c r="I47" s="54">
        <v>0</v>
      </c>
      <c r="J47" s="54">
        <v>25.68901824951172</v>
      </c>
      <c r="K47" s="54">
        <v>40</v>
      </c>
      <c r="L47" s="54">
        <v>50.717952728271484</v>
      </c>
      <c r="M47" s="54">
        <v>0</v>
      </c>
      <c r="N47" s="54">
        <v>0</v>
      </c>
      <c r="O47" s="54">
        <v>27.488426208496094</v>
      </c>
      <c r="P47" s="54">
        <v>0.05000000074505806</v>
      </c>
      <c r="Q47" s="54">
        <v>0.20934607088565826</v>
      </c>
      <c r="R47" s="54">
        <v>0.0001935043401317671</v>
      </c>
      <c r="S47" s="54">
        <v>0</v>
      </c>
      <c r="T47" s="54">
        <v>0</v>
      </c>
      <c r="U47" s="71">
        <v>0</v>
      </c>
      <c r="V47" s="79">
        <v>0</v>
      </c>
      <c r="W47" s="80">
        <v>95.69227600097656</v>
      </c>
      <c r="X47" s="71">
        <v>16.6015625</v>
      </c>
      <c r="Y47" s="71">
        <v>30</v>
      </c>
      <c r="Z47" s="71">
        <v>77.92535400390625</v>
      </c>
      <c r="AA47" s="71">
        <v>22.15169334411621</v>
      </c>
      <c r="AB47" s="71">
        <v>44.12977600097656</v>
      </c>
      <c r="AC47" s="71">
        <v>32.5</v>
      </c>
      <c r="AD47" s="71">
        <v>87.23958587646484</v>
      </c>
      <c r="AE47" s="58">
        <v>14.755135536193848</v>
      </c>
      <c r="AF47" s="58">
        <v>19.156902313232422</v>
      </c>
      <c r="AG47" s="58"/>
      <c r="AH47" s="58">
        <v>0</v>
      </c>
      <c r="AI47" s="58">
        <v>0</v>
      </c>
      <c r="AJ47" s="58">
        <v>0</v>
      </c>
      <c r="AK47" s="58">
        <v>46.95457077026367</v>
      </c>
      <c r="AL47" s="59">
        <v>45.422454833984375</v>
      </c>
      <c r="AM47" s="81"/>
      <c r="AN47" s="72"/>
      <c r="AO47" s="58"/>
      <c r="AP47" s="58"/>
      <c r="AQ47" s="58"/>
      <c r="AR47" s="62"/>
    </row>
    <row r="48" spans="2:44" ht="13.5" customHeight="1" x14ac:dyDescent="0.25">
      <c r="B48" s="14">
        <v>0.20833333333333334</v>
      </c>
      <c r="C48" s="54">
        <v>0</v>
      </c>
      <c r="D48" s="54">
        <v>3.438377461861819E-05</v>
      </c>
      <c r="E48" s="54">
        <v>49.11747741699219</v>
      </c>
      <c r="F48" s="54"/>
      <c r="G48" s="54"/>
      <c r="H48" s="54">
        <v>0</v>
      </c>
      <c r="I48" s="54">
        <v>0</v>
      </c>
      <c r="J48" s="54">
        <v>25.58051300048828</v>
      </c>
      <c r="K48" s="54">
        <v>40</v>
      </c>
      <c r="L48" s="54">
        <v>50.500938415527344</v>
      </c>
      <c r="M48" s="54">
        <v>0</v>
      </c>
      <c r="N48" s="54">
        <v>0</v>
      </c>
      <c r="O48" s="54">
        <v>27.34375</v>
      </c>
      <c r="P48" s="54">
        <v>0.05000000074505806</v>
      </c>
      <c r="Q48" s="54">
        <v>0.3162615895271301</v>
      </c>
      <c r="R48" s="54">
        <v>0.0002468795864842832</v>
      </c>
      <c r="S48" s="54">
        <v>0</v>
      </c>
      <c r="T48" s="54">
        <v>0</v>
      </c>
      <c r="U48" s="71">
        <v>0</v>
      </c>
      <c r="V48" s="79">
        <v>0</v>
      </c>
      <c r="W48" s="80">
        <v>91.40263366699219</v>
      </c>
      <c r="X48" s="71">
        <v>19.2093448638916</v>
      </c>
      <c r="Y48" s="71">
        <v>20</v>
      </c>
      <c r="Z48" s="71">
        <v>51.657989501953125</v>
      </c>
      <c r="AA48" s="71">
        <v>22.379558563232422</v>
      </c>
      <c r="AB48" s="71">
        <v>43.6143684387207</v>
      </c>
      <c r="AC48" s="71">
        <v>20</v>
      </c>
      <c r="AD48" s="71">
        <v>53.13368225097656</v>
      </c>
      <c r="AE48" s="58">
        <v>14.849175453186035</v>
      </c>
      <c r="AF48" s="58">
        <v>19.384765625</v>
      </c>
      <c r="AG48" s="58"/>
      <c r="AH48" s="58">
        <v>0</v>
      </c>
      <c r="AI48" s="58">
        <v>0</v>
      </c>
      <c r="AJ48" s="58">
        <v>0</v>
      </c>
      <c r="AK48" s="58">
        <v>46.958187103271484</v>
      </c>
      <c r="AL48" s="59">
        <v>44.69907760620117</v>
      </c>
      <c r="AM48" s="81"/>
      <c r="AN48" s="72"/>
      <c r="AO48" s="58"/>
      <c r="AP48" s="58"/>
      <c r="AQ48" s="58"/>
      <c r="AR48" s="62"/>
    </row>
    <row r="49" spans="2:44" ht="13.5" customHeight="1" x14ac:dyDescent="0.25">
      <c r="B49" s="14">
        <v>0.25</v>
      </c>
      <c r="C49" s="54">
        <v>0</v>
      </c>
      <c r="D49" s="54">
        <v>7.509421993745491E-05</v>
      </c>
      <c r="E49" s="54">
        <v>48.227718353271484</v>
      </c>
      <c r="F49" s="54"/>
      <c r="G49" s="54"/>
      <c r="H49" s="54">
        <v>0</v>
      </c>
      <c r="I49" s="54">
        <v>0</v>
      </c>
      <c r="J49" s="54">
        <v>25.47200584411621</v>
      </c>
      <c r="K49" s="54">
        <v>40</v>
      </c>
      <c r="L49" s="54">
        <v>49.31640625</v>
      </c>
      <c r="M49" s="54">
        <v>0</v>
      </c>
      <c r="N49" s="54">
        <v>0</v>
      </c>
      <c r="O49" s="54">
        <v>27.352792739868164</v>
      </c>
      <c r="P49" s="54">
        <v>0.05000000074505806</v>
      </c>
      <c r="Q49" s="54">
        <v>0.10597511380910873</v>
      </c>
      <c r="R49" s="54">
        <v>0.00022107695986051112</v>
      </c>
      <c r="S49" s="54">
        <v>0</v>
      </c>
      <c r="T49" s="54">
        <v>0</v>
      </c>
      <c r="U49" s="71">
        <v>0</v>
      </c>
      <c r="V49" s="79">
        <v>0</v>
      </c>
      <c r="W49" s="80">
        <v>92.88194274902344</v>
      </c>
      <c r="X49" s="71">
        <v>19.93272590637207</v>
      </c>
      <c r="Y49" s="71">
        <v>10</v>
      </c>
      <c r="Z49" s="71">
        <v>24.80034828186035</v>
      </c>
      <c r="AA49" s="71">
        <v>22.56944465637207</v>
      </c>
      <c r="AB49" s="71">
        <v>43.37565231323242</v>
      </c>
      <c r="AC49" s="71">
        <v>10.5</v>
      </c>
      <c r="AD49" s="71">
        <v>27.23090362548828</v>
      </c>
      <c r="AE49" s="58">
        <v>14.867259979248047</v>
      </c>
      <c r="AF49" s="58">
        <v>19.498699188232422</v>
      </c>
      <c r="AG49" s="58"/>
      <c r="AH49" s="58">
        <v>0</v>
      </c>
      <c r="AI49" s="58">
        <v>0</v>
      </c>
      <c r="AJ49" s="58">
        <v>0</v>
      </c>
      <c r="AK49" s="58">
        <v>46.940101623535156</v>
      </c>
      <c r="AL49" s="59">
        <v>44.033565521240234</v>
      </c>
      <c r="AM49" s="81"/>
      <c r="AN49" s="72"/>
      <c r="AO49" s="58"/>
      <c r="AP49" s="58"/>
      <c r="AQ49" s="58"/>
      <c r="AR49" s="62"/>
    </row>
    <row r="50" spans="2:44" ht="13.5" customHeight="1" x14ac:dyDescent="0.25">
      <c r="B50" s="14">
        <v>0.29166666666666669</v>
      </c>
      <c r="C50" s="54">
        <v>0</v>
      </c>
      <c r="D50" s="54">
        <v>1.951503691088874E-05</v>
      </c>
      <c r="E50" s="54">
        <v>48.9149284362793</v>
      </c>
      <c r="F50" s="54"/>
      <c r="G50" s="54"/>
      <c r="H50" s="54">
        <v>0</v>
      </c>
      <c r="I50" s="54">
        <v>0</v>
      </c>
      <c r="J50" s="54">
        <v>25.36349868774414</v>
      </c>
      <c r="K50" s="54">
        <v>40</v>
      </c>
      <c r="L50" s="54">
        <v>48.981842041015625</v>
      </c>
      <c r="M50" s="54">
        <v>0</v>
      </c>
      <c r="N50" s="54">
        <v>0</v>
      </c>
      <c r="O50" s="54">
        <v>27.18099021911621</v>
      </c>
      <c r="P50" s="54">
        <v>0.05000000074505806</v>
      </c>
      <c r="Q50" s="54">
        <v>0.10228587687015533</v>
      </c>
      <c r="R50" s="54">
        <v>0.0001085510230041109</v>
      </c>
      <c r="S50" s="54">
        <v>0</v>
      </c>
      <c r="T50" s="54">
        <v>0</v>
      </c>
      <c r="U50" s="71">
        <v>0</v>
      </c>
      <c r="V50" s="79">
        <v>0</v>
      </c>
      <c r="W50" s="80">
        <v>91.37007904052734</v>
      </c>
      <c r="X50" s="71">
        <v>18.051939010620117</v>
      </c>
      <c r="Y50" s="71">
        <v>30</v>
      </c>
      <c r="Z50" s="71">
        <v>77.7170181274414</v>
      </c>
      <c r="AA50" s="71">
        <v>22.753908157348633</v>
      </c>
      <c r="AB50" s="71">
        <v>43.023006439208984</v>
      </c>
      <c r="AC50" s="71">
        <v>30</v>
      </c>
      <c r="AD50" s="71">
        <v>80.44271087646484</v>
      </c>
      <c r="AE50" s="58">
        <v>14.905237197875977</v>
      </c>
      <c r="AF50" s="58">
        <v>19.71028709411621</v>
      </c>
      <c r="AG50" s="58"/>
      <c r="AH50" s="58">
        <v>0</v>
      </c>
      <c r="AI50" s="58">
        <v>0</v>
      </c>
      <c r="AJ50" s="58">
        <v>0</v>
      </c>
      <c r="AK50" s="58">
        <v>46.92925262451172</v>
      </c>
      <c r="AL50" s="59">
        <v>43.36805725097656</v>
      </c>
      <c r="AM50" s="81"/>
      <c r="AN50" s="72"/>
      <c r="AO50" s="58"/>
      <c r="AP50" s="58"/>
      <c r="AQ50" s="58"/>
      <c r="AR50" s="62"/>
    </row>
    <row r="51" spans="2:44" ht="13.5" customHeight="1" x14ac:dyDescent="0.25">
      <c r="B51" s="42">
        <v>0.33333333333333331</v>
      </c>
      <c r="C51" s="63">
        <v>0</v>
      </c>
      <c r="D51" s="63">
        <v>3.7798881749040447E-06</v>
      </c>
      <c r="E51" s="63">
        <v>40.06076431274414</v>
      </c>
      <c r="F51" s="63"/>
      <c r="G51" s="63"/>
      <c r="H51" s="63">
        <v>0</v>
      </c>
      <c r="I51" s="63">
        <v>0</v>
      </c>
      <c r="J51" s="63">
        <v>25.245948791503906</v>
      </c>
      <c r="K51" s="63">
        <v>40</v>
      </c>
      <c r="L51" s="63">
        <v>49.42491149902344</v>
      </c>
      <c r="M51" s="63">
        <v>0</v>
      </c>
      <c r="N51" s="63">
        <v>0</v>
      </c>
      <c r="O51" s="63">
        <v>26.954933166503906</v>
      </c>
      <c r="P51" s="63">
        <v>0.05000000074505806</v>
      </c>
      <c r="Q51" s="63">
        <v>0.14945022761821747</v>
      </c>
      <c r="R51" s="63">
        <v>0.00014480590471066535</v>
      </c>
      <c r="S51" s="63">
        <v>0</v>
      </c>
      <c r="T51" s="63">
        <v>0</v>
      </c>
      <c r="U51" s="74">
        <v>0</v>
      </c>
      <c r="V51" s="82">
        <v>0</v>
      </c>
      <c r="W51" s="83">
        <v>91.04093933105469</v>
      </c>
      <c r="X51" s="74">
        <v>18.572771072387695</v>
      </c>
      <c r="Y51" s="74">
        <v>50</v>
      </c>
      <c r="Z51" s="74">
        <v>123.86719512939453</v>
      </c>
      <c r="AA51" s="74">
        <v>23.00889778137207</v>
      </c>
      <c r="AB51" s="74">
        <v>41.335723876953125</v>
      </c>
      <c r="AC51" s="74">
        <v>50</v>
      </c>
      <c r="AD51" s="74">
        <v>123.79341125488281</v>
      </c>
      <c r="AE51" s="67">
        <v>15.0390625</v>
      </c>
      <c r="AF51" s="67">
        <v>20.410158157348633</v>
      </c>
      <c r="AG51" s="67"/>
      <c r="AH51" s="67">
        <v>0</v>
      </c>
      <c r="AI51" s="67">
        <v>0</v>
      </c>
      <c r="AJ51" s="67">
        <v>0</v>
      </c>
      <c r="AK51" s="67">
        <v>46.875</v>
      </c>
      <c r="AL51" s="68">
        <v>42.783565521240234</v>
      </c>
      <c r="AM51" s="84"/>
      <c r="AN51" s="75"/>
      <c r="AO51" s="67"/>
      <c r="AP51" s="67"/>
      <c r="AQ51" s="67"/>
      <c r="AR51" s="78"/>
    </row>
    <row r="52" spans="2:44" ht="13.5" customHeight="1" x14ac:dyDescent="0.25">
      <c r="B52" s="173" t="s">
        <v>372</v>
      </c>
      <c r="C52" s="174"/>
      <c r="D52" s="9" t="s">
        <v>274</v>
      </c>
      <c r="E52" s="154" t="s">
        <v>20</v>
      </c>
      <c r="F52" s="157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9"/>
      <c r="AP52" s="159"/>
      <c r="AQ52" s="159"/>
      <c r="AR52" s="160"/>
    </row>
    <row r="53" spans="2:44" ht="13.5" customHeight="1" x14ac:dyDescent="0.25">
      <c r="B53" s="153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24"/>
      <c r="AP53" s="124"/>
      <c r="AQ53" s="124"/>
      <c r="AR53" s="161"/>
    </row>
    <row r="54" spans="2:44" ht="13.5" customHeight="1" thickBot="1" x14ac:dyDescent="0.3">
      <c r="B54" s="164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62"/>
      <c r="AP54" s="162"/>
      <c r="AQ54" s="162"/>
      <c r="AR54" s="163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52:C52"/>
    <mergeCell ref="E52:E54"/>
    <mergeCell ref="F52:AR54"/>
    <mergeCell ref="B53:D54"/>
    <mergeCell ref="B35:B38"/>
    <mergeCell ref="AK35:AL35"/>
    <mergeCell ref="C36:D36"/>
    <mergeCell ref="E36:G36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32" t="s">
        <v>230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13" customHeight="1" x14ac:dyDescent="0.25">
      <c r="B2" s="213" t="s">
        <v>232</v>
      </c>
      <c r="C2" s="146"/>
      <c r="D2" s="146"/>
      <c r="E2" s="146"/>
      <c r="F2" s="146"/>
      <c r="G2" s="146"/>
      <c r="H2" s="146"/>
      <c r="I2" s="146"/>
      <c r="J2" s="146"/>
      <c r="K2" s="146"/>
      <c r="L2" s="151"/>
      <c r="M2" s="214" t="s">
        <v>231</v>
      </c>
      <c r="N2" s="146"/>
      <c r="O2" s="146"/>
      <c r="P2" s="146"/>
      <c r="Q2" s="146"/>
      <c r="R2" s="146"/>
      <c r="S2" s="146"/>
      <c r="T2" s="146"/>
      <c r="U2" s="146"/>
      <c r="V2" s="146"/>
      <c r="W2" s="151"/>
      <c r="X2" s="134" t="s">
        <v>233</v>
      </c>
      <c r="Y2" s="146"/>
      <c r="Z2" s="146"/>
      <c r="AA2" s="146"/>
      <c r="AB2" s="146"/>
      <c r="AC2" s="146"/>
      <c r="AD2" s="146"/>
      <c r="AE2" s="146"/>
      <c r="AF2" s="146"/>
      <c r="AG2" s="146"/>
      <c r="AH2" s="151"/>
      <c r="AI2" s="214" t="s">
        <v>234</v>
      </c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51"/>
      <c r="AU2" s="134" t="s">
        <v>235</v>
      </c>
      <c r="AV2" s="146"/>
      <c r="AW2" s="146"/>
      <c r="AX2" s="146"/>
      <c r="AY2" s="146"/>
      <c r="AZ2" s="146"/>
      <c r="BA2" s="146"/>
      <c r="BB2" s="146"/>
      <c r="BC2" s="146"/>
      <c r="BD2" s="146"/>
      <c r="BE2" s="146"/>
      <c r="BF2" s="215"/>
    </row>
    <row r="3" spans="2:58" ht="13" customHeight="1" x14ac:dyDescent="0.25">
      <c r="B3" s="181"/>
      <c r="C3" s="182"/>
      <c r="D3" s="182"/>
      <c r="E3" s="182"/>
      <c r="F3" s="182"/>
      <c r="G3" s="182"/>
      <c r="H3" s="182"/>
      <c r="I3" s="182"/>
      <c r="J3" s="182"/>
      <c r="K3" s="182"/>
      <c r="L3" s="183"/>
      <c r="M3" s="189"/>
      <c r="N3" s="182"/>
      <c r="O3" s="182"/>
      <c r="P3" s="182"/>
      <c r="Q3" s="182"/>
      <c r="R3" s="182"/>
      <c r="S3" s="182"/>
      <c r="T3" s="182"/>
      <c r="U3" s="182"/>
      <c r="V3" s="182"/>
      <c r="W3" s="183"/>
      <c r="X3" s="193"/>
      <c r="Y3" s="182"/>
      <c r="Z3" s="182"/>
      <c r="AA3" s="182"/>
      <c r="AB3" s="182"/>
      <c r="AC3" s="182"/>
      <c r="AD3" s="182"/>
      <c r="AE3" s="182"/>
      <c r="AF3" s="182"/>
      <c r="AG3" s="182"/>
      <c r="AH3" s="183"/>
      <c r="AI3" s="194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3"/>
      <c r="AU3" s="193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95"/>
    </row>
    <row r="4" spans="2:58" ht="13" customHeight="1" x14ac:dyDescent="0.25">
      <c r="B4" s="184"/>
      <c r="C4" s="185"/>
      <c r="D4" s="185"/>
      <c r="E4" s="185"/>
      <c r="F4" s="185"/>
      <c r="G4" s="185"/>
      <c r="H4" s="185"/>
      <c r="I4" s="185"/>
      <c r="J4" s="185"/>
      <c r="K4" s="185"/>
      <c r="L4" s="186"/>
      <c r="M4" s="190"/>
      <c r="N4" s="185"/>
      <c r="O4" s="185"/>
      <c r="P4" s="185"/>
      <c r="Q4" s="185"/>
      <c r="R4" s="185"/>
      <c r="S4" s="185"/>
      <c r="T4" s="185"/>
      <c r="U4" s="185"/>
      <c r="V4" s="185"/>
      <c r="W4" s="186"/>
      <c r="X4" s="190"/>
      <c r="Y4" s="185"/>
      <c r="Z4" s="185"/>
      <c r="AA4" s="185"/>
      <c r="AB4" s="185"/>
      <c r="AC4" s="185"/>
      <c r="AD4" s="185"/>
      <c r="AE4" s="185"/>
      <c r="AF4" s="185"/>
      <c r="AG4" s="185"/>
      <c r="AH4" s="186"/>
      <c r="AI4" s="190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6"/>
      <c r="AU4" s="190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96"/>
    </row>
    <row r="5" spans="2:58" ht="13" customHeight="1" x14ac:dyDescent="0.25">
      <c r="B5" s="184"/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90"/>
      <c r="N5" s="185"/>
      <c r="O5" s="185"/>
      <c r="P5" s="185"/>
      <c r="Q5" s="185"/>
      <c r="R5" s="185"/>
      <c r="S5" s="185"/>
      <c r="T5" s="185"/>
      <c r="U5" s="185"/>
      <c r="V5" s="185"/>
      <c r="W5" s="186"/>
      <c r="X5" s="190"/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90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6"/>
      <c r="AU5" s="190"/>
      <c r="AV5" s="185"/>
      <c r="AW5" s="185"/>
      <c r="AX5" s="185"/>
      <c r="AY5" s="185"/>
      <c r="AZ5" s="185"/>
      <c r="BA5" s="185"/>
      <c r="BB5" s="185"/>
      <c r="BC5" s="185"/>
      <c r="BD5" s="185"/>
      <c r="BE5" s="185"/>
      <c r="BF5" s="196"/>
    </row>
    <row r="6" spans="2:58" ht="13" customHeight="1" x14ac:dyDescent="0.25">
      <c r="B6" s="184"/>
      <c r="C6" s="185"/>
      <c r="D6" s="185"/>
      <c r="E6" s="185"/>
      <c r="F6" s="185"/>
      <c r="G6" s="185"/>
      <c r="H6" s="185"/>
      <c r="I6" s="185"/>
      <c r="J6" s="185"/>
      <c r="K6" s="185"/>
      <c r="L6" s="186"/>
      <c r="M6" s="190"/>
      <c r="N6" s="185"/>
      <c r="O6" s="185"/>
      <c r="P6" s="185"/>
      <c r="Q6" s="185"/>
      <c r="R6" s="185"/>
      <c r="S6" s="185"/>
      <c r="T6" s="185"/>
      <c r="U6" s="185"/>
      <c r="V6" s="185"/>
      <c r="W6" s="186"/>
      <c r="X6" s="190"/>
      <c r="Y6" s="185"/>
      <c r="Z6" s="185"/>
      <c r="AA6" s="185"/>
      <c r="AB6" s="185"/>
      <c r="AC6" s="185"/>
      <c r="AD6" s="185"/>
      <c r="AE6" s="185"/>
      <c r="AF6" s="185"/>
      <c r="AG6" s="185"/>
      <c r="AH6" s="186"/>
      <c r="AI6" s="190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6"/>
      <c r="AU6" s="190"/>
      <c r="AV6" s="185"/>
      <c r="AW6" s="185"/>
      <c r="AX6" s="185"/>
      <c r="AY6" s="185"/>
      <c r="AZ6" s="185"/>
      <c r="BA6" s="185"/>
      <c r="BB6" s="185"/>
      <c r="BC6" s="185"/>
      <c r="BD6" s="185"/>
      <c r="BE6" s="185"/>
      <c r="BF6" s="196"/>
    </row>
    <row r="7" spans="2:58" ht="13" customHeight="1" x14ac:dyDescent="0.25">
      <c r="B7" s="184"/>
      <c r="C7" s="185"/>
      <c r="D7" s="185"/>
      <c r="E7" s="185"/>
      <c r="F7" s="185"/>
      <c r="G7" s="185"/>
      <c r="H7" s="185"/>
      <c r="I7" s="185"/>
      <c r="J7" s="185"/>
      <c r="K7" s="185"/>
      <c r="L7" s="186"/>
      <c r="M7" s="190"/>
      <c r="N7" s="185"/>
      <c r="O7" s="185"/>
      <c r="P7" s="185"/>
      <c r="Q7" s="185"/>
      <c r="R7" s="185"/>
      <c r="S7" s="185"/>
      <c r="T7" s="185"/>
      <c r="U7" s="185"/>
      <c r="V7" s="185"/>
      <c r="W7" s="186"/>
      <c r="X7" s="190"/>
      <c r="Y7" s="185"/>
      <c r="Z7" s="185"/>
      <c r="AA7" s="185"/>
      <c r="AB7" s="185"/>
      <c r="AC7" s="185"/>
      <c r="AD7" s="185"/>
      <c r="AE7" s="185"/>
      <c r="AF7" s="185"/>
      <c r="AG7" s="185"/>
      <c r="AH7" s="186"/>
      <c r="AI7" s="190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6"/>
      <c r="AU7" s="190"/>
      <c r="AV7" s="185"/>
      <c r="AW7" s="185"/>
      <c r="AX7" s="185"/>
      <c r="AY7" s="185"/>
      <c r="AZ7" s="185"/>
      <c r="BA7" s="185"/>
      <c r="BB7" s="185"/>
      <c r="BC7" s="185"/>
      <c r="BD7" s="185"/>
      <c r="BE7" s="185"/>
      <c r="BF7" s="196"/>
    </row>
    <row r="8" spans="2:58" ht="13" customHeight="1" x14ac:dyDescent="0.25">
      <c r="B8" s="184"/>
      <c r="C8" s="185"/>
      <c r="D8" s="185"/>
      <c r="E8" s="185"/>
      <c r="F8" s="185"/>
      <c r="G8" s="185"/>
      <c r="H8" s="185"/>
      <c r="I8" s="185"/>
      <c r="J8" s="185"/>
      <c r="K8" s="185"/>
      <c r="L8" s="186"/>
      <c r="M8" s="190"/>
      <c r="N8" s="185"/>
      <c r="O8" s="185"/>
      <c r="P8" s="185"/>
      <c r="Q8" s="185"/>
      <c r="R8" s="185"/>
      <c r="S8" s="185"/>
      <c r="T8" s="185"/>
      <c r="U8" s="185"/>
      <c r="V8" s="185"/>
      <c r="W8" s="186"/>
      <c r="X8" s="190"/>
      <c r="Y8" s="185"/>
      <c r="Z8" s="185"/>
      <c r="AA8" s="185"/>
      <c r="AB8" s="185"/>
      <c r="AC8" s="185"/>
      <c r="AD8" s="185"/>
      <c r="AE8" s="185"/>
      <c r="AF8" s="185"/>
      <c r="AG8" s="185"/>
      <c r="AH8" s="186"/>
      <c r="AI8" s="190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6"/>
      <c r="AU8" s="190"/>
      <c r="AV8" s="185"/>
      <c r="AW8" s="185"/>
      <c r="AX8" s="185"/>
      <c r="AY8" s="185"/>
      <c r="AZ8" s="185"/>
      <c r="BA8" s="185"/>
      <c r="BB8" s="185"/>
      <c r="BC8" s="185"/>
      <c r="BD8" s="185"/>
      <c r="BE8" s="185"/>
      <c r="BF8" s="196"/>
    </row>
    <row r="9" spans="2:58" ht="13" customHeight="1" x14ac:dyDescent="0.25">
      <c r="B9" s="187"/>
      <c r="C9" s="188"/>
      <c r="D9" s="188"/>
      <c r="E9" s="188"/>
      <c r="F9" s="188"/>
      <c r="G9" s="188"/>
      <c r="H9" s="188"/>
      <c r="I9" s="188"/>
      <c r="J9" s="188"/>
      <c r="K9" s="188"/>
      <c r="L9" s="174"/>
      <c r="M9" s="191"/>
      <c r="N9" s="188"/>
      <c r="O9" s="188"/>
      <c r="P9" s="188"/>
      <c r="Q9" s="188"/>
      <c r="R9" s="188"/>
      <c r="S9" s="188"/>
      <c r="T9" s="188"/>
      <c r="U9" s="188"/>
      <c r="V9" s="188"/>
      <c r="W9" s="174"/>
      <c r="X9" s="191"/>
      <c r="Y9" s="188"/>
      <c r="Z9" s="188"/>
      <c r="AA9" s="188"/>
      <c r="AB9" s="188"/>
      <c r="AC9" s="188"/>
      <c r="AD9" s="188"/>
      <c r="AE9" s="188"/>
      <c r="AF9" s="188"/>
      <c r="AG9" s="188"/>
      <c r="AH9" s="174"/>
      <c r="AI9" s="191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74"/>
      <c r="AU9" s="191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97"/>
    </row>
    <row r="10" spans="2:58" ht="13" customHeight="1" x14ac:dyDescent="0.25">
      <c r="B10" s="201" t="s">
        <v>236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8"/>
      <c r="M10" s="212" t="s">
        <v>237</v>
      </c>
      <c r="N10" s="127"/>
      <c r="O10" s="127"/>
      <c r="P10" s="127"/>
      <c r="Q10" s="127"/>
      <c r="R10" s="127"/>
      <c r="S10" s="127"/>
      <c r="T10" s="127"/>
      <c r="U10" s="127"/>
      <c r="V10" s="127"/>
      <c r="W10" s="128"/>
      <c r="X10" s="139" t="s">
        <v>238</v>
      </c>
      <c r="Y10" s="127"/>
      <c r="Z10" s="127"/>
      <c r="AA10" s="127"/>
      <c r="AB10" s="127"/>
      <c r="AC10" s="127"/>
      <c r="AD10" s="127"/>
      <c r="AE10" s="127"/>
      <c r="AF10" s="127"/>
      <c r="AG10" s="127"/>
      <c r="AH10" s="128"/>
      <c r="AI10" s="139" t="s">
        <v>239</v>
      </c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8"/>
      <c r="AU10" s="124" t="s">
        <v>240</v>
      </c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206"/>
    </row>
    <row r="11" spans="2:58" ht="13" customHeight="1" x14ac:dyDescent="0.25">
      <c r="B11" s="181"/>
      <c r="C11" s="182"/>
      <c r="D11" s="182"/>
      <c r="E11" s="182"/>
      <c r="F11" s="182"/>
      <c r="G11" s="182"/>
      <c r="H11" s="182"/>
      <c r="I11" s="182"/>
      <c r="J11" s="182"/>
      <c r="K11" s="182"/>
      <c r="L11" s="183"/>
      <c r="M11" s="189"/>
      <c r="N11" s="182"/>
      <c r="O11" s="182"/>
      <c r="P11" s="182"/>
      <c r="Q11" s="182"/>
      <c r="R11" s="182"/>
      <c r="S11" s="182"/>
      <c r="T11" s="182"/>
      <c r="U11" s="182"/>
      <c r="V11" s="182"/>
      <c r="W11" s="183"/>
      <c r="X11" s="189"/>
      <c r="Y11" s="182"/>
      <c r="Z11" s="182"/>
      <c r="AA11" s="182"/>
      <c r="AB11" s="182"/>
      <c r="AC11" s="182"/>
      <c r="AD11" s="182"/>
      <c r="AE11" s="182"/>
      <c r="AF11" s="182"/>
      <c r="AG11" s="182"/>
      <c r="AH11" s="183"/>
      <c r="AI11" s="189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3"/>
      <c r="AU11" s="198"/>
      <c r="AV11" s="182"/>
      <c r="AW11" s="182"/>
      <c r="AX11" s="182"/>
      <c r="AY11" s="182"/>
      <c r="AZ11" s="182"/>
      <c r="BA11" s="182"/>
      <c r="BB11" s="182"/>
      <c r="BC11" s="182"/>
      <c r="BD11" s="182"/>
      <c r="BE11" s="182"/>
      <c r="BF11" s="195"/>
    </row>
    <row r="12" spans="2:58" ht="13" customHeight="1" x14ac:dyDescent="0.25">
      <c r="B12" s="184"/>
      <c r="C12" s="185"/>
      <c r="D12" s="185"/>
      <c r="E12" s="185"/>
      <c r="F12" s="185"/>
      <c r="G12" s="185"/>
      <c r="H12" s="185"/>
      <c r="I12" s="185"/>
      <c r="J12" s="185"/>
      <c r="K12" s="185"/>
      <c r="L12" s="186"/>
      <c r="M12" s="190"/>
      <c r="N12" s="185"/>
      <c r="O12" s="185"/>
      <c r="P12" s="185"/>
      <c r="Q12" s="185"/>
      <c r="R12" s="185"/>
      <c r="S12" s="185"/>
      <c r="T12" s="185"/>
      <c r="U12" s="185"/>
      <c r="V12" s="185"/>
      <c r="W12" s="186"/>
      <c r="X12" s="190"/>
      <c r="Y12" s="185"/>
      <c r="Z12" s="185"/>
      <c r="AA12" s="185"/>
      <c r="AB12" s="185"/>
      <c r="AC12" s="185"/>
      <c r="AD12" s="185"/>
      <c r="AE12" s="185"/>
      <c r="AF12" s="185"/>
      <c r="AG12" s="185"/>
      <c r="AH12" s="186"/>
      <c r="AI12" s="190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6"/>
      <c r="AU12" s="190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96"/>
    </row>
    <row r="13" spans="2:58" ht="13" customHeight="1" x14ac:dyDescent="0.25">
      <c r="B13" s="184"/>
      <c r="C13" s="185"/>
      <c r="D13" s="185"/>
      <c r="E13" s="185"/>
      <c r="F13" s="185"/>
      <c r="G13" s="185"/>
      <c r="H13" s="185"/>
      <c r="I13" s="185"/>
      <c r="J13" s="185"/>
      <c r="K13" s="185"/>
      <c r="L13" s="186"/>
      <c r="M13" s="190"/>
      <c r="N13" s="185"/>
      <c r="O13" s="185"/>
      <c r="P13" s="185"/>
      <c r="Q13" s="185"/>
      <c r="R13" s="185"/>
      <c r="S13" s="185"/>
      <c r="T13" s="185"/>
      <c r="U13" s="185"/>
      <c r="V13" s="185"/>
      <c r="W13" s="186"/>
      <c r="X13" s="190"/>
      <c r="Y13" s="185"/>
      <c r="Z13" s="185"/>
      <c r="AA13" s="185"/>
      <c r="AB13" s="185"/>
      <c r="AC13" s="185"/>
      <c r="AD13" s="185"/>
      <c r="AE13" s="185"/>
      <c r="AF13" s="185"/>
      <c r="AG13" s="185"/>
      <c r="AH13" s="186"/>
      <c r="AI13" s="190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6"/>
      <c r="AU13" s="190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96"/>
    </row>
    <row r="14" spans="2:58" ht="13" customHeight="1" x14ac:dyDescent="0.25">
      <c r="B14" s="184"/>
      <c r="C14" s="185"/>
      <c r="D14" s="185"/>
      <c r="E14" s="185"/>
      <c r="F14" s="185"/>
      <c r="G14" s="185"/>
      <c r="H14" s="185"/>
      <c r="I14" s="185"/>
      <c r="J14" s="185"/>
      <c r="K14" s="185"/>
      <c r="L14" s="186"/>
      <c r="M14" s="190"/>
      <c r="N14" s="185"/>
      <c r="O14" s="185"/>
      <c r="P14" s="185"/>
      <c r="Q14" s="185"/>
      <c r="R14" s="185"/>
      <c r="S14" s="185"/>
      <c r="T14" s="185"/>
      <c r="U14" s="185"/>
      <c r="V14" s="185"/>
      <c r="W14" s="186"/>
      <c r="X14" s="190"/>
      <c r="Y14" s="185"/>
      <c r="Z14" s="185"/>
      <c r="AA14" s="185"/>
      <c r="AB14" s="185"/>
      <c r="AC14" s="185"/>
      <c r="AD14" s="185"/>
      <c r="AE14" s="185"/>
      <c r="AF14" s="185"/>
      <c r="AG14" s="185"/>
      <c r="AH14" s="186"/>
      <c r="AI14" s="190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6"/>
      <c r="AU14" s="190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96"/>
    </row>
    <row r="15" spans="2:58" ht="13" customHeight="1" x14ac:dyDescent="0.25">
      <c r="B15" s="184"/>
      <c r="C15" s="185"/>
      <c r="D15" s="185"/>
      <c r="E15" s="185"/>
      <c r="F15" s="185"/>
      <c r="G15" s="185"/>
      <c r="H15" s="185"/>
      <c r="I15" s="185"/>
      <c r="J15" s="185"/>
      <c r="K15" s="185"/>
      <c r="L15" s="186"/>
      <c r="M15" s="190"/>
      <c r="N15" s="185"/>
      <c r="O15" s="185"/>
      <c r="P15" s="185"/>
      <c r="Q15" s="185"/>
      <c r="R15" s="185"/>
      <c r="S15" s="185"/>
      <c r="T15" s="185"/>
      <c r="U15" s="185"/>
      <c r="V15" s="185"/>
      <c r="W15" s="186"/>
      <c r="X15" s="190"/>
      <c r="Y15" s="185"/>
      <c r="Z15" s="185"/>
      <c r="AA15" s="185"/>
      <c r="AB15" s="185"/>
      <c r="AC15" s="185"/>
      <c r="AD15" s="185"/>
      <c r="AE15" s="185"/>
      <c r="AF15" s="185"/>
      <c r="AG15" s="185"/>
      <c r="AH15" s="186"/>
      <c r="AI15" s="190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6"/>
      <c r="AU15" s="190"/>
      <c r="AV15" s="185"/>
      <c r="AW15" s="185"/>
      <c r="AX15" s="185"/>
      <c r="AY15" s="185"/>
      <c r="AZ15" s="185"/>
      <c r="BA15" s="185"/>
      <c r="BB15" s="185"/>
      <c r="BC15" s="185"/>
      <c r="BD15" s="185"/>
      <c r="BE15" s="185"/>
      <c r="BF15" s="196"/>
    </row>
    <row r="16" spans="2:58" ht="13" customHeight="1" x14ac:dyDescent="0.25">
      <c r="B16" s="184"/>
      <c r="C16" s="185"/>
      <c r="D16" s="185"/>
      <c r="E16" s="185"/>
      <c r="F16" s="185"/>
      <c r="G16" s="185"/>
      <c r="H16" s="185"/>
      <c r="I16" s="185"/>
      <c r="J16" s="185"/>
      <c r="K16" s="185"/>
      <c r="L16" s="186"/>
      <c r="M16" s="190"/>
      <c r="N16" s="185"/>
      <c r="O16" s="185"/>
      <c r="P16" s="185"/>
      <c r="Q16" s="185"/>
      <c r="R16" s="185"/>
      <c r="S16" s="185"/>
      <c r="T16" s="185"/>
      <c r="U16" s="185"/>
      <c r="V16" s="185"/>
      <c r="W16" s="186"/>
      <c r="X16" s="190"/>
      <c r="Y16" s="185"/>
      <c r="Z16" s="185"/>
      <c r="AA16" s="185"/>
      <c r="AB16" s="185"/>
      <c r="AC16" s="185"/>
      <c r="AD16" s="185"/>
      <c r="AE16" s="185"/>
      <c r="AF16" s="185"/>
      <c r="AG16" s="185"/>
      <c r="AH16" s="186"/>
      <c r="AI16" s="190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6"/>
      <c r="AU16" s="190"/>
      <c r="AV16" s="185"/>
      <c r="AW16" s="185"/>
      <c r="AX16" s="185"/>
      <c r="AY16" s="185"/>
      <c r="AZ16" s="185"/>
      <c r="BA16" s="185"/>
      <c r="BB16" s="185"/>
      <c r="BC16" s="185"/>
      <c r="BD16" s="185"/>
      <c r="BE16" s="185"/>
      <c r="BF16" s="196"/>
    </row>
    <row r="17" spans="2:58" ht="13" customHeight="1" x14ac:dyDescent="0.25">
      <c r="B17" s="187"/>
      <c r="C17" s="188"/>
      <c r="D17" s="188"/>
      <c r="E17" s="188"/>
      <c r="F17" s="188"/>
      <c r="G17" s="188"/>
      <c r="H17" s="188"/>
      <c r="I17" s="188"/>
      <c r="J17" s="188"/>
      <c r="K17" s="188"/>
      <c r="L17" s="174"/>
      <c r="M17" s="191"/>
      <c r="N17" s="188"/>
      <c r="O17" s="188"/>
      <c r="P17" s="188"/>
      <c r="Q17" s="188"/>
      <c r="R17" s="188"/>
      <c r="S17" s="188"/>
      <c r="T17" s="188"/>
      <c r="U17" s="188"/>
      <c r="V17" s="188"/>
      <c r="W17" s="174"/>
      <c r="X17" s="191"/>
      <c r="Y17" s="188"/>
      <c r="Z17" s="188"/>
      <c r="AA17" s="188"/>
      <c r="AB17" s="188"/>
      <c r="AC17" s="188"/>
      <c r="AD17" s="188"/>
      <c r="AE17" s="188"/>
      <c r="AF17" s="188"/>
      <c r="AG17" s="188"/>
      <c r="AH17" s="174"/>
      <c r="AI17" s="191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74"/>
      <c r="AU17" s="191"/>
      <c r="AV17" s="188"/>
      <c r="AW17" s="188"/>
      <c r="AX17" s="188"/>
      <c r="AY17" s="188"/>
      <c r="AZ17" s="188"/>
      <c r="BA17" s="188"/>
      <c r="BB17" s="188"/>
      <c r="BC17" s="188"/>
      <c r="BD17" s="188"/>
      <c r="BE17" s="188"/>
      <c r="BF17" s="197"/>
    </row>
    <row r="18" spans="2:58" ht="13" customHeight="1" x14ac:dyDescent="0.25">
      <c r="B18" s="201" t="s">
        <v>241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202" t="s">
        <v>242</v>
      </c>
      <c r="N18" s="127"/>
      <c r="O18" s="127"/>
      <c r="P18" s="127"/>
      <c r="Q18" s="127"/>
      <c r="R18" s="127"/>
      <c r="S18" s="127"/>
      <c r="T18" s="127"/>
      <c r="U18" s="127"/>
      <c r="V18" s="127"/>
      <c r="W18" s="128"/>
      <c r="X18" s="200" t="s">
        <v>243</v>
      </c>
      <c r="Y18" s="127"/>
      <c r="Z18" s="127"/>
      <c r="AA18" s="127"/>
      <c r="AB18" s="127"/>
      <c r="AC18" s="127"/>
      <c r="AD18" s="127"/>
      <c r="AE18" s="127"/>
      <c r="AF18" s="127"/>
      <c r="AG18" s="127"/>
      <c r="AH18" s="128"/>
      <c r="AI18" s="122" t="s">
        <v>244</v>
      </c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8"/>
      <c r="AU18" s="124" t="s">
        <v>245</v>
      </c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206"/>
    </row>
    <row r="19" spans="2:58" ht="13" customHeight="1" x14ac:dyDescent="0.25">
      <c r="B19" s="181"/>
      <c r="C19" s="182"/>
      <c r="D19" s="182"/>
      <c r="E19" s="182"/>
      <c r="F19" s="182"/>
      <c r="G19" s="182"/>
      <c r="H19" s="182"/>
      <c r="I19" s="182"/>
      <c r="J19" s="182"/>
      <c r="K19" s="182"/>
      <c r="L19" s="183"/>
      <c r="M19" s="199"/>
      <c r="N19" s="182"/>
      <c r="O19" s="182"/>
      <c r="P19" s="182"/>
      <c r="Q19" s="182"/>
      <c r="R19" s="182"/>
      <c r="S19" s="182"/>
      <c r="T19" s="182"/>
      <c r="U19" s="182"/>
      <c r="V19" s="182"/>
      <c r="W19" s="183"/>
      <c r="X19" s="216"/>
      <c r="Y19" s="182"/>
      <c r="Z19" s="182"/>
      <c r="AA19" s="182"/>
      <c r="AB19" s="182"/>
      <c r="AC19" s="182"/>
      <c r="AD19" s="182"/>
      <c r="AE19" s="182"/>
      <c r="AF19" s="182"/>
      <c r="AG19" s="182"/>
      <c r="AH19" s="183"/>
      <c r="AI19" s="193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3"/>
      <c r="AU19" s="198"/>
      <c r="AV19" s="182"/>
      <c r="AW19" s="182"/>
      <c r="AX19" s="182"/>
      <c r="AY19" s="182"/>
      <c r="AZ19" s="182"/>
      <c r="BA19" s="182"/>
      <c r="BB19" s="182"/>
      <c r="BC19" s="182"/>
      <c r="BD19" s="182"/>
      <c r="BE19" s="182"/>
      <c r="BF19" s="195"/>
    </row>
    <row r="20" spans="2:58" ht="13" customHeight="1" x14ac:dyDescent="0.25">
      <c r="B20" s="184"/>
      <c r="C20" s="185"/>
      <c r="D20" s="185"/>
      <c r="E20" s="185"/>
      <c r="F20" s="185"/>
      <c r="G20" s="185"/>
      <c r="H20" s="185"/>
      <c r="I20" s="185"/>
      <c r="J20" s="185"/>
      <c r="K20" s="185"/>
      <c r="L20" s="186"/>
      <c r="M20" s="190"/>
      <c r="N20" s="185"/>
      <c r="O20" s="185"/>
      <c r="P20" s="185"/>
      <c r="Q20" s="185"/>
      <c r="R20" s="185"/>
      <c r="S20" s="185"/>
      <c r="T20" s="185"/>
      <c r="U20" s="185"/>
      <c r="V20" s="185"/>
      <c r="W20" s="186"/>
      <c r="X20" s="190"/>
      <c r="Y20" s="185"/>
      <c r="Z20" s="185"/>
      <c r="AA20" s="185"/>
      <c r="AB20" s="185"/>
      <c r="AC20" s="185"/>
      <c r="AD20" s="185"/>
      <c r="AE20" s="185"/>
      <c r="AF20" s="185"/>
      <c r="AG20" s="185"/>
      <c r="AH20" s="186"/>
      <c r="AI20" s="190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6"/>
      <c r="AU20" s="190"/>
      <c r="AV20" s="185"/>
      <c r="AW20" s="185"/>
      <c r="AX20" s="185"/>
      <c r="AY20" s="185"/>
      <c r="AZ20" s="185"/>
      <c r="BA20" s="185"/>
      <c r="BB20" s="185"/>
      <c r="BC20" s="185"/>
      <c r="BD20" s="185"/>
      <c r="BE20" s="185"/>
      <c r="BF20" s="196"/>
    </row>
    <row r="21" spans="2:58" ht="13" customHeight="1" x14ac:dyDescent="0.25">
      <c r="B21" s="184"/>
      <c r="C21" s="185"/>
      <c r="D21" s="185"/>
      <c r="E21" s="185"/>
      <c r="F21" s="185"/>
      <c r="G21" s="185"/>
      <c r="H21" s="185"/>
      <c r="I21" s="185"/>
      <c r="J21" s="185"/>
      <c r="K21" s="185"/>
      <c r="L21" s="186"/>
      <c r="M21" s="190"/>
      <c r="N21" s="185"/>
      <c r="O21" s="185"/>
      <c r="P21" s="185"/>
      <c r="Q21" s="185"/>
      <c r="R21" s="185"/>
      <c r="S21" s="185"/>
      <c r="T21" s="185"/>
      <c r="U21" s="185"/>
      <c r="V21" s="185"/>
      <c r="W21" s="186"/>
      <c r="X21" s="190"/>
      <c r="Y21" s="185"/>
      <c r="Z21" s="185"/>
      <c r="AA21" s="185"/>
      <c r="AB21" s="185"/>
      <c r="AC21" s="185"/>
      <c r="AD21" s="185"/>
      <c r="AE21" s="185"/>
      <c r="AF21" s="185"/>
      <c r="AG21" s="185"/>
      <c r="AH21" s="186"/>
      <c r="AI21" s="190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6"/>
      <c r="AU21" s="190"/>
      <c r="AV21" s="185"/>
      <c r="AW21" s="185"/>
      <c r="AX21" s="185"/>
      <c r="AY21" s="185"/>
      <c r="AZ21" s="185"/>
      <c r="BA21" s="185"/>
      <c r="BB21" s="185"/>
      <c r="BC21" s="185"/>
      <c r="BD21" s="185"/>
      <c r="BE21" s="185"/>
      <c r="BF21" s="196"/>
    </row>
    <row r="22" spans="2:58" ht="13" customHeight="1" x14ac:dyDescent="0.25">
      <c r="B22" s="184"/>
      <c r="C22" s="185"/>
      <c r="D22" s="185"/>
      <c r="E22" s="185"/>
      <c r="F22" s="185"/>
      <c r="G22" s="185"/>
      <c r="H22" s="185"/>
      <c r="I22" s="185"/>
      <c r="J22" s="185"/>
      <c r="K22" s="185"/>
      <c r="L22" s="186"/>
      <c r="M22" s="190"/>
      <c r="N22" s="185"/>
      <c r="O22" s="185"/>
      <c r="P22" s="185"/>
      <c r="Q22" s="185"/>
      <c r="R22" s="185"/>
      <c r="S22" s="185"/>
      <c r="T22" s="185"/>
      <c r="U22" s="185"/>
      <c r="V22" s="185"/>
      <c r="W22" s="186"/>
      <c r="X22" s="190"/>
      <c r="Y22" s="185"/>
      <c r="Z22" s="185"/>
      <c r="AA22" s="185"/>
      <c r="AB22" s="185"/>
      <c r="AC22" s="185"/>
      <c r="AD22" s="185"/>
      <c r="AE22" s="185"/>
      <c r="AF22" s="185"/>
      <c r="AG22" s="185"/>
      <c r="AH22" s="186"/>
      <c r="AI22" s="190"/>
      <c r="AJ22" s="185"/>
      <c r="AK22" s="185"/>
      <c r="AL22" s="185"/>
      <c r="AM22" s="185"/>
      <c r="AN22" s="185"/>
      <c r="AO22" s="185"/>
      <c r="AP22" s="185"/>
      <c r="AQ22" s="185"/>
      <c r="AR22" s="185"/>
      <c r="AS22" s="185"/>
      <c r="AT22" s="186"/>
      <c r="AU22" s="190"/>
      <c r="AV22" s="185"/>
      <c r="AW22" s="185"/>
      <c r="AX22" s="185"/>
      <c r="AY22" s="185"/>
      <c r="AZ22" s="185"/>
      <c r="BA22" s="185"/>
      <c r="BB22" s="185"/>
      <c r="BC22" s="185"/>
      <c r="BD22" s="185"/>
      <c r="BE22" s="185"/>
      <c r="BF22" s="196"/>
    </row>
    <row r="23" spans="2:58" ht="13" customHeight="1" x14ac:dyDescent="0.25">
      <c r="B23" s="184"/>
      <c r="C23" s="185"/>
      <c r="D23" s="185"/>
      <c r="E23" s="185"/>
      <c r="F23" s="185"/>
      <c r="G23" s="185"/>
      <c r="H23" s="185"/>
      <c r="I23" s="185"/>
      <c r="J23" s="185"/>
      <c r="K23" s="185"/>
      <c r="L23" s="186"/>
      <c r="M23" s="190"/>
      <c r="N23" s="185"/>
      <c r="O23" s="185"/>
      <c r="P23" s="185"/>
      <c r="Q23" s="185"/>
      <c r="R23" s="185"/>
      <c r="S23" s="185"/>
      <c r="T23" s="185"/>
      <c r="U23" s="185"/>
      <c r="V23" s="185"/>
      <c r="W23" s="186"/>
      <c r="X23" s="190"/>
      <c r="Y23" s="185"/>
      <c r="Z23" s="185"/>
      <c r="AA23" s="185"/>
      <c r="AB23" s="185"/>
      <c r="AC23" s="185"/>
      <c r="AD23" s="185"/>
      <c r="AE23" s="185"/>
      <c r="AF23" s="185"/>
      <c r="AG23" s="185"/>
      <c r="AH23" s="186"/>
      <c r="AI23" s="190"/>
      <c r="AJ23" s="185"/>
      <c r="AK23" s="185"/>
      <c r="AL23" s="185"/>
      <c r="AM23" s="185"/>
      <c r="AN23" s="185"/>
      <c r="AO23" s="185"/>
      <c r="AP23" s="185"/>
      <c r="AQ23" s="185"/>
      <c r="AR23" s="185"/>
      <c r="AS23" s="185"/>
      <c r="AT23" s="186"/>
      <c r="AU23" s="190"/>
      <c r="AV23" s="185"/>
      <c r="AW23" s="185"/>
      <c r="AX23" s="185"/>
      <c r="AY23" s="185"/>
      <c r="AZ23" s="185"/>
      <c r="BA23" s="185"/>
      <c r="BB23" s="185"/>
      <c r="BC23" s="185"/>
      <c r="BD23" s="185"/>
      <c r="BE23" s="185"/>
      <c r="BF23" s="196"/>
    </row>
    <row r="24" spans="2:58" ht="13" customHeight="1" x14ac:dyDescent="0.25">
      <c r="B24" s="187"/>
      <c r="C24" s="188"/>
      <c r="D24" s="188"/>
      <c r="E24" s="188"/>
      <c r="F24" s="188"/>
      <c r="G24" s="188"/>
      <c r="H24" s="188"/>
      <c r="I24" s="188"/>
      <c r="J24" s="188"/>
      <c r="K24" s="188"/>
      <c r="L24" s="174"/>
      <c r="M24" s="191"/>
      <c r="N24" s="188"/>
      <c r="O24" s="188"/>
      <c r="P24" s="188"/>
      <c r="Q24" s="188"/>
      <c r="R24" s="188"/>
      <c r="S24" s="188"/>
      <c r="T24" s="188"/>
      <c r="U24" s="188"/>
      <c r="V24" s="188"/>
      <c r="W24" s="174"/>
      <c r="X24" s="191"/>
      <c r="Y24" s="188"/>
      <c r="Z24" s="188"/>
      <c r="AA24" s="188"/>
      <c r="AB24" s="188"/>
      <c r="AC24" s="188"/>
      <c r="AD24" s="188"/>
      <c r="AE24" s="188"/>
      <c r="AF24" s="188"/>
      <c r="AG24" s="188"/>
      <c r="AH24" s="174"/>
      <c r="AI24" s="191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74"/>
      <c r="AU24" s="191"/>
      <c r="AV24" s="188"/>
      <c r="AW24" s="188"/>
      <c r="AX24" s="188"/>
      <c r="AY24" s="188"/>
      <c r="AZ24" s="188"/>
      <c r="BA24" s="188"/>
      <c r="BB24" s="188"/>
      <c r="BC24" s="188"/>
      <c r="BD24" s="188"/>
      <c r="BE24" s="188"/>
      <c r="BF24" s="197"/>
    </row>
    <row r="25" spans="2:58" ht="13" customHeight="1" x14ac:dyDescent="0.25">
      <c r="B25" s="201" t="s">
        <v>246</v>
      </c>
      <c r="C25" s="127"/>
      <c r="D25" s="127"/>
      <c r="E25" s="127"/>
      <c r="F25" s="127"/>
      <c r="G25" s="127"/>
      <c r="H25" s="127"/>
      <c r="I25" s="127"/>
      <c r="J25" s="127"/>
      <c r="K25" s="127"/>
      <c r="L25" s="128"/>
      <c r="M25" s="139" t="s">
        <v>247</v>
      </c>
      <c r="N25" s="127"/>
      <c r="O25" s="127"/>
      <c r="P25" s="127"/>
      <c r="Q25" s="127"/>
      <c r="R25" s="127"/>
      <c r="S25" s="127"/>
      <c r="T25" s="127"/>
      <c r="U25" s="127"/>
      <c r="V25" s="127"/>
      <c r="W25" s="128"/>
      <c r="X25" s="205" t="s">
        <v>248</v>
      </c>
      <c r="Y25" s="127"/>
      <c r="Z25" s="127"/>
      <c r="AA25" s="127"/>
      <c r="AB25" s="127"/>
      <c r="AC25" s="127"/>
      <c r="AD25" s="127"/>
      <c r="AE25" s="127"/>
      <c r="AF25" s="127"/>
      <c r="AG25" s="127"/>
      <c r="AH25" s="128"/>
      <c r="AI25" s="124" t="s">
        <v>249</v>
      </c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8"/>
      <c r="AU25" s="124" t="s">
        <v>250</v>
      </c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  <c r="BF25" s="206"/>
    </row>
    <row r="26" spans="2:58" ht="13" customHeight="1" x14ac:dyDescent="0.25">
      <c r="B26" s="181"/>
      <c r="C26" s="182"/>
      <c r="D26" s="182"/>
      <c r="E26" s="182"/>
      <c r="F26" s="182"/>
      <c r="G26" s="182"/>
      <c r="H26" s="182"/>
      <c r="I26" s="182"/>
      <c r="J26" s="182"/>
      <c r="K26" s="182"/>
      <c r="L26" s="183"/>
      <c r="M26" s="203"/>
      <c r="N26" s="182"/>
      <c r="O26" s="182"/>
      <c r="P26" s="182"/>
      <c r="Q26" s="182"/>
      <c r="R26" s="182"/>
      <c r="S26" s="182"/>
      <c r="T26" s="182"/>
      <c r="U26" s="182"/>
      <c r="V26" s="182"/>
      <c r="W26" s="183"/>
      <c r="X26" s="192"/>
      <c r="Y26" s="182"/>
      <c r="Z26" s="182"/>
      <c r="AA26" s="182"/>
      <c r="AB26" s="182"/>
      <c r="AC26" s="182"/>
      <c r="AD26" s="182"/>
      <c r="AE26" s="182"/>
      <c r="AF26" s="182"/>
      <c r="AG26" s="182"/>
      <c r="AH26" s="183"/>
      <c r="AI26" s="198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3"/>
      <c r="AU26" s="198"/>
      <c r="AV26" s="182"/>
      <c r="AW26" s="182"/>
      <c r="AX26" s="182"/>
      <c r="AY26" s="182"/>
      <c r="AZ26" s="182"/>
      <c r="BA26" s="182"/>
      <c r="BB26" s="182"/>
      <c r="BC26" s="182"/>
      <c r="BD26" s="182"/>
      <c r="BE26" s="182"/>
      <c r="BF26" s="195"/>
    </row>
    <row r="27" spans="2:58" ht="13" customHeight="1" x14ac:dyDescent="0.25">
      <c r="B27" s="184"/>
      <c r="C27" s="185"/>
      <c r="D27" s="185"/>
      <c r="E27" s="185"/>
      <c r="F27" s="185"/>
      <c r="G27" s="185"/>
      <c r="H27" s="185"/>
      <c r="I27" s="185"/>
      <c r="J27" s="185"/>
      <c r="K27" s="185"/>
      <c r="L27" s="186"/>
      <c r="M27" s="190"/>
      <c r="N27" s="185"/>
      <c r="O27" s="185"/>
      <c r="P27" s="185"/>
      <c r="Q27" s="185"/>
      <c r="R27" s="185"/>
      <c r="S27" s="185"/>
      <c r="T27" s="185"/>
      <c r="U27" s="185"/>
      <c r="V27" s="185"/>
      <c r="W27" s="186"/>
      <c r="X27" s="190"/>
      <c r="Y27" s="185"/>
      <c r="Z27" s="185"/>
      <c r="AA27" s="185"/>
      <c r="AB27" s="185"/>
      <c r="AC27" s="185"/>
      <c r="AD27" s="185"/>
      <c r="AE27" s="185"/>
      <c r="AF27" s="185"/>
      <c r="AG27" s="185"/>
      <c r="AH27" s="186"/>
      <c r="AI27" s="190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6"/>
      <c r="AU27" s="190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96"/>
    </row>
    <row r="28" spans="2:58" ht="13" customHeight="1" x14ac:dyDescent="0.25">
      <c r="B28" s="184"/>
      <c r="C28" s="185"/>
      <c r="D28" s="185"/>
      <c r="E28" s="185"/>
      <c r="F28" s="185"/>
      <c r="G28" s="185"/>
      <c r="H28" s="185"/>
      <c r="I28" s="185"/>
      <c r="J28" s="185"/>
      <c r="K28" s="185"/>
      <c r="L28" s="186"/>
      <c r="M28" s="190"/>
      <c r="N28" s="185"/>
      <c r="O28" s="185"/>
      <c r="P28" s="185"/>
      <c r="Q28" s="185"/>
      <c r="R28" s="185"/>
      <c r="S28" s="185"/>
      <c r="T28" s="185"/>
      <c r="U28" s="185"/>
      <c r="V28" s="185"/>
      <c r="W28" s="186"/>
      <c r="X28" s="190"/>
      <c r="Y28" s="185"/>
      <c r="Z28" s="185"/>
      <c r="AA28" s="185"/>
      <c r="AB28" s="185"/>
      <c r="AC28" s="185"/>
      <c r="AD28" s="185"/>
      <c r="AE28" s="185"/>
      <c r="AF28" s="185"/>
      <c r="AG28" s="185"/>
      <c r="AH28" s="186"/>
      <c r="AI28" s="190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6"/>
      <c r="AU28" s="190"/>
      <c r="AV28" s="185"/>
      <c r="AW28" s="185"/>
      <c r="AX28" s="185"/>
      <c r="AY28" s="185"/>
      <c r="AZ28" s="185"/>
      <c r="BA28" s="185"/>
      <c r="BB28" s="185"/>
      <c r="BC28" s="185"/>
      <c r="BD28" s="185"/>
      <c r="BE28" s="185"/>
      <c r="BF28" s="196"/>
    </row>
    <row r="29" spans="2:58" ht="13" customHeight="1" x14ac:dyDescent="0.25">
      <c r="B29" s="184"/>
      <c r="C29" s="185"/>
      <c r="D29" s="185"/>
      <c r="E29" s="185"/>
      <c r="F29" s="185"/>
      <c r="G29" s="185"/>
      <c r="H29" s="185"/>
      <c r="I29" s="185"/>
      <c r="J29" s="185"/>
      <c r="K29" s="185"/>
      <c r="L29" s="186"/>
      <c r="M29" s="190"/>
      <c r="N29" s="185"/>
      <c r="O29" s="185"/>
      <c r="P29" s="185"/>
      <c r="Q29" s="185"/>
      <c r="R29" s="185"/>
      <c r="S29" s="185"/>
      <c r="T29" s="185"/>
      <c r="U29" s="185"/>
      <c r="V29" s="185"/>
      <c r="W29" s="186"/>
      <c r="X29" s="190"/>
      <c r="Y29" s="185"/>
      <c r="Z29" s="185"/>
      <c r="AA29" s="185"/>
      <c r="AB29" s="185"/>
      <c r="AC29" s="185"/>
      <c r="AD29" s="185"/>
      <c r="AE29" s="185"/>
      <c r="AF29" s="185"/>
      <c r="AG29" s="185"/>
      <c r="AH29" s="186"/>
      <c r="AI29" s="190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6"/>
      <c r="AU29" s="190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96"/>
    </row>
    <row r="30" spans="2:58" ht="13" customHeight="1" x14ac:dyDescent="0.25">
      <c r="B30" s="184"/>
      <c r="C30" s="185"/>
      <c r="D30" s="185"/>
      <c r="E30" s="185"/>
      <c r="F30" s="185"/>
      <c r="G30" s="185"/>
      <c r="H30" s="185"/>
      <c r="I30" s="185"/>
      <c r="J30" s="185"/>
      <c r="K30" s="185"/>
      <c r="L30" s="186"/>
      <c r="M30" s="190"/>
      <c r="N30" s="185"/>
      <c r="O30" s="185"/>
      <c r="P30" s="185"/>
      <c r="Q30" s="185"/>
      <c r="R30" s="185"/>
      <c r="S30" s="185"/>
      <c r="T30" s="185"/>
      <c r="U30" s="185"/>
      <c r="V30" s="185"/>
      <c r="W30" s="186"/>
      <c r="X30" s="190"/>
      <c r="Y30" s="185"/>
      <c r="Z30" s="185"/>
      <c r="AA30" s="185"/>
      <c r="AB30" s="185"/>
      <c r="AC30" s="185"/>
      <c r="AD30" s="185"/>
      <c r="AE30" s="185"/>
      <c r="AF30" s="185"/>
      <c r="AG30" s="185"/>
      <c r="AH30" s="186"/>
      <c r="AI30" s="190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6"/>
      <c r="AU30" s="190"/>
      <c r="AV30" s="185"/>
      <c r="AW30" s="185"/>
      <c r="AX30" s="185"/>
      <c r="AY30" s="185"/>
      <c r="AZ30" s="185"/>
      <c r="BA30" s="185"/>
      <c r="BB30" s="185"/>
      <c r="BC30" s="185"/>
      <c r="BD30" s="185"/>
      <c r="BE30" s="185"/>
      <c r="BF30" s="196"/>
    </row>
    <row r="31" spans="2:58" ht="13" customHeight="1" x14ac:dyDescent="0.25">
      <c r="B31" s="187"/>
      <c r="C31" s="188"/>
      <c r="D31" s="188"/>
      <c r="E31" s="188"/>
      <c r="F31" s="188"/>
      <c r="G31" s="188"/>
      <c r="H31" s="188"/>
      <c r="I31" s="188"/>
      <c r="J31" s="188"/>
      <c r="K31" s="188"/>
      <c r="L31" s="174"/>
      <c r="M31" s="191"/>
      <c r="N31" s="188"/>
      <c r="O31" s="188"/>
      <c r="P31" s="188"/>
      <c r="Q31" s="188"/>
      <c r="R31" s="188"/>
      <c r="S31" s="188"/>
      <c r="T31" s="188"/>
      <c r="U31" s="188"/>
      <c r="V31" s="188"/>
      <c r="W31" s="174"/>
      <c r="X31" s="191"/>
      <c r="Y31" s="188"/>
      <c r="Z31" s="188"/>
      <c r="AA31" s="188"/>
      <c r="AB31" s="188"/>
      <c r="AC31" s="188"/>
      <c r="AD31" s="188"/>
      <c r="AE31" s="188"/>
      <c r="AF31" s="188"/>
      <c r="AG31" s="188"/>
      <c r="AH31" s="174"/>
      <c r="AI31" s="191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74"/>
      <c r="AU31" s="191"/>
      <c r="AV31" s="188"/>
      <c r="AW31" s="188"/>
      <c r="AX31" s="188"/>
      <c r="AY31" s="188"/>
      <c r="AZ31" s="188"/>
      <c r="BA31" s="188"/>
      <c r="BB31" s="188"/>
      <c r="BC31" s="188"/>
      <c r="BD31" s="188"/>
      <c r="BE31" s="188"/>
      <c r="BF31" s="197"/>
    </row>
    <row r="32" spans="2:58" ht="13" customHeight="1" x14ac:dyDescent="0.25">
      <c r="B32" s="201" t="s">
        <v>251</v>
      </c>
      <c r="C32" s="127"/>
      <c r="D32" s="127"/>
      <c r="E32" s="127"/>
      <c r="F32" s="127"/>
      <c r="G32" s="127"/>
      <c r="H32" s="127"/>
      <c r="I32" s="127"/>
      <c r="J32" s="127"/>
      <c r="K32" s="127"/>
      <c r="L32" s="128"/>
      <c r="M32" s="204" t="s">
        <v>252</v>
      </c>
      <c r="N32" s="127"/>
      <c r="O32" s="127"/>
      <c r="P32" s="127"/>
      <c r="Q32" s="127"/>
      <c r="R32" s="127"/>
      <c r="S32" s="127"/>
      <c r="T32" s="127"/>
      <c r="U32" s="127"/>
      <c r="V32" s="127"/>
      <c r="W32" s="128"/>
      <c r="X32" s="205" t="s">
        <v>253</v>
      </c>
      <c r="Y32" s="127"/>
      <c r="Z32" s="127"/>
      <c r="AA32" s="127"/>
      <c r="AB32" s="127"/>
      <c r="AC32" s="127"/>
      <c r="AD32" s="127"/>
      <c r="AE32" s="127"/>
      <c r="AF32" s="127"/>
      <c r="AG32" s="127"/>
      <c r="AH32" s="128"/>
      <c r="AI32" s="124" t="s">
        <v>254</v>
      </c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8"/>
      <c r="AU32" s="124" t="s">
        <v>255</v>
      </c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206"/>
    </row>
    <row r="33" spans="2:58" ht="13" customHeight="1" x14ac:dyDescent="0.25">
      <c r="B33" s="181"/>
      <c r="C33" s="182"/>
      <c r="D33" s="182"/>
      <c r="E33" s="182"/>
      <c r="F33" s="182"/>
      <c r="G33" s="182"/>
      <c r="H33" s="182"/>
      <c r="I33" s="182"/>
      <c r="J33" s="182"/>
      <c r="K33" s="182"/>
      <c r="L33" s="183"/>
      <c r="M33" s="189"/>
      <c r="N33" s="182"/>
      <c r="O33" s="182"/>
      <c r="P33" s="182"/>
      <c r="Q33" s="182"/>
      <c r="R33" s="182"/>
      <c r="S33" s="182"/>
      <c r="T33" s="182"/>
      <c r="U33" s="182"/>
      <c r="V33" s="182"/>
      <c r="W33" s="183"/>
      <c r="X33" s="192"/>
      <c r="Y33" s="182"/>
      <c r="Z33" s="182"/>
      <c r="AA33" s="182"/>
      <c r="AB33" s="182"/>
      <c r="AC33" s="182"/>
      <c r="AD33" s="182"/>
      <c r="AE33" s="182"/>
      <c r="AF33" s="182"/>
      <c r="AG33" s="182"/>
      <c r="AH33" s="183"/>
      <c r="AI33" s="198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3"/>
      <c r="AU33" s="198"/>
      <c r="AV33" s="182"/>
      <c r="AW33" s="182"/>
      <c r="AX33" s="182"/>
      <c r="AY33" s="182"/>
      <c r="AZ33" s="182"/>
      <c r="BA33" s="182"/>
      <c r="BB33" s="182"/>
      <c r="BC33" s="182"/>
      <c r="BD33" s="182"/>
      <c r="BE33" s="182"/>
      <c r="BF33" s="195"/>
    </row>
    <row r="34" spans="2:58" ht="13" customHeight="1" x14ac:dyDescent="0.25">
      <c r="B34" s="184"/>
      <c r="C34" s="185"/>
      <c r="D34" s="185"/>
      <c r="E34" s="185"/>
      <c r="F34" s="185"/>
      <c r="G34" s="185"/>
      <c r="H34" s="185"/>
      <c r="I34" s="185"/>
      <c r="J34" s="185"/>
      <c r="K34" s="185"/>
      <c r="L34" s="186"/>
      <c r="M34" s="190"/>
      <c r="N34" s="185"/>
      <c r="O34" s="185"/>
      <c r="P34" s="185"/>
      <c r="Q34" s="185"/>
      <c r="R34" s="185"/>
      <c r="S34" s="185"/>
      <c r="T34" s="185"/>
      <c r="U34" s="185"/>
      <c r="V34" s="185"/>
      <c r="W34" s="186"/>
      <c r="X34" s="190"/>
      <c r="Y34" s="185"/>
      <c r="Z34" s="185"/>
      <c r="AA34" s="185"/>
      <c r="AB34" s="185"/>
      <c r="AC34" s="185"/>
      <c r="AD34" s="185"/>
      <c r="AE34" s="185"/>
      <c r="AF34" s="185"/>
      <c r="AG34" s="185"/>
      <c r="AH34" s="186"/>
      <c r="AI34" s="190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6"/>
      <c r="AU34" s="190"/>
      <c r="AV34" s="185"/>
      <c r="AW34" s="185"/>
      <c r="AX34" s="185"/>
      <c r="AY34" s="185"/>
      <c r="AZ34" s="185"/>
      <c r="BA34" s="185"/>
      <c r="BB34" s="185"/>
      <c r="BC34" s="185"/>
      <c r="BD34" s="185"/>
      <c r="BE34" s="185"/>
      <c r="BF34" s="196"/>
    </row>
    <row r="35" spans="2:58" ht="13" customHeight="1" x14ac:dyDescent="0.25">
      <c r="B35" s="184"/>
      <c r="C35" s="185"/>
      <c r="D35" s="185"/>
      <c r="E35" s="185"/>
      <c r="F35" s="185"/>
      <c r="G35" s="185"/>
      <c r="H35" s="185"/>
      <c r="I35" s="185"/>
      <c r="J35" s="185"/>
      <c r="K35" s="185"/>
      <c r="L35" s="186"/>
      <c r="M35" s="190"/>
      <c r="N35" s="185"/>
      <c r="O35" s="185"/>
      <c r="P35" s="185"/>
      <c r="Q35" s="185"/>
      <c r="R35" s="185"/>
      <c r="S35" s="185"/>
      <c r="T35" s="185"/>
      <c r="U35" s="185"/>
      <c r="V35" s="185"/>
      <c r="W35" s="186"/>
      <c r="X35" s="190"/>
      <c r="Y35" s="185"/>
      <c r="Z35" s="185"/>
      <c r="AA35" s="185"/>
      <c r="AB35" s="185"/>
      <c r="AC35" s="185"/>
      <c r="AD35" s="185"/>
      <c r="AE35" s="185"/>
      <c r="AF35" s="185"/>
      <c r="AG35" s="185"/>
      <c r="AH35" s="186"/>
      <c r="AI35" s="190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6"/>
      <c r="AU35" s="190"/>
      <c r="AV35" s="185"/>
      <c r="AW35" s="185"/>
      <c r="AX35" s="185"/>
      <c r="AY35" s="185"/>
      <c r="AZ35" s="185"/>
      <c r="BA35" s="185"/>
      <c r="BB35" s="185"/>
      <c r="BC35" s="185"/>
      <c r="BD35" s="185"/>
      <c r="BE35" s="185"/>
      <c r="BF35" s="196"/>
    </row>
    <row r="36" spans="2:58" ht="13" customHeight="1" x14ac:dyDescent="0.25">
      <c r="B36" s="184"/>
      <c r="C36" s="185"/>
      <c r="D36" s="185"/>
      <c r="E36" s="185"/>
      <c r="F36" s="185"/>
      <c r="G36" s="185"/>
      <c r="H36" s="185"/>
      <c r="I36" s="185"/>
      <c r="J36" s="185"/>
      <c r="K36" s="185"/>
      <c r="L36" s="186"/>
      <c r="M36" s="190"/>
      <c r="N36" s="185"/>
      <c r="O36" s="185"/>
      <c r="P36" s="185"/>
      <c r="Q36" s="185"/>
      <c r="R36" s="185"/>
      <c r="S36" s="185"/>
      <c r="T36" s="185"/>
      <c r="U36" s="185"/>
      <c r="V36" s="185"/>
      <c r="W36" s="186"/>
      <c r="X36" s="190"/>
      <c r="Y36" s="185"/>
      <c r="Z36" s="185"/>
      <c r="AA36" s="185"/>
      <c r="AB36" s="185"/>
      <c r="AC36" s="185"/>
      <c r="AD36" s="185"/>
      <c r="AE36" s="185"/>
      <c r="AF36" s="185"/>
      <c r="AG36" s="185"/>
      <c r="AH36" s="186"/>
      <c r="AI36" s="190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6"/>
      <c r="AU36" s="190"/>
      <c r="AV36" s="185"/>
      <c r="AW36" s="185"/>
      <c r="AX36" s="185"/>
      <c r="AY36" s="185"/>
      <c r="AZ36" s="185"/>
      <c r="BA36" s="185"/>
      <c r="BB36" s="185"/>
      <c r="BC36" s="185"/>
      <c r="BD36" s="185"/>
      <c r="BE36" s="185"/>
      <c r="BF36" s="196"/>
    </row>
    <row r="37" spans="2:58" ht="13" customHeight="1" x14ac:dyDescent="0.25">
      <c r="B37" s="184"/>
      <c r="C37" s="185"/>
      <c r="D37" s="185"/>
      <c r="E37" s="185"/>
      <c r="F37" s="185"/>
      <c r="G37" s="185"/>
      <c r="H37" s="185"/>
      <c r="I37" s="185"/>
      <c r="J37" s="185"/>
      <c r="K37" s="185"/>
      <c r="L37" s="186"/>
      <c r="M37" s="190"/>
      <c r="N37" s="185"/>
      <c r="O37" s="185"/>
      <c r="P37" s="185"/>
      <c r="Q37" s="185"/>
      <c r="R37" s="185"/>
      <c r="S37" s="185"/>
      <c r="T37" s="185"/>
      <c r="U37" s="185"/>
      <c r="V37" s="185"/>
      <c r="W37" s="186"/>
      <c r="X37" s="190"/>
      <c r="Y37" s="185"/>
      <c r="Z37" s="185"/>
      <c r="AA37" s="185"/>
      <c r="AB37" s="185"/>
      <c r="AC37" s="185"/>
      <c r="AD37" s="185"/>
      <c r="AE37" s="185"/>
      <c r="AF37" s="185"/>
      <c r="AG37" s="185"/>
      <c r="AH37" s="186"/>
      <c r="AI37" s="190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6"/>
      <c r="AU37" s="190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96"/>
    </row>
    <row r="38" spans="2:58" ht="13" customHeight="1" x14ac:dyDescent="0.25">
      <c r="B38" s="187"/>
      <c r="C38" s="188"/>
      <c r="D38" s="188"/>
      <c r="E38" s="188"/>
      <c r="F38" s="188"/>
      <c r="G38" s="188"/>
      <c r="H38" s="188"/>
      <c r="I38" s="188"/>
      <c r="J38" s="188"/>
      <c r="K38" s="188"/>
      <c r="L38" s="174"/>
      <c r="M38" s="191"/>
      <c r="N38" s="188"/>
      <c r="O38" s="188"/>
      <c r="P38" s="188"/>
      <c r="Q38" s="188"/>
      <c r="R38" s="188"/>
      <c r="S38" s="188"/>
      <c r="T38" s="188"/>
      <c r="U38" s="188"/>
      <c r="V38" s="188"/>
      <c r="W38" s="174"/>
      <c r="X38" s="191"/>
      <c r="Y38" s="188"/>
      <c r="Z38" s="188"/>
      <c r="AA38" s="188"/>
      <c r="AB38" s="188"/>
      <c r="AC38" s="188"/>
      <c r="AD38" s="188"/>
      <c r="AE38" s="188"/>
      <c r="AF38" s="188"/>
      <c r="AG38" s="188"/>
      <c r="AH38" s="174"/>
      <c r="AI38" s="191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74"/>
      <c r="AU38" s="191"/>
      <c r="AV38" s="188"/>
      <c r="AW38" s="188"/>
      <c r="AX38" s="188"/>
      <c r="AY38" s="188"/>
      <c r="AZ38" s="188"/>
      <c r="BA38" s="188"/>
      <c r="BB38" s="188"/>
      <c r="BC38" s="188"/>
      <c r="BD38" s="188"/>
      <c r="BE38" s="188"/>
      <c r="BF38" s="197"/>
    </row>
    <row r="39" spans="2:58" ht="13" customHeight="1" x14ac:dyDescent="0.25">
      <c r="B39" s="201" t="s">
        <v>256</v>
      </c>
      <c r="C39" s="127"/>
      <c r="D39" s="127"/>
      <c r="E39" s="127"/>
      <c r="F39" s="127"/>
      <c r="G39" s="127"/>
      <c r="H39" s="127"/>
      <c r="I39" s="127"/>
      <c r="J39" s="127"/>
      <c r="K39" s="127"/>
      <c r="L39" s="128"/>
      <c r="M39" s="204" t="s">
        <v>257</v>
      </c>
      <c r="N39" s="127"/>
      <c r="O39" s="127"/>
      <c r="P39" s="127"/>
      <c r="Q39" s="127"/>
      <c r="R39" s="127"/>
      <c r="S39" s="127"/>
      <c r="T39" s="127"/>
      <c r="U39" s="127"/>
      <c r="V39" s="127"/>
      <c r="W39" s="128"/>
      <c r="X39" s="205" t="s">
        <v>258</v>
      </c>
      <c r="Y39" s="127"/>
      <c r="Z39" s="127"/>
      <c r="AA39" s="127"/>
      <c r="AB39" s="127"/>
      <c r="AC39" s="127"/>
      <c r="AD39" s="127"/>
      <c r="AE39" s="127"/>
      <c r="AF39" s="127"/>
      <c r="AG39" s="127"/>
      <c r="AH39" s="128"/>
      <c r="AI39" s="124" t="s">
        <v>259</v>
      </c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8"/>
      <c r="AU39" s="124" t="s">
        <v>260</v>
      </c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206"/>
    </row>
    <row r="40" spans="2:58" ht="13" customHeight="1" x14ac:dyDescent="0.25">
      <c r="B40" s="181"/>
      <c r="C40" s="182"/>
      <c r="D40" s="182"/>
      <c r="E40" s="182"/>
      <c r="F40" s="182"/>
      <c r="G40" s="182"/>
      <c r="H40" s="182"/>
      <c r="I40" s="182"/>
      <c r="J40" s="182"/>
      <c r="K40" s="182"/>
      <c r="L40" s="183"/>
      <c r="M40" s="189"/>
      <c r="N40" s="182"/>
      <c r="O40" s="182"/>
      <c r="P40" s="182"/>
      <c r="Q40" s="182"/>
      <c r="R40" s="182"/>
      <c r="S40" s="182"/>
      <c r="T40" s="182"/>
      <c r="U40" s="182"/>
      <c r="V40" s="182"/>
      <c r="W40" s="183"/>
      <c r="X40" s="192"/>
      <c r="Y40" s="182"/>
      <c r="Z40" s="182"/>
      <c r="AA40" s="182"/>
      <c r="AB40" s="182"/>
      <c r="AC40" s="182"/>
      <c r="AD40" s="182"/>
      <c r="AE40" s="182"/>
      <c r="AF40" s="182"/>
      <c r="AG40" s="182"/>
      <c r="AH40" s="183"/>
      <c r="AI40" s="198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3"/>
      <c r="AU40" s="198"/>
      <c r="AV40" s="182"/>
      <c r="AW40" s="182"/>
      <c r="AX40" s="182"/>
      <c r="AY40" s="182"/>
      <c r="AZ40" s="182"/>
      <c r="BA40" s="182"/>
      <c r="BB40" s="182"/>
      <c r="BC40" s="182"/>
      <c r="BD40" s="182"/>
      <c r="BE40" s="182"/>
      <c r="BF40" s="195"/>
    </row>
    <row r="41" spans="2:58" ht="13" customHeight="1" x14ac:dyDescent="0.25">
      <c r="B41" s="184"/>
      <c r="C41" s="185"/>
      <c r="D41" s="185"/>
      <c r="E41" s="185"/>
      <c r="F41" s="185"/>
      <c r="G41" s="185"/>
      <c r="H41" s="185"/>
      <c r="I41" s="185"/>
      <c r="J41" s="185"/>
      <c r="K41" s="185"/>
      <c r="L41" s="186"/>
      <c r="M41" s="190"/>
      <c r="N41" s="185"/>
      <c r="O41" s="185"/>
      <c r="P41" s="185"/>
      <c r="Q41" s="185"/>
      <c r="R41" s="185"/>
      <c r="S41" s="185"/>
      <c r="T41" s="185"/>
      <c r="U41" s="185"/>
      <c r="V41" s="185"/>
      <c r="W41" s="186"/>
      <c r="X41" s="190"/>
      <c r="Y41" s="185"/>
      <c r="Z41" s="185"/>
      <c r="AA41" s="185"/>
      <c r="AB41" s="185"/>
      <c r="AC41" s="185"/>
      <c r="AD41" s="185"/>
      <c r="AE41" s="185"/>
      <c r="AF41" s="185"/>
      <c r="AG41" s="185"/>
      <c r="AH41" s="186"/>
      <c r="AI41" s="190"/>
      <c r="AJ41" s="185"/>
      <c r="AK41" s="185"/>
      <c r="AL41" s="185"/>
      <c r="AM41" s="185"/>
      <c r="AN41" s="185"/>
      <c r="AO41" s="185"/>
      <c r="AP41" s="185"/>
      <c r="AQ41" s="185"/>
      <c r="AR41" s="185"/>
      <c r="AS41" s="185"/>
      <c r="AT41" s="186"/>
      <c r="AU41" s="190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96"/>
    </row>
    <row r="42" spans="2:58" ht="13" customHeight="1" x14ac:dyDescent="0.25">
      <c r="B42" s="184"/>
      <c r="C42" s="185"/>
      <c r="D42" s="185"/>
      <c r="E42" s="185"/>
      <c r="F42" s="185"/>
      <c r="G42" s="185"/>
      <c r="H42" s="185"/>
      <c r="I42" s="185"/>
      <c r="J42" s="185"/>
      <c r="K42" s="185"/>
      <c r="L42" s="186"/>
      <c r="M42" s="190"/>
      <c r="N42" s="185"/>
      <c r="O42" s="185"/>
      <c r="P42" s="185"/>
      <c r="Q42" s="185"/>
      <c r="R42" s="185"/>
      <c r="S42" s="185"/>
      <c r="T42" s="185"/>
      <c r="U42" s="185"/>
      <c r="V42" s="185"/>
      <c r="W42" s="186"/>
      <c r="X42" s="190"/>
      <c r="Y42" s="185"/>
      <c r="Z42" s="185"/>
      <c r="AA42" s="185"/>
      <c r="AB42" s="185"/>
      <c r="AC42" s="185"/>
      <c r="AD42" s="185"/>
      <c r="AE42" s="185"/>
      <c r="AF42" s="185"/>
      <c r="AG42" s="185"/>
      <c r="AH42" s="186"/>
      <c r="AI42" s="190"/>
      <c r="AJ42" s="185"/>
      <c r="AK42" s="185"/>
      <c r="AL42" s="185"/>
      <c r="AM42" s="185"/>
      <c r="AN42" s="185"/>
      <c r="AO42" s="185"/>
      <c r="AP42" s="185"/>
      <c r="AQ42" s="185"/>
      <c r="AR42" s="185"/>
      <c r="AS42" s="185"/>
      <c r="AT42" s="186"/>
      <c r="AU42" s="190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96"/>
    </row>
    <row r="43" spans="2:58" ht="13" customHeight="1" x14ac:dyDescent="0.25">
      <c r="B43" s="184"/>
      <c r="C43" s="185"/>
      <c r="D43" s="185"/>
      <c r="E43" s="185"/>
      <c r="F43" s="185"/>
      <c r="G43" s="185"/>
      <c r="H43" s="185"/>
      <c r="I43" s="185"/>
      <c r="J43" s="185"/>
      <c r="K43" s="185"/>
      <c r="L43" s="186"/>
      <c r="M43" s="190"/>
      <c r="N43" s="185"/>
      <c r="O43" s="185"/>
      <c r="P43" s="185"/>
      <c r="Q43" s="185"/>
      <c r="R43" s="185"/>
      <c r="S43" s="185"/>
      <c r="T43" s="185"/>
      <c r="U43" s="185"/>
      <c r="V43" s="185"/>
      <c r="W43" s="186"/>
      <c r="X43" s="190"/>
      <c r="Y43" s="185"/>
      <c r="Z43" s="185"/>
      <c r="AA43" s="185"/>
      <c r="AB43" s="185"/>
      <c r="AC43" s="185"/>
      <c r="AD43" s="185"/>
      <c r="AE43" s="185"/>
      <c r="AF43" s="185"/>
      <c r="AG43" s="185"/>
      <c r="AH43" s="186"/>
      <c r="AI43" s="190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6"/>
      <c r="AU43" s="190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96"/>
    </row>
    <row r="44" spans="2:58" ht="13" customHeight="1" x14ac:dyDescent="0.25">
      <c r="B44" s="184"/>
      <c r="C44" s="185"/>
      <c r="D44" s="185"/>
      <c r="E44" s="185"/>
      <c r="F44" s="185"/>
      <c r="G44" s="185"/>
      <c r="H44" s="185"/>
      <c r="I44" s="185"/>
      <c r="J44" s="185"/>
      <c r="K44" s="185"/>
      <c r="L44" s="186"/>
      <c r="M44" s="190"/>
      <c r="N44" s="185"/>
      <c r="O44" s="185"/>
      <c r="P44" s="185"/>
      <c r="Q44" s="185"/>
      <c r="R44" s="185"/>
      <c r="S44" s="185"/>
      <c r="T44" s="185"/>
      <c r="U44" s="185"/>
      <c r="V44" s="185"/>
      <c r="W44" s="186"/>
      <c r="X44" s="190"/>
      <c r="Y44" s="185"/>
      <c r="Z44" s="185"/>
      <c r="AA44" s="185"/>
      <c r="AB44" s="185"/>
      <c r="AC44" s="185"/>
      <c r="AD44" s="185"/>
      <c r="AE44" s="185"/>
      <c r="AF44" s="185"/>
      <c r="AG44" s="185"/>
      <c r="AH44" s="186"/>
      <c r="AI44" s="190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6"/>
      <c r="AU44" s="190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96"/>
    </row>
    <row r="45" spans="2:58" ht="13" customHeight="1" x14ac:dyDescent="0.25">
      <c r="B45" s="187"/>
      <c r="C45" s="188"/>
      <c r="D45" s="188"/>
      <c r="E45" s="188"/>
      <c r="F45" s="188"/>
      <c r="G45" s="188"/>
      <c r="H45" s="188"/>
      <c r="I45" s="188"/>
      <c r="J45" s="188"/>
      <c r="K45" s="188"/>
      <c r="L45" s="174"/>
      <c r="M45" s="191"/>
      <c r="N45" s="188"/>
      <c r="O45" s="188"/>
      <c r="P45" s="188"/>
      <c r="Q45" s="188"/>
      <c r="R45" s="188"/>
      <c r="S45" s="188"/>
      <c r="T45" s="188"/>
      <c r="U45" s="188"/>
      <c r="V45" s="188"/>
      <c r="W45" s="174"/>
      <c r="X45" s="191"/>
      <c r="Y45" s="188"/>
      <c r="Z45" s="188"/>
      <c r="AA45" s="188"/>
      <c r="AB45" s="188"/>
      <c r="AC45" s="188"/>
      <c r="AD45" s="188"/>
      <c r="AE45" s="188"/>
      <c r="AF45" s="188"/>
      <c r="AG45" s="188"/>
      <c r="AH45" s="174"/>
      <c r="AI45" s="191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74"/>
      <c r="AU45" s="191"/>
      <c r="AV45" s="188"/>
      <c r="AW45" s="188"/>
      <c r="AX45" s="188"/>
      <c r="AY45" s="188"/>
      <c r="AZ45" s="188"/>
      <c r="BA45" s="188"/>
      <c r="BB45" s="188"/>
      <c r="BC45" s="188"/>
      <c r="BD45" s="188"/>
      <c r="BE45" s="188"/>
      <c r="BF45" s="197"/>
    </row>
    <row r="46" spans="2:58" ht="13" customHeight="1" x14ac:dyDescent="0.25">
      <c r="B46" s="201" t="s">
        <v>261</v>
      </c>
      <c r="C46" s="127"/>
      <c r="D46" s="127"/>
      <c r="E46" s="127"/>
      <c r="F46" s="127"/>
      <c r="G46" s="127"/>
      <c r="H46" s="127"/>
      <c r="I46" s="127"/>
      <c r="J46" s="127"/>
      <c r="K46" s="127"/>
      <c r="L46" s="128"/>
      <c r="M46" s="139" t="s">
        <v>262</v>
      </c>
      <c r="N46" s="127"/>
      <c r="O46" s="127"/>
      <c r="P46" s="127"/>
      <c r="Q46" s="127"/>
      <c r="R46" s="127"/>
      <c r="S46" s="127"/>
      <c r="T46" s="127"/>
      <c r="U46" s="127"/>
      <c r="V46" s="127"/>
      <c r="W46" s="128"/>
      <c r="X46" s="205" t="s">
        <v>263</v>
      </c>
      <c r="Y46" s="127"/>
      <c r="Z46" s="127"/>
      <c r="AA46" s="127"/>
      <c r="AB46" s="127"/>
      <c r="AC46" s="127"/>
      <c r="AD46" s="127"/>
      <c r="AE46" s="127"/>
      <c r="AF46" s="127"/>
      <c r="AG46" s="127"/>
      <c r="AH46" s="128"/>
      <c r="AI46" s="124" t="s">
        <v>264</v>
      </c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8"/>
      <c r="AU46" s="124" t="s">
        <v>265</v>
      </c>
      <c r="AV46" s="127"/>
      <c r="AW46" s="127"/>
      <c r="AX46" s="127"/>
      <c r="AY46" s="127"/>
      <c r="AZ46" s="127"/>
      <c r="BA46" s="127"/>
      <c r="BB46" s="127"/>
      <c r="BC46" s="127"/>
      <c r="BD46" s="127"/>
      <c r="BE46" s="127"/>
      <c r="BF46" s="206"/>
    </row>
    <row r="47" spans="2:58" ht="13" customHeight="1" x14ac:dyDescent="0.25">
      <c r="B47" s="181"/>
      <c r="C47" s="182"/>
      <c r="D47" s="182"/>
      <c r="E47" s="182"/>
      <c r="F47" s="182"/>
      <c r="G47" s="182"/>
      <c r="H47" s="182"/>
      <c r="I47" s="182"/>
      <c r="J47" s="182"/>
      <c r="K47" s="182"/>
      <c r="L47" s="183"/>
      <c r="M47" s="189"/>
      <c r="N47" s="182"/>
      <c r="O47" s="182"/>
      <c r="P47" s="182"/>
      <c r="Q47" s="182"/>
      <c r="R47" s="182"/>
      <c r="S47" s="182"/>
      <c r="T47" s="182"/>
      <c r="U47" s="182"/>
      <c r="V47" s="182"/>
      <c r="W47" s="183"/>
      <c r="X47" s="192"/>
      <c r="Y47" s="182"/>
      <c r="Z47" s="182"/>
      <c r="AA47" s="182"/>
      <c r="AB47" s="182"/>
      <c r="AC47" s="182"/>
      <c r="AD47" s="182"/>
      <c r="AE47" s="182"/>
      <c r="AF47" s="182"/>
      <c r="AG47" s="182"/>
      <c r="AH47" s="183"/>
      <c r="AI47" s="198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3"/>
      <c r="AU47" s="198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95"/>
    </row>
    <row r="48" spans="2:58" ht="13" customHeight="1" x14ac:dyDescent="0.25">
      <c r="B48" s="184"/>
      <c r="C48" s="185"/>
      <c r="D48" s="185"/>
      <c r="E48" s="185"/>
      <c r="F48" s="185"/>
      <c r="G48" s="185"/>
      <c r="H48" s="185"/>
      <c r="I48" s="185"/>
      <c r="J48" s="185"/>
      <c r="K48" s="185"/>
      <c r="L48" s="186"/>
      <c r="M48" s="190"/>
      <c r="N48" s="185"/>
      <c r="O48" s="185"/>
      <c r="P48" s="185"/>
      <c r="Q48" s="185"/>
      <c r="R48" s="185"/>
      <c r="S48" s="185"/>
      <c r="T48" s="185"/>
      <c r="U48" s="185"/>
      <c r="V48" s="185"/>
      <c r="W48" s="186"/>
      <c r="X48" s="190"/>
      <c r="Y48" s="185"/>
      <c r="Z48" s="185"/>
      <c r="AA48" s="185"/>
      <c r="AB48" s="185"/>
      <c r="AC48" s="185"/>
      <c r="AD48" s="185"/>
      <c r="AE48" s="185"/>
      <c r="AF48" s="185"/>
      <c r="AG48" s="185"/>
      <c r="AH48" s="186"/>
      <c r="AI48" s="190"/>
      <c r="AJ48" s="185"/>
      <c r="AK48" s="185"/>
      <c r="AL48" s="185"/>
      <c r="AM48" s="185"/>
      <c r="AN48" s="185"/>
      <c r="AO48" s="185"/>
      <c r="AP48" s="185"/>
      <c r="AQ48" s="185"/>
      <c r="AR48" s="185"/>
      <c r="AS48" s="185"/>
      <c r="AT48" s="186"/>
      <c r="AU48" s="190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96"/>
    </row>
    <row r="49" spans="2:58" ht="13" customHeight="1" x14ac:dyDescent="0.25">
      <c r="B49" s="184"/>
      <c r="C49" s="185"/>
      <c r="D49" s="185"/>
      <c r="E49" s="185"/>
      <c r="F49" s="185"/>
      <c r="G49" s="185"/>
      <c r="H49" s="185"/>
      <c r="I49" s="185"/>
      <c r="J49" s="185"/>
      <c r="K49" s="185"/>
      <c r="L49" s="186"/>
      <c r="M49" s="190"/>
      <c r="N49" s="185"/>
      <c r="O49" s="185"/>
      <c r="P49" s="185"/>
      <c r="Q49" s="185"/>
      <c r="R49" s="185"/>
      <c r="S49" s="185"/>
      <c r="T49" s="185"/>
      <c r="U49" s="185"/>
      <c r="V49" s="185"/>
      <c r="W49" s="186"/>
      <c r="X49" s="190"/>
      <c r="Y49" s="185"/>
      <c r="Z49" s="185"/>
      <c r="AA49" s="185"/>
      <c r="AB49" s="185"/>
      <c r="AC49" s="185"/>
      <c r="AD49" s="185"/>
      <c r="AE49" s="185"/>
      <c r="AF49" s="185"/>
      <c r="AG49" s="185"/>
      <c r="AH49" s="186"/>
      <c r="AI49" s="190"/>
      <c r="AJ49" s="185"/>
      <c r="AK49" s="185"/>
      <c r="AL49" s="185"/>
      <c r="AM49" s="185"/>
      <c r="AN49" s="185"/>
      <c r="AO49" s="185"/>
      <c r="AP49" s="185"/>
      <c r="AQ49" s="185"/>
      <c r="AR49" s="185"/>
      <c r="AS49" s="185"/>
      <c r="AT49" s="186"/>
      <c r="AU49" s="190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96"/>
    </row>
    <row r="50" spans="2:58" ht="13" customHeight="1" x14ac:dyDescent="0.25">
      <c r="B50" s="184"/>
      <c r="C50" s="185"/>
      <c r="D50" s="185"/>
      <c r="E50" s="185"/>
      <c r="F50" s="185"/>
      <c r="G50" s="185"/>
      <c r="H50" s="185"/>
      <c r="I50" s="185"/>
      <c r="J50" s="185"/>
      <c r="K50" s="185"/>
      <c r="L50" s="186"/>
      <c r="M50" s="190"/>
      <c r="N50" s="185"/>
      <c r="O50" s="185"/>
      <c r="P50" s="185"/>
      <c r="Q50" s="185"/>
      <c r="R50" s="185"/>
      <c r="S50" s="185"/>
      <c r="T50" s="185"/>
      <c r="U50" s="185"/>
      <c r="V50" s="185"/>
      <c r="W50" s="186"/>
      <c r="X50" s="190"/>
      <c r="Y50" s="185"/>
      <c r="Z50" s="185"/>
      <c r="AA50" s="185"/>
      <c r="AB50" s="185"/>
      <c r="AC50" s="185"/>
      <c r="AD50" s="185"/>
      <c r="AE50" s="185"/>
      <c r="AF50" s="185"/>
      <c r="AG50" s="185"/>
      <c r="AH50" s="186"/>
      <c r="AI50" s="190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6"/>
      <c r="AU50" s="190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96"/>
    </row>
    <row r="51" spans="2:58" ht="13" customHeight="1" x14ac:dyDescent="0.25">
      <c r="B51" s="184"/>
      <c r="C51" s="185"/>
      <c r="D51" s="185"/>
      <c r="E51" s="185"/>
      <c r="F51" s="185"/>
      <c r="G51" s="185"/>
      <c r="H51" s="185"/>
      <c r="I51" s="185"/>
      <c r="J51" s="185"/>
      <c r="K51" s="185"/>
      <c r="L51" s="186"/>
      <c r="M51" s="190"/>
      <c r="N51" s="185"/>
      <c r="O51" s="185"/>
      <c r="P51" s="185"/>
      <c r="Q51" s="185"/>
      <c r="R51" s="185"/>
      <c r="S51" s="185"/>
      <c r="T51" s="185"/>
      <c r="U51" s="185"/>
      <c r="V51" s="185"/>
      <c r="W51" s="186"/>
      <c r="X51" s="190"/>
      <c r="Y51" s="185"/>
      <c r="Z51" s="185"/>
      <c r="AA51" s="185"/>
      <c r="AB51" s="185"/>
      <c r="AC51" s="185"/>
      <c r="AD51" s="185"/>
      <c r="AE51" s="185"/>
      <c r="AF51" s="185"/>
      <c r="AG51" s="185"/>
      <c r="AH51" s="186"/>
      <c r="AI51" s="190"/>
      <c r="AJ51" s="185"/>
      <c r="AK51" s="185"/>
      <c r="AL51" s="185"/>
      <c r="AM51" s="185"/>
      <c r="AN51" s="185"/>
      <c r="AO51" s="185"/>
      <c r="AP51" s="185"/>
      <c r="AQ51" s="185"/>
      <c r="AR51" s="185"/>
      <c r="AS51" s="185"/>
      <c r="AT51" s="186"/>
      <c r="AU51" s="190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96"/>
    </row>
    <row r="52" spans="2:58" ht="13" customHeight="1" x14ac:dyDescent="0.25">
      <c r="B52" s="187"/>
      <c r="C52" s="188"/>
      <c r="D52" s="188"/>
      <c r="E52" s="188"/>
      <c r="F52" s="188"/>
      <c r="G52" s="188"/>
      <c r="H52" s="188"/>
      <c r="I52" s="188"/>
      <c r="J52" s="188"/>
      <c r="K52" s="188"/>
      <c r="L52" s="174"/>
      <c r="M52" s="191"/>
      <c r="N52" s="188"/>
      <c r="O52" s="188"/>
      <c r="P52" s="188"/>
      <c r="Q52" s="188"/>
      <c r="R52" s="188"/>
      <c r="S52" s="188"/>
      <c r="T52" s="188"/>
      <c r="U52" s="188"/>
      <c r="V52" s="188"/>
      <c r="W52" s="174"/>
      <c r="X52" s="191"/>
      <c r="Y52" s="188"/>
      <c r="Z52" s="188"/>
      <c r="AA52" s="188"/>
      <c r="AB52" s="188"/>
      <c r="AC52" s="188"/>
      <c r="AD52" s="188"/>
      <c r="AE52" s="188"/>
      <c r="AF52" s="188"/>
      <c r="AG52" s="188"/>
      <c r="AH52" s="174"/>
      <c r="AI52" s="191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74"/>
      <c r="AU52" s="191"/>
      <c r="AV52" s="188"/>
      <c r="AW52" s="188"/>
      <c r="AX52" s="188"/>
      <c r="AY52" s="188"/>
      <c r="AZ52" s="188"/>
      <c r="BA52" s="188"/>
      <c r="BB52" s="188"/>
      <c r="BC52" s="188"/>
      <c r="BD52" s="188"/>
      <c r="BE52" s="188"/>
      <c r="BF52" s="197"/>
    </row>
    <row r="53" spans="2:58" ht="13" customHeight="1" x14ac:dyDescent="0.25">
      <c r="B53" s="201" t="s">
        <v>266</v>
      </c>
      <c r="C53" s="127"/>
      <c r="D53" s="127"/>
      <c r="E53" s="127"/>
      <c r="F53" s="127"/>
      <c r="G53" s="127"/>
      <c r="H53" s="127"/>
      <c r="I53" s="127"/>
      <c r="J53" s="127"/>
      <c r="K53" s="127"/>
      <c r="L53" s="128"/>
      <c r="M53" s="204" t="s">
        <v>267</v>
      </c>
      <c r="N53" s="127"/>
      <c r="O53" s="127"/>
      <c r="P53" s="127"/>
      <c r="Q53" s="127"/>
      <c r="R53" s="127"/>
      <c r="S53" s="127"/>
      <c r="T53" s="127"/>
      <c r="U53" s="127"/>
      <c r="V53" s="127"/>
      <c r="W53" s="128"/>
      <c r="X53" s="205" t="s">
        <v>268</v>
      </c>
      <c r="Y53" s="127"/>
      <c r="Z53" s="127"/>
      <c r="AA53" s="127"/>
      <c r="AB53" s="127"/>
      <c r="AC53" s="127"/>
      <c r="AD53" s="127"/>
      <c r="AE53" s="127"/>
      <c r="AF53" s="127"/>
      <c r="AG53" s="127"/>
      <c r="AH53" s="128"/>
      <c r="AI53" s="124" t="s">
        <v>269</v>
      </c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8"/>
      <c r="AU53" s="124" t="s">
        <v>270</v>
      </c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206"/>
    </row>
    <row r="54" spans="2:58" ht="13" customHeight="1" x14ac:dyDescent="0.25">
      <c r="B54" s="181"/>
      <c r="C54" s="182"/>
      <c r="D54" s="182"/>
      <c r="E54" s="182"/>
      <c r="F54" s="182"/>
      <c r="G54" s="182"/>
      <c r="H54" s="182"/>
      <c r="I54" s="182"/>
      <c r="J54" s="182"/>
      <c r="K54" s="182"/>
      <c r="L54" s="183"/>
      <c r="M54" s="203"/>
      <c r="N54" s="182"/>
      <c r="O54" s="182"/>
      <c r="P54" s="182"/>
      <c r="Q54" s="182"/>
      <c r="R54" s="182"/>
      <c r="S54" s="182"/>
      <c r="T54" s="182"/>
      <c r="U54" s="182"/>
      <c r="V54" s="182"/>
      <c r="W54" s="183"/>
      <c r="X54" s="192"/>
      <c r="Y54" s="182"/>
      <c r="Z54" s="182"/>
      <c r="AA54" s="182"/>
      <c r="AB54" s="182"/>
      <c r="AC54" s="182"/>
      <c r="AD54" s="182"/>
      <c r="AE54" s="182"/>
      <c r="AF54" s="182"/>
      <c r="AG54" s="182"/>
      <c r="AH54" s="183"/>
      <c r="AI54" s="198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3"/>
      <c r="AU54" s="198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95"/>
    </row>
    <row r="55" spans="2:58" ht="13" customHeight="1" x14ac:dyDescent="0.25">
      <c r="B55" s="184"/>
      <c r="C55" s="185"/>
      <c r="D55" s="185"/>
      <c r="E55" s="185"/>
      <c r="F55" s="185"/>
      <c r="G55" s="185"/>
      <c r="H55" s="185"/>
      <c r="I55" s="185"/>
      <c r="J55" s="185"/>
      <c r="K55" s="185"/>
      <c r="L55" s="186"/>
      <c r="M55" s="190"/>
      <c r="N55" s="185"/>
      <c r="O55" s="185"/>
      <c r="P55" s="185"/>
      <c r="Q55" s="185"/>
      <c r="R55" s="185"/>
      <c r="S55" s="185"/>
      <c r="T55" s="185"/>
      <c r="U55" s="185"/>
      <c r="V55" s="185"/>
      <c r="W55" s="186"/>
      <c r="X55" s="190"/>
      <c r="Y55" s="185"/>
      <c r="Z55" s="185"/>
      <c r="AA55" s="185"/>
      <c r="AB55" s="185"/>
      <c r="AC55" s="185"/>
      <c r="AD55" s="185"/>
      <c r="AE55" s="185"/>
      <c r="AF55" s="185"/>
      <c r="AG55" s="185"/>
      <c r="AH55" s="186"/>
      <c r="AI55" s="190"/>
      <c r="AJ55" s="185"/>
      <c r="AK55" s="185"/>
      <c r="AL55" s="185"/>
      <c r="AM55" s="185"/>
      <c r="AN55" s="185"/>
      <c r="AO55" s="185"/>
      <c r="AP55" s="185"/>
      <c r="AQ55" s="185"/>
      <c r="AR55" s="185"/>
      <c r="AS55" s="185"/>
      <c r="AT55" s="186"/>
      <c r="AU55" s="190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96"/>
    </row>
    <row r="56" spans="2:58" ht="13" customHeight="1" x14ac:dyDescent="0.25">
      <c r="B56" s="184"/>
      <c r="C56" s="185"/>
      <c r="D56" s="185"/>
      <c r="E56" s="185"/>
      <c r="F56" s="185"/>
      <c r="G56" s="185"/>
      <c r="H56" s="185"/>
      <c r="I56" s="185"/>
      <c r="J56" s="185"/>
      <c r="K56" s="185"/>
      <c r="L56" s="186"/>
      <c r="M56" s="190"/>
      <c r="N56" s="185"/>
      <c r="O56" s="185"/>
      <c r="P56" s="185"/>
      <c r="Q56" s="185"/>
      <c r="R56" s="185"/>
      <c r="S56" s="185"/>
      <c r="T56" s="185"/>
      <c r="U56" s="185"/>
      <c r="V56" s="185"/>
      <c r="W56" s="186"/>
      <c r="X56" s="190"/>
      <c r="Y56" s="185"/>
      <c r="Z56" s="185"/>
      <c r="AA56" s="185"/>
      <c r="AB56" s="185"/>
      <c r="AC56" s="185"/>
      <c r="AD56" s="185"/>
      <c r="AE56" s="185"/>
      <c r="AF56" s="185"/>
      <c r="AG56" s="185"/>
      <c r="AH56" s="186"/>
      <c r="AI56" s="190"/>
      <c r="AJ56" s="185"/>
      <c r="AK56" s="185"/>
      <c r="AL56" s="185"/>
      <c r="AM56" s="185"/>
      <c r="AN56" s="185"/>
      <c r="AO56" s="185"/>
      <c r="AP56" s="185"/>
      <c r="AQ56" s="185"/>
      <c r="AR56" s="185"/>
      <c r="AS56" s="185"/>
      <c r="AT56" s="186"/>
      <c r="AU56" s="190"/>
      <c r="AV56" s="185"/>
      <c r="AW56" s="185"/>
      <c r="AX56" s="185"/>
      <c r="AY56" s="185"/>
      <c r="AZ56" s="185"/>
      <c r="BA56" s="185"/>
      <c r="BB56" s="185"/>
      <c r="BC56" s="185"/>
      <c r="BD56" s="185"/>
      <c r="BE56" s="185"/>
      <c r="BF56" s="196"/>
    </row>
    <row r="57" spans="2:58" ht="13" customHeight="1" x14ac:dyDescent="0.25">
      <c r="B57" s="184"/>
      <c r="C57" s="185"/>
      <c r="D57" s="185"/>
      <c r="E57" s="185"/>
      <c r="F57" s="185"/>
      <c r="G57" s="185"/>
      <c r="H57" s="185"/>
      <c r="I57" s="185"/>
      <c r="J57" s="185"/>
      <c r="K57" s="185"/>
      <c r="L57" s="186"/>
      <c r="M57" s="190"/>
      <c r="N57" s="185"/>
      <c r="O57" s="185"/>
      <c r="P57" s="185"/>
      <c r="Q57" s="185"/>
      <c r="R57" s="185"/>
      <c r="S57" s="185"/>
      <c r="T57" s="185"/>
      <c r="U57" s="185"/>
      <c r="V57" s="185"/>
      <c r="W57" s="186"/>
      <c r="X57" s="190"/>
      <c r="Y57" s="185"/>
      <c r="Z57" s="185"/>
      <c r="AA57" s="185"/>
      <c r="AB57" s="185"/>
      <c r="AC57" s="185"/>
      <c r="AD57" s="185"/>
      <c r="AE57" s="185"/>
      <c r="AF57" s="185"/>
      <c r="AG57" s="185"/>
      <c r="AH57" s="186"/>
      <c r="AI57" s="190"/>
      <c r="AJ57" s="185"/>
      <c r="AK57" s="185"/>
      <c r="AL57" s="185"/>
      <c r="AM57" s="185"/>
      <c r="AN57" s="185"/>
      <c r="AO57" s="185"/>
      <c r="AP57" s="185"/>
      <c r="AQ57" s="185"/>
      <c r="AR57" s="185"/>
      <c r="AS57" s="185"/>
      <c r="AT57" s="186"/>
      <c r="AU57" s="190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96"/>
    </row>
    <row r="58" spans="2:58" ht="13" customHeight="1" x14ac:dyDescent="0.25">
      <c r="B58" s="184"/>
      <c r="C58" s="185"/>
      <c r="D58" s="185"/>
      <c r="E58" s="185"/>
      <c r="F58" s="185"/>
      <c r="G58" s="185"/>
      <c r="H58" s="185"/>
      <c r="I58" s="185"/>
      <c r="J58" s="185"/>
      <c r="K58" s="185"/>
      <c r="L58" s="186"/>
      <c r="M58" s="190"/>
      <c r="N58" s="185"/>
      <c r="O58" s="185"/>
      <c r="P58" s="185"/>
      <c r="Q58" s="185"/>
      <c r="R58" s="185"/>
      <c r="S58" s="185"/>
      <c r="T58" s="185"/>
      <c r="U58" s="185"/>
      <c r="V58" s="185"/>
      <c r="W58" s="186"/>
      <c r="X58" s="190"/>
      <c r="Y58" s="185"/>
      <c r="Z58" s="185"/>
      <c r="AA58" s="185"/>
      <c r="AB58" s="185"/>
      <c r="AC58" s="185"/>
      <c r="AD58" s="185"/>
      <c r="AE58" s="185"/>
      <c r="AF58" s="185"/>
      <c r="AG58" s="185"/>
      <c r="AH58" s="186"/>
      <c r="AI58" s="190"/>
      <c r="AJ58" s="185"/>
      <c r="AK58" s="185"/>
      <c r="AL58" s="185"/>
      <c r="AM58" s="185"/>
      <c r="AN58" s="185"/>
      <c r="AO58" s="185"/>
      <c r="AP58" s="185"/>
      <c r="AQ58" s="185"/>
      <c r="AR58" s="185"/>
      <c r="AS58" s="185"/>
      <c r="AT58" s="186"/>
      <c r="AU58" s="190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96"/>
    </row>
    <row r="59" spans="2:58" ht="13" customHeight="1" x14ac:dyDescent="0.25">
      <c r="B59" s="207"/>
      <c r="C59" s="208"/>
      <c r="D59" s="208"/>
      <c r="E59" s="208"/>
      <c r="F59" s="208"/>
      <c r="G59" s="208"/>
      <c r="H59" s="208"/>
      <c r="I59" s="208"/>
      <c r="J59" s="208"/>
      <c r="K59" s="208"/>
      <c r="L59" s="209"/>
      <c r="M59" s="210"/>
      <c r="N59" s="208"/>
      <c r="O59" s="208"/>
      <c r="P59" s="208"/>
      <c r="Q59" s="208"/>
      <c r="R59" s="208"/>
      <c r="S59" s="208"/>
      <c r="T59" s="208"/>
      <c r="U59" s="208"/>
      <c r="V59" s="208"/>
      <c r="W59" s="209"/>
      <c r="X59" s="210"/>
      <c r="Y59" s="208"/>
      <c r="Z59" s="208"/>
      <c r="AA59" s="208"/>
      <c r="AB59" s="208"/>
      <c r="AC59" s="208"/>
      <c r="AD59" s="208"/>
      <c r="AE59" s="208"/>
      <c r="AF59" s="208"/>
      <c r="AG59" s="208"/>
      <c r="AH59" s="209"/>
      <c r="AI59" s="210"/>
      <c r="AJ59" s="208"/>
      <c r="AK59" s="208"/>
      <c r="AL59" s="208"/>
      <c r="AM59" s="208"/>
      <c r="AN59" s="208"/>
      <c r="AO59" s="208"/>
      <c r="AP59" s="208"/>
      <c r="AQ59" s="208"/>
      <c r="AR59" s="208"/>
      <c r="AS59" s="208"/>
      <c r="AT59" s="209"/>
      <c r="AU59" s="210"/>
      <c r="AV59" s="208"/>
      <c r="AW59" s="208"/>
      <c r="AX59" s="208"/>
      <c r="AY59" s="208"/>
      <c r="AZ59" s="208"/>
      <c r="BA59" s="208"/>
      <c r="BB59" s="208"/>
      <c r="BC59" s="208"/>
      <c r="BD59" s="208"/>
      <c r="BE59" s="208"/>
      <c r="BF59" s="211"/>
    </row>
    <row r="60" spans="2:58" ht="13" customHeight="1" x14ac:dyDescent="0.25">
      <c r="B60" s="173" t="s">
        <v>372</v>
      </c>
      <c r="C60" s="174"/>
      <c r="D60" s="9" t="s">
        <v>274</v>
      </c>
      <c r="E60" s="154" t="s">
        <v>20</v>
      </c>
      <c r="F60" s="157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  <c r="BC60" s="159"/>
      <c r="BD60" s="159"/>
      <c r="BE60" s="159"/>
      <c r="BF60" s="160"/>
    </row>
    <row r="61" spans="2:58" ht="13" customHeight="1" x14ac:dyDescent="0.25">
      <c r="B61" s="153" t="s">
        <v>275</v>
      </c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  <c r="BE61" s="124"/>
      <c r="BF61" s="161"/>
    </row>
    <row r="62" spans="2:58" ht="13" customHeight="1" thickBot="1" x14ac:dyDescent="0.3">
      <c r="B62" s="164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62"/>
      <c r="AP62" s="162"/>
      <c r="AQ62" s="162"/>
      <c r="AR62" s="162"/>
      <c r="AS62" s="162"/>
      <c r="AT62" s="162"/>
      <c r="AU62" s="162"/>
      <c r="AV62" s="162"/>
      <c r="AW62" s="162"/>
      <c r="AX62" s="162"/>
      <c r="AY62" s="162"/>
      <c r="AZ62" s="162"/>
      <c r="BA62" s="162"/>
      <c r="BB62" s="162"/>
      <c r="BC62" s="162"/>
      <c r="BD62" s="162"/>
      <c r="BE62" s="162"/>
      <c r="BF62" s="163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40:L45"/>
    <mergeCell ref="M40:W45"/>
    <mergeCell ref="X40:AH45"/>
    <mergeCell ref="AI40:AT45"/>
    <mergeCell ref="AU40:BF45"/>
    <mergeCell ref="B46:L46"/>
    <mergeCell ref="M46:W46"/>
    <mergeCell ref="X46:AH46"/>
    <mergeCell ref="AI46:AT46"/>
    <mergeCell ref="AU46:BF46"/>
    <mergeCell ref="B33:L38"/>
    <mergeCell ref="M33:W38"/>
    <mergeCell ref="X33:AH38"/>
    <mergeCell ref="AI33:AT38"/>
    <mergeCell ref="AU33:BF38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32:L32"/>
    <mergeCell ref="M32:W32"/>
    <mergeCell ref="X32:AH32"/>
    <mergeCell ref="AI32:AT32"/>
    <mergeCell ref="AU32:BF32"/>
    <mergeCell ref="B19:L24"/>
    <mergeCell ref="M19:W24"/>
    <mergeCell ref="X19:AH24"/>
    <mergeCell ref="AI19:AT24"/>
    <mergeCell ref="AU19:BF24"/>
    <mergeCell ref="B25:L25"/>
    <mergeCell ref="M25:W25"/>
    <mergeCell ref="X25:AH25"/>
    <mergeCell ref="AI25:AT25"/>
    <mergeCell ref="AU25:BF25"/>
    <mergeCell ref="B11:L17"/>
    <mergeCell ref="M11:W17"/>
    <mergeCell ref="X11:AH17"/>
    <mergeCell ref="AI11:AT17"/>
    <mergeCell ref="AU11:BF17"/>
    <mergeCell ref="B18:L18"/>
    <mergeCell ref="M18:W18"/>
    <mergeCell ref="X18:AH18"/>
    <mergeCell ref="AI18:AT18"/>
    <mergeCell ref="AU18:BF18"/>
    <mergeCell ref="B3:L9"/>
    <mergeCell ref="M3:W9"/>
    <mergeCell ref="X3:AH9"/>
    <mergeCell ref="AI3:AT9"/>
    <mergeCell ref="AU3:BF9"/>
    <mergeCell ref="B10:L10"/>
    <mergeCell ref="M10:W10"/>
    <mergeCell ref="X10:AH10"/>
    <mergeCell ref="AI10:AT10"/>
    <mergeCell ref="AU10:BF10"/>
    <mergeCell ref="B1:BF1"/>
    <mergeCell ref="B2:L2"/>
    <mergeCell ref="M2:W2"/>
    <mergeCell ref="X2:AH2"/>
    <mergeCell ref="AI2:AT2"/>
    <mergeCell ref="AU2:BF2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2:T11"/>
  <sheetViews>
    <sheetView tabSelected="1" zoomScaleNormal="100" workbookViewId="0">
      <selection activeCell="V21" sqref="V21"/>
    </sheetView>
  </sheetViews>
  <sheetFormatPr defaultColWidth="9.81640625" defaultRowHeight="13" x14ac:dyDescent="0.25"/>
  <cols>
    <col min="1" max="1" width="1.7265625" style="105" customWidth="1"/>
    <col min="2" max="7" width="13.7265625" style="105" customWidth="1"/>
    <col min="8" max="10" width="13.90625" style="105" customWidth="1"/>
    <col min="11" max="11" width="12.7265625" style="105" bestFit="1" customWidth="1"/>
    <col min="12" max="12" width="11.36328125" style="105" bestFit="1" customWidth="1"/>
    <col min="13" max="15" width="9.90625" style="105" bestFit="1" customWidth="1"/>
    <col min="16" max="16" width="12.36328125" style="105" bestFit="1" customWidth="1"/>
    <col min="17" max="17" width="9.90625" style="105" bestFit="1" customWidth="1"/>
    <col min="18" max="18" width="9.81640625" style="105"/>
  </cols>
  <sheetData>
    <row r="2" spans="2:19" x14ac:dyDescent="0.25">
      <c r="B2" s="217" t="s">
        <v>350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91"/>
      <c r="S2" s="91"/>
    </row>
    <row r="3" spans="2:19" x14ac:dyDescent="0.25">
      <c r="B3" s="218" t="s">
        <v>372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91"/>
      <c r="S3" s="91"/>
    </row>
    <row r="4" spans="2:19" x14ac:dyDescent="0.25">
      <c r="B4" s="218" t="s">
        <v>351</v>
      </c>
      <c r="C4" s="91" t="s">
        <v>292</v>
      </c>
      <c r="D4" s="106" t="s">
        <v>352</v>
      </c>
      <c r="E4" s="106" t="s">
        <v>287</v>
      </c>
      <c r="F4" s="106" t="s">
        <v>288</v>
      </c>
      <c r="G4" s="91" t="s">
        <v>353</v>
      </c>
      <c r="H4" s="91" t="s">
        <v>354</v>
      </c>
      <c r="I4" s="91" t="s">
        <v>355</v>
      </c>
      <c r="J4" s="91" t="s">
        <v>356</v>
      </c>
      <c r="K4" s="106" t="s">
        <v>357</v>
      </c>
      <c r="L4" s="106" t="s">
        <v>358</v>
      </c>
      <c r="M4" s="91" t="s">
        <v>359</v>
      </c>
      <c r="N4" s="91" t="s">
        <v>360</v>
      </c>
      <c r="O4" s="91" t="s">
        <v>361</v>
      </c>
      <c r="P4" s="91" t="s">
        <v>362</v>
      </c>
      <c r="Q4" s="91" t="s">
        <v>363</v>
      </c>
      <c r="R4" s="91" t="s">
        <v>371</v>
      </c>
      <c r="S4" s="91" t="s">
        <v>370</v>
      </c>
    </row>
    <row r="5" spans="2:19" x14ac:dyDescent="0.25">
      <c r="B5" s="218"/>
      <c r="C5" s="91" t="s">
        <v>293</v>
      </c>
      <c r="D5" s="107" t="s">
        <v>364</v>
      </c>
      <c r="E5" s="91" t="s">
        <v>365</v>
      </c>
      <c r="F5" s="91" t="s">
        <v>366</v>
      </c>
      <c r="G5" s="91" t="s">
        <v>366</v>
      </c>
      <c r="H5" s="91" t="s">
        <v>366</v>
      </c>
      <c r="I5" s="91" t="s">
        <v>366</v>
      </c>
      <c r="J5" s="91" t="s">
        <v>366</v>
      </c>
      <c r="K5" s="91" t="s">
        <v>284</v>
      </c>
      <c r="L5" s="91" t="s">
        <v>282</v>
      </c>
      <c r="M5" s="91" t="s">
        <v>283</v>
      </c>
      <c r="N5" s="91" t="s">
        <v>283</v>
      </c>
      <c r="O5" s="91" t="s">
        <v>283</v>
      </c>
      <c r="P5" s="91" t="s">
        <v>281</v>
      </c>
      <c r="Q5" s="91" t="s">
        <v>281</v>
      </c>
      <c r="R5" s="91" t="s">
        <v>281</v>
      </c>
      <c r="S5" s="91" t="s">
        <v>281</v>
      </c>
    </row>
    <row r="6" spans="2:19" x14ac:dyDescent="0.25">
      <c r="B6" s="219" t="s">
        <v>372</v>
      </c>
      <c r="C6" s="219" t="s">
        <v>367</v>
      </c>
      <c r="D6" s="108"/>
      <c r="E6" s="108"/>
      <c r="F6" s="108"/>
      <c r="G6" s="221">
        <f>F6+F7+F8</f>
        <v>0</v>
      </c>
      <c r="H6" s="109">
        <f>F6*D6/100</f>
        <v>0</v>
      </c>
      <c r="I6" s="224">
        <f>H6+H7+H8</f>
        <v>0</v>
      </c>
      <c r="J6" s="224">
        <f t="shared" ref="J6" si="0">I6</f>
        <v>0</v>
      </c>
      <c r="K6" s="224">
        <v>3.599734306335449</v>
      </c>
      <c r="L6" s="224">
        <v>416.61224365234375</v>
      </c>
      <c r="M6" s="224">
        <f>K6*L6/1000</f>
        <v>0</v>
      </c>
      <c r="N6" s="224">
        <f>M6+'[1]2025.12月 '!N190</f>
        <v>0</v>
      </c>
      <c r="O6" s="224" t="e">
        <f>I6/M6*1.2/10</f>
        <v>#DIV/0!</v>
      </c>
      <c r="P6" s="110" t="s">
        <v>368</v>
      </c>
      <c r="Q6" s="224" t="e">
        <f>(I6+I9)/(K6+K9)/L6*1.2*100</f>
        <v>#DIV/0!</v>
      </c>
      <c r="R6" s="224">
        <v>0</v>
      </c>
      <c r="S6" s="224">
        <v>0</v>
      </c>
    </row>
    <row r="7" spans="2:19" x14ac:dyDescent="0.25">
      <c r="B7" s="220"/>
      <c r="C7" s="220"/>
      <c r="D7" s="108"/>
      <c r="E7" s="108"/>
      <c r="F7" s="108"/>
      <c r="G7" s="222"/>
      <c r="H7" s="109">
        <f t="shared" ref="H7:H11" si="1">F7*D7/100</f>
        <v>0</v>
      </c>
      <c r="I7" s="225"/>
      <c r="J7" s="225"/>
      <c r="K7" s="225"/>
      <c r="L7" s="225"/>
      <c r="M7" s="225"/>
      <c r="N7" s="225"/>
      <c r="O7" s="225"/>
      <c r="P7" s="110" t="s">
        <v>368</v>
      </c>
      <c r="Q7" s="225"/>
      <c r="R7" s="225"/>
      <c r="S7" s="225"/>
    </row>
    <row r="8" spans="2:19" x14ac:dyDescent="0.25">
      <c r="B8" s="220"/>
      <c r="C8" s="220"/>
      <c r="D8" s="108"/>
      <c r="E8" s="108"/>
      <c r="F8" s="108"/>
      <c r="G8" s="223"/>
      <c r="H8" s="109">
        <f t="shared" si="1"/>
        <v>0</v>
      </c>
      <c r="I8" s="226"/>
      <c r="J8" s="226"/>
      <c r="K8" s="226"/>
      <c r="L8" s="226"/>
      <c r="M8" s="226"/>
      <c r="N8" s="226"/>
      <c r="O8" s="226"/>
      <c r="P8" s="110" t="s">
        <v>369</v>
      </c>
      <c r="Q8" s="225"/>
      <c r="R8" s="225"/>
      <c r="S8" s="225"/>
    </row>
    <row r="9" spans="2:19" x14ac:dyDescent="0.25">
      <c r="B9" s="220"/>
      <c r="C9" s="220"/>
      <c r="D9" s="108"/>
      <c r="E9" s="108"/>
      <c r="F9" s="108"/>
      <c r="G9" s="221">
        <f>F9+F10+F11</f>
        <v>0</v>
      </c>
      <c r="H9" s="109">
        <f>F9*D9/100</f>
        <v>0</v>
      </c>
      <c r="I9" s="224">
        <f>H9+H10+H11</f>
        <v>0</v>
      </c>
      <c r="J9" s="224">
        <f>J6+I9</f>
        <v>0</v>
      </c>
      <c r="K9" s="224">
        <v>3.300234317779541</v>
      </c>
      <c r="L9" s="224">
        <v>416.3511962890625</v>
      </c>
      <c r="M9" s="224">
        <f>K9*L9/1000</f>
        <v>0</v>
      </c>
      <c r="N9" s="224">
        <f>M9+N6</f>
        <v>0</v>
      </c>
      <c r="O9" s="224" t="e">
        <f>I9/M9*1.2/10</f>
        <v>#DIV/0!</v>
      </c>
      <c r="P9" s="110" t="s">
        <v>368</v>
      </c>
      <c r="Q9" s="225"/>
      <c r="R9" s="225"/>
      <c r="S9" s="225"/>
    </row>
    <row r="10" spans="2:19" x14ac:dyDescent="0.25">
      <c r="B10" s="220"/>
      <c r="C10" s="220"/>
      <c r="D10" s="108"/>
      <c r="E10" s="108"/>
      <c r="F10" s="108"/>
      <c r="G10" s="222"/>
      <c r="H10" s="109">
        <f t="shared" si="1"/>
        <v>0</v>
      </c>
      <c r="I10" s="225"/>
      <c r="J10" s="225"/>
      <c r="K10" s="225"/>
      <c r="L10" s="225"/>
      <c r="M10" s="225"/>
      <c r="N10" s="225"/>
      <c r="O10" s="225"/>
      <c r="P10" s="110" t="s">
        <v>368</v>
      </c>
      <c r="Q10" s="225"/>
      <c r="R10" s="225"/>
      <c r="S10" s="225"/>
    </row>
    <row r="11" spans="2:19" x14ac:dyDescent="0.25">
      <c r="B11" s="220"/>
      <c r="C11" s="220"/>
      <c r="D11" s="108"/>
      <c r="E11" s="108"/>
      <c r="F11" s="108"/>
      <c r="G11" s="223"/>
      <c r="H11" s="109">
        <f t="shared" si="1"/>
        <v>0</v>
      </c>
      <c r="I11" s="226"/>
      <c r="J11" s="226"/>
      <c r="K11" s="226"/>
      <c r="L11" s="226"/>
      <c r="M11" s="226"/>
      <c r="N11" s="226"/>
      <c r="O11" s="226"/>
      <c r="P11" s="110" t="s">
        <v>369</v>
      </c>
      <c r="Q11" s="226"/>
      <c r="R11" s="226"/>
      <c r="S11" s="226"/>
    </row>
  </sheetData>
  <mergeCells count="24">
    <mergeCell ref="S6:S11"/>
    <mergeCell ref="R6:R11"/>
    <mergeCell ref="N9:N11"/>
    <mergeCell ref="O9:O11"/>
    <mergeCell ref="K6:K8"/>
    <mergeCell ref="L6:L8"/>
    <mergeCell ref="M6:M8"/>
    <mergeCell ref="N6:N8"/>
    <mergeCell ref="B2:Q2"/>
    <mergeCell ref="B3:Q3"/>
    <mergeCell ref="B4:B5"/>
    <mergeCell ref="B6:B11"/>
    <mergeCell ref="C6:C11"/>
    <mergeCell ref="G6:G8"/>
    <mergeCell ref="I6:I8"/>
    <mergeCell ref="J6:J8"/>
    <mergeCell ref="O6:O8"/>
    <mergeCell ref="Q6:Q11"/>
    <mergeCell ref="G9:G11"/>
    <mergeCell ref="I9:I11"/>
    <mergeCell ref="J9:J11"/>
    <mergeCell ref="K9:K11"/>
    <mergeCell ref="L9:L11"/>
    <mergeCell ref="M9:M11"/>
  </mergeCells>
  <phoneticPr fontId="1" type="noConversion"/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zoomScaleNormal="100" workbookViewId="0">
      <selection activeCell="O16" sqref="O16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244" t="s">
        <v>349</v>
      </c>
      <c r="C2" s="245"/>
      <c r="D2" s="245"/>
      <c r="E2" s="245"/>
      <c r="F2" s="245"/>
      <c r="G2" s="245"/>
      <c r="H2" s="245"/>
      <c r="I2" s="245"/>
      <c r="J2" s="246"/>
    </row>
    <row r="3" spans="2:10" ht="20.15" customHeight="1" x14ac:dyDescent="0.25">
      <c r="B3" s="85"/>
      <c r="C3" s="86"/>
      <c r="D3" s="86"/>
      <c r="E3" s="86"/>
      <c r="F3" s="86"/>
      <c r="G3" s="87"/>
      <c r="H3" s="247"/>
      <c r="I3" s="247"/>
      <c r="J3" s="248"/>
    </row>
    <row r="4" spans="2:10" ht="21" x14ac:dyDescent="0.25">
      <c r="B4" s="249" t="s">
        <v>292</v>
      </c>
      <c r="C4" s="250"/>
      <c r="D4" s="251"/>
      <c r="E4" s="88" t="s">
        <v>293</v>
      </c>
      <c r="F4" s="88" t="s">
        <v>294</v>
      </c>
      <c r="G4" s="88" t="s">
        <v>295</v>
      </c>
      <c r="H4" s="252" t="s">
        <v>296</v>
      </c>
      <c r="I4" s="251"/>
      <c r="J4" s="89" t="s">
        <v>297</v>
      </c>
    </row>
    <row r="5" spans="2:10" x14ac:dyDescent="0.25">
      <c r="B5" s="90" t="s">
        <v>298</v>
      </c>
      <c r="C5" s="218" t="s">
        <v>299</v>
      </c>
      <c r="D5" s="218"/>
      <c r="E5" s="91" t="s">
        <v>283</v>
      </c>
      <c r="F5" s="92">
        <v>90</v>
      </c>
      <c r="G5" s="93">
        <v>0</v>
      </c>
      <c r="H5" s="94">
        <f>(G5-F5)/F5*100</f>
        <v>-100</v>
      </c>
      <c r="I5" s="95" t="s">
        <v>283</v>
      </c>
      <c r="J5" s="96"/>
    </row>
    <row r="6" spans="2:10" x14ac:dyDescent="0.25">
      <c r="B6" s="228" t="s">
        <v>300</v>
      </c>
      <c r="C6" s="218" t="s">
        <v>301</v>
      </c>
      <c r="D6" s="218"/>
      <c r="E6" s="91" t="s">
        <v>280</v>
      </c>
      <c r="F6" s="92" t="s">
        <v>302</v>
      </c>
      <c r="G6" s="93">
        <v>0</v>
      </c>
      <c r="H6" s="97" t="str">
        <f>IF($G6="","",IF(AND($G6&gt;=0,$G6&lt;=1427),"合格","不合格"))</f>
        <v/>
      </c>
      <c r="I6" s="98" t="s">
        <v>4</v>
      </c>
      <c r="J6" s="96"/>
    </row>
    <row r="7" spans="2:10" x14ac:dyDescent="0.25">
      <c r="B7" s="242"/>
      <c r="C7" s="218" t="s">
        <v>303</v>
      </c>
      <c r="D7" s="218"/>
      <c r="E7" s="91" t="s">
        <v>280</v>
      </c>
      <c r="F7" s="92" t="s">
        <v>304</v>
      </c>
      <c r="G7" s="93">
        <v>0</v>
      </c>
      <c r="H7" s="97" t="str">
        <f>IF($G7="","",IF(AND($G7&gt;=210,$G7&lt;=220),"合格","不合格"))</f>
        <v/>
      </c>
      <c r="I7" s="98" t="s">
        <v>4</v>
      </c>
      <c r="J7" s="96"/>
    </row>
    <row r="8" spans="2:10" x14ac:dyDescent="0.25">
      <c r="B8" s="243"/>
      <c r="C8" s="218" t="s">
        <v>305</v>
      </c>
      <c r="D8" s="218"/>
      <c r="E8" s="91" t="s">
        <v>280</v>
      </c>
      <c r="F8" s="92" t="s">
        <v>306</v>
      </c>
      <c r="G8" s="93">
        <v>0</v>
      </c>
      <c r="H8" s="97" t="str">
        <f>IF($G8="","",IF(AND($G8&gt;=190,$G8&lt;=210),"合格","不合格"))</f>
        <v/>
      </c>
      <c r="I8" s="98" t="s">
        <v>4</v>
      </c>
      <c r="J8" s="96"/>
    </row>
    <row r="9" spans="2:10" x14ac:dyDescent="0.25">
      <c r="B9" s="228" t="s">
        <v>307</v>
      </c>
      <c r="C9" s="91" t="s">
        <v>308</v>
      </c>
      <c r="D9" s="91" t="s">
        <v>309</v>
      </c>
      <c r="E9" s="91" t="s">
        <v>310</v>
      </c>
      <c r="F9" s="92" t="s">
        <v>311</v>
      </c>
      <c r="G9" s="93">
        <v>416.4869384765625</v>
      </c>
      <c r="H9" s="97" t="str">
        <f>IF($G9="","",IF(AND($G9&gt;=412,$G9&lt;=422),"合格","不合格"))</f>
        <v/>
      </c>
      <c r="I9" s="98" t="s">
        <v>4</v>
      </c>
      <c r="J9" s="96"/>
    </row>
    <row r="10" spans="2:10" x14ac:dyDescent="0.25">
      <c r="B10" s="242"/>
      <c r="C10" s="218" t="s">
        <v>312</v>
      </c>
      <c r="D10" s="91" t="s">
        <v>313</v>
      </c>
      <c r="E10" s="98" t="s">
        <v>4</v>
      </c>
      <c r="F10" s="92" t="s">
        <v>314</v>
      </c>
      <c r="G10" s="93">
        <v>0.5399313569068909</v>
      </c>
      <c r="H10" s="97" t="str">
        <f>IF($G10="","",IF(AND($G10&gt;=0.525,$G10&lt;=0.5357),"合格","不合格"))</f>
        <v/>
      </c>
      <c r="I10" s="98" t="s">
        <v>4</v>
      </c>
      <c r="J10" s="96"/>
    </row>
    <row r="11" spans="2:10" x14ac:dyDescent="0.25">
      <c r="B11" s="242"/>
      <c r="C11" s="218"/>
      <c r="D11" s="91" t="s">
        <v>315</v>
      </c>
      <c r="E11" s="91" t="s">
        <v>316</v>
      </c>
      <c r="F11" s="92">
        <v>46.63</v>
      </c>
      <c r="G11" s="93">
        <v>46.65299987792969</v>
      </c>
      <c r="H11" s="97" t="s">
        <v>317</v>
      </c>
      <c r="I11" s="98" t="s">
        <v>4</v>
      </c>
      <c r="J11" s="96"/>
    </row>
    <row r="12" spans="2:10" x14ac:dyDescent="0.25">
      <c r="B12" s="242"/>
      <c r="C12" s="218"/>
      <c r="D12" s="91" t="s">
        <v>318</v>
      </c>
      <c r="E12" s="91" t="s">
        <v>285</v>
      </c>
      <c r="F12" s="92" t="s">
        <v>319</v>
      </c>
      <c r="G12" s="93">
        <v>0.744069516658783</v>
      </c>
      <c r="H12" s="97" t="str">
        <f>IF($G12="","",IF(AND($G12&gt;=0.745,$G12&lt;=0.755),"合格","不合格"))</f>
        <v/>
      </c>
      <c r="I12" s="98" t="s">
        <v>4</v>
      </c>
      <c r="J12" s="96"/>
    </row>
    <row r="13" spans="2:10" x14ac:dyDescent="0.25">
      <c r="B13" s="242"/>
      <c r="C13" s="218"/>
      <c r="D13" s="91" t="s">
        <v>320</v>
      </c>
      <c r="E13" s="91" t="s">
        <v>286</v>
      </c>
      <c r="F13" s="92" t="s">
        <v>321</v>
      </c>
      <c r="G13" s="93">
        <v>90.40046691894531</v>
      </c>
      <c r="H13" s="97" t="str">
        <f>IF($G13="","",IF(AND($G13&gt;=88,$G13&lt;=92),"合格","不合格"))</f>
        <v/>
      </c>
      <c r="I13" s="98" t="s">
        <v>4</v>
      </c>
      <c r="J13" s="96"/>
    </row>
    <row r="14" spans="2:10" x14ac:dyDescent="0.25">
      <c r="B14" s="242"/>
      <c r="C14" s="218"/>
      <c r="D14" s="91" t="s">
        <v>322</v>
      </c>
      <c r="E14" s="91" t="s">
        <v>286</v>
      </c>
      <c r="F14" s="92" t="s">
        <v>323</v>
      </c>
      <c r="G14" s="93">
        <v>140.9690399169922</v>
      </c>
      <c r="H14" s="97" t="str">
        <f>IF($G14="","",IF(AND($G14&gt;=143,$G14&lt;=147),"合格","不合格"))</f>
        <v/>
      </c>
      <c r="I14" s="98" t="s">
        <v>4</v>
      </c>
      <c r="J14" s="96"/>
    </row>
    <row r="15" spans="2:10" x14ac:dyDescent="0.25">
      <c r="B15" s="242"/>
      <c r="C15" s="218"/>
      <c r="D15" s="91" t="s">
        <v>324</v>
      </c>
      <c r="E15" s="91" t="s">
        <v>286</v>
      </c>
      <c r="F15" s="92" t="s">
        <v>325</v>
      </c>
      <c r="G15" s="93">
        <v>163.2167205810547</v>
      </c>
      <c r="H15" s="97" t="str">
        <f>IF($G15="","",IF(AND($G15&gt;=166,$G15&lt;=170),"合格","不合格"))</f>
        <v/>
      </c>
      <c r="I15" s="98" t="s">
        <v>4</v>
      </c>
      <c r="J15" s="96"/>
    </row>
    <row r="16" spans="2:10" x14ac:dyDescent="0.25">
      <c r="B16" s="242"/>
      <c r="C16" s="218" t="s">
        <v>326</v>
      </c>
      <c r="D16" s="91" t="s">
        <v>327</v>
      </c>
      <c r="E16" s="91" t="s">
        <v>286</v>
      </c>
      <c r="F16" s="92" t="s">
        <v>328</v>
      </c>
      <c r="G16" s="93">
        <v>44.190677642822266</v>
      </c>
      <c r="H16" s="97" t="str">
        <f>IF($G16="","",IF(AND($G16&gt;=0,$G16&lt;=45),"合格","不合格"))</f>
        <v/>
      </c>
      <c r="I16" s="98" t="s">
        <v>4</v>
      </c>
      <c r="J16" s="96"/>
    </row>
    <row r="17" spans="2:10" x14ac:dyDescent="0.25">
      <c r="B17" s="242"/>
      <c r="C17" s="218"/>
      <c r="D17" s="91" t="s">
        <v>329</v>
      </c>
      <c r="E17" s="91" t="s">
        <v>286</v>
      </c>
      <c r="F17" s="92" t="s">
        <v>330</v>
      </c>
      <c r="G17" s="93">
        <v>20.315685272216797</v>
      </c>
      <c r="H17" s="97" t="str">
        <f>IF($G17="","",IF(AND($G17&gt;=0,$G17&lt;=20),"合格","不合格"))</f>
        <v/>
      </c>
      <c r="I17" s="98" t="s">
        <v>4</v>
      </c>
      <c r="J17" s="96"/>
    </row>
    <row r="18" spans="2:10" x14ac:dyDescent="0.25">
      <c r="B18" s="242"/>
      <c r="C18" s="218"/>
      <c r="D18" s="91" t="s">
        <v>331</v>
      </c>
      <c r="E18" s="91" t="s">
        <v>286</v>
      </c>
      <c r="F18" s="92" t="s">
        <v>332</v>
      </c>
      <c r="G18" s="93">
        <v>49.47771453857422</v>
      </c>
      <c r="H18" s="97" t="str">
        <f>IF($G18="","",IF(AND($G18&gt;=46,$G18&lt;=50),"合格","不合格"))</f>
        <v/>
      </c>
      <c r="I18" s="98" t="s">
        <v>4</v>
      </c>
      <c r="J18" s="96"/>
    </row>
    <row r="19" spans="2:10" x14ac:dyDescent="0.25">
      <c r="B19" s="242"/>
      <c r="C19" s="218"/>
      <c r="D19" s="91" t="s">
        <v>333</v>
      </c>
      <c r="E19" s="91" t="s">
        <v>286</v>
      </c>
      <c r="F19" s="92" t="s">
        <v>334</v>
      </c>
      <c r="G19" s="93">
        <v>19.24291229248047</v>
      </c>
      <c r="H19" s="97" t="str">
        <f>IF($G19="","",IF(AND($G19&gt;=0,$G19&lt;=20),"合格","不合格"))</f>
        <v/>
      </c>
      <c r="I19" s="98" t="s">
        <v>4</v>
      </c>
      <c r="J19" s="96"/>
    </row>
    <row r="20" spans="2:10" x14ac:dyDescent="0.25">
      <c r="B20" s="242"/>
      <c r="C20" s="218" t="s">
        <v>335</v>
      </c>
      <c r="D20" s="91" t="s">
        <v>89</v>
      </c>
      <c r="E20" s="91" t="s">
        <v>283</v>
      </c>
      <c r="F20" s="99" t="s">
        <v>82</v>
      </c>
      <c r="G20" s="93">
        <v>34.18000030517578</v>
      </c>
      <c r="H20" s="100" t="s">
        <v>336</v>
      </c>
      <c r="I20" s="98" t="s">
        <v>4</v>
      </c>
      <c r="J20" s="96"/>
    </row>
    <row r="21" spans="2:10" x14ac:dyDescent="0.25">
      <c r="B21" s="242"/>
      <c r="C21" s="218"/>
      <c r="D21" s="91" t="s">
        <v>92</v>
      </c>
      <c r="E21" s="91" t="s">
        <v>283</v>
      </c>
      <c r="F21" s="99" t="s">
        <v>82</v>
      </c>
      <c r="G21" s="93"/>
      <c r="H21" s="100" t="s">
        <v>336</v>
      </c>
      <c r="I21" s="98" t="s">
        <v>4</v>
      </c>
      <c r="J21" s="96"/>
    </row>
    <row r="22" spans="2:10" x14ac:dyDescent="0.25">
      <c r="B22" s="242"/>
      <c r="C22" s="218"/>
      <c r="D22" s="91" t="s">
        <v>337</v>
      </c>
      <c r="E22" s="98" t="s">
        <v>4</v>
      </c>
      <c r="F22" s="99" t="s">
        <v>82</v>
      </c>
      <c r="G22" s="93">
        <v>6.515000343322754</v>
      </c>
      <c r="H22" s="100" t="s">
        <v>336</v>
      </c>
      <c r="I22" s="98" t="s">
        <v>4</v>
      </c>
      <c r="J22" s="96"/>
    </row>
    <row r="23" spans="2:10" x14ac:dyDescent="0.25">
      <c r="B23" s="242"/>
      <c r="C23" s="218"/>
      <c r="D23" s="91" t="s">
        <v>166</v>
      </c>
      <c r="E23" s="91" t="s">
        <v>310</v>
      </c>
      <c r="F23" s="99" t="s">
        <v>82</v>
      </c>
      <c r="G23" s="93">
        <v>21.40999984741211</v>
      </c>
      <c r="H23" s="100" t="s">
        <v>336</v>
      </c>
      <c r="I23" s="98" t="s">
        <v>4</v>
      </c>
      <c r="J23" s="96"/>
    </row>
    <row r="24" spans="2:10" x14ac:dyDescent="0.25">
      <c r="B24" s="243"/>
      <c r="C24" s="218"/>
      <c r="D24" s="91" t="s">
        <v>167</v>
      </c>
      <c r="E24" s="91" t="s">
        <v>310</v>
      </c>
      <c r="F24" s="99" t="s">
        <v>82</v>
      </c>
      <c r="G24" s="93">
        <v>10.479999542236328</v>
      </c>
      <c r="H24" s="100" t="s">
        <v>336</v>
      </c>
      <c r="I24" s="98" t="s">
        <v>4</v>
      </c>
      <c r="J24" s="96"/>
    </row>
    <row r="25" spans="2:10" x14ac:dyDescent="0.25">
      <c r="B25" s="227" t="s">
        <v>338</v>
      </c>
      <c r="C25" s="91" t="s">
        <v>339</v>
      </c>
      <c r="D25" s="91" t="s">
        <v>340</v>
      </c>
      <c r="E25" s="91" t="s">
        <v>341</v>
      </c>
      <c r="F25" s="92" t="s">
        <v>342</v>
      </c>
      <c r="G25" s="93">
        <v>0</v>
      </c>
      <c r="H25" s="97" t="str">
        <f>IF($G25="","",IF(AND($G25&gt;=0,$G25&lt;=0.38),"合格","不合格"))</f>
        <v/>
      </c>
      <c r="I25" s="98" t="s">
        <v>4</v>
      </c>
      <c r="J25" s="96"/>
    </row>
    <row r="26" spans="2:10" x14ac:dyDescent="0.25">
      <c r="B26" s="227"/>
      <c r="C26" s="218" t="s">
        <v>343</v>
      </c>
      <c r="D26" s="91" t="s">
        <v>10</v>
      </c>
      <c r="E26" s="91" t="s">
        <v>283</v>
      </c>
      <c r="F26" s="92">
        <v>7</v>
      </c>
      <c r="G26" s="93"/>
      <c r="H26" s="94">
        <f>(G26-F26)</f>
        <v>-7</v>
      </c>
      <c r="I26" s="98" t="s">
        <v>283</v>
      </c>
      <c r="J26" s="96"/>
    </row>
    <row r="27" spans="2:10" x14ac:dyDescent="0.25">
      <c r="B27" s="227"/>
      <c r="C27" s="218"/>
      <c r="D27" s="91" t="s">
        <v>344</v>
      </c>
      <c r="E27" s="91" t="s">
        <v>283</v>
      </c>
      <c r="F27" s="92">
        <v>15</v>
      </c>
      <c r="G27" s="93"/>
      <c r="H27" s="94">
        <f t="shared" ref="H27:H31" si="0">(G27-F27)</f>
        <v>-15</v>
      </c>
      <c r="I27" s="98" t="s">
        <v>283</v>
      </c>
      <c r="J27" s="96"/>
    </row>
    <row r="28" spans="2:10" x14ac:dyDescent="0.25">
      <c r="B28" s="227"/>
      <c r="C28" s="218"/>
      <c r="D28" s="91" t="s">
        <v>345</v>
      </c>
      <c r="E28" s="91" t="s">
        <v>283</v>
      </c>
      <c r="F28" s="92">
        <v>4</v>
      </c>
      <c r="G28" s="93"/>
      <c r="H28" s="94">
        <f t="shared" si="0"/>
        <v>-4</v>
      </c>
      <c r="I28" s="98" t="s">
        <v>283</v>
      </c>
      <c r="J28" s="96"/>
    </row>
    <row r="29" spans="2:10" x14ac:dyDescent="0.25">
      <c r="B29" s="227"/>
      <c r="C29" s="218"/>
      <c r="D29" s="91" t="s">
        <v>166</v>
      </c>
      <c r="E29" s="91" t="s">
        <v>283</v>
      </c>
      <c r="F29" s="92">
        <v>7</v>
      </c>
      <c r="G29" s="93"/>
      <c r="H29" s="94">
        <f t="shared" si="0"/>
        <v>-7</v>
      </c>
      <c r="I29" s="98" t="s">
        <v>283</v>
      </c>
      <c r="J29" s="96"/>
    </row>
    <row r="30" spans="2:10" x14ac:dyDescent="0.25">
      <c r="B30" s="227"/>
      <c r="C30" s="218"/>
      <c r="D30" s="91" t="s">
        <v>167</v>
      </c>
      <c r="E30" s="91" t="s">
        <v>283</v>
      </c>
      <c r="F30" s="92">
        <v>7</v>
      </c>
      <c r="G30" s="93"/>
      <c r="H30" s="94">
        <f t="shared" si="0"/>
        <v>-7</v>
      </c>
      <c r="I30" s="98" t="s">
        <v>283</v>
      </c>
      <c r="J30" s="96"/>
    </row>
    <row r="31" spans="2:10" x14ac:dyDescent="0.25">
      <c r="B31" s="227"/>
      <c r="C31" s="218"/>
      <c r="D31" s="91" t="s">
        <v>346</v>
      </c>
      <c r="E31" s="91" t="s">
        <v>347</v>
      </c>
      <c r="F31" s="92">
        <v>10</v>
      </c>
      <c r="G31" s="93"/>
      <c r="H31" s="94">
        <f t="shared" si="0"/>
        <v>-10</v>
      </c>
      <c r="I31" s="98" t="s">
        <v>283</v>
      </c>
      <c r="J31" s="96"/>
    </row>
    <row r="32" spans="2:10" ht="14.5" thickBot="1" x14ac:dyDescent="0.3">
      <c r="B32" s="228"/>
      <c r="C32" s="229"/>
      <c r="D32" s="101" t="s">
        <v>287</v>
      </c>
      <c r="E32" s="101" t="s">
        <v>283</v>
      </c>
      <c r="F32" s="102">
        <v>50</v>
      </c>
      <c r="G32" s="103"/>
      <c r="H32" s="94">
        <f>(G32-F32)</f>
        <v>-50</v>
      </c>
      <c r="I32" s="98" t="s">
        <v>283</v>
      </c>
      <c r="J32" s="104"/>
    </row>
    <row r="33" spans="2:10" x14ac:dyDescent="0.25">
      <c r="B33" s="230" t="s">
        <v>348</v>
      </c>
      <c r="C33" s="233"/>
      <c r="D33" s="234"/>
      <c r="E33" s="234"/>
      <c r="F33" s="234"/>
      <c r="G33" s="234"/>
      <c r="H33" s="234"/>
      <c r="I33" s="234"/>
      <c r="J33" s="235"/>
    </row>
    <row r="34" spans="2:10" x14ac:dyDescent="0.25">
      <c r="B34" s="231"/>
      <c r="C34" s="236"/>
      <c r="D34" s="237"/>
      <c r="E34" s="237"/>
      <c r="F34" s="237"/>
      <c r="G34" s="237"/>
      <c r="H34" s="237"/>
      <c r="I34" s="237"/>
      <c r="J34" s="238"/>
    </row>
    <row r="35" spans="2:10" ht="14.5" thickBot="1" x14ac:dyDescent="0.3">
      <c r="B35" s="232"/>
      <c r="C35" s="239"/>
      <c r="D35" s="240"/>
      <c r="E35" s="240"/>
      <c r="F35" s="240"/>
      <c r="G35" s="240"/>
      <c r="H35" s="240"/>
      <c r="I35" s="240"/>
      <c r="J35" s="241"/>
    </row>
  </sheetData>
  <sheetCalcPr fullCalcOnLoad="1"/>
  <mergeCells count="17">
    <mergeCell ref="B6:B8"/>
    <mergeCell ref="C6:D6"/>
    <mergeCell ref="C7:D7"/>
    <mergeCell ref="C8:D8"/>
    <mergeCell ref="B2:J2"/>
    <mergeCell ref="H3:J3"/>
    <mergeCell ref="B4:D4"/>
    <mergeCell ref="H4:I4"/>
    <mergeCell ref="C5:D5"/>
    <mergeCell ref="B25:B32"/>
    <mergeCell ref="C26:C32"/>
    <mergeCell ref="B33:B35"/>
    <mergeCell ref="C33:J35"/>
    <mergeCell ref="B9:B24"/>
    <mergeCell ref="C20:C24"/>
    <mergeCell ref="C16:C19"/>
    <mergeCell ref="C10:C1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6</vt:i4>
      </vt:variant>
    </vt:vector>
  </HeadingPairs>
  <TitlesOfParts>
    <vt:vector baseType="lpstr" size="6">
      <vt:lpstr>白班过程记录</vt:lpstr>
      <vt:lpstr>白班曲线</vt:lpstr>
      <vt:lpstr>夜班过程记录</vt:lpstr>
      <vt:lpstr>夜班曲线</vt:lpstr>
      <vt:lpstr>台账</vt:lpstr>
      <vt:lpstr>日报表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2026-05-28T03:01:58Z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